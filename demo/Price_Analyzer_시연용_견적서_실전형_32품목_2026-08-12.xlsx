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gwoo\Documents\Price-analyzer\.worktrees\local-data-foundation\demo\"/>
    </mc:Choice>
  </mc:AlternateContent>
  <xr:revisionPtr revIDLastSave="0" documentId="13_ncr:1_{CEC66834-79C8-42FD-B08E-DCE54188824C}" xr6:coauthVersionLast="47" xr6:coauthVersionMax="47" xr10:uidLastSave="{00000000-0000-0000-0000-000000000000}"/>
  <bookViews>
    <workbookView xWindow="5295" yWindow="3765" windowWidth="21600" windowHeight="11385" xr2:uid="{00000000-000D-0000-FFFF-FFFF00000000}"/>
  </bookViews>
  <sheets>
    <sheet name="내역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7" i="1" l="1"/>
  <c r="S46" i="1"/>
  <c r="S45" i="1"/>
  <c r="S44" i="1"/>
  <c r="S43" i="1"/>
  <c r="S42" i="1"/>
  <c r="S41" i="1"/>
  <c r="S40" i="1"/>
  <c r="S39" i="1"/>
  <c r="O48" i="1" s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E13" i="1" l="1"/>
</calcChain>
</file>

<file path=xl/sharedStrings.xml><?xml version="1.0" encoding="utf-8"?>
<sst xmlns="http://schemas.openxmlformats.org/spreadsheetml/2006/main" count="173" uniqueCount="120">
  <si>
    <t xml:space="preserve"> 견 적 서</t>
  </si>
  <si>
    <t>현 대 위 아 ㈜  귀중</t>
  </si>
  <si>
    <t xml:space="preserve">사업자등록번호  </t>
  </si>
  <si>
    <t>000-00-00000</t>
  </si>
  <si>
    <t>(시연 전용)</t>
  </si>
  <si>
    <t>견 적 번 호</t>
  </si>
  <si>
    <t>PA-DEMO-20260812-32</t>
  </si>
  <si>
    <t>상  호</t>
  </si>
  <si>
    <t>시연용 협력사</t>
  </si>
  <si>
    <t>견 적 일 자</t>
  </si>
  <si>
    <t>2026년08월12일</t>
  </si>
  <si>
    <t>대표자</t>
  </si>
  <si>
    <t>홍길동</t>
  </si>
  <si>
    <t>견적유효기간</t>
  </si>
  <si>
    <t>견적일로부터 30일</t>
  </si>
  <si>
    <t>주  소</t>
  </si>
  <si>
    <t>사내 시연 전용</t>
  </si>
  <si>
    <t>지 불 조 건</t>
  </si>
  <si>
    <t>협의</t>
  </si>
  <si>
    <t>전화번호</t>
  </si>
  <si>
    <t>02-0000-0000</t>
  </si>
  <si>
    <t>팩  스</t>
  </si>
  <si>
    <t>-</t>
  </si>
  <si>
    <t>납       기</t>
  </si>
  <si>
    <t>발주 후 6주</t>
  </si>
  <si>
    <t>담당자</t>
  </si>
  <si>
    <t>연락처</t>
  </si>
  <si>
    <t>010-0000-0000</t>
  </si>
  <si>
    <t>납 품 장 소</t>
  </si>
  <si>
    <t>현대위아 지정 장소</t>
  </si>
  <si>
    <t>메일주소</t>
  </si>
  <si>
    <t>demo@example.com</t>
  </si>
  <si>
    <t>공 사 명</t>
  </si>
  <si>
    <t>설비 구매 견적 적정성 분석 사내 시연</t>
  </si>
  <si>
    <t>견적금액</t>
  </si>
  <si>
    <t>(부가세 별도)</t>
  </si>
  <si>
    <t>1. 재 료 비</t>
  </si>
  <si>
    <t>SEQ</t>
  </si>
  <si>
    <t>품    명</t>
  </si>
  <si>
    <t>규   격</t>
  </si>
  <si>
    <t>U/S</t>
  </si>
  <si>
    <t>단 위</t>
  </si>
  <si>
    <t>단  가</t>
  </si>
  <si>
    <t>금   액</t>
  </si>
  <si>
    <t>MAKER</t>
  </si>
  <si>
    <t>SENSOR CABLE</t>
  </si>
  <si>
    <t>BCCM314-0000</t>
  </si>
  <si>
    <t>EA</t>
  </si>
  <si>
    <t>BALLUFF</t>
  </si>
  <si>
    <t>SERVO MOTOR REDUCER</t>
  </si>
  <si>
    <t>1FK7062-2AC71-1CB0</t>
  </si>
  <si>
    <t>SET</t>
  </si>
  <si>
    <t>SIEMENS</t>
  </si>
  <si>
    <t>PHOTO SENSOR</t>
  </si>
  <si>
    <t>E3Z-LS61</t>
  </si>
  <si>
    <t>OMRON</t>
  </si>
  <si>
    <t>RELAY</t>
  </si>
  <si>
    <t>LY2N</t>
  </si>
  <si>
    <t>BARCODE SYSTEM</t>
  </si>
  <si>
    <t>SR-X300</t>
  </si>
  <si>
    <t>KEYENCE</t>
  </si>
  <si>
    <t>PLC CPU</t>
  </si>
  <si>
    <t>Q13UDVCPU</t>
  </si>
  <si>
    <t>MITSUBISHI</t>
  </si>
  <si>
    <t>TOWER LAMP</t>
  </si>
  <si>
    <t>ST-56L-3 DC24V LED</t>
  </si>
  <si>
    <t>Q-LIGHT</t>
  </si>
  <si>
    <t>AIR TANK</t>
  </si>
  <si>
    <t>AC40B-04DG-A</t>
  </si>
  <si>
    <t>SMC</t>
  </si>
  <si>
    <t>MCU</t>
  </si>
  <si>
    <t>STM32F407</t>
  </si>
  <si>
    <t>STMicroelectronics</t>
  </si>
  <si>
    <t>SPECIAL JIG</t>
  </si>
  <si>
    <t>SJ-CUSTOM-2026-08</t>
  </si>
  <si>
    <t>IN-HOUSE</t>
  </si>
  <si>
    <t>AIR CYLINDER</t>
  </si>
  <si>
    <t>CDQ2B125-100</t>
  </si>
  <si>
    <t>CDQ2B50-40D</t>
  </si>
  <si>
    <t>CQ2A100-30DMZ</t>
  </si>
  <si>
    <t>CQ2A80-30DMZ</t>
  </si>
  <si>
    <t>RS2H80-40BM</t>
  </si>
  <si>
    <t>AIR HOSE FITTING</t>
  </si>
  <si>
    <t>AIR SERVICE UNIT</t>
  </si>
  <si>
    <t>AIR TANK (중압)</t>
  </si>
  <si>
    <t>15L</t>
  </si>
  <si>
    <t>AREA SENSOR</t>
  </si>
  <si>
    <t>BW40</t>
  </si>
  <si>
    <t>AUTONICS</t>
  </si>
  <si>
    <t>AUTO VALVE</t>
  </si>
  <si>
    <t>SUS 20A</t>
  </si>
  <si>
    <t>LOT</t>
  </si>
  <si>
    <t>BEARING</t>
  </si>
  <si>
    <t>6004ZZ</t>
  </si>
  <si>
    <t>NSK</t>
  </si>
  <si>
    <t>BEARING BASE</t>
  </si>
  <si>
    <t>UCF 209 12T</t>
  </si>
  <si>
    <t>FYH</t>
  </si>
  <si>
    <t>PLC MODULE BASE</t>
  </si>
  <si>
    <t>Q312B</t>
  </si>
  <si>
    <t>PLC MODULE CC LINK</t>
  </si>
  <si>
    <t>QJ61BT11N</t>
  </si>
  <si>
    <t>PLC MODULE CPU</t>
  </si>
  <si>
    <t>Q026UDVCPU</t>
  </si>
  <si>
    <t>PLC MODULE ETHERNET</t>
  </si>
  <si>
    <t>QJ71E71-100</t>
  </si>
  <si>
    <t>PLC MODULE INPUT</t>
  </si>
  <si>
    <t>QX42</t>
  </si>
  <si>
    <t>PLC MODULE OUTPUT</t>
  </si>
  <si>
    <t>QY42P</t>
  </si>
  <si>
    <t>PLC MODULE POWER</t>
  </si>
  <si>
    <t>Q61P</t>
  </si>
  <si>
    <t>PLC POSITION MODULE</t>
  </si>
  <si>
    <t>QD77MS16</t>
  </si>
  <si>
    <t>PLC POWER</t>
  </si>
  <si>
    <t>Q62P</t>
  </si>
  <si>
    <t>PLC 통신카드</t>
  </si>
  <si>
    <t>QJ71C24N</t>
  </si>
  <si>
    <t>총     합     계</t>
  </si>
  <si>
    <t>* 시연 전용 샘플 - 실제 거래 사용 금지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</si>
</sst>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#,##0;[Red]#,##0"/>
    <numFmt numFmtId="177" formatCode="0.00_);[Red]\(0.00\)"/>
    <numFmt numFmtId="178" formatCode="0_);[Red]\(0\)"/>
    <numFmt numFmtId="179" formatCode="yyyy&quot;/&quot;m&quot;/&quot;d;@"/>
    <numFmt numFmtId="180" formatCode="\₩#,##0"/>
  </numFmts>
  <fonts count="16" x14ac:knownFonts="1">
    <font>
      <sz val="11"/>
      <color theme="1"/>
      <name val="맑은 고딕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8"/>
      <name val="HY견고딕"/>
      <family val="1"/>
      <charset val="129"/>
    </font>
    <font>
      <b/>
      <sz val="12"/>
      <name val="HY견고딕"/>
      <family val="1"/>
      <charset val="129"/>
    </font>
    <font>
      <b/>
      <sz val="10"/>
      <name val="HY견고딕"/>
      <family val="1"/>
      <charset val="129"/>
    </font>
    <font>
      <sz val="11"/>
      <color theme="1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8"/>
      <color rgb="FF222222"/>
      <name val="맑은 고딕"/>
      <family val="3"/>
      <charset val="129"/>
    </font>
    <font>
      <b/>
      <sz val="9"/>
      <color rgb="FF22222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7">
    <xf numFmtId="0" fontId="0" fillId="0" borderId="0">
      <alignment vertical="center"/>
    </xf>
    <xf numFmtId="41" fontId="1" fillId="0" borderId="0"/>
    <xf numFmtId="42" fontId="12" fillId="0" borderId="0">
      <alignment vertical="center"/>
    </xf>
    <xf numFmtId="0" fontId="1" fillId="0" borderId="0"/>
    <xf numFmtId="0" fontId="13" fillId="0" borderId="0">
      <alignment vertical="center"/>
    </xf>
    <xf numFmtId="41" fontId="12" fillId="0" borderId="0">
      <alignment vertical="center"/>
    </xf>
    <xf numFmtId="41" fontId="1" fillId="0" borderId="0"/>
  </cellStyleXfs>
  <cellXfs count="74">
    <xf numFmtId="0" fontId="0" fillId="0" borderId="0" xfId="0">
      <alignment vertical="center"/>
    </xf>
    <xf numFmtId="0" fontId="2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76" fontId="2" fillId="0" borderId="0" xfId="3" applyNumberFormat="1" applyFont="1" applyAlignment="1">
      <alignment horizontal="center" vertical="center"/>
    </xf>
    <xf numFmtId="176" fontId="5" fillId="0" borderId="1" xfId="3" applyNumberFormat="1" applyFont="1" applyBorder="1" applyAlignment="1">
      <alignment horizontal="center" vertical="center"/>
    </xf>
    <xf numFmtId="176" fontId="5" fillId="0" borderId="2" xfId="3" applyNumberFormat="1" applyFont="1" applyBorder="1" applyAlignment="1">
      <alignment horizontal="center" vertical="center"/>
    </xf>
    <xf numFmtId="176" fontId="5" fillId="0" borderId="3" xfId="3" applyNumberFormat="1" applyFont="1" applyBorder="1" applyAlignment="1">
      <alignment vertical="center"/>
    </xf>
    <xf numFmtId="176" fontId="5" fillId="0" borderId="6" xfId="3" applyNumberFormat="1" applyFont="1" applyBorder="1" applyAlignment="1">
      <alignment vertical="center"/>
    </xf>
    <xf numFmtId="176" fontId="5" fillId="0" borderId="1" xfId="3" applyNumberFormat="1" applyFont="1" applyBorder="1" applyAlignment="1">
      <alignment horizontal="left" vertical="center"/>
    </xf>
    <xf numFmtId="41" fontId="5" fillId="0" borderId="1" xfId="1" applyFont="1" applyBorder="1" applyAlignment="1">
      <alignment horizontal="center" vertical="center"/>
    </xf>
    <xf numFmtId="176" fontId="5" fillId="0" borderId="9" xfId="3" applyNumberFormat="1" applyFont="1" applyBorder="1" applyAlignment="1">
      <alignment horizontal="center" vertical="center"/>
    </xf>
    <xf numFmtId="176" fontId="5" fillId="0" borderId="0" xfId="3" applyNumberFormat="1" applyFont="1" applyAlignment="1">
      <alignment horizontal="center" vertical="center"/>
    </xf>
    <xf numFmtId="176" fontId="4" fillId="0" borderId="0" xfId="3" applyNumberFormat="1" applyFont="1" applyAlignment="1">
      <alignment vertical="center"/>
    </xf>
    <xf numFmtId="176" fontId="5" fillId="0" borderId="0" xfId="3" applyNumberFormat="1" applyFont="1" applyAlignment="1">
      <alignment vertical="center"/>
    </xf>
    <xf numFmtId="0" fontId="8" fillId="0" borderId="0" xfId="3" applyFont="1" applyAlignment="1">
      <alignment horizontal="center" vertical="center"/>
    </xf>
    <xf numFmtId="176" fontId="7" fillId="2" borderId="2" xfId="3" applyNumberFormat="1" applyFont="1" applyFill="1" applyBorder="1" applyAlignment="1">
      <alignment vertical="center"/>
    </xf>
    <xf numFmtId="176" fontId="7" fillId="2" borderId="10" xfId="3" applyNumberFormat="1" applyFont="1" applyFill="1" applyBorder="1" applyAlignment="1">
      <alignment vertical="center"/>
    </xf>
    <xf numFmtId="176" fontId="7" fillId="2" borderId="11" xfId="3" applyNumberFormat="1" applyFont="1" applyFill="1" applyBorder="1" applyAlignment="1">
      <alignment vertical="center"/>
    </xf>
    <xf numFmtId="176" fontId="7" fillId="2" borderId="1" xfId="3" applyNumberFormat="1" applyFont="1" applyFill="1" applyBorder="1" applyAlignment="1">
      <alignment vertical="center"/>
    </xf>
    <xf numFmtId="176" fontId="5" fillId="0" borderId="10" xfId="3" applyNumberFormat="1" applyFont="1" applyBorder="1" applyAlignment="1">
      <alignment horizontal="center" vertical="center"/>
    </xf>
    <xf numFmtId="0" fontId="0" fillId="0" borderId="0" xfId="0" applyAlignment="1"/>
    <xf numFmtId="176" fontId="14" fillId="3" borderId="19" xfId="0" applyNumberFormat="1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41" fontId="14" fillId="3" borderId="19" xfId="0" applyNumberFormat="1" applyFont="1" applyFill="1" applyBorder="1" applyAlignment="1">
      <alignment horizontal="center" vertical="center"/>
    </xf>
    <xf numFmtId="49" fontId="14" fillId="3" borderId="19" xfId="0" applyNumberFormat="1" applyFont="1" applyFill="1" applyBorder="1" applyAlignment="1">
      <alignment horizontal="center" vertical="center"/>
    </xf>
    <xf numFmtId="178" fontId="14" fillId="3" borderId="19" xfId="0" applyNumberFormat="1" applyFont="1" applyFill="1" applyBorder="1" applyAlignment="1">
      <alignment horizontal="center" vertical="center"/>
    </xf>
    <xf numFmtId="177" fontId="14" fillId="3" borderId="19" xfId="0" applyNumberFormat="1" applyFont="1" applyFill="1" applyBorder="1" applyAlignment="1">
      <alignment horizontal="center" vertical="center"/>
    </xf>
    <xf numFmtId="42" fontId="14" fillId="3" borderId="19" xfId="0" applyNumberFormat="1" applyFont="1" applyFill="1" applyBorder="1" applyAlignment="1">
      <alignment horizontal="center" vertical="center"/>
    </xf>
    <xf numFmtId="176" fontId="5" fillId="0" borderId="10" xfId="3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176" fontId="9" fillId="0" borderId="0" xfId="3" applyNumberFormat="1" applyFont="1" applyAlignment="1">
      <alignment horizontal="center" vertical="center"/>
    </xf>
    <xf numFmtId="0" fontId="0" fillId="0" borderId="0" xfId="0" applyAlignment="1"/>
    <xf numFmtId="176" fontId="5" fillId="0" borderId="2" xfId="3" applyNumberFormat="1" applyFont="1" applyBorder="1" applyAlignment="1">
      <alignment horizontal="center" vertical="center"/>
    </xf>
    <xf numFmtId="176" fontId="5" fillId="0" borderId="10" xfId="3" applyNumberFormat="1" applyFont="1" applyBorder="1" applyAlignment="1">
      <alignment horizontal="left" vertical="center"/>
    </xf>
    <xf numFmtId="176" fontId="10" fillId="0" borderId="10" xfId="3" applyNumberFormat="1" applyFont="1" applyBorder="1" applyAlignment="1">
      <alignment horizontal="center" vertical="center"/>
    </xf>
    <xf numFmtId="176" fontId="11" fillId="0" borderId="13" xfId="3" applyNumberFormat="1" applyFont="1" applyBorder="1" applyAlignment="1">
      <alignment horizontal="left" vertical="center"/>
    </xf>
    <xf numFmtId="0" fontId="0" fillId="0" borderId="13" xfId="0" applyBorder="1" applyAlignment="1"/>
    <xf numFmtId="179" fontId="5" fillId="0" borderId="10" xfId="3" applyNumberFormat="1" applyFont="1" applyBorder="1" applyAlignment="1">
      <alignment horizontal="center" vertical="center"/>
    </xf>
    <xf numFmtId="176" fontId="5" fillId="0" borderId="11" xfId="3" applyNumberFormat="1" applyFont="1" applyBorder="1" applyAlignment="1">
      <alignment horizontal="center" vertical="center"/>
    </xf>
    <xf numFmtId="42" fontId="6" fillId="0" borderId="10" xfId="2" applyFont="1" applyBorder="1" applyAlignment="1">
      <alignment horizontal="center" vertical="center"/>
    </xf>
    <xf numFmtId="176" fontId="6" fillId="0" borderId="10" xfId="3" applyNumberFormat="1" applyFont="1" applyBorder="1" applyAlignment="1">
      <alignment horizontal="center" vertical="center"/>
    </xf>
    <xf numFmtId="176" fontId="7" fillId="2" borderId="10" xfId="3" applyNumberFormat="1" applyFont="1" applyFill="1" applyBorder="1" applyAlignment="1">
      <alignment horizontal="center" vertical="center"/>
    </xf>
    <xf numFmtId="176" fontId="13" fillId="0" borderId="10" xfId="4" applyNumberFormat="1" applyBorder="1" applyAlignment="1">
      <alignment horizontal="center" vertical="center"/>
    </xf>
    <xf numFmtId="176" fontId="2" fillId="0" borderId="0" xfId="3" applyNumberFormat="1" applyFont="1" applyAlignment="1">
      <alignment horizontal="center" vertical="center"/>
    </xf>
    <xf numFmtId="176" fontId="6" fillId="0" borderId="7" xfId="3" applyNumberFormat="1" applyFont="1" applyBorder="1" applyAlignment="1">
      <alignment horizontal="left" vertical="center"/>
    </xf>
    <xf numFmtId="0" fontId="0" fillId="0" borderId="12" xfId="0" applyBorder="1" applyAlignment="1"/>
    <xf numFmtId="0" fontId="0" fillId="0" borderId="5" xfId="0" applyBorder="1" applyAlignment="1"/>
    <xf numFmtId="176" fontId="5" fillId="0" borderId="0" xfId="3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0" fillId="0" borderId="9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6" xfId="0" applyBorder="1" applyAlignment="1"/>
    <xf numFmtId="0" fontId="0" fillId="0" borderId="17" xfId="0" applyBorder="1" applyAlignment="1"/>
    <xf numFmtId="0" fontId="0" fillId="0" borderId="18" xfId="0" applyBorder="1" applyAlignment="1"/>
    <xf numFmtId="176" fontId="6" fillId="0" borderId="9" xfId="3" applyNumberFormat="1" applyFont="1" applyBorder="1" applyAlignment="1">
      <alignment horizontal="left" vertical="center"/>
    </xf>
    <xf numFmtId="176" fontId="4" fillId="0" borderId="10" xfId="3" applyNumberFormat="1" applyFont="1" applyBorder="1" applyAlignment="1">
      <alignment horizontal="center" vertical="center"/>
    </xf>
    <xf numFmtId="180" fontId="7" fillId="2" borderId="11" xfId="0" applyNumberFormat="1" applyFont="1" applyFill="1" applyBorder="1" applyAlignment="1">
      <alignment horizontal="center" vertical="center"/>
    </xf>
    <xf numFmtId="176" fontId="6" fillId="0" borderId="8" xfId="3" applyNumberFormat="1" applyFont="1" applyBorder="1" applyAlignment="1">
      <alignment horizontal="left" vertical="center"/>
    </xf>
    <xf numFmtId="0" fontId="0" fillId="0" borderId="14" xfId="0" applyBorder="1" applyAlignment="1"/>
    <xf numFmtId="0" fontId="0" fillId="0" borderId="4" xfId="0" applyBorder="1" applyAlignment="1"/>
    <xf numFmtId="176" fontId="14" fillId="3" borderId="19" xfId="0" applyNumberFormat="1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3" fontId="14" fillId="3" borderId="19" xfId="0" applyNumberFormat="1" applyFont="1" applyFill="1" applyBorder="1" applyAlignment="1">
      <alignment horizontal="right" vertical="center"/>
    </xf>
    <xf numFmtId="0" fontId="14" fillId="3" borderId="19" xfId="0" applyFont="1" applyFill="1" applyBorder="1" applyAlignment="1">
      <alignment horizontal="right" vertical="center"/>
    </xf>
    <xf numFmtId="49" fontId="14" fillId="3" borderId="19" xfId="0" applyNumberFormat="1" applyFont="1" applyFill="1" applyBorder="1" applyAlignment="1">
      <alignment horizontal="center" vertical="center"/>
    </xf>
    <xf numFmtId="41" fontId="14" fillId="3" borderId="19" xfId="0" applyNumberFormat="1" applyFont="1" applyFill="1" applyBorder="1" applyAlignment="1">
      <alignment horizontal="right" vertical="center"/>
    </xf>
    <xf numFmtId="176" fontId="15" fillId="0" borderId="19" xfId="0" applyNumberFormat="1" applyFont="1" applyBorder="1" applyAlignment="1">
      <alignment horizontal="left" vertical="center"/>
    </xf>
    <xf numFmtId="0" fontId="15" fillId="0" borderId="19" xfId="0" applyFont="1" applyBorder="1" applyAlignment="1"/>
    <xf numFmtId="176" fontId="15" fillId="0" borderId="19" xfId="0" applyNumberFormat="1" applyFont="1" applyBorder="1" applyAlignment="1">
      <alignment horizontal="center" vertical="center"/>
    </xf>
    <xf numFmtId="180" fontId="15" fillId="0" borderId="19" xfId="0" applyNumberFormat="1" applyFont="1" applyBorder="1" applyAlignment="1">
      <alignment horizontal="center" vertical="center"/>
    </xf>
  </cellXfs>
  <cellStyles count="7">
    <cellStyle name="쉼표 [0] 2" xfId="1" xr:uid="{00000000-0005-0000-0000-000001000000}"/>
    <cellStyle name="쉼표 [0] 2 2" xfId="6" xr:uid="{00000000-0005-0000-0000-000006000000}"/>
    <cellStyle name="쉼표 [0] 3" xfId="5" xr:uid="{00000000-0005-0000-0000-000005000000}"/>
    <cellStyle name="통화 [0]" xfId="2" xr:uid="{00000000-0005-0000-0000-000002000000}"/>
    <cellStyle name="표준" xfId="0" builtinId="0"/>
    <cellStyle name="표준 2" xfId="3" xr:uid="{00000000-0005-0000-0000-000003000000}"/>
    <cellStyle name="하이퍼링크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152401</xdr:colOff>
      <xdr:row>3</xdr:row>
      <xdr:rowOff>66675</xdr:rowOff>
    </xdr:from>
    <xdr:to>
      <xdr:col>25</xdr:col>
      <xdr:colOff>461010</xdr:colOff>
      <xdr:row>5</xdr:row>
      <xdr:rowOff>156210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skj9131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showGridLines="0" tabSelected="1" workbookViewId="0">
      <selection sqref="A1:G2"/>
    </sheetView>
  </sheetViews>
  <sheetFormatPr defaultColWidth="9" defaultRowHeight="13.5" x14ac:dyDescent="0.3"/>
  <cols>
    <col min="1" max="1" width="3.625" style="4" customWidth="1"/>
    <col min="2" max="2" width="2" style="4" customWidth="1"/>
    <col min="3" max="3" width="3.125" style="4" customWidth="1"/>
    <col min="4" max="4" width="2.375" style="4" customWidth="1"/>
    <col min="5" max="5" width="3.625" style="4" customWidth="1"/>
    <col min="6" max="6" width="1.5" style="4" customWidth="1"/>
    <col min="7" max="7" width="3.5" style="4" customWidth="1"/>
    <col min="8" max="9" width="3.625" style="4" customWidth="1"/>
    <col min="10" max="10" width="5.375" style="4" customWidth="1"/>
    <col min="11" max="11" width="2.875" style="4" customWidth="1"/>
    <col min="12" max="12" width="3.625" style="4" customWidth="1"/>
    <col min="13" max="13" width="6.125" style="4" customWidth="1"/>
    <col min="14" max="14" width="7.625" style="4" customWidth="1"/>
    <col min="15" max="15" width="5.75" style="4" customWidth="1"/>
    <col min="16" max="16" width="2" style="4" customWidth="1"/>
    <col min="17" max="17" width="5.125" style="4" customWidth="1"/>
    <col min="18" max="18" width="6" style="4" customWidth="1"/>
    <col min="19" max="21" width="3.625" style="4" customWidth="1"/>
    <col min="22" max="22" width="3.25" style="4" customWidth="1"/>
    <col min="23" max="23" width="3.5" style="4" customWidth="1"/>
    <col min="24" max="24" width="0.875" style="4" customWidth="1"/>
    <col min="25" max="25" width="0.375" style="4" customWidth="1"/>
    <col min="26" max="26" width="10.375" style="4" customWidth="1"/>
    <col min="27" max="27" width="9" style="1" customWidth="1"/>
    <col min="28" max="16384" width="9" style="1"/>
  </cols>
  <sheetData>
    <row r="1" spans="1:26" s="21" customFormat="1" ht="11.1" customHeight="1" x14ac:dyDescent="0.3">
      <c r="A1" s="45"/>
      <c r="B1" s="33"/>
      <c r="C1" s="33"/>
      <c r="D1" s="33"/>
      <c r="E1" s="33"/>
      <c r="F1" s="33"/>
      <c r="G1" s="33"/>
      <c r="H1" s="32" t="s">
        <v>0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45"/>
      <c r="V1" s="33"/>
      <c r="W1" s="33"/>
      <c r="X1" s="33"/>
      <c r="Y1" s="33"/>
      <c r="Z1" s="33"/>
    </row>
    <row r="2" spans="1:26" s="21" customFormat="1" ht="11.1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s="21" customFormat="1" ht="3.9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s="2" customFormat="1" ht="18" customHeight="1" x14ac:dyDescent="0.3">
      <c r="A4" s="59" t="s">
        <v>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7"/>
      <c r="O4" s="35" t="s">
        <v>2</v>
      </c>
      <c r="P4" s="30"/>
      <c r="Q4" s="31"/>
      <c r="R4" s="51" t="s">
        <v>3</v>
      </c>
      <c r="S4" s="30"/>
      <c r="T4" s="30"/>
      <c r="U4" s="30"/>
      <c r="V4" s="30"/>
      <c r="W4" s="31"/>
      <c r="X4" s="51" t="s">
        <v>4</v>
      </c>
      <c r="Y4" s="52"/>
      <c r="Z4" s="53"/>
    </row>
    <row r="5" spans="1:26" s="2" customFormat="1" ht="18" customHeight="1" x14ac:dyDescent="0.3">
      <c r="A5" s="29" t="s">
        <v>5</v>
      </c>
      <c r="B5" s="30"/>
      <c r="C5" s="30"/>
      <c r="D5" s="31"/>
      <c r="E5" s="39" t="s">
        <v>6</v>
      </c>
      <c r="F5" s="30"/>
      <c r="G5" s="30"/>
      <c r="H5" s="30"/>
      <c r="I5" s="30"/>
      <c r="J5" s="30"/>
      <c r="K5" s="30"/>
      <c r="L5" s="30"/>
      <c r="M5" s="31"/>
      <c r="N5" s="7"/>
      <c r="O5" s="29" t="s">
        <v>7</v>
      </c>
      <c r="P5" s="31"/>
      <c r="Q5" s="42" t="s">
        <v>8</v>
      </c>
      <c r="R5" s="30"/>
      <c r="S5" s="30"/>
      <c r="T5" s="30"/>
      <c r="U5" s="30"/>
      <c r="V5" s="30"/>
      <c r="W5" s="31"/>
      <c r="X5" s="54"/>
      <c r="Y5" s="50"/>
      <c r="Z5" s="55"/>
    </row>
    <row r="6" spans="1:26" s="2" customFormat="1" ht="18" customHeight="1" x14ac:dyDescent="0.3">
      <c r="A6" s="29" t="s">
        <v>9</v>
      </c>
      <c r="B6" s="30"/>
      <c r="C6" s="30"/>
      <c r="D6" s="31"/>
      <c r="E6" s="29" t="s">
        <v>10</v>
      </c>
      <c r="F6" s="30"/>
      <c r="G6" s="30"/>
      <c r="H6" s="30"/>
      <c r="I6" s="30"/>
      <c r="J6" s="30"/>
      <c r="K6" s="30"/>
      <c r="L6" s="30"/>
      <c r="M6" s="31"/>
      <c r="N6" s="7"/>
      <c r="O6" s="29" t="s">
        <v>11</v>
      </c>
      <c r="P6" s="31"/>
      <c r="Q6" s="42" t="s">
        <v>12</v>
      </c>
      <c r="R6" s="30"/>
      <c r="S6" s="30"/>
      <c r="T6" s="30"/>
      <c r="U6" s="30"/>
      <c r="V6" s="30"/>
      <c r="W6" s="31"/>
      <c r="X6" s="56"/>
      <c r="Y6" s="38"/>
      <c r="Z6" s="57"/>
    </row>
    <row r="7" spans="1:26" s="2" customFormat="1" ht="18" customHeight="1" x14ac:dyDescent="0.3">
      <c r="A7" s="29" t="s">
        <v>13</v>
      </c>
      <c r="B7" s="30"/>
      <c r="C7" s="30"/>
      <c r="D7" s="31"/>
      <c r="E7" s="29" t="s">
        <v>14</v>
      </c>
      <c r="F7" s="30"/>
      <c r="G7" s="30"/>
      <c r="H7" s="30"/>
      <c r="I7" s="30"/>
      <c r="J7" s="30"/>
      <c r="K7" s="30"/>
      <c r="L7" s="30"/>
      <c r="M7" s="31"/>
      <c r="N7" s="7"/>
      <c r="O7" s="29" t="s">
        <v>15</v>
      </c>
      <c r="P7" s="31"/>
      <c r="Q7" s="42" t="s">
        <v>16</v>
      </c>
      <c r="R7" s="30"/>
      <c r="S7" s="30"/>
      <c r="T7" s="30"/>
      <c r="U7" s="30"/>
      <c r="V7" s="30"/>
      <c r="W7" s="30"/>
      <c r="X7" s="30"/>
      <c r="Y7" s="30"/>
      <c r="Z7" s="31"/>
    </row>
    <row r="8" spans="1:26" s="2" customFormat="1" ht="18" customHeight="1" x14ac:dyDescent="0.3">
      <c r="A8" s="29" t="s">
        <v>17</v>
      </c>
      <c r="B8" s="30"/>
      <c r="C8" s="30"/>
      <c r="D8" s="31"/>
      <c r="E8" s="29" t="s">
        <v>18</v>
      </c>
      <c r="F8" s="30"/>
      <c r="G8" s="30"/>
      <c r="H8" s="30"/>
      <c r="I8" s="30"/>
      <c r="J8" s="30"/>
      <c r="K8" s="30"/>
      <c r="L8" s="30"/>
      <c r="M8" s="31"/>
      <c r="N8" s="7"/>
      <c r="O8" s="29" t="s">
        <v>19</v>
      </c>
      <c r="P8" s="31"/>
      <c r="Q8" s="42" t="s">
        <v>20</v>
      </c>
      <c r="R8" s="30"/>
      <c r="S8" s="30"/>
      <c r="T8" s="31"/>
      <c r="U8" s="29" t="s">
        <v>21</v>
      </c>
      <c r="V8" s="31"/>
      <c r="W8" s="29" t="s">
        <v>22</v>
      </c>
      <c r="X8" s="30"/>
      <c r="Y8" s="30"/>
      <c r="Z8" s="31"/>
    </row>
    <row r="9" spans="1:26" s="2" customFormat="1" ht="18" customHeight="1" x14ac:dyDescent="0.3">
      <c r="A9" s="29" t="s">
        <v>23</v>
      </c>
      <c r="B9" s="30"/>
      <c r="C9" s="30"/>
      <c r="D9" s="31"/>
      <c r="E9" s="29" t="s">
        <v>24</v>
      </c>
      <c r="F9" s="30"/>
      <c r="G9" s="30"/>
      <c r="H9" s="30"/>
      <c r="I9" s="30"/>
      <c r="J9" s="30"/>
      <c r="K9" s="30"/>
      <c r="L9" s="30"/>
      <c r="M9" s="31"/>
      <c r="N9" s="8"/>
      <c r="O9" s="29" t="s">
        <v>25</v>
      </c>
      <c r="P9" s="31"/>
      <c r="Q9" s="40" t="s">
        <v>12</v>
      </c>
      <c r="R9" s="30"/>
      <c r="S9" s="30"/>
      <c r="T9" s="30"/>
      <c r="U9" s="29" t="s">
        <v>26</v>
      </c>
      <c r="V9" s="31"/>
      <c r="W9" s="34" t="s">
        <v>27</v>
      </c>
      <c r="X9" s="30"/>
      <c r="Y9" s="30"/>
      <c r="Z9" s="31"/>
    </row>
    <row r="10" spans="1:26" s="2" customFormat="1" ht="18" customHeight="1" x14ac:dyDescent="0.3">
      <c r="A10" s="29" t="s">
        <v>28</v>
      </c>
      <c r="B10" s="30"/>
      <c r="C10" s="30"/>
      <c r="D10" s="31"/>
      <c r="E10" s="29" t="s">
        <v>29</v>
      </c>
      <c r="F10" s="30"/>
      <c r="G10" s="30"/>
      <c r="H10" s="30"/>
      <c r="I10" s="30"/>
      <c r="J10" s="30"/>
      <c r="K10" s="30"/>
      <c r="L10" s="30"/>
      <c r="M10" s="31"/>
      <c r="N10" s="8"/>
      <c r="O10" s="29" t="s">
        <v>30</v>
      </c>
      <c r="P10" s="31"/>
      <c r="Q10" s="44" t="s">
        <v>31</v>
      </c>
      <c r="R10" s="30"/>
      <c r="S10" s="30"/>
      <c r="T10" s="30"/>
      <c r="U10" s="30"/>
      <c r="V10" s="30"/>
      <c r="W10" s="30"/>
      <c r="X10" s="30"/>
      <c r="Y10" s="30"/>
      <c r="Z10" s="31"/>
    </row>
    <row r="11" spans="1:26" s="2" customFormat="1" ht="3.95" customHeight="1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4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s="15" customFormat="1" ht="23.1" customHeight="1" x14ac:dyDescent="0.3">
      <c r="A12" s="36" t="s">
        <v>32</v>
      </c>
      <c r="B12" s="30"/>
      <c r="C12" s="30"/>
      <c r="D12" s="31"/>
      <c r="E12" s="43" t="s">
        <v>33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1"/>
    </row>
    <row r="13" spans="1:26" s="15" customFormat="1" ht="23.1" customHeight="1" x14ac:dyDescent="0.3">
      <c r="A13" s="36" t="s">
        <v>34</v>
      </c>
      <c r="B13" s="30"/>
      <c r="C13" s="30"/>
      <c r="D13" s="31"/>
      <c r="E13" s="60">
        <f>SUM(S16:S47)</f>
        <v>28655200</v>
      </c>
      <c r="F13" s="30"/>
      <c r="G13" s="30"/>
      <c r="H13" s="30"/>
      <c r="I13" s="30"/>
      <c r="J13" s="30"/>
      <c r="K13" s="30"/>
      <c r="L13" s="30"/>
      <c r="M13" s="30"/>
      <c r="N13" s="30"/>
      <c r="O13" s="16" t="s">
        <v>35</v>
      </c>
      <c r="P13" s="17"/>
      <c r="Q13" s="18"/>
      <c r="R13" s="19"/>
      <c r="S13" s="19"/>
      <c r="T13" s="19"/>
      <c r="U13" s="19"/>
      <c r="V13" s="19"/>
      <c r="W13" s="19"/>
      <c r="X13" s="19"/>
      <c r="Y13" s="19"/>
      <c r="Z13" s="16"/>
    </row>
    <row r="14" spans="1:26" s="2" customFormat="1" ht="20.100000000000001" customHeight="1" x14ac:dyDescent="0.3">
      <c r="A14" s="37" t="s">
        <v>36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s="2" customFormat="1" ht="17.100000000000001" customHeight="1" x14ac:dyDescent="0.3">
      <c r="A15" s="29" t="s">
        <v>37</v>
      </c>
      <c r="B15" s="31"/>
      <c r="C15" s="29" t="s">
        <v>38</v>
      </c>
      <c r="D15" s="30"/>
      <c r="E15" s="30"/>
      <c r="F15" s="30"/>
      <c r="G15" s="30"/>
      <c r="H15" s="31"/>
      <c r="I15" s="29" t="s">
        <v>39</v>
      </c>
      <c r="J15" s="30"/>
      <c r="K15" s="30"/>
      <c r="L15" s="30"/>
      <c r="M15" s="31"/>
      <c r="N15" s="6" t="s">
        <v>40</v>
      </c>
      <c r="O15" s="20" t="s">
        <v>41</v>
      </c>
      <c r="P15" s="29" t="s">
        <v>42</v>
      </c>
      <c r="Q15" s="30"/>
      <c r="R15" s="31"/>
      <c r="S15" s="29" t="s">
        <v>43</v>
      </c>
      <c r="T15" s="30"/>
      <c r="U15" s="30"/>
      <c r="V15" s="31"/>
      <c r="W15" s="29" t="s">
        <v>44</v>
      </c>
      <c r="X15" s="30"/>
      <c r="Y15" s="30"/>
      <c r="Z15" s="31"/>
    </row>
    <row r="16" spans="1:26" s="2" customFormat="1" ht="20.100000000000001" customHeight="1" x14ac:dyDescent="0.3">
      <c r="A16" s="64">
        <v>1</v>
      </c>
      <c r="B16" s="65"/>
      <c r="C16" s="65" t="s">
        <v>45</v>
      </c>
      <c r="D16" s="65"/>
      <c r="E16" s="65"/>
      <c r="F16" s="65"/>
      <c r="G16" s="65"/>
      <c r="H16" s="65"/>
      <c r="I16" s="65" t="s">
        <v>46</v>
      </c>
      <c r="J16" s="65"/>
      <c r="K16" s="65"/>
      <c r="L16" s="65"/>
      <c r="M16" s="65"/>
      <c r="N16" s="23">
        <v>15</v>
      </c>
      <c r="O16" s="24" t="s">
        <v>47</v>
      </c>
      <c r="P16" s="66">
        <v>12700</v>
      </c>
      <c r="Q16" s="67"/>
      <c r="R16" s="67"/>
      <c r="S16" s="66">
        <f t="shared" ref="S16:S47" si="0">N16*P16</f>
        <v>190500</v>
      </c>
      <c r="T16" s="67"/>
      <c r="U16" s="67"/>
      <c r="V16" s="67"/>
      <c r="W16" s="65" t="s">
        <v>48</v>
      </c>
      <c r="X16" s="65"/>
      <c r="Y16" s="65"/>
      <c r="Z16" s="65"/>
    </row>
    <row r="17" spans="1:26" s="2" customFormat="1" ht="20.100000000000001" customHeight="1" x14ac:dyDescent="0.3">
      <c r="A17" s="64">
        <v>2</v>
      </c>
      <c r="B17" s="65"/>
      <c r="C17" s="65" t="s">
        <v>49</v>
      </c>
      <c r="D17" s="65"/>
      <c r="E17" s="65"/>
      <c r="F17" s="65"/>
      <c r="G17" s="65"/>
      <c r="H17" s="65"/>
      <c r="I17" s="65" t="s">
        <v>50</v>
      </c>
      <c r="J17" s="65"/>
      <c r="K17" s="65"/>
      <c r="L17" s="65"/>
      <c r="M17" s="65"/>
      <c r="N17" s="23">
        <v>1</v>
      </c>
      <c r="O17" s="24" t="s">
        <v>51</v>
      </c>
      <c r="P17" s="66">
        <v>3750000</v>
      </c>
      <c r="Q17" s="67"/>
      <c r="R17" s="67"/>
      <c r="S17" s="66">
        <f t="shared" si="0"/>
        <v>3750000</v>
      </c>
      <c r="T17" s="67"/>
      <c r="U17" s="67"/>
      <c r="V17" s="67"/>
      <c r="W17" s="65" t="s">
        <v>52</v>
      </c>
      <c r="X17" s="65"/>
      <c r="Y17" s="65"/>
      <c r="Z17" s="65"/>
    </row>
    <row r="18" spans="1:26" s="2" customFormat="1" ht="20.100000000000001" customHeight="1" x14ac:dyDescent="0.3">
      <c r="A18" s="64">
        <v>3</v>
      </c>
      <c r="B18" s="65"/>
      <c r="C18" s="65" t="s">
        <v>53</v>
      </c>
      <c r="D18" s="65"/>
      <c r="E18" s="65"/>
      <c r="F18" s="65"/>
      <c r="G18" s="65"/>
      <c r="H18" s="65"/>
      <c r="I18" s="65" t="s">
        <v>54</v>
      </c>
      <c r="J18" s="65"/>
      <c r="K18" s="65"/>
      <c r="L18" s="65"/>
      <c r="M18" s="65"/>
      <c r="N18" s="23">
        <v>6</v>
      </c>
      <c r="O18" s="24" t="s">
        <v>47</v>
      </c>
      <c r="P18" s="66">
        <v>108000</v>
      </c>
      <c r="Q18" s="67"/>
      <c r="R18" s="67"/>
      <c r="S18" s="66">
        <f t="shared" si="0"/>
        <v>648000</v>
      </c>
      <c r="T18" s="67"/>
      <c r="U18" s="67"/>
      <c r="V18" s="67"/>
      <c r="W18" s="65" t="s">
        <v>55</v>
      </c>
      <c r="X18" s="65"/>
      <c r="Y18" s="65"/>
      <c r="Z18" s="65"/>
    </row>
    <row r="19" spans="1:26" s="2" customFormat="1" ht="20.100000000000001" customHeight="1" x14ac:dyDescent="0.3">
      <c r="A19" s="64">
        <v>4</v>
      </c>
      <c r="B19" s="65"/>
      <c r="C19" s="65" t="s">
        <v>56</v>
      </c>
      <c r="D19" s="65"/>
      <c r="E19" s="65"/>
      <c r="F19" s="65"/>
      <c r="G19" s="65"/>
      <c r="H19" s="65"/>
      <c r="I19" s="65" t="s">
        <v>57</v>
      </c>
      <c r="J19" s="65"/>
      <c r="K19" s="65"/>
      <c r="L19" s="65"/>
      <c r="M19" s="65"/>
      <c r="N19" s="25">
        <v>12</v>
      </c>
      <c r="O19" s="24" t="s">
        <v>47</v>
      </c>
      <c r="P19" s="66">
        <v>4650</v>
      </c>
      <c r="Q19" s="67"/>
      <c r="R19" s="67"/>
      <c r="S19" s="66">
        <f t="shared" si="0"/>
        <v>55800</v>
      </c>
      <c r="T19" s="67"/>
      <c r="U19" s="67"/>
      <c r="V19" s="67"/>
      <c r="W19" s="65" t="s">
        <v>55</v>
      </c>
      <c r="X19" s="65"/>
      <c r="Y19" s="65"/>
      <c r="Z19" s="65"/>
    </row>
    <row r="20" spans="1:26" s="2" customFormat="1" ht="20.100000000000001" customHeight="1" x14ac:dyDescent="0.3">
      <c r="A20" s="64">
        <v>5</v>
      </c>
      <c r="B20" s="65"/>
      <c r="C20" s="64" t="s">
        <v>58</v>
      </c>
      <c r="D20" s="65"/>
      <c r="E20" s="65"/>
      <c r="F20" s="65"/>
      <c r="G20" s="65"/>
      <c r="H20" s="65"/>
      <c r="I20" s="68" t="s">
        <v>59</v>
      </c>
      <c r="J20" s="65"/>
      <c r="K20" s="65"/>
      <c r="L20" s="65"/>
      <c r="M20" s="65"/>
      <c r="N20" s="25">
        <v>1</v>
      </c>
      <c r="O20" s="24" t="s">
        <v>51</v>
      </c>
      <c r="P20" s="66">
        <v>2850000</v>
      </c>
      <c r="Q20" s="67"/>
      <c r="R20" s="67"/>
      <c r="S20" s="66">
        <f t="shared" si="0"/>
        <v>2850000</v>
      </c>
      <c r="T20" s="67"/>
      <c r="U20" s="67"/>
      <c r="V20" s="67"/>
      <c r="W20" s="65" t="s">
        <v>60</v>
      </c>
      <c r="X20" s="65"/>
      <c r="Y20" s="65"/>
      <c r="Z20" s="65"/>
    </row>
    <row r="21" spans="1:26" s="2" customFormat="1" ht="20.100000000000001" customHeight="1" x14ac:dyDescent="0.3">
      <c r="A21" s="64">
        <v>6</v>
      </c>
      <c r="B21" s="65"/>
      <c r="C21" s="64" t="s">
        <v>61</v>
      </c>
      <c r="D21" s="65"/>
      <c r="E21" s="65"/>
      <c r="F21" s="65"/>
      <c r="G21" s="65"/>
      <c r="H21" s="65"/>
      <c r="I21" s="68" t="s">
        <v>62</v>
      </c>
      <c r="J21" s="65"/>
      <c r="K21" s="65"/>
      <c r="L21" s="65"/>
      <c r="M21" s="65"/>
      <c r="N21" s="25">
        <v>1</v>
      </c>
      <c r="O21" s="24" t="s">
        <v>47</v>
      </c>
      <c r="P21" s="66">
        <v>2600000</v>
      </c>
      <c r="Q21" s="67"/>
      <c r="R21" s="67"/>
      <c r="S21" s="66">
        <f t="shared" si="0"/>
        <v>2600000</v>
      </c>
      <c r="T21" s="67"/>
      <c r="U21" s="67"/>
      <c r="V21" s="67"/>
      <c r="W21" s="65" t="s">
        <v>63</v>
      </c>
      <c r="X21" s="65"/>
      <c r="Y21" s="65"/>
      <c r="Z21" s="65"/>
    </row>
    <row r="22" spans="1:26" s="2" customFormat="1" ht="20.100000000000001" customHeight="1" x14ac:dyDescent="0.3">
      <c r="A22" s="64">
        <v>7</v>
      </c>
      <c r="B22" s="65"/>
      <c r="C22" s="64" t="s">
        <v>64</v>
      </c>
      <c r="D22" s="65"/>
      <c r="E22" s="65"/>
      <c r="F22" s="65"/>
      <c r="G22" s="65"/>
      <c r="H22" s="65"/>
      <c r="I22" s="68" t="s">
        <v>65</v>
      </c>
      <c r="J22" s="65"/>
      <c r="K22" s="65"/>
      <c r="L22" s="65"/>
      <c r="M22" s="65"/>
      <c r="N22" s="25">
        <v>5</v>
      </c>
      <c r="O22" s="24" t="s">
        <v>47</v>
      </c>
      <c r="P22" s="66">
        <v>42000</v>
      </c>
      <c r="Q22" s="67"/>
      <c r="R22" s="67"/>
      <c r="S22" s="66">
        <f t="shared" si="0"/>
        <v>210000</v>
      </c>
      <c r="T22" s="67"/>
      <c r="U22" s="67"/>
      <c r="V22" s="67"/>
      <c r="W22" s="65" t="s">
        <v>66</v>
      </c>
      <c r="X22" s="65"/>
      <c r="Y22" s="65"/>
      <c r="Z22" s="65"/>
    </row>
    <row r="23" spans="1:26" s="2" customFormat="1" ht="20.100000000000001" customHeight="1" x14ac:dyDescent="0.3">
      <c r="A23" s="64">
        <v>8</v>
      </c>
      <c r="B23" s="65"/>
      <c r="C23" s="64" t="s">
        <v>67</v>
      </c>
      <c r="D23" s="65"/>
      <c r="E23" s="65"/>
      <c r="F23" s="65"/>
      <c r="G23" s="65"/>
      <c r="H23" s="65"/>
      <c r="I23" s="68" t="s">
        <v>68</v>
      </c>
      <c r="J23" s="65"/>
      <c r="K23" s="65"/>
      <c r="L23" s="65"/>
      <c r="M23" s="65"/>
      <c r="N23" s="25">
        <v>2</v>
      </c>
      <c r="O23" s="24" t="s">
        <v>51</v>
      </c>
      <c r="P23" s="66">
        <v>420000</v>
      </c>
      <c r="Q23" s="67"/>
      <c r="R23" s="67"/>
      <c r="S23" s="66">
        <f t="shared" si="0"/>
        <v>840000</v>
      </c>
      <c r="T23" s="67"/>
      <c r="U23" s="67"/>
      <c r="V23" s="67"/>
      <c r="W23" s="65" t="s">
        <v>69</v>
      </c>
      <c r="X23" s="65"/>
      <c r="Y23" s="65"/>
      <c r="Z23" s="65"/>
    </row>
    <row r="24" spans="1:26" s="2" customFormat="1" ht="20.100000000000001" customHeight="1" x14ac:dyDescent="0.3">
      <c r="A24" s="64">
        <v>9</v>
      </c>
      <c r="B24" s="65"/>
      <c r="C24" s="64" t="s">
        <v>70</v>
      </c>
      <c r="D24" s="65"/>
      <c r="E24" s="65"/>
      <c r="F24" s="65"/>
      <c r="G24" s="65"/>
      <c r="H24" s="65"/>
      <c r="I24" s="68" t="s">
        <v>71</v>
      </c>
      <c r="J24" s="65"/>
      <c r="K24" s="65"/>
      <c r="L24" s="65"/>
      <c r="M24" s="65"/>
      <c r="N24" s="25">
        <v>10</v>
      </c>
      <c r="O24" s="24" t="s">
        <v>47</v>
      </c>
      <c r="P24" s="66">
        <v>11500</v>
      </c>
      <c r="Q24" s="67"/>
      <c r="R24" s="67"/>
      <c r="S24" s="66">
        <f t="shared" si="0"/>
        <v>115000</v>
      </c>
      <c r="T24" s="67"/>
      <c r="U24" s="67"/>
      <c r="V24" s="67"/>
      <c r="W24" s="65" t="s">
        <v>72</v>
      </c>
      <c r="X24" s="65"/>
      <c r="Y24" s="65"/>
      <c r="Z24" s="65"/>
    </row>
    <row r="25" spans="1:26" s="2" customFormat="1" ht="20.100000000000001" customHeight="1" x14ac:dyDescent="0.3">
      <c r="A25" s="64">
        <v>10</v>
      </c>
      <c r="B25" s="65"/>
      <c r="C25" s="64" t="s">
        <v>73</v>
      </c>
      <c r="D25" s="65"/>
      <c r="E25" s="65"/>
      <c r="F25" s="65"/>
      <c r="G25" s="65"/>
      <c r="H25" s="65"/>
      <c r="I25" s="68" t="s">
        <v>74</v>
      </c>
      <c r="J25" s="65"/>
      <c r="K25" s="65"/>
      <c r="L25" s="65"/>
      <c r="M25" s="65"/>
      <c r="N25" s="25">
        <v>1</v>
      </c>
      <c r="O25" s="24" t="s">
        <v>47</v>
      </c>
      <c r="P25" s="66">
        <v>420000</v>
      </c>
      <c r="Q25" s="67"/>
      <c r="R25" s="67"/>
      <c r="S25" s="66">
        <f t="shared" si="0"/>
        <v>420000</v>
      </c>
      <c r="T25" s="67"/>
      <c r="U25" s="67"/>
      <c r="V25" s="67"/>
      <c r="W25" s="65" t="s">
        <v>75</v>
      </c>
      <c r="X25" s="65"/>
      <c r="Y25" s="65"/>
      <c r="Z25" s="65"/>
    </row>
    <row r="26" spans="1:26" s="2" customFormat="1" ht="20.100000000000001" customHeight="1" x14ac:dyDescent="0.3">
      <c r="A26" s="64">
        <v>11</v>
      </c>
      <c r="B26" s="65"/>
      <c r="C26" s="64" t="s">
        <v>76</v>
      </c>
      <c r="D26" s="65"/>
      <c r="E26" s="65"/>
      <c r="F26" s="65"/>
      <c r="G26" s="65"/>
      <c r="H26" s="65"/>
      <c r="I26" s="68" t="s">
        <v>77</v>
      </c>
      <c r="J26" s="65"/>
      <c r="K26" s="65"/>
      <c r="L26" s="65"/>
      <c r="M26" s="65"/>
      <c r="N26" s="25">
        <v>4</v>
      </c>
      <c r="O26" s="24" t="s">
        <v>47</v>
      </c>
      <c r="P26" s="66">
        <v>260000</v>
      </c>
      <c r="Q26" s="67"/>
      <c r="R26" s="67"/>
      <c r="S26" s="66">
        <f t="shared" si="0"/>
        <v>1040000</v>
      </c>
      <c r="T26" s="67"/>
      <c r="U26" s="67"/>
      <c r="V26" s="67"/>
      <c r="W26" s="65" t="s">
        <v>69</v>
      </c>
      <c r="X26" s="65"/>
      <c r="Y26" s="65"/>
      <c r="Z26" s="65"/>
    </row>
    <row r="27" spans="1:26" s="2" customFormat="1" ht="20.100000000000001" customHeight="1" x14ac:dyDescent="0.3">
      <c r="A27" s="64">
        <v>12</v>
      </c>
      <c r="B27" s="65"/>
      <c r="C27" s="64" t="s">
        <v>76</v>
      </c>
      <c r="D27" s="65"/>
      <c r="E27" s="65"/>
      <c r="F27" s="65"/>
      <c r="G27" s="65"/>
      <c r="H27" s="65"/>
      <c r="I27" s="68" t="s">
        <v>78</v>
      </c>
      <c r="J27" s="65"/>
      <c r="K27" s="65"/>
      <c r="L27" s="65"/>
      <c r="M27" s="65"/>
      <c r="N27" s="25">
        <v>8</v>
      </c>
      <c r="O27" s="23" t="s">
        <v>47</v>
      </c>
      <c r="P27" s="66">
        <v>116600</v>
      </c>
      <c r="Q27" s="67"/>
      <c r="R27" s="67"/>
      <c r="S27" s="66">
        <f t="shared" si="0"/>
        <v>932800</v>
      </c>
      <c r="T27" s="67"/>
      <c r="U27" s="67"/>
      <c r="V27" s="67"/>
      <c r="W27" s="65" t="s">
        <v>69</v>
      </c>
      <c r="X27" s="65"/>
      <c r="Y27" s="65"/>
      <c r="Z27" s="65"/>
    </row>
    <row r="28" spans="1:26" s="2" customFormat="1" ht="20.100000000000001" customHeight="1" x14ac:dyDescent="0.3">
      <c r="A28" s="64">
        <v>13</v>
      </c>
      <c r="B28" s="65"/>
      <c r="C28" s="64" t="s">
        <v>76</v>
      </c>
      <c r="D28" s="65"/>
      <c r="E28" s="65"/>
      <c r="F28" s="65"/>
      <c r="G28" s="65"/>
      <c r="H28" s="65"/>
      <c r="I28" s="68" t="s">
        <v>79</v>
      </c>
      <c r="J28" s="65"/>
      <c r="K28" s="65"/>
      <c r="L28" s="65"/>
      <c r="M28" s="65"/>
      <c r="N28" s="25">
        <v>4</v>
      </c>
      <c r="O28" s="23" t="s">
        <v>51</v>
      </c>
      <c r="P28" s="66">
        <v>171000</v>
      </c>
      <c r="Q28" s="67"/>
      <c r="R28" s="67"/>
      <c r="S28" s="66">
        <f t="shared" si="0"/>
        <v>684000</v>
      </c>
      <c r="T28" s="67"/>
      <c r="U28" s="67"/>
      <c r="V28" s="67"/>
      <c r="W28" s="65" t="s">
        <v>69</v>
      </c>
      <c r="X28" s="65"/>
      <c r="Y28" s="65"/>
      <c r="Z28" s="65"/>
    </row>
    <row r="29" spans="1:26" s="2" customFormat="1" ht="20.100000000000001" customHeight="1" x14ac:dyDescent="0.3">
      <c r="A29" s="64">
        <v>14</v>
      </c>
      <c r="B29" s="65"/>
      <c r="C29" s="64" t="s">
        <v>76</v>
      </c>
      <c r="D29" s="65"/>
      <c r="E29" s="65"/>
      <c r="F29" s="65"/>
      <c r="G29" s="65"/>
      <c r="H29" s="65"/>
      <c r="I29" s="68" t="s">
        <v>80</v>
      </c>
      <c r="J29" s="65"/>
      <c r="K29" s="65"/>
      <c r="L29" s="65"/>
      <c r="M29" s="65"/>
      <c r="N29" s="25">
        <v>6</v>
      </c>
      <c r="O29" s="23" t="s">
        <v>51</v>
      </c>
      <c r="P29" s="66">
        <v>126000</v>
      </c>
      <c r="Q29" s="67"/>
      <c r="R29" s="67"/>
      <c r="S29" s="66">
        <f t="shared" si="0"/>
        <v>756000</v>
      </c>
      <c r="T29" s="67"/>
      <c r="U29" s="67"/>
      <c r="V29" s="67"/>
      <c r="W29" s="65" t="s">
        <v>69</v>
      </c>
      <c r="X29" s="65"/>
      <c r="Y29" s="65"/>
      <c r="Z29" s="65"/>
    </row>
    <row r="30" spans="1:26" s="2" customFormat="1" ht="20.100000000000001" customHeight="1" x14ac:dyDescent="0.3">
      <c r="A30" s="64">
        <v>15</v>
      </c>
      <c r="B30" s="65"/>
      <c r="C30" s="65" t="s">
        <v>76</v>
      </c>
      <c r="D30" s="65"/>
      <c r="E30" s="65"/>
      <c r="F30" s="65"/>
      <c r="G30" s="65"/>
      <c r="H30" s="65"/>
      <c r="I30" s="65" t="s">
        <v>81</v>
      </c>
      <c r="J30" s="65"/>
      <c r="K30" s="65"/>
      <c r="L30" s="65"/>
      <c r="M30" s="65"/>
      <c r="N30" s="23">
        <v>2</v>
      </c>
      <c r="O30" s="23" t="s">
        <v>51</v>
      </c>
      <c r="P30" s="66">
        <v>470000</v>
      </c>
      <c r="Q30" s="67"/>
      <c r="R30" s="67"/>
      <c r="S30" s="66">
        <f t="shared" si="0"/>
        <v>940000</v>
      </c>
      <c r="T30" s="67"/>
      <c r="U30" s="67"/>
      <c r="V30" s="67"/>
      <c r="W30" s="65" t="s">
        <v>69</v>
      </c>
      <c r="X30" s="65"/>
      <c r="Y30" s="65"/>
      <c r="Z30" s="65"/>
    </row>
    <row r="31" spans="1:26" s="2" customFormat="1" ht="20.100000000000001" customHeight="1" x14ac:dyDescent="0.3">
      <c r="A31" s="64">
        <v>16</v>
      </c>
      <c r="B31" s="65"/>
      <c r="C31" s="65" t="s">
        <v>82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23">
        <v>1</v>
      </c>
      <c r="O31" s="23" t="s">
        <v>51</v>
      </c>
      <c r="P31" s="66">
        <v>141000</v>
      </c>
      <c r="Q31" s="67"/>
      <c r="R31" s="67"/>
      <c r="S31" s="66">
        <f t="shared" si="0"/>
        <v>141000</v>
      </c>
      <c r="T31" s="67"/>
      <c r="U31" s="67"/>
      <c r="V31" s="67"/>
      <c r="W31" s="65" t="s">
        <v>69</v>
      </c>
      <c r="X31" s="65"/>
      <c r="Y31" s="65"/>
      <c r="Z31" s="65"/>
    </row>
    <row r="32" spans="1:26" s="2" customFormat="1" ht="20.100000000000001" customHeight="1" x14ac:dyDescent="0.3">
      <c r="A32" s="64">
        <v>17</v>
      </c>
      <c r="B32" s="65"/>
      <c r="C32" s="64" t="s">
        <v>83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22">
        <v>2</v>
      </c>
      <c r="O32" s="22" t="s">
        <v>51</v>
      </c>
      <c r="P32" s="66">
        <v>228000</v>
      </c>
      <c r="Q32" s="67"/>
      <c r="R32" s="67"/>
      <c r="S32" s="66">
        <f t="shared" si="0"/>
        <v>456000</v>
      </c>
      <c r="T32" s="67"/>
      <c r="U32" s="67"/>
      <c r="V32" s="67"/>
      <c r="W32" s="64" t="s">
        <v>69</v>
      </c>
      <c r="X32" s="65"/>
      <c r="Y32" s="65"/>
      <c r="Z32" s="65"/>
    </row>
    <row r="33" spans="1:35" s="2" customFormat="1" ht="20.100000000000001" customHeight="1" x14ac:dyDescent="0.3">
      <c r="A33" s="64">
        <v>18</v>
      </c>
      <c r="B33" s="65"/>
      <c r="C33" s="65" t="s">
        <v>84</v>
      </c>
      <c r="D33" s="65"/>
      <c r="E33" s="65"/>
      <c r="F33" s="65"/>
      <c r="G33" s="65"/>
      <c r="H33" s="65"/>
      <c r="I33" s="65" t="s">
        <v>85</v>
      </c>
      <c r="J33" s="65"/>
      <c r="K33" s="65"/>
      <c r="L33" s="65"/>
      <c r="M33" s="65"/>
      <c r="N33" s="26">
        <v>1</v>
      </c>
      <c r="O33" s="23" t="s">
        <v>51</v>
      </c>
      <c r="P33" s="66">
        <v>319200</v>
      </c>
      <c r="Q33" s="67"/>
      <c r="R33" s="67"/>
      <c r="S33" s="66">
        <f t="shared" si="0"/>
        <v>319200</v>
      </c>
      <c r="T33" s="67"/>
      <c r="U33" s="67"/>
      <c r="V33" s="67"/>
      <c r="W33" s="65" t="s">
        <v>69</v>
      </c>
      <c r="X33" s="65"/>
      <c r="Y33" s="65"/>
      <c r="Z33" s="65"/>
      <c r="AB33" s="3"/>
    </row>
    <row r="34" spans="1:35" s="2" customFormat="1" ht="20.100000000000001" customHeight="1" x14ac:dyDescent="0.3">
      <c r="A34" s="64">
        <v>19</v>
      </c>
      <c r="B34" s="65"/>
      <c r="C34" s="65" t="s">
        <v>86</v>
      </c>
      <c r="D34" s="65"/>
      <c r="E34" s="65"/>
      <c r="F34" s="65"/>
      <c r="G34" s="65"/>
      <c r="H34" s="65"/>
      <c r="I34" s="65" t="s">
        <v>87</v>
      </c>
      <c r="J34" s="65"/>
      <c r="K34" s="65"/>
      <c r="L34" s="65"/>
      <c r="M34" s="65"/>
      <c r="N34" s="26">
        <v>3</v>
      </c>
      <c r="O34" s="23" t="s">
        <v>51</v>
      </c>
      <c r="P34" s="66">
        <v>280000</v>
      </c>
      <c r="Q34" s="67"/>
      <c r="R34" s="67"/>
      <c r="S34" s="66">
        <f t="shared" si="0"/>
        <v>840000</v>
      </c>
      <c r="T34" s="67"/>
      <c r="U34" s="67"/>
      <c r="V34" s="67"/>
      <c r="W34" s="65" t="s">
        <v>88</v>
      </c>
      <c r="X34" s="65"/>
      <c r="Y34" s="65"/>
      <c r="Z34" s="65"/>
      <c r="AB34" s="3"/>
    </row>
    <row r="35" spans="1:35" s="2" customFormat="1" ht="20.100000000000001" customHeight="1" x14ac:dyDescent="0.3">
      <c r="A35" s="64">
        <v>20</v>
      </c>
      <c r="B35" s="65"/>
      <c r="C35" s="65" t="s">
        <v>89</v>
      </c>
      <c r="D35" s="65"/>
      <c r="E35" s="65"/>
      <c r="F35" s="65"/>
      <c r="G35" s="65"/>
      <c r="H35" s="65"/>
      <c r="I35" s="65" t="s">
        <v>90</v>
      </c>
      <c r="J35" s="65"/>
      <c r="K35" s="65"/>
      <c r="L35" s="65"/>
      <c r="M35" s="65"/>
      <c r="N35" s="26">
        <v>1</v>
      </c>
      <c r="O35" s="23" t="s">
        <v>91</v>
      </c>
      <c r="P35" s="66">
        <v>1335600</v>
      </c>
      <c r="Q35" s="67"/>
      <c r="R35" s="67"/>
      <c r="S35" s="66">
        <f t="shared" si="0"/>
        <v>1335600</v>
      </c>
      <c r="T35" s="67"/>
      <c r="U35" s="67"/>
      <c r="V35" s="67"/>
      <c r="W35" s="65"/>
      <c r="X35" s="65"/>
      <c r="Y35" s="65"/>
      <c r="Z35" s="65"/>
      <c r="AB35" s="3"/>
    </row>
    <row r="36" spans="1:35" s="2" customFormat="1" ht="20.100000000000001" customHeight="1" x14ac:dyDescent="0.3">
      <c r="A36" s="64">
        <v>21</v>
      </c>
      <c r="B36" s="65"/>
      <c r="C36" s="65" t="s">
        <v>92</v>
      </c>
      <c r="D36" s="65"/>
      <c r="E36" s="65"/>
      <c r="F36" s="65"/>
      <c r="G36" s="65"/>
      <c r="H36" s="65"/>
      <c r="I36" s="65" t="s">
        <v>93</v>
      </c>
      <c r="J36" s="65"/>
      <c r="K36" s="65"/>
      <c r="L36" s="65"/>
      <c r="M36" s="65"/>
      <c r="N36" s="26">
        <v>20</v>
      </c>
      <c r="O36" s="23" t="s">
        <v>47</v>
      </c>
      <c r="P36" s="66">
        <v>37800</v>
      </c>
      <c r="Q36" s="67"/>
      <c r="R36" s="67"/>
      <c r="S36" s="66">
        <f t="shared" si="0"/>
        <v>756000</v>
      </c>
      <c r="T36" s="67"/>
      <c r="U36" s="67"/>
      <c r="V36" s="67"/>
      <c r="W36" s="65" t="s">
        <v>94</v>
      </c>
      <c r="X36" s="65"/>
      <c r="Y36" s="65"/>
      <c r="Z36" s="65"/>
      <c r="AB36" s="3"/>
    </row>
    <row r="37" spans="1:35" s="2" customFormat="1" ht="20.100000000000001" customHeight="1" x14ac:dyDescent="0.3">
      <c r="A37" s="64">
        <v>22</v>
      </c>
      <c r="B37" s="64"/>
      <c r="C37" s="65" t="s">
        <v>95</v>
      </c>
      <c r="D37" s="65"/>
      <c r="E37" s="65"/>
      <c r="F37" s="65"/>
      <c r="G37" s="65"/>
      <c r="H37" s="65"/>
      <c r="I37" s="65" t="s">
        <v>96</v>
      </c>
      <c r="J37" s="65"/>
      <c r="K37" s="65"/>
      <c r="L37" s="65"/>
      <c r="M37" s="65"/>
      <c r="N37" s="27">
        <v>8</v>
      </c>
      <c r="O37" s="23" t="s">
        <v>47</v>
      </c>
      <c r="P37" s="66">
        <v>18800</v>
      </c>
      <c r="Q37" s="67"/>
      <c r="R37" s="67"/>
      <c r="S37" s="66">
        <f t="shared" si="0"/>
        <v>150400</v>
      </c>
      <c r="T37" s="69"/>
      <c r="U37" s="69"/>
      <c r="V37" s="69"/>
      <c r="W37" s="65" t="s">
        <v>97</v>
      </c>
      <c r="X37" s="65"/>
      <c r="Y37" s="65"/>
      <c r="Z37" s="65"/>
    </row>
    <row r="38" spans="1:35" s="2" customFormat="1" ht="20.100000000000001" customHeight="1" x14ac:dyDescent="0.3">
      <c r="A38" s="64">
        <v>23</v>
      </c>
      <c r="B38" s="65"/>
      <c r="C38" s="65" t="s">
        <v>98</v>
      </c>
      <c r="D38" s="65"/>
      <c r="E38" s="65"/>
      <c r="F38" s="65"/>
      <c r="G38" s="65"/>
      <c r="H38" s="65"/>
      <c r="I38" s="65" t="s">
        <v>99</v>
      </c>
      <c r="J38" s="65"/>
      <c r="K38" s="65"/>
      <c r="L38" s="65"/>
      <c r="M38" s="65"/>
      <c r="N38" s="23">
        <v>1</v>
      </c>
      <c r="O38" s="23" t="s">
        <v>47</v>
      </c>
      <c r="P38" s="66">
        <v>170000</v>
      </c>
      <c r="Q38" s="67"/>
      <c r="R38" s="67"/>
      <c r="S38" s="66">
        <f t="shared" si="0"/>
        <v>170000</v>
      </c>
      <c r="T38" s="67"/>
      <c r="U38" s="67"/>
      <c r="V38" s="67"/>
      <c r="W38" s="65" t="s">
        <v>63</v>
      </c>
      <c r="X38" s="65"/>
      <c r="Y38" s="65"/>
      <c r="Z38" s="65"/>
    </row>
    <row r="39" spans="1:35" s="2" customFormat="1" ht="20.100000000000001" customHeight="1" x14ac:dyDescent="0.3">
      <c r="A39" s="64">
        <v>24</v>
      </c>
      <c r="B39" s="65"/>
      <c r="C39" s="65" t="s">
        <v>100</v>
      </c>
      <c r="D39" s="65"/>
      <c r="E39" s="65"/>
      <c r="F39" s="65"/>
      <c r="G39" s="65"/>
      <c r="H39" s="65"/>
      <c r="I39" s="65" t="s">
        <v>101</v>
      </c>
      <c r="J39" s="65"/>
      <c r="K39" s="65"/>
      <c r="L39" s="65"/>
      <c r="M39" s="65"/>
      <c r="N39" s="23">
        <v>1</v>
      </c>
      <c r="O39" s="23" t="s">
        <v>47</v>
      </c>
      <c r="P39" s="66">
        <v>177840</v>
      </c>
      <c r="Q39" s="67"/>
      <c r="R39" s="67"/>
      <c r="S39" s="66">
        <f t="shared" si="0"/>
        <v>177840</v>
      </c>
      <c r="T39" s="67"/>
      <c r="U39" s="67"/>
      <c r="V39" s="67"/>
      <c r="W39" s="65" t="s">
        <v>63</v>
      </c>
      <c r="X39" s="65"/>
      <c r="Y39" s="65"/>
      <c r="Z39" s="65"/>
    </row>
    <row r="40" spans="1:35" s="2" customFormat="1" ht="20.100000000000001" customHeight="1" x14ac:dyDescent="0.3">
      <c r="A40" s="64">
        <v>25</v>
      </c>
      <c r="B40" s="65"/>
      <c r="C40" s="64" t="s">
        <v>102</v>
      </c>
      <c r="D40" s="65"/>
      <c r="E40" s="65"/>
      <c r="F40" s="65"/>
      <c r="G40" s="65"/>
      <c r="H40" s="65"/>
      <c r="I40" s="65" t="s">
        <v>103</v>
      </c>
      <c r="J40" s="65"/>
      <c r="K40" s="65"/>
      <c r="L40" s="65"/>
      <c r="M40" s="65"/>
      <c r="N40" s="22">
        <v>1</v>
      </c>
      <c r="O40" s="22" t="s">
        <v>47</v>
      </c>
      <c r="P40" s="66">
        <v>4032000</v>
      </c>
      <c r="Q40" s="67"/>
      <c r="R40" s="67"/>
      <c r="S40" s="66">
        <f t="shared" si="0"/>
        <v>4032000</v>
      </c>
      <c r="T40" s="67"/>
      <c r="U40" s="67"/>
      <c r="V40" s="67"/>
      <c r="W40" s="64" t="s">
        <v>63</v>
      </c>
      <c r="X40" s="65"/>
      <c r="Y40" s="65"/>
      <c r="Z40" s="65"/>
    </row>
    <row r="41" spans="1:35" s="2" customFormat="1" ht="20.100000000000001" customHeight="1" x14ac:dyDescent="0.3">
      <c r="A41" s="64">
        <v>26</v>
      </c>
      <c r="B41" s="65"/>
      <c r="C41" s="65" t="s">
        <v>104</v>
      </c>
      <c r="D41" s="65"/>
      <c r="E41" s="65"/>
      <c r="F41" s="65"/>
      <c r="G41" s="65"/>
      <c r="H41" s="65"/>
      <c r="I41" s="65" t="s">
        <v>105</v>
      </c>
      <c r="J41" s="65"/>
      <c r="K41" s="65"/>
      <c r="L41" s="65"/>
      <c r="M41" s="65"/>
      <c r="N41" s="22">
        <v>1</v>
      </c>
      <c r="O41" s="24" t="s">
        <v>47</v>
      </c>
      <c r="P41" s="66">
        <v>630740</v>
      </c>
      <c r="Q41" s="67"/>
      <c r="R41" s="67"/>
      <c r="S41" s="66">
        <f t="shared" si="0"/>
        <v>630740</v>
      </c>
      <c r="T41" s="67"/>
      <c r="U41" s="67"/>
      <c r="V41" s="67"/>
      <c r="W41" s="65" t="s">
        <v>63</v>
      </c>
      <c r="X41" s="65"/>
      <c r="Y41" s="65"/>
      <c r="Z41" s="65"/>
    </row>
    <row r="42" spans="1:35" s="2" customFormat="1" ht="20.100000000000001" customHeight="1" x14ac:dyDescent="0.3">
      <c r="A42" s="64">
        <v>27</v>
      </c>
      <c r="B42" s="65"/>
      <c r="C42" s="65" t="s">
        <v>106</v>
      </c>
      <c r="D42" s="65"/>
      <c r="E42" s="65"/>
      <c r="F42" s="65"/>
      <c r="G42" s="65"/>
      <c r="H42" s="65"/>
      <c r="I42" s="65" t="s">
        <v>107</v>
      </c>
      <c r="J42" s="65"/>
      <c r="K42" s="65"/>
      <c r="L42" s="65"/>
      <c r="M42" s="65"/>
      <c r="N42" s="23">
        <v>3</v>
      </c>
      <c r="O42" s="23" t="s">
        <v>47</v>
      </c>
      <c r="P42" s="66">
        <v>221840</v>
      </c>
      <c r="Q42" s="67"/>
      <c r="R42" s="67"/>
      <c r="S42" s="66">
        <f t="shared" si="0"/>
        <v>665520</v>
      </c>
      <c r="T42" s="67"/>
      <c r="U42" s="67"/>
      <c r="V42" s="67"/>
      <c r="W42" s="65" t="s">
        <v>63</v>
      </c>
      <c r="X42" s="65"/>
      <c r="Y42" s="65"/>
      <c r="Z42" s="65"/>
    </row>
    <row r="43" spans="1:35" s="2" customFormat="1" ht="20.100000000000001" customHeight="1" x14ac:dyDescent="0.3">
      <c r="A43" s="64">
        <v>28</v>
      </c>
      <c r="B43" s="65"/>
      <c r="C43" s="65" t="s">
        <v>108</v>
      </c>
      <c r="D43" s="65"/>
      <c r="E43" s="65"/>
      <c r="F43" s="65"/>
      <c r="G43" s="65"/>
      <c r="H43" s="65"/>
      <c r="I43" s="65" t="s">
        <v>109</v>
      </c>
      <c r="J43" s="65"/>
      <c r="K43" s="65"/>
      <c r="L43" s="65"/>
      <c r="M43" s="65"/>
      <c r="N43" s="23">
        <v>2</v>
      </c>
      <c r="O43" s="23" t="s">
        <v>47</v>
      </c>
      <c r="P43" s="66">
        <v>236000</v>
      </c>
      <c r="Q43" s="67"/>
      <c r="R43" s="67"/>
      <c r="S43" s="66">
        <f t="shared" si="0"/>
        <v>472000</v>
      </c>
      <c r="T43" s="67"/>
      <c r="U43" s="67"/>
      <c r="V43" s="67"/>
      <c r="W43" s="65" t="s">
        <v>63</v>
      </c>
      <c r="X43" s="65"/>
      <c r="Y43" s="65"/>
      <c r="Z43" s="65"/>
    </row>
    <row r="44" spans="1:35" s="2" customFormat="1" ht="20.100000000000001" customHeight="1" x14ac:dyDescent="0.3">
      <c r="A44" s="64">
        <v>29</v>
      </c>
      <c r="B44" s="65"/>
      <c r="C44" s="65" t="s">
        <v>110</v>
      </c>
      <c r="D44" s="65"/>
      <c r="E44" s="65"/>
      <c r="F44" s="65"/>
      <c r="G44" s="65"/>
      <c r="H44" s="65"/>
      <c r="I44" s="65" t="s">
        <v>111</v>
      </c>
      <c r="J44" s="65"/>
      <c r="K44" s="65"/>
      <c r="L44" s="65"/>
      <c r="M44" s="65"/>
      <c r="N44" s="23">
        <v>1</v>
      </c>
      <c r="O44" s="22" t="s">
        <v>47</v>
      </c>
      <c r="P44" s="66">
        <v>95400</v>
      </c>
      <c r="Q44" s="67"/>
      <c r="R44" s="67"/>
      <c r="S44" s="66">
        <f t="shared" si="0"/>
        <v>95400</v>
      </c>
      <c r="T44" s="67"/>
      <c r="U44" s="67"/>
      <c r="V44" s="67"/>
      <c r="W44" s="64" t="s">
        <v>63</v>
      </c>
      <c r="X44" s="65"/>
      <c r="Y44" s="65"/>
      <c r="Z44" s="65"/>
    </row>
    <row r="45" spans="1:35" s="2" customFormat="1" ht="20.100000000000001" customHeight="1" x14ac:dyDescent="0.3">
      <c r="A45" s="64">
        <v>30</v>
      </c>
      <c r="B45" s="65"/>
      <c r="C45" s="65" t="s">
        <v>112</v>
      </c>
      <c r="D45" s="65"/>
      <c r="E45" s="65"/>
      <c r="F45" s="65"/>
      <c r="G45" s="65"/>
      <c r="H45" s="65"/>
      <c r="I45" s="65" t="s">
        <v>113</v>
      </c>
      <c r="J45" s="65"/>
      <c r="K45" s="65"/>
      <c r="L45" s="64"/>
      <c r="M45" s="65"/>
      <c r="N45" s="22">
        <v>1</v>
      </c>
      <c r="O45" s="28" t="s">
        <v>47</v>
      </c>
      <c r="P45" s="66">
        <v>1596000</v>
      </c>
      <c r="Q45" s="67"/>
      <c r="R45" s="67"/>
      <c r="S45" s="66">
        <f t="shared" si="0"/>
        <v>1596000</v>
      </c>
      <c r="T45" s="67"/>
      <c r="U45" s="67"/>
      <c r="V45" s="67"/>
      <c r="W45" s="64" t="s">
        <v>63</v>
      </c>
      <c r="X45" s="65"/>
      <c r="Y45" s="65"/>
      <c r="Z45" s="65"/>
    </row>
    <row r="46" spans="1:35" s="2" customFormat="1" ht="20.100000000000001" customHeight="1" x14ac:dyDescent="0.3">
      <c r="A46" s="64">
        <v>31</v>
      </c>
      <c r="B46" s="65"/>
      <c r="C46" s="65" t="s">
        <v>114</v>
      </c>
      <c r="D46" s="65"/>
      <c r="E46" s="65"/>
      <c r="F46" s="65"/>
      <c r="G46" s="65"/>
      <c r="H46" s="65"/>
      <c r="I46" s="65" t="s">
        <v>115</v>
      </c>
      <c r="J46" s="65"/>
      <c r="K46" s="65"/>
      <c r="L46" s="64"/>
      <c r="M46" s="65"/>
      <c r="N46" s="22">
        <v>2</v>
      </c>
      <c r="O46" s="28" t="s">
        <v>47</v>
      </c>
      <c r="P46" s="66">
        <v>182700</v>
      </c>
      <c r="Q46" s="67"/>
      <c r="R46" s="67"/>
      <c r="S46" s="66">
        <f t="shared" si="0"/>
        <v>365400</v>
      </c>
      <c r="T46" s="67"/>
      <c r="U46" s="67"/>
      <c r="V46" s="67"/>
      <c r="W46" s="64" t="s">
        <v>63</v>
      </c>
      <c r="X46" s="65"/>
      <c r="Y46" s="65"/>
      <c r="Z46" s="65"/>
    </row>
    <row r="47" spans="1:35" s="2" customFormat="1" ht="20.100000000000001" customHeight="1" x14ac:dyDescent="0.3">
      <c r="A47" s="64">
        <v>32</v>
      </c>
      <c r="B47" s="65"/>
      <c r="C47" s="65" t="s">
        <v>116</v>
      </c>
      <c r="D47" s="65"/>
      <c r="E47" s="65"/>
      <c r="F47" s="65"/>
      <c r="G47" s="65"/>
      <c r="H47" s="65"/>
      <c r="I47" s="65" t="s">
        <v>117</v>
      </c>
      <c r="J47" s="65"/>
      <c r="K47" s="65"/>
      <c r="L47" s="64"/>
      <c r="M47" s="65"/>
      <c r="N47" s="22">
        <v>1</v>
      </c>
      <c r="O47" s="28" t="s">
        <v>47</v>
      </c>
      <c r="P47" s="66">
        <v>420000</v>
      </c>
      <c r="Q47" s="67"/>
      <c r="R47" s="67"/>
      <c r="S47" s="66">
        <f t="shared" si="0"/>
        <v>420000</v>
      </c>
      <c r="T47" s="67"/>
      <c r="U47" s="67"/>
      <c r="V47" s="67"/>
      <c r="W47" s="64" t="s">
        <v>63</v>
      </c>
      <c r="X47" s="65"/>
      <c r="Y47" s="65"/>
      <c r="Z47" s="65"/>
      <c r="AB47" s="41"/>
      <c r="AC47" s="30"/>
      <c r="AD47" s="30"/>
      <c r="AE47" s="30"/>
      <c r="AF47" s="30"/>
      <c r="AG47" s="30"/>
      <c r="AH47" s="30"/>
      <c r="AI47" s="31"/>
    </row>
    <row r="48" spans="1:35" s="2" customFormat="1" ht="18" customHeight="1" x14ac:dyDescent="0.2">
      <c r="A48" s="70" t="s">
        <v>118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2"/>
      <c r="M48" s="71"/>
      <c r="N48" s="72"/>
      <c r="O48" s="73">
        <f>SUM(S16:S47)</f>
        <v>28655200</v>
      </c>
      <c r="P48" s="71"/>
      <c r="Q48" s="71"/>
      <c r="R48" s="71"/>
      <c r="S48" s="71"/>
      <c r="T48" s="71"/>
      <c r="U48" s="71"/>
      <c r="V48" s="71"/>
      <c r="W48" s="72"/>
      <c r="X48" s="71"/>
      <c r="Y48" s="71"/>
      <c r="Z48" s="71"/>
    </row>
    <row r="49" spans="1:26" s="2" customFormat="1" ht="3.9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5"/>
      <c r="M49" s="5"/>
      <c r="N49" s="5"/>
      <c r="O49" s="10"/>
      <c r="P49" s="10"/>
      <c r="Q49" s="10"/>
      <c r="R49" s="10"/>
      <c r="S49" s="10"/>
      <c r="T49" s="10"/>
      <c r="U49" s="10"/>
      <c r="V49" s="10"/>
      <c r="W49" s="5"/>
      <c r="X49" s="5"/>
      <c r="Y49" s="5"/>
      <c r="Z49" s="5"/>
    </row>
    <row r="50" spans="1:26" s="2" customFormat="1" ht="18" customHeight="1" x14ac:dyDescent="0.3">
      <c r="A50" s="29" t="s">
        <v>119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1"/>
    </row>
    <row r="51" spans="1:26" s="2" customFormat="1" ht="18" customHeight="1" x14ac:dyDescent="0.3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8"/>
    </row>
    <row r="52" spans="1:26" s="2" customFormat="1" ht="18" customHeight="1" x14ac:dyDescent="0.3">
      <c r="A52" s="61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</row>
    <row r="53" spans="1:26" s="2" customFormat="1" ht="18" customHeight="1" x14ac:dyDescent="0.3">
      <c r="A53" s="58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2" customFormat="1" ht="18" customHeight="1" x14ac:dyDescent="0.3">
      <c r="A54" s="49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7" spans="1:26" ht="16.5" x14ac:dyDescent="0.3">
      <c r="R57" s="41"/>
      <c r="S57" s="30"/>
      <c r="T57" s="30"/>
      <c r="U57" s="30"/>
      <c r="V57" s="30"/>
      <c r="W57" s="30"/>
      <c r="X57" s="30"/>
      <c r="Y57" s="31"/>
    </row>
  </sheetData>
  <mergeCells count="249">
    <mergeCell ref="W47:Z47"/>
    <mergeCell ref="A48:K48"/>
    <mergeCell ref="L48:N48"/>
    <mergeCell ref="O48:V48"/>
    <mergeCell ref="W48:Z48"/>
    <mergeCell ref="A47:B47"/>
    <mergeCell ref="C47:H47"/>
    <mergeCell ref="I47:M47"/>
    <mergeCell ref="P47:R47"/>
    <mergeCell ref="S47:V47"/>
    <mergeCell ref="W45:Z45"/>
    <mergeCell ref="A46:B46"/>
    <mergeCell ref="C46:H46"/>
    <mergeCell ref="I46:M46"/>
    <mergeCell ref="P46:R46"/>
    <mergeCell ref="S46:V46"/>
    <mergeCell ref="W46:Z46"/>
    <mergeCell ref="A45:B45"/>
    <mergeCell ref="C45:H45"/>
    <mergeCell ref="I45:M45"/>
    <mergeCell ref="P45:R45"/>
    <mergeCell ref="S45:V45"/>
    <mergeCell ref="W43:Z43"/>
    <mergeCell ref="A44:B44"/>
    <mergeCell ref="C44:H44"/>
    <mergeCell ref="I44:M44"/>
    <mergeCell ref="P44:R44"/>
    <mergeCell ref="S44:V44"/>
    <mergeCell ref="W44:Z44"/>
    <mergeCell ref="A43:B43"/>
    <mergeCell ref="C43:H43"/>
    <mergeCell ref="I43:M43"/>
    <mergeCell ref="P43:R43"/>
    <mergeCell ref="S43:V43"/>
    <mergeCell ref="W41:Z41"/>
    <mergeCell ref="A42:B42"/>
    <mergeCell ref="C42:H42"/>
    <mergeCell ref="I42:M42"/>
    <mergeCell ref="P42:R42"/>
    <mergeCell ref="S42:V42"/>
    <mergeCell ref="W42:Z42"/>
    <mergeCell ref="A41:B41"/>
    <mergeCell ref="C41:H41"/>
    <mergeCell ref="I41:M41"/>
    <mergeCell ref="P41:R41"/>
    <mergeCell ref="S41:V41"/>
    <mergeCell ref="W39:Z39"/>
    <mergeCell ref="A40:B40"/>
    <mergeCell ref="C40:H40"/>
    <mergeCell ref="I40:M40"/>
    <mergeCell ref="P40:R40"/>
    <mergeCell ref="S40:V40"/>
    <mergeCell ref="W40:Z40"/>
    <mergeCell ref="A39:B39"/>
    <mergeCell ref="C39:H39"/>
    <mergeCell ref="I39:M39"/>
    <mergeCell ref="P39:R39"/>
    <mergeCell ref="S39:V39"/>
    <mergeCell ref="W37:Z37"/>
    <mergeCell ref="A38:B38"/>
    <mergeCell ref="C38:H38"/>
    <mergeCell ref="I38:M38"/>
    <mergeCell ref="P38:R38"/>
    <mergeCell ref="S38:V38"/>
    <mergeCell ref="W38:Z38"/>
    <mergeCell ref="A37:B37"/>
    <mergeCell ref="C37:H37"/>
    <mergeCell ref="I37:M37"/>
    <mergeCell ref="P37:R37"/>
    <mergeCell ref="S37:V37"/>
    <mergeCell ref="W35:Z35"/>
    <mergeCell ref="A36:B36"/>
    <mergeCell ref="C36:H36"/>
    <mergeCell ref="I36:M36"/>
    <mergeCell ref="P36:R36"/>
    <mergeCell ref="S36:V36"/>
    <mergeCell ref="W36:Z36"/>
    <mergeCell ref="A35:B35"/>
    <mergeCell ref="C35:H35"/>
    <mergeCell ref="I35:M35"/>
    <mergeCell ref="P35:R35"/>
    <mergeCell ref="S35:V35"/>
    <mergeCell ref="W33:Z33"/>
    <mergeCell ref="A34:B34"/>
    <mergeCell ref="C34:H34"/>
    <mergeCell ref="I34:M34"/>
    <mergeCell ref="P34:R34"/>
    <mergeCell ref="S34:V34"/>
    <mergeCell ref="W34:Z34"/>
    <mergeCell ref="A33:B33"/>
    <mergeCell ref="C33:H33"/>
    <mergeCell ref="I33:M33"/>
    <mergeCell ref="P33:R33"/>
    <mergeCell ref="S33:V33"/>
    <mergeCell ref="W31:Z31"/>
    <mergeCell ref="A32:B32"/>
    <mergeCell ref="C32:H32"/>
    <mergeCell ref="I32:M32"/>
    <mergeCell ref="P32:R32"/>
    <mergeCell ref="S32:V32"/>
    <mergeCell ref="W32:Z32"/>
    <mergeCell ref="A31:B31"/>
    <mergeCell ref="C31:H31"/>
    <mergeCell ref="I31:M31"/>
    <mergeCell ref="P31:R31"/>
    <mergeCell ref="S31:V31"/>
    <mergeCell ref="W29:Z29"/>
    <mergeCell ref="A30:B30"/>
    <mergeCell ref="C30:H30"/>
    <mergeCell ref="I30:M30"/>
    <mergeCell ref="P30:R30"/>
    <mergeCell ref="S30:V30"/>
    <mergeCell ref="W30:Z30"/>
    <mergeCell ref="A29:B29"/>
    <mergeCell ref="C29:H29"/>
    <mergeCell ref="I29:M29"/>
    <mergeCell ref="P29:R29"/>
    <mergeCell ref="S29:V29"/>
    <mergeCell ref="W27:Z27"/>
    <mergeCell ref="A28:B28"/>
    <mergeCell ref="C28:H28"/>
    <mergeCell ref="I28:M28"/>
    <mergeCell ref="P28:R28"/>
    <mergeCell ref="S28:V28"/>
    <mergeCell ref="W28:Z28"/>
    <mergeCell ref="A27:B27"/>
    <mergeCell ref="C27:H27"/>
    <mergeCell ref="I27:M27"/>
    <mergeCell ref="P27:R27"/>
    <mergeCell ref="S27:V27"/>
    <mergeCell ref="W25:Z25"/>
    <mergeCell ref="A26:B26"/>
    <mergeCell ref="C26:H26"/>
    <mergeCell ref="I26:M26"/>
    <mergeCell ref="P26:R26"/>
    <mergeCell ref="S26:V26"/>
    <mergeCell ref="W26:Z26"/>
    <mergeCell ref="A25:B25"/>
    <mergeCell ref="C25:H25"/>
    <mergeCell ref="I25:M25"/>
    <mergeCell ref="P25:R25"/>
    <mergeCell ref="S25:V25"/>
    <mergeCell ref="W23:Z23"/>
    <mergeCell ref="A24:B24"/>
    <mergeCell ref="C24:H24"/>
    <mergeCell ref="I24:M24"/>
    <mergeCell ref="P24:R24"/>
    <mergeCell ref="S24:V24"/>
    <mergeCell ref="W24:Z24"/>
    <mergeCell ref="A23:B23"/>
    <mergeCell ref="C23:H23"/>
    <mergeCell ref="I23:M23"/>
    <mergeCell ref="P23:R23"/>
    <mergeCell ref="S23:V23"/>
    <mergeCell ref="W21:Z21"/>
    <mergeCell ref="A22:B22"/>
    <mergeCell ref="C22:H22"/>
    <mergeCell ref="I22:M22"/>
    <mergeCell ref="P22:R22"/>
    <mergeCell ref="S22:V22"/>
    <mergeCell ref="W22:Z22"/>
    <mergeCell ref="A21:B21"/>
    <mergeCell ref="C21:H21"/>
    <mergeCell ref="I21:M21"/>
    <mergeCell ref="P21:R21"/>
    <mergeCell ref="S21:V21"/>
    <mergeCell ref="S19:V19"/>
    <mergeCell ref="W19:Z19"/>
    <mergeCell ref="A20:B20"/>
    <mergeCell ref="C20:H20"/>
    <mergeCell ref="I20:M20"/>
    <mergeCell ref="P20:R20"/>
    <mergeCell ref="S20:V20"/>
    <mergeCell ref="W20:Z20"/>
    <mergeCell ref="R57:Y57"/>
    <mergeCell ref="P15:R15"/>
    <mergeCell ref="A6:D6"/>
    <mergeCell ref="Q8:T8"/>
    <mergeCell ref="E13:N13"/>
    <mergeCell ref="E8:M8"/>
    <mergeCell ref="A52:Z52"/>
    <mergeCell ref="A16:B16"/>
    <mergeCell ref="C16:H16"/>
    <mergeCell ref="I16:M16"/>
    <mergeCell ref="P16:R16"/>
    <mergeCell ref="S16:V16"/>
    <mergeCell ref="W16:Z16"/>
    <mergeCell ref="A17:B17"/>
    <mergeCell ref="C17:H17"/>
    <mergeCell ref="I17:M17"/>
    <mergeCell ref="A51:Z51"/>
    <mergeCell ref="E6:M6"/>
    <mergeCell ref="O5:P5"/>
    <mergeCell ref="A54:Z54"/>
    <mergeCell ref="X4:Z6"/>
    <mergeCell ref="E7:M7"/>
    <mergeCell ref="A12:D12"/>
    <mergeCell ref="A53:Z53"/>
    <mergeCell ref="S15:V15"/>
    <mergeCell ref="I15:M15"/>
    <mergeCell ref="O10:P10"/>
    <mergeCell ref="A4:M4"/>
    <mergeCell ref="E9:M9"/>
    <mergeCell ref="R4:W4"/>
    <mergeCell ref="P17:R17"/>
    <mergeCell ref="S17:V17"/>
    <mergeCell ref="Q5:W5"/>
    <mergeCell ref="U8:V8"/>
    <mergeCell ref="Q10:Z10"/>
    <mergeCell ref="Q6:W6"/>
    <mergeCell ref="A1:G2"/>
    <mergeCell ref="A8:D8"/>
    <mergeCell ref="U9:V9"/>
    <mergeCell ref="W8:Z8"/>
    <mergeCell ref="U1:Z2"/>
    <mergeCell ref="O9:P9"/>
    <mergeCell ref="A10:D10"/>
    <mergeCell ref="A9:D9"/>
    <mergeCell ref="AB47:AI47"/>
    <mergeCell ref="Q7:Z7"/>
    <mergeCell ref="E12:Z12"/>
    <mergeCell ref="A50:Z50"/>
    <mergeCell ref="W17:Z17"/>
    <mergeCell ref="A18:B18"/>
    <mergeCell ref="C18:H18"/>
    <mergeCell ref="I18:M18"/>
    <mergeCell ref="P18:R18"/>
    <mergeCell ref="S18:V18"/>
    <mergeCell ref="W18:Z18"/>
    <mergeCell ref="A19:B19"/>
    <mergeCell ref="C19:H19"/>
    <mergeCell ref="I19:M19"/>
    <mergeCell ref="P19:R19"/>
    <mergeCell ref="A5:D5"/>
    <mergeCell ref="H1:T2"/>
    <mergeCell ref="O7:P7"/>
    <mergeCell ref="A15:B15"/>
    <mergeCell ref="W9:Z9"/>
    <mergeCell ref="E10:M10"/>
    <mergeCell ref="O4:Q4"/>
    <mergeCell ref="O6:P6"/>
    <mergeCell ref="A13:D13"/>
    <mergeCell ref="W15:Z15"/>
    <mergeCell ref="A7:D7"/>
    <mergeCell ref="C15:H15"/>
    <mergeCell ref="O8:P8"/>
    <mergeCell ref="A14:Z14"/>
    <mergeCell ref="E5:M5"/>
    <mergeCell ref="Q9:T9"/>
  </mergeCells>
  <phoneticPr fontId="3" type="noConversion"/>
  <hyperlinks>
    <hyperlink ref="Q10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김상우 매니저 열관리부품구매팀</cp:lastModifiedBy>
  <dcterms:modified xsi:type="dcterms:W3CDTF">2026-08-12T14:43:36Z</dcterms:modified>
</cp:coreProperties>
</file>