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8f4c04d15d46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내역서" sheetId="1" r:id="Rdaea0a1611a444f3"/>
  </x:sheets>
</x:workbook>
</file>

<file path=xl/sharedStrings.xml><?xml version="1.0" encoding="utf-8"?>
<x:sst xmlns:x="http://schemas.openxmlformats.org/spreadsheetml/2006/main">
  <x:si>
    <x:t xml:space="preserve"> 견 적 서</x:t>
  </x:si>
  <x:si>
    <x:t xml:space="preserve">사업자등록번호  </x:t>
  </x:si>
  <x:si>
    <x:t xml:space="preserve">견 적 번 호</x:t>
  </x:si>
  <x:si>
    <x:t xml:space="preserve">상  호</x:t>
  </x:si>
  <x:si>
    <x:t xml:space="preserve">견 적 일 자</x:t>
  </x:si>
  <x:si>
    <x:t xml:space="preserve">대표자</x:t>
  </x:si>
  <x:si>
    <x:t xml:space="preserve">견적유효기간</x:t>
  </x:si>
  <x:si>
    <x:t xml:space="preserve">주  소</x:t>
  </x:si>
  <x:si>
    <x:t xml:space="preserve">지 불 조 건</x:t>
  </x:si>
  <x:si>
    <x:t xml:space="preserve">전화번호</x:t>
  </x:si>
  <x:si>
    <x:t xml:space="preserve">팩  스</x:t>
  </x:si>
  <x:si>
    <x:t xml:space="preserve">납       기</x:t>
  </x:si>
  <x:si>
    <x:t xml:space="preserve">담당자</x:t>
  </x:si>
  <x:si>
    <x:t xml:space="preserve">연락처</x:t>
  </x:si>
  <x:si>
    <x:t xml:space="preserve">납 품 장 소</x:t>
  </x:si>
  <x:si>
    <x:t xml:space="preserve">메일주소</x:t>
  </x:si>
  <x:si>
    <x:t xml:space="preserve">공 사 명</x:t>
  </x:si>
  <x:si>
    <x:t xml:space="preserve">견적금액</x:t>
  </x:si>
  <x:si>
    <x:t xml:space="preserve">1. 재 료 비</x:t>
  </x:si>
  <x:si>
    <x:t xml:space="preserve">SEQ</x:t>
  </x:si>
  <x:si>
    <x:t xml:space="preserve">품    명</x:t>
  </x:si>
  <x:si>
    <x:t xml:space="preserve">규   격</x:t>
  </x:si>
  <x:si>
    <x:t xml:space="preserve">U/S</x:t>
  </x:si>
  <x:si>
    <x:t xml:space="preserve">단 위</x:t>
  </x:si>
  <x:si>
    <x:t xml:space="preserve">단  가</x:t>
  </x:si>
  <x:si>
    <x:t xml:space="preserve">금   액</x:t>
  </x:si>
  <x:si>
    <x:t xml:space="preserve">MAKER</x:t>
  </x:si>
  <x:si>
    <x:t xml:space="preserve">소         계</x:t>
  </x:si>
</x:sst>
</file>

<file path=xl/styles.xml><?xml version="1.0" encoding="utf-8"?>
<x:styleSheet xmlns:x="http://schemas.openxmlformats.org/spreadsheetml/2006/main">
  <x:numFmts count="6">
    <x:numFmt numFmtId="42" formatCode="_-&quot;₩&quot;* #,##0_-;\-&quot;₩&quot;* #,##0_-;_-&quot;₩&quot;* &quot;-&quot;_-;_-@_-"/>
    <x:numFmt numFmtId="41" formatCode="_-* #,##0_-;\-* #,##0_-;_-* &quot;-&quot;_-;_-@_-"/>
    <x:numFmt numFmtId="176" formatCode="#,##0;[Red]#,##0"/>
    <x:numFmt numFmtId="177" formatCode="yyyy&quot;/&quot;m&quot;/&quot;d;@"/>
    <x:numFmt numFmtId="178" formatCode="0.00_);[Red]\(0.00\)"/>
    <x:numFmt numFmtId="179" formatCode="0_);[Red]\(0\)"/>
  </x:numFmts>
  <x:fonts count="19">
    <x:font>
      <x:sz val="11"/>
      <x:color theme="1"/>
      <x:name val="맑은 고딕"/>
    </x:font>
    <x:font>
      <x:sz val="11"/>
      <x:name val="돋움"/>
    </x:font>
    <x:font>
      <x:sz val="11"/>
      <x:name val="굴림체"/>
    </x:font>
    <x:font>
      <x:sz val="8"/>
      <x:name val="맑은 고딕"/>
    </x:font>
    <x:font>
      <x:sz val="8"/>
      <x:name val="돋움"/>
    </x:font>
    <x:font>
      <x:b/>
      <x:sz val="11"/>
      <x:name val="굴림체"/>
    </x:font>
    <x:font>
      <x:sz val="10"/>
      <x:name val="굴림체"/>
    </x:font>
    <x:font>
      <x:b/>
      <x:sz val="10"/>
      <x:name val="굴림체"/>
    </x:font>
    <x:font>
      <x:b/>
      <x:sz val="12"/>
      <x:name val="굴림체"/>
    </x:font>
    <x:font>
      <x:sz val="12"/>
      <x:name val="굴림체"/>
    </x:font>
    <x:font>
      <x:b/>
      <x:sz val="18"/>
      <x:name val="HY견고딕"/>
    </x:font>
    <x:font>
      <x:b/>
      <x:sz val="12"/>
      <x:name val="HY견고딕"/>
    </x:font>
    <x:font>
      <x:b/>
      <x:sz val="10"/>
      <x:name val="HY견고딕"/>
    </x:font>
    <x:font>
      <x:sz val="11"/>
      <x:color theme="1"/>
      <x:name val="맑은 고딕"/>
    </x:font>
    <x:font>
      <x:sz val="11"/>
      <x:color theme="1"/>
      <x:name val="굴림체"/>
    </x:font>
    <x:font>
      <x:sz val="11"/>
      <x:color theme="10"/>
      <x:name val="맑은 고딕"/>
    </x:font>
    <x:font>
      <x:sz val="8"/>
      <x:name val="맑은 고딕"/>
    </x:font>
    <x:font>
      <x:sz val="10"/>
      <x:color theme="1"/>
      <x:name val="굴림체"/>
    </x:font>
    <x:font>
      <x:sz val="10"/>
      <x:color theme="1"/>
      <x:name val="맑은 고딕"/>
    </x:font>
  </x:fonts>
  <x:fills count="4">
    <x:fill>
      <x:patternFill patternType="none"/>
    </x:fill>
    <x:fill>
      <x:patternFill patternType="gray125"/>
    </x:fill>
    <x:fill>
      <x:patternFill patternType="solid">
        <x:fgColor theme="4" tint="0.79998"/>
      </x:patternFill>
    </x:fill>
    <x:fill>
      <x:patternFill patternType="solid">
        <x:fgColor theme="0"/>
      </x:patternFill>
    </x:fill>
  </x:fills>
  <x:borders count="27">
    <x:border/>
    <x:border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</x:border>
    <x:border>
      <x:right style="thin">
        <x:color indexed="64"/>
      </x:right>
      <x:top style="hair">
        <x:color indexed="64"/>
      </x:top>
      <x:bottom style="thin">
        <x:color indexed="64"/>
      </x:bottom>
    </x:border>
    <x:border>
      <x:right style="thin">
        <x:color indexed="64"/>
      </x:right>
      <x:top style="hair">
        <x:color indexed="64"/>
      </x:top>
      <x:bottom style="hair">
        <x:color indexed="64"/>
      </x:bottom>
    </x:border>
    <x:border>
      <x:right style="thin">
        <x:color indexed="64"/>
      </x:right>
      <x:top style="thin">
        <x:color indexed="64"/>
      </x:top>
      <x:bottom style="hair">
        <x:color indexed="64"/>
      </x:bottom>
    </x:border>
    <x:border>
      <x:right style="thin">
        <x:color indexed="64"/>
      </x:right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hair">
        <x:color indexed="64"/>
      </x:bottom>
    </x:border>
    <x:border>
      <x:left style="thin">
        <x:color indexed="64"/>
      </x:left>
      <x:right style="thin">
        <x:color indexed="64"/>
      </x:right>
      <x:top style="hair">
        <x:color indexed="64"/>
      </x:top>
      <x:bottom style="hair">
        <x:color indexed="64"/>
      </x:bottom>
    </x:border>
    <x:border>
      <x:left style="thin">
        <x:color indexed="64"/>
      </x:left>
      <x:right style="thin">
        <x:color indexed="64"/>
      </x:right>
      <x:top style="hair">
        <x:color indexed="64"/>
      </x:top>
      <x:bottom style="thin">
        <x:color indexed="64"/>
      </x:bottom>
    </x:border>
    <x:border>
      <x:top style="thin">
        <x:color indexed="64"/>
      </x:top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left style="thin">
        <x:color indexed="64"/>
      </x:left>
      <x:top style="hair">
        <x:color indexed="64"/>
      </x:top>
      <x:bottom style="hair">
        <x:color indexed="64"/>
      </x:bottom>
    </x:border>
    <x:border>
      <x:left style="thin">
        <x:color indexed="64"/>
      </x:left>
      <x:top style="thin">
        <x:color indexed="64"/>
      </x:top>
      <x:bottom style="hair">
        <x:color indexed="64"/>
      </x:bottom>
    </x:border>
    <x:border>
      <x:top style="thin">
        <x:color indexed="64"/>
      </x:top>
      <x:bottom style="hair">
        <x:color indexed="64"/>
      </x:bottom>
    </x:border>
    <x:border>
      <x:top style="hair">
        <x:color indexed="64"/>
      </x:top>
      <x:bottom style="hair">
        <x:color indexed="64"/>
      </x:bottom>
    </x:border>
    <x:border>
      <x:bottom style="thin">
        <x:color indexed="64"/>
      </x:bottom>
    </x:border>
    <x:border>
      <x:left style="thin">
        <x:color indexed="64"/>
      </x:left>
      <x:top style="hair">
        <x:color indexed="64"/>
      </x:top>
      <x:bottom style="thin">
        <x:color indexed="64"/>
      </x:bottom>
    </x:border>
    <x:border>
      <x:top style="hair">
        <x:color indexed="64"/>
      </x:top>
      <x:bottom style="thin">
        <x:color indexed="64"/>
      </x:bottom>
    </x:border>
    <x:border>
      <x:left style="thin">
        <x:color indexed="64"/>
      </x:left>
      <x:top style="thin">
        <x:color indexed="64"/>
      </x:top>
    </x:border>
    <x:border>
      <x:right style="thin">
        <x:color indexed="64"/>
      </x:right>
      <x:top style="thin">
        <x:color indexed="64"/>
      </x:top>
    </x:border>
    <x:border>
      <x:left style="thin">
        <x:color indexed="64"/>
      </x:left>
    </x:border>
    <x:border>
      <x:left style="thin">
        <x:color indexed="64"/>
      </x:left>
      <x:bottom style="thin">
        <x:color indexed="64"/>
      </x:bottom>
    </x:border>
    <x:border>
      <x:right style="thin">
        <x:color indexed="64"/>
      </x:right>
      <x:bottom style="thin">
        <x:color indexed="64"/>
      </x:bottom>
    </x:border>
    <x:border>
      <x:left style="thin">
        <x:color indexed="64"/>
      </x:left>
      <x:right style="thin">
        <x:color indexed="64"/>
      </x:right>
      <x:bottom style="hair">
        <x:color indexed="64"/>
      </x:bottom>
    </x:border>
  </x:borders>
  <x:cellStyleXfs count="7">
    <x:xf numFmtId="0" fontId="0" fillId="0" borderId="0">
      <x:alignment vertical="center"/>
    </x:xf>
    <x:xf numFmtId="41" fontId="1" fillId="0" borderId="0" applyFont="0" applyFill="0" applyBorder="0" applyAlignment="0" applyProtection="0"/>
    <x:xf numFmtId="42" fontId="13" fillId="0" borderId="0" applyFont="0" applyFill="0" applyBorder="0" applyAlignment="0" applyProtection="0">
      <x:alignment vertical="center"/>
    </x:xf>
    <x:xf numFmtId="0" fontId="1" fillId="0" borderId="0"/>
    <x:xf numFmtId="0" fontId="15" fillId="0" borderId="0" applyNumberFormat="0" applyFill="0" applyBorder="0" applyAlignment="0" applyProtection="0">
      <x:alignment vertical="center"/>
    </x:xf>
    <x:xf numFmtId="41" fontId="13" fillId="0" borderId="0" applyFont="0" applyFill="0" applyBorder="0" applyAlignment="0" applyProtection="0">
      <x:alignment vertical="center"/>
    </x:xf>
    <x:xf numFmtId="41" fontId="1" fillId="0" borderId="0" applyFont="0" applyFill="0" applyBorder="0" applyAlignment="0" applyProtection="0"/>
  </x:cellStyleXfs>
  <x:cellXfs count="212">
    <x:xf numFmtId="0" fontId="0" fillId="0" borderId="0" xfId="0">
      <x:alignment vertical="center"/>
    </x:xf>
    <x:xf numFmtId="0" fontId="2" fillId="0" borderId="0" xfId="3" applyFont="1" applyAlignment="1">
      <x:alignment horizontal="center" vertical="center"/>
    </x:xf>
    <x:xf numFmtId="0" fontId="6" fillId="0" borderId="0" xfId="3" applyFont="1" applyAlignment="1">
      <x:alignment horizontal="center" vertical="center"/>
    </x:xf>
    <x:xf numFmtId="0" fontId="6" fillId="0" borderId="0" xfId="3" applyFont="1" applyFill="1" applyAlignment="1">
      <x:alignment horizontal="center" vertical="center"/>
    </x:xf>
    <x:xf numFmtId="0" fontId="7" fillId="0" borderId="0" xfId="3" applyFont="1" applyFill="1" applyAlignment="1">
      <x:alignment horizontal="center" vertical="center"/>
    </x:xf>
    <x:xf numFmtId="176" fontId="2" fillId="0" borderId="0" xfId="3" applyNumberFormat="1" applyFont="1" applyAlignment="1">
      <x:alignment horizontal="center" vertical="center"/>
    </x:xf>
    <x:xf numFmtId="176" fontId="6" fillId="0" borderId="1" xfId="3" applyNumberFormat="1" applyFont="1" applyBorder="1" applyAlignment="1">
      <x:alignment horizontal="center" vertical="center"/>
    </x:xf>
    <x:xf numFmtId="176" fontId="6" fillId="0" borderId="2" xfId="3" applyNumberFormat="1" applyFont="1" applyBorder="1" applyAlignment="1">
      <x:alignment horizontal="center" vertical="center"/>
    </x:xf>
    <x:xf numFmtId="176" fontId="6" fillId="0" borderId="3" xfId="3" applyNumberFormat="1" applyFont="1" applyFill="1" applyBorder="1" applyAlignment="1">
      <x:alignment vertical="center"/>
    </x:xf>
    <x:xf numFmtId="176" fontId="6" fillId="0" borderId="7" xfId="3" applyNumberFormat="1" applyFont="1" applyFill="1" applyBorder="1" applyAlignment="1">
      <x:alignment vertical="center"/>
    </x:xf>
    <x:xf numFmtId="0" fontId="6" fillId="0" borderId="9" xfId="3" applyNumberFormat="1" applyFont="1" applyFill="1" applyBorder="1" applyAlignment="1">
      <x:alignment horizontal="center" vertical="center"/>
    </x:xf>
    <x:xf numFmtId="176" fontId="6" fillId="0" borderId="1" xfId="3" applyNumberFormat="1" applyFont="1" applyBorder="1" applyAlignment="1">
      <x:alignment horizontal="left" vertical="center"/>
    </x:xf>
    <x:xf numFmtId="41" fontId="6" fillId="0" borderId="1" xfId="1" applyFont="1" applyFill="1" applyBorder="1" applyAlignment="1">
      <x:alignment horizontal="center" vertical="center"/>
    </x:xf>
    <x:xf numFmtId="176" fontId="6" fillId="0" borderId="11" xfId="3" applyNumberFormat="1" applyFont="1" applyBorder="1" applyAlignment="1">
      <x:alignment horizontal="center" vertical="center"/>
    </x:xf>
    <x:xf numFmtId="176" fontId="6" fillId="0" borderId="0" xfId="3" applyNumberFormat="1" applyFont="1" applyBorder="1" applyAlignment="1">
      <x:alignment horizontal="center" vertical="center"/>
    </x:xf>
    <x:xf numFmtId="176" fontId="5" fillId="0" borderId="0" xfId="3" applyNumberFormat="1" applyFont="1" applyAlignment="1">
      <x:alignment vertical="center"/>
    </x:xf>
    <x:xf numFmtId="176" fontId="6" fillId="0" borderId="0" xfId="3" applyNumberFormat="1" applyFont="1" applyFill="1" applyBorder="1" applyAlignment="1">
      <x:alignment vertical="center"/>
    </x:xf>
    <x:xf numFmtId="176" fontId="6" fillId="0" borderId="11" xfId="3" applyNumberFormat="1" applyFont="1" applyFill="1" applyBorder="1" applyAlignment="1">
      <x:alignment horizontal="center" vertical="center"/>
    </x:xf>
    <x:xf numFmtId="176" fontId="6" fillId="0" borderId="0" xfId="3" applyNumberFormat="1" applyFont="1" applyFill="1" applyBorder="1" applyAlignment="1">
      <x:alignment horizontal="center" vertical="center"/>
    </x:xf>
    <x:xf numFmtId="0" fontId="9" fillId="0" borderId="0" xfId="3" applyFont="1" applyAlignment="1">
      <x:alignment horizontal="center" vertical="center"/>
    </x:xf>
    <x:xf numFmtId="41" fontId="6" fillId="0" borderId="9" xfId="1" applyFont="1" applyFill="1" applyBorder="1" applyAlignment="1">
      <x:alignment vertical="center"/>
    </x:xf>
    <x:xf numFmtId="176" fontId="8" fillId="2" borderId="2" xfId="3" applyNumberFormat="1" applyFont="1" applyFill="1" applyBorder="1" applyAlignment="1">
      <x:alignment vertical="center"/>
    </x:xf>
    <x:xf numFmtId="176" fontId="8" fillId="2" borderId="12" xfId="3" applyNumberFormat="1" applyFont="1" applyFill="1" applyBorder="1" applyAlignment="1">
      <x:alignment vertical="center"/>
    </x:xf>
    <x:xf numFmtId="176" fontId="8" fillId="2" borderId="13" xfId="3" applyNumberFormat="1" applyFont="1" applyFill="1" applyBorder="1" applyAlignment="1">
      <x:alignment vertical="center"/>
    </x:xf>
    <x:xf numFmtId="176" fontId="8" fillId="2" borderId="1" xfId="3" applyNumberFormat="1" applyFont="1" applyFill="1" applyBorder="1" applyAlignment="1">
      <x:alignment vertical="center"/>
    </x:xf>
    <x:xf numFmtId="49" fontId="6" fillId="0" borderId="5" xfId="3" applyNumberFormat="1" applyFont="1" applyFill="1" applyBorder="1" applyAlignment="1">
      <x:alignment horizontal="center" vertical="center"/>
    </x:xf>
    <x:xf numFmtId="0" fontId="6" fillId="0" borderId="24" xfId="3" applyNumberFormat="1" applyFont="1" applyFill="1" applyBorder="1" applyAlignment="1">
      <x:alignment horizontal="center" vertical="center"/>
    </x:xf>
    <x:xf numFmtId="0" fontId="6" fillId="0" borderId="18" xfId="3" applyNumberFormat="1" applyFont="1" applyFill="1" applyBorder="1" applyAlignment="1">
      <x:alignment horizontal="center" vertical="center"/>
    </x:xf>
    <x:xf numFmtId="0" fontId="6" fillId="0" borderId="25" xfId="3" applyNumberFormat="1" applyFont="1" applyFill="1" applyBorder="1" applyAlignment="1">
      <x:alignment horizontal="center" vertical="center"/>
    </x:xf>
    <x:xf numFmtId="176" fontId="6" fillId="0" borderId="24" xfId="3" applyNumberFormat="1" applyFont="1" applyFill="1" applyBorder="1" applyAlignment="1">
      <x:alignment horizontal="center" vertical="center"/>
    </x:xf>
    <x:xf numFmtId="176" fontId="6" fillId="0" borderId="18" xfId="3" applyNumberFormat="1" applyFont="1" applyFill="1" applyBorder="1" applyAlignment="1">
      <x:alignment horizontal="center" vertical="center"/>
    </x:xf>
    <x:xf numFmtId="41" fontId="14" fillId="0" borderId="0" xfId="5" applyFont="1" applyFill="1" applyBorder="1" applyAlignment="1">
      <x:alignment horizontal="center" vertical="center"/>
    </x:xf>
    <x:xf numFmtId="41" fontId="14" fillId="0" borderId="7" xfId="5" applyFont="1" applyFill="1" applyBorder="1" applyAlignment="1">
      <x:alignment horizontal="center" vertical="center"/>
    </x:xf>
    <x:xf numFmtId="0" fontId="0" fillId="0" borderId="20" xfId="0" applyBorder="1" applyAlignment="1">
      <x:alignment horizontal="center" vertical="center"/>
    </x:xf>
    <x:xf numFmtId="0" fontId="0" fillId="0" borderId="4" xfId="0" applyBorder="1" applyAlignment="1">
      <x:alignment horizontal="center" vertical="center"/>
    </x:xf>
    <x:xf numFmtId="178" fontId="14" fillId="0" borderId="10" xfId="6" applyNumberFormat="1" applyFont="1" applyFill="1" applyBorder="1" applyAlignment="1">
      <x:alignment horizontal="center" vertical="center"/>
    </x:xf>
    <x:xf numFmtId="0" fontId="0" fillId="0" borderId="10" xfId="0" applyBorder="1" applyAlignment="1">
      <x:alignment horizontal="center" vertical="center"/>
    </x:xf>
    <x:xf numFmtId="176" fontId="6" fillId="0" borderId="2" xfId="3" applyNumberFormat="1" applyFont="1" applyBorder="1" applyAlignment="1">
      <x:alignment horizontal="center" vertical="center"/>
    </x:xf>
    <x:xf numFmtId="176" fontId="6" fillId="0" borderId="2" xfId="3" applyNumberFormat="1" applyFont="1" applyBorder="1" applyAlignment="1">
      <x:alignment horizontal="center" vertical="center"/>
    </x:xf>
    <x:xf numFmtId="176" fontId="6" fillId="0" borderId="12" xfId="3" applyNumberFormat="1" applyFont="1" applyBorder="1" applyAlignment="1">
      <x:alignment horizontal="center" vertical="center"/>
    </x:xf>
    <x:xf numFmtId="176" fontId="6" fillId="3" borderId="9" xfId="3" applyNumberFormat="1" applyFont="1" applyFill="1" applyBorder="1" applyAlignment="1">
      <x:alignment horizontal="center" vertical="center"/>
    </x:xf>
    <x:xf numFmtId="0" fontId="17" fillId="0" borderId="5" xfId="3" applyNumberFormat="1" applyFont="1" applyFill="1" applyBorder="1" applyAlignment="1">
      <x:alignment horizontal="center" vertical="center"/>
    </x:xf>
    <x:xf numFmtId="41" fontId="17" fillId="0" borderId="9" xfId="5" applyFont="1" applyFill="1" applyBorder="1" applyAlignment="1">
      <x:alignment horizontal="center" vertical="center"/>
    </x:xf>
    <x:xf numFmtId="179" fontId="17" fillId="0" borderId="26" xfId="6" applyNumberFormat="1" applyFont="1" applyFill="1" applyBorder="1" applyAlignment="1">
      <x:alignment horizontal="center" vertical="center"/>
    </x:xf>
    <x:xf numFmtId="0" fontId="17" fillId="0" borderId="26" xfId="3" applyNumberFormat="1" applyFont="1" applyFill="1" applyBorder="1" applyAlignment="1">
      <x:alignment horizontal="center" vertical="center"/>
    </x:xf>
    <x:xf numFmtId="0" fontId="17" fillId="0" borderId="14" xfId="3" applyNumberFormat="1" applyFont="1" applyFill="1" applyBorder="1" applyAlignment="1">
      <x:alignment horizontal="left" vertical="center"/>
    </x:xf>
    <x:xf numFmtId="0" fontId="18" fillId="0" borderId="17" xfId="0" applyFont="1" applyBorder="1" applyAlignment="1">
      <x:alignment horizontal="left" vertical="center"/>
    </x:xf>
    <x:xf numFmtId="0" fontId="18" fillId="0" borderId="5" xfId="0" applyFont="1" applyBorder="1" applyAlignment="1">
      <x:alignment horizontal="left" vertical="center"/>
    </x:xf>
    <x:xf numFmtId="0" fontId="6" fillId="3" borderId="14" xfId="3" applyNumberFormat="1" applyFont="1" applyFill="1" applyBorder="1" applyAlignment="1">
      <x:alignment horizontal="left" vertical="center"/>
    </x:xf>
    <x:xf numFmtId="0" fontId="18" fillId="3" borderId="17" xfId="0" applyFont="1" applyFill="1" applyBorder="1" applyAlignment="1">
      <x:alignment horizontal="left" vertical="center"/>
    </x:xf>
    <x:xf numFmtId="0" fontId="18" fillId="3" borderId="5" xfId="0" applyFont="1" applyFill="1" applyBorder="1" applyAlignment="1">
      <x:alignment horizontal="left" vertical="center"/>
    </x:xf>
    <x:xf numFmtId="49" fontId="6" fillId="0" borderId="5" xfId="3" applyNumberFormat="1" applyFont="1" applyFill="1" applyBorder="1" applyAlignment="1">
      <x:alignment horizontal="center" vertical="center"/>
    </x:xf>
    <x:xf numFmtId="179" fontId="17" fillId="3" borderId="26" xfId="6" applyNumberFormat="1" applyFont="1" applyFill="1" applyBorder="1" applyAlignment="1">
      <x:alignment horizontal="center" vertical="center"/>
    </x:xf>
    <x:xf numFmtId="0" fontId="17" fillId="3" borderId="26" xfId="3" applyNumberFormat="1" applyFont="1" applyFill="1" applyBorder="1" applyAlignment="1">
      <x:alignment horizontal="center" vertical="center"/>
    </x:xf>
    <x:xf numFmtId="49" fontId="6" fillId="0" borderId="5" xfId="3" applyNumberFormat="1" applyFont="1" applyFill="1" applyBorder="1" applyAlignment="1">
      <x:alignment horizontal="center" vertical="center"/>
    </x:xf>
    <x:xf numFmtId="176" fontId="6" fillId="0" borderId="13" xfId="3" applyNumberFormat="1" applyFont="1" applyBorder="1" applyAlignment="1">
      <x:alignment horizontal="center" vertical="center"/>
    </x:xf>
    <x:xf numFmtId="176" fontId="6" fillId="0" borderId="1" xfId="3" applyNumberFormat="1" applyFont="1" applyBorder="1" applyAlignment="1">
      <x:alignment horizontal="center" vertical="center"/>
    </x:xf>
    <x:xf numFmtId="176" fontId="6" fillId="0" borderId="2" xfId="3" applyNumberFormat="1" applyFont="1" applyBorder="1" applyAlignment="1">
      <x:alignment horizontal="center" vertical="center"/>
    </x:xf>
    <x:xf numFmtId="176" fontId="6" fillId="0" borderId="8" xfId="3" applyNumberFormat="1" applyFont="1" applyFill="1" applyBorder="1" applyAlignment="1">
      <x:alignment horizontal="center" vertical="center"/>
    </x:xf>
    <x:xf numFmtId="176" fontId="6" fillId="0" borderId="12" xfId="3" applyNumberFormat="1" applyFont="1" applyBorder="1" applyAlignment="1">
      <x:alignment horizontal="center" vertical="center"/>
    </x:xf>
    <x:xf numFmtId="176" fontId="6" fillId="0" borderId="14" xfId="3" applyNumberFormat="1" applyFont="1" applyFill="1" applyBorder="1" applyAlignment="1">
      <x:alignment horizontal="center" vertical="center"/>
    </x:xf>
    <x:xf numFmtId="0" fontId="18" fillId="0" borderId="5" xfId="0" applyFont="1" applyBorder="1" applyAlignment="1">
      <x:alignment horizontal="center" vertical="center"/>
    </x:xf>
    <x:xf numFmtId="176" fontId="6" fillId="0" borderId="9" xfId="3" applyNumberFormat="1" applyFont="1" applyFill="1" applyBorder="1" applyAlignment="1">
      <x:alignment horizontal="center" vertical="center"/>
    </x:xf>
    <x:xf numFmtId="176" fontId="6" fillId="0" borderId="5" xfId="3" applyNumberFormat="1" applyFont="1" applyFill="1" applyBorder="1" applyAlignment="1">
      <x:alignment horizontal="center" vertical="center"/>
    </x:xf>
    <x:xf numFmtId="41" fontId="17" fillId="0" borderId="14" xfId="5" applyFont="1" applyFill="1" applyBorder="1" applyAlignment="1">
      <x:alignment horizontal="center" vertical="center"/>
    </x:xf>
    <x:xf numFmtId="0" fontId="18" fillId="0" borderId="17" xfId="0" applyFont="1" applyBorder="1" applyAlignment="1">
      <x:alignment horizontal="center" vertical="center"/>
    </x:xf>
    <x:xf numFmtId="176" fontId="6" fillId="0" borderId="13" xfId="3" applyNumberFormat="1" applyFont="1" applyFill="1" applyBorder="1" applyAlignment="1">
      <x:alignment horizontal="center" vertical="center"/>
    </x:xf>
    <x:xf numFmtId="176" fontId="6" fillId="0" borderId="2" xfId="3" applyNumberFormat="1" applyFont="1" applyFill="1" applyBorder="1" applyAlignment="1">
      <x:alignment horizontal="center" vertical="center"/>
    </x:xf>
    <x:xf numFmtId="176" fontId="6" fillId="0" borderId="1" xfId="3" applyNumberFormat="1" applyFont="1" applyFill="1" applyBorder="1" applyAlignment="1">
      <x:alignment horizontal="center" vertical="center"/>
    </x:xf>
    <x:xf numFmtId="0" fontId="6" fillId="0" borderId="21" xfId="3" applyNumberFormat="1" applyFont="1" applyFill="1" applyBorder="1" applyAlignment="1">
      <x:alignment horizontal="center" vertical="center"/>
    </x:xf>
    <x:xf numFmtId="0" fontId="6" fillId="0" borderId="11" xfId="3" applyNumberFormat="1" applyFont="1" applyFill="1" applyBorder="1" applyAlignment="1">
      <x:alignment horizontal="center" vertical="center"/>
    </x:xf>
    <x:xf numFmtId="0" fontId="6" fillId="0" borderId="22" xfId="3" applyNumberFormat="1" applyFont="1" applyFill="1" applyBorder="1" applyAlignment="1">
      <x:alignment horizontal="center" vertical="center"/>
    </x:xf>
    <x:xf numFmtId="0" fontId="6" fillId="0" borderId="23" xfId="3" applyNumberFormat="1" applyFont="1" applyFill="1" applyBorder="1" applyAlignment="1">
      <x:alignment horizontal="center" vertical="center"/>
    </x:xf>
    <x:xf numFmtId="0" fontId="6" fillId="0" borderId="0" xfId="3" applyNumberFormat="1" applyFont="1" applyFill="1" applyBorder="1" applyAlignment="1">
      <x:alignment horizontal="center" vertical="center"/>
    </x:xf>
    <x:xf numFmtId="0" fontId="6" fillId="0" borderId="7" xfId="3" applyNumberFormat="1" applyFont="1" applyFill="1" applyBorder="1" applyAlignment="1">
      <x:alignment horizontal="center" vertical="center"/>
    </x:xf>
    <x:xf numFmtId="0" fontId="6" fillId="0" borderId="24" xfId="3" applyNumberFormat="1" applyFont="1" applyFill="1" applyBorder="1" applyAlignment="1">
      <x:alignment horizontal="center" vertical="center"/>
    </x:xf>
    <x:xf numFmtId="0" fontId="6" fillId="0" borderId="18" xfId="3" applyNumberFormat="1" applyFont="1" applyFill="1" applyBorder="1" applyAlignment="1">
      <x:alignment horizontal="center" vertical="center"/>
    </x:xf>
    <x:xf numFmtId="0" fontId="6" fillId="0" borderId="25" xfId="3" applyNumberFormat="1" applyFont="1" applyFill="1" applyBorder="1" applyAlignment="1">
      <x:alignment horizontal="center" vertical="center"/>
    </x:xf>
    <x:xf numFmtId="0" fontId="6" fillId="0" borderId="15" xfId="3" applyNumberFormat="1" applyFont="1" applyFill="1" applyBorder="1" applyAlignment="1">
      <x:alignment horizontal="center" vertical="center"/>
    </x:xf>
    <x:xf numFmtId="0" fontId="6" fillId="0" borderId="16" xfId="3" applyNumberFormat="1" applyFont="1" applyFill="1" applyBorder="1" applyAlignment="1">
      <x:alignment horizontal="center" vertical="center"/>
    </x:xf>
    <x:xf numFmtId="0" fontId="6" fillId="0" borderId="6" xfId="3" applyNumberFormat="1" applyFont="1" applyFill="1" applyBorder="1" applyAlignment="1">
      <x:alignment horizontal="center" vertical="center"/>
    </x:xf>
    <x:xf numFmtId="176" fontId="15" fillId="0" borderId="13" xfId="4" applyNumberFormat="1" applyBorder="1" applyAlignment="1">
      <x:alignment horizontal="center" vertical="center"/>
    </x:xf>
    <x:xf numFmtId="176" fontId="8" fillId="2" borderId="13" xfId="3" applyNumberFormat="1" applyFont="1" applyFill="1" applyBorder="1" applyAlignment="1">
      <x:alignment horizontal="center" vertical="center"/>
    </x:xf>
    <x:xf numFmtId="176" fontId="8" fillId="2" borderId="1" xfId="3" applyNumberFormat="1" applyFont="1" applyFill="1" applyBorder="1" applyAlignment="1">
      <x:alignment horizontal="center" vertical="center"/>
    </x:xf>
    <x:xf numFmtId="176" fontId="8" fillId="2" borderId="2" xfId="3" applyNumberFormat="1" applyFont="1" applyFill="1" applyBorder="1" applyAlignment="1">
      <x:alignment horizontal="center" vertical="center"/>
    </x:xf>
    <x:xf numFmtId="42" fontId="8" fillId="2" borderId="13" xfId="3" applyNumberFormat="1" applyFont="1" applyFill="1" applyBorder="1" applyAlignment="1">
      <x:alignment horizontal="center" vertical="center"/>
    </x:xf>
    <x:xf numFmtId="42" fontId="8" fillId="2" borderId="1" xfId="3" applyNumberFormat="1" applyFont="1" applyFill="1" applyBorder="1" applyAlignment="1">
      <x:alignment horizontal="center" vertical="center"/>
    </x:xf>
    <x:xf numFmtId="0" fontId="6" fillId="0" borderId="13" xfId="3" applyNumberFormat="1" applyFont="1" applyFill="1" applyBorder="1" applyAlignment="1">
      <x:alignment horizontal="center" vertical="center"/>
    </x:xf>
    <x:xf numFmtId="0" fontId="6" fillId="0" borderId="1" xfId="3" applyNumberFormat="1" applyFont="1" applyFill="1" applyBorder="1" applyAlignment="1">
      <x:alignment horizontal="center" vertical="center"/>
    </x:xf>
    <x:xf numFmtId="0" fontId="6" fillId="0" borderId="2" xfId="3" applyNumberFormat="1" applyFont="1" applyFill="1" applyBorder="1" applyAlignment="1">
      <x:alignment horizontal="center" vertical="center"/>
    </x:xf>
    <x:xf numFmtId="176" fontId="7" fillId="0" borderId="13" xfId="3" applyNumberFormat="1" applyFont="1" applyBorder="1" applyAlignment="1">
      <x:alignment horizontal="center" vertical="center"/>
    </x:xf>
    <x:xf numFmtId="176" fontId="7" fillId="0" borderId="1" xfId="3" applyNumberFormat="1" applyFont="1" applyBorder="1" applyAlignment="1">
      <x:alignment horizontal="center" vertical="center"/>
    </x:xf>
    <x:xf numFmtId="176" fontId="7" fillId="0" borderId="2" xfId="3" applyNumberFormat="1" applyFont="1" applyBorder="1" applyAlignment="1">
      <x:alignment horizontal="center" vertical="center"/>
    </x:xf>
    <x:xf numFmtId="176" fontId="7" fillId="0" borderId="13" xfId="3" applyNumberFormat="1" applyFont="1" applyFill="1" applyBorder="1" applyAlignment="1">
      <x:alignment horizontal="center" vertical="center"/>
    </x:xf>
    <x:xf numFmtId="176" fontId="7" fillId="0" borderId="1" xfId="3" applyNumberFormat="1" applyFont="1" applyFill="1" applyBorder="1" applyAlignment="1">
      <x:alignment horizontal="center" vertical="center"/>
    </x:xf>
    <x:xf numFmtId="176" fontId="7" fillId="0" borderId="2" xfId="3" applyNumberFormat="1" applyFont="1" applyFill="1" applyBorder="1" applyAlignment="1">
      <x:alignment horizontal="center" vertical="center"/>
    </x:xf>
    <x:xf numFmtId="176" fontId="6" fillId="0" borderId="13" xfId="3" applyNumberFormat="1" applyFont="1" applyFill="1" applyBorder="1" applyAlignment="1">
      <x:alignment horizontal="left" vertical="center"/>
    </x:xf>
    <x:xf numFmtId="176" fontId="6" fillId="0" borderId="1" xfId="3" applyNumberFormat="1" applyFont="1" applyFill="1" applyBorder="1" applyAlignment="1">
      <x:alignment horizontal="left" vertical="center"/>
    </x:xf>
    <x:xf numFmtId="176" fontId="6" fillId="0" borderId="2" xfId="3" applyNumberFormat="1" applyFont="1" applyFill="1" applyBorder="1" applyAlignment="1">
      <x:alignment horizontal="left" vertical="center"/>
    </x:xf>
    <x:xf numFmtId="0" fontId="6" fillId="0" borderId="14" xfId="3" applyNumberFormat="1" applyFont="1" applyFill="1" applyBorder="1" applyAlignment="1">
      <x:alignment horizontal="center" vertical="center"/>
    </x:xf>
    <x:xf numFmtId="0" fontId="6" fillId="0" borderId="17" xfId="3" applyNumberFormat="1" applyFont="1" applyFill="1" applyBorder="1" applyAlignment="1">
      <x:alignment horizontal="center" vertical="center"/>
    </x:xf>
    <x:xf numFmtId="0" fontId="6" fillId="0" borderId="5" xfId="3" applyNumberFormat="1" applyFont="1" applyFill="1" applyBorder="1" applyAlignment="1">
      <x:alignment horizontal="center" vertical="center"/>
    </x:xf>
    <x:xf numFmtId="176" fontId="11" fillId="0" borderId="13" xfId="3" applyNumberFormat="1" applyFont="1" applyFill="1" applyBorder="1" applyAlignment="1">
      <x:alignment horizontal="center" vertical="center"/>
    </x:xf>
    <x:xf numFmtId="176" fontId="11" fillId="0" borderId="1" xfId="3" applyNumberFormat="1" applyFont="1" applyFill="1" applyBorder="1" applyAlignment="1">
      <x:alignment horizontal="center" vertical="center"/>
    </x:xf>
    <x:xf numFmtId="176" fontId="11" fillId="0" borderId="2" xfId="3" applyNumberFormat="1" applyFont="1" applyFill="1" applyBorder="1" applyAlignment="1">
      <x:alignment horizontal="center" vertical="center"/>
    </x:xf>
    <x:xf numFmtId="41" fontId="6" fillId="0" borderId="14" xfId="3" applyNumberFormat="1" applyFont="1" applyFill="1" applyBorder="1" applyAlignment="1">
      <x:alignment horizontal="center" vertical="center"/>
    </x:xf>
    <x:xf numFmtId="41" fontId="6" fillId="0" borderId="17" xfId="3" applyNumberFormat="1" applyFont="1" applyFill="1" applyBorder="1" applyAlignment="1">
      <x:alignment horizontal="center" vertical="center"/>
    </x:xf>
    <x:xf numFmtId="41" fontId="6" fillId="0" borderId="5" xfId="3" applyNumberFormat="1" applyFont="1" applyFill="1" applyBorder="1" applyAlignment="1">
      <x:alignment horizontal="center" vertical="center"/>
    </x:xf>
    <x:xf numFmtId="49" fontId="6" fillId="0" borderId="14" xfId="3" applyNumberFormat="1" applyFont="1" applyFill="1" applyBorder="1" applyAlignment="1">
      <x:alignment horizontal="center" vertical="center"/>
    </x:xf>
    <x:xf numFmtId="49" fontId="6" fillId="0" borderId="17" xfId="3" applyNumberFormat="1" applyFont="1" applyFill="1" applyBorder="1" applyAlignment="1">
      <x:alignment horizontal="center" vertical="center"/>
    </x:xf>
    <x:xf numFmtId="49" fontId="6" fillId="0" borderId="5" xfId="3" applyNumberFormat="1" applyFont="1" applyFill="1" applyBorder="1" applyAlignment="1">
      <x:alignment horizontal="center" vertical="center"/>
    </x:xf>
    <x:xf numFmtId="0" fontId="17" fillId="0" borderId="17" xfId="0" applyFont="1" applyBorder="1">
      <x:alignment vertical="center"/>
    </x:xf>
    <x:xf numFmtId="0" fontId="17" fillId="0" borderId="5" xfId="0" applyFont="1" applyBorder="1">
      <x:alignment vertical="center"/>
    </x:xf>
    <x:xf numFmtId="176" fontId="6" fillId="0" borderId="14" xfId="3" applyNumberFormat="1" applyFont="1" applyFill="1" applyBorder="1" applyAlignment="1">
      <x:alignment horizontal="center" vertical="center"/>
    </x:xf>
    <x:xf numFmtId="0" fontId="14" fillId="0" borderId="17" xfId="0" applyFont="1" applyBorder="1">
      <x:alignment vertical="center"/>
    </x:xf>
    <x:xf numFmtId="0" fontId="14" fillId="0" borderId="5" xfId="0" applyFont="1" applyBorder="1">
      <x:alignment vertical="center"/>
    </x:xf>
    <x:xf numFmtId="41" fontId="17" fillId="0" borderId="17" xfId="5" applyFont="1" applyFill="1" applyBorder="1" applyAlignment="1">
      <x:alignment horizontal="center" vertical="center"/>
    </x:xf>
    <x:xf numFmtId="176" fontId="12" fillId="0" borderId="18" xfId="3" applyNumberFormat="1" applyFont="1" applyBorder="1" applyAlignment="1">
      <x:alignment horizontal="left" vertical="center"/>
    </x:xf>
    <x:xf numFmtId="176" fontId="5" fillId="0" borderId="13" xfId="3" applyNumberFormat="1" applyFont="1" applyFill="1" applyBorder="1" applyAlignment="1">
      <x:alignment horizontal="center" vertical="center"/>
    </x:xf>
    <x:xf numFmtId="176" fontId="5" fillId="0" borderId="1" xfId="3" applyNumberFormat="1" applyFont="1" applyFill="1" applyBorder="1" applyAlignment="1">
      <x:alignment horizontal="center" vertical="center"/>
    </x:xf>
    <x:xf numFmtId="176" fontId="5" fillId="0" borderId="2" xfId="3" applyNumberFormat="1" applyFont="1" applyFill="1" applyBorder="1" applyAlignment="1">
      <x:alignment horizontal="center" vertical="center"/>
    </x:xf>
    <x:xf numFmtId="177" fontId="6" fillId="0" borderId="13" xfId="3" applyNumberFormat="1" applyFont="1" applyFill="1" applyBorder="1" applyAlignment="1">
      <x:alignment horizontal="center" vertical="center"/>
    </x:xf>
    <x:xf numFmtId="177" fontId="6" fillId="0" borderId="1" xfId="3" applyNumberFormat="1" applyFont="1" applyFill="1" applyBorder="1" applyAlignment="1">
      <x:alignment horizontal="center" vertical="center"/>
    </x:xf>
    <x:xf numFmtId="177" fontId="6" fillId="0" borderId="2" xfId="3" applyNumberFormat="1" applyFont="1" applyFill="1" applyBorder="1" applyAlignment="1">
      <x:alignment horizontal="center" vertical="center"/>
    </x:xf>
    <x:xf numFmtId="176" fontId="6" fillId="0" borderId="17" xfId="3" applyNumberFormat="1" applyFont="1" applyFill="1" applyBorder="1" applyAlignment="1">
      <x:alignment horizontal="center" vertical="center"/>
    </x:xf>
    <x:xf numFmtId="176" fontId="6" fillId="0" borderId="5" xfId="3" applyNumberFormat="1" applyFont="1" applyFill="1" applyBorder="1" applyAlignment="1">
      <x:alignment horizontal="center" vertical="center"/>
    </x:xf>
    <x:xf numFmtId="176" fontId="11" fillId="0" borderId="13" xfId="3" applyNumberFormat="1" applyFont="1" applyBorder="1" applyAlignment="1">
      <x:alignment horizontal="center" vertical="center"/>
    </x:xf>
    <x:xf numFmtId="176" fontId="11" fillId="0" borderId="1" xfId="3" applyNumberFormat="1" applyFont="1" applyBorder="1" applyAlignment="1">
      <x:alignment horizontal="center" vertical="center"/>
    </x:xf>
    <x:xf numFmtId="176" fontId="11" fillId="0" borderId="2" xfId="3" applyNumberFormat="1" applyFont="1" applyBorder="1" applyAlignment="1">
      <x:alignment horizontal="center" vertical="center"/>
    </x:xf>
    <x:xf numFmtId="0" fontId="6" fillId="3" borderId="14" xfId="3" applyNumberFormat="1" applyFont="1" applyFill="1" applyBorder="1" applyAlignment="1">
      <x:alignment horizontal="left" vertical="center"/>
    </x:xf>
    <x:xf numFmtId="0" fontId="18" fillId="3" borderId="17" xfId="0" applyFont="1" applyFill="1" applyBorder="1" applyAlignment="1">
      <x:alignment horizontal="left" vertical="center"/>
    </x:xf>
    <x:xf numFmtId="0" fontId="18" fillId="3" borderId="5" xfId="0" applyFont="1" applyFill="1" applyBorder="1" applyAlignment="1">
      <x:alignment horizontal="left" vertical="center"/>
    </x:xf>
    <x:xf numFmtId="0" fontId="6" fillId="0" borderId="13" xfId="3" applyNumberFormat="1" applyFont="1" applyBorder="1" applyAlignment="1">
      <x:alignment horizontal="center" vertical="center"/>
    </x:xf>
    <x:xf numFmtId="0" fontId="6" fillId="0" borderId="1" xfId="3" applyNumberFormat="1" applyFont="1" applyBorder="1" applyAlignment="1">
      <x:alignment horizontal="center" vertical="center"/>
    </x:xf>
    <x:xf numFmtId="0" fontId="6" fillId="0" borderId="2" xfId="3" applyNumberFormat="1" applyFont="1" applyBorder="1" applyAlignment="1">
      <x:alignment horizontal="center" vertical="center"/>
    </x:xf>
    <x:xf numFmtId="41" fontId="17" fillId="3" borderId="14" xfId="5" applyFont="1" applyFill="1" applyBorder="1" applyAlignment="1">
      <x:alignment horizontal="center" vertical="center"/>
    </x:xf>
    <x:xf numFmtId="0" fontId="18" fillId="3" borderId="17" xfId="0" applyFont="1" applyFill="1" applyBorder="1" applyAlignment="1">
      <x:alignment horizontal="center" vertical="center"/>
    </x:xf>
    <x:xf numFmtId="0" fontId="18" fillId="3" borderId="5" xfId="0" applyFont="1" applyFill="1" applyBorder="1" applyAlignment="1">
      <x:alignment horizontal="center" vertical="center"/>
    </x:xf>
    <x:xf numFmtId="0" fontId="6" fillId="0" borderId="19" xfId="3" applyNumberFormat="1" applyFont="1" applyFill="1" applyBorder="1" applyAlignment="1">
      <x:alignment horizontal="center" vertical="center"/>
    </x:xf>
    <x:xf numFmtId="0" fontId="6" fillId="0" borderId="20" xfId="3" applyNumberFormat="1" applyFont="1" applyFill="1" applyBorder="1" applyAlignment="1">
      <x:alignment horizontal="center" vertical="center"/>
    </x:xf>
    <x:xf numFmtId="0" fontId="6" fillId="0" borderId="4" xfId="3" applyNumberFormat="1" applyFont="1" applyFill="1" applyBorder="1" applyAlignment="1">
      <x:alignment horizontal="center" vertical="center"/>
    </x:xf>
    <x:xf numFmtId="42" fontId="7" fillId="0" borderId="13" xfId="1" applyNumberFormat="1" applyFont="1" applyBorder="1" applyAlignment="1">
      <x:alignment horizontal="center" vertical="center"/>
    </x:xf>
    <x:xf numFmtId="42" fontId="7" fillId="0" borderId="1" xfId="1" applyNumberFormat="1" applyFont="1" applyBorder="1" applyAlignment="1">
      <x:alignment horizontal="center" vertical="center"/>
    </x:xf>
    <x:xf numFmtId="42" fontId="7" fillId="0" borderId="2" xfId="1" applyNumberFormat="1" applyFont="1" applyBorder="1" applyAlignment="1">
      <x:alignment horizontal="center" vertical="center"/>
    </x:xf>
    <x:xf numFmtId="0" fontId="14" fillId="0" borderId="19" xfId="3" applyNumberFormat="1" applyFont="1" applyFill="1" applyBorder="1" applyAlignment="1">
      <x:alignment horizontal="left" vertical="center"/>
    </x:xf>
    <x:xf numFmtId="0" fontId="0" fillId="0" borderId="20" xfId="0" applyBorder="1" applyAlignment="1">
      <x:alignment horizontal="left" vertical="center"/>
    </x:xf>
    <x:xf numFmtId="0" fontId="0" fillId="0" borderId="4" xfId="0" applyBorder="1" applyAlignment="1">
      <x:alignment horizontal="left" vertical="center"/>
    </x:xf>
    <x:xf numFmtId="41" fontId="6" fillId="0" borderId="14" xfId="5" applyFont="1" applyFill="1" applyBorder="1" applyAlignment="1">
      <x:alignment horizontal="center" vertical="center"/>
    </x:xf>
    <x:xf numFmtId="41" fontId="6" fillId="0" borderId="17" xfId="5" applyFont="1" applyFill="1" applyBorder="1" applyAlignment="1">
      <x:alignment horizontal="center" vertical="center"/>
    </x:xf>
    <x:xf numFmtId="41" fontId="6" fillId="0" borderId="5" xfId="5" applyFont="1" applyFill="1" applyBorder="1" applyAlignment="1">
      <x:alignment horizontal="center" vertical="center"/>
    </x:xf>
    <x:xf numFmtId="176" fontId="12" fillId="0" borderId="13" xfId="3" applyNumberFormat="1" applyFont="1" applyBorder="1" applyAlignment="1">
      <x:alignment horizontal="left" vertical="center"/>
    </x:xf>
    <x:xf numFmtId="176" fontId="12" fillId="0" borderId="1" xfId="3" applyNumberFormat="1" applyFont="1" applyBorder="1" applyAlignment="1">
      <x:alignment horizontal="left" vertical="center"/>
    </x:xf>
    <x:xf numFmtId="42" fontId="7" fillId="0" borderId="13" xfId="2" applyFont="1" applyFill="1" applyBorder="1" applyAlignment="1">
      <x:alignment horizontal="center" vertical="center"/>
    </x:xf>
    <x:xf numFmtId="42" fontId="7" fillId="0" borderId="1" xfId="2" applyFont="1" applyFill="1" applyBorder="1" applyAlignment="1">
      <x:alignment horizontal="center" vertical="center"/>
    </x:xf>
    <x:xf numFmtId="42" fontId="7" fillId="0" borderId="2" xfId="2" applyFont="1" applyFill="1" applyBorder="1" applyAlignment="1">
      <x:alignment horizontal="center" vertical="center"/>
    </x:xf>
    <x:xf numFmtId="176" fontId="6" fillId="0" borderId="13" xfId="3" applyNumberFormat="1" applyFont="1" applyBorder="1" applyAlignment="1">
      <x:alignment horizontal="left" vertical="center"/>
    </x:xf>
    <x:xf numFmtId="176" fontId="6" fillId="0" borderId="1" xfId="3" applyNumberFormat="1" applyFont="1" applyBorder="1" applyAlignment="1">
      <x:alignment horizontal="left" vertical="center"/>
    </x:xf>
    <x:xf numFmtId="176" fontId="6" fillId="0" borderId="2" xfId="3" applyNumberFormat="1" applyFont="1" applyBorder="1" applyAlignment="1">
      <x:alignment horizontal="left" vertical="center"/>
    </x:xf>
    <x:xf numFmtId="42" fontId="7" fillId="0" borderId="13" xfId="2" applyFont="1" applyBorder="1" applyAlignment="1">
      <x:alignment horizontal="center" vertical="center"/>
    </x:xf>
    <x:xf numFmtId="42" fontId="7" fillId="0" borderId="1" xfId="2" applyFont="1" applyBorder="1" applyAlignment="1">
      <x:alignment horizontal="center" vertical="center"/>
    </x:xf>
    <x:xf numFmtId="42" fontId="7" fillId="0" borderId="2" xfId="2" applyFont="1" applyBorder="1" applyAlignment="1">
      <x:alignment horizontal="center" vertical="center"/>
    </x:xf>
    <x:xf numFmtId="176" fontId="7" fillId="0" borderId="15" xfId="3" applyNumberFormat="1" applyFont="1" applyFill="1" applyBorder="1" applyAlignment="1">
      <x:alignment horizontal="left" vertical="center"/>
    </x:xf>
    <x:xf numFmtId="176" fontId="7" fillId="0" borderId="16" xfId="3" applyNumberFormat="1" applyFont="1" applyFill="1" applyBorder="1" applyAlignment="1">
      <x:alignment horizontal="left" vertical="center"/>
    </x:xf>
    <x:xf numFmtId="176" fontId="7" fillId="0" borderId="6" xfId="3" applyNumberFormat="1" applyFont="1" applyFill="1" applyBorder="1" applyAlignment="1">
      <x:alignment horizontal="left" vertical="center"/>
    </x:xf>
    <x:xf numFmtId="176" fontId="7" fillId="0" borderId="19" xfId="3" applyNumberFormat="1" applyFont="1" applyFill="1" applyBorder="1" applyAlignment="1">
      <x:alignment horizontal="left" vertical="center"/>
    </x:xf>
    <x:xf numFmtId="176" fontId="7" fillId="0" borderId="20" xfId="3" applyNumberFormat="1" applyFont="1" applyFill="1" applyBorder="1" applyAlignment="1">
      <x:alignment horizontal="left" vertical="center"/>
    </x:xf>
    <x:xf numFmtId="176" fontId="7" fillId="0" borderId="4" xfId="3" applyNumberFormat="1" applyFont="1" applyFill="1" applyBorder="1" applyAlignment="1">
      <x:alignment horizontal="left" vertical="center"/>
    </x:xf>
    <x:xf numFmtId="176" fontId="7" fillId="0" borderId="11" xfId="3" applyNumberFormat="1" applyFont="1" applyFill="1" applyBorder="1" applyAlignment="1">
      <x:alignment horizontal="left" vertical="center"/>
    </x:xf>
    <x:xf numFmtId="176" fontId="2" fillId="0" borderId="0" xfId="3" applyNumberFormat="1" applyFont="1" applyAlignment="1">
      <x:alignment horizontal="center" vertical="center"/>
    </x:xf>
    <x:xf numFmtId="176" fontId="2" fillId="0" borderId="0" xfId="3" applyNumberFormat="1" applyFont="1" applyBorder="1" applyAlignment="1">
      <x:alignment horizontal="center" vertical="center"/>
    </x:xf>
    <x:xf numFmtId="176" fontId="10" fillId="0" borderId="0" xfId="3" applyNumberFormat="1" applyFont="1" applyBorder="1" applyAlignment="1">
      <x:alignment horizontal="center" vertical="center"/>
    </x:xf>
    <x:xf numFmtId="0" fontId="17" fillId="0" borderId="14" xfId="3" applyNumberFormat="1" applyFont="1" applyFill="1" applyBorder="1" applyAlignment="1">
      <x:alignment horizontal="center" vertical="center"/>
    </x:xf>
    <x:xf numFmtId="0" fontId="17" fillId="0" borderId="17" xfId="3" applyNumberFormat="1" applyFont="1" applyFill="1" applyBorder="1" applyAlignment="1">
      <x:alignment horizontal="center" vertical="center"/>
    </x:xf>
    <x:xf numFmtId="0" fontId="17" fillId="0" borderId="5" xfId="3" applyNumberFormat="1" applyFont="1" applyFill="1" applyBorder="1" applyAlignment="1">
      <x:alignment horizontal="center" vertical="center"/>
    </x:xf>
    <x:xf numFmtId="0" fontId="17" fillId="0" borderId="14" xfId="3" applyNumberFormat="1" applyFont="1" applyFill="1" applyBorder="1" applyAlignment="1">
      <x:alignment horizontal="center" vertical="center"/>
    </x:xf>
    <x:xf numFmtId="0" fontId="17" fillId="0" borderId="17" xfId="3" applyNumberFormat="1" applyFont="1" applyFill="1" applyBorder="1" applyAlignment="1">
      <x:alignment horizontal="center" vertical="center"/>
    </x:xf>
    <x:xf numFmtId="0" fontId="17" fillId="0" borderId="5" xfId="3" applyNumberFormat="1" applyFont="1" applyFill="1" applyBorder="1" applyAlignment="1">
      <x:alignment horizontal="center" vertical="center"/>
    </x:xf>
    <x:xf numFmtId="41" fontId="17" fillId="0" borderId="15" xfId="5" applyFont="1" applyFill="1" applyBorder="1" applyAlignment="1">
      <x:alignment horizontal="right" vertical="center"/>
    </x:xf>
    <x:xf numFmtId="41" fontId="17" fillId="0" borderId="16" xfId="5" applyFont="1" applyFill="1" applyBorder="1" applyAlignment="1">
      <x:alignment horizontal="right" vertical="center"/>
    </x:xf>
    <x:xf numFmtId="41" fontId="17" fillId="0" borderId="6" xfId="5" applyFont="1" applyFill="1" applyBorder="1" applyAlignment="1">
      <x:alignment horizontal="right" vertical="center"/>
    </x:xf>
    <x:xf numFmtId="0" fontId="17" fillId="0" borderId="14" xfId="3" applyNumberFormat="1" applyFont="1" applyFill="1" applyBorder="1" applyAlignment="1">
      <x:alignment horizontal="left" vertical="center"/>
    </x:xf>
    <x:xf numFmtId="0" fontId="18" fillId="0" borderId="17" xfId="0" applyFont="1" applyBorder="1" applyAlignment="1">
      <x:alignment horizontal="left" vertical="center"/>
    </x:xf>
    <x:xf numFmtId="0" fontId="18" fillId="0" borderId="5" xfId="0" applyFont="1" applyBorder="1" applyAlignment="1">
      <x:alignment horizontal="left" vertical="center"/>
    </x:xf>
    <x:xf numFmtId="0" fontId="17" fillId="3" borderId="15" xfId="3" applyNumberFormat="1" applyFont="1" applyFill="1" applyBorder="1" applyAlignment="1">
      <x:alignment horizontal="left" vertical="center"/>
    </x:xf>
    <x:xf numFmtId="0" fontId="17" fillId="3" borderId="16" xfId="3" applyNumberFormat="1" applyFont="1" applyFill="1" applyBorder="1" applyAlignment="1">
      <x:alignment horizontal="left" vertical="center"/>
    </x:xf>
    <x:xf numFmtId="0" fontId="17" fillId="3" borderId="6" xfId="3" applyNumberFormat="1" applyFont="1" applyFill="1" applyBorder="1" applyAlignment="1">
      <x:alignment horizontal="left" vertical="center"/>
    </x:xf>
    <x:xf numFmtId="42" fontId="7" fillId="0" borderId="13" xfId="3" applyNumberFormat="1" applyFont="1" applyBorder="1" applyAlignment="1">
      <x:alignment horizontal="center" vertical="center"/>
    </x:xf>
    <x:xf numFmtId="42" fontId="7" fillId="0" borderId="1" xfId="3" applyNumberFormat="1" applyFont="1" applyBorder="1" applyAlignment="1">
      <x:alignment horizontal="center" vertical="center"/>
    </x:xf>
    <x:xf numFmtId="42" fontId="7" fillId="0" borderId="2" xfId="3" applyNumberFormat="1" applyFont="1" applyBorder="1" applyAlignment="1">
      <x:alignment horizontal="center" vertical="center"/>
    </x:xf>
    <x:xf numFmtId="176" fontId="6" fillId="0" borderId="0" xfId="3" applyNumberFormat="1" applyFont="1" applyBorder="1" applyAlignment="1">
      <x:alignment horizontal="center" vertical="center"/>
    </x:xf>
    <x:xf numFmtId="42" fontId="7" fillId="0" borderId="13" xfId="1" applyNumberFormat="1" applyFont="1" applyFill="1" applyBorder="1" applyAlignment="1">
      <x:alignment horizontal="center" vertical="center"/>
    </x:xf>
    <x:xf numFmtId="42" fontId="7" fillId="0" borderId="1" xfId="1" applyNumberFormat="1" applyFont="1" applyFill="1" applyBorder="1" applyAlignment="1">
      <x:alignment horizontal="center" vertical="center"/>
    </x:xf>
    <x:xf numFmtId="42" fontId="7" fillId="0" borderId="2" xfId="1" applyNumberFormat="1" applyFont="1" applyFill="1" applyBorder="1" applyAlignment="1">
      <x:alignment horizontal="center" vertical="center"/>
    </x:xf>
    <x:xf numFmtId="176" fontId="6" fillId="3" borderId="9" xfId="3" applyNumberFormat="1" applyFont="1" applyFill="1" applyBorder="1" applyAlignment="1">
      <x:alignment horizontal="center" vertical="center"/>
    </x:xf>
    <x:xf numFmtId="0" fontId="17" fillId="3" borderId="14" xfId="3" applyNumberFormat="1" applyFont="1" applyFill="1" applyBorder="1" applyAlignment="1">
      <x:alignment horizontal="center" vertical="center"/>
    </x:xf>
    <x:xf numFmtId="0" fontId="17" fillId="3" borderId="17" xfId="3" applyNumberFormat="1" applyFont="1" applyFill="1" applyBorder="1" applyAlignment="1">
      <x:alignment horizontal="center" vertical="center"/>
    </x:xf>
    <x:xf numFmtId="0" fontId="17" fillId="3" borderId="5" xfId="3" applyNumberFormat="1" applyFont="1" applyFill="1" applyBorder="1" applyAlignment="1">
      <x:alignment horizontal="center" vertical="center"/>
    </x:xf>
    <x:xf numFmtId="0" fontId="17" fillId="3" borderId="14" xfId="3" applyNumberFormat="1" applyFont="1" applyFill="1" applyBorder="1" applyAlignment="1">
      <x:alignment horizontal="center" vertical="center"/>
    </x:xf>
    <x:xf numFmtId="0" fontId="17" fillId="3" borderId="17" xfId="3" applyNumberFormat="1" applyFont="1" applyFill="1" applyBorder="1" applyAlignment="1">
      <x:alignment horizontal="center" vertical="center"/>
    </x:xf>
    <x:xf numFmtId="0" fontId="17" fillId="3" borderId="5" xfId="3" applyNumberFormat="1" applyFont="1" applyFill="1" applyBorder="1" applyAlignment="1">
      <x:alignment horizontal="center" vertical="center"/>
    </x:xf>
    <x:xf numFmtId="0" fontId="17" fillId="3" borderId="5" xfId="3" applyNumberFormat="1" applyFont="1" applyFill="1" applyBorder="1" applyAlignment="1">
      <x:alignment horizontal="center" vertical="center"/>
    </x:xf>
    <x:xf numFmtId="41" fontId="17" fillId="3" borderId="9" xfId="5" applyFont="1" applyFill="1" applyBorder="1" applyAlignment="1">
      <x:alignment horizontal="center" vertical="center"/>
    </x:xf>
    <x:xf numFmtId="41" fontId="17" fillId="3" borderId="17" xfId="5" applyFont="1" applyFill="1" applyBorder="1" applyAlignment="1">
      <x:alignment horizontal="center" vertical="center"/>
    </x:xf>
    <x:xf numFmtId="0" fontId="6" fillId="3" borderId="14" xfId="3" applyNumberFormat="1" applyFont="1" applyFill="1" applyBorder="1" applyAlignment="1">
      <x:alignment horizontal="center" vertical="center"/>
    </x:xf>
    <x:xf numFmtId="0" fontId="6" fillId="3" borderId="17" xfId="3" applyNumberFormat="1" applyFont="1" applyFill="1" applyBorder="1" applyAlignment="1">
      <x:alignment horizontal="center" vertical="center"/>
    </x:xf>
    <x:xf numFmtId="0" fontId="6" fillId="3" borderId="5" xfId="3" applyNumberFormat="1" applyFont="1" applyFill="1" applyBorder="1" applyAlignment="1">
      <x:alignment horizontal="center" vertical="center"/>
    </x:xf>
    <x:xf numFmtId="176" fontId="6" fillId="3" borderId="14" xfId="3" applyNumberFormat="1" applyFont="1" applyFill="1" applyBorder="1" applyAlignment="1">
      <x:alignment horizontal="center" vertical="center"/>
    </x:xf>
    <x:xf numFmtId="176" fontId="6" fillId="3" borderId="5" xfId="3" applyNumberFormat="1" applyFont="1" applyFill="1" applyBorder="1" applyAlignment="1">
      <x:alignment horizontal="center" vertical="center"/>
    </x:xf>
    <x:xf numFmtId="41" fontId="17" fillId="3" borderId="14" xfId="5" applyFont="1" applyFill="1" applyBorder="1" applyAlignment="1">
      <x:alignment horizontal="right" vertical="center"/>
    </x:xf>
    <x:xf numFmtId="41" fontId="17" fillId="3" borderId="17" xfId="5" applyFont="1" applyFill="1" applyBorder="1" applyAlignment="1">
      <x:alignment horizontal="right" vertical="center"/>
    </x:xf>
    <x:xf numFmtId="41" fontId="17" fillId="3" borderId="5" xfId="5" applyFont="1" applyFill="1" applyBorder="1" applyAlignment="1">
      <x:alignment horizontal="right" vertical="center"/>
    </x:xf>
    <x:xf numFmtId="176" fontId="6" fillId="0" borderId="17" xfId="3" applyNumberFormat="1" applyFont="1" applyFill="1" applyBorder="1" applyAlignment="1">
      <x:alignment horizontal="center" vertical="center"/>
    </x:xf>
  </x:cellXfs>
  <x:cellStyles count="7">
    <x:cellStyle name="쉼표 [0] 2" xfId="1"/>
    <x:cellStyle name="쉼표 [0] 2 2" xfId="6"/>
    <x:cellStyle name="쉼표 [0] 3" xfId="5"/>
    <x:cellStyle name="통화 [0]" xfId="2"/>
    <x:cellStyle name="표준" xfId="0"/>
    <x:cellStyle name="표준 2" xfId="3"/>
    <x:cellStyle name="하이퍼링크" xfId="4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efc61b44f7424e" /><Relationship Type="http://schemas.openxmlformats.org/officeDocument/2006/relationships/theme" Target="/xl/theme/theme1.xml" Id="R14b19eb2f4774651" /><Relationship Type="http://schemas.openxmlformats.org/officeDocument/2006/relationships/sharedStrings" Target="/xl/sharedStrings.xml" Id="R215ab8325ac049be" /><Relationship Type="http://schemas.openxmlformats.org/officeDocument/2006/relationships/worksheet" Target="/xl/worksheets/sheet1.xml" Id="Rdaea0a1611a444f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43ac4cce94a941fa" /></Relationships>
</file>

<file path=xl/drawings/drawing1.xml><?xml version="1.0" encoding="utf-8"?>
<xdr:wsDr xmlns:xdr="http://schemas.openxmlformats.org/drawingml/2006/spreadsheetDrawing">
  <xdr:twoCellAnchor editAs="oneCell">
    <xdr:from>
      <xdr:col>22</xdr:col>
      <xdr:colOff>152401</xdr:colOff>
      <xdr:row>3</xdr:row>
      <xdr:rowOff>66675</xdr:rowOff>
    </xdr:from>
    <xdr:to>
      <xdr:col>25</xdr:col>
      <xdr:colOff>461010</xdr:colOff>
      <xdr:row>5</xdr:row>
      <xdr:rowOff>156210</xdr:rowOff>
    </xdr:to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3ac4cce94a941f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mailto:hskj91311@naver.com" TargetMode="External" Id="Rcb3071a679604d96" /><Relationship Type="http://schemas.openxmlformats.org/officeDocument/2006/relationships/drawing" Target="/xl/drawings/drawing1.xml" Id="R6ab64415f4664f3a" /></Relationships>
</file>

<file path=xl/worksheets/sheet1.xml><?xml version="1.0" encoding="utf-8"?>
<x:worksheet xmlns:x="http://schemas.openxmlformats.org/spreadsheetml/2006/main">
  <x:dimension ref="A1:AE57"/>
  <x:sheetViews>
    <x:sheetView showGridLines="0" workbookViewId="0"/>
  </x:sheetViews>
  <x:sheetFormatPr defaultColWidth="9" defaultRowHeight="13.5"/>
  <x:cols>
    <x:col min="1" max="1" width="3.625" style="5" customWidth="1"/>
    <x:col min="2" max="2" width="2" style="5" customWidth="1"/>
    <x:col min="3" max="3" width="3.125" style="5" customWidth="1"/>
    <x:col min="4" max="4" width="2.375" style="5" customWidth="1"/>
    <x:col min="5" max="5" width="3.625" style="5" customWidth="1"/>
    <x:col min="6" max="6" width="1.5" style="5" customWidth="1"/>
    <x:col min="7" max="7" width="3.5" style="5" customWidth="1"/>
    <x:col min="8" max="9" width="3.625" style="5" customWidth="1"/>
    <x:col min="10" max="10" width="5.375" style="5" customWidth="1"/>
    <x:col min="11" max="11" width="2.875" style="5" customWidth="1"/>
    <x:col min="12" max="12" width="3.625" style="5" customWidth="1"/>
    <x:col min="13" max="13" width="6.125" style="5" customWidth="1"/>
    <x:col min="14" max="14" width="7.625" style="5" customWidth="1"/>
    <x:col min="15" max="15" width="5.75" style="5" customWidth="1"/>
    <x:col min="16" max="16" width="2" style="5" customWidth="1"/>
    <x:col min="17" max="17" width="5.125" style="5" customWidth="1"/>
    <x:col min="18" max="18" width="6" style="5" customWidth="1"/>
    <x:col min="19" max="21" width="3.625" style="5" customWidth="1"/>
    <x:col min="22" max="22" width="3.25" style="5" customWidth="1"/>
    <x:col min="23" max="23" width="3.5" style="5" customWidth="1"/>
    <x:col min="24" max="24" width="0.875" style="5" customWidth="1"/>
    <x:col min="25" max="25" width="0.375" style="5" customWidth="1"/>
    <x:col min="26" max="26" width="10.375" style="5" customWidth="1"/>
    <x:col min="27" max="16384" width="9" style="1" customWidth="0"/>
  </x:cols>
  <x:sheetData>
    <x:row r="1" ht="11.100000381469727" customHeight="1">
      <x:c r="A1" s="168"/>
      <x:c r="B1" s="168"/>
      <x:c r="C1" s="168"/>
      <x:c r="D1" s="168"/>
      <x:c r="E1" s="168"/>
      <x:c r="F1" s="168"/>
      <x:c r="G1" s="169"/>
      <x:c r="H1" s="170" t="s">
        <x:v>0</x:v>
      </x:c>
      <x:c r="I1" s="170"/>
      <x:c r="J1" s="170"/>
      <x:c r="K1" s="170"/>
      <x:c r="L1" s="170"/>
      <x:c r="M1" s="170"/>
      <x:c r="N1" s="170"/>
      <x:c r="O1" s="170"/>
      <x:c r="P1" s="170"/>
      <x:c r="Q1" s="170"/>
      <x:c r="R1" s="170"/>
      <x:c r="S1" s="170"/>
      <x:c r="T1" s="170"/>
      <x:c r="U1" s="169"/>
      <x:c r="V1" s="168"/>
      <x:c r="W1" s="168"/>
      <x:c r="X1" s="168"/>
      <x:c r="Y1" s="168"/>
      <x:c r="Z1" s="168"/>
    </x:row>
    <x:row r="2" ht="11.100000381469727" customHeight="1">
      <x:c r="A2" s="168"/>
      <x:c r="B2" s="168"/>
      <x:c r="C2" s="168"/>
      <x:c r="D2" s="168"/>
      <x:c r="E2" s="168"/>
      <x:c r="F2" s="168"/>
      <x:c r="G2" s="169"/>
      <x:c r="H2" s="170"/>
      <x:c r="I2" s="170"/>
      <x:c r="J2" s="170"/>
      <x:c r="K2" s="170"/>
      <x:c r="L2" s="170"/>
      <x:c r="M2" s="170"/>
      <x:c r="N2" s="170"/>
      <x:c r="O2" s="170"/>
      <x:c r="P2" s="170"/>
      <x:c r="Q2" s="170"/>
      <x:c r="R2" s="170"/>
      <x:c r="S2" s="170"/>
      <x:c r="T2" s="170"/>
      <x:c r="U2" s="169"/>
      <x:c r="V2" s="168"/>
      <x:c r="W2" s="168"/>
      <x:c r="X2" s="168"/>
      <x:c r="Y2" s="168"/>
      <x:c r="Z2" s="168"/>
    </x:row>
    <x:row r="3" ht="3.950000047683716" customHeight="1">
      <x:c r="A3" s="15"/>
      <x:c r="B3" s="15"/>
      <x:c r="C3" s="15"/>
      <x:c r="D3" s="15"/>
      <x:c r="E3" s="15"/>
      <x:c r="F3" s="15"/>
      <x:c r="G3" s="15"/>
      <x:c r="H3" s="15"/>
      <x:c r="I3" s="15"/>
      <x:c r="J3" s="15"/>
      <x:c r="K3" s="15"/>
      <x:c r="L3" s="15"/>
      <x:c r="M3" s="15"/>
      <x:c r="N3" s="15"/>
      <x:c r="O3" s="15"/>
      <x:c r="P3" s="15"/>
      <x:c r="Q3" s="15"/>
      <x:c r="R3" s="15"/>
      <x:c r="S3" s="15"/>
      <x:c r="T3" s="15"/>
      <x:c r="U3" s="15"/>
      <x:c r="V3" s="15"/>
      <x:c r="W3" s="15"/>
      <x:c r="X3" s="15"/>
      <x:c r="Y3" s="15"/>
      <x:c r="Z3" s="15"/>
    </x:row>
    <x:row r="4" s="2" customFormat="1" ht="18" customHeight="1">
      <x:c r="A4" s="118" t="str">
        <x:v>현 대 위 아 ㈜  귀중</x:v>
      </x:c>
      <x:c r="B4" s="119"/>
      <x:c r="C4" s="119"/>
      <x:c r="D4" s="119"/>
      <x:c r="E4" s="119"/>
      <x:c r="F4" s="119"/>
      <x:c r="G4" s="119"/>
      <x:c r="H4" s="119"/>
      <x:c r="I4" s="119"/>
      <x:c r="J4" s="119"/>
      <x:c r="K4" s="119"/>
      <x:c r="L4" s="119"/>
      <x:c r="M4" s="120"/>
      <x:c r="N4" s="8"/>
      <x:c r="O4" s="96" t="s">
        <x:v>1</x:v>
      </x:c>
      <x:c r="P4" s="97"/>
      <x:c r="Q4" s="98"/>
      <x:c r="R4" s="87" t="str">
        <x:v>000-00-00000</x:v>
      </x:c>
      <x:c r="S4" s="88"/>
      <x:c r="T4" s="88"/>
      <x:c r="U4" s="88"/>
      <x:c r="V4" s="88"/>
      <x:c r="W4" s="89"/>
      <x:c r="X4" s="69" t="str">
        <x:v>(시연 전용)</x:v>
      </x:c>
      <x:c r="Y4" s="70"/>
      <x:c r="Z4" s="71"/>
    </x:row>
    <x:row r="5" s="2" customFormat="1" ht="18" customHeight="1">
      <x:c r="A5" s="66" t="s">
        <x:v>2</x:v>
      </x:c>
      <x:c r="B5" s="68"/>
      <x:c r="C5" s="68"/>
      <x:c r="D5" s="67"/>
      <x:c r="E5" s="121" t="str">
        <x:v>PA-DEMO-20260811-01</x:v>
      </x:c>
      <x:c r="F5" s="122"/>
      <x:c r="G5" s="122"/>
      <x:c r="H5" s="122"/>
      <x:c r="I5" s="122"/>
      <x:c r="J5" s="122"/>
      <x:c r="K5" s="122"/>
      <x:c r="L5" s="122"/>
      <x:c r="M5" s="123"/>
      <x:c r="N5" s="8"/>
      <x:c r="O5" s="66" t="s">
        <x:v>3</x:v>
      </x:c>
      <x:c r="P5" s="67"/>
      <x:c r="Q5" s="90" t="str">
        <x:v>시연용 협력사</x:v>
      </x:c>
      <x:c r="R5" s="91"/>
      <x:c r="S5" s="91"/>
      <x:c r="T5" s="91"/>
      <x:c r="U5" s="91"/>
      <x:c r="V5" s="91"/>
      <x:c r="W5" s="92"/>
      <x:c r="X5" s="72"/>
      <x:c r="Y5" s="73"/>
      <x:c r="Z5" s="74"/>
    </x:row>
    <x:row r="6" s="2" customFormat="1" ht="18" customHeight="1">
      <x:c r="A6" s="66" t="s">
        <x:v>4</x:v>
      </x:c>
      <x:c r="B6" s="68"/>
      <x:c r="C6" s="68"/>
      <x:c r="D6" s="67"/>
      <x:c r="E6" s="66" t="str">
        <x:v>2026년08월11일</x:v>
      </x:c>
      <x:c r="F6" s="68"/>
      <x:c r="G6" s="68"/>
      <x:c r="H6" s="68"/>
      <x:c r="I6" s="68"/>
      <x:c r="J6" s="68"/>
      <x:c r="K6" s="68"/>
      <x:c r="L6" s="68"/>
      <x:c r="M6" s="67"/>
      <x:c r="N6" s="8"/>
      <x:c r="O6" s="66" t="s">
        <x:v>5</x:v>
      </x:c>
      <x:c r="P6" s="67"/>
      <x:c r="Q6" s="93" t="str">
        <x:v>홍길동</x:v>
      </x:c>
      <x:c r="R6" s="94"/>
      <x:c r="S6" s="94"/>
      <x:c r="T6" s="94"/>
      <x:c r="U6" s="94"/>
      <x:c r="V6" s="94"/>
      <x:c r="W6" s="95"/>
      <x:c r="X6" s="75"/>
      <x:c r="Y6" s="76"/>
      <x:c r="Z6" s="77"/>
      <x:c r="AA6" s="3"/>
    </x:row>
    <x:row r="7" s="2" customFormat="1" ht="18" customHeight="1">
      <x:c r="A7" s="66" t="s">
        <x:v>6</x:v>
      </x:c>
      <x:c r="B7" s="68"/>
      <x:c r="C7" s="68"/>
      <x:c r="D7" s="67"/>
      <x:c r="E7" s="66" t="str">
        <x:v>견적일로부터 30일</x:v>
      </x:c>
      <x:c r="F7" s="68"/>
      <x:c r="G7" s="68"/>
      <x:c r="H7" s="68"/>
      <x:c r="I7" s="68"/>
      <x:c r="J7" s="68"/>
      <x:c r="K7" s="68"/>
      <x:c r="L7" s="68"/>
      <x:c r="M7" s="67"/>
      <x:c r="N7" s="8"/>
      <x:c r="O7" s="66" t="s">
        <x:v>7</x:v>
      </x:c>
      <x:c r="P7" s="67"/>
      <x:c r="Q7" s="90" t="str">
        <x:v>사내 시연 전용</x:v>
      </x:c>
      <x:c r="R7" s="91"/>
      <x:c r="S7" s="91"/>
      <x:c r="T7" s="91"/>
      <x:c r="U7" s="91"/>
      <x:c r="V7" s="91"/>
      <x:c r="W7" s="91"/>
      <x:c r="X7" s="91"/>
      <x:c r="Y7" s="91"/>
      <x:c r="Z7" s="92"/>
      <x:c r="AA7" s="3"/>
    </x:row>
    <x:row r="8" s="2" customFormat="1" ht="18" customHeight="1">
      <x:c r="A8" s="66" t="s">
        <x:v>8</x:v>
      </x:c>
      <x:c r="B8" s="68"/>
      <x:c r="C8" s="68"/>
      <x:c r="D8" s="67"/>
      <x:c r="E8" s="66" t="str">
        <x:v>협의</x:v>
      </x:c>
      <x:c r="F8" s="68"/>
      <x:c r="G8" s="68"/>
      <x:c r="H8" s="68"/>
      <x:c r="I8" s="68"/>
      <x:c r="J8" s="68"/>
      <x:c r="K8" s="68"/>
      <x:c r="L8" s="68"/>
      <x:c r="M8" s="67"/>
      <x:c r="N8" s="8"/>
      <x:c r="O8" s="66" t="s">
        <x:v>9</x:v>
      </x:c>
      <x:c r="P8" s="67"/>
      <x:c r="Q8" s="90" t="str">
        <x:v>02-0000-0000</x:v>
      </x:c>
      <x:c r="R8" s="91"/>
      <x:c r="S8" s="91"/>
      <x:c r="T8" s="92"/>
      <x:c r="U8" s="66" t="s">
        <x:v>10</x:v>
      </x:c>
      <x:c r="V8" s="67"/>
      <x:c r="W8" s="66" t="str">
        <x:v>-</x:v>
      </x:c>
      <x:c r="X8" s="68"/>
      <x:c r="Y8" s="68"/>
      <x:c r="Z8" s="67"/>
    </x:row>
    <x:row r="9" s="2" customFormat="1" ht="18" customHeight="1">
      <x:c r="A9" s="66" t="s">
        <x:v>11</x:v>
      </x:c>
      <x:c r="B9" s="68"/>
      <x:c r="C9" s="68"/>
      <x:c r="D9" s="67"/>
      <x:c r="E9" s="66" t="str">
        <x:v>발주 후 6주</x:v>
      </x:c>
      <x:c r="F9" s="68"/>
      <x:c r="G9" s="68"/>
      <x:c r="H9" s="68"/>
      <x:c r="I9" s="68"/>
      <x:c r="J9" s="68"/>
      <x:c r="K9" s="68"/>
      <x:c r="L9" s="68"/>
      <x:c r="M9" s="67"/>
      <x:c r="N9" s="9"/>
      <x:c r="O9" s="66" t="s">
        <x:v>12</x:v>
      </x:c>
      <x:c r="P9" s="67"/>
      <x:c r="Q9" s="55" t="str">
        <x:v>홍길동</x:v>
      </x:c>
      <x:c r="R9" s="56"/>
      <x:c r="S9" s="56"/>
      <x:c r="T9" s="56"/>
      <x:c r="U9" s="66" t="s">
        <x:v>13</x:v>
      </x:c>
      <x:c r="V9" s="67"/>
      <x:c r="W9" s="56" t="str">
        <x:v>010-0000-0000</x:v>
      </x:c>
      <x:c r="X9" s="56"/>
      <x:c r="Y9" s="56"/>
      <x:c r="Z9" s="57"/>
    </x:row>
    <x:row r="10" s="2" customFormat="1" ht="18" customHeight="1">
      <x:c r="A10" s="55" t="s">
        <x:v>14</x:v>
      </x:c>
      <x:c r="B10" s="56"/>
      <x:c r="C10" s="56"/>
      <x:c r="D10" s="57"/>
      <x:c r="E10" s="66" t="str">
        <x:v>현대위아 지정 장소</x:v>
      </x:c>
      <x:c r="F10" s="68"/>
      <x:c r="G10" s="68"/>
      <x:c r="H10" s="68"/>
      <x:c r="I10" s="68"/>
      <x:c r="J10" s="68"/>
      <x:c r="K10" s="68"/>
      <x:c r="L10" s="68"/>
      <x:c r="M10" s="67"/>
      <x:c r="N10" s="9"/>
      <x:c r="O10" s="66" t="s">
        <x:v>15</x:v>
      </x:c>
      <x:c r="P10" s="67"/>
      <x:c r="Q10" s="81" t="str">
        <x:v>demo@example.com</x:v>
      </x:c>
      <x:c r="R10" s="56"/>
      <x:c r="S10" s="56"/>
      <x:c r="T10" s="56"/>
      <x:c r="U10" s="56"/>
      <x:c r="V10" s="56"/>
      <x:c r="W10" s="56"/>
      <x:c r="X10" s="56"/>
      <x:c r="Y10" s="56"/>
      <x:c r="Z10" s="57"/>
    </x:row>
    <x:row r="11" s="2" customFormat="1" ht="3.950000047683716" customHeight="1">
      <x:c r="A11" s="13"/>
      <x:c r="B11" s="14"/>
      <x:c r="C11" s="14"/>
      <x:c r="D11" s="14"/>
      <x:c r="E11" s="18"/>
      <x:c r="F11" s="18"/>
      <x:c r="G11" s="18"/>
      <x:c r="H11" s="18"/>
      <x:c r="I11" s="18"/>
      <x:c r="J11" s="18"/>
      <x:c r="K11" s="18"/>
      <x:c r="L11" s="18"/>
      <x:c r="M11" s="18"/>
      <x:c r="N11" s="16"/>
      <x:c r="O11" s="17"/>
      <x:c r="P11" s="17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</x:row>
    <x:row r="12" s="19" customFormat="1" ht="23.100000381469727" customHeight="1">
      <x:c r="A12" s="126" t="s">
        <x:v>16</x:v>
      </x:c>
      <x:c r="B12" s="127"/>
      <x:c r="C12" s="127"/>
      <x:c r="D12" s="128"/>
      <x:c r="E12" s="82" t="str">
        <x:v>설비 구매 견적 적정성 분석 사내 시연</x:v>
      </x:c>
      <x:c r="F12" s="83"/>
      <x:c r="G12" s="83"/>
      <x:c r="H12" s="83"/>
      <x:c r="I12" s="83"/>
      <x:c r="J12" s="83"/>
      <x:c r="K12" s="83"/>
      <x:c r="L12" s="83"/>
      <x:c r="M12" s="83"/>
      <x:c r="N12" s="83"/>
      <x:c r="O12" s="83"/>
      <x:c r="P12" s="83"/>
      <x:c r="Q12" s="83"/>
      <x:c r="R12" s="83"/>
      <x:c r="S12" s="83"/>
      <x:c r="T12" s="83"/>
      <x:c r="U12" s="83"/>
      <x:c r="V12" s="83"/>
      <x:c r="W12" s="83"/>
      <x:c r="X12" s="83"/>
      <x:c r="Y12" s="83"/>
      <x:c r="Z12" s="84"/>
    </x:row>
    <x:row r="13" s="19" customFormat="1" ht="23.100000381469727" customHeight="1">
      <x:c r="A13" s="102" t="s">
        <x:v>17</x:v>
      </x:c>
      <x:c r="B13" s="103"/>
      <x:c r="C13" s="103"/>
      <x:c r="D13" s="104"/>
      <x:c r="E13" s="85" t="n">
        <x:f>O48</x:f>
        <x:v>11767250</x:v>
      </x:c>
      <x:c r="F13" s="86"/>
      <x:c r="G13" s="86"/>
      <x:c r="H13" s="86"/>
      <x:c r="I13" s="86"/>
      <x:c r="J13" s="86"/>
      <x:c r="K13" s="86"/>
      <x:c r="L13" s="86"/>
      <x:c r="M13" s="86"/>
      <x:c r="N13" s="86"/>
      <x:c r="O13" s="21" t="str">
        <x:v>(부가세 별도)</x:v>
      </x:c>
      <x:c r="P13" s="22"/>
      <x:c r="Q13" s="23"/>
      <x:c r="R13" s="24"/>
      <x:c r="S13" s="24"/>
      <x:c r="T13" s="24"/>
      <x:c r="U13" s="24"/>
      <x:c r="V13" s="24"/>
      <x:c r="W13" s="24"/>
      <x:c r="X13" s="24"/>
      <x:c r="Y13" s="24"/>
      <x:c r="Z13" s="21"/>
    </x:row>
    <x:row r="14" s="2" customFormat="1" ht="20.100000381469727" customHeight="1">
      <x:c r="A14" s="117" t="s">
        <x:v>18</x:v>
      </x:c>
      <x:c r="B14" s="117"/>
      <x:c r="C14" s="117"/>
      <x:c r="D14" s="117"/>
      <x:c r="E14" s="117"/>
      <x:c r="F14" s="117"/>
      <x:c r="G14" s="117"/>
      <x:c r="H14" s="117"/>
      <x:c r="I14" s="117"/>
      <x:c r="J14" s="117"/>
      <x:c r="K14" s="117"/>
      <x:c r="L14" s="117"/>
      <x:c r="M14" s="117"/>
      <x:c r="N14" s="117"/>
      <x:c r="O14" s="117"/>
      <x:c r="P14" s="117"/>
      <x:c r="Q14" s="117"/>
      <x:c r="R14" s="117"/>
      <x:c r="S14" s="117"/>
      <x:c r="T14" s="117"/>
      <x:c r="U14" s="117"/>
      <x:c r="V14" s="117"/>
      <x:c r="W14" s="117"/>
      <x:c r="X14" s="117"/>
      <x:c r="Y14" s="117"/>
      <x:c r="Z14" s="117"/>
    </x:row>
    <x:row r="15" s="2" customFormat="1" ht="17.100000381469727" customHeight="1">
      <x:c r="A15" s="59" t="s">
        <x:v>19</x:v>
      </x:c>
      <x:c r="B15" s="59"/>
      <x:c r="C15" s="55" t="s">
        <x:v>20</x:v>
      </x:c>
      <x:c r="D15" s="56"/>
      <x:c r="E15" s="56"/>
      <x:c r="F15" s="56"/>
      <x:c r="G15" s="56"/>
      <x:c r="H15" s="57"/>
      <x:c r="I15" s="55" t="s">
        <x:v>21</x:v>
      </x:c>
      <x:c r="J15" s="56"/>
      <x:c r="K15" s="56"/>
      <x:c r="L15" s="56"/>
      <x:c r="M15" s="57"/>
      <x:c r="N15" s="38" t="s">
        <x:v>22</x:v>
      </x:c>
      <x:c r="O15" s="39" t="s">
        <x:v>23</x:v>
      </x:c>
      <x:c r="P15" s="55" t="s">
        <x:v>24</x:v>
      </x:c>
      <x:c r="Q15" s="56"/>
      <x:c r="R15" s="57"/>
      <x:c r="S15" s="55" t="s">
        <x:v>25</x:v>
      </x:c>
      <x:c r="T15" s="56"/>
      <x:c r="U15" s="56"/>
      <x:c r="V15" s="57"/>
      <x:c r="W15" s="55" t="s">
        <x:v>26</x:v>
      </x:c>
      <x:c r="X15" s="56"/>
      <x:c r="Y15" s="56"/>
      <x:c r="Z15" s="57"/>
    </x:row>
    <x:row r="16" s="3" customFormat="1" ht="17.100000381469727" customHeight="1">
      <x:c r="A16" s="58" t="n">
        <x:v>1</x:v>
      </x:c>
      <x:c r="B16" s="58"/>
      <x:c r="C16" s="171" t="str">
        <x:v>SENSOR CABLE</x:v>
      </x:c>
      <x:c r="D16" s="172"/>
      <x:c r="E16" s="172"/>
      <x:c r="F16" s="172"/>
      <x:c r="G16" s="172"/>
      <x:c r="H16" s="173"/>
      <x:c r="I16" s="174" t="str">
        <x:v>BCCM314-0000</x:v>
      </x:c>
      <x:c r="J16" s="175"/>
      <x:c r="K16" s="175"/>
      <x:c r="L16" s="175"/>
      <x:c r="M16" s="176"/>
      <x:c r="N16" s="41" t="n">
        <x:v>20</x:v>
      </x:c>
      <x:c r="O16" s="42" t="str">
        <x:v>EA</x:v>
      </x:c>
      <x:c r="P16" s="64" t="n">
        <x:v>12300</x:v>
      </x:c>
      <x:c r="Q16" s="116"/>
      <x:c r="R16" s="116"/>
      <x:c r="S16" s="177" t="n">
        <x:f>N16*P16</x:f>
        <x:v>246000</x:v>
      </x:c>
      <x:c r="T16" s="178"/>
      <x:c r="U16" s="178"/>
      <x:c r="V16" s="179"/>
      <x:c r="W16" s="78" t="str">
        <x:v>BALLUFF</x:v>
      </x:c>
      <x:c r="X16" s="79"/>
      <x:c r="Y16" s="79"/>
      <x:c r="Z16" s="80"/>
    </x:row>
    <x:row r="17" s="3" customFormat="1" ht="17.100000381469727" customHeight="1">
      <x:c r="A17" s="193" t="n">
        <x:v>2</x:v>
      </x:c>
      <x:c r="B17" s="193"/>
      <x:c r="C17" s="194" t="str">
        <x:v>PHOTO SENSOR</x:v>
      </x:c>
      <x:c r="D17" s="195"/>
      <x:c r="E17" s="195"/>
      <x:c r="F17" s="195"/>
      <x:c r="G17" s="195"/>
      <x:c r="H17" s="196"/>
      <x:c r="I17" s="197" t="str">
        <x:v>E3Z-LS61</x:v>
      </x:c>
      <x:c r="J17" s="198"/>
      <x:c r="K17" s="198"/>
      <x:c r="L17" s="198"/>
      <x:c r="M17" s="199"/>
      <x:c r="N17" s="200" t="n">
        <x:v>8</x:v>
      </x:c>
      <x:c r="O17" s="201" t="str">
        <x:v>EA</x:v>
      </x:c>
      <x:c r="P17" s="135" t="n">
        <x:v>100000</x:v>
      </x:c>
      <x:c r="Q17" s="202"/>
      <x:c r="R17" s="202"/>
      <x:c r="S17" s="208" t="n">
        <x:f>N17*P17</x:f>
        <x:v>800000</x:v>
      </x:c>
      <x:c r="T17" s="209"/>
      <x:c r="U17" s="209"/>
      <x:c r="V17" s="210"/>
      <x:c r="W17" s="203" t="str">
        <x:v>OMRON</x:v>
      </x:c>
      <x:c r="X17" s="204"/>
      <x:c r="Y17" s="204"/>
      <x:c r="Z17" s="205"/>
    </x:row>
    <x:row r="18" s="3" customFormat="1" ht="17.100000381469727" customHeight="1">
      <x:c r="A18" s="206" t="n">
        <x:v>3</x:v>
      </x:c>
      <x:c r="B18" s="207"/>
      <x:c r="C18" s="194" t="str">
        <x:v>BARCODE SYSTEM</x:v>
      </x:c>
      <x:c r="D18" s="195"/>
      <x:c r="E18" s="195"/>
      <x:c r="F18" s="195"/>
      <x:c r="G18" s="195"/>
      <x:c r="H18" s="196"/>
      <x:c r="I18" s="197" t="str">
        <x:v>SR-X300</x:v>
      </x:c>
      <x:c r="J18" s="198"/>
      <x:c r="K18" s="198"/>
      <x:c r="L18" s="198"/>
      <x:c r="M18" s="199"/>
      <x:c r="N18" s="200" t="n">
        <x:v>1</x:v>
      </x:c>
      <x:c r="O18" s="201" t="str">
        <x:v>SET</x:v>
      </x:c>
      <x:c r="P18" s="135" t="n">
        <x:v>2250000</x:v>
      </x:c>
      <x:c r="Q18" s="202"/>
      <x:c r="R18" s="202"/>
      <x:c r="S18" s="208" t="n">
        <x:f>N18*P18</x:f>
        <x:v>2250000</x:v>
      </x:c>
      <x:c r="T18" s="209"/>
      <x:c r="U18" s="209"/>
      <x:c r="V18" s="210"/>
      <x:c r="W18" s="203" t="str">
        <x:v>KEYENCE</x:v>
      </x:c>
      <x:c r="X18" s="204"/>
      <x:c r="Y18" s="204"/>
      <x:c r="Z18" s="205"/>
    </x:row>
    <x:row r="19" s="3" customFormat="1" ht="16.5" customHeight="1">
      <x:c r="A19" s="62" t="n">
        <x:v>4</x:v>
      </x:c>
      <x:c r="B19" s="62"/>
      <x:c r="C19" s="194" t="str">
        <x:v>TOWER LAMP</x:v>
      </x:c>
      <x:c r="D19" s="195"/>
      <x:c r="E19" s="195"/>
      <x:c r="F19" s="195"/>
      <x:c r="G19" s="195"/>
      <x:c r="H19" s="196"/>
      <x:c r="I19" s="197" t="str">
        <x:v>ST-56L-3 DC24V LED</x:v>
      </x:c>
      <x:c r="J19" s="198"/>
      <x:c r="K19" s="198"/>
      <x:c r="L19" s="198"/>
      <x:c r="M19" s="199"/>
      <x:c r="N19" s="54" t="n">
        <x:v>3</x:v>
      </x:c>
      <x:c r="O19" s="201" t="str">
        <x:v>EA</x:v>
      </x:c>
      <x:c r="P19" s="105" t="n">
        <x:v>65000</x:v>
      </x:c>
      <x:c r="Q19" s="106"/>
      <x:c r="R19" s="107"/>
      <x:c r="S19" s="208" t="n">
        <x:f>N19*P19</x:f>
        <x:v>195000</x:v>
      </x:c>
      <x:c r="T19" s="209"/>
      <x:c r="U19" s="209"/>
      <x:c r="V19" s="210"/>
      <x:c r="W19" s="99" t="str">
        <x:v>Q-LIGHT</x:v>
      </x:c>
      <x:c r="X19" s="100"/>
      <x:c r="Y19" s="100"/>
      <x:c r="Z19" s="101"/>
    </x:row>
    <x:row r="20" s="3" customFormat="1" ht="17.100000381469727" customHeight="1">
      <x:c r="A20" s="193" t="n">
        <x:v>5</x:v>
      </x:c>
      <x:c r="B20" s="193"/>
      <x:c r="C20" s="60" t="str">
        <x:v>SERVO MOTOR REDUCER</x:v>
      </x:c>
      <x:c r="D20" s="211"/>
      <x:c r="E20" s="211"/>
      <x:c r="F20" s="211"/>
      <x:c r="G20" s="211"/>
      <x:c r="H20" s="63"/>
      <x:c r="I20" s="108" t="str">
        <x:v>1FK7062-2AC71-1CB0</x:v>
      </x:c>
      <x:c r="J20" s="109"/>
      <x:c r="K20" s="109"/>
      <x:c r="L20" s="109"/>
      <x:c r="M20" s="110"/>
      <x:c r="N20" s="54" t="n">
        <x:v>1</x:v>
      </x:c>
      <x:c r="O20" s="201" t="str">
        <x:v>SET</x:v>
      </x:c>
      <x:c r="P20" s="105" t="n">
        <x:v>3780000</x:v>
      </x:c>
      <x:c r="Q20" s="106"/>
      <x:c r="R20" s="106"/>
      <x:c r="S20" s="208" t="n">
        <x:f>N20*P20</x:f>
        <x:v>3780000</x:v>
      </x:c>
      <x:c r="T20" s="209"/>
      <x:c r="U20" s="209"/>
      <x:c r="V20" s="210"/>
      <x:c r="W20" s="99" t="str">
        <x:v>SIEMENS</x:v>
      </x:c>
      <x:c r="X20" s="100"/>
      <x:c r="Y20" s="100"/>
      <x:c r="Z20" s="101"/>
    </x:row>
    <x:row r="21" s="3" customFormat="1" ht="16.5" customHeight="1">
      <x:c r="A21" s="206" t="n">
        <x:v>6</x:v>
      </x:c>
      <x:c r="B21" s="207"/>
      <x:c r="C21" s="60" t="str">
        <x:v>AIR TANK</x:v>
      </x:c>
      <x:c r="D21" s="211"/>
      <x:c r="E21" s="211"/>
      <x:c r="F21" s="211"/>
      <x:c r="G21" s="211"/>
      <x:c r="H21" s="63"/>
      <x:c r="I21" s="108" t="str">
        <x:v>AC40B-04DG-A</x:v>
      </x:c>
      <x:c r="J21" s="109"/>
      <x:c r="K21" s="109"/>
      <x:c r="L21" s="109"/>
      <x:c r="M21" s="110"/>
      <x:c r="N21" s="54" t="n">
        <x:v>1</x:v>
      </x:c>
      <x:c r="O21" s="201" t="str">
        <x:v>SET</x:v>
      </x:c>
      <x:c r="P21" s="105" t="n">
        <x:v>782000</x:v>
      </x:c>
      <x:c r="Q21" s="106"/>
      <x:c r="R21" s="107"/>
      <x:c r="S21" s="208" t="n">
        <x:f>N21*P21</x:f>
        <x:v>782000</x:v>
      </x:c>
      <x:c r="T21" s="209"/>
      <x:c r="U21" s="209"/>
      <x:c r="V21" s="210"/>
      <x:c r="W21" s="99" t="str">
        <x:v>SMC</x:v>
      </x:c>
      <x:c r="X21" s="100"/>
      <x:c r="Y21" s="100"/>
      <x:c r="Z21" s="101"/>
    </x:row>
    <x:row r="22" s="3" customFormat="1" ht="17.100000381469727" customHeight="1">
      <x:c r="A22" s="62" t="n">
        <x:v>7</x:v>
      </x:c>
      <x:c r="B22" s="62"/>
      <x:c r="C22" s="60" t="str">
        <x:v>PLC CPU</x:v>
      </x:c>
      <x:c r="D22" s="211"/>
      <x:c r="E22" s="211"/>
      <x:c r="F22" s="211"/>
      <x:c r="G22" s="211"/>
      <x:c r="H22" s="63"/>
      <x:c r="I22" s="108" t="str">
        <x:v>Q13UDVCPU</x:v>
      </x:c>
      <x:c r="J22" s="109"/>
      <x:c r="K22" s="109"/>
      <x:c r="L22" s="109"/>
      <x:c r="M22" s="110"/>
      <x:c r="N22" s="54" t="n">
        <x:v>1</x:v>
      </x:c>
      <x:c r="O22" s="201" t="str">
        <x:v>EA</x:v>
      </x:c>
      <x:c r="P22" s="105" t="n">
        <x:v>2300000</x:v>
      </x:c>
      <x:c r="Q22" s="106"/>
      <x:c r="R22" s="106"/>
      <x:c r="S22" s="208" t="n">
        <x:f>N22*P22</x:f>
        <x:v>2300000</x:v>
      </x:c>
      <x:c r="T22" s="209"/>
      <x:c r="U22" s="209"/>
      <x:c r="V22" s="210"/>
      <x:c r="W22" s="99" t="str">
        <x:v>MITSUBISHI</x:v>
      </x:c>
      <x:c r="X22" s="100"/>
      <x:c r="Y22" s="100"/>
      <x:c r="Z22" s="101"/>
    </x:row>
    <x:row r="23" s="3" customFormat="1" ht="16.5" customHeight="1">
      <x:c r="A23" s="193" t="n">
        <x:v>8</x:v>
      </x:c>
      <x:c r="B23" s="193"/>
      <x:c r="C23" s="60" t="str">
        <x:v>RELAY</x:v>
      </x:c>
      <x:c r="D23" s="211"/>
      <x:c r="E23" s="211"/>
      <x:c r="F23" s="211"/>
      <x:c r="G23" s="211"/>
      <x:c r="H23" s="63"/>
      <x:c r="I23" s="108" t="str">
        <x:v>LY2N</x:v>
      </x:c>
      <x:c r="J23" s="109"/>
      <x:c r="K23" s="109"/>
      <x:c r="L23" s="109"/>
      <x:c r="M23" s="110"/>
      <x:c r="N23" s="54" t="n">
        <x:v>10</x:v>
      </x:c>
      <x:c r="O23" s="201" t="str">
        <x:v>EA</x:v>
      </x:c>
      <x:c r="P23" s="105" t="n">
        <x:v>4125</x:v>
      </x:c>
      <x:c r="Q23" s="106"/>
      <x:c r="R23" s="107"/>
      <x:c r="S23" s="208" t="n">
        <x:f>N23*P23</x:f>
        <x:v>41250</x:v>
      </x:c>
      <x:c r="T23" s="209"/>
      <x:c r="U23" s="209"/>
      <x:c r="V23" s="210"/>
      <x:c r="W23" s="99" t="str">
        <x:v>OMRON</x:v>
      </x:c>
      <x:c r="X23" s="100"/>
      <x:c r="Y23" s="100"/>
      <x:c r="Z23" s="101"/>
    </x:row>
    <x:row r="24" s="3" customFormat="1" ht="17.100000381469727" customHeight="1">
      <x:c r="A24" s="206" t="n">
        <x:v>9</x:v>
      </x:c>
      <x:c r="B24" s="207"/>
      <x:c r="C24" s="60" t="str">
        <x:v>MCU</x:v>
      </x:c>
      <x:c r="D24" s="211"/>
      <x:c r="E24" s="211"/>
      <x:c r="F24" s="211"/>
      <x:c r="G24" s="211"/>
      <x:c r="H24" s="63"/>
      <x:c r="I24" s="108" t="str">
        <x:v>STM32F407</x:v>
      </x:c>
      <x:c r="J24" s="109"/>
      <x:c r="K24" s="109"/>
      <x:c r="L24" s="109"/>
      <x:c r="M24" s="110"/>
      <x:c r="N24" s="54" t="n">
        <x:v>10</x:v>
      </x:c>
      <x:c r="O24" s="201" t="str">
        <x:v>EA</x:v>
      </x:c>
      <x:c r="P24" s="105" t="n">
        <x:v>12300</x:v>
      </x:c>
      <x:c r="Q24" s="106"/>
      <x:c r="R24" s="106"/>
      <x:c r="S24" s="208" t="n">
        <x:f>N24*P24</x:f>
        <x:v>123000</x:v>
      </x:c>
      <x:c r="T24" s="209"/>
      <x:c r="U24" s="209"/>
      <x:c r="V24" s="210"/>
      <x:c r="W24" s="99" t="str">
        <x:v>STMicroelectronics</x:v>
      </x:c>
      <x:c r="X24" s="100"/>
      <x:c r="Y24" s="100"/>
      <x:c r="Z24" s="101"/>
    </x:row>
    <x:row r="25" s="3" customFormat="1" ht="16.5" customHeight="1">
      <x:c r="A25" s="62" t="n">
        <x:v>10</x:v>
      </x:c>
      <x:c r="B25" s="62"/>
      <x:c r="C25" s="113" t="str">
        <x:v>UNLISTED PART</x:v>
      </x:c>
      <x:c r="D25" s="124"/>
      <x:c r="E25" s="124"/>
      <x:c r="F25" s="124"/>
      <x:c r="G25" s="124"/>
      <x:c r="H25" s="125"/>
      <x:c r="I25" s="108" t="str">
        <x:v>PA-NOMARKET-9Z8X7</x:v>
      </x:c>
      <x:c r="J25" s="109"/>
      <x:c r="K25" s="109"/>
      <x:c r="L25" s="109"/>
      <x:c r="M25" s="110"/>
      <x:c r="N25" s="54" t="n">
        <x:v>1</x:v>
      </x:c>
      <x:c r="O25" s="201" t="str">
        <x:v>SET</x:v>
      </x:c>
      <x:c r="P25" s="105" t="n">
        <x:v>1250000</x:v>
      </x:c>
      <x:c r="Q25" s="106"/>
      <x:c r="R25" s="107"/>
      <x:c r="S25" s="208" t="n">
        <x:f>N25*P25</x:f>
        <x:v>1250000</x:v>
      </x:c>
      <x:c r="T25" s="209"/>
      <x:c r="U25" s="209"/>
      <x:c r="V25" s="210"/>
      <x:c r="W25" s="99" t="str">
        <x:v>IN-HOUSE</x:v>
      </x:c>
      <x:c r="X25" s="100"/>
      <x:c r="Y25" s="100"/>
      <x:c r="Z25" s="101"/>
    </x:row>
    <x:row r="26" s="3" customFormat="1" ht="17.100000381469727" customHeight="1">
      <x:c r="A26" s="193"/>
      <x:c r="B26" s="193"/>
      <x:c r="C26" s="60"/>
      <x:c r="D26" s="111"/>
      <x:c r="E26" s="111"/>
      <x:c r="F26" s="111"/>
      <x:c r="G26" s="111"/>
      <x:c r="H26" s="112"/>
      <x:c r="I26" s="108"/>
      <x:c r="J26" s="109"/>
      <x:c r="K26" s="109"/>
      <x:c r="L26" s="109"/>
      <x:c r="M26" s="110"/>
      <x:c r="N26" s="54"/>
      <x:c r="O26" s="201"/>
      <x:c r="P26" s="105"/>
      <x:c r="Q26" s="106"/>
      <x:c r="R26" s="106"/>
      <x:c r="S26" s="208"/>
      <x:c r="T26" s="209"/>
      <x:c r="U26" s="209"/>
      <x:c r="V26" s="210"/>
      <x:c r="W26" s="99"/>
      <x:c r="X26" s="100"/>
      <x:c r="Y26" s="100"/>
      <x:c r="Z26" s="101"/>
    </x:row>
    <x:row r="27" s="3" customFormat="1" ht="17.100000381469727" customHeight="1">
      <x:c r="A27" s="62"/>
      <x:c r="B27" s="62"/>
      <x:c r="C27" s="113"/>
      <x:c r="D27" s="124"/>
      <x:c r="E27" s="124"/>
      <x:c r="F27" s="124"/>
      <x:c r="G27" s="124"/>
      <x:c r="H27" s="125"/>
      <x:c r="I27" s="108"/>
      <x:c r="J27" s="109"/>
      <x:c r="K27" s="109"/>
      <x:c r="L27" s="109"/>
      <x:c r="M27" s="110"/>
      <x:c r="N27" s="51"/>
      <x:c r="O27" s="10"/>
      <x:c r="P27" s="105"/>
      <x:c r="Q27" s="106"/>
      <x:c r="R27" s="107"/>
      <x:c r="S27" s="105"/>
      <x:c r="T27" s="106"/>
      <x:c r="U27" s="106"/>
      <x:c r="V27" s="107"/>
      <x:c r="W27" s="99"/>
      <x:c r="X27" s="100"/>
      <x:c r="Y27" s="100"/>
      <x:c r="Z27" s="101"/>
    </x:row>
    <x:row r="28" s="3" customFormat="1" ht="17.100000381469727" customHeight="1">
      <x:c r="A28" s="62"/>
      <x:c r="B28" s="62"/>
      <x:c r="C28" s="60"/>
      <x:c r="D28" s="111"/>
      <x:c r="E28" s="111"/>
      <x:c r="F28" s="111"/>
      <x:c r="G28" s="111"/>
      <x:c r="H28" s="112"/>
      <x:c r="I28" s="108"/>
      <x:c r="J28" s="109"/>
      <x:c r="K28" s="109"/>
      <x:c r="L28" s="109"/>
      <x:c r="M28" s="110"/>
      <x:c r="N28" s="51"/>
      <x:c r="O28" s="10"/>
      <x:c r="P28" s="105"/>
      <x:c r="Q28" s="106"/>
      <x:c r="R28" s="106"/>
      <x:c r="S28" s="105"/>
      <x:c r="T28" s="106"/>
      <x:c r="U28" s="106"/>
      <x:c r="V28" s="107"/>
      <x:c r="W28" s="99"/>
      <x:c r="X28" s="100"/>
      <x:c r="Y28" s="100"/>
      <x:c r="Z28" s="101"/>
    </x:row>
    <x:row r="29" s="3" customFormat="1" ht="17.100000381469727" customHeight="1">
      <x:c r="A29" s="60"/>
      <x:c r="B29" s="63"/>
      <x:c r="C29" s="113"/>
      <x:c r="D29" s="114"/>
      <x:c r="E29" s="114"/>
      <x:c r="F29" s="114"/>
      <x:c r="G29" s="114"/>
      <x:c r="H29" s="115"/>
      <x:c r="I29" s="108"/>
      <x:c r="J29" s="109"/>
      <x:c r="K29" s="109"/>
      <x:c r="L29" s="109"/>
      <x:c r="M29" s="110"/>
      <x:c r="N29" s="25"/>
      <x:c r="O29" s="10"/>
      <x:c r="P29" s="105"/>
      <x:c r="Q29" s="106"/>
      <x:c r="R29" s="106"/>
      <x:c r="S29" s="105"/>
      <x:c r="T29" s="106"/>
      <x:c r="U29" s="106"/>
      <x:c r="V29" s="107"/>
      <x:c r="W29" s="99"/>
      <x:c r="X29" s="100"/>
      <x:c r="Y29" s="100"/>
      <x:c r="Z29" s="101"/>
    </x:row>
    <x:row r="30" s="2" customFormat="1" ht="17.100000381469727" customHeight="1">
      <x:c r="A30" s="55" t="s">
        <x:v>27</x:v>
      </x:c>
      <x:c r="B30" s="56"/>
      <x:c r="C30" s="56"/>
      <x:c r="D30" s="56"/>
      <x:c r="E30" s="56"/>
      <x:c r="F30" s="56"/>
      <x:c r="G30" s="56"/>
      <x:c r="H30" s="56"/>
      <x:c r="I30" s="56"/>
      <x:c r="J30" s="56"/>
      <x:c r="K30" s="56"/>
      <x:c r="L30" s="56"/>
      <x:c r="M30" s="56"/>
      <x:c r="N30" s="56"/>
      <x:c r="O30" s="56"/>
      <x:c r="P30" s="56"/>
      <x:c r="Q30" s="56"/>
      <x:c r="R30" s="57"/>
      <x:c r="S30" s="186" t="n">
        <x:f>SUM(S16:S28)</x:f>
        <x:v>11767250</x:v>
      </x:c>
      <x:c r="T30" s="187"/>
      <x:c r="U30" s="187"/>
      <x:c r="V30" s="188"/>
      <x:c r="W30" s="132"/>
      <x:c r="X30" s="133"/>
      <x:c r="Y30" s="133"/>
      <x:c r="Z30" s="134"/>
    </x:row>
    <x:row r="31" s="2" customFormat="1" ht="20.100000381469727" customHeight="1">
      <x:c r="A31" s="117" t="str">
        <x:v>2. 노무비 (해당 없음)</x:v>
      </x:c>
      <x:c r="B31" s="117"/>
      <x:c r="C31" s="117"/>
      <x:c r="D31" s="117"/>
      <x:c r="E31" s="117"/>
      <x:c r="F31" s="117"/>
      <x:c r="G31" s="117"/>
      <x:c r="H31" s="117"/>
      <x:c r="I31" s="117"/>
      <x:c r="J31" s="117"/>
      <x:c r="K31" s="117"/>
      <x:c r="L31" s="117"/>
      <x:c r="M31" s="117"/>
      <x:c r="N31" s="117"/>
      <x:c r="O31" s="117"/>
      <x:c r="P31" s="117"/>
      <x:c r="Q31" s="117"/>
      <x:c r="R31" s="117"/>
      <x:c r="S31" s="117"/>
      <x:c r="T31" s="117"/>
      <x:c r="U31" s="117"/>
      <x:c r="V31" s="117"/>
      <x:c r="W31" s="117"/>
      <x:c r="X31" s="117"/>
      <x:c r="Y31" s="117"/>
      <x:c r="Z31" s="117"/>
      <x:c r="AE31" s="2"/>
    </x:row>
    <x:row r="32" s="2" customFormat="1" ht="17.100000381469727" customHeight="1">
      <x:c r="A32" s="59"/>
      <x:c r="B32" s="59"/>
      <x:c r="C32" s="55"/>
      <x:c r="D32" s="56"/>
      <x:c r="E32" s="56"/>
      <x:c r="F32" s="56"/>
      <x:c r="G32" s="56"/>
      <x:c r="H32" s="56"/>
      <x:c r="I32" s="56"/>
      <x:c r="J32" s="56"/>
      <x:c r="K32" s="56"/>
      <x:c r="L32" s="56"/>
      <x:c r="M32" s="57"/>
      <x:c r="N32" s="39"/>
      <x:c r="O32" s="39"/>
      <x:c r="P32" s="55"/>
      <x:c r="Q32" s="56"/>
      <x:c r="R32" s="57"/>
      <x:c r="S32" s="55"/>
      <x:c r="T32" s="56"/>
      <x:c r="U32" s="56"/>
      <x:c r="V32" s="57"/>
      <x:c r="W32" s="55"/>
      <x:c r="X32" s="56"/>
      <x:c r="Y32" s="56"/>
      <x:c r="Z32" s="57"/>
    </x:row>
    <x:row r="33" s="3" customFormat="1" ht="17.100000381469727" customHeight="1">
      <x:c r="A33" s="58"/>
      <x:c r="B33" s="58"/>
      <x:c r="C33" s="183"/>
      <x:c r="D33" s="184"/>
      <x:c r="E33" s="184"/>
      <x:c r="F33" s="184"/>
      <x:c r="G33" s="184"/>
      <x:c r="H33" s="184"/>
      <x:c r="I33" s="184"/>
      <x:c r="J33" s="184"/>
      <x:c r="K33" s="184"/>
      <x:c r="L33" s="184"/>
      <x:c r="M33" s="185"/>
      <x:c r="N33" s="52"/>
      <x:c r="O33" s="53"/>
      <x:c r="P33" s="135"/>
      <x:c r="Q33" s="136"/>
      <x:c r="R33" s="137"/>
      <x:c r="S33" s="135"/>
      <x:c r="T33" s="136"/>
      <x:c r="U33" s="136"/>
      <x:c r="V33" s="137"/>
      <x:c r="W33" s="129"/>
      <x:c r="X33" s="130"/>
      <x:c r="Y33" s="130"/>
      <x:c r="Z33" s="131"/>
      <x:c r="AB33" s="4"/>
    </x:row>
    <x:row r="34" s="3" customFormat="1" ht="17.100000381469727" customHeight="1">
      <x:c r="A34" s="60"/>
      <x:c r="B34" s="63"/>
      <x:c r="C34" s="180"/>
      <x:c r="D34" s="181"/>
      <x:c r="E34" s="181"/>
      <x:c r="F34" s="181"/>
      <x:c r="G34" s="181"/>
      <x:c r="H34" s="181"/>
      <x:c r="I34" s="181"/>
      <x:c r="J34" s="181"/>
      <x:c r="K34" s="181"/>
      <x:c r="L34" s="181"/>
      <x:c r="M34" s="182"/>
      <x:c r="N34" s="43"/>
      <x:c r="O34" s="44"/>
      <x:c r="P34" s="64"/>
      <x:c r="Q34" s="65"/>
      <x:c r="R34" s="61"/>
      <x:c r="S34" s="64"/>
      <x:c r="T34" s="65"/>
      <x:c r="U34" s="65"/>
      <x:c r="V34" s="61"/>
      <x:c r="W34" s="129"/>
      <x:c r="X34" s="130"/>
      <x:c r="Y34" s="130"/>
      <x:c r="Z34" s="131"/>
      <x:c r="AB34" s="4"/>
    </x:row>
    <x:row r="35" s="3" customFormat="1" ht="17.100000381469727" customHeight="1">
      <x:c r="A35" s="60"/>
      <x:c r="B35" s="63"/>
      <x:c r="C35" s="180"/>
      <x:c r="D35" s="181"/>
      <x:c r="E35" s="181"/>
      <x:c r="F35" s="181"/>
      <x:c r="G35" s="181"/>
      <x:c r="H35" s="181"/>
      <x:c r="I35" s="181"/>
      <x:c r="J35" s="181"/>
      <x:c r="K35" s="181"/>
      <x:c r="L35" s="181"/>
      <x:c r="M35" s="182"/>
      <x:c r="N35" s="43"/>
      <x:c r="O35" s="44"/>
      <x:c r="P35" s="64"/>
      <x:c r="Q35" s="65"/>
      <x:c r="R35" s="61"/>
      <x:c r="S35" s="64"/>
      <x:c r="T35" s="65"/>
      <x:c r="U35" s="65"/>
      <x:c r="V35" s="61"/>
      <x:c r="W35" s="129"/>
      <x:c r="X35" s="130"/>
      <x:c r="Y35" s="130"/>
      <x:c r="Z35" s="131"/>
      <x:c r="AB35" s="4"/>
    </x:row>
    <x:row r="36" s="3" customFormat="1" ht="17.100000381469727" customHeight="1">
      <x:c r="A36" s="60"/>
      <x:c r="B36" s="61"/>
      <x:c r="C36" s="45"/>
      <x:c r="D36" s="46"/>
      <x:c r="E36" s="46"/>
      <x:c r="F36" s="46"/>
      <x:c r="G36" s="46"/>
      <x:c r="H36" s="46"/>
      <x:c r="I36" s="46"/>
      <x:c r="J36" s="46"/>
      <x:c r="K36" s="46"/>
      <x:c r="L36" s="46"/>
      <x:c r="M36" s="47"/>
      <x:c r="N36" s="43"/>
      <x:c r="O36" s="44"/>
      <x:c r="P36" s="64"/>
      <x:c r="Q36" s="65"/>
      <x:c r="R36" s="61"/>
      <x:c r="S36" s="64"/>
      <x:c r="T36" s="65"/>
      <x:c r="U36" s="65"/>
      <x:c r="V36" s="61"/>
      <x:c r="W36" s="48"/>
      <x:c r="X36" s="49"/>
      <x:c r="Y36" s="49"/>
      <x:c r="Z36" s="50"/>
      <x:c r="AB36" s="4"/>
    </x:row>
    <x:row r="37" s="3" customFormat="1" ht="17.100000381469727" customHeight="1">
      <x:c r="A37" s="29"/>
      <x:c r="B37" s="30"/>
      <x:c r="C37" s="144"/>
      <x:c r="D37" s="145"/>
      <x:c r="E37" s="145"/>
      <x:c r="F37" s="145"/>
      <x:c r="G37" s="145"/>
      <x:c r="H37" s="145"/>
      <x:c r="I37" s="145"/>
      <x:c r="J37" s="145"/>
      <x:c r="K37" s="145"/>
      <x:c r="L37" s="145"/>
      <x:c r="M37" s="146"/>
      <x:c r="N37" s="35"/>
      <x:c r="O37" s="36"/>
      <x:c r="P37" s="33"/>
      <x:c r="Q37" s="33"/>
      <x:c r="R37" s="34"/>
      <x:c r="S37" s="31"/>
      <x:c r="T37" s="31"/>
      <x:c r="U37" s="31"/>
      <x:c r="V37" s="32"/>
      <x:c r="W37" s="26"/>
      <x:c r="X37" s="27"/>
      <x:c r="Y37" s="27"/>
      <x:c r="Z37" s="28"/>
    </x:row>
    <x:row r="38" s="2" customFormat="1" ht="17.100000381469727" customHeight="1">
      <x:c r="A38" s="55"/>
      <x:c r="B38" s="56"/>
      <x:c r="C38" s="56"/>
      <x:c r="D38" s="56"/>
      <x:c r="E38" s="56"/>
      <x:c r="F38" s="56"/>
      <x:c r="G38" s="56"/>
      <x:c r="H38" s="56"/>
      <x:c r="I38" s="56"/>
      <x:c r="J38" s="56"/>
      <x:c r="K38" s="56"/>
      <x:c r="L38" s="56"/>
      <x:c r="M38" s="56"/>
      <x:c r="N38" s="56"/>
      <x:c r="O38" s="56"/>
      <x:c r="P38" s="56"/>
      <x:c r="Q38" s="56"/>
      <x:c r="R38" s="57"/>
      <x:c r="S38" s="141" t="n">
        <x:v>0</x:v>
      </x:c>
      <x:c r="T38" s="142"/>
      <x:c r="U38" s="142"/>
      <x:c r="V38" s="143"/>
      <x:c r="W38" s="132"/>
      <x:c r="X38" s="133"/>
      <x:c r="Y38" s="133"/>
      <x:c r="Z38" s="134"/>
    </x:row>
    <x:row r="39" s="2" customFormat="1" ht="20.100000381469727" customHeight="1">
      <x:c r="A39" s="117" t="str">
        <x:v>3. 경비 (해당 없음)</x:v>
      </x:c>
      <x:c r="B39" s="117"/>
      <x:c r="C39" s="117"/>
      <x:c r="D39" s="117"/>
      <x:c r="E39" s="117"/>
      <x:c r="F39" s="117"/>
      <x:c r="G39" s="117"/>
      <x:c r="H39" s="117"/>
      <x:c r="I39" s="117"/>
      <x:c r="J39" s="117"/>
      <x:c r="K39" s="117"/>
      <x:c r="L39" s="117"/>
      <x:c r="M39" s="117"/>
      <x:c r="N39" s="117"/>
      <x:c r="O39" s="117"/>
      <x:c r="P39" s="117"/>
      <x:c r="Q39" s="117"/>
      <x:c r="R39" s="117"/>
      <x:c r="S39" s="117"/>
      <x:c r="T39" s="117"/>
      <x:c r="U39" s="117"/>
      <x:c r="V39" s="117"/>
      <x:c r="W39" s="117"/>
      <x:c r="X39" s="117"/>
      <x:c r="Y39" s="117"/>
      <x:c r="Z39" s="117"/>
      <x:c r="AE39" s="2"/>
    </x:row>
    <x:row r="40" s="2" customFormat="1" ht="17.100000381469727" customHeight="1">
      <x:c r="A40" s="59"/>
      <x:c r="B40" s="59"/>
      <x:c r="C40" s="55"/>
      <x:c r="D40" s="56"/>
      <x:c r="E40" s="56"/>
      <x:c r="F40" s="56"/>
      <x:c r="G40" s="56"/>
      <x:c r="H40" s="56"/>
      <x:c r="I40" s="56"/>
      <x:c r="J40" s="56"/>
      <x:c r="K40" s="56"/>
      <x:c r="L40" s="56"/>
      <x:c r="M40" s="57"/>
      <x:c r="N40" s="39"/>
      <x:c r="O40" s="39"/>
      <x:c r="P40" s="55"/>
      <x:c r="Q40" s="56"/>
      <x:c r="R40" s="57"/>
      <x:c r="S40" s="55"/>
      <x:c r="T40" s="56"/>
      <x:c r="U40" s="56"/>
      <x:c r="V40" s="57"/>
      <x:c r="W40" s="55"/>
      <x:c r="X40" s="56"/>
      <x:c r="Y40" s="56"/>
      <x:c r="Z40" s="57"/>
    </x:row>
    <x:row r="41" s="3" customFormat="1" ht="17.100000381469727" customHeight="1">
      <x:c r="A41" s="62"/>
      <x:c r="B41" s="62"/>
      <x:c r="C41" s="138"/>
      <x:c r="D41" s="139"/>
      <x:c r="E41" s="139"/>
      <x:c r="F41" s="139"/>
      <x:c r="G41" s="139"/>
      <x:c r="H41" s="139"/>
      <x:c r="I41" s="139"/>
      <x:c r="J41" s="139"/>
      <x:c r="K41" s="139"/>
      <x:c r="L41" s="139"/>
      <x:c r="M41" s="140"/>
      <x:c r="N41" s="40"/>
      <x:c r="O41" s="20"/>
      <x:c r="P41" s="147"/>
      <x:c r="Q41" s="148"/>
      <x:c r="R41" s="149"/>
      <x:c r="S41" s="147"/>
      <x:c r="T41" s="148"/>
      <x:c r="U41" s="148"/>
      <x:c r="V41" s="149"/>
      <x:c r="W41" s="99"/>
      <x:c r="X41" s="100"/>
      <x:c r="Y41" s="100"/>
      <x:c r="Z41" s="101"/>
    </x:row>
    <x:row r="42" s="2" customFormat="1" ht="17.100000381469727" customHeight="1">
      <x:c r="A42" s="55"/>
      <x:c r="B42" s="56"/>
      <x:c r="C42" s="56"/>
      <x:c r="D42" s="56"/>
      <x:c r="E42" s="56"/>
      <x:c r="F42" s="56"/>
      <x:c r="G42" s="56"/>
      <x:c r="H42" s="56"/>
      <x:c r="I42" s="56"/>
      <x:c r="J42" s="56"/>
      <x:c r="K42" s="56"/>
      <x:c r="L42" s="56"/>
      <x:c r="M42" s="56"/>
      <x:c r="N42" s="56"/>
      <x:c r="O42" s="56"/>
      <x:c r="P42" s="56"/>
      <x:c r="Q42" s="56"/>
      <x:c r="R42" s="57"/>
      <x:c r="S42" s="158" t="n">
        <x:v>0</x:v>
      </x:c>
      <x:c r="T42" s="159"/>
      <x:c r="U42" s="159"/>
      <x:c r="V42" s="160"/>
      <x:c r="W42" s="132"/>
      <x:c r="X42" s="133"/>
      <x:c r="Y42" s="133"/>
      <x:c r="Z42" s="134"/>
    </x:row>
    <x:row r="43" s="2" customFormat="1" ht="3.950000047683716" customHeight="1">
      <x:c r="A43" s="56"/>
      <x:c r="B43" s="56"/>
      <x:c r="C43" s="56"/>
      <x:c r="D43" s="56"/>
      <x:c r="E43" s="56"/>
      <x:c r="F43" s="56"/>
      <x:c r="G43" s="56"/>
      <x:c r="H43" s="56"/>
      <x:c r="I43" s="56"/>
      <x:c r="J43" s="56"/>
      <x:c r="K43" s="56"/>
      <x:c r="L43" s="56"/>
      <x:c r="M43" s="56"/>
      <x:c r="N43" s="56"/>
      <x:c r="O43" s="56"/>
      <x:c r="P43" s="56"/>
      <x:c r="Q43" s="56"/>
      <x:c r="R43" s="56"/>
      <x:c r="S43" s="56"/>
      <x:c r="T43" s="56"/>
      <x:c r="U43" s="56"/>
      <x:c r="V43" s="56"/>
      <x:c r="W43" s="56"/>
      <x:c r="X43" s="56"/>
      <x:c r="Y43" s="56"/>
      <x:c r="Z43" s="56"/>
    </x:row>
    <x:row r="44" s="2" customFormat="1" ht="19.5" customHeight="1">
      <x:c r="A44" s="90"/>
      <x:c r="B44" s="91"/>
      <x:c r="C44" s="91"/>
      <x:c r="D44" s="91"/>
      <x:c r="E44" s="91"/>
      <x:c r="F44" s="91"/>
      <x:c r="G44" s="91"/>
      <x:c r="H44" s="91"/>
      <x:c r="I44" s="91"/>
      <x:c r="J44" s="91"/>
      <x:c r="K44" s="91"/>
      <x:c r="L44" s="91"/>
      <x:c r="M44" s="91"/>
      <x:c r="N44" s="92"/>
      <x:c r="O44" s="55"/>
      <x:c r="P44" s="56"/>
      <x:c r="Q44" s="56"/>
      <x:c r="R44" s="56"/>
      <x:c r="S44" s="56"/>
      <x:c r="T44" s="56"/>
      <x:c r="U44" s="56"/>
      <x:c r="V44" s="57"/>
      <x:c r="W44" s="55"/>
      <x:c r="X44" s="56"/>
      <x:c r="Y44" s="56"/>
      <x:c r="Z44" s="57"/>
    </x:row>
    <x:row r="45" s="2" customFormat="1" ht="18" customHeight="1">
      <x:c r="A45" s="150"/>
      <x:c r="B45" s="151"/>
      <x:c r="C45" s="151"/>
      <x:c r="D45" s="151"/>
      <x:c r="E45" s="151"/>
      <x:c r="F45" s="151"/>
      <x:c r="G45" s="151"/>
      <x:c r="H45" s="151"/>
      <x:c r="I45" s="151"/>
      <x:c r="J45" s="151"/>
      <x:c r="K45" s="151"/>
      <x:c r="L45" s="56"/>
      <x:c r="M45" s="56"/>
      <x:c r="N45" s="38"/>
      <x:c r="O45" s="152"/>
      <x:c r="P45" s="153"/>
      <x:c r="Q45" s="153"/>
      <x:c r="R45" s="153"/>
      <x:c r="S45" s="153"/>
      <x:c r="T45" s="153"/>
      <x:c r="U45" s="153"/>
      <x:c r="V45" s="154"/>
      <x:c r="W45" s="155"/>
      <x:c r="X45" s="156"/>
      <x:c r="Y45" s="156"/>
      <x:c r="Z45" s="157"/>
    </x:row>
    <x:row r="46" s="2" customFormat="1" ht="18" customHeight="1">
      <x:c r="A46" s="150"/>
      <x:c r="B46" s="151"/>
      <x:c r="C46" s="151"/>
      <x:c r="D46" s="151"/>
      <x:c r="E46" s="151"/>
      <x:c r="F46" s="151"/>
      <x:c r="G46" s="151"/>
      <x:c r="H46" s="151"/>
      <x:c r="I46" s="151"/>
      <x:c r="J46" s="151"/>
      <x:c r="K46" s="151"/>
      <x:c r="L46" s="56"/>
      <x:c r="M46" s="56"/>
      <x:c r="N46" s="7"/>
      <x:c r="O46" s="152"/>
      <x:c r="P46" s="153"/>
      <x:c r="Q46" s="153"/>
      <x:c r="R46" s="153"/>
      <x:c r="S46" s="153"/>
      <x:c r="T46" s="153"/>
      <x:c r="U46" s="153"/>
      <x:c r="V46" s="154"/>
      <x:c r="W46" s="155"/>
      <x:c r="X46" s="156"/>
      <x:c r="Y46" s="156"/>
      <x:c r="Z46" s="157"/>
    </x:row>
    <x:row r="47" s="2" customFormat="1" ht="18" customHeight="1">
      <x:c r="A47" s="150"/>
      <x:c r="B47" s="151"/>
      <x:c r="C47" s="151"/>
      <x:c r="D47" s="151"/>
      <x:c r="E47" s="151"/>
      <x:c r="F47" s="151"/>
      <x:c r="G47" s="151"/>
      <x:c r="H47" s="151"/>
      <x:c r="I47" s="151"/>
      <x:c r="J47" s="151"/>
      <x:c r="K47" s="151"/>
      <x:c r="L47" s="56"/>
      <x:c r="M47" s="56"/>
      <x:c r="N47" s="37"/>
      <x:c r="O47" s="152"/>
      <x:c r="P47" s="153"/>
      <x:c r="Q47" s="153"/>
      <x:c r="R47" s="153"/>
      <x:c r="S47" s="153"/>
      <x:c r="T47" s="153"/>
      <x:c r="U47" s="153"/>
      <x:c r="V47" s="154"/>
      <x:c r="W47" s="155"/>
      <x:c r="X47" s="156"/>
      <x:c r="Y47" s="156"/>
      <x:c r="Z47" s="157"/>
      <x:c r="AB47" s="152"/>
      <x:c r="AC47" s="153"/>
      <x:c r="AD47" s="153"/>
      <x:c r="AE47" s="153"/>
      <x:c r="AF47" s="153"/>
      <x:c r="AG47" s="153"/>
      <x:c r="AH47" s="153"/>
      <x:c r="AI47" s="154"/>
    </x:row>
    <x:row r="48" s="2" customFormat="1" ht="18" customHeight="1">
      <x:c r="A48" s="150" t="str">
        <x:v>총     합     계</x:v>
      </x:c>
      <x:c r="B48" s="151"/>
      <x:c r="C48" s="151"/>
      <x:c r="D48" s="151"/>
      <x:c r="E48" s="151"/>
      <x:c r="F48" s="151"/>
      <x:c r="G48" s="151"/>
      <x:c r="H48" s="151"/>
      <x:c r="I48" s="151"/>
      <x:c r="J48" s="151"/>
      <x:c r="K48" s="151"/>
      <x:c r="L48" s="56"/>
      <x:c r="M48" s="56"/>
      <x:c r="N48" s="7"/>
      <x:c r="O48" s="190" t="n">
        <x:f>SUM(S30,S38,S42)</x:f>
        <x:v>11767250</x:v>
      </x:c>
      <x:c r="P48" s="191"/>
      <x:c r="Q48" s="191"/>
      <x:c r="R48" s="191"/>
      <x:c r="S48" s="191"/>
      <x:c r="T48" s="191"/>
      <x:c r="U48" s="191"/>
      <x:c r="V48" s="192"/>
      <x:c r="W48" s="55"/>
      <x:c r="X48" s="56"/>
      <x:c r="Y48" s="56"/>
      <x:c r="Z48" s="57"/>
    </x:row>
    <x:row r="49" s="2" customFormat="1" ht="3.950000047683716" customHeight="1">
      <x:c r="A49" s="11"/>
      <x:c r="B49" s="11"/>
      <x:c r="C49" s="11"/>
      <x:c r="D49" s="11"/>
      <x:c r="E49" s="11"/>
      <x:c r="F49" s="11"/>
      <x:c r="G49" s="11"/>
      <x:c r="H49" s="11"/>
      <x:c r="I49" s="11"/>
      <x:c r="J49" s="11"/>
      <x:c r="K49" s="11"/>
      <x:c r="L49" s="6"/>
      <x:c r="M49" s="6"/>
      <x:c r="N49" s="6"/>
      <x:c r="O49" s="12"/>
      <x:c r="P49" s="12"/>
      <x:c r="Q49" s="12"/>
      <x:c r="R49" s="12"/>
      <x:c r="S49" s="12"/>
      <x:c r="T49" s="12"/>
      <x:c r="U49" s="12"/>
      <x:c r="V49" s="12"/>
      <x:c r="W49" s="6"/>
      <x:c r="X49" s="6"/>
      <x:c r="Y49" s="6"/>
      <x:c r="Z49" s="6"/>
    </x:row>
    <x:row r="50" s="2" customFormat="1" ht="18" customHeight="1">
      <x:c r="A50" s="55" t="str">
        <x:v>* 시연 전용 샘플 - 실제 거래 사용 금지 *</x:v>
      </x:c>
      <x:c r="B50" s="56"/>
      <x:c r="C50" s="56"/>
      <x:c r="D50" s="56"/>
      <x:c r="E50" s="56"/>
      <x:c r="F50" s="56"/>
      <x:c r="G50" s="56"/>
      <x:c r="H50" s="56"/>
      <x:c r="I50" s="56"/>
      <x:c r="J50" s="56"/>
      <x:c r="K50" s="56"/>
      <x:c r="L50" s="56"/>
      <x:c r="M50" s="56"/>
      <x:c r="N50" s="56"/>
      <x:c r="O50" s="56"/>
      <x:c r="P50" s="56"/>
      <x:c r="Q50" s="56"/>
      <x:c r="R50" s="56"/>
      <x:c r="S50" s="56"/>
      <x:c r="T50" s="56"/>
      <x:c r="U50" s="56"/>
      <x:c r="V50" s="56"/>
      <x:c r="W50" s="56"/>
      <x:c r="X50" s="56"/>
      <x:c r="Y50" s="56"/>
      <x:c r="Z50" s="57"/>
    </x:row>
    <x:row r="51" s="2" customFormat="1" ht="18" customHeight="1">
      <x:c r="A51" s="161"/>
      <x:c r="B51" s="162"/>
      <x:c r="C51" s="162"/>
      <x:c r="D51" s="162"/>
      <x:c r="E51" s="162"/>
      <x:c r="F51" s="162"/>
      <x:c r="G51" s="162"/>
      <x:c r="H51" s="162"/>
      <x:c r="I51" s="162"/>
      <x:c r="J51" s="162"/>
      <x:c r="K51" s="162"/>
      <x:c r="L51" s="162"/>
      <x:c r="M51" s="162"/>
      <x:c r="N51" s="162"/>
      <x:c r="O51" s="162"/>
      <x:c r="P51" s="162"/>
      <x:c r="Q51" s="162"/>
      <x:c r="R51" s="162"/>
      <x:c r="S51" s="162"/>
      <x:c r="T51" s="162"/>
      <x:c r="U51" s="162"/>
      <x:c r="V51" s="162"/>
      <x:c r="W51" s="162"/>
      <x:c r="X51" s="162"/>
      <x:c r="Y51" s="162"/>
      <x:c r="Z51" s="163"/>
    </x:row>
    <x:row r="52" s="2" customFormat="1" ht="18" customHeight="1">
      <x:c r="A52" s="164"/>
      <x:c r="B52" s="165"/>
      <x:c r="C52" s="165"/>
      <x:c r="D52" s="165"/>
      <x:c r="E52" s="165"/>
      <x:c r="F52" s="165"/>
      <x:c r="G52" s="165"/>
      <x:c r="H52" s="165"/>
      <x:c r="I52" s="165"/>
      <x:c r="J52" s="165"/>
      <x:c r="K52" s="165"/>
      <x:c r="L52" s="165"/>
      <x:c r="M52" s="165"/>
      <x:c r="N52" s="165"/>
      <x:c r="O52" s="165"/>
      <x:c r="P52" s="165"/>
      <x:c r="Q52" s="165"/>
      <x:c r="R52" s="165"/>
      <x:c r="S52" s="165"/>
      <x:c r="T52" s="165"/>
      <x:c r="U52" s="165"/>
      <x:c r="V52" s="165"/>
      <x:c r="W52" s="165"/>
      <x:c r="X52" s="165"/>
      <x:c r="Y52" s="165"/>
      <x:c r="Z52" s="166"/>
    </x:row>
    <x:row r="53" s="2" customFormat="1" ht="18" customHeight="1">
      <x:c r="A53" s="167"/>
      <x:c r="B53" s="167"/>
      <x:c r="C53" s="167"/>
      <x:c r="D53" s="167"/>
      <x:c r="E53" s="167"/>
      <x:c r="F53" s="167"/>
      <x:c r="G53" s="167"/>
      <x:c r="H53" s="167"/>
      <x:c r="I53" s="167"/>
      <x:c r="J53" s="167"/>
      <x:c r="K53" s="167"/>
      <x:c r="L53" s="167"/>
      <x:c r="M53" s="167"/>
      <x:c r="N53" s="167"/>
      <x:c r="O53" s="167"/>
      <x:c r="P53" s="167"/>
      <x:c r="Q53" s="167"/>
      <x:c r="R53" s="167"/>
      <x:c r="S53" s="167"/>
      <x:c r="T53" s="167"/>
      <x:c r="U53" s="167"/>
      <x:c r="V53" s="167"/>
      <x:c r="W53" s="167"/>
      <x:c r="X53" s="167"/>
      <x:c r="Y53" s="167"/>
      <x:c r="Z53" s="167"/>
    </x:row>
    <x:row r="54" s="2" customFormat="1" ht="18" customHeight="1">
      <x:c r="A54" s="189"/>
      <x:c r="B54" s="189"/>
      <x:c r="C54" s="189"/>
      <x:c r="D54" s="189"/>
      <x:c r="E54" s="189"/>
      <x:c r="F54" s="189"/>
      <x:c r="G54" s="189"/>
      <x:c r="H54" s="189"/>
      <x:c r="I54" s="189"/>
      <x:c r="J54" s="189"/>
      <x:c r="K54" s="189"/>
      <x:c r="L54" s="189"/>
      <x:c r="M54" s="189"/>
      <x:c r="N54" s="189"/>
      <x:c r="O54" s="189"/>
      <x:c r="P54" s="189"/>
      <x:c r="Q54" s="189"/>
      <x:c r="R54" s="189"/>
      <x:c r="S54" s="189"/>
      <x:c r="T54" s="189"/>
      <x:c r="U54" s="189"/>
      <x:c r="V54" s="189"/>
      <x:c r="W54" s="189"/>
      <x:c r="X54" s="189"/>
      <x:c r="Y54" s="189"/>
      <x:c r="Z54" s="189"/>
    </x:row>
    <x:row r="57">
      <x:c r="R57" s="152"/>
      <x:c r="S57" s="153"/>
      <x:c r="T57" s="153"/>
      <x:c r="U57" s="153"/>
      <x:c r="V57" s="153"/>
      <x:c r="W57" s="153"/>
      <x:c r="X57" s="153"/>
      <x:c r="Y57" s="154"/>
    </x:row>
  </x:sheetData>
  <x:mergeCells>
    <x:mergeCell ref="A21:B21"/>
    <x:mergeCell ref="C21:H21"/>
    <x:mergeCell ref="I21:M21"/>
    <x:mergeCell ref="P21:R21"/>
    <x:mergeCell ref="S21:V21"/>
    <x:mergeCell ref="W21:Z21"/>
    <x:mergeCell ref="A22:B22"/>
    <x:mergeCell ref="C22:H22"/>
    <x:mergeCell ref="I22:M22"/>
    <x:mergeCell ref="P22:R22"/>
    <x:mergeCell ref="S22:V22"/>
    <x:mergeCell ref="W22:Z22"/>
    <x:mergeCell ref="A19:B19"/>
    <x:mergeCell ref="C19:H19"/>
    <x:mergeCell ref="I19:M19"/>
    <x:mergeCell ref="P19:R19"/>
    <x:mergeCell ref="S19:V19"/>
    <x:mergeCell ref="W19:Z19"/>
    <x:mergeCell ref="A20:B20"/>
    <x:mergeCell ref="C20:H20"/>
    <x:mergeCell ref="I20:M20"/>
    <x:mergeCell ref="P20:R20"/>
    <x:mergeCell ref="S20:V20"/>
    <x:mergeCell ref="W20:Z20"/>
    <x:mergeCell ref="A23:B23"/>
    <x:mergeCell ref="C23:H23"/>
    <x:mergeCell ref="I23:M23"/>
    <x:mergeCell ref="P23:R23"/>
    <x:mergeCell ref="S23:V23"/>
    <x:mergeCell ref="W23:Z23"/>
    <x:mergeCell ref="A24:B24"/>
    <x:mergeCell ref="C24:H24"/>
    <x:mergeCell ref="I24:M24"/>
    <x:mergeCell ref="P24:R24"/>
    <x:mergeCell ref="S24:V24"/>
    <x:mergeCell ref="W24:Z24"/>
    <x:mergeCell ref="A25:B25"/>
    <x:mergeCell ref="C25:H25"/>
    <x:mergeCell ref="I25:M25"/>
    <x:mergeCell ref="P25:R25"/>
    <x:mergeCell ref="S25:V25"/>
    <x:mergeCell ref="W25:Z25"/>
    <x:mergeCell ref="A26:B26"/>
    <x:mergeCell ref="C26:H26"/>
    <x:mergeCell ref="I26:M26"/>
    <x:mergeCell ref="P26:R26"/>
    <x:mergeCell ref="S26:V26"/>
    <x:mergeCell ref="W26:Z26"/>
    <x:mergeCell ref="AB47:AI47"/>
    <x:mergeCell ref="R57:Y57"/>
    <x:mergeCell ref="W41:Z41"/>
    <x:mergeCell ref="W40:Z40"/>
    <x:mergeCell ref="C40:M40"/>
    <x:mergeCell ref="A54:Z54"/>
    <x:mergeCell ref="A48:K48"/>
    <x:mergeCell ref="L48:M48"/>
    <x:mergeCell ref="W48:Z48"/>
    <x:mergeCell ref="O48:V48"/>
    <x:mergeCell ref="W30:Z30"/>
    <x:mergeCell ref="C34:M34"/>
    <x:mergeCell ref="C35:M35"/>
    <x:mergeCell ref="A34:B34"/>
    <x:mergeCell ref="S32:V32"/>
    <x:mergeCell ref="P34:R34"/>
    <x:mergeCell ref="S34:V34"/>
    <x:mergeCell ref="C33:M33"/>
    <x:mergeCell ref="P33:R33"/>
    <x:mergeCell ref="S30:V30"/>
    <x:mergeCell ref="A31:Z31"/>
    <x:mergeCell ref="P32:R32"/>
    <x:mergeCell ref="A36:B36"/>
    <x:mergeCell ref="A1:G2"/>
    <x:mergeCell ref="H1:T2"/>
    <x:mergeCell ref="U1:Z2"/>
    <x:mergeCell ref="A29:B29"/>
    <x:mergeCell ref="A17:B17"/>
    <x:mergeCell ref="A16:B16"/>
    <x:mergeCell ref="C16:H16"/>
    <x:mergeCell ref="C17:H17"/>
    <x:mergeCell ref="I16:M16"/>
    <x:mergeCell ref="S15:V15"/>
    <x:mergeCell ref="W15:Z15"/>
    <x:mergeCell ref="P17:R17"/>
    <x:mergeCell ref="P18:R18"/>
    <x:mergeCell ref="P15:R15"/>
    <x:mergeCell ref="S16:V16"/>
    <x:mergeCell ref="S17:V17"/>
    <x:mergeCell ref="C28:H28"/>
    <x:mergeCell ref="I28:M28"/>
    <x:mergeCell ref="P27:R27"/>
    <x:mergeCell ref="A46:K46"/>
    <x:mergeCell ref="L46:M46"/>
    <x:mergeCell ref="W46:Z46"/>
    <x:mergeCell ref="O46:V46"/>
    <x:mergeCell ref="A50:Z50"/>
    <x:mergeCell ref="A51:Z51"/>
    <x:mergeCell ref="A52:Z52"/>
    <x:mergeCell ref="A53:Z53"/>
    <x:mergeCell ref="A47:K47"/>
    <x:mergeCell ref="L47:M47"/>
    <x:mergeCell ref="O47:V47"/>
    <x:mergeCell ref="W47:Z47"/>
    <x:mergeCell ref="A44:N44"/>
    <x:mergeCell ref="A45:K45"/>
    <x:mergeCell ref="L45:M45"/>
    <x:mergeCell ref="O45:V45"/>
    <x:mergeCell ref="W45:Z45"/>
    <x:mergeCell ref="A41:B41"/>
    <x:mergeCell ref="A40:B40"/>
    <x:mergeCell ref="W42:Z42"/>
    <x:mergeCell ref="A43:Z43"/>
    <x:mergeCell ref="S42:V42"/>
    <x:mergeCell ref="A42:R42"/>
    <x:mergeCell ref="W44:Z44"/>
    <x:mergeCell ref="O44:V44"/>
    <x:mergeCell ref="C41:M41"/>
    <x:mergeCell ref="S38:V38"/>
    <x:mergeCell ref="C37:M37"/>
    <x:mergeCell ref="S40:V40"/>
    <x:mergeCell ref="P41:R41"/>
    <x:mergeCell ref="S41:V41"/>
    <x:mergeCell ref="P40:R40"/>
    <x:mergeCell ref="A39:Z39"/>
    <x:mergeCell ref="A38:R38"/>
    <x:mergeCell ref="W32:Z32"/>
    <x:mergeCell ref="W38:Z38"/>
    <x:mergeCell ref="S33:V33"/>
    <x:mergeCell ref="W34:Z34"/>
    <x:mergeCell ref="W35:Z35"/>
    <x:mergeCell ref="W33:Z33"/>
    <x:mergeCell ref="P28:R28"/>
    <x:mergeCell ref="W28:Z28"/>
    <x:mergeCell ref="W27:Z27"/>
    <x:mergeCell ref="S27:V27"/>
    <x:mergeCell ref="A4:M4"/>
    <x:mergeCell ref="E5:M5"/>
    <x:mergeCell ref="W18:Z18"/>
    <x:mergeCell ref="A18:B18"/>
    <x:mergeCell ref="I17:M17"/>
    <x:mergeCell ref="C27:H27"/>
    <x:mergeCell ref="O10:P10"/>
    <x:mergeCell ref="U8:V8"/>
    <x:mergeCell ref="Q8:T8"/>
    <x:mergeCell ref="W8:Z8"/>
    <x:mergeCell ref="A9:D9"/>
    <x:mergeCell ref="E9:M9"/>
    <x:mergeCell ref="O9:P9"/>
    <x:mergeCell ref="A12:D12"/>
    <x:mergeCell ref="A10:D10"/>
    <x:mergeCell ref="E10:M10"/>
    <x:mergeCell ref="E8:M8"/>
    <x:mergeCell ref="S18:V18"/>
    <x:mergeCell ref="I18:M18"/>
    <x:mergeCell ref="I27:M27"/>
    <x:mergeCell ref="W29:Z29"/>
    <x:mergeCell ref="A13:D13"/>
    <x:mergeCell ref="Q9:T9"/>
    <x:mergeCell ref="W9:Z9"/>
    <x:mergeCell ref="P29:R29"/>
    <x:mergeCell ref="S29:V29"/>
    <x:mergeCell ref="I29:M29"/>
    <x:mergeCell ref="C29:H29"/>
    <x:mergeCell ref="A27:B27"/>
    <x:mergeCell ref="S28:V28"/>
    <x:mergeCell ref="A28:B28"/>
    <x:mergeCell ref="P16:R16"/>
    <x:mergeCell ref="C18:H18"/>
    <x:mergeCell ref="I15:M15"/>
    <x:mergeCell ref="A14:Z14"/>
    <x:mergeCell ref="A15:B15"/>
    <x:mergeCell ref="C15:H15"/>
    <x:mergeCell ref="O8:P8"/>
    <x:mergeCell ref="A6:D6"/>
    <x:mergeCell ref="A7:D7"/>
    <x:mergeCell ref="A8:D8"/>
    <x:mergeCell ref="X4:Z6"/>
    <x:mergeCell ref="W17:Z17"/>
    <x:mergeCell ref="W16:Z16"/>
    <x:mergeCell ref="A5:D5"/>
    <x:mergeCell ref="O5:P5"/>
    <x:mergeCell ref="Q10:Z10"/>
    <x:mergeCell ref="O7:P7"/>
    <x:mergeCell ref="E7:M7"/>
    <x:mergeCell ref="E6:M6"/>
    <x:mergeCell ref="U9:V9"/>
    <x:mergeCell ref="E12:Z12"/>
    <x:mergeCell ref="E13:N13"/>
    <x:mergeCell ref="R4:W4"/>
    <x:mergeCell ref="Q5:W5"/>
    <x:mergeCell ref="O6:P6"/>
    <x:mergeCell ref="Q6:W6"/>
    <x:mergeCell ref="Q7:Z7"/>
    <x:mergeCell ref="O4:Q4"/>
    <x:mergeCell ref="A30:R30"/>
    <x:mergeCell ref="A33:B33"/>
    <x:mergeCell ref="A32:B32"/>
    <x:mergeCell ref="C32:M32"/>
    <x:mergeCell ref="A35:B35"/>
    <x:mergeCell ref="P36:R36"/>
    <x:mergeCell ref="S36:V36"/>
    <x:mergeCell ref="P35:R35"/>
    <x:mergeCell ref="S35:V35"/>
  </x:mergeCells>
  <x:hyperlinks>
    <x:hyperlink xmlns:r="http://schemas.openxmlformats.org/officeDocument/2006/relationships" ref="Q10" r:id="Rcb3071a679604d96"/>
  </x:hyperlinks>
  <x:pageMargins left="0.7" right="0.7" top="0.75" bottom="0.75" header="0.3" footer="0.3"/>
  <x:drawing xmlns:r="http://schemas.openxmlformats.org/officeDocument/2006/relationships" r:id="R6ab64415f4664f3a"/>
</x:worksheet>
</file>