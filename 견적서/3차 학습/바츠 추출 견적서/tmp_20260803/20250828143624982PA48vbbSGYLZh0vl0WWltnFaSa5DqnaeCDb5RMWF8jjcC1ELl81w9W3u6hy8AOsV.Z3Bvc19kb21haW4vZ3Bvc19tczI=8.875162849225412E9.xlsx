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605" windowHeight="12090" tabRatio="1000"/>
  </bookViews>
  <sheets>
    <sheet name="갑지" sheetId="16" r:id="rId1"/>
    <sheet name="원가항목별(집계)" sheetId="1" r:id="rId2"/>
    <sheet name="단위공사별(집계)" sheetId="2" r:id="rId3"/>
    <sheet name="전기" sheetId="3" r:id="rId4"/>
    <sheet name="단위장비1" sheetId="11" r:id="rId5"/>
    <sheet name="단위장비2" sheetId="10" r:id="rId6"/>
    <sheet name="단위장비3" sheetId="9" r:id="rId7"/>
    <sheet name="단위장비4" sheetId="7" r:id="rId8"/>
    <sheet name="단위장비5" sheetId="8" r:id="rId9"/>
    <sheet name="단위장비6" sheetId="6" r:id="rId10"/>
    <sheet name="단위장비7" sheetId="5" r:id="rId11"/>
    <sheet name="단위장비8" sheetId="4" r:id="rId12"/>
    <sheet name="단위장비9" sheetId="15" r:id="rId13"/>
    <sheet name="단위장비10" sheetId="14" r:id="rId14"/>
    <sheet name="첨부(견적조건차이내역)" sheetId="13" r:id="rId15"/>
  </sheets>
  <definedNames>
    <definedName name="_xlnm._FilterDatabase" localSheetId="4" hidden="1">단위장비1!$A$2:$I$66</definedName>
    <definedName name="_xlnm._FilterDatabase" localSheetId="5" hidden="1">단위장비2!$A$2:$I$82</definedName>
    <definedName name="_xlnm._FilterDatabase" localSheetId="6" hidden="1">단위장비3!$J$2:$J$69</definedName>
    <definedName name="_xlnm._FilterDatabase" localSheetId="7" hidden="1">단위장비4!$J$2:$J$71</definedName>
    <definedName name="_xlnm._FilterDatabase" localSheetId="8" hidden="1">단위장비5!$J$2:$J$68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전기!$A$2:$I$67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11" l="1"/>
  <c r="H3" i="7"/>
  <c r="H54" i="7"/>
  <c r="H53" i="7"/>
  <c r="H3" i="9"/>
  <c r="H49" i="10"/>
  <c r="H3" i="10"/>
  <c r="H53" i="10"/>
  <c r="H51" i="10"/>
  <c r="H67" i="10"/>
  <c r="H66" i="10"/>
  <c r="H65" i="10"/>
  <c r="H64" i="10"/>
  <c r="H63" i="10"/>
  <c r="H62" i="10"/>
  <c r="H61" i="10"/>
  <c r="H60" i="10"/>
  <c r="H59" i="10"/>
  <c r="H58" i="10"/>
  <c r="H57" i="10"/>
  <c r="H32" i="10"/>
  <c r="H55" i="10"/>
  <c r="H54" i="10"/>
  <c r="H52" i="10"/>
  <c r="H50" i="10"/>
  <c r="H48" i="10"/>
  <c r="H37" i="10"/>
  <c r="H35" i="10"/>
  <c r="H49" i="11"/>
  <c r="H48" i="11"/>
  <c r="H47" i="11"/>
  <c r="H46" i="11"/>
  <c r="H45" i="11"/>
  <c r="H44" i="11"/>
  <c r="H51" i="11"/>
  <c r="H50" i="11"/>
  <c r="H43" i="11"/>
  <c r="H42" i="11"/>
  <c r="H41" i="11"/>
  <c r="H40" i="11"/>
  <c r="H39" i="11"/>
  <c r="H38" i="11"/>
  <c r="H35" i="11"/>
  <c r="D14" i="2" l="1"/>
  <c r="B9" i="2"/>
  <c r="B8" i="2"/>
  <c r="B7" i="2"/>
  <c r="C27" i="16"/>
  <c r="C26" i="16"/>
  <c r="C25" i="16"/>
  <c r="C24" i="16"/>
  <c r="C23" i="16"/>
  <c r="C22" i="16"/>
  <c r="C21" i="16"/>
  <c r="C20" i="16"/>
  <c r="C19" i="16"/>
  <c r="H58" i="9"/>
  <c r="H59" i="9"/>
  <c r="H60" i="9"/>
  <c r="H61" i="9"/>
  <c r="H62" i="9"/>
  <c r="H3" i="11"/>
  <c r="H17" i="11"/>
  <c r="H18" i="11"/>
  <c r="H5" i="11"/>
  <c r="H33" i="11"/>
  <c r="H38" i="10"/>
  <c r="H36" i="10"/>
  <c r="H34" i="10"/>
  <c r="H33" i="10"/>
  <c r="H31" i="10"/>
  <c r="H7" i="10"/>
  <c r="H6" i="10"/>
  <c r="H5" i="10"/>
  <c r="H4" i="10"/>
  <c r="H7" i="11"/>
  <c r="H6" i="11"/>
  <c r="H4" i="11"/>
  <c r="C18" i="16"/>
  <c r="B11" i="2"/>
  <c r="L11" i="2" s="1"/>
  <c r="K11" i="2"/>
  <c r="H3" i="8"/>
  <c r="H4" i="8"/>
  <c r="H5" i="8"/>
  <c r="H6" i="8"/>
  <c r="H7" i="8"/>
  <c r="H8" i="8"/>
  <c r="H9" i="8"/>
  <c r="B10" i="2"/>
  <c r="H21" i="11"/>
  <c r="H31" i="11"/>
  <c r="H3" i="14"/>
  <c r="H4" i="14"/>
  <c r="H5" i="14"/>
  <c r="H24" i="14" s="1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5" i="14"/>
  <c r="H30" i="14" s="1"/>
  <c r="H26" i="14"/>
  <c r="H27" i="14"/>
  <c r="H28" i="14"/>
  <c r="H29" i="14"/>
  <c r="H31" i="14"/>
  <c r="H32" i="14"/>
  <c r="H33" i="14"/>
  <c r="H34" i="14"/>
  <c r="H47" i="14" s="1"/>
  <c r="H35" i="14"/>
  <c r="H36" i="14"/>
  <c r="H37" i="14"/>
  <c r="H38" i="14"/>
  <c r="H39" i="14"/>
  <c r="H40" i="14"/>
  <c r="H41" i="14"/>
  <c r="H42" i="14"/>
  <c r="H43" i="14"/>
  <c r="H44" i="14"/>
  <c r="H45" i="14"/>
  <c r="H46" i="14"/>
  <c r="H48" i="14"/>
  <c r="H55" i="14" s="1"/>
  <c r="H56" i="14" s="1"/>
  <c r="H49" i="14"/>
  <c r="H50" i="14"/>
  <c r="H51" i="14"/>
  <c r="H52" i="14"/>
  <c r="H53" i="14"/>
  <c r="H54" i="14"/>
  <c r="H57" i="14"/>
  <c r="H58" i="14"/>
  <c r="D16" i="2"/>
  <c r="H59" i="14"/>
  <c r="E16" i="2" s="1"/>
  <c r="H60" i="14"/>
  <c r="H65" i="14" s="1"/>
  <c r="H16" i="2" s="1"/>
  <c r="H61" i="14"/>
  <c r="H62" i="14"/>
  <c r="H63" i="14"/>
  <c r="H64" i="14"/>
  <c r="G16" i="2" s="1"/>
  <c r="H3" i="15"/>
  <c r="H24" i="15" s="1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5" i="15"/>
  <c r="H30" i="15" s="1"/>
  <c r="H26" i="15"/>
  <c r="H27" i="15"/>
  <c r="H28" i="15"/>
  <c r="H29" i="15"/>
  <c r="H31" i="15"/>
  <c r="H32" i="15"/>
  <c r="H47" i="15" s="1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8" i="15"/>
  <c r="H49" i="15"/>
  <c r="H55" i="15" s="1"/>
  <c r="H56" i="15" s="1"/>
  <c r="H50" i="15"/>
  <c r="H51" i="15"/>
  <c r="H52" i="15"/>
  <c r="H53" i="15"/>
  <c r="H54" i="15"/>
  <c r="H57" i="15"/>
  <c r="D15" i="2"/>
  <c r="H58" i="15"/>
  <c r="E15" i="2" s="1"/>
  <c r="H59" i="15"/>
  <c r="H60" i="15"/>
  <c r="H61" i="15"/>
  <c r="H62" i="15"/>
  <c r="H63" i="15"/>
  <c r="H65" i="15" s="1"/>
  <c r="F15" i="2" s="1"/>
  <c r="H64" i="15"/>
  <c r="H15" i="2"/>
  <c r="H3" i="4"/>
  <c r="H24" i="4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5" i="4"/>
  <c r="H26" i="4"/>
  <c r="H27" i="4"/>
  <c r="H28" i="4"/>
  <c r="H30" i="4" s="1"/>
  <c r="H29" i="4"/>
  <c r="H31" i="4"/>
  <c r="H32" i="4"/>
  <c r="H47" i="4" s="1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49" i="4"/>
  <c r="H55" i="4" s="1"/>
  <c r="H50" i="4"/>
  <c r="H51" i="4"/>
  <c r="H52" i="4"/>
  <c r="H53" i="4"/>
  <c r="H54" i="4"/>
  <c r="H57" i="4"/>
  <c r="E14" i="2" s="1"/>
  <c r="H58" i="4"/>
  <c r="H59" i="4"/>
  <c r="H60" i="4"/>
  <c r="H61" i="4"/>
  <c r="H62" i="4"/>
  <c r="H63" i="4"/>
  <c r="H65" i="4" s="1"/>
  <c r="H64" i="4"/>
  <c r="F14" i="2" s="1"/>
  <c r="H3" i="5"/>
  <c r="H24" i="5" s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5" i="5"/>
  <c r="H26" i="5"/>
  <c r="H27" i="5"/>
  <c r="H28" i="5"/>
  <c r="H30" i="5"/>
  <c r="H29" i="5"/>
  <c r="H31" i="5"/>
  <c r="H32" i="5"/>
  <c r="H47" i="5" s="1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8" i="5"/>
  <c r="H49" i="5"/>
  <c r="H55" i="5" s="1"/>
  <c r="H56" i="5" s="1"/>
  <c r="H50" i="5"/>
  <c r="H51" i="5"/>
  <c r="H52" i="5"/>
  <c r="H53" i="5"/>
  <c r="H54" i="5"/>
  <c r="H57" i="5"/>
  <c r="E13" i="2" s="1"/>
  <c r="H58" i="5"/>
  <c r="H59" i="5"/>
  <c r="H60" i="5"/>
  <c r="H61" i="5"/>
  <c r="G13" i="2"/>
  <c r="H62" i="5"/>
  <c r="H63" i="5"/>
  <c r="H13" i="2"/>
  <c r="H64" i="5"/>
  <c r="H65" i="5" s="1"/>
  <c r="H3" i="6"/>
  <c r="H24" i="6" s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5" i="6"/>
  <c r="H26" i="6"/>
  <c r="H27" i="6"/>
  <c r="H28" i="6"/>
  <c r="H29" i="6"/>
  <c r="H30" i="6" s="1"/>
  <c r="H31" i="6"/>
  <c r="H32" i="6"/>
  <c r="H47" i="6" s="1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8" i="6"/>
  <c r="H49" i="6"/>
  <c r="H55" i="6" s="1"/>
  <c r="H56" i="6" s="1"/>
  <c r="H50" i="6"/>
  <c r="H51" i="6"/>
  <c r="H52" i="6"/>
  <c r="H53" i="6"/>
  <c r="H54" i="6"/>
  <c r="H57" i="6"/>
  <c r="H58" i="6"/>
  <c r="H59" i="6"/>
  <c r="H60" i="6"/>
  <c r="H61" i="6"/>
  <c r="H62" i="6"/>
  <c r="H63" i="6"/>
  <c r="H12" i="2" s="1"/>
  <c r="H64" i="6"/>
  <c r="H24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5" i="7"/>
  <c r="H30" i="7" s="1"/>
  <c r="H26" i="7"/>
  <c r="H27" i="7"/>
  <c r="H28" i="7"/>
  <c r="H29" i="7"/>
  <c r="H31" i="7"/>
  <c r="H47" i="7" s="1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8" i="7"/>
  <c r="H49" i="7"/>
  <c r="H57" i="7" s="1"/>
  <c r="H50" i="7"/>
  <c r="H51" i="7"/>
  <c r="H52" i="7"/>
  <c r="H55" i="7"/>
  <c r="H56" i="7"/>
  <c r="H59" i="7"/>
  <c r="H60" i="7"/>
  <c r="H61" i="7"/>
  <c r="H62" i="7"/>
  <c r="H63" i="7"/>
  <c r="G10" i="2" s="1"/>
  <c r="H64" i="7"/>
  <c r="H65" i="7"/>
  <c r="H10" i="2" s="1"/>
  <c r="H66" i="7"/>
  <c r="H10" i="8"/>
  <c r="H23" i="8" s="1"/>
  <c r="H11" i="8"/>
  <c r="H12" i="8"/>
  <c r="H13" i="8"/>
  <c r="H14" i="8"/>
  <c r="H15" i="8"/>
  <c r="H16" i="8"/>
  <c r="H17" i="8"/>
  <c r="H18" i="8"/>
  <c r="H19" i="8"/>
  <c r="H20" i="8"/>
  <c r="H21" i="8"/>
  <c r="H22" i="8"/>
  <c r="H24" i="8"/>
  <c r="H25" i="8"/>
  <c r="H29" i="8" s="1"/>
  <c r="H26" i="8"/>
  <c r="H27" i="8"/>
  <c r="H28" i="8"/>
  <c r="H30" i="8"/>
  <c r="H31" i="8"/>
  <c r="H32" i="8"/>
  <c r="H33" i="8"/>
  <c r="H34" i="8"/>
  <c r="H35" i="8"/>
  <c r="H36" i="8"/>
  <c r="H37" i="8"/>
  <c r="H38" i="8"/>
  <c r="H46" i="8" s="1"/>
  <c r="H39" i="8"/>
  <c r="H40" i="8"/>
  <c r="H41" i="8"/>
  <c r="H42" i="8"/>
  <c r="H43" i="8"/>
  <c r="H44" i="8"/>
  <c r="H45" i="8"/>
  <c r="H47" i="8"/>
  <c r="H48" i="8"/>
  <c r="H49" i="8"/>
  <c r="H50" i="8"/>
  <c r="H51" i="8"/>
  <c r="H52" i="8"/>
  <c r="H53" i="8"/>
  <c r="H54" i="8" s="1"/>
  <c r="H56" i="8"/>
  <c r="H57" i="8"/>
  <c r="H58" i="8"/>
  <c r="F11" i="2" s="1"/>
  <c r="H59" i="8"/>
  <c r="H60" i="8"/>
  <c r="I16" i="1" s="1"/>
  <c r="G11" i="2"/>
  <c r="H61" i="8"/>
  <c r="H62" i="8"/>
  <c r="H11" i="2"/>
  <c r="H63" i="8"/>
  <c r="H4" i="9"/>
  <c r="H5" i="9"/>
  <c r="H6" i="9"/>
  <c r="H7" i="9"/>
  <c r="H8" i="9"/>
  <c r="H9" i="9"/>
  <c r="H10" i="9"/>
  <c r="H11" i="9"/>
  <c r="H12" i="9"/>
  <c r="H13" i="9"/>
  <c r="H14" i="9"/>
  <c r="H24" i="9"/>
  <c r="H15" i="9"/>
  <c r="H16" i="9"/>
  <c r="H17" i="9"/>
  <c r="H18" i="9"/>
  <c r="H19" i="9"/>
  <c r="H20" i="9"/>
  <c r="H21" i="9"/>
  <c r="H22" i="9"/>
  <c r="H23" i="9"/>
  <c r="H25" i="9"/>
  <c r="H26" i="9"/>
  <c r="H30" i="9" s="1"/>
  <c r="H27" i="9"/>
  <c r="H28" i="9"/>
  <c r="H29" i="9"/>
  <c r="H31" i="9"/>
  <c r="H47" i="9" s="1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8" i="9"/>
  <c r="H49" i="9"/>
  <c r="H50" i="9"/>
  <c r="H51" i="9"/>
  <c r="H52" i="9"/>
  <c r="H53" i="9"/>
  <c r="H54" i="9"/>
  <c r="H57" i="9"/>
  <c r="G9" i="2"/>
  <c r="H63" i="9"/>
  <c r="H64" i="9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5" i="10"/>
  <c r="H26" i="10"/>
  <c r="H27" i="10"/>
  <c r="H28" i="10"/>
  <c r="H29" i="10"/>
  <c r="H39" i="10"/>
  <c r="H40" i="10"/>
  <c r="H41" i="10"/>
  <c r="H42" i="10"/>
  <c r="H43" i="10"/>
  <c r="H44" i="10"/>
  <c r="H45" i="10"/>
  <c r="H46" i="10"/>
  <c r="H56" i="10"/>
  <c r="H68" i="10" s="1"/>
  <c r="H70" i="10"/>
  <c r="E8" i="2" s="1"/>
  <c r="H71" i="10"/>
  <c r="H72" i="10"/>
  <c r="H73" i="10"/>
  <c r="H74" i="10"/>
  <c r="H75" i="10"/>
  <c r="H76" i="10"/>
  <c r="H8" i="2" s="1"/>
  <c r="H77" i="10"/>
  <c r="H8" i="11"/>
  <c r="H9" i="11"/>
  <c r="H11" i="11"/>
  <c r="H12" i="11"/>
  <c r="H13" i="11"/>
  <c r="H14" i="11"/>
  <c r="H15" i="11"/>
  <c r="H19" i="11"/>
  <c r="H20" i="11"/>
  <c r="H22" i="11"/>
  <c r="H23" i="11"/>
  <c r="H24" i="11"/>
  <c r="H25" i="11"/>
  <c r="H26" i="11"/>
  <c r="H27" i="11"/>
  <c r="H28" i="11"/>
  <c r="H29" i="11"/>
  <c r="H30" i="11"/>
  <c r="H34" i="11"/>
  <c r="H36" i="11"/>
  <c r="H37" i="11"/>
  <c r="H54" i="11"/>
  <c r="E7" i="2" s="1"/>
  <c r="H55" i="11"/>
  <c r="H56" i="11"/>
  <c r="H57" i="11"/>
  <c r="H58" i="11"/>
  <c r="G7" i="2" s="1"/>
  <c r="H59" i="11"/>
  <c r="H60" i="11"/>
  <c r="H7" i="2"/>
  <c r="H61" i="11"/>
  <c r="I19" i="1" s="1"/>
  <c r="H3" i="3"/>
  <c r="H4" i="3"/>
  <c r="H5" i="3"/>
  <c r="H6" i="3"/>
  <c r="H7" i="3"/>
  <c r="H8" i="3"/>
  <c r="H10" i="3"/>
  <c r="H11" i="3"/>
  <c r="H12" i="3"/>
  <c r="H13" i="3"/>
  <c r="H16" i="3" s="1"/>
  <c r="I24" i="1" s="1"/>
  <c r="H14" i="3"/>
  <c r="H15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6" i="3"/>
  <c r="I25" i="1" s="1"/>
  <c r="H57" i="3"/>
  <c r="I26" i="1" s="1"/>
  <c r="H58" i="3"/>
  <c r="I27" i="1" s="1"/>
  <c r="H59" i="3"/>
  <c r="I28" i="1" s="1"/>
  <c r="H60" i="3"/>
  <c r="I29" i="1" s="1"/>
  <c r="H61" i="3"/>
  <c r="I30" i="1" s="1"/>
  <c r="H62" i="3"/>
  <c r="I31" i="1" s="1"/>
  <c r="B12" i="2"/>
  <c r="K12" i="2" s="1"/>
  <c r="A12" i="2"/>
  <c r="B13" i="2"/>
  <c r="I13" i="2"/>
  <c r="B14" i="2"/>
  <c r="L14" i="2"/>
  <c r="M14" i="2"/>
  <c r="B15" i="2"/>
  <c r="A15" i="2" s="1"/>
  <c r="I15" i="2"/>
  <c r="L15" i="2"/>
  <c r="B16" i="2"/>
  <c r="I16" i="2" s="1"/>
  <c r="G7" i="1"/>
  <c r="G12" i="1"/>
  <c r="H12" i="1"/>
  <c r="G13" i="1"/>
  <c r="H13" i="1"/>
  <c r="H14" i="1"/>
  <c r="G15" i="1"/>
  <c r="H15" i="1"/>
  <c r="G16" i="1"/>
  <c r="H16" i="1"/>
  <c r="G17" i="1"/>
  <c r="H17" i="1"/>
  <c r="G18" i="1"/>
  <c r="H18" i="1"/>
  <c r="G19" i="1"/>
  <c r="H19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K15" i="2"/>
  <c r="E12" i="2"/>
  <c r="E9" i="2"/>
  <c r="E11" i="2"/>
  <c r="A14" i="2"/>
  <c r="L13" i="2"/>
  <c r="F12" i="2"/>
  <c r="I14" i="2"/>
  <c r="K14" i="2"/>
  <c r="G8" i="2"/>
  <c r="G12" i="2"/>
  <c r="H65" i="6"/>
  <c r="F10" i="2"/>
  <c r="H67" i="7"/>
  <c r="I17" i="1"/>
  <c r="I18" i="1"/>
  <c r="L12" i="2"/>
  <c r="H9" i="2"/>
  <c r="E10" i="2"/>
  <c r="I12" i="2"/>
  <c r="K13" i="2"/>
  <c r="I15" i="1"/>
  <c r="A13" i="2"/>
  <c r="I14" i="1" l="1"/>
  <c r="H65" i="9"/>
  <c r="H63" i="3"/>
  <c r="H54" i="3"/>
  <c r="H9" i="3"/>
  <c r="F9" i="2"/>
  <c r="H55" i="9"/>
  <c r="H56" i="9" s="1"/>
  <c r="D9" i="2" s="1"/>
  <c r="F8" i="2"/>
  <c r="H30" i="10"/>
  <c r="H24" i="10"/>
  <c r="E17" i="2"/>
  <c r="H66" i="14"/>
  <c r="F16" i="2" s="1"/>
  <c r="J16" i="2" s="1"/>
  <c r="H47" i="10"/>
  <c r="I8" i="1" s="1"/>
  <c r="H16" i="11"/>
  <c r="H32" i="11"/>
  <c r="H10" i="11"/>
  <c r="I7" i="1" s="1"/>
  <c r="H52" i="11"/>
  <c r="I9" i="1" s="1"/>
  <c r="H66" i="6"/>
  <c r="H69" i="6" s="1"/>
  <c r="H66" i="5"/>
  <c r="H66" i="4"/>
  <c r="A7" i="2"/>
  <c r="A8" i="2" s="1"/>
  <c r="A9" i="2" s="1"/>
  <c r="A10" i="2" s="1"/>
  <c r="H55" i="8"/>
  <c r="D12" i="2"/>
  <c r="H68" i="6"/>
  <c r="I10" i="1"/>
  <c r="H67" i="6"/>
  <c r="H56" i="4"/>
  <c r="H55" i="3"/>
  <c r="H17" i="2"/>
  <c r="H58" i="7"/>
  <c r="G17" i="2"/>
  <c r="D13" i="2"/>
  <c r="P14" i="2"/>
  <c r="I32" i="1"/>
  <c r="H68" i="5"/>
  <c r="H67" i="5"/>
  <c r="M13" i="2" s="1"/>
  <c r="H64" i="8"/>
  <c r="K16" i="2"/>
  <c r="G15" i="2"/>
  <c r="A16" i="2"/>
  <c r="H78" i="10"/>
  <c r="H66" i="15"/>
  <c r="H69" i="15" s="1"/>
  <c r="M15" i="2" s="1"/>
  <c r="J14" i="2"/>
  <c r="N14" i="2" s="1"/>
  <c r="I11" i="2"/>
  <c r="H14" i="2"/>
  <c r="I12" i="1"/>
  <c r="H62" i="11"/>
  <c r="F13" i="2"/>
  <c r="I13" i="1"/>
  <c r="A11" i="2"/>
  <c r="F7" i="2"/>
  <c r="L16" i="2"/>
  <c r="H69" i="14" l="1"/>
  <c r="M16" i="2" s="1"/>
  <c r="P16" i="2" s="1"/>
  <c r="J49" i="1"/>
  <c r="I49" i="1" s="1"/>
  <c r="H69" i="10"/>
  <c r="F17" i="2"/>
  <c r="J39" i="1"/>
  <c r="H53" i="11"/>
  <c r="D7" i="2" s="1"/>
  <c r="H69" i="4"/>
  <c r="P15" i="2"/>
  <c r="J15" i="2"/>
  <c r="N15" i="2" s="1"/>
  <c r="H65" i="8"/>
  <c r="H68" i="8" s="1"/>
  <c r="H25" i="16"/>
  <c r="E25" i="16"/>
  <c r="G25" i="16"/>
  <c r="D10" i="2"/>
  <c r="I11" i="1"/>
  <c r="I23" i="1"/>
  <c r="D11" i="2"/>
  <c r="H67" i="8"/>
  <c r="H66" i="8"/>
  <c r="M11" i="2" s="1"/>
  <c r="J12" i="2"/>
  <c r="N12" i="2" s="1"/>
  <c r="P12" i="2"/>
  <c r="M10" i="2"/>
  <c r="P13" i="2"/>
  <c r="J13" i="2"/>
  <c r="N13" i="2" s="1"/>
  <c r="I20" i="1"/>
  <c r="I36" i="1" s="1"/>
  <c r="H69" i="5"/>
  <c r="M12" i="2"/>
  <c r="M9" i="2" l="1"/>
  <c r="P9" i="2" s="1"/>
  <c r="N16" i="2"/>
  <c r="H67" i="3"/>
  <c r="D8" i="2"/>
  <c r="M8" i="2"/>
  <c r="I35" i="1"/>
  <c r="I37" i="1" s="1"/>
  <c r="I41" i="1"/>
  <c r="J48" i="1"/>
  <c r="I48" i="1" s="1"/>
  <c r="H23" i="16"/>
  <c r="E23" i="16"/>
  <c r="G23" i="16"/>
  <c r="D17" i="2"/>
  <c r="H27" i="16"/>
  <c r="G13" i="16" s="1"/>
  <c r="E27" i="16"/>
  <c r="G27" i="16"/>
  <c r="P10" i="2"/>
  <c r="I21" i="1"/>
  <c r="I22" i="1" s="1"/>
  <c r="M7" i="2"/>
  <c r="E26" i="16"/>
  <c r="G26" i="16"/>
  <c r="H26" i="16"/>
  <c r="I40" i="1"/>
  <c r="I33" i="1"/>
  <c r="I34" i="1" s="1"/>
  <c r="G24" i="16"/>
  <c r="E24" i="16"/>
  <c r="H24" i="16"/>
  <c r="J11" i="2"/>
  <c r="N11" i="2" s="1"/>
  <c r="P11" i="2"/>
  <c r="P8" i="2"/>
  <c r="M17" i="2" l="1"/>
  <c r="I42" i="1"/>
  <c r="C34" i="16"/>
  <c r="P7" i="2"/>
  <c r="E22" i="16"/>
  <c r="G22" i="16"/>
  <c r="H22" i="16"/>
  <c r="P17" i="2" l="1"/>
  <c r="K7" i="2" s="1"/>
  <c r="L7" i="2" l="1"/>
  <c r="I7" i="2"/>
  <c r="J7" i="2" s="1"/>
  <c r="K8" i="2"/>
  <c r="I8" i="2"/>
  <c r="J8" i="2" s="1"/>
  <c r="K10" i="2"/>
  <c r="I10" i="2"/>
  <c r="K9" i="2"/>
  <c r="I9" i="2"/>
  <c r="J9" i="2" s="1"/>
  <c r="L8" i="2"/>
  <c r="L10" i="2"/>
  <c r="L9" i="2"/>
  <c r="H79" i="10" l="1"/>
  <c r="H82" i="10" s="1"/>
  <c r="H66" i="11"/>
  <c r="N7" i="2"/>
  <c r="E18" i="16" s="1"/>
  <c r="H66" i="9"/>
  <c r="H69" i="9" s="1"/>
  <c r="K17" i="2"/>
  <c r="N8" i="2"/>
  <c r="H19" i="16" s="1"/>
  <c r="L17" i="2"/>
  <c r="N9" i="2"/>
  <c r="E20" i="16" s="1"/>
  <c r="I17" i="2"/>
  <c r="G18" i="16"/>
  <c r="F18" i="16"/>
  <c r="F28" i="16" s="1"/>
  <c r="H18" i="16"/>
  <c r="H68" i="7"/>
  <c r="H71" i="7" s="1"/>
  <c r="J10" i="2"/>
  <c r="N10" i="2" s="1"/>
  <c r="G19" i="16" l="1"/>
  <c r="E19" i="16"/>
  <c r="H20" i="16"/>
  <c r="G20" i="16"/>
  <c r="N17" i="2"/>
  <c r="J17" i="2"/>
  <c r="H21" i="16"/>
  <c r="G21" i="16"/>
  <c r="E21" i="16"/>
  <c r="E28" i="16" s="1"/>
  <c r="H18" i="2" l="1"/>
  <c r="E18" i="2"/>
  <c r="D18" i="2"/>
  <c r="G18" i="2"/>
  <c r="I18" i="2"/>
  <c r="L18" i="2"/>
  <c r="N20" i="2"/>
  <c r="N18" i="2"/>
  <c r="J18" i="2"/>
  <c r="K18" i="2"/>
  <c r="H28" i="16"/>
  <c r="H14" i="16" s="1"/>
  <c r="D14" i="16" s="1"/>
  <c r="G28" i="16"/>
  <c r="M18" i="2"/>
  <c r="F18" i="2"/>
</calcChain>
</file>

<file path=xl/sharedStrings.xml><?xml version="1.0" encoding="utf-8"?>
<sst xmlns="http://schemas.openxmlformats.org/spreadsheetml/2006/main" count="800" uniqueCount="284">
  <si>
    <t>표준안전관리비</t>
  </si>
  <si>
    <t>자재비</t>
    <phoneticPr fontId="2" type="noConversion"/>
  </si>
  <si>
    <t>외주제작품</t>
    <phoneticPr fontId="2" type="noConversion"/>
  </si>
  <si>
    <t>노무비</t>
    <phoneticPr fontId="2" type="noConversion"/>
  </si>
  <si>
    <t>설계</t>
    <phoneticPr fontId="2" type="noConversion"/>
  </si>
  <si>
    <t>제작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</si>
  <si>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</si>
  <si>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</si>
  <si>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</si>
  <si>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</si>
  <si>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순번</t>
    <phoneticPr fontId="2" type="noConversion"/>
  </si>
  <si>
    <t>단위</t>
    <phoneticPr fontId="2" type="noConversion"/>
  </si>
  <si>
    <t>원가구분</t>
    <phoneticPr fontId="2" type="noConversion"/>
  </si>
  <si>
    <t>수량</t>
    <phoneticPr fontId="2" type="noConversion"/>
  </si>
  <si>
    <t>단가</t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</si>
  <si>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</si>
  <si>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기계/전기자재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</si>
  <si>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</si>
  <si>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</si>
  <si>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제작(제관,가공)</t>
    <phoneticPr fontId="2" type="noConversion"/>
  </si>
  <si>
    <t>도장</t>
    <phoneticPr fontId="2" type="noConversion"/>
  </si>
  <si>
    <t>加工必要資材</t>
    <phoneticPr fontId="2" type="noConversion"/>
  </si>
  <si>
    <t>加工不要資材</t>
    <phoneticPr fontId="2" type="noConversion"/>
  </si>
  <si>
    <t>순번</t>
    <phoneticPr fontId="2" type="noConversion"/>
  </si>
  <si>
    <t>자재비</t>
    <phoneticPr fontId="2" type="noConversion"/>
  </si>
  <si>
    <t>일반관리비</t>
    <phoneticPr fontId="2" type="noConversion"/>
  </si>
  <si>
    <t>합  계</t>
    <phoneticPr fontId="2" type="noConversion"/>
  </si>
  <si>
    <t>비  고</t>
    <phoneticPr fontId="2" type="noConversion"/>
  </si>
  <si>
    <t>수량</t>
    <phoneticPr fontId="2" type="noConversion"/>
  </si>
  <si>
    <t>단위:원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</si>
  <si>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</si>
  <si>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구분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</si>
  <si>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</si>
  <si>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</si>
  <si>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</si>
  <si>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</si>
  <si>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</si>
  <si>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철자재</t>
    <phoneticPr fontId="2" type="noConversion"/>
  </si>
  <si>
    <t>구매품</t>
    <phoneticPr fontId="2" type="noConversion"/>
  </si>
  <si>
    <t>외주제작품</t>
    <phoneticPr fontId="2" type="noConversion"/>
  </si>
  <si>
    <t>전기자재</t>
    <phoneticPr fontId="2" type="noConversion"/>
  </si>
  <si>
    <t>노무비 소계</t>
    <phoneticPr fontId="2" type="noConversion"/>
  </si>
  <si>
    <t>자재비 소계</t>
    <phoneticPr fontId="2" type="noConversion"/>
  </si>
  <si>
    <t>이윤</t>
    <phoneticPr fontId="2" type="noConversion"/>
  </si>
  <si>
    <t>품  명</t>
    <phoneticPr fontId="2" type="noConversion"/>
  </si>
  <si>
    <t>(유공압품외)</t>
    <phoneticPr fontId="2" type="noConversion"/>
  </si>
  <si>
    <t>原MAKER</t>
    <phoneticPr fontId="2" type="noConversion"/>
  </si>
  <si>
    <t>기타자재</t>
    <phoneticPr fontId="2" type="noConversion"/>
  </si>
  <si>
    <t>운반및중장비사용,표준안전관리비</t>
    <phoneticPr fontId="2" type="noConversion"/>
  </si>
  <si>
    <t>기계 소계</t>
    <phoneticPr fontId="2" type="noConversion"/>
  </si>
  <si>
    <t>M/D</t>
  </si>
  <si>
    <t>M/D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</si>
  <si>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</si>
  <si>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</si>
  <si>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설치/시운전</t>
    <phoneticPr fontId="2" type="noConversion"/>
  </si>
  <si>
    <t>양산대응</t>
    <phoneticPr fontId="2" type="noConversion"/>
  </si>
  <si>
    <t>일반관리비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</si>
  <si>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</si>
  <si>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</si>
  <si>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</si>
  <si>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철거</t>
    <phoneticPr fontId="2" type="noConversion"/>
  </si>
  <si>
    <t>제작</t>
    <phoneticPr fontId="2" type="noConversion"/>
  </si>
  <si>
    <t>항   목</t>
    <phoneticPr fontId="2" type="noConversion"/>
  </si>
  <si>
    <t>3~7항 합계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</si>
  <si>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</si>
  <si>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정도검사포함</t>
    <phoneticPr fontId="2" type="noConversion"/>
  </si>
  <si>
    <t>개조공사時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</si>
  <si>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</si>
  <si>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소계</t>
    <phoneticPr fontId="2" type="noConversion"/>
  </si>
  <si>
    <t>전기 소계</t>
    <phoneticPr fontId="2" type="noConversion"/>
  </si>
  <si>
    <t>기존설비 철거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</si>
  <si>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</si>
  <si>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노
무
비</t>
    <phoneticPr fontId="2" type="noConversion"/>
  </si>
  <si>
    <t>설계,프로그램</t>
    <phoneticPr fontId="2" type="noConversion"/>
  </si>
  <si>
    <t>표준안전</t>
    <phoneticPr fontId="2" type="noConversion"/>
  </si>
  <si>
    <t>관리비</t>
    <phoneticPr fontId="2" type="noConversion"/>
  </si>
  <si>
    <t>일반관리 및 이윤</t>
    <phoneticPr fontId="2" type="noConversion"/>
  </si>
  <si>
    <t>자
재
비</t>
    <phoneticPr fontId="2" type="noConversion"/>
  </si>
  <si>
    <t>* 기계부문에 포함시킴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</si>
  <si>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</si>
  <si>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</si>
  <si>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자
재
비</t>
    <phoneticPr fontId="2" type="noConversion"/>
  </si>
  <si>
    <t>(첨부)</t>
    <phoneticPr fontId="2" type="noConversion"/>
  </si>
  <si>
    <t>□ 전기부문:</t>
    <phoneticPr fontId="2" type="noConversion"/>
  </si>
  <si>
    <t>(첨부)</t>
    <phoneticPr fontId="2" type="noConversion"/>
  </si>
  <si>
    <t>포장/운송</t>
    <phoneticPr fontId="2" type="noConversion"/>
  </si>
  <si>
    <t>중장비사용</t>
    <phoneticPr fontId="2" type="noConversion"/>
  </si>
  <si>
    <t>포장,운송 및 중장비 사용료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</si>
  <si>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</si>
  <si>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기존설비 철거</t>
    <phoneticPr fontId="2" type="noConversion"/>
  </si>
  <si>
    <t>기계
부문</t>
    <phoneticPr fontId="2" type="noConversion"/>
  </si>
  <si>
    <t>전기
부문</t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</si>
  <si>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</si>
  <si>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단위장비명</t>
    <phoneticPr fontId="2" type="noConversion"/>
  </si>
  <si>
    <t>철거(개조시)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</si>
  <si>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</si>
  <si>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t>현대/기아차 요구사양대비 견적조건 상이내역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</si>
  <si>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</si>
  <si>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</si>
  <si>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설치</t>
    <phoneticPr fontId="2" type="noConversion"/>
  </si>
  <si>
    <t>조립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</si>
  <si>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</si>
  <si>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</si>
  <si>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</si>
  <si>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</si>
  <si>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</si>
  <si>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</si>
  <si>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</si>
  <si>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</si>
  <si>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</si>
  <si>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</si>
  <si>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</si>
  <si>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</si>
  <si>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</si>
  <si>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</si>
  <si>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M/D</t>
    <phoneticPr fontId="2" type="noConversion"/>
  </si>
  <si>
    <t>식</t>
    <phoneticPr fontId="2" type="noConversion"/>
  </si>
  <si>
    <t>kg</t>
    <phoneticPr fontId="2" type="noConversion"/>
  </si>
  <si>
    <t>식</t>
    <phoneticPr fontId="2" type="noConversion"/>
  </si>
  <si>
    <t>일반구매품</t>
    <phoneticPr fontId="2" type="noConversion"/>
  </si>
  <si>
    <t>번호</t>
    <phoneticPr fontId="2" type="noConversion"/>
  </si>
  <si>
    <t>1. VAT 제외</t>
    <phoneticPr fontId="2" type="noConversion"/>
  </si>
  <si>
    <t>2. 기본 유틸리티공사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</si>
  <si>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</si>
  <si>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</si>
  <si>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</si>
  <si>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</si>
  <si>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</si>
  <si>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</si>
  <si>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</si>
  <si>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</si>
  <si>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</si>
  <si>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 xml:space="preserve">見  積  書   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</si>
  <si>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</si>
  <si>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</si>
  <si>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</si>
  <si>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</si>
  <si>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</si>
  <si>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t>기계소계</t>
    <phoneticPr fontId="2" type="noConversion"/>
  </si>
  <si>
    <t>전기소계</t>
    <phoneticPr fontId="2" type="noConversion"/>
  </si>
  <si>
    <t>1식</t>
  </si>
  <si>
    <t>1식</t>
    <phoneticPr fontId="2" type="noConversion"/>
  </si>
  <si>
    <t>1식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</si>
  <si>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</si>
  <si>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</si>
  <si>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합   계</t>
    <phoneticPr fontId="2" type="noConversion"/>
  </si>
  <si>
    <t>이         윤</t>
    <phoneticPr fontId="2" type="noConversion"/>
  </si>
  <si>
    <t>합         계</t>
    <phoneticPr fontId="2" type="noConversion"/>
  </si>
  <si>
    <t>식</t>
    <phoneticPr fontId="2" type="noConversion"/>
  </si>
  <si>
    <t>자재</t>
    <phoneticPr fontId="2" type="noConversion"/>
  </si>
  <si>
    <t>설치/해체/</t>
    <phoneticPr fontId="2" type="noConversion"/>
  </si>
  <si>
    <t>시운전 공사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</si>
  <si>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</si>
  <si>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</si>
  <si>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설치/해체/시운전</t>
    <phoneticPr fontId="2" type="noConversion"/>
  </si>
  <si>
    <t>공사 관련 자재</t>
    <phoneticPr fontId="2" type="noConversion"/>
  </si>
  <si>
    <t>계상기준1</t>
    <phoneticPr fontId="2" type="noConversion"/>
  </si>
  <si>
    <t>계상기준2</t>
    <phoneticPr fontId="2" type="noConversion"/>
  </si>
  <si>
    <t>제작/설치 전체</t>
    <phoneticPr fontId="2" type="noConversion"/>
  </si>
  <si>
    <t>당사내 설치비限</t>
    <phoneticPr fontId="2" type="noConversion"/>
  </si>
  <si>
    <t>대상액</t>
    <phoneticPr fontId="2" type="noConversion"/>
  </si>
  <si>
    <t>기준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</si>
  <si>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</si>
  <si>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t>안전관리비</t>
    <phoneticPr fontId="2" type="noConversion"/>
  </si>
  <si>
    <t>비고</t>
    <phoneticPr fontId="2" type="noConversion"/>
  </si>
  <si>
    <t>운반및중장비사용</t>
    <phoneticPr fontId="2" type="noConversion"/>
  </si>
  <si>
    <t>설치/철거/수리금액 기준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</si>
  <si>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</si>
  <si>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</si>
  <si>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</si>
  <si>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</si>
  <si>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>산업안전관리비
[일반건설공사(을)]</t>
    <phoneticPr fontId="2" type="noConversion"/>
  </si>
  <si>
    <t>ST</t>
    <phoneticPr fontId="2" type="noConversion"/>
  </si>
  <si>
    <t>현대 위아 貴下</t>
    <phoneticPr fontId="2" type="noConversion"/>
  </si>
  <si>
    <t>작화. PROGRAM 비</t>
    <phoneticPr fontId="2" type="noConversion"/>
  </si>
  <si>
    <t>기계 가공</t>
    <phoneticPr fontId="2" type="noConversion"/>
  </si>
  <si>
    <t>상 /하 판 가공 및 PIN HOLE 가공</t>
    <phoneticPr fontId="2" type="noConversion"/>
  </si>
  <si>
    <t>견적금액</t>
    <phoneticPr fontId="2" type="noConversion"/>
  </si>
  <si>
    <t>)</t>
    <phoneticPr fontId="2" type="noConversion"/>
  </si>
  <si>
    <t>귀사 지정장소</t>
    <phoneticPr fontId="2" type="noConversion"/>
  </si>
  <si>
    <t>협의사항</t>
    <phoneticPr fontId="2" type="noConversion"/>
  </si>
  <si>
    <t>견적담당:</t>
  </si>
  <si>
    <t>연 락 처 :</t>
  </si>
  <si>
    <t>제출후 30 일</t>
    <phoneticPr fontId="2" type="noConversion"/>
  </si>
  <si>
    <t xml:space="preserve">        ⓐ3.15%(5억원미만),ⓑ2.53%+기초액(5억원 이상 ~ 50억원 미만),ⓒ2.60%(50억 이상일경우)</t>
    <phoneticPr fontId="2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</si>
  <si>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</t>
    </r>
    <phoneticPr fontId="2" type="noConversion"/>
  </si>
  <si>
    <t>기계부문</t>
    <phoneticPr fontId="2" type="noConversion"/>
  </si>
  <si>
    <t>전기부문</t>
    <phoneticPr fontId="2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</si>
  <si>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</si>
  <si>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t>공 사 명</t>
    <phoneticPr fontId="2" type="noConversion"/>
  </si>
  <si>
    <t>공사명을 입력해 주세요</t>
    <phoneticPr fontId="2" type="noConversion"/>
  </si>
  <si>
    <t>整(\</t>
    <phoneticPr fontId="2" type="noConversion"/>
  </si>
  <si>
    <t>WIA-25-13</t>
    <phoneticPr fontId="2" type="noConversion"/>
  </si>
  <si>
    <t>주소 : 경남 양산시 어곡공단로 123</t>
    <phoneticPr fontId="2" type="noConversion"/>
  </si>
  <si>
    <t>전화: 055-371-5600</t>
    <phoneticPr fontId="2" type="noConversion"/>
  </si>
  <si>
    <t>Fax: 055-371-5606</t>
    <phoneticPr fontId="2" type="noConversion"/>
  </si>
  <si>
    <t>차순임 차장</t>
    <phoneticPr fontId="2" type="noConversion"/>
  </si>
  <si>
    <t>055-371-5660</t>
    <phoneticPr fontId="2" type="noConversion"/>
  </si>
  <si>
    <t>O/RACE LINE</t>
    <phoneticPr fontId="2" type="noConversion"/>
  </si>
  <si>
    <t>T/HOUSING LINE</t>
    <phoneticPr fontId="2" type="noConversion"/>
  </si>
  <si>
    <t>D/SHAFT LINE</t>
    <phoneticPr fontId="2" type="noConversion"/>
  </si>
  <si>
    <t>I/RACE LINE</t>
    <phoneticPr fontId="2" type="noConversion"/>
  </si>
  <si>
    <t>STOCKER</t>
    <phoneticPr fontId="2" type="noConversion"/>
  </si>
  <si>
    <t>200EA</t>
    <phoneticPr fontId="2" type="noConversion"/>
  </si>
  <si>
    <t>SET</t>
    <phoneticPr fontId="2" type="noConversion"/>
  </si>
  <si>
    <t>STOCKER</t>
    <phoneticPr fontId="2" type="noConversion"/>
  </si>
  <si>
    <t>STOCKER</t>
    <phoneticPr fontId="2" type="noConversion"/>
  </si>
  <si>
    <t>240EA</t>
    <phoneticPr fontId="2" type="noConversion"/>
  </si>
  <si>
    <t>SET</t>
    <phoneticPr fontId="2" type="noConversion"/>
  </si>
  <si>
    <t>PP LOADER</t>
    <phoneticPr fontId="2" type="noConversion"/>
  </si>
  <si>
    <t>CONVEYOR</t>
    <phoneticPr fontId="2" type="noConversion"/>
  </si>
  <si>
    <t>CONVEYOR</t>
    <phoneticPr fontId="2" type="noConversion"/>
  </si>
  <si>
    <t>2M</t>
    <phoneticPr fontId="2" type="noConversion"/>
  </si>
  <si>
    <t>3M</t>
    <phoneticPr fontId="2" type="noConversion"/>
  </si>
  <si>
    <t>4M</t>
    <phoneticPr fontId="2" type="noConversion"/>
  </si>
  <si>
    <t>INC.SPC STATION</t>
    <phoneticPr fontId="2" type="noConversion"/>
  </si>
  <si>
    <t>SET</t>
    <phoneticPr fontId="2" type="noConversion"/>
  </si>
  <si>
    <t>ESCAPER</t>
    <phoneticPr fontId="2" type="noConversion"/>
  </si>
  <si>
    <t>SET</t>
    <phoneticPr fontId="2" type="noConversion"/>
  </si>
  <si>
    <t>WORK PUSHER UNIT</t>
    <phoneticPr fontId="2" type="noConversion"/>
  </si>
  <si>
    <t>WORK PUSHER UNIT</t>
    <phoneticPr fontId="2" type="noConversion"/>
  </si>
  <si>
    <t>CONNECT MCC</t>
    <phoneticPr fontId="2" type="noConversion"/>
  </si>
  <si>
    <t>SR-300W</t>
    <phoneticPr fontId="2" type="noConversion"/>
  </si>
  <si>
    <t>KEYENCE</t>
    <phoneticPr fontId="2" type="noConversion"/>
  </si>
  <si>
    <t>2D READER UNIT</t>
    <phoneticPr fontId="2" type="noConversion"/>
  </si>
  <si>
    <t>2 AXIS LINEAR</t>
    <phoneticPr fontId="2" type="noConversion"/>
  </si>
  <si>
    <t>ORIENTATION UNIT</t>
    <phoneticPr fontId="2" type="noConversion"/>
  </si>
  <si>
    <t>LASER SENSOR</t>
    <phoneticPr fontId="2" type="noConversion"/>
  </si>
  <si>
    <t>TILTING UNIT</t>
    <phoneticPr fontId="2" type="noConversion"/>
  </si>
  <si>
    <t>OUT DIA CHECK UNIT</t>
    <phoneticPr fontId="2" type="noConversion"/>
  </si>
  <si>
    <t>NG SLIDER</t>
    <phoneticPr fontId="2" type="noConversion"/>
  </si>
  <si>
    <t>AIR BLOW UNIT</t>
    <phoneticPr fontId="2" type="noConversion"/>
  </si>
  <si>
    <t>INC.PP LOADER</t>
    <phoneticPr fontId="2" type="noConversion"/>
  </si>
  <si>
    <t>ANTI RUST UNIT</t>
    <phoneticPr fontId="2" type="noConversion"/>
  </si>
  <si>
    <t>FENCE &amp; DUCT</t>
    <phoneticPr fontId="2" type="noConversion"/>
  </si>
  <si>
    <t>WORK PUSHER UNIT</t>
    <phoneticPr fontId="2" type="noConversion"/>
  </si>
  <si>
    <t>CONNECT MCC</t>
    <phoneticPr fontId="2" type="noConversion"/>
  </si>
  <si>
    <t>300EA</t>
    <phoneticPr fontId="2" type="noConversion"/>
  </si>
  <si>
    <t>SET</t>
    <phoneticPr fontId="2" type="noConversion"/>
  </si>
  <si>
    <t>3 AXIS LINEAR</t>
    <phoneticPr fontId="2" type="noConversion"/>
  </si>
  <si>
    <t>200EA</t>
    <phoneticPr fontId="2" type="noConversion"/>
  </si>
  <si>
    <t>WORK PUSHER UNIT</t>
    <phoneticPr fontId="2" type="noConversion"/>
  </si>
  <si>
    <t>CHAIN CONVEYOR</t>
    <phoneticPr fontId="2" type="noConversion"/>
  </si>
  <si>
    <t>INC.POP-UP / ONE FRAME</t>
    <phoneticPr fontId="2" type="noConversion"/>
  </si>
  <si>
    <t>PP LOADER</t>
    <phoneticPr fontId="2" type="noConversion"/>
  </si>
  <si>
    <t>INC.FLAT TURN</t>
    <phoneticPr fontId="2" type="noConversion"/>
  </si>
  <si>
    <t>IN STOCKER</t>
    <phoneticPr fontId="2" type="noConversion"/>
  </si>
  <si>
    <t>FEEDER TYPE</t>
    <phoneticPr fontId="2" type="noConversion"/>
  </si>
  <si>
    <t>TRANS CONVEYOR</t>
    <phoneticPr fontId="2" type="noConversion"/>
  </si>
  <si>
    <t>ORIENTATION UNIT</t>
    <phoneticPr fontId="2" type="noConversion"/>
  </si>
  <si>
    <t>CONVEYOR</t>
    <phoneticPr fontId="2" type="noConversion"/>
  </si>
  <si>
    <t>INC.PP LOADER</t>
    <phoneticPr fontId="2" type="noConversion"/>
  </si>
  <si>
    <t>INC.SPC STATION</t>
    <phoneticPr fontId="2" type="noConversion"/>
  </si>
  <si>
    <t>ANTI RUST UNIT</t>
    <phoneticPr fontId="2" type="noConversion"/>
  </si>
  <si>
    <t>OUT STOCKER</t>
    <phoneticPr fontId="2" type="noConversion"/>
  </si>
  <si>
    <t>APPLY SUS MAT'</t>
    <phoneticPr fontId="2" type="noConversion"/>
  </si>
  <si>
    <t>DIPPING TYPE</t>
    <phoneticPr fontId="2" type="noConversion"/>
  </si>
  <si>
    <t>ELECTRIC PARTS</t>
    <phoneticPr fontId="2" type="noConversion"/>
  </si>
  <si>
    <t>CONTROL PANEL</t>
    <phoneticPr fontId="2" type="noConversion"/>
  </si>
  <si>
    <t>OPERATE PANEL</t>
    <phoneticPr fontId="2" type="noConversion"/>
  </si>
  <si>
    <t>SET</t>
    <phoneticPr fontId="2" type="noConversion"/>
  </si>
  <si>
    <t>BOX</t>
    <phoneticPr fontId="2" type="noConversion"/>
  </si>
  <si>
    <t>PC RACK</t>
    <phoneticPr fontId="2" type="noConversion"/>
  </si>
  <si>
    <t>CABLE &amp; SENSOR</t>
    <phoneticPr fontId="2" type="noConversion"/>
  </si>
  <si>
    <t>LOT</t>
    <phoneticPr fontId="2" type="noConversion"/>
  </si>
  <si>
    <t>CONTROL MODULE</t>
    <phoneticPr fontId="2" type="noConversion"/>
  </si>
  <si>
    <t>LOT</t>
    <phoneticPr fontId="2" type="noConversion"/>
  </si>
  <si>
    <t>LOT</t>
    <phoneticPr fontId="2" type="noConversion"/>
  </si>
  <si>
    <t>SAFETY PLUG</t>
    <phoneticPr fontId="2" type="noConversion"/>
  </si>
  <si>
    <t>SERVO</t>
    <phoneticPr fontId="2" type="noConversion"/>
  </si>
  <si>
    <t>FOR 2 AXIS</t>
    <phoneticPr fontId="2" type="noConversion"/>
  </si>
  <si>
    <t>FOR 3 AXIS</t>
    <phoneticPr fontId="2" type="noConversion"/>
  </si>
  <si>
    <t>측정기 PC</t>
    <phoneticPr fontId="2" type="noConversion"/>
  </si>
  <si>
    <t>전기 설계</t>
    <phoneticPr fontId="2" type="noConversion"/>
  </si>
  <si>
    <t>PC포함</t>
    <phoneticPr fontId="2" type="noConversion"/>
  </si>
  <si>
    <r>
      <t>F</t>
    </r>
    <r>
      <rPr>
        <sz val="11"/>
        <rFont val="굴림"/>
        <family val="3"/>
        <charset val="129"/>
      </rPr>
      <t>OB, BUSAN</t>
    </r>
    <phoneticPr fontId="2" type="noConversion"/>
  </si>
  <si>
    <t>OLT</t>
    <phoneticPr fontId="2" type="noConversion"/>
  </si>
  <si>
    <t>OLT</t>
    <phoneticPr fontId="2" type="noConversion"/>
  </si>
  <si>
    <t>PLC, PC 포함</t>
    <phoneticPr fontId="2" type="noConversion"/>
  </si>
  <si>
    <t>LOT</t>
    <phoneticPr fontId="2" type="noConversion"/>
  </si>
  <si>
    <t>LOT</t>
    <phoneticPr fontId="2" type="noConversion"/>
  </si>
  <si>
    <t>해외체류경비및기타</t>
    <phoneticPr fontId="2" type="noConversion"/>
  </si>
  <si>
    <t>㈜에스피시스템스</t>
    <phoneticPr fontId="2" type="noConversion"/>
  </si>
  <si>
    <t>대표 : 심효준, 심상균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</si>
</sst>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176" formatCode="0.0\K\G"/>
    <numFmt numFmtId="177" formatCode="#,##0_);[Red]\(#,##0\)"/>
    <numFmt numFmtId="178" formatCode="#,##0_ "/>
    <numFmt numFmtId="179" formatCode="General&quot;상세견적&quot;"/>
    <numFmt numFmtId="180" formatCode="&quot;3.산업안전관리비&quot;\ #,##0_ &quot;원 포함&quot;"/>
    <numFmt numFmtId="181" formatCode="&quot;3. 산업안전관리비&quot;\ #,##0_ &quot;원 포함&quot;"/>
    <numFmt numFmtId="182" formatCode="#,##0.0_ "/>
    <numFmt numFmtId="183" formatCode="#,##0;[Red]#,##0"/>
    <numFmt numFmtId="184" formatCode="0.0_);[Red]\(0.0\)"/>
    <numFmt numFmtId="185" formatCode="0_);[Red]\(0\)"/>
  </numFmts>
  <fonts count="34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sz val="14"/>
      <name val="HY헤드라인M"/>
      <family val="1"/>
      <charset val="129"/>
    </font>
    <font>
      <sz val="12"/>
      <color indexed="8"/>
      <name val="HY헤드라인M"/>
      <family val="1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sz val="11"/>
      <name val="휴먼태각진그래픽"/>
      <family val="1"/>
      <charset val="129"/>
    </font>
    <font>
      <sz val="11"/>
      <name val="맑은 고딕"/>
      <family val="3"/>
      <charset val="129"/>
    </font>
    <font>
      <sz val="11"/>
      <name val="새굴림"/>
      <family val="1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</cellStyleXfs>
  <cellXfs count="558">
    <xf numFmtId="0" fontId="0" fillId="0" borderId="0" xfId="0"/>
    <xf numFmtId="3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3" fontId="7" fillId="0" borderId="0" xfId="0" applyNumberFormat="1" applyFont="1" applyFill="1" applyAlignment="1">
      <alignment vertical="center"/>
    </xf>
    <xf numFmtId="3" fontId="8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3" fontId="5" fillId="0" borderId="5" xfId="0" applyNumberFormat="1" applyFont="1" applyFill="1" applyBorder="1" applyAlignment="1">
      <alignment vertical="center"/>
    </xf>
    <xf numFmtId="3" fontId="5" fillId="0" borderId="6" xfId="0" applyNumberFormat="1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  <xf numFmtId="3" fontId="6" fillId="0" borderId="5" xfId="0" applyNumberFormat="1" applyFont="1" applyFill="1" applyBorder="1" applyAlignment="1">
      <alignment vertical="center"/>
    </xf>
    <xf numFmtId="3" fontId="5" fillId="0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9" xfId="0" applyNumberFormat="1" applyFont="1" applyFill="1" applyBorder="1" applyAlignment="1">
      <alignment vertical="center"/>
    </xf>
    <xf numFmtId="3" fontId="5" fillId="0" borderId="10" xfId="0" applyNumberFormat="1" applyFont="1" applyFill="1" applyBorder="1" applyAlignment="1">
      <alignment vertical="center"/>
    </xf>
    <xf numFmtId="3" fontId="5" fillId="0" borderId="11" xfId="0" applyNumberFormat="1" applyFont="1" applyFill="1" applyBorder="1" applyAlignment="1">
      <alignment horizontal="center" vertical="center"/>
    </xf>
    <xf numFmtId="3" fontId="5" fillId="0" borderId="12" xfId="0" applyNumberFormat="1" applyFont="1" applyFill="1" applyBorder="1" applyAlignment="1">
      <alignment vertical="center"/>
    </xf>
    <xf numFmtId="3" fontId="5" fillId="0" borderId="13" xfId="0" applyNumberFormat="1" applyFont="1" applyFill="1" applyBorder="1" applyAlignment="1">
      <alignment horizontal="center" vertical="center"/>
    </xf>
    <xf numFmtId="3" fontId="5" fillId="0" borderId="14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15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6" xfId="0" applyBorder="1" applyAlignment="1">
      <alignment horizontal="center" vertical="center"/>
    </xf>
    <xf numFmtId="177" fontId="1" fillId="0" borderId="4" xfId="0" applyNumberFormat="1" applyFont="1" applyFill="1" applyBorder="1" applyAlignment="1">
      <alignment vertical="center"/>
    </xf>
    <xf numFmtId="177" fontId="5" fillId="0" borderId="3" xfId="0" applyNumberFormat="1" applyFont="1" applyFill="1" applyBorder="1" applyAlignment="1">
      <alignment vertical="center"/>
    </xf>
    <xf numFmtId="177" fontId="5" fillId="0" borderId="4" xfId="0" applyNumberFormat="1" applyFont="1" applyFill="1" applyBorder="1" applyAlignment="1">
      <alignment vertical="center"/>
    </xf>
    <xf numFmtId="3" fontId="5" fillId="0" borderId="17" xfId="0" applyNumberFormat="1" applyFont="1" applyFill="1" applyBorder="1" applyAlignment="1">
      <alignment horizontal="center" vertical="center"/>
    </xf>
    <xf numFmtId="3" fontId="5" fillId="0" borderId="18" xfId="0" applyNumberFormat="1" applyFont="1" applyFill="1" applyBorder="1" applyAlignment="1">
      <alignment horizontal="center" vertical="center"/>
    </xf>
    <xf numFmtId="3" fontId="5" fillId="0" borderId="19" xfId="0" applyNumberFormat="1" applyFont="1" applyFill="1" applyBorder="1" applyAlignment="1">
      <alignment horizontal="center" vertical="center"/>
    </xf>
    <xf numFmtId="3" fontId="5" fillId="0" borderId="20" xfId="0" applyNumberFormat="1" applyFont="1" applyFill="1" applyBorder="1" applyAlignment="1">
      <alignment horizontal="center" vertical="center"/>
    </xf>
    <xf numFmtId="178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77" fontId="9" fillId="0" borderId="0" xfId="0" applyNumberFormat="1" applyFont="1" applyFill="1" applyAlignment="1">
      <alignment vertical="center"/>
    </xf>
    <xf numFmtId="177" fontId="5" fillId="0" borderId="0" xfId="0" applyNumberFormat="1" applyFont="1" applyFill="1" applyAlignment="1">
      <alignment vertical="center"/>
    </xf>
    <xf numFmtId="177" fontId="5" fillId="0" borderId="19" xfId="0" applyNumberFormat="1" applyFont="1" applyFill="1" applyBorder="1" applyAlignment="1">
      <alignment horizontal="center" vertical="center"/>
    </xf>
    <xf numFmtId="177" fontId="5" fillId="0" borderId="17" xfId="0" applyNumberFormat="1" applyFont="1" applyFill="1" applyBorder="1" applyAlignment="1">
      <alignment vertical="center"/>
    </xf>
    <xf numFmtId="177" fontId="4" fillId="0" borderId="4" xfId="0" applyNumberFormat="1" applyFont="1" applyFill="1" applyBorder="1" applyAlignment="1">
      <alignment vertical="center"/>
    </xf>
    <xf numFmtId="177" fontId="4" fillId="0" borderId="23" xfId="0" applyNumberFormat="1" applyFont="1" applyFill="1" applyBorder="1" applyAlignment="1">
      <alignment vertical="center"/>
    </xf>
    <xf numFmtId="177" fontId="4" fillId="0" borderId="3" xfId="0" applyNumberFormat="1" applyFont="1" applyFill="1" applyBorder="1" applyAlignment="1">
      <alignment vertical="center"/>
    </xf>
    <xf numFmtId="177" fontId="4" fillId="0" borderId="24" xfId="0" applyNumberFormat="1" applyFont="1" applyFill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7" xfId="0" applyNumberFormat="1" applyBorder="1" applyAlignment="1">
      <alignment vertical="center"/>
    </xf>
    <xf numFmtId="178" fontId="0" fillId="0" borderId="15" xfId="0" applyNumberFormat="1" applyBorder="1" applyAlignment="1">
      <alignment horizontal="center" vertical="center"/>
    </xf>
    <xf numFmtId="178" fontId="0" fillId="0" borderId="26" xfId="0" applyNumberFormat="1" applyBorder="1" applyAlignment="1">
      <alignment vertical="center"/>
    </xf>
    <xf numFmtId="178" fontId="0" fillId="0" borderId="16" xfId="0" applyNumberFormat="1" applyBorder="1" applyAlignment="1">
      <alignment vertical="center"/>
    </xf>
    <xf numFmtId="177" fontId="4" fillId="0" borderId="28" xfId="0" applyNumberFormat="1" applyFont="1" applyFill="1" applyBorder="1" applyAlignment="1">
      <alignment vertical="center"/>
    </xf>
    <xf numFmtId="3" fontId="5" fillId="0" borderId="29" xfId="0" applyNumberFormat="1" applyFont="1" applyFill="1" applyBorder="1" applyAlignment="1">
      <alignment vertical="center"/>
    </xf>
    <xf numFmtId="3" fontId="5" fillId="0" borderId="30" xfId="0" applyNumberFormat="1" applyFont="1" applyFill="1" applyBorder="1" applyAlignment="1">
      <alignment horizontal="left" vertical="center"/>
    </xf>
    <xf numFmtId="177" fontId="4" fillId="0" borderId="31" xfId="0" applyNumberFormat="1" applyFont="1" applyFill="1" applyBorder="1" applyAlignment="1">
      <alignment vertical="center"/>
    </xf>
    <xf numFmtId="0" fontId="0" fillId="0" borderId="32" xfId="0" applyBorder="1" applyAlignment="1">
      <alignment horizontal="center" vertical="center"/>
    </xf>
    <xf numFmtId="178" fontId="0" fillId="0" borderId="25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Fill="1" applyAlignment="1">
      <alignment vertical="center"/>
    </xf>
    <xf numFmtId="178" fontId="11" fillId="0" borderId="0" xfId="0" applyNumberFormat="1" applyFon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36" xfId="0" applyFill="1" applyBorder="1" applyAlignment="1">
      <alignment vertical="center"/>
    </xf>
    <xf numFmtId="178" fontId="0" fillId="2" borderId="36" xfId="0" applyNumberForma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15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36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4" fontId="1" fillId="0" borderId="0" xfId="0" applyNumberFormat="1" applyFont="1" applyFill="1" applyAlignment="1">
      <alignment vertical="center"/>
    </xf>
    <xf numFmtId="4" fontId="10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4" fontId="5" fillId="0" borderId="0" xfId="0" applyNumberFormat="1" applyFont="1" applyFill="1" applyAlignment="1">
      <alignment vertical="center"/>
    </xf>
    <xf numFmtId="177" fontId="5" fillId="0" borderId="2" xfId="0" applyNumberFormat="1" applyFont="1" applyFill="1" applyBorder="1" applyAlignment="1">
      <alignment horizontal="center" vertical="center"/>
    </xf>
    <xf numFmtId="3" fontId="5" fillId="0" borderId="40" xfId="0" applyNumberFormat="1" applyFont="1" applyFill="1" applyBorder="1" applyAlignment="1">
      <alignment horizontal="center" vertical="center"/>
    </xf>
    <xf numFmtId="4" fontId="5" fillId="0" borderId="0" xfId="0" applyNumberFormat="1" applyFont="1" applyFill="1" applyAlignment="1">
      <alignment horizontal="center" vertical="center"/>
    </xf>
    <xf numFmtId="4" fontId="6" fillId="0" borderId="0" xfId="0" applyNumberFormat="1" applyFont="1" applyFill="1" applyAlignment="1">
      <alignment vertical="center"/>
    </xf>
    <xf numFmtId="3" fontId="6" fillId="0" borderId="0" xfId="0" applyNumberFormat="1" applyFont="1" applyFill="1" applyAlignment="1">
      <alignment vertical="center"/>
    </xf>
    <xf numFmtId="3" fontId="5" fillId="0" borderId="41" xfId="0" applyNumberFormat="1" applyFont="1" applyFill="1" applyBorder="1" applyAlignment="1">
      <alignment vertical="center"/>
    </xf>
    <xf numFmtId="3" fontId="5" fillId="0" borderId="42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177" fontId="5" fillId="0" borderId="17" xfId="0" applyNumberFormat="1" applyFont="1" applyFill="1" applyBorder="1" applyAlignment="1">
      <alignment horizontal="right" vertical="center"/>
    </xf>
    <xf numFmtId="177" fontId="5" fillId="0" borderId="4" xfId="1" applyNumberFormat="1" applyFont="1" applyFill="1" applyBorder="1" applyAlignment="1">
      <alignment horizontal="right" vertical="center"/>
    </xf>
    <xf numFmtId="177" fontId="5" fillId="0" borderId="4" xfId="0" applyNumberFormat="1" applyFont="1" applyFill="1" applyBorder="1" applyAlignment="1">
      <alignment horizontal="right"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45" xfId="0" applyBorder="1" applyAlignment="1">
      <alignment vertical="center"/>
    </xf>
    <xf numFmtId="178" fontId="0" fillId="0" borderId="46" xfId="0" applyNumberFormat="1" applyBorder="1" applyAlignment="1">
      <alignment vertical="center"/>
    </xf>
    <xf numFmtId="178" fontId="0" fillId="0" borderId="16" xfId="0" applyNumberForma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178" fontId="0" fillId="0" borderId="49" xfId="0" applyNumberFormat="1" applyBorder="1" applyAlignment="1">
      <alignment vertical="center"/>
    </xf>
    <xf numFmtId="178" fontId="0" fillId="0" borderId="50" xfId="0" applyNumberFormat="1" applyBorder="1" applyAlignment="1">
      <alignment vertical="center"/>
    </xf>
    <xf numFmtId="0" fontId="0" fillId="0" borderId="26" xfId="0" applyFill="1" applyBorder="1" applyAlignment="1">
      <alignment vertical="center"/>
    </xf>
    <xf numFmtId="0" fontId="0" fillId="0" borderId="51" xfId="0" applyFill="1" applyBorder="1" applyAlignment="1">
      <alignment vertical="center"/>
    </xf>
    <xf numFmtId="0" fontId="0" fillId="0" borderId="52" xfId="0" applyFill="1" applyBorder="1" applyAlignment="1">
      <alignment vertical="center"/>
    </xf>
    <xf numFmtId="0" fontId="0" fillId="0" borderId="53" xfId="0" applyFill="1" applyBorder="1" applyAlignment="1">
      <alignment vertical="center"/>
    </xf>
    <xf numFmtId="177" fontId="4" fillId="0" borderId="17" xfId="0" applyNumberFormat="1" applyFont="1" applyFill="1" applyBorder="1" applyAlignment="1">
      <alignment vertical="center"/>
    </xf>
    <xf numFmtId="0" fontId="0" fillId="2" borderId="39" xfId="0" applyFill="1" applyBorder="1" applyAlignment="1">
      <alignment vertical="center"/>
    </xf>
    <xf numFmtId="178" fontId="0" fillId="2" borderId="39" xfId="0" applyNumberFormat="1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178" fontId="0" fillId="2" borderId="37" xfId="0" applyNumberFormat="1" applyFill="1" applyBorder="1" applyAlignment="1">
      <alignment vertical="center"/>
    </xf>
    <xf numFmtId="178" fontId="0" fillId="2" borderId="15" xfId="0" applyNumberFormat="1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178" fontId="0" fillId="2" borderId="55" xfId="0" applyNumberFormat="1" applyFill="1" applyBorder="1" applyAlignment="1">
      <alignment vertical="center"/>
    </xf>
    <xf numFmtId="178" fontId="0" fillId="0" borderId="54" xfId="0" applyNumberFormat="1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0" xfId="0" applyNumberFormat="1" applyAlignment="1">
      <alignment vertical="center"/>
    </xf>
    <xf numFmtId="3" fontId="4" fillId="0" borderId="0" xfId="0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3" fontId="5" fillId="0" borderId="56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11" fillId="0" borderId="0" xfId="0" applyNumberFormat="1" applyFont="1" applyAlignment="1">
      <alignment vertical="center"/>
    </xf>
    <xf numFmtId="3" fontId="5" fillId="0" borderId="59" xfId="0" applyNumberFormat="1" applyFont="1" applyFill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0" xfId="0" applyBorder="1" applyAlignment="1">
      <alignment vertical="center"/>
    </xf>
    <xf numFmtId="179" fontId="17" fillId="0" borderId="60" xfId="0" applyNumberFormat="1" applyFont="1" applyFill="1" applyBorder="1" applyAlignment="1">
      <alignment horizontal="center" vertical="center"/>
    </xf>
    <xf numFmtId="41" fontId="15" fillId="0" borderId="0" xfId="2" applyFont="1" applyAlignment="1">
      <alignment vertical="center"/>
    </xf>
    <xf numFmtId="0" fontId="0" fillId="0" borderId="15" xfId="0" applyBorder="1" applyAlignment="1">
      <alignment horizontal="right" vertical="center"/>
    </xf>
    <xf numFmtId="179" fontId="12" fillId="2" borderId="60" xfId="0" applyNumberFormat="1" applyFon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177" fontId="4" fillId="3" borderId="61" xfId="0" applyNumberFormat="1" applyFont="1" applyFill="1" applyBorder="1" applyAlignment="1">
      <alignment vertical="center"/>
    </xf>
    <xf numFmtId="178" fontId="0" fillId="0" borderId="62" xfId="0" applyNumberFormat="1" applyBorder="1" applyAlignment="1">
      <alignment horizontal="center" vertical="center"/>
    </xf>
    <xf numFmtId="178" fontId="0" fillId="0" borderId="62" xfId="0" applyNumberFormat="1" applyFill="1" applyBorder="1" applyAlignment="1">
      <alignment horizontal="left" vertical="center"/>
    </xf>
    <xf numFmtId="178" fontId="1" fillId="0" borderId="63" xfId="0" applyNumberFormat="1" applyFont="1" applyFill="1" applyBorder="1" applyAlignment="1">
      <alignment vertical="center"/>
    </xf>
    <xf numFmtId="178" fontId="0" fillId="0" borderId="64" xfId="0" applyNumberFormat="1" applyFill="1" applyBorder="1" applyAlignment="1">
      <alignment vertical="center"/>
    </xf>
    <xf numFmtId="178" fontId="0" fillId="0" borderId="65" xfId="0" applyNumberFormat="1" applyBorder="1" applyAlignment="1">
      <alignment vertical="center"/>
    </xf>
    <xf numFmtId="178" fontId="0" fillId="0" borderId="66" xfId="0" applyNumberFormat="1" applyBorder="1" applyAlignment="1">
      <alignment vertical="center"/>
    </xf>
    <xf numFmtId="178" fontId="0" fillId="0" borderId="36" xfId="0" applyNumberFormat="1" applyBorder="1" applyAlignment="1">
      <alignment horizontal="center" vertical="center"/>
    </xf>
    <xf numFmtId="178" fontId="0" fillId="0" borderId="36" xfId="0" applyNumberFormat="1" applyFill="1" applyBorder="1" applyAlignment="1">
      <alignment horizontal="left" vertical="center"/>
    </xf>
    <xf numFmtId="178" fontId="1" fillId="0" borderId="4" xfId="0" applyNumberFormat="1" applyFont="1" applyFill="1" applyBorder="1" applyAlignment="1">
      <alignment vertical="center"/>
    </xf>
    <xf numFmtId="178" fontId="0" fillId="0" borderId="67" xfId="0" applyNumberFormat="1" applyFill="1" applyBorder="1" applyAlignment="1">
      <alignment vertical="center"/>
    </xf>
    <xf numFmtId="178" fontId="0" fillId="0" borderId="68" xfId="0" applyNumberFormat="1" applyBorder="1" applyAlignment="1">
      <alignment vertical="center"/>
    </xf>
    <xf numFmtId="178" fontId="0" fillId="0" borderId="36" xfId="0" applyNumberFormat="1" applyFill="1" applyBorder="1" applyAlignment="1">
      <alignment horizontal="center" vertical="center"/>
    </xf>
    <xf numFmtId="178" fontId="0" fillId="0" borderId="68" xfId="0" applyNumberFormat="1" applyFill="1" applyBorder="1" applyAlignment="1">
      <alignment vertical="center"/>
    </xf>
    <xf numFmtId="178" fontId="0" fillId="0" borderId="46" xfId="0" applyNumberFormat="1" applyFill="1" applyBorder="1" applyAlignment="1">
      <alignment vertical="center"/>
    </xf>
    <xf numFmtId="178" fontId="0" fillId="0" borderId="37" xfId="0" applyNumberFormat="1" applyFill="1" applyBorder="1" applyAlignment="1">
      <alignment horizontal="center" vertical="center"/>
    </xf>
    <xf numFmtId="178" fontId="0" fillId="0" borderId="37" xfId="0" applyNumberFormat="1" applyFill="1" applyBorder="1" applyAlignment="1">
      <alignment horizontal="left" vertical="center"/>
    </xf>
    <xf numFmtId="178" fontId="1" fillId="0" borderId="23" xfId="0" applyNumberFormat="1" applyFont="1" applyFill="1" applyBorder="1" applyAlignment="1">
      <alignment vertical="center"/>
    </xf>
    <xf numFmtId="178" fontId="0" fillId="0" borderId="69" xfId="0" applyNumberFormat="1" applyFill="1" applyBorder="1" applyAlignment="1">
      <alignment vertical="center"/>
    </xf>
    <xf numFmtId="178" fontId="0" fillId="0" borderId="70" xfId="0" applyNumberFormat="1" applyFill="1" applyBorder="1" applyAlignment="1">
      <alignment vertical="center"/>
    </xf>
    <xf numFmtId="178" fontId="0" fillId="0" borderId="50" xfId="0" applyNumberFormat="1" applyFill="1" applyBorder="1" applyAlignment="1">
      <alignment vertical="center"/>
    </xf>
    <xf numFmtId="0" fontId="1" fillId="0" borderId="52" xfId="0" applyFont="1" applyBorder="1" applyAlignment="1">
      <alignment vertical="center"/>
    </xf>
    <xf numFmtId="3" fontId="12" fillId="0" borderId="0" xfId="0" applyNumberFormat="1" applyFont="1" applyFill="1" applyAlignment="1">
      <alignment vertical="center"/>
    </xf>
    <xf numFmtId="3" fontId="3" fillId="0" borderId="4" xfId="0" applyNumberFormat="1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/>
    </xf>
    <xf numFmtId="3" fontId="3" fillId="0" borderId="17" xfId="0" applyNumberFormat="1" applyFont="1" applyFill="1" applyBorder="1" applyAlignment="1">
      <alignment horizontal="center" vertical="center"/>
    </xf>
    <xf numFmtId="10" fontId="5" fillId="0" borderId="0" xfId="1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8" fontId="1" fillId="0" borderId="15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78" fontId="1" fillId="0" borderId="71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36" xfId="0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right" vertical="center"/>
    </xf>
    <xf numFmtId="0" fontId="1" fillId="0" borderId="36" xfId="0" applyFont="1" applyFill="1" applyBorder="1" applyAlignment="1">
      <alignment vertical="center"/>
    </xf>
    <xf numFmtId="0" fontId="1" fillId="0" borderId="52" xfId="0" applyFont="1" applyFill="1" applyBorder="1" applyAlignment="1">
      <alignment horizontal="center"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178" fontId="1" fillId="0" borderId="72" xfId="0" applyNumberFormat="1" applyFont="1" applyBorder="1" applyAlignment="1">
      <alignment vertical="center"/>
    </xf>
    <xf numFmtId="178" fontId="1" fillId="0" borderId="73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4" xfId="0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178" fontId="1" fillId="0" borderId="80" xfId="0" applyNumberFormat="1" applyFont="1" applyFill="1" applyBorder="1" applyAlignment="1">
      <alignment vertical="center"/>
    </xf>
    <xf numFmtId="178" fontId="1" fillId="0" borderId="6" xfId="0" applyNumberFormat="1" applyFont="1" applyFill="1" applyBorder="1" applyAlignment="1">
      <alignment vertical="center"/>
    </xf>
    <xf numFmtId="178" fontId="1" fillId="0" borderId="8" xfId="0" applyNumberFormat="1" applyFont="1" applyFill="1" applyBorder="1" applyAlignment="1">
      <alignment vertical="center"/>
    </xf>
    <xf numFmtId="178" fontId="3" fillId="0" borderId="38" xfId="0" applyNumberFormat="1" applyFont="1" applyBorder="1" applyAlignment="1">
      <alignment horizontal="center" vertical="center"/>
    </xf>
    <xf numFmtId="178" fontId="3" fillId="0" borderId="60" xfId="0" applyNumberFormat="1" applyFont="1" applyBorder="1" applyAlignment="1">
      <alignment horizontal="center" vertical="center"/>
    </xf>
    <xf numFmtId="178" fontId="3" fillId="0" borderId="47" xfId="0" applyNumberFormat="1" applyFont="1" applyBorder="1" applyAlignment="1">
      <alignment horizontal="center" vertical="center"/>
    </xf>
    <xf numFmtId="9" fontId="3" fillId="0" borderId="81" xfId="1" applyFont="1" applyBorder="1" applyAlignment="1">
      <alignment vertical="center"/>
    </xf>
    <xf numFmtId="9" fontId="3" fillId="0" borderId="82" xfId="1" applyFont="1" applyBorder="1" applyAlignment="1">
      <alignment vertical="center"/>
    </xf>
    <xf numFmtId="9" fontId="3" fillId="0" borderId="81" xfId="1" applyFont="1" applyFill="1" applyBorder="1" applyAlignment="1">
      <alignment vertical="center"/>
    </xf>
    <xf numFmtId="9" fontId="3" fillId="0" borderId="83" xfId="1" applyFont="1" applyBorder="1" applyAlignment="1">
      <alignment vertical="center"/>
    </xf>
    <xf numFmtId="9" fontId="3" fillId="0" borderId="84" xfId="1" applyFont="1" applyBorder="1" applyAlignment="1">
      <alignment vertical="center"/>
    </xf>
    <xf numFmtId="178" fontId="3" fillId="0" borderId="47" xfId="0" applyNumberFormat="1" applyFont="1" applyBorder="1" applyAlignment="1">
      <alignment vertical="center"/>
    </xf>
    <xf numFmtId="178" fontId="3" fillId="0" borderId="0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178" fontId="26" fillId="0" borderId="85" xfId="0" applyNumberFormat="1" applyFont="1" applyFill="1" applyBorder="1" applyAlignment="1">
      <alignment vertical="center"/>
    </xf>
    <xf numFmtId="178" fontId="26" fillId="0" borderId="63" xfId="0" applyNumberFormat="1" applyFont="1" applyFill="1" applyBorder="1" applyAlignment="1">
      <alignment vertical="center"/>
    </xf>
    <xf numFmtId="178" fontId="26" fillId="0" borderId="86" xfId="0" applyNumberFormat="1" applyFont="1" applyFill="1" applyBorder="1" applyAlignment="1">
      <alignment vertical="center"/>
    </xf>
    <xf numFmtId="178" fontId="26" fillId="0" borderId="13" xfId="0" applyNumberFormat="1" applyFont="1" applyFill="1" applyBorder="1" applyAlignment="1">
      <alignment vertical="center"/>
    </xf>
    <xf numFmtId="178" fontId="26" fillId="0" borderId="4" xfId="0" applyNumberFormat="1" applyFont="1" applyFill="1" applyBorder="1" applyAlignment="1">
      <alignment vertical="center"/>
    </xf>
    <xf numFmtId="178" fontId="26" fillId="0" borderId="5" xfId="0" applyNumberFormat="1" applyFont="1" applyFill="1" applyBorder="1" applyAlignment="1">
      <alignment vertical="center"/>
    </xf>
    <xf numFmtId="178" fontId="26" fillId="0" borderId="87" xfId="0" applyNumberFormat="1" applyFont="1" applyFill="1" applyBorder="1" applyAlignment="1">
      <alignment vertical="center"/>
    </xf>
    <xf numFmtId="178" fontId="26" fillId="0" borderId="23" xfId="0" applyNumberFormat="1" applyFont="1" applyFill="1" applyBorder="1" applyAlignment="1">
      <alignment vertical="center"/>
    </xf>
    <xf numFmtId="178" fontId="26" fillId="0" borderId="9" xfId="0" applyNumberFormat="1" applyFont="1" applyFill="1" applyBorder="1" applyAlignment="1">
      <alignment vertical="center"/>
    </xf>
    <xf numFmtId="178" fontId="26" fillId="0" borderId="1" xfId="0" applyNumberFormat="1" applyFont="1" applyBorder="1" applyAlignment="1">
      <alignment vertical="center"/>
    </xf>
    <xf numFmtId="178" fontId="26" fillId="0" borderId="2" xfId="0" applyNumberFormat="1" applyFont="1" applyBorder="1" applyAlignment="1">
      <alignment vertical="center"/>
    </xf>
    <xf numFmtId="178" fontId="26" fillId="0" borderId="40" xfId="0" applyNumberFormat="1" applyFont="1" applyBorder="1" applyAlignment="1">
      <alignment vertical="center"/>
    </xf>
    <xf numFmtId="9" fontId="27" fillId="0" borderId="88" xfId="1" applyFont="1" applyBorder="1" applyAlignment="1">
      <alignment vertical="center"/>
    </xf>
    <xf numFmtId="9" fontId="27" fillId="0" borderId="81" xfId="1" applyFont="1" applyBorder="1" applyAlignment="1">
      <alignment vertical="center"/>
    </xf>
    <xf numFmtId="9" fontId="27" fillId="0" borderId="89" xfId="1" applyFont="1" applyBorder="1" applyAlignment="1">
      <alignment vertical="center"/>
    </xf>
    <xf numFmtId="178" fontId="0" fillId="0" borderId="62" xfId="0" applyNumberFormat="1" applyFill="1" applyBorder="1" applyAlignment="1">
      <alignment horizontal="center" vertical="center"/>
    </xf>
    <xf numFmtId="178" fontId="4" fillId="0" borderId="90" xfId="0" applyNumberFormat="1" applyFont="1" applyBorder="1" applyAlignment="1">
      <alignment vertical="center"/>
    </xf>
    <xf numFmtId="178" fontId="4" fillId="0" borderId="2" xfId="0" applyNumberFormat="1" applyFont="1" applyFill="1" applyBorder="1" applyAlignment="1">
      <alignment vertical="center"/>
    </xf>
    <xf numFmtId="178" fontId="4" fillId="0" borderId="2" xfId="0" applyNumberFormat="1" applyFont="1" applyBorder="1" applyAlignment="1">
      <alignment vertical="center"/>
    </xf>
    <xf numFmtId="178" fontId="4" fillId="0" borderId="57" xfId="0" applyNumberFormat="1" applyFont="1" applyBorder="1" applyAlignment="1">
      <alignment vertical="center"/>
    </xf>
    <xf numFmtId="178" fontId="4" fillId="0" borderId="91" xfId="0" applyNumberFormat="1" applyFont="1" applyBorder="1" applyAlignment="1">
      <alignment vertical="center"/>
    </xf>
    <xf numFmtId="3" fontId="0" fillId="4" borderId="4" xfId="0" applyNumberForma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vertical="center"/>
    </xf>
    <xf numFmtId="177" fontId="5" fillId="4" borderId="17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2" borderId="92" xfId="0" applyFill="1" applyBorder="1" applyAlignment="1">
      <alignment vertical="center"/>
    </xf>
    <xf numFmtId="178" fontId="0" fillId="2" borderId="92" xfId="0" applyNumberFormat="1" applyFill="1" applyBorder="1" applyAlignment="1">
      <alignment vertical="center"/>
    </xf>
    <xf numFmtId="178" fontId="0" fillId="0" borderId="93" xfId="0" applyNumberFormat="1" applyBorder="1" applyAlignment="1">
      <alignment vertical="center"/>
    </xf>
    <xf numFmtId="0" fontId="0" fillId="0" borderId="92" xfId="0" applyBorder="1" applyAlignment="1">
      <alignment vertical="center"/>
    </xf>
    <xf numFmtId="0" fontId="0" fillId="5" borderId="27" xfId="0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178" fontId="0" fillId="5" borderId="15" xfId="0" applyNumberFormat="1" applyFill="1" applyBorder="1" applyAlignment="1">
      <alignment vertical="center"/>
    </xf>
    <xf numFmtId="178" fontId="0" fillId="5" borderId="27" xfId="0" applyNumberFormat="1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3" fontId="0" fillId="0" borderId="5" xfId="0" applyNumberFormat="1" applyFill="1" applyBorder="1" applyAlignment="1">
      <alignment vertical="center"/>
    </xf>
    <xf numFmtId="177" fontId="0" fillId="0" borderId="0" xfId="0" applyNumberFormat="1" applyFont="1" applyFill="1" applyAlignment="1">
      <alignment horizontal="left" vertical="center"/>
    </xf>
    <xf numFmtId="177" fontId="0" fillId="0" borderId="4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horizontal="center" vertical="center"/>
    </xf>
    <xf numFmtId="4" fontId="0" fillId="0" borderId="4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center" vertical="center"/>
    </xf>
    <xf numFmtId="177" fontId="1" fillId="4" borderId="4" xfId="0" applyNumberFormat="1" applyFont="1" applyFill="1" applyBorder="1" applyAlignment="1">
      <alignment vertical="center"/>
    </xf>
    <xf numFmtId="3" fontId="3" fillId="4" borderId="17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vertical="center" wrapText="1"/>
    </xf>
    <xf numFmtId="3" fontId="0" fillId="4" borderId="4" xfId="0" applyNumberFormat="1" applyFont="1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178" fontId="0" fillId="2" borderId="16" xfId="0" applyNumberFormat="1" applyFill="1" applyBorder="1" applyAlignment="1">
      <alignment vertical="center"/>
    </xf>
    <xf numFmtId="178" fontId="11" fillId="0" borderId="0" xfId="0" applyNumberFormat="1" applyFont="1" applyFill="1" applyAlignment="1">
      <alignment horizontal="center" vertical="center"/>
    </xf>
    <xf numFmtId="178" fontId="0" fillId="2" borderId="55" xfId="0" applyNumberFormat="1" applyFill="1" applyBorder="1" applyAlignment="1">
      <alignment horizontal="center" vertical="center"/>
    </xf>
    <xf numFmtId="178" fontId="0" fillId="2" borderId="36" xfId="0" applyNumberFormat="1" applyFill="1" applyBorder="1" applyAlignment="1">
      <alignment horizontal="center" vertical="center"/>
    </xf>
    <xf numFmtId="178" fontId="0" fillId="2" borderId="37" xfId="0" applyNumberFormat="1" applyFill="1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178" fontId="0" fillId="2" borderId="39" xfId="0" applyNumberFormat="1" applyFill="1" applyBorder="1" applyAlignment="1">
      <alignment horizontal="center" vertical="center"/>
    </xf>
    <xf numFmtId="178" fontId="0" fillId="2" borderId="92" xfId="0" applyNumberFormat="1" applyFill="1" applyBorder="1" applyAlignment="1">
      <alignment horizontal="center" vertical="center"/>
    </xf>
    <xf numFmtId="178" fontId="0" fillId="5" borderId="15" xfId="0" applyNumberFormat="1" applyFill="1" applyBorder="1" applyAlignment="1">
      <alignment horizontal="center" vertical="center"/>
    </xf>
    <xf numFmtId="178" fontId="0" fillId="2" borderId="16" xfId="0" applyNumberForma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178" fontId="16" fillId="3" borderId="27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7" borderId="39" xfId="0" applyFill="1" applyBorder="1" applyAlignment="1">
      <alignment vertical="center"/>
    </xf>
    <xf numFmtId="0" fontId="0" fillId="7" borderId="39" xfId="0" applyFill="1" applyBorder="1" applyAlignment="1">
      <alignment horizontal="center" vertical="center"/>
    </xf>
    <xf numFmtId="178" fontId="0" fillId="7" borderId="39" xfId="0" applyNumberFormat="1" applyFill="1" applyBorder="1" applyAlignment="1">
      <alignment horizontal="right" vertical="center"/>
    </xf>
    <xf numFmtId="178" fontId="0" fillId="7" borderId="39" xfId="0" applyNumberFormat="1" applyFill="1" applyBorder="1" applyAlignment="1">
      <alignment vertical="center"/>
    </xf>
    <xf numFmtId="0" fontId="0" fillId="7" borderId="36" xfId="0" applyFill="1" applyBorder="1" applyAlignment="1">
      <alignment vertical="center"/>
    </xf>
    <xf numFmtId="0" fontId="0" fillId="7" borderId="36" xfId="0" applyFill="1" applyBorder="1" applyAlignment="1">
      <alignment horizontal="center" vertical="center"/>
    </xf>
    <xf numFmtId="178" fontId="0" fillId="7" borderId="36" xfId="0" applyNumberFormat="1" applyFill="1" applyBorder="1" applyAlignment="1">
      <alignment horizontal="right" vertical="center"/>
    </xf>
    <xf numFmtId="178" fontId="0" fillId="7" borderId="36" xfId="0" applyNumberFormat="1" applyFill="1" applyBorder="1" applyAlignment="1">
      <alignment vertical="center"/>
    </xf>
    <xf numFmtId="0" fontId="0" fillId="7" borderId="36" xfId="0" applyFont="1" applyFill="1" applyBorder="1" applyAlignment="1">
      <alignment vertical="center"/>
    </xf>
    <xf numFmtId="0" fontId="0" fillId="7" borderId="92" xfId="0" applyFill="1" applyBorder="1" applyAlignment="1">
      <alignment vertical="center"/>
    </xf>
    <xf numFmtId="0" fontId="0" fillId="7" borderId="92" xfId="0" applyFill="1" applyBorder="1" applyAlignment="1">
      <alignment horizontal="center" vertical="center"/>
    </xf>
    <xf numFmtId="0" fontId="1" fillId="7" borderId="92" xfId="0" applyFont="1" applyFill="1" applyBorder="1" applyAlignment="1">
      <alignment horizontal="right" vertical="center"/>
    </xf>
    <xf numFmtId="41" fontId="1" fillId="7" borderId="92" xfId="3" applyFont="1" applyFill="1" applyBorder="1" applyAlignment="1">
      <alignment horizontal="center" vertical="center"/>
    </xf>
    <xf numFmtId="0" fontId="0" fillId="7" borderId="36" xfId="0" applyFill="1" applyBorder="1" applyAlignment="1">
      <alignment horizontal="left" vertical="center"/>
    </xf>
    <xf numFmtId="0" fontId="0" fillId="7" borderId="36" xfId="0" applyFont="1" applyFill="1" applyBorder="1" applyAlignment="1">
      <alignment horizontal="right" vertical="center"/>
    </xf>
    <xf numFmtId="41" fontId="1" fillId="7" borderId="36" xfId="3" applyFont="1" applyFill="1" applyBorder="1" applyAlignment="1">
      <alignment horizontal="right" vertical="center"/>
    </xf>
    <xf numFmtId="0" fontId="0" fillId="7" borderId="92" xfId="0" applyFont="1" applyFill="1" applyBorder="1" applyAlignment="1">
      <alignment horizontal="right" vertical="center"/>
    </xf>
    <xf numFmtId="41" fontId="1" fillId="7" borderId="92" xfId="3" applyFont="1" applyFill="1" applyBorder="1" applyAlignment="1">
      <alignment horizontal="right" vertical="center"/>
    </xf>
    <xf numFmtId="0" fontId="1" fillId="7" borderId="36" xfId="0" applyFont="1" applyFill="1" applyBorder="1" applyAlignment="1">
      <alignment horizontal="right" vertical="center"/>
    </xf>
    <xf numFmtId="41" fontId="1" fillId="7" borderId="36" xfId="3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182" fontId="0" fillId="2" borderId="36" xfId="0" applyNumberFormat="1" applyFill="1" applyBorder="1" applyAlignment="1">
      <alignment vertical="center"/>
    </xf>
    <xf numFmtId="0" fontId="0" fillId="8" borderId="36" xfId="0" applyFill="1" applyBorder="1" applyAlignment="1">
      <alignment horizontal="left" vertical="center"/>
    </xf>
    <xf numFmtId="0" fontId="0" fillId="8" borderId="36" xfId="0" applyFill="1" applyBorder="1" applyAlignment="1">
      <alignment horizontal="center" vertical="center"/>
    </xf>
    <xf numFmtId="178" fontId="0" fillId="8" borderId="36" xfId="0" applyNumberFormat="1" applyFill="1" applyBorder="1" applyAlignment="1">
      <alignment horizontal="center" vertical="center"/>
    </xf>
    <xf numFmtId="0" fontId="0" fillId="8" borderId="36" xfId="0" applyFill="1" applyBorder="1" applyAlignment="1">
      <alignment vertical="center"/>
    </xf>
    <xf numFmtId="0" fontId="22" fillId="2" borderId="94" xfId="0" applyFont="1" applyFill="1" applyBorder="1" applyAlignment="1">
      <alignment horizontal="left" vertical="center"/>
    </xf>
    <xf numFmtId="0" fontId="19" fillId="2" borderId="95" xfId="0" applyFont="1" applyFill="1" applyBorder="1" applyAlignment="1">
      <alignment horizontal="left" vertical="center"/>
    </xf>
    <xf numFmtId="0" fontId="0" fillId="2" borderId="96" xfId="0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96" xfId="0" applyFill="1" applyBorder="1" applyAlignment="1">
      <alignment vertical="center"/>
    </xf>
    <xf numFmtId="0" fontId="24" fillId="2" borderId="96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vertical="center"/>
    </xf>
    <xf numFmtId="0" fontId="24" fillId="2" borderId="97" xfId="0" applyFont="1" applyFill="1" applyBorder="1" applyAlignment="1">
      <alignment horizontal="right" vertical="center"/>
    </xf>
    <xf numFmtId="0" fontId="25" fillId="2" borderId="98" xfId="0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8" borderId="36" xfId="0" applyFont="1" applyFill="1" applyBorder="1" applyAlignment="1">
      <alignment vertical="center"/>
    </xf>
    <xf numFmtId="0" fontId="29" fillId="8" borderId="36" xfId="0" applyFont="1" applyFill="1" applyBorder="1" applyAlignment="1">
      <alignment vertical="center"/>
    </xf>
    <xf numFmtId="178" fontId="0" fillId="8" borderId="36" xfId="0" applyNumberFormat="1" applyFill="1" applyBorder="1" applyAlignment="1">
      <alignment vertical="center"/>
    </xf>
    <xf numFmtId="0" fontId="0" fillId="8" borderId="92" xfId="0" applyFill="1" applyBorder="1" applyAlignment="1">
      <alignment vertical="center"/>
    </xf>
    <xf numFmtId="178" fontId="0" fillId="8" borderId="92" xfId="0" applyNumberFormat="1" applyFill="1" applyBorder="1" applyAlignment="1">
      <alignment vertical="center"/>
    </xf>
    <xf numFmtId="0" fontId="0" fillId="8" borderId="37" xfId="0" applyFill="1" applyBorder="1" applyAlignment="1">
      <alignment vertical="center"/>
    </xf>
    <xf numFmtId="0" fontId="0" fillId="8" borderId="37" xfId="0" applyFill="1" applyBorder="1" applyAlignment="1">
      <alignment horizontal="center" vertical="center"/>
    </xf>
    <xf numFmtId="0" fontId="3" fillId="2" borderId="36" xfId="0" applyFont="1" applyFill="1" applyBorder="1" applyAlignment="1">
      <alignment vertical="center"/>
    </xf>
    <xf numFmtId="0" fontId="30" fillId="8" borderId="52" xfId="0" applyFont="1" applyFill="1" applyBorder="1" applyAlignment="1">
      <alignment vertical="center"/>
    </xf>
    <xf numFmtId="0" fontId="30" fillId="8" borderId="36" xfId="0" applyFont="1" applyFill="1" applyBorder="1" applyAlignment="1">
      <alignment horizontal="center" vertical="center"/>
    </xf>
    <xf numFmtId="0" fontId="30" fillId="8" borderId="46" xfId="0" applyFont="1" applyFill="1" applyBorder="1" applyAlignment="1">
      <alignment horizontal="center" vertical="center"/>
    </xf>
    <xf numFmtId="183" fontId="30" fillId="8" borderId="36" xfId="0" applyNumberFormat="1" applyFont="1" applyFill="1" applyBorder="1" applyAlignment="1">
      <alignment vertical="center"/>
    </xf>
    <xf numFmtId="178" fontId="0" fillId="0" borderId="49" xfId="0" applyNumberFormat="1" applyFont="1" applyBorder="1" applyAlignment="1">
      <alignment vertical="center"/>
    </xf>
    <xf numFmtId="178" fontId="0" fillId="0" borderId="46" xfId="0" applyNumberFormat="1" applyFont="1" applyBorder="1" applyAlignment="1">
      <alignment vertical="center"/>
    </xf>
    <xf numFmtId="178" fontId="0" fillId="2" borderId="36" xfId="0" applyNumberFormat="1" applyFont="1" applyFill="1" applyBorder="1" applyAlignment="1">
      <alignment vertical="center"/>
    </xf>
    <xf numFmtId="0" fontId="0" fillId="8" borderId="36" xfId="0" quotePrefix="1" applyFill="1" applyBorder="1" applyAlignment="1">
      <alignment horizontal="center" vertical="center"/>
    </xf>
    <xf numFmtId="183" fontId="0" fillId="0" borderId="0" xfId="0" applyNumberFormat="1" applyAlignment="1">
      <alignment vertical="center"/>
    </xf>
    <xf numFmtId="182" fontId="0" fillId="2" borderId="37" xfId="0" applyNumberFormat="1" applyFill="1" applyBorder="1" applyAlignment="1">
      <alignment vertical="center"/>
    </xf>
    <xf numFmtId="0" fontId="30" fillId="8" borderId="36" xfId="0" applyFont="1" applyFill="1" applyBorder="1" applyAlignment="1">
      <alignment horizontal="left" vertical="center"/>
    </xf>
    <xf numFmtId="0" fontId="0" fillId="8" borderId="46" xfId="0" applyFill="1" applyBorder="1" applyAlignment="1">
      <alignment vertical="center"/>
    </xf>
    <xf numFmtId="0" fontId="0" fillId="8" borderId="52" xfId="0" applyFill="1" applyBorder="1" applyAlignment="1">
      <alignment vertical="center"/>
    </xf>
    <xf numFmtId="0" fontId="0" fillId="8" borderId="50" xfId="0" applyFill="1" applyBorder="1" applyAlignment="1">
      <alignment vertical="center"/>
    </xf>
    <xf numFmtId="0" fontId="0" fillId="8" borderId="53" xfId="0" applyFill="1" applyBorder="1" applyAlignment="1">
      <alignment vertical="center"/>
    </xf>
    <xf numFmtId="0" fontId="0" fillId="8" borderId="52" xfId="0" applyFont="1" applyFill="1" applyBorder="1" applyAlignment="1">
      <alignment vertical="center"/>
    </xf>
    <xf numFmtId="184" fontId="0" fillId="2" borderId="36" xfId="0" applyNumberFormat="1" applyFill="1" applyBorder="1" applyAlignment="1">
      <alignment vertical="center"/>
    </xf>
    <xf numFmtId="184" fontId="0" fillId="2" borderId="37" xfId="0" applyNumberFormat="1" applyFill="1" applyBorder="1" applyAlignment="1">
      <alignment vertical="center"/>
    </xf>
    <xf numFmtId="0" fontId="0" fillId="0" borderId="36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0" fillId="2" borderId="4" xfId="0" applyFont="1" applyFill="1" applyBorder="1" applyAlignment="1">
      <alignment horizontal="left" vertical="center"/>
    </xf>
    <xf numFmtId="182" fontId="0" fillId="2" borderId="39" xfId="0" applyNumberFormat="1" applyFill="1" applyBorder="1" applyAlignment="1">
      <alignment horizontal="center" vertical="center"/>
    </xf>
    <xf numFmtId="182" fontId="0" fillId="8" borderId="36" xfId="0" applyNumberFormat="1" applyFill="1" applyBorder="1" applyAlignment="1">
      <alignment horizontal="center" vertical="center"/>
    </xf>
    <xf numFmtId="182" fontId="0" fillId="2" borderId="92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right" vertical="center"/>
    </xf>
    <xf numFmtId="184" fontId="0" fillId="8" borderId="36" xfId="0" applyNumberFormat="1" applyFill="1" applyBorder="1" applyAlignment="1">
      <alignment horizontal="right" vertical="center"/>
    </xf>
    <xf numFmtId="182" fontId="0" fillId="2" borderId="37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vertical="center"/>
    </xf>
    <xf numFmtId="178" fontId="0" fillId="8" borderId="35" xfId="0" applyNumberFormat="1" applyFill="1" applyBorder="1" applyAlignment="1">
      <alignment vertical="center"/>
    </xf>
    <xf numFmtId="182" fontId="0" fillId="2" borderId="15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178" fontId="0" fillId="8" borderId="35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left" vertical="center"/>
    </xf>
    <xf numFmtId="49" fontId="0" fillId="8" borderId="36" xfId="0" applyNumberFormat="1" applyFill="1" applyBorder="1" applyAlignment="1">
      <alignment horizontal="center" vertical="center"/>
    </xf>
    <xf numFmtId="49" fontId="0" fillId="8" borderId="37" xfId="0" applyNumberForma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right" vertical="center"/>
    </xf>
    <xf numFmtId="178" fontId="1" fillId="0" borderId="10" xfId="0" applyNumberFormat="1" applyFont="1" applyFill="1" applyBorder="1" applyAlignment="1">
      <alignment horizontal="right" vertical="center"/>
    </xf>
    <xf numFmtId="0" fontId="0" fillId="0" borderId="39" xfId="0" applyFill="1" applyBorder="1" applyAlignment="1">
      <alignment horizontal="center" vertical="center"/>
    </xf>
    <xf numFmtId="0" fontId="0" fillId="0" borderId="71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92" xfId="0" applyFill="1" applyBorder="1" applyAlignment="1">
      <alignment vertical="center"/>
    </xf>
    <xf numFmtId="0" fontId="0" fillId="0" borderId="99" xfId="0" applyFill="1" applyBorder="1" applyAlignment="1">
      <alignment vertical="center"/>
    </xf>
    <xf numFmtId="3" fontId="0" fillId="0" borderId="0" xfId="0" applyNumberFormat="1" applyFont="1" applyFill="1" applyAlignment="1">
      <alignment vertical="center"/>
    </xf>
    <xf numFmtId="178" fontId="0" fillId="0" borderId="100" xfId="0" applyNumberFormat="1" applyFont="1" applyFill="1" applyBorder="1" applyAlignment="1">
      <alignment horizontal="center" vertical="center"/>
    </xf>
    <xf numFmtId="178" fontId="0" fillId="0" borderId="13" xfId="0" applyNumberFormat="1" applyFont="1" applyFill="1" applyBorder="1" applyAlignment="1">
      <alignment horizontal="center" vertical="center"/>
    </xf>
    <xf numFmtId="178" fontId="1" fillId="0" borderId="5" xfId="0" applyNumberFormat="1" applyFont="1" applyFill="1" applyBorder="1" applyAlignment="1">
      <alignment horizontal="right" vertical="center"/>
    </xf>
    <xf numFmtId="0" fontId="0" fillId="0" borderId="24" xfId="0" applyBorder="1" applyAlignment="1">
      <alignment horizontal="center" vertical="center" wrapText="1"/>
    </xf>
    <xf numFmtId="0" fontId="4" fillId="2" borderId="56" xfId="0" applyFont="1" applyFill="1" applyBorder="1" applyAlignment="1">
      <alignment vertical="center"/>
    </xf>
    <xf numFmtId="0" fontId="4" fillId="2" borderId="78" xfId="0" applyFont="1" applyFill="1" applyBorder="1" applyAlignment="1">
      <alignment horizontal="left" vertical="center"/>
    </xf>
    <xf numFmtId="0" fontId="1" fillId="2" borderId="78" xfId="0" applyFont="1" applyFill="1" applyBorder="1" applyAlignment="1">
      <alignment horizontal="left" vertical="center"/>
    </xf>
    <xf numFmtId="0" fontId="24" fillId="2" borderId="78" xfId="0" applyFont="1" applyFill="1" applyBorder="1" applyAlignment="1">
      <alignment horizontal="left" vertical="center"/>
    </xf>
    <xf numFmtId="0" fontId="24" fillId="2" borderId="101" xfId="0" applyFont="1" applyFill="1" applyBorder="1" applyAlignment="1">
      <alignment horizontal="left" vertical="center"/>
    </xf>
    <xf numFmtId="178" fontId="4" fillId="8" borderId="0" xfId="0" applyNumberFormat="1" applyFont="1" applyFill="1" applyBorder="1" applyAlignment="1">
      <alignment vertical="center"/>
    </xf>
    <xf numFmtId="0" fontId="0" fillId="8" borderId="92" xfId="0" applyFill="1" applyBorder="1" applyAlignment="1">
      <alignment horizontal="center" vertical="center"/>
    </xf>
    <xf numFmtId="178" fontId="0" fillId="8" borderId="92" xfId="0" applyNumberFormat="1" applyFill="1" applyBorder="1" applyAlignment="1">
      <alignment horizontal="center" vertical="center"/>
    </xf>
    <xf numFmtId="0" fontId="0" fillId="2" borderId="92" xfId="0" applyFill="1" applyBorder="1" applyAlignment="1">
      <alignment horizontal="center" vertical="center"/>
    </xf>
    <xf numFmtId="0" fontId="2" fillId="8" borderId="36" xfId="0" applyFont="1" applyFill="1" applyBorder="1" applyAlignment="1">
      <alignment horizontal="center" vertical="center"/>
    </xf>
    <xf numFmtId="3" fontId="0" fillId="0" borderId="54" xfId="0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textRotation="255"/>
    </xf>
    <xf numFmtId="178" fontId="4" fillId="8" borderId="0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35" xfId="0" applyFont="1" applyBorder="1" applyAlignment="1">
      <alignment horizontal="center" vertical="center" textRotation="255"/>
    </xf>
    <xf numFmtId="0" fontId="1" fillId="0" borderId="21" xfId="0" applyFont="1" applyBorder="1" applyAlignment="1">
      <alignment horizontal="center" vertical="center" textRotation="255"/>
    </xf>
    <xf numFmtId="178" fontId="1" fillId="0" borderId="26" xfId="0" applyNumberFormat="1" applyFont="1" applyBorder="1" applyAlignment="1">
      <alignment horizontal="center" vertical="center"/>
    </xf>
    <xf numFmtId="178" fontId="1" fillId="0" borderId="44" xfId="0" applyNumberFormat="1" applyFont="1" applyBorder="1" applyAlignment="1">
      <alignment horizontal="center" vertical="center"/>
    </xf>
    <xf numFmtId="178" fontId="1" fillId="0" borderId="27" xfId="0" applyNumberFormat="1" applyFont="1" applyBorder="1" applyAlignment="1">
      <alignment horizontal="center" vertical="center"/>
    </xf>
    <xf numFmtId="181" fontId="1" fillId="2" borderId="45" xfId="0" applyNumberFormat="1" applyFont="1" applyFill="1" applyBorder="1" applyAlignment="1">
      <alignment horizontal="left" vertical="center"/>
    </xf>
    <xf numFmtId="181" fontId="1" fillId="2" borderId="0" xfId="0" applyNumberFormat="1" applyFont="1" applyFill="1" applyBorder="1" applyAlignment="1">
      <alignment horizontal="left" vertical="center"/>
    </xf>
    <xf numFmtId="181" fontId="1" fillId="2" borderId="77" xfId="0" applyNumberFormat="1" applyFont="1" applyFill="1" applyBorder="1" applyAlignment="1">
      <alignment horizontal="left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52" xfId="0" applyFont="1" applyFill="1" applyBorder="1" applyAlignment="1">
      <alignment horizontal="left" vertical="center"/>
    </xf>
    <xf numFmtId="0" fontId="1" fillId="0" borderId="46" xfId="0" applyFont="1" applyFill="1" applyBorder="1" applyAlignment="1">
      <alignment horizontal="left" vertical="center"/>
    </xf>
    <xf numFmtId="180" fontId="0" fillId="2" borderId="45" xfId="0" applyNumberFormat="1" applyFont="1" applyFill="1" applyBorder="1" applyAlignment="1">
      <alignment vertical="center"/>
    </xf>
    <xf numFmtId="180" fontId="1" fillId="2" borderId="0" xfId="0" applyNumberFormat="1" applyFont="1" applyFill="1" applyBorder="1" applyAlignment="1">
      <alignment vertical="center"/>
    </xf>
    <xf numFmtId="180" fontId="1" fillId="2" borderId="77" xfId="0" applyNumberFormat="1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31" fillId="8" borderId="0" xfId="0" applyFont="1" applyFill="1" applyBorder="1" applyAlignment="1">
      <alignment horizontal="center" vertical="center"/>
    </xf>
    <xf numFmtId="0" fontId="31" fillId="8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1" fillId="2" borderId="59" xfId="0" applyFont="1" applyFill="1" applyBorder="1" applyAlignment="1">
      <alignment vertical="center"/>
    </xf>
    <xf numFmtId="0" fontId="1" fillId="2" borderId="102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10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71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77" xfId="0" applyFont="1" applyFill="1" applyBorder="1" applyAlignment="1">
      <alignment vertical="center"/>
    </xf>
    <xf numFmtId="178" fontId="1" fillId="0" borderId="26" xfId="0" applyNumberFormat="1" applyFont="1" applyBorder="1" applyAlignment="1">
      <alignment horizontal="center" vertical="center" wrapText="1"/>
    </xf>
    <xf numFmtId="178" fontId="1" fillId="0" borderId="27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104" xfId="0" applyFont="1" applyFill="1" applyBorder="1" applyAlignment="1">
      <alignment vertical="center"/>
    </xf>
    <xf numFmtId="0" fontId="1" fillId="2" borderId="105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0" fontId="1" fillId="0" borderId="51" xfId="0" applyFont="1" applyFill="1" applyBorder="1" applyAlignment="1">
      <alignment horizontal="left" vertical="center"/>
    </xf>
    <xf numFmtId="0" fontId="1" fillId="0" borderId="49" xfId="0" applyFont="1" applyFill="1" applyBorder="1" applyAlignment="1">
      <alignment horizontal="left" vertical="center"/>
    </xf>
    <xf numFmtId="3" fontId="5" fillId="0" borderId="103" xfId="0" applyNumberFormat="1" applyFont="1" applyFill="1" applyBorder="1" applyAlignment="1">
      <alignment horizontal="center" vertical="center"/>
    </xf>
    <xf numFmtId="3" fontId="5" fillId="0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Fill="1" applyBorder="1" applyAlignment="1">
      <alignment horizontal="center" vertical="center"/>
    </xf>
    <xf numFmtId="3" fontId="5" fillId="0" borderId="119" xfId="0" applyNumberFormat="1" applyFont="1" applyFill="1" applyBorder="1" applyAlignment="1">
      <alignment horizontal="center" vertical="center"/>
    </xf>
    <xf numFmtId="3" fontId="5" fillId="0" borderId="97" xfId="0" applyNumberFormat="1" applyFont="1" applyFill="1" applyBorder="1" applyAlignment="1">
      <alignment horizontal="center" vertical="center"/>
    </xf>
    <xf numFmtId="3" fontId="5" fillId="0" borderId="98" xfId="0" applyNumberFormat="1" applyFont="1" applyFill="1" applyBorder="1" applyAlignment="1">
      <alignment horizontal="center" vertical="center"/>
    </xf>
    <xf numFmtId="3" fontId="5" fillId="0" borderId="101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177" fontId="0" fillId="0" borderId="59" xfId="0" applyNumberFormat="1" applyFont="1" applyFill="1" applyBorder="1" applyAlignment="1">
      <alignment horizontal="center" vertical="center"/>
    </xf>
    <xf numFmtId="177" fontId="0" fillId="0" borderId="102" xfId="0" applyNumberFormat="1" applyFont="1" applyFill="1" applyBorder="1" applyAlignment="1">
      <alignment horizontal="center" vertical="center"/>
    </xf>
    <xf numFmtId="177" fontId="0" fillId="0" borderId="6" xfId="0" applyNumberFormat="1" applyFont="1" applyFill="1" applyBorder="1" applyAlignment="1">
      <alignment horizontal="center" vertical="center"/>
    </xf>
    <xf numFmtId="3" fontId="0" fillId="0" borderId="24" xfId="0" applyNumberFormat="1" applyFont="1" applyFill="1" applyBorder="1" applyAlignment="1">
      <alignment horizontal="center" vertical="center" wrapText="1"/>
    </xf>
    <xf numFmtId="3" fontId="0" fillId="0" borderId="74" xfId="0" applyNumberFormat="1" applyFont="1" applyFill="1" applyBorder="1" applyAlignment="1">
      <alignment horizontal="center" vertical="center"/>
    </xf>
    <xf numFmtId="3" fontId="0" fillId="0" borderId="17" xfId="0" applyNumberFormat="1" applyFont="1" applyFill="1" applyBorder="1" applyAlignment="1">
      <alignment horizontal="center" vertical="center"/>
    </xf>
    <xf numFmtId="3" fontId="3" fillId="0" borderId="31" xfId="0" quotePrefix="1" applyNumberFormat="1" applyFont="1" applyFill="1" applyBorder="1" applyAlignment="1">
      <alignment horizontal="left" vertical="center"/>
    </xf>
    <xf numFmtId="3" fontId="3" fillId="0" borderId="119" xfId="0" quotePrefix="1" applyNumberFormat="1" applyFont="1" applyFill="1" applyBorder="1" applyAlignment="1">
      <alignment horizontal="left" vertical="center"/>
    </xf>
    <xf numFmtId="3" fontId="3" fillId="0" borderId="120" xfId="0" quotePrefix="1" applyNumberFormat="1" applyFont="1" applyFill="1" applyBorder="1" applyAlignment="1">
      <alignment horizontal="left" vertical="center"/>
    </xf>
    <xf numFmtId="3" fontId="0" fillId="0" borderId="103" xfId="0" quotePrefix="1" applyNumberFormat="1" applyFill="1" applyBorder="1" applyAlignment="1">
      <alignment horizontal="left" vertical="center"/>
    </xf>
    <xf numFmtId="3" fontId="0" fillId="0" borderId="7" xfId="0" quotePrefix="1" applyNumberFormat="1" applyFill="1" applyBorder="1" applyAlignment="1">
      <alignment horizontal="left" vertical="center"/>
    </xf>
    <xf numFmtId="3" fontId="0" fillId="0" borderId="8" xfId="0" quotePrefix="1" applyNumberFormat="1" applyFill="1" applyBorder="1" applyAlignment="1">
      <alignment horizontal="left" vertical="center"/>
    </xf>
    <xf numFmtId="3" fontId="5" fillId="0" borderId="59" xfId="0" applyNumberFormat="1" applyFont="1" applyFill="1" applyBorder="1" applyAlignment="1">
      <alignment horizontal="center" vertical="center"/>
    </xf>
    <xf numFmtId="3" fontId="5" fillId="0" borderId="102" xfId="0" applyNumberFormat="1" applyFont="1" applyFill="1" applyBorder="1" applyAlignment="1">
      <alignment horizontal="center" vertical="center"/>
    </xf>
    <xf numFmtId="3" fontId="5" fillId="0" borderId="6" xfId="0" applyNumberFormat="1" applyFont="1" applyFill="1" applyBorder="1" applyAlignment="1">
      <alignment horizontal="center" vertical="center"/>
    </xf>
    <xf numFmtId="3" fontId="3" fillId="0" borderId="59" xfId="0" applyNumberFormat="1" applyFont="1" applyFill="1" applyBorder="1" applyAlignment="1">
      <alignment horizontal="left" vertical="center"/>
    </xf>
    <xf numFmtId="3" fontId="3" fillId="0" borderId="102" xfId="0" applyNumberFormat="1" applyFont="1" applyFill="1" applyBorder="1" applyAlignment="1">
      <alignment horizontal="left" vertical="center"/>
    </xf>
    <xf numFmtId="3" fontId="3" fillId="0" borderId="6" xfId="0" applyNumberFormat="1" applyFont="1" applyFill="1" applyBorder="1" applyAlignment="1">
      <alignment horizontal="left" vertical="center"/>
    </xf>
    <xf numFmtId="3" fontId="5" fillId="0" borderId="113" xfId="0" applyNumberFormat="1" applyFont="1" applyFill="1" applyBorder="1" applyAlignment="1">
      <alignment horizontal="center" vertical="center"/>
    </xf>
    <xf numFmtId="3" fontId="5" fillId="0" borderId="88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3" fontId="5" fillId="0" borderId="114" xfId="0" applyNumberFormat="1" applyFont="1" applyFill="1" applyBorder="1" applyAlignment="1">
      <alignment horizontal="center" vertical="center"/>
    </xf>
    <xf numFmtId="3" fontId="5" fillId="0" borderId="71" xfId="0" applyNumberFormat="1" applyFont="1" applyFill="1" applyBorder="1" applyAlignment="1">
      <alignment horizontal="center" vertical="center"/>
    </xf>
    <xf numFmtId="3" fontId="5" fillId="0" borderId="90" xfId="0" applyNumberFormat="1" applyFont="1" applyFill="1" applyBorder="1" applyAlignment="1">
      <alignment horizontal="center" vertical="center"/>
    </xf>
    <xf numFmtId="3" fontId="5" fillId="0" borderId="115" xfId="0" applyNumberFormat="1" applyFont="1" applyFill="1" applyBorder="1" applyAlignment="1">
      <alignment horizontal="center" vertical="center"/>
    </xf>
    <xf numFmtId="3" fontId="5" fillId="0" borderId="116" xfId="0" applyNumberFormat="1" applyFont="1" applyFill="1" applyBorder="1" applyAlignment="1">
      <alignment horizontal="center" vertical="center"/>
    </xf>
    <xf numFmtId="3" fontId="5" fillId="0" borderId="79" xfId="0" applyNumberFormat="1" applyFont="1" applyFill="1" applyBorder="1" applyAlignment="1">
      <alignment horizontal="center" vertical="center"/>
    </xf>
    <xf numFmtId="3" fontId="5" fillId="0" borderId="48" xfId="0" applyNumberFormat="1" applyFont="1" applyFill="1" applyBorder="1" applyAlignment="1">
      <alignment horizontal="center" vertical="center"/>
    </xf>
    <xf numFmtId="3" fontId="5" fillId="0" borderId="45" xfId="0" applyNumberFormat="1" applyFont="1" applyFill="1" applyBorder="1" applyAlignment="1">
      <alignment horizontal="center" vertical="center"/>
    </xf>
    <xf numFmtId="3" fontId="5" fillId="0" borderId="117" xfId="0" applyNumberFormat="1" applyFont="1" applyFill="1" applyBorder="1" applyAlignment="1">
      <alignment horizontal="center" vertical="center"/>
    </xf>
    <xf numFmtId="3" fontId="5" fillId="0" borderId="104" xfId="0" applyNumberFormat="1" applyFont="1" applyFill="1" applyBorder="1" applyAlignment="1">
      <alignment horizontal="center" vertical="center"/>
    </xf>
    <xf numFmtId="3" fontId="5" fillId="0" borderId="105" xfId="0" applyNumberFormat="1" applyFont="1" applyFill="1" applyBorder="1" applyAlignment="1">
      <alignment horizontal="center" vertical="center"/>
    </xf>
    <xf numFmtId="3" fontId="5" fillId="0" borderId="106" xfId="0" applyNumberFormat="1" applyFont="1" applyFill="1" applyBorder="1" applyAlignment="1">
      <alignment horizontal="center" vertical="center"/>
    </xf>
    <xf numFmtId="3" fontId="5" fillId="0" borderId="108" xfId="0" applyNumberFormat="1" applyFont="1" applyFill="1" applyBorder="1" applyAlignment="1">
      <alignment horizontal="center" vertical="center"/>
    </xf>
    <xf numFmtId="3" fontId="5" fillId="0" borderId="109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 wrapText="1"/>
    </xf>
    <xf numFmtId="3" fontId="5" fillId="0" borderId="74" xfId="0" applyNumberFormat="1" applyFont="1" applyFill="1" applyBorder="1" applyAlignment="1">
      <alignment horizontal="center" vertical="center" wrapText="1"/>
    </xf>
    <xf numFmtId="3" fontId="5" fillId="0" borderId="74" xfId="0" applyNumberFormat="1" applyFont="1" applyFill="1" applyBorder="1" applyAlignment="1">
      <alignment horizontal="center" vertical="center"/>
    </xf>
    <xf numFmtId="3" fontId="5" fillId="0" borderId="96" xfId="0" applyNumberFormat="1" applyFont="1" applyFill="1" applyBorder="1" applyAlignment="1">
      <alignment horizontal="center" vertical="center"/>
    </xf>
    <xf numFmtId="3" fontId="5" fillId="0" borderId="118" xfId="0" applyNumberFormat="1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3" fontId="5" fillId="0" borderId="17" xfId="0" applyNumberFormat="1" applyFont="1" applyFill="1" applyBorder="1" applyAlignment="1">
      <alignment horizontal="center" vertical="center"/>
    </xf>
    <xf numFmtId="3" fontId="5" fillId="0" borderId="96" xfId="0" applyNumberFormat="1" applyFont="1" applyFill="1" applyBorder="1" applyAlignment="1">
      <alignment horizontal="center" vertical="center" wrapText="1"/>
    </xf>
    <xf numFmtId="3" fontId="5" fillId="0" borderId="94" xfId="0" applyNumberFormat="1" applyFont="1" applyFill="1" applyBorder="1" applyAlignment="1">
      <alignment horizontal="center" vertical="center"/>
    </xf>
    <xf numFmtId="3" fontId="5" fillId="0" borderId="107" xfId="0" applyNumberFormat="1" applyFont="1" applyFill="1" applyBorder="1" applyAlignment="1">
      <alignment horizontal="center" vertical="center"/>
    </xf>
    <xf numFmtId="3" fontId="0" fillId="0" borderId="110" xfId="0" applyNumberFormat="1" applyFont="1" applyFill="1" applyBorder="1" applyAlignment="1">
      <alignment horizontal="center" vertical="center"/>
    </xf>
    <xf numFmtId="3" fontId="5" fillId="0" borderId="111" xfId="0" applyNumberFormat="1" applyFont="1" applyFill="1" applyBorder="1" applyAlignment="1">
      <alignment horizontal="center" vertical="center"/>
    </xf>
    <xf numFmtId="3" fontId="5" fillId="0" borderId="112" xfId="0" applyNumberFormat="1" applyFont="1" applyFill="1" applyBorder="1" applyAlignment="1">
      <alignment horizontal="center" vertical="center"/>
    </xf>
    <xf numFmtId="3" fontId="3" fillId="4" borderId="59" xfId="0" applyNumberFormat="1" applyFont="1" applyFill="1" applyBorder="1" applyAlignment="1">
      <alignment horizontal="left" vertical="center"/>
    </xf>
    <xf numFmtId="3" fontId="3" fillId="4" borderId="102" xfId="0" applyNumberFormat="1" applyFont="1" applyFill="1" applyBorder="1" applyAlignment="1">
      <alignment horizontal="left" vertical="center"/>
    </xf>
    <xf numFmtId="3" fontId="3" fillId="4" borderId="6" xfId="0" applyNumberFormat="1" applyFont="1" applyFill="1" applyBorder="1" applyAlignment="1">
      <alignment horizontal="left" vertical="center"/>
    </xf>
    <xf numFmtId="3" fontId="6" fillId="0" borderId="59" xfId="0" applyNumberFormat="1" applyFont="1" applyFill="1" applyBorder="1" applyAlignment="1">
      <alignment horizontal="center" vertical="center"/>
    </xf>
    <xf numFmtId="3" fontId="6" fillId="0" borderId="102" xfId="0" applyNumberFormat="1" applyFont="1" applyFill="1" applyBorder="1" applyAlignment="1">
      <alignment horizontal="center" vertical="center"/>
    </xf>
    <xf numFmtId="3" fontId="6" fillId="0" borderId="6" xfId="0" applyNumberFormat="1" applyFont="1" applyFill="1" applyBorder="1" applyAlignment="1">
      <alignment horizontal="center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top" wrapText="1" shrinkToFit="1"/>
    </xf>
    <xf numFmtId="0" fontId="0" fillId="0" borderId="35" xfId="0" applyBorder="1" applyAlignment="1">
      <alignment horizontal="center" vertical="top" wrapText="1" shrinkToFit="1"/>
    </xf>
    <xf numFmtId="0" fontId="0" fillId="0" borderId="1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</cellXfs>
  <cellStyles count="4">
    <cellStyle name="백분율" xfId="1" builtinId="5"/>
    <cellStyle name="쉼표 [0]" xfId="2" builtinId="6"/>
    <cellStyle name="쉼표 [0] 3" xfId="3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49910DA4-6754-2118-AEB2-EF5828A560E5}"/>
            </a:ext>
          </a:extLst>
        </xdr:cNvPr>
        <xdr:cNvSpPr>
          <a:spLocks/>
        </xdr:cNvSpPr>
      </xdr:nvSpPr>
      <xdr:spPr bwMode="auto">
        <a:xfrm>
          <a:off x="7648575" y="360997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3FDFAB10-1973-4999-4249-F04E2621CA83}"/>
            </a:ext>
          </a:extLst>
        </xdr:cNvPr>
        <xdr:cNvSpPr>
          <a:spLocks/>
        </xdr:cNvSpPr>
      </xdr:nvSpPr>
      <xdr:spPr bwMode="auto">
        <a:xfrm>
          <a:off x="7667625" y="260032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6C723BF-DE49-ECB3-2AEE-FA3913A924CC}"/>
            </a:ext>
          </a:extLst>
        </xdr:cNvPr>
        <xdr:cNvSpPr>
          <a:spLocks/>
        </xdr:cNvSpPr>
      </xdr:nvSpPr>
      <xdr:spPr bwMode="auto">
        <a:xfrm>
          <a:off x="7667625" y="408622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88CC7FB4-1683-B54D-97C1-AE12851930DF}"/>
            </a:ext>
          </a:extLst>
        </xdr:cNvPr>
        <xdr:cNvSpPr>
          <a:spLocks/>
        </xdr:cNvSpPr>
      </xdr:nvSpPr>
      <xdr:spPr bwMode="auto">
        <a:xfrm>
          <a:off x="7741444" y="2005015"/>
          <a:ext cx="3024187" cy="292892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C445ED36-91CC-840F-E738-4E693C7306E9}"/>
            </a:ext>
          </a:extLst>
        </xdr:cNvPr>
        <xdr:cNvSpPr>
          <a:spLocks/>
        </xdr:cNvSpPr>
      </xdr:nvSpPr>
      <xdr:spPr bwMode="auto">
        <a:xfrm>
          <a:off x="7655714" y="3607594"/>
          <a:ext cx="3024187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4C307A80-6C4C-257F-0193-BB31C6E513D0}"/>
            </a:ext>
          </a:extLst>
        </xdr:cNvPr>
        <xdr:cNvSpPr>
          <a:spLocks/>
        </xdr:cNvSpPr>
      </xdr:nvSpPr>
      <xdr:spPr bwMode="auto">
        <a:xfrm>
          <a:off x="7727151" y="2333624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:a16="http://schemas.microsoft.com/office/drawing/2014/main" id="{12D41B4B-479D-2B90-36BE-114255AD5D46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:a16="http://schemas.microsoft.com/office/drawing/2014/main" id="{79D38949-BA40-5C60-9142-DC117BCB2982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:a16="http://schemas.microsoft.com/office/drawing/2014/main" id="{9170C9C3-B5F2-552A-BBC7-DC27644A4CC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:a16="http://schemas.microsoft.com/office/drawing/2014/main" id="{2DCFED41-A2FF-A9EA-7391-00F9C27987B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273D0EE4-D34C-8FFB-668E-BCDE26C08F4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:a16="http://schemas.microsoft.com/office/drawing/2014/main" id="{CC50C82C-F2A4-BB0C-A1FB-32B9F7B725C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:a16="http://schemas.microsoft.com/office/drawing/2014/main" id="{71DA1754-34C8-7232-7CE3-0314D5A47C9E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:a16="http://schemas.microsoft.com/office/drawing/2014/main" id="{1E98C23E-4C1F-A18D-7DA8-D0794EA28E6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0097B336-2DF8-05C3-7B25-5A3BEA1187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:a16="http://schemas.microsoft.com/office/drawing/2014/main" id="{284880A0-7185-2145-1411-DCA48F3CE67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5470CB00-04EE-A934-FCFF-7AD77884C0AC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:a16="http://schemas.microsoft.com/office/drawing/2014/main" id="{BCE35A20-1DCF-54CF-C6D0-90903871DF6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:a16="http://schemas.microsoft.com/office/drawing/2014/main" id="{9233541C-9958-560C-A8D6-6CE67CED2A39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:a16="http://schemas.microsoft.com/office/drawing/2014/main" id="{B2F7A1AD-F291-51D8-7E4B-BD927B690B3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:a16="http://schemas.microsoft.com/office/drawing/2014/main" id="{88E29C83-B879-8ED6-D1BB-92EA81CFCF78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:a16="http://schemas.microsoft.com/office/drawing/2014/main" id="{6A5961C2-A26A-D652-1C8F-FDA3048955E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1270" name="Rectangle 6">
          <a:extLst>
            <a:ext uri="{FF2B5EF4-FFF2-40B4-BE49-F238E27FC236}">
              <a16:creationId xmlns:a16="http://schemas.microsoft.com/office/drawing/2014/main" id="{CD53661B-E699-3D14-87CB-30CF1A5BD1FB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:a16="http://schemas.microsoft.com/office/drawing/2014/main" id="{C563F323-2C4A-0FA0-7416-CB40A7CB32AB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:a16="http://schemas.microsoft.com/office/drawing/2014/main" id="{D3415606-EDD5-C1B4-9B87-5C56E33EA24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3315" name="Rectangle 3">
          <a:extLst>
            <a:ext uri="{FF2B5EF4-FFF2-40B4-BE49-F238E27FC236}">
              <a16:creationId xmlns:a16="http://schemas.microsoft.com/office/drawing/2014/main" id="{93B5669B-89F0-56FF-9602-DA37542831EA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:a16="http://schemas.microsoft.com/office/drawing/2014/main" id="{5B83546C-D90B-6D86-4A01-48F215A1A066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:a16="http://schemas.microsoft.com/office/drawing/2014/main" id="{7C4A9D76-A359-C360-7838-BAEE4AB3235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4339" name="Rectangle 3">
          <a:extLst>
            <a:ext uri="{FF2B5EF4-FFF2-40B4-BE49-F238E27FC236}">
              <a16:creationId xmlns:a16="http://schemas.microsoft.com/office/drawing/2014/main" id="{390D5F30-2EBE-FE71-C9ED-B4D559837029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963F27CF-F9BC-3EB9-58A3-9102BFE2E8AD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tabSelected="1" zoomScale="90" zoomScaleNormal="90" zoomScaleSheetLayoutView="90" workbookViewId="0">
      <selection activeCell="B2" sqref="B2:I2"/>
    </sheetView>
  </sheetViews>
  <sheetFormatPr defaultRowHeight="13.5"/>
  <cols>
    <col min="1" max="1" width="2" style="180" customWidth="1"/>
    <col min="2" max="2" width="4.875" style="180" customWidth="1"/>
    <col min="3" max="3" width="8.5" style="180" customWidth="1"/>
    <col min="4" max="4" width="14.75" style="180" customWidth="1"/>
    <col min="5" max="6" width="11.125" style="180" customWidth="1"/>
    <col min="7" max="7" width="14.125" style="180" customWidth="1"/>
    <col min="8" max="8" width="18" style="180" bestFit="1" customWidth="1"/>
    <col min="9" max="9" width="8.75" style="180" customWidth="1"/>
    <col min="10" max="10" width="9" style="180"/>
    <col min="11" max="11" width="33.25" style="180" customWidth="1"/>
    <col min="12" max="16384" width="9" style="180"/>
  </cols>
  <sheetData>
    <row r="1" spans="2:9">
      <c r="B1" s="180" t="s">
        <v>137</v>
      </c>
    </row>
    <row r="2" spans="2:9" ht="38.25">
      <c r="B2" s="421" t="s">
        <v>132</v>
      </c>
      <c r="C2" s="421"/>
      <c r="D2" s="421"/>
      <c r="E2" s="421"/>
      <c r="F2" s="421"/>
      <c r="G2" s="421"/>
      <c r="H2" s="421"/>
      <c r="I2" s="421"/>
    </row>
    <row r="4" spans="2:9" s="187" customFormat="1" ht="24" customHeight="1">
      <c r="B4" s="422" t="s">
        <v>173</v>
      </c>
      <c r="C4" s="422"/>
      <c r="D4" s="422"/>
      <c r="E4" s="198"/>
      <c r="F4" s="198"/>
      <c r="G4" s="336" t="s">
        <v>282</v>
      </c>
      <c r="H4" s="337"/>
      <c r="I4" s="410"/>
    </row>
    <row r="5" spans="2:9" s="187" customFormat="1" ht="21.75" customHeight="1">
      <c r="B5" s="425" t="s">
        <v>125</v>
      </c>
      <c r="C5" s="426"/>
      <c r="D5" s="390">
        <v>45896</v>
      </c>
      <c r="E5" s="199"/>
      <c r="F5" s="198"/>
      <c r="G5" s="338" t="s">
        <v>283</v>
      </c>
      <c r="H5" s="339"/>
      <c r="I5" s="411"/>
    </row>
    <row r="6" spans="2:9" s="187" customFormat="1" ht="21.75" customHeight="1">
      <c r="B6" s="427" t="s">
        <v>126</v>
      </c>
      <c r="C6" s="428"/>
      <c r="D6" s="286" t="s">
        <v>192</v>
      </c>
      <c r="E6" s="200"/>
      <c r="F6" s="198"/>
      <c r="G6" s="338" t="s">
        <v>193</v>
      </c>
      <c r="H6" s="340"/>
      <c r="I6" s="412"/>
    </row>
    <row r="7" spans="2:9" s="187" customFormat="1" ht="21.75" customHeight="1">
      <c r="B7" s="429" t="s">
        <v>127</v>
      </c>
      <c r="C7" s="206" t="s">
        <v>135</v>
      </c>
      <c r="D7" s="286"/>
      <c r="E7" s="200"/>
      <c r="F7" s="198"/>
      <c r="G7" s="341"/>
      <c r="H7" s="340"/>
      <c r="I7" s="412"/>
    </row>
    <row r="8" spans="2:9" s="187" customFormat="1" ht="21.75" customHeight="1">
      <c r="B8" s="429"/>
      <c r="C8" s="206" t="s">
        <v>136</v>
      </c>
      <c r="D8" s="286"/>
      <c r="E8" s="200"/>
      <c r="F8" s="198"/>
      <c r="G8" s="341" t="s">
        <v>194</v>
      </c>
      <c r="H8" s="340"/>
      <c r="I8" s="412"/>
    </row>
    <row r="9" spans="2:9" s="187" customFormat="1" ht="21.75" customHeight="1">
      <c r="B9" s="427" t="s">
        <v>128</v>
      </c>
      <c r="C9" s="428"/>
      <c r="D9" s="286" t="s">
        <v>183</v>
      </c>
      <c r="E9" s="200"/>
      <c r="F9" s="198"/>
      <c r="G9" s="338" t="s">
        <v>195</v>
      </c>
      <c r="H9" s="340"/>
      <c r="I9" s="412"/>
    </row>
    <row r="10" spans="2:9" s="187" customFormat="1" ht="21.75" customHeight="1">
      <c r="B10" s="427" t="s">
        <v>129</v>
      </c>
      <c r="C10" s="428"/>
      <c r="D10" s="286" t="s">
        <v>179</v>
      </c>
      <c r="E10" s="200"/>
      <c r="G10" s="342" t="s">
        <v>181</v>
      </c>
      <c r="H10" s="343" t="s">
        <v>196</v>
      </c>
      <c r="I10" s="413"/>
    </row>
    <row r="11" spans="2:9" s="187" customFormat="1" ht="21.75" customHeight="1">
      <c r="B11" s="427" t="s">
        <v>130</v>
      </c>
      <c r="C11" s="428"/>
      <c r="D11" s="377" t="s">
        <v>180</v>
      </c>
      <c r="E11" s="200"/>
      <c r="G11" s="344" t="s">
        <v>182</v>
      </c>
      <c r="H11" s="345" t="s">
        <v>197</v>
      </c>
      <c r="I11" s="414"/>
    </row>
    <row r="12" spans="2:9" s="188" customFormat="1" ht="10.5" customHeight="1">
      <c r="B12" s="190"/>
      <c r="I12" s="189"/>
    </row>
    <row r="13" spans="2:9" s="202" customFormat="1" ht="24.95" customHeight="1">
      <c r="B13" s="453" t="s">
        <v>189</v>
      </c>
      <c r="C13" s="453"/>
      <c r="D13" s="455" t="s">
        <v>190</v>
      </c>
      <c r="E13" s="456"/>
      <c r="F13" s="456"/>
      <c r="G13" s="430" t="str">
        <f>H27</f>
        <v/>
      </c>
      <c r="H13" s="431"/>
      <c r="I13" s="376"/>
    </row>
    <row r="14" spans="2:9" s="202" customFormat="1" ht="24.95" customHeight="1">
      <c r="B14" s="453" t="s">
        <v>177</v>
      </c>
      <c r="C14" s="453"/>
      <c r="D14" s="454" t="str">
        <f>"一金"&amp;NUMBERSTRING(H14,1)&amp;"원"</f>
        <v>一金일십칠억구천오백만원</v>
      </c>
      <c r="E14" s="454"/>
      <c r="F14" s="454"/>
      <c r="G14" s="415" t="s">
        <v>191</v>
      </c>
      <c r="H14" s="415">
        <f>H28*1000</f>
        <v>1794999999.9999998</v>
      </c>
      <c r="I14" s="376" t="s">
        <v>178</v>
      </c>
    </row>
    <row r="15" spans="2:9" s="187" customFormat="1" ht="8.25" customHeight="1"/>
    <row r="16" spans="2:9" s="181" customFormat="1" ht="24.95" customHeight="1">
      <c r="B16" s="424" t="s">
        <v>120</v>
      </c>
      <c r="C16" s="441" t="s">
        <v>144</v>
      </c>
      <c r="D16" s="442"/>
      <c r="E16" s="423" t="s">
        <v>131</v>
      </c>
      <c r="F16" s="423"/>
      <c r="G16" s="423"/>
      <c r="H16" s="423"/>
      <c r="I16" s="424" t="s">
        <v>27</v>
      </c>
    </row>
    <row r="17" spans="1:12" s="181" customFormat="1" ht="29.25" customHeight="1">
      <c r="B17" s="423"/>
      <c r="C17" s="443"/>
      <c r="D17" s="444"/>
      <c r="E17" s="394" t="s">
        <v>186</v>
      </c>
      <c r="F17" s="395" t="s">
        <v>187</v>
      </c>
      <c r="G17" s="409" t="s">
        <v>188</v>
      </c>
      <c r="H17" s="393" t="s">
        <v>124</v>
      </c>
      <c r="I17" s="423"/>
    </row>
    <row r="18" spans="1:12" s="191" customFormat="1" ht="24.95" customHeight="1">
      <c r="B18" s="396">
        <v>1</v>
      </c>
      <c r="C18" s="480" t="str">
        <f>단위장비1!C1</f>
        <v>O/RACE LINE</v>
      </c>
      <c r="D18" s="481"/>
      <c r="E18" s="406">
        <f>IF('단위공사별(집계)'!N7&gt;1,('단위공사별(집계)'!D7+'단위공사별(집계)'!E7+'단위공사별(집계)'!F7+'단위공사별(집계)'!G7+'단위공사별(집계)'!H7+'단위공사별(집계)'!I7)/1000," ")</f>
        <v>732966.19718309853</v>
      </c>
      <c r="F18" s="477">
        <f>IF('단위공사별(집계)'!N7&gt;0,'단위공사별(집계)'!K17/1000,"")</f>
        <v>502500</v>
      </c>
      <c r="G18" s="397">
        <f>IF('단위공사별(집계)'!N7&gt;0,('단위공사별(집계)'!L7+'단위공사별(집계)'!M7)/1000,"")</f>
        <v>300</v>
      </c>
      <c r="H18" s="398">
        <f>IF('단위공사별(집계)'!N7&gt;0,'단위공사별(집계)'!N7/1000,"")</f>
        <v>1018346.4788732394</v>
      </c>
      <c r="I18" s="399"/>
      <c r="L18" s="309"/>
    </row>
    <row r="19" spans="1:12" s="191" customFormat="1" ht="24.95" customHeight="1">
      <c r="B19" s="192">
        <v>2</v>
      </c>
      <c r="C19" s="445" t="str">
        <f>단위장비2!C1</f>
        <v>T/HOUSING LINE</v>
      </c>
      <c r="D19" s="446"/>
      <c r="E19" s="407">
        <f>IF('단위공사별(집계)'!N8&gt;1,('단위공사별(집계)'!D8+'단위공사별(집계)'!E8+'단위공사별(집계)'!F8+'단위공사별(집계)'!G8+'단위공사별(집계)'!H8+'단위공사별(집계)'!I8)/1000," ")</f>
        <v>304686.72032193159</v>
      </c>
      <c r="F19" s="478"/>
      <c r="G19" s="193">
        <f>IF('단위공사별(집계)'!N8&gt;0,('단위공사별(집계)'!L8+'단위공사별(집계)'!M8)/1000,"")</f>
        <v>0</v>
      </c>
      <c r="H19" s="408">
        <f>IF('단위공사별(집계)'!N8&gt;0,'단위공사별(집계)'!N8/1000,"")</f>
        <v>423143.25955734408</v>
      </c>
      <c r="I19" s="375"/>
    </row>
    <row r="20" spans="1:12" s="191" customFormat="1" ht="24.95" customHeight="1">
      <c r="B20" s="192">
        <v>3</v>
      </c>
      <c r="C20" s="445" t="str">
        <f>단위장비3!C1</f>
        <v>D/SHAFT LINE</v>
      </c>
      <c r="D20" s="446"/>
      <c r="E20" s="407">
        <f>IF('단위공사별(집계)'!N9&gt;1,('단위공사별(집계)'!D9+'단위공사별(집계)'!E9+'단위공사별(집계)'!F9+'단위공사별(집계)'!G9+'단위공사별(집계)'!H9+'단위공사별(집계)'!I9)/1000," ")</f>
        <v>108393.15895372233</v>
      </c>
      <c r="F20" s="478"/>
      <c r="G20" s="193">
        <f>IF('단위공사별(집계)'!N9&gt;0,('단위공사별(집계)'!L9+'단위공사별(집계)'!M9)/1000,"")</f>
        <v>0</v>
      </c>
      <c r="H20" s="408">
        <f>IF('단위공사별(집계)'!N9&gt;0,'단위공사별(집계)'!N9/1000,"")</f>
        <v>150534.40643863176</v>
      </c>
      <c r="I20" s="194"/>
    </row>
    <row r="21" spans="1:12" s="191" customFormat="1" ht="24.95" customHeight="1">
      <c r="B21" s="192">
        <v>4</v>
      </c>
      <c r="C21" s="445" t="str">
        <f>단위장비4!C1</f>
        <v>I/RACE LINE</v>
      </c>
      <c r="D21" s="446"/>
      <c r="E21" s="407">
        <f>IF('단위공사별(집계)'!N10&gt;1,('단위공사별(집계)'!D10+'단위공사별(집계)'!E10+'단위공사별(집계)'!F10+'단위공사별(집계)'!G10+'단위공사별(집계)'!H10+'단위공사별(집계)'!I10)/1000," ")</f>
        <v>146153.9235412475</v>
      </c>
      <c r="F21" s="478"/>
      <c r="G21" s="193">
        <f>IF('단위공사별(집계)'!N10&gt;0,('단위공사별(집계)'!L10+'단위공사별(집계)'!M10)/1000,"")</f>
        <v>0</v>
      </c>
      <c r="H21" s="408">
        <f>IF('단위공사별(집계)'!N10&gt;0,'단위공사별(집계)'!N10/1000,"")</f>
        <v>202975.85513078471</v>
      </c>
      <c r="I21" s="194"/>
    </row>
    <row r="22" spans="1:12" s="191" customFormat="1" ht="24.95" customHeight="1">
      <c r="B22" s="192">
        <v>5</v>
      </c>
      <c r="C22" s="445">
        <f>단위장비5!C1</f>
        <v>0</v>
      </c>
      <c r="D22" s="446"/>
      <c r="E22" s="407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478"/>
      <c r="G22" s="193" t="str">
        <f>IF('단위공사별(집계)'!N11&gt;0,('단위공사별(집계)'!L11+'단위공사별(집계)'!M11)/1000,"")</f>
        <v/>
      </c>
      <c r="H22" s="408" t="str">
        <f>IF('단위공사별(집계)'!N11&gt;0,'단위공사별(집계)'!N11/1000,"")</f>
        <v/>
      </c>
      <c r="I22" s="194"/>
    </row>
    <row r="23" spans="1:12" s="191" customFormat="1" ht="24.95" customHeight="1">
      <c r="B23" s="192">
        <v>6</v>
      </c>
      <c r="C23" s="445">
        <f>단위장비6!C1</f>
        <v>0</v>
      </c>
      <c r="D23" s="446"/>
      <c r="E23" s="407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478"/>
      <c r="G23" s="193" t="str">
        <f>IF('단위공사별(집계)'!N12&gt;0,('단위공사별(집계)'!L12+'단위공사별(집계)'!M12)/1000,"")</f>
        <v/>
      </c>
      <c r="H23" s="408" t="str">
        <f>IF('단위공사별(집계)'!N12&gt;0,'단위공사별(집계)'!N12/1000,"")</f>
        <v/>
      </c>
      <c r="I23" s="194"/>
    </row>
    <row r="24" spans="1:12" s="191" customFormat="1" ht="24.95" customHeight="1">
      <c r="B24" s="192">
        <v>7</v>
      </c>
      <c r="C24" s="445">
        <f>단위장비7!C1</f>
        <v>0</v>
      </c>
      <c r="D24" s="446"/>
      <c r="E24" s="407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478"/>
      <c r="G24" s="193" t="str">
        <f>IF('단위공사별(집계)'!N13&gt;0,('단위공사별(집계)'!L13+'단위공사별(집계)'!M13)/1000,"")</f>
        <v/>
      </c>
      <c r="H24" s="408" t="str">
        <f>IF('단위공사별(집계)'!N13&gt;0,'단위공사별(집계)'!N13/1000,"")</f>
        <v/>
      </c>
      <c r="I24" s="194"/>
    </row>
    <row r="25" spans="1:12" s="191" customFormat="1" ht="24.95" customHeight="1">
      <c r="B25" s="195">
        <v>8</v>
      </c>
      <c r="C25" s="445">
        <f>단위장비8!C1</f>
        <v>0</v>
      </c>
      <c r="D25" s="446"/>
      <c r="E25" s="407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478"/>
      <c r="G25" s="193" t="str">
        <f>IF('단위공사별(집계)'!N14&gt;0,('단위공사별(집계)'!L14+'단위공사별(집계)'!M14)/1000,"")</f>
        <v/>
      </c>
      <c r="H25" s="408" t="str">
        <f>IF('단위공사별(집계)'!N14&gt;0,'단위공사별(집계)'!N14/1000,"")</f>
        <v/>
      </c>
      <c r="I25" s="194"/>
    </row>
    <row r="26" spans="1:12" s="191" customFormat="1" ht="24.95" customHeight="1">
      <c r="B26" s="195">
        <v>9</v>
      </c>
      <c r="C26" s="445">
        <f>단위장비9!C1</f>
        <v>0</v>
      </c>
      <c r="D26" s="446"/>
      <c r="E26" s="407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478"/>
      <c r="G26" s="193" t="str">
        <f>IF('단위공사별(집계)'!N15&gt;0,('단위공사별(집계)'!L15+'단위공사별(집계)'!M15)/1000,"")</f>
        <v/>
      </c>
      <c r="H26" s="408" t="str">
        <f>IF('단위공사별(집계)'!N15&gt;0,'단위공사별(집계)'!N15/1000,"")</f>
        <v/>
      </c>
      <c r="I26" s="194"/>
    </row>
    <row r="27" spans="1:12" s="191" customFormat="1" ht="24.95" customHeight="1">
      <c r="B27" s="196">
        <v>10</v>
      </c>
      <c r="C27" s="445">
        <f>단위장비10!C1</f>
        <v>0</v>
      </c>
      <c r="D27" s="446"/>
      <c r="E27" s="407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479"/>
      <c r="G27" s="193" t="str">
        <f>IF('단위공사별(집계)'!N16&gt;0,('단위공사별(집계)'!L16+'단위공사별(집계)'!M16)/1000,"")</f>
        <v/>
      </c>
      <c r="H27" s="408" t="str">
        <f>IF('단위공사별(집계)'!N16&gt;0,'단위공사별(집계)'!N16/1000,"")</f>
        <v/>
      </c>
      <c r="I27" s="197"/>
    </row>
    <row r="28" spans="1:12" ht="24.95" customHeight="1">
      <c r="B28" s="435" t="s">
        <v>133</v>
      </c>
      <c r="C28" s="436"/>
      <c r="D28" s="437"/>
      <c r="E28" s="203">
        <f>SUM(E18:E27)</f>
        <v>1292200</v>
      </c>
      <c r="F28" s="204">
        <f>SUM(F18)</f>
        <v>502500</v>
      </c>
      <c r="G28" s="204">
        <f>SUM(G18:G27)</f>
        <v>300</v>
      </c>
      <c r="H28" s="308">
        <f>SUM(H18:H27)</f>
        <v>1794999.9999999998</v>
      </c>
      <c r="I28" s="205"/>
    </row>
    <row r="29" spans="1:12" ht="4.5" customHeight="1">
      <c r="A29" s="183"/>
      <c r="B29" s="184"/>
      <c r="C29" s="185"/>
      <c r="D29" s="185"/>
      <c r="E29" s="186"/>
      <c r="F29" s="186"/>
      <c r="G29" s="186"/>
      <c r="H29" s="186"/>
      <c r="I29" s="183"/>
    </row>
    <row r="30" spans="1:12" ht="24" customHeight="1">
      <c r="A30" s="183"/>
      <c r="B30" s="185"/>
      <c r="C30" s="185"/>
      <c r="D30" s="185"/>
      <c r="E30" s="186"/>
      <c r="F30" s="469" t="s">
        <v>134</v>
      </c>
      <c r="G30" s="470"/>
      <c r="H30" s="182"/>
      <c r="I30" s="183"/>
    </row>
    <row r="31" spans="1:12" ht="15" customHeight="1">
      <c r="A31" s="183"/>
      <c r="B31" s="185"/>
      <c r="C31" s="185"/>
      <c r="D31" s="185"/>
      <c r="E31" s="186"/>
      <c r="F31" s="186"/>
      <c r="G31" s="186"/>
      <c r="H31" s="186"/>
      <c r="I31" s="183"/>
    </row>
    <row r="32" spans="1:12" ht="22.5" customHeight="1">
      <c r="B32" s="432" t="s">
        <v>123</v>
      </c>
      <c r="C32" s="463" t="s">
        <v>121</v>
      </c>
      <c r="D32" s="464"/>
      <c r="E32" s="465"/>
      <c r="F32" s="471" t="s">
        <v>143</v>
      </c>
      <c r="G32" s="472"/>
      <c r="H32" s="472"/>
      <c r="I32" s="473"/>
    </row>
    <row r="33" spans="2:9" ht="22.5" customHeight="1">
      <c r="B33" s="433"/>
      <c r="C33" s="466" t="s">
        <v>122</v>
      </c>
      <c r="D33" s="467"/>
      <c r="E33" s="468"/>
      <c r="F33" s="201" t="s">
        <v>167</v>
      </c>
      <c r="G33" s="474"/>
      <c r="H33" s="475"/>
      <c r="I33" s="476"/>
    </row>
    <row r="34" spans="2:9" ht="22.5" customHeight="1">
      <c r="B34" s="433"/>
      <c r="C34" s="438">
        <f>'원가항목별(집계)'!I39</f>
        <v>0</v>
      </c>
      <c r="D34" s="439"/>
      <c r="E34" s="440"/>
      <c r="F34" s="207" t="s">
        <v>168</v>
      </c>
      <c r="G34" s="457"/>
      <c r="H34" s="458"/>
      <c r="I34" s="459"/>
    </row>
    <row r="35" spans="2:9" ht="22.5" customHeight="1">
      <c r="B35" s="433"/>
      <c r="C35" s="447"/>
      <c r="D35" s="448"/>
      <c r="E35" s="449"/>
      <c r="F35" s="207" t="s">
        <v>169</v>
      </c>
      <c r="G35" s="457"/>
      <c r="H35" s="458"/>
      <c r="I35" s="459"/>
    </row>
    <row r="36" spans="2:9" ht="22.5" customHeight="1">
      <c r="B36" s="434"/>
      <c r="C36" s="450"/>
      <c r="D36" s="451"/>
      <c r="E36" s="452"/>
      <c r="F36" s="208" t="s">
        <v>170</v>
      </c>
      <c r="G36" s="460"/>
      <c r="H36" s="461"/>
      <c r="I36" s="462"/>
    </row>
  </sheetData>
  <mergeCells count="41">
    <mergeCell ref="G35:I35"/>
    <mergeCell ref="G36:I36"/>
    <mergeCell ref="C19:D19"/>
    <mergeCell ref="C32:E32"/>
    <mergeCell ref="C33:E33"/>
    <mergeCell ref="F30:G30"/>
    <mergeCell ref="C20:D20"/>
    <mergeCell ref="F32:I32"/>
    <mergeCell ref="G33:I33"/>
    <mergeCell ref="G34:I34"/>
    <mergeCell ref="C25:D25"/>
    <mergeCell ref="C26:D26"/>
    <mergeCell ref="C27:D27"/>
    <mergeCell ref="F18:F27"/>
    <mergeCell ref="C18:D18"/>
    <mergeCell ref="C23:D23"/>
    <mergeCell ref="B32:B36"/>
    <mergeCell ref="B28:D28"/>
    <mergeCell ref="C34:E34"/>
    <mergeCell ref="B11:C11"/>
    <mergeCell ref="C16:D17"/>
    <mergeCell ref="C21:D21"/>
    <mergeCell ref="C22:D22"/>
    <mergeCell ref="C35:E35"/>
    <mergeCell ref="C36:E36"/>
    <mergeCell ref="B14:C14"/>
    <mergeCell ref="D14:F14"/>
    <mergeCell ref="B13:C13"/>
    <mergeCell ref="D13:F13"/>
    <mergeCell ref="C24:D24"/>
    <mergeCell ref="B2:I2"/>
    <mergeCell ref="B4:D4"/>
    <mergeCell ref="E16:H16"/>
    <mergeCell ref="B16:B17"/>
    <mergeCell ref="I16:I17"/>
    <mergeCell ref="B5:C5"/>
    <mergeCell ref="B6:C6"/>
    <mergeCell ref="B9:C9"/>
    <mergeCell ref="B10:C10"/>
    <mergeCell ref="B7:B8"/>
    <mergeCell ref="G13:H13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62" orientation="portrait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M50"/>
  <sheetViews>
    <sheetView showGridLines="0" zoomScale="80" workbookViewId="0">
      <pane ySplit="6" topLeftCell="A7" activePane="bottomLeft" state="frozen"/>
      <selection activeCell="H28" sqref="H28"/>
      <selection pane="bottomLeft" activeCell="C2" sqref="C2"/>
    </sheetView>
  </sheetViews>
  <sheetFormatPr defaultRowHeight="19.5" customHeight="1"/>
  <cols>
    <col min="1" max="1" width="0.5" style="7" customWidth="1"/>
    <col min="2" max="2" width="5.25" style="7" bestFit="1" customWidth="1"/>
    <col min="3" max="3" width="7.375" style="7" customWidth="1"/>
    <col min="4" max="4" width="8.875" style="7" customWidth="1"/>
    <col min="5" max="5" width="17.75" style="7" customWidth="1"/>
    <col min="6" max="6" width="6.375" style="8" customWidth="1"/>
    <col min="7" max="7" width="8.875" style="27" customWidth="1"/>
    <col min="8" max="8" width="12.75" style="44" bestFit="1" customWidth="1"/>
    <col min="9" max="9" width="17.5" style="44" bestFit="1" customWidth="1"/>
    <col min="10" max="10" width="15.625" style="7" customWidth="1"/>
    <col min="11" max="11" width="13.75" style="86" bestFit="1" customWidth="1"/>
    <col min="12" max="12" width="10.875" style="7" bestFit="1" customWidth="1"/>
    <col min="13" max="16384" width="9" style="7"/>
  </cols>
  <sheetData>
    <row r="1" spans="2:11" s="1" customFormat="1" ht="19.5" customHeight="1">
      <c r="F1" s="2"/>
      <c r="G1" s="25"/>
      <c r="H1" s="42"/>
      <c r="I1" s="42"/>
      <c r="K1" s="83"/>
    </row>
    <row r="2" spans="2:11" s="85" customFormat="1" ht="26.25" customHeight="1">
      <c r="B2" s="3"/>
      <c r="C2" s="4" t="s">
        <v>71</v>
      </c>
      <c r="D2" s="5"/>
      <c r="E2" s="5"/>
      <c r="F2" s="6"/>
      <c r="G2" s="26"/>
      <c r="H2" s="43"/>
      <c r="I2" s="43"/>
      <c r="J2" s="5"/>
      <c r="K2" s="84"/>
    </row>
    <row r="3" spans="2:11" s="85" customFormat="1" ht="19.5" customHeight="1">
      <c r="B3" s="3"/>
      <c r="C3" s="4"/>
      <c r="D3" s="5"/>
      <c r="E3" s="5"/>
      <c r="F3" s="6"/>
      <c r="G3" s="26"/>
      <c r="H3" s="43"/>
      <c r="I3" s="43"/>
      <c r="J3" s="5"/>
      <c r="K3" s="84"/>
    </row>
    <row r="4" spans="2:11" ht="30" customHeight="1">
      <c r="B4" s="175" t="s">
        <v>114</v>
      </c>
      <c r="D4" s="128"/>
      <c r="J4" s="8"/>
    </row>
    <row r="5" spans="2:11" s="8" customFormat="1" ht="8.25" customHeight="1">
      <c r="B5" s="9"/>
      <c r="C5" s="512"/>
      <c r="D5" s="513"/>
      <c r="E5" s="514"/>
      <c r="F5" s="10"/>
      <c r="G5" s="87"/>
      <c r="H5" s="87"/>
      <c r="I5" s="87"/>
      <c r="J5" s="88"/>
      <c r="K5" s="89"/>
    </row>
    <row r="6" spans="2:11" s="8" customFormat="1" ht="22.5" customHeight="1" thickBot="1">
      <c r="B6" s="37" t="s">
        <v>10</v>
      </c>
      <c r="C6" s="515" t="s">
        <v>12</v>
      </c>
      <c r="D6" s="516"/>
      <c r="E6" s="517"/>
      <c r="F6" s="38" t="s">
        <v>11</v>
      </c>
      <c r="G6" s="45" t="s">
        <v>13</v>
      </c>
      <c r="H6" s="45" t="s">
        <v>14</v>
      </c>
      <c r="I6" s="45" t="s">
        <v>95</v>
      </c>
      <c r="J6" s="39" t="s">
        <v>15</v>
      </c>
      <c r="K6" s="89"/>
    </row>
    <row r="7" spans="2:11" ht="19.5" customHeight="1" thickTop="1">
      <c r="B7" s="509">
        <v>1</v>
      </c>
      <c r="C7" s="533" t="s">
        <v>90</v>
      </c>
      <c r="D7" s="529" t="s">
        <v>1</v>
      </c>
      <c r="E7" s="36" t="s">
        <v>88</v>
      </c>
      <c r="F7" s="178" t="s">
        <v>117</v>
      </c>
      <c r="G7" s="98">
        <f>단위장비1!F16+단위장비2!F30+단위장비3!F30+단위장비5!F29+단위장비4!F30+단위장비6!F30+단위장비7!F30+단위장비8!F30+단위장비9!F30+단위장비10!F30</f>
        <v>0</v>
      </c>
      <c r="H7" s="46"/>
      <c r="I7" s="46">
        <f>단위장비1!H10+단위장비2!H24+단위장비3!H24+단위장비5!H23+단위장비4!H24+단위장비6!H24+단위장비7!H24+단위장비8!H24+단위장비9!H24+단위장비10!H24</f>
        <v>73400000</v>
      </c>
      <c r="J7" s="22" t="s">
        <v>21</v>
      </c>
    </row>
    <row r="8" spans="2:11" ht="19.5" customHeight="1">
      <c r="B8" s="509"/>
      <c r="C8" s="529"/>
      <c r="D8" s="529"/>
      <c r="E8" s="12" t="s">
        <v>119</v>
      </c>
      <c r="F8" s="176" t="s">
        <v>118</v>
      </c>
      <c r="G8" s="99">
        <v>1</v>
      </c>
      <c r="H8" s="35"/>
      <c r="I8" s="35">
        <f>단위장비1!H32+단위장비2!H47+단위장비3!H47+단위장비5!H46+단위장비4!H47+단위장비6!H47+단위장비7!H47+단위장비8!H47+단위장비9!H47+단위장비10!H47</f>
        <v>57500000</v>
      </c>
      <c r="J8" s="13" t="s">
        <v>22</v>
      </c>
    </row>
    <row r="9" spans="2:11" ht="19.5" customHeight="1">
      <c r="B9" s="509"/>
      <c r="C9" s="529"/>
      <c r="D9" s="529"/>
      <c r="E9" s="12" t="s">
        <v>2</v>
      </c>
      <c r="F9" s="176" t="s">
        <v>118</v>
      </c>
      <c r="G9" s="100">
        <v>1</v>
      </c>
      <c r="H9" s="35"/>
      <c r="I9" s="35">
        <f>단위장비1!H52+단위장비2!H68+단위장비3!H55+단위장비5!H54+단위장비4!H57+단위장비6!H55+단위장비7!H55+단위장비8!H55+단위장비9!H55+단위장비10!H55</f>
        <v>921500000</v>
      </c>
      <c r="J9" s="13" t="s">
        <v>30</v>
      </c>
    </row>
    <row r="10" spans="2:11" ht="19.5" customHeight="1">
      <c r="B10" s="509"/>
      <c r="C10" s="529"/>
      <c r="D10" s="529"/>
      <c r="E10" s="257" t="s">
        <v>152</v>
      </c>
      <c r="F10" s="278" t="s">
        <v>148</v>
      </c>
      <c r="G10" s="279">
        <v>1</v>
      </c>
      <c r="H10" s="258"/>
      <c r="I10" s="258">
        <f>단위장비1!H16+단위장비2!H30+단위장비3!H30+단위장비5!H29+단위장비4!H30+단위장비6!H30+단위장비7!H30+단위장비8!H30+단위장비9!H30+단위장비10!H30</f>
        <v>0</v>
      </c>
      <c r="J10" s="272" t="s">
        <v>153</v>
      </c>
    </row>
    <row r="11" spans="2:11" ht="19.5" customHeight="1">
      <c r="B11" s="509"/>
      <c r="C11" s="529"/>
      <c r="D11" s="486"/>
      <c r="E11" s="14" t="s">
        <v>67</v>
      </c>
      <c r="F11" s="503"/>
      <c r="G11" s="504"/>
      <c r="H11" s="505"/>
      <c r="I11" s="47">
        <f>SUM(I7:I10)</f>
        <v>1052400000</v>
      </c>
      <c r="J11" s="13"/>
    </row>
    <row r="12" spans="2:11" ht="19.5" customHeight="1">
      <c r="B12" s="509"/>
      <c r="C12" s="529"/>
      <c r="D12" s="534" t="s">
        <v>3</v>
      </c>
      <c r="E12" s="280" t="s">
        <v>89</v>
      </c>
      <c r="F12" s="278" t="s">
        <v>115</v>
      </c>
      <c r="G12" s="281">
        <f>단위장비1!F54+단위장비2!F70+단위장비3!F57+단위장비5!F56+단위장비4!F59+단위장비6!F57+단위장비7!F57+단위장비8!F57+단위장비9!F57+단위장비10!F57</f>
        <v>0</v>
      </c>
      <c r="H12" s="281" t="str">
        <f>IF(단위장비1!G54&gt;0,단위장비1!G54,"")</f>
        <v/>
      </c>
      <c r="I12" s="281">
        <f>단위장비1!H54+단위장비2!H70+단위장비3!H57+단위장비5!H56+단위장비4!H59+단위장비6!H57+단위장비7!H57+단위장비8!H57+단위장비9!H57+단위장비10!H57</f>
        <v>0</v>
      </c>
      <c r="J12" s="16" t="s">
        <v>66</v>
      </c>
    </row>
    <row r="13" spans="2:11" s="91" customFormat="1" ht="19.5" customHeight="1">
      <c r="B13" s="509"/>
      <c r="C13" s="529"/>
      <c r="D13" s="529"/>
      <c r="E13" s="12" t="s">
        <v>4</v>
      </c>
      <c r="F13" s="176" t="s">
        <v>115</v>
      </c>
      <c r="G13" s="33">
        <f>단위장비1!F55+단위장비2!F71+단위장비3!F58+단위장비5!F57+단위장비4!F60+단위장비6!F58+단위장비7!F58+단위장비8!F58+단위장비9!F58+단위장비10!F58</f>
        <v>90</v>
      </c>
      <c r="H13" s="33">
        <f>IF(단위장비1!G55&gt;0,단위장비1!G55,"")</f>
        <v>300000</v>
      </c>
      <c r="I13" s="33">
        <f>단위장비1!H55+단위장비2!H71+단위장비3!H58+단위장비5!H57+단위장비4!H60+단위장비6!H58+단위장비7!H58+단위장비8!H58+단위장비9!H58+단위장비10!H58</f>
        <v>27000000</v>
      </c>
      <c r="J13" s="16"/>
      <c r="K13" s="90"/>
    </row>
    <row r="14" spans="2:11" s="91" customFormat="1" ht="19.5" customHeight="1">
      <c r="B14" s="509"/>
      <c r="C14" s="529"/>
      <c r="D14" s="529"/>
      <c r="E14" s="15" t="s">
        <v>19</v>
      </c>
      <c r="F14" s="176" t="s">
        <v>115</v>
      </c>
      <c r="G14" s="33"/>
      <c r="H14" s="33">
        <f>IF(단위장비1!G56&gt;0,단위장비1!G56,"")</f>
        <v>300000</v>
      </c>
      <c r="I14" s="33">
        <f>단위장비1!H56+단위장비2!H72+단위장비3!H59+단위장비5!H58+단위장비4!H61+단위장비6!H59+단위장비7!H59+단위장비8!H59+단위장비9!H59+단위장비10!H59</f>
        <v>24000000</v>
      </c>
      <c r="J14" s="16"/>
      <c r="K14" s="90"/>
    </row>
    <row r="15" spans="2:11" s="91" customFormat="1" ht="19.5" customHeight="1">
      <c r="B15" s="509"/>
      <c r="C15" s="529"/>
      <c r="D15" s="529"/>
      <c r="E15" s="15" t="s">
        <v>6</v>
      </c>
      <c r="F15" s="176" t="s">
        <v>115</v>
      </c>
      <c r="G15" s="33">
        <f>단위장비1!F57+단위장비2!F73+단위장비3!F60+단위장비5!F59+단위장비4!F62+단위장비6!F60+단위장비7!F60+단위장비8!F60+단위장비9!F60+단위장비10!F60</f>
        <v>100</v>
      </c>
      <c r="H15" s="33">
        <f>IF(단위장비1!G57&gt;0,단위장비1!G57,"")</f>
        <v>300000</v>
      </c>
      <c r="I15" s="33">
        <f>단위장비1!H57+단위장비2!H73+단위장비3!H60+단위장비5!H59+단위장비4!H62+단위장비6!H60+단위장비7!H60+단위장비8!H60+단위장비9!H60+단위장비10!H60</f>
        <v>30000000</v>
      </c>
      <c r="J15" s="16" t="s">
        <v>65</v>
      </c>
      <c r="K15" s="90"/>
    </row>
    <row r="16" spans="2:11" s="91" customFormat="1" ht="19.5" customHeight="1">
      <c r="B16" s="509"/>
      <c r="C16" s="529"/>
      <c r="D16" s="529"/>
      <c r="E16" s="280" t="s">
        <v>7</v>
      </c>
      <c r="F16" s="278" t="s">
        <v>115</v>
      </c>
      <c r="G16" s="281">
        <f>단위장비1!F58+단위장비2!F74+단위장비3!F61+단위장비5!F60+단위장비4!F63+단위장비6!F61+단위장비7!F61+단위장비8!F61+단위장비9!F61+단위장비10!F61</f>
        <v>100</v>
      </c>
      <c r="H16" s="281">
        <f>IF(단위장비1!G58&gt;0,단위장비1!G58,"")</f>
        <v>400000</v>
      </c>
      <c r="I16" s="281">
        <f>단위장비1!H58+단위장비2!H74+단위장비3!H61+단위장비5!H60+단위장비4!H63+단위장비6!H61+단위장비7!H61+단위장비8!H61+단위장비9!H61+단위장비10!H61</f>
        <v>40000000</v>
      </c>
      <c r="J16" s="16"/>
      <c r="K16" s="90"/>
    </row>
    <row r="17" spans="2:10" ht="19.5" customHeight="1">
      <c r="B17" s="509"/>
      <c r="C17" s="529"/>
      <c r="D17" s="529"/>
      <c r="E17" s="280" t="s">
        <v>8</v>
      </c>
      <c r="F17" s="278" t="s">
        <v>115</v>
      </c>
      <c r="G17" s="281">
        <f>단위장비1!F59+단위장비2!F75+단위장비3!F62+단위장비5!F61+단위장비4!F64+단위장비6!F62+단위장비7!F62+단위장비8!F62+단위장비9!F62+단위장비10!F62</f>
        <v>0</v>
      </c>
      <c r="H17" s="281" t="str">
        <f>IF(단위장비1!G59&gt;0,단위장비1!G59,"")</f>
        <v/>
      </c>
      <c r="I17" s="281">
        <f>단위장비1!H59+단위장비2!H75+단위장비3!H62+단위장비5!H61+단위장비4!H64+단위장비6!H62+단위장비7!H62+단위장비8!H62+단위장비9!H62+단위장비10!H62</f>
        <v>0</v>
      </c>
      <c r="J17" s="13"/>
    </row>
    <row r="18" spans="2:10" ht="19.5" customHeight="1">
      <c r="B18" s="509"/>
      <c r="C18" s="529"/>
      <c r="D18" s="529"/>
      <c r="E18" s="12" t="s">
        <v>9</v>
      </c>
      <c r="F18" s="176" t="s">
        <v>115</v>
      </c>
      <c r="G18" s="33">
        <f>단위장비1!F60+단위장비2!F76+단위장비3!F63+단위장비5!F62+단위장비4!F65+단위장비6!F63+단위장비7!F63+단위장비8!F63+단위장비9!F63+단위장비10!F63</f>
        <v>9</v>
      </c>
      <c r="H18" s="33">
        <f>IF(단위장비1!G60&gt;0,단위장비1!G60,"")</f>
        <v>400000</v>
      </c>
      <c r="I18" s="33">
        <f>단위장비1!H60+단위장비2!H76+단위장비3!H63+단위장비5!H62+단위장비4!H65+단위장비6!H63+단위장비7!H63+단위장비8!H63+단위장비9!H63+단위장비10!H63</f>
        <v>3600000</v>
      </c>
      <c r="J18" s="13"/>
    </row>
    <row r="19" spans="2:10" ht="19.5" customHeight="1">
      <c r="B19" s="509"/>
      <c r="C19" s="529"/>
      <c r="D19" s="529"/>
      <c r="E19" s="12" t="s">
        <v>20</v>
      </c>
      <c r="F19" s="176" t="s">
        <v>115</v>
      </c>
      <c r="G19" s="33">
        <f>단위장비1!F61+단위장비2!F77+단위장비3!F64+단위장비5!F63+단위장비4!F66+단위장비6!F64+단위장비7!F64+단위장비8!F64+단위장비9!F64+단위장비10!F64</f>
        <v>1</v>
      </c>
      <c r="H19" s="33">
        <f>IF(단위장비1!G61&gt;0,단위장비1!G61,"")</f>
        <v>65200000</v>
      </c>
      <c r="I19" s="33">
        <f>단위장비1!H61+단위장비2!H77+단위장비3!H64+단위장비5!H63+단위장비4!H66+단위장비6!H64+단위장비7!H64+단위장비8!H64+단위장비9!H64+단위장비10!H64</f>
        <v>65200000</v>
      </c>
      <c r="J19" s="13"/>
    </row>
    <row r="20" spans="2:10" ht="19.5" customHeight="1">
      <c r="B20" s="509"/>
      <c r="C20" s="529"/>
      <c r="D20" s="486"/>
      <c r="E20" s="14" t="s">
        <v>67</v>
      </c>
      <c r="F20" s="503"/>
      <c r="G20" s="504"/>
      <c r="H20" s="505"/>
      <c r="I20" s="47">
        <f>SUM(I12:I19)</f>
        <v>189800000</v>
      </c>
      <c r="J20" s="13"/>
    </row>
    <row r="21" spans="2:10" ht="19.5" customHeight="1">
      <c r="B21" s="509"/>
      <c r="C21" s="529"/>
      <c r="D21" s="137" t="s">
        <v>76</v>
      </c>
      <c r="E21" s="130"/>
      <c r="F21" s="503"/>
      <c r="G21" s="504"/>
      <c r="H21" s="505"/>
      <c r="I21" s="50">
        <f>단위장비1!H64+단위장비1!H65+단위장비2!H80+단위장비2!H81+단위장비3!H67+단위장비3!H68+단위장비5!H66+단위장비5!H67+단위장비4!H69+단위장비4!H70+단위장비6!H67+단위장비6!H68+단위장비7!H67+단위장비7!H68+단위장비8!H67+단위장비8!H68+단위장비9!H67+단위장비9!H68+단위장비10!H67+단위장비10!H68</f>
        <v>300000</v>
      </c>
      <c r="J21" s="92"/>
    </row>
    <row r="22" spans="2:10" ht="19.5" customHeight="1">
      <c r="B22" s="510"/>
      <c r="C22" s="530"/>
      <c r="D22" s="17"/>
      <c r="E22" s="18" t="s">
        <v>49</v>
      </c>
      <c r="F22" s="482"/>
      <c r="G22" s="483"/>
      <c r="H22" s="484"/>
      <c r="I22" s="48">
        <f>I20+I11+I21</f>
        <v>1242500000</v>
      </c>
      <c r="J22" s="19"/>
    </row>
    <row r="23" spans="2:10" ht="19.5" customHeight="1">
      <c r="B23" s="511">
        <v>2</v>
      </c>
      <c r="C23" s="526" t="s">
        <v>91</v>
      </c>
      <c r="D23" s="531" t="s">
        <v>1</v>
      </c>
      <c r="E23" s="11" t="s">
        <v>16</v>
      </c>
      <c r="F23" s="177" t="s">
        <v>116</v>
      </c>
      <c r="G23" s="34">
        <v>1</v>
      </c>
      <c r="H23" s="34"/>
      <c r="I23" s="34">
        <f>전기!H55-I24</f>
        <v>265000000</v>
      </c>
      <c r="J23" s="20"/>
    </row>
    <row r="24" spans="2:10" ht="19.5" customHeight="1">
      <c r="B24" s="509"/>
      <c r="C24" s="527"/>
      <c r="D24" s="532"/>
      <c r="E24" s="257" t="s">
        <v>152</v>
      </c>
      <c r="F24" s="282" t="s">
        <v>148</v>
      </c>
      <c r="G24" s="259">
        <v>1</v>
      </c>
      <c r="H24" s="259"/>
      <c r="I24" s="259">
        <f>전기!H16</f>
        <v>0</v>
      </c>
      <c r="J24" s="272" t="s">
        <v>153</v>
      </c>
    </row>
    <row r="25" spans="2:10" ht="19.5" customHeight="1">
      <c r="B25" s="509"/>
      <c r="C25" s="528"/>
      <c r="D25" s="534" t="s">
        <v>3</v>
      </c>
      <c r="E25" s="280" t="s">
        <v>94</v>
      </c>
      <c r="F25" s="278" t="s">
        <v>115</v>
      </c>
      <c r="G25" s="281">
        <f>전기!F56</f>
        <v>90</v>
      </c>
      <c r="H25" s="258">
        <f>IF(전기!G56&gt;0,전기!G56,"")</f>
        <v>300000</v>
      </c>
      <c r="I25" s="281">
        <f>전기!H56</f>
        <v>27000000</v>
      </c>
      <c r="J25" s="16"/>
    </row>
    <row r="26" spans="2:10" ht="19.5" customHeight="1">
      <c r="B26" s="509"/>
      <c r="C26" s="528"/>
      <c r="D26" s="529"/>
      <c r="E26" s="12" t="s">
        <v>73</v>
      </c>
      <c r="F26" s="176" t="s">
        <v>115</v>
      </c>
      <c r="G26" s="35">
        <f>전기!F57</f>
        <v>1</v>
      </c>
      <c r="H26" s="35">
        <f>IF(전기!G57&gt;0,전기!G57,"")</f>
        <v>97000000</v>
      </c>
      <c r="I26" s="35">
        <f>전기!H57</f>
        <v>97000000</v>
      </c>
      <c r="J26" s="13"/>
    </row>
    <row r="27" spans="2:10" ht="19.5" customHeight="1">
      <c r="B27" s="509"/>
      <c r="C27" s="528"/>
      <c r="D27" s="529"/>
      <c r="E27" s="12" t="s">
        <v>5</v>
      </c>
      <c r="F27" s="176" t="s">
        <v>115</v>
      </c>
      <c r="G27" s="35">
        <f>전기!F58</f>
        <v>50</v>
      </c>
      <c r="H27" s="35">
        <f>IF(전기!G58&gt;0,전기!G58,"")</f>
        <v>300000</v>
      </c>
      <c r="I27" s="35">
        <f>전기!H58</f>
        <v>15000000</v>
      </c>
      <c r="J27" s="13"/>
    </row>
    <row r="28" spans="2:10" ht="19.5" customHeight="1">
      <c r="B28" s="509"/>
      <c r="C28" s="528"/>
      <c r="D28" s="529"/>
      <c r="E28" s="12" t="s">
        <v>100</v>
      </c>
      <c r="F28" s="176" t="s">
        <v>115</v>
      </c>
      <c r="G28" s="35">
        <f>전기!F59</f>
        <v>120</v>
      </c>
      <c r="H28" s="35">
        <f>IF(전기!G59&gt;0,전기!G59,"")</f>
        <v>300000</v>
      </c>
      <c r="I28" s="35">
        <f>전기!H59</f>
        <v>36000000</v>
      </c>
      <c r="J28" s="13"/>
    </row>
    <row r="29" spans="2:10" ht="19.5" customHeight="1">
      <c r="B29" s="509"/>
      <c r="C29" s="528"/>
      <c r="D29" s="529"/>
      <c r="E29" s="283" t="s">
        <v>99</v>
      </c>
      <c r="F29" s="278" t="s">
        <v>115</v>
      </c>
      <c r="G29" s="258">
        <f>전기!F60</f>
        <v>50</v>
      </c>
      <c r="H29" s="258">
        <f>IF(전기!G60&gt;0,전기!G60,"")</f>
        <v>400000</v>
      </c>
      <c r="I29" s="258">
        <f>전기!H60</f>
        <v>20000000</v>
      </c>
      <c r="J29" s="13"/>
    </row>
    <row r="30" spans="2:10" ht="19.5" customHeight="1">
      <c r="B30" s="509"/>
      <c r="C30" s="528"/>
      <c r="D30" s="529"/>
      <c r="E30" s="283" t="s">
        <v>8</v>
      </c>
      <c r="F30" s="278" t="s">
        <v>115</v>
      </c>
      <c r="G30" s="258">
        <f>전기!F61</f>
        <v>1</v>
      </c>
      <c r="H30" s="258">
        <f>IF(전기!G61&gt;0,전기!G61,"")</f>
        <v>38000000</v>
      </c>
      <c r="I30" s="258">
        <f>전기!H61</f>
        <v>38000000</v>
      </c>
      <c r="J30" s="13"/>
    </row>
    <row r="31" spans="2:10" ht="19.5" customHeight="1">
      <c r="B31" s="509"/>
      <c r="C31" s="528"/>
      <c r="D31" s="529"/>
      <c r="E31" s="12" t="s">
        <v>9</v>
      </c>
      <c r="F31" s="176" t="s">
        <v>115</v>
      </c>
      <c r="G31" s="35">
        <f>전기!F62</f>
        <v>9</v>
      </c>
      <c r="H31" s="35">
        <f>IF(전기!G62&gt;0,전기!G62,"")</f>
        <v>500000</v>
      </c>
      <c r="I31" s="35">
        <f>전기!H62</f>
        <v>4500000</v>
      </c>
      <c r="J31" s="13"/>
    </row>
    <row r="32" spans="2:10" ht="19.5" customHeight="1">
      <c r="B32" s="509"/>
      <c r="C32" s="528"/>
      <c r="D32" s="486"/>
      <c r="E32" s="14" t="s">
        <v>68</v>
      </c>
      <c r="F32" s="542"/>
      <c r="G32" s="543"/>
      <c r="H32" s="544"/>
      <c r="I32" s="47">
        <f>SUM(I25:I31)</f>
        <v>237500000</v>
      </c>
      <c r="J32" s="13"/>
    </row>
    <row r="33" spans="2:13" ht="19.5" customHeight="1">
      <c r="B33" s="509"/>
      <c r="C33" s="529"/>
      <c r="D33" s="137" t="s">
        <v>76</v>
      </c>
      <c r="E33" s="130"/>
      <c r="F33" s="503"/>
      <c r="G33" s="504"/>
      <c r="H33" s="505"/>
      <c r="I33" s="50">
        <f>전기!H65+전기!H66</f>
        <v>0</v>
      </c>
      <c r="J33" s="92"/>
    </row>
    <row r="34" spans="2:13" ht="19.5" customHeight="1">
      <c r="B34" s="510"/>
      <c r="C34" s="530"/>
      <c r="D34" s="17"/>
      <c r="E34" s="18" t="s">
        <v>69</v>
      </c>
      <c r="F34" s="482"/>
      <c r="G34" s="483"/>
      <c r="H34" s="484"/>
      <c r="I34" s="48">
        <f>I32+I23+I33+I24</f>
        <v>502500000</v>
      </c>
      <c r="J34" s="19"/>
    </row>
    <row r="35" spans="2:13" ht="19.5" customHeight="1">
      <c r="B35" s="518">
        <v>3</v>
      </c>
      <c r="C35" s="521" t="s">
        <v>57</v>
      </c>
      <c r="D35" s="522"/>
      <c r="E35" s="523"/>
      <c r="F35" s="521"/>
      <c r="G35" s="522"/>
      <c r="H35" s="523"/>
      <c r="I35" s="49">
        <f>I23+I11+I24</f>
        <v>1317400000</v>
      </c>
      <c r="J35" s="20"/>
    </row>
    <row r="36" spans="2:13" ht="19.5" customHeight="1">
      <c r="B36" s="519"/>
      <c r="C36" s="503" t="s">
        <v>58</v>
      </c>
      <c r="D36" s="504"/>
      <c r="E36" s="505"/>
      <c r="F36" s="503"/>
      <c r="G36" s="504"/>
      <c r="H36" s="505"/>
      <c r="I36" s="47">
        <f>I32+I20</f>
        <v>427300000</v>
      </c>
      <c r="J36" s="13"/>
    </row>
    <row r="37" spans="2:13" ht="19.5" customHeight="1" thickBot="1">
      <c r="B37" s="520"/>
      <c r="C37" s="524" t="s">
        <v>59</v>
      </c>
      <c r="D37" s="524"/>
      <c r="E37" s="525"/>
      <c r="F37" s="535"/>
      <c r="G37" s="524"/>
      <c r="H37" s="525"/>
      <c r="I37" s="57">
        <f>I36+I35</f>
        <v>1744700000</v>
      </c>
      <c r="J37" s="58"/>
    </row>
    <row r="38" spans="2:13" ht="20.25" customHeight="1">
      <c r="B38" s="21">
        <v>4</v>
      </c>
      <c r="C38" s="486" t="s">
        <v>87</v>
      </c>
      <c r="D38" s="487"/>
      <c r="E38" s="488"/>
      <c r="F38" s="536"/>
      <c r="G38" s="537"/>
      <c r="H38" s="538"/>
      <c r="I38" s="153">
        <v>50000000</v>
      </c>
      <c r="J38" s="420" t="s">
        <v>275</v>
      </c>
    </row>
    <row r="39" spans="2:13" ht="22.5" customHeight="1">
      <c r="B39" s="23">
        <v>5</v>
      </c>
      <c r="C39" s="503" t="s">
        <v>0</v>
      </c>
      <c r="D39" s="504"/>
      <c r="E39" s="505"/>
      <c r="F39" s="539" t="s">
        <v>166</v>
      </c>
      <c r="G39" s="540"/>
      <c r="H39" s="541"/>
      <c r="I39" s="115"/>
      <c r="J39" s="284">
        <f>I30+I29+I25+I24+I17+I16+I12+I10</f>
        <v>125000000</v>
      </c>
      <c r="K39" s="179"/>
      <c r="M39" s="179"/>
    </row>
    <row r="40" spans="2:13" ht="20.25" customHeight="1">
      <c r="B40" s="23">
        <v>6</v>
      </c>
      <c r="C40" s="503" t="s">
        <v>25</v>
      </c>
      <c r="D40" s="504"/>
      <c r="E40" s="505"/>
      <c r="F40" s="506"/>
      <c r="G40" s="507"/>
      <c r="H40" s="508"/>
      <c r="I40" s="47">
        <f>전기!H65+단위장비1!H64+단위장비2!H80+단위장비3!H67+단위장비5!H66+단위장비4!H69+단위장비6!H67+단위장비7!H67+단위장비8!H67+단위장비9!H67+단위장비10!H67</f>
        <v>300000</v>
      </c>
      <c r="J40" s="13"/>
    </row>
    <row r="41" spans="2:13" ht="20.25" customHeight="1">
      <c r="B41" s="24">
        <v>7</v>
      </c>
      <c r="C41" s="482" t="s">
        <v>17</v>
      </c>
      <c r="D41" s="483"/>
      <c r="E41" s="484"/>
      <c r="F41" s="500"/>
      <c r="G41" s="501"/>
      <c r="H41" s="502"/>
      <c r="I41" s="50">
        <f>전기!H66+단위장비1!H65+단위장비2!H81+단위장비3!H68+단위장비5!H67+단위장비4!H70+단위장비6!H68+단위장비7!H68+단위장비8!H68+단위장비9!H68+단위장비10!H68</f>
        <v>0</v>
      </c>
      <c r="J41" s="92"/>
      <c r="K41" s="7"/>
    </row>
    <row r="42" spans="2:13" ht="28.5" customHeight="1" thickBot="1">
      <c r="B42" s="59"/>
      <c r="C42" s="485" t="s">
        <v>18</v>
      </c>
      <c r="D42" s="485"/>
      <c r="E42" s="485"/>
      <c r="F42" s="497" t="s">
        <v>63</v>
      </c>
      <c r="G42" s="498"/>
      <c r="H42" s="499"/>
      <c r="I42" s="60">
        <f>I22+I34+I38+I39</f>
        <v>1795000000</v>
      </c>
      <c r="J42" s="93"/>
      <c r="K42" s="7"/>
    </row>
    <row r="43" spans="2:13" ht="19.5" customHeight="1">
      <c r="B43" s="260" t="s">
        <v>185</v>
      </c>
      <c r="C43" s="8"/>
      <c r="D43" s="8"/>
      <c r="E43" s="8"/>
    </row>
    <row r="44" spans="2:13" ht="19.5" customHeight="1">
      <c r="B44" s="405" t="s">
        <v>184</v>
      </c>
      <c r="C44" s="8"/>
      <c r="D44" s="8"/>
      <c r="E44" s="8"/>
    </row>
    <row r="45" spans="2:13" ht="19.5" customHeight="1">
      <c r="B45" s="7" t="s">
        <v>64</v>
      </c>
      <c r="C45" s="8"/>
      <c r="D45" s="8"/>
      <c r="E45" s="8"/>
    </row>
    <row r="46" spans="2:13" ht="19.5" customHeight="1">
      <c r="C46" s="8"/>
      <c r="D46" s="8"/>
      <c r="E46" s="8"/>
    </row>
    <row r="47" spans="2:13" ht="19.5" customHeight="1">
      <c r="C47" s="8"/>
      <c r="D47" s="8"/>
      <c r="E47" s="494" t="s">
        <v>171</v>
      </c>
      <c r="F47" s="491" t="s">
        <v>161</v>
      </c>
      <c r="G47" s="492"/>
      <c r="H47" s="493"/>
      <c r="I47" s="274" t="s">
        <v>163</v>
      </c>
      <c r="J47" s="276" t="s">
        <v>160</v>
      </c>
      <c r="K47" s="277" t="s">
        <v>164</v>
      </c>
    </row>
    <row r="48" spans="2:13" ht="19.5" customHeight="1">
      <c r="C48" s="8"/>
      <c r="D48" s="8"/>
      <c r="E48" s="495"/>
      <c r="F48" s="489" t="s">
        <v>156</v>
      </c>
      <c r="G48" s="490"/>
      <c r="H48" s="490"/>
      <c r="I48" s="47">
        <f>IF(J48&lt;500000000,J48*0.0315,1)+IF(J48&gt;500000000,J48*0.0253+3300000)*IF(J48&gt;5000000000,0,1)+IF(J48&gt;5000000000,J48*0.026,0)</f>
        <v>48705911</v>
      </c>
      <c r="J48" s="275">
        <f>SUM(I7:I10,I12:I19,I23:I31,I38)</f>
        <v>1794700000</v>
      </c>
      <c r="K48" s="275" t="s">
        <v>158</v>
      </c>
    </row>
    <row r="49" spans="5:11" ht="19.5" customHeight="1">
      <c r="E49" s="496"/>
      <c r="F49" s="489" t="s">
        <v>157</v>
      </c>
      <c r="G49" s="490"/>
      <c r="H49" s="490"/>
      <c r="I49" s="47">
        <f>(IF(J49&lt;500000000,J49*0.0315,1)+IF(J49&gt;500000000,J49*0.0253+3300000)*IF(J49&gt;5000000000,0,1)+IF(J49&gt;5000000000,J49*0.026,0))*1.2</f>
        <v>4725000</v>
      </c>
      <c r="J49" s="285">
        <f>SUM(I10,I24,I12,I16:I17,I25,I29:I30)</f>
        <v>125000000</v>
      </c>
      <c r="K49" s="275" t="s">
        <v>159</v>
      </c>
    </row>
    <row r="50" spans="5:11" ht="19.5" customHeight="1">
      <c r="G50" s="273" t="s">
        <v>162</v>
      </c>
    </row>
  </sheetData>
  <mergeCells count="38">
    <mergeCell ref="F11:H11"/>
    <mergeCell ref="F32:H32"/>
    <mergeCell ref="F33:H33"/>
    <mergeCell ref="F34:H34"/>
    <mergeCell ref="F20:H20"/>
    <mergeCell ref="F21:H21"/>
    <mergeCell ref="F22:H22"/>
    <mergeCell ref="F35:H35"/>
    <mergeCell ref="F36:H36"/>
    <mergeCell ref="F37:H37"/>
    <mergeCell ref="F38:H38"/>
    <mergeCell ref="F39:H39"/>
    <mergeCell ref="B7:B22"/>
    <mergeCell ref="B23:B34"/>
    <mergeCell ref="C5:E5"/>
    <mergeCell ref="C6:E6"/>
    <mergeCell ref="B35:B37"/>
    <mergeCell ref="C35:E35"/>
    <mergeCell ref="C36:E36"/>
    <mergeCell ref="C37:E37"/>
    <mergeCell ref="C23:C34"/>
    <mergeCell ref="D23:D24"/>
    <mergeCell ref="C7:C22"/>
    <mergeCell ref="D7:D11"/>
    <mergeCell ref="D25:D32"/>
    <mergeCell ref="D12:D20"/>
    <mergeCell ref="C41:E41"/>
    <mergeCell ref="C42:E42"/>
    <mergeCell ref="C38:E38"/>
    <mergeCell ref="F48:H48"/>
    <mergeCell ref="F49:H49"/>
    <mergeCell ref="F47:H47"/>
    <mergeCell ref="E47:E49"/>
    <mergeCell ref="F42:H42"/>
    <mergeCell ref="F41:H41"/>
    <mergeCell ref="C39:E39"/>
    <mergeCell ref="C40:E40"/>
    <mergeCell ref="F40:H40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73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2:P22"/>
  <sheetViews>
    <sheetView zoomScale="74" zoomScaleNormal="74" workbookViewId="0">
      <selection activeCell="B2" sqref="B2"/>
    </sheetView>
  </sheetViews>
  <sheetFormatPr defaultRowHeight="17.25" customHeight="1"/>
  <cols>
    <col min="1" max="1" width="5" style="28" customWidth="1"/>
    <col min="2" max="2" width="20.125" style="28" customWidth="1"/>
    <col min="3" max="3" width="6.25" style="28" customWidth="1"/>
    <col min="4" max="4" width="14.875" style="28" bestFit="1" customWidth="1"/>
    <col min="5" max="5" width="5.75" style="28" bestFit="1" customWidth="1"/>
    <col min="6" max="6" width="13.125" style="28" bestFit="1" customWidth="1"/>
    <col min="7" max="7" width="12.125" style="28" bestFit="1" customWidth="1"/>
    <col min="8" max="8" width="10.75" style="28" bestFit="1" customWidth="1"/>
    <col min="9" max="9" width="11.5" style="28" bestFit="1" customWidth="1"/>
    <col min="10" max="10" width="17.5" style="28" bestFit="1" customWidth="1"/>
    <col min="11" max="11" width="15.5" style="28" bestFit="1" customWidth="1"/>
    <col min="12" max="12" width="9.375" style="28" bestFit="1" customWidth="1"/>
    <col min="13" max="13" width="15.5" style="28" bestFit="1" customWidth="1"/>
    <col min="14" max="14" width="17.5" style="28" bestFit="1" customWidth="1"/>
    <col min="15" max="15" width="7" style="28" bestFit="1" customWidth="1"/>
    <col min="16" max="16" width="12.625" style="28" hidden="1" customWidth="1"/>
    <col min="17" max="17" width="10" style="28" customWidth="1"/>
    <col min="18" max="16384" width="9" style="28"/>
  </cols>
  <sheetData>
    <row r="2" spans="1:16" ht="31.5" customHeight="1">
      <c r="A2" s="4" t="s">
        <v>92</v>
      </c>
    </row>
    <row r="3" spans="1:16" ht="17.25" customHeight="1" thickBot="1">
      <c r="N3" s="28" t="s">
        <v>29</v>
      </c>
    </row>
    <row r="4" spans="1:16" s="214" customFormat="1" ht="8.25" customHeight="1">
      <c r="A4" s="32"/>
      <c r="B4" s="32"/>
      <c r="C4" s="32"/>
      <c r="D4" s="548"/>
      <c r="E4" s="549"/>
      <c r="F4" s="549"/>
      <c r="G4" s="549"/>
      <c r="H4" s="549"/>
      <c r="I4" s="549"/>
      <c r="J4" s="550"/>
      <c r="K4" s="139"/>
      <c r="L4" s="132"/>
      <c r="M4" s="133"/>
      <c r="N4" s="63"/>
      <c r="O4" s="51"/>
    </row>
    <row r="5" spans="1:16" s="29" customFormat="1" ht="25.5" customHeight="1">
      <c r="A5" s="68"/>
      <c r="B5" s="68"/>
      <c r="C5" s="68"/>
      <c r="D5" s="230"/>
      <c r="E5" s="231"/>
      <c r="F5" s="231"/>
      <c r="G5" s="231"/>
      <c r="H5" s="231"/>
      <c r="I5" s="232" t="s">
        <v>85</v>
      </c>
      <c r="J5" s="215"/>
      <c r="K5" s="210"/>
      <c r="L5" s="209" t="s">
        <v>74</v>
      </c>
      <c r="M5" s="211" t="s">
        <v>56</v>
      </c>
      <c r="N5" s="212"/>
      <c r="O5" s="213"/>
    </row>
    <row r="6" spans="1:16" s="29" customFormat="1" ht="25.5" customHeight="1" thickBot="1">
      <c r="A6" s="41" t="s">
        <v>23</v>
      </c>
      <c r="B6" s="41" t="s">
        <v>93</v>
      </c>
      <c r="C6" s="41" t="s">
        <v>28</v>
      </c>
      <c r="D6" s="233" t="s">
        <v>24</v>
      </c>
      <c r="E6" s="234" t="s">
        <v>60</v>
      </c>
      <c r="F6" s="234" t="s">
        <v>61</v>
      </c>
      <c r="G6" s="234" t="s">
        <v>54</v>
      </c>
      <c r="H6" s="234" t="s">
        <v>55</v>
      </c>
      <c r="I6" s="235" t="s">
        <v>86</v>
      </c>
      <c r="J6" s="216" t="s">
        <v>138</v>
      </c>
      <c r="K6" s="140" t="s">
        <v>139</v>
      </c>
      <c r="L6" s="131" t="s">
        <v>75</v>
      </c>
      <c r="M6" s="134" t="s">
        <v>43</v>
      </c>
      <c r="N6" s="64" t="s">
        <v>26</v>
      </c>
      <c r="O6" s="61" t="s">
        <v>27</v>
      </c>
    </row>
    <row r="7" spans="1:16" s="31" customFormat="1" ht="25.5" customHeight="1" thickTop="1">
      <c r="A7" s="154">
        <f>IF(B7&gt;0,1,"")</f>
        <v>1</v>
      </c>
      <c r="B7" s="155" t="str">
        <f>단위장비1!C$1</f>
        <v>O/RACE LINE</v>
      </c>
      <c r="C7" s="251" t="s">
        <v>141</v>
      </c>
      <c r="D7" s="236">
        <f>단위장비1!H53</f>
        <v>550800000</v>
      </c>
      <c r="E7" s="237">
        <f>단위장비1!H54</f>
        <v>0</v>
      </c>
      <c r="F7" s="237">
        <f>단위장비1!H55+단위장비1!H56+단위장비1!H57+단위장비1!H61</f>
        <v>110200000</v>
      </c>
      <c r="G7" s="237">
        <f>단위장비1!H58+단위장비1!H59</f>
        <v>40000000</v>
      </c>
      <c r="H7" s="237">
        <f>단위장비1!H60</f>
        <v>3600000</v>
      </c>
      <c r="I7" s="238">
        <f>IF($B7&gt;0,'원가항목별(집계)'!I$38*$P7/$P$17,0)</f>
        <v>28366197.183098592</v>
      </c>
      <c r="J7" s="217">
        <f>SUM(D7:I7)</f>
        <v>732966197.18309855</v>
      </c>
      <c r="K7" s="156">
        <f>IF(B7&gt;0,'원가항목별(집계)'!I$34*P7/P$17,0)</f>
        <v>285080281.69014084</v>
      </c>
      <c r="L7" s="156">
        <f>IF($B7&gt;0,'원가항목별(집계)'!I$39*$P7/$P$17,0)</f>
        <v>0</v>
      </c>
      <c r="M7" s="157">
        <f>단위장비1!H64+단위장비1!H65</f>
        <v>300000</v>
      </c>
      <c r="N7" s="158">
        <f>SUM(J7:M7)</f>
        <v>1018346478.8732394</v>
      </c>
      <c r="O7" s="159"/>
      <c r="P7" s="31">
        <f>D7+E7+F7+G7+H7+M7</f>
        <v>704900000</v>
      </c>
    </row>
    <row r="8" spans="1:16" s="31" customFormat="1" ht="25.5" customHeight="1">
      <c r="A8" s="160">
        <f t="shared" ref="A8:A16" si="0">IF(B8&gt;0,A7+1,"")</f>
        <v>2</v>
      </c>
      <c r="B8" s="161" t="str">
        <f>단위장비2!C$1</f>
        <v>T/HOUSING LINE</v>
      </c>
      <c r="C8" s="165" t="s">
        <v>142</v>
      </c>
      <c r="D8" s="239">
        <f>단위장비2!H69</f>
        <v>280900000</v>
      </c>
      <c r="E8" s="240">
        <f>단위장비2!H70</f>
        <v>0</v>
      </c>
      <c r="F8" s="240">
        <f>단위장비2!H71+단위장비2!H72+단위장비2!H73+단위장비2!H77</f>
        <v>12000000</v>
      </c>
      <c r="G8" s="240">
        <f>단위장비2!H74+단위장비2!H75</f>
        <v>0</v>
      </c>
      <c r="H8" s="240">
        <f>단위장비2!H76</f>
        <v>0</v>
      </c>
      <c r="I8" s="241">
        <f>IF($B8&gt;0,'원가항목별(집계)'!I$38*$P8/$P$17,0)</f>
        <v>11786720.321931589</v>
      </c>
      <c r="J8" s="218">
        <f>SUM(D8:I8)</f>
        <v>304686720.3219316</v>
      </c>
      <c r="K8" s="162">
        <f>IF(B8&gt;0,'원가항목별(집계)'!I$34*P8/P$17,0)</f>
        <v>118456539.23541248</v>
      </c>
      <c r="L8" s="162">
        <f>IF($B8&gt;0,'원가항목별(집계)'!I$39*$P8/$P$17,0)</f>
        <v>0</v>
      </c>
      <c r="M8" s="163">
        <f>단위장비2!H80+단위장비2!H81</f>
        <v>0</v>
      </c>
      <c r="N8" s="164">
        <f t="shared" ref="N8:N16" si="1">SUM(J8:M8)</f>
        <v>423143259.55734408</v>
      </c>
      <c r="O8" s="105"/>
      <c r="P8" s="31">
        <f t="shared" ref="P8:P16" si="2">D8+E8+F8+G8+H8+M8</f>
        <v>292900000</v>
      </c>
    </row>
    <row r="9" spans="1:16" s="31" customFormat="1" ht="25.5" customHeight="1">
      <c r="A9" s="160">
        <f t="shared" si="0"/>
        <v>3</v>
      </c>
      <c r="B9" s="161" t="str">
        <f>단위장비3!C$1</f>
        <v>D/SHAFT LINE</v>
      </c>
      <c r="C9" s="165" t="s">
        <v>140</v>
      </c>
      <c r="D9" s="239">
        <f>단위장비3!H56</f>
        <v>92200000</v>
      </c>
      <c r="E9" s="240">
        <f>단위장비3!H57</f>
        <v>0</v>
      </c>
      <c r="F9" s="240">
        <f>단위장비3!H58+단위장비3!H59+단위장비3!H60+단위장비3!H64</f>
        <v>12000000</v>
      </c>
      <c r="G9" s="240">
        <f>단위장비3!H61+단위장비3!H62</f>
        <v>0</v>
      </c>
      <c r="H9" s="240">
        <f>단위장비3!H63</f>
        <v>0</v>
      </c>
      <c r="I9" s="241">
        <f>IF($B9&gt;0,'원가항목별(집계)'!I$38*$P9/$P$17,0)</f>
        <v>4193158.953722334</v>
      </c>
      <c r="J9" s="218">
        <f t="shared" ref="J9:J14" si="3">SUM(D9:I9)</f>
        <v>108393158.95372233</v>
      </c>
      <c r="K9" s="162">
        <f>IF(B9&gt;0,'원가항목별(집계)'!I$34*P9/P$17,0)</f>
        <v>42141247.48490946</v>
      </c>
      <c r="L9" s="162">
        <f>IF($B9&gt;0,'원가항목별(집계)'!I$39*$P9/$P$17,0)</f>
        <v>0</v>
      </c>
      <c r="M9" s="163">
        <f>단위장비3!H67+단위장비3!H68</f>
        <v>0</v>
      </c>
      <c r="N9" s="164">
        <f t="shared" si="1"/>
        <v>150534406.43863177</v>
      </c>
      <c r="O9" s="105"/>
      <c r="P9" s="31">
        <f t="shared" si="2"/>
        <v>104200000</v>
      </c>
    </row>
    <row r="10" spans="1:16" s="31" customFormat="1" ht="25.5" customHeight="1">
      <c r="A10" s="160">
        <f t="shared" si="0"/>
        <v>4</v>
      </c>
      <c r="B10" s="161" t="str">
        <f>단위장비4!C1</f>
        <v>I/RACE LINE</v>
      </c>
      <c r="C10" s="165" t="s">
        <v>140</v>
      </c>
      <c r="D10" s="239">
        <f>단위장비4!H58</f>
        <v>128500000</v>
      </c>
      <c r="E10" s="240">
        <f>단위장비4!H59</f>
        <v>0</v>
      </c>
      <c r="F10" s="240">
        <f>단위장비4!H60+단위장비4!H61+단위장비4!H62+단위장비4!H66</f>
        <v>12000000</v>
      </c>
      <c r="G10" s="240">
        <f>단위장비4!H63+단위장비4!H64</f>
        <v>0</v>
      </c>
      <c r="H10" s="240">
        <f>단위장비4!H65</f>
        <v>0</v>
      </c>
      <c r="I10" s="241">
        <f>IF($B10&gt;0,'원가항목별(집계)'!I$38*$P10/$P$17,0)</f>
        <v>5653923.5412474852</v>
      </c>
      <c r="J10" s="218">
        <f t="shared" si="3"/>
        <v>146153923.54124749</v>
      </c>
      <c r="K10" s="162">
        <f>IF(B10&gt;0,'원가항목별(집계)'!I$34*P10/P$17,0)</f>
        <v>56821931.589537226</v>
      </c>
      <c r="L10" s="162">
        <f>IF($B10&gt;0,'원가항목별(집계)'!I$39*$P10/$P$17,0)</f>
        <v>0</v>
      </c>
      <c r="M10" s="163">
        <f>단위장비4!H69+단위장비4!H70</f>
        <v>0</v>
      </c>
      <c r="N10" s="164">
        <f t="shared" si="1"/>
        <v>202975855.13078472</v>
      </c>
      <c r="O10" s="105"/>
      <c r="P10" s="31">
        <f t="shared" si="2"/>
        <v>140500000</v>
      </c>
    </row>
    <row r="11" spans="1:16" s="31" customFormat="1" ht="25.5" customHeight="1">
      <c r="A11" s="160" t="str">
        <f t="shared" si="0"/>
        <v/>
      </c>
      <c r="B11" s="161">
        <f>단위장비5!C1</f>
        <v>0</v>
      </c>
      <c r="C11" s="165" t="s">
        <v>140</v>
      </c>
      <c r="D11" s="239">
        <f>단위장비5!H55</f>
        <v>0</v>
      </c>
      <c r="E11" s="240">
        <f>단위장비5!H56</f>
        <v>0</v>
      </c>
      <c r="F11" s="240">
        <f>단위장비5!H57+단위장비5!H58+단위장비5!H59+단위장비5!H63</f>
        <v>0</v>
      </c>
      <c r="G11" s="240">
        <f>단위장비5!H60+단위장비5!H61</f>
        <v>0</v>
      </c>
      <c r="H11" s="240">
        <f>단위장비5!H62</f>
        <v>0</v>
      </c>
      <c r="I11" s="241">
        <f>IF($B11&gt;0,'원가항목별(집계)'!I$38*$P11/$P$17,0)</f>
        <v>0</v>
      </c>
      <c r="J11" s="218">
        <f t="shared" si="3"/>
        <v>0</v>
      </c>
      <c r="K11" s="162">
        <f>IF(B11&gt;0,'원가항목별(집계)'!I$34*P11/P$17,0)</f>
        <v>0</v>
      </c>
      <c r="L11" s="162">
        <f>IF($B11&gt;0,'원가항목별(집계)'!I$39*$P11/$P$17,0)</f>
        <v>0</v>
      </c>
      <c r="M11" s="163">
        <f>단위장비5!H66+단위장비5!H67</f>
        <v>0</v>
      </c>
      <c r="N11" s="164">
        <f t="shared" si="1"/>
        <v>0</v>
      </c>
      <c r="O11" s="105"/>
      <c r="P11" s="31">
        <f t="shared" si="2"/>
        <v>0</v>
      </c>
    </row>
    <row r="12" spans="1:16" s="31" customFormat="1" ht="25.5" customHeight="1">
      <c r="A12" s="160" t="str">
        <f t="shared" si="0"/>
        <v/>
      </c>
      <c r="B12" s="161">
        <f>단위장비6!C$1</f>
        <v>0</v>
      </c>
      <c r="C12" s="165" t="s">
        <v>140</v>
      </c>
      <c r="D12" s="239">
        <f>단위장비6!H56</f>
        <v>0</v>
      </c>
      <c r="E12" s="240">
        <f>단위장비6!H57</f>
        <v>0</v>
      </c>
      <c r="F12" s="240">
        <f>단위장비6!H58+단위장비6!H59+단위장비6!H60+단위장비6!H64</f>
        <v>0</v>
      </c>
      <c r="G12" s="240">
        <f>단위장비6!H61+단위장비6!H62</f>
        <v>0</v>
      </c>
      <c r="H12" s="240">
        <f>단위장비6!H63</f>
        <v>0</v>
      </c>
      <c r="I12" s="241">
        <f>IF($B12&gt;0,'원가항목별(집계)'!I$38*$P12/$P$17,0)</f>
        <v>0</v>
      </c>
      <c r="J12" s="218">
        <f t="shared" si="3"/>
        <v>0</v>
      </c>
      <c r="K12" s="162">
        <f>IF(B12&gt;0,'원가항목별(집계)'!I$34*P12/P$17,0)</f>
        <v>0</v>
      </c>
      <c r="L12" s="162">
        <f>IF($B12&gt;0,'원가항목별(집계)'!I$39*$P12/$P$17,0)</f>
        <v>0</v>
      </c>
      <c r="M12" s="163">
        <f>단위장비6!H67+단위장비6!H68</f>
        <v>0</v>
      </c>
      <c r="N12" s="164">
        <f t="shared" si="1"/>
        <v>0</v>
      </c>
      <c r="O12" s="105"/>
      <c r="P12" s="31">
        <f t="shared" si="2"/>
        <v>0</v>
      </c>
    </row>
    <row r="13" spans="1:16" s="31" customFormat="1" ht="25.5" customHeight="1">
      <c r="A13" s="160" t="str">
        <f t="shared" si="0"/>
        <v/>
      </c>
      <c r="B13" s="161">
        <f>단위장비7!C$1</f>
        <v>0</v>
      </c>
      <c r="C13" s="165" t="s">
        <v>140</v>
      </c>
      <c r="D13" s="239">
        <f>단위장비7!H56</f>
        <v>0</v>
      </c>
      <c r="E13" s="240">
        <f>단위장비7!H57</f>
        <v>0</v>
      </c>
      <c r="F13" s="240">
        <f>단위장비7!H58+단위장비7!H59+단위장비7!H60+단위장비7!H64</f>
        <v>0</v>
      </c>
      <c r="G13" s="240">
        <f>단위장비7!H61+단위장비7!H62</f>
        <v>0</v>
      </c>
      <c r="H13" s="240">
        <f>단위장비7!H63</f>
        <v>0</v>
      </c>
      <c r="I13" s="241">
        <f>IF($B13&gt;0,'원가항목별(집계)'!I$38*$P13/$P$17,0)</f>
        <v>0</v>
      </c>
      <c r="J13" s="218">
        <f t="shared" si="3"/>
        <v>0</v>
      </c>
      <c r="K13" s="162">
        <f>IF(B13&gt;0,'원가항목별(집계)'!I$34*P13/P$17,0)</f>
        <v>0</v>
      </c>
      <c r="L13" s="162">
        <f>IF($B13&gt;0,'원가항목별(집계)'!I$39*$P13/$P$17,0)</f>
        <v>0</v>
      </c>
      <c r="M13" s="163">
        <f>단위장비7!H67+단위장비7!H68</f>
        <v>0</v>
      </c>
      <c r="N13" s="164">
        <f t="shared" si="1"/>
        <v>0</v>
      </c>
      <c r="O13" s="105"/>
      <c r="P13" s="31">
        <f t="shared" si="2"/>
        <v>0</v>
      </c>
    </row>
    <row r="14" spans="1:16" s="31" customFormat="1" ht="25.5" customHeight="1">
      <c r="A14" s="160" t="str">
        <f t="shared" si="0"/>
        <v/>
      </c>
      <c r="B14" s="161">
        <f>단위장비8!C$1</f>
        <v>0</v>
      </c>
      <c r="C14" s="165" t="s">
        <v>140</v>
      </c>
      <c r="D14" s="239">
        <f>단위장비8!H57</f>
        <v>0</v>
      </c>
      <c r="E14" s="240">
        <f>단위장비8!H57</f>
        <v>0</v>
      </c>
      <c r="F14" s="240">
        <f>단위장비8!H58+단위장비8!H59+단위장비8!H60+단위장비8!H64</f>
        <v>0</v>
      </c>
      <c r="G14" s="240"/>
      <c r="H14" s="240">
        <f>단위장비8!H63</f>
        <v>0</v>
      </c>
      <c r="I14" s="241">
        <f>IF($B14&gt;0,'원가항목별(집계)'!I$38*$P14/$P$17,0)</f>
        <v>0</v>
      </c>
      <c r="J14" s="218">
        <f t="shared" si="3"/>
        <v>0</v>
      </c>
      <c r="K14" s="162">
        <f>IF(B14&gt;0,'원가항목별(집계)'!I$34*P14/P$17,0)</f>
        <v>0</v>
      </c>
      <c r="L14" s="162">
        <f>IF($B14&gt;0,'원가항목별(집계)'!I$39*$P14/$P$17,0)</f>
        <v>0</v>
      </c>
      <c r="M14" s="163">
        <f>단위장비8!H67+단위장비8!H68</f>
        <v>0</v>
      </c>
      <c r="N14" s="164">
        <f t="shared" si="1"/>
        <v>0</v>
      </c>
      <c r="O14" s="105"/>
      <c r="P14" s="31">
        <f t="shared" si="2"/>
        <v>0</v>
      </c>
    </row>
    <row r="15" spans="1:16" s="67" customFormat="1" ht="25.5" customHeight="1">
      <c r="A15" s="165" t="str">
        <f t="shared" si="0"/>
        <v/>
      </c>
      <c r="B15" s="161">
        <f>단위장비9!C$1</f>
        <v>0</v>
      </c>
      <c r="C15" s="165" t="s">
        <v>140</v>
      </c>
      <c r="D15" s="239">
        <f>단위장비9!H57</f>
        <v>0</v>
      </c>
      <c r="E15" s="240">
        <f>단위장비9!H58</f>
        <v>0</v>
      </c>
      <c r="F15" s="240">
        <f>단위장비9!H59+단위장비9!H60+단위장비9!H61+단위장비9!H65</f>
        <v>0</v>
      </c>
      <c r="G15" s="240">
        <f>단위장비9!H62+단위장비9!H63</f>
        <v>0</v>
      </c>
      <c r="H15" s="240">
        <f>단위장비9!H64</f>
        <v>0</v>
      </c>
      <c r="I15" s="241">
        <f>IF($B15&gt;0,'원가항목별(집계)'!I$38*$P15/$P$17,0)</f>
        <v>0</v>
      </c>
      <c r="J15" s="218">
        <f>SUM(D15:I15)</f>
        <v>0</v>
      </c>
      <c r="K15" s="162">
        <f>IF(B15&gt;0,'원가항목별(집계)'!I$34*P15/P$17,0)</f>
        <v>0</v>
      </c>
      <c r="L15" s="162">
        <f>IF($B15&gt;0,'원가항목별(집계)'!I$39*$P15/$P$17,0)</f>
        <v>0</v>
      </c>
      <c r="M15" s="163">
        <f>단위장비9!H68+단위장비9!H69</f>
        <v>0</v>
      </c>
      <c r="N15" s="166">
        <f t="shared" si="1"/>
        <v>0</v>
      </c>
      <c r="O15" s="167"/>
      <c r="P15" s="67">
        <f t="shared" si="2"/>
        <v>0</v>
      </c>
    </row>
    <row r="16" spans="1:16" s="67" customFormat="1" ht="25.5" customHeight="1">
      <c r="A16" s="168" t="str">
        <f t="shared" si="0"/>
        <v/>
      </c>
      <c r="B16" s="169">
        <f>단위장비10!C$1</f>
        <v>0</v>
      </c>
      <c r="C16" s="168" t="s">
        <v>140</v>
      </c>
      <c r="D16" s="242">
        <f>단위장비10!H58</f>
        <v>0</v>
      </c>
      <c r="E16" s="243">
        <f>단위장비10!H59</f>
        <v>0</v>
      </c>
      <c r="F16" s="243">
        <f>단위장비10!H60+단위장비10!H61+단위장비10!H62+단위장비10!H66</f>
        <v>0</v>
      </c>
      <c r="G16" s="243">
        <f>단위장비10!H63+단위장비10!H64</f>
        <v>0</v>
      </c>
      <c r="H16" s="243">
        <f>단위장비10!H65</f>
        <v>0</v>
      </c>
      <c r="I16" s="244">
        <f>IF($B16&gt;0,'원가항목별(집계)'!I$38*$P16/$P$17,0)</f>
        <v>0</v>
      </c>
      <c r="J16" s="219">
        <f>SUM(D16:I16)</f>
        <v>0</v>
      </c>
      <c r="K16" s="170">
        <f>IF(B16&gt;0,'원가항목별(집계)'!I$34*P16/P$17,0)</f>
        <v>0</v>
      </c>
      <c r="L16" s="170">
        <f>IF($B16&gt;0,'원가항목별(집계)'!I$39*$P16/$P$17,0)</f>
        <v>0</v>
      </c>
      <c r="M16" s="171">
        <f>단위장비10!H69+단위장비10!H70</f>
        <v>0</v>
      </c>
      <c r="N16" s="172">
        <f t="shared" si="1"/>
        <v>0</v>
      </c>
      <c r="O16" s="173"/>
      <c r="P16" s="67">
        <f t="shared" si="2"/>
        <v>0</v>
      </c>
    </row>
    <row r="17" spans="1:16" s="31" customFormat="1" ht="33" customHeight="1">
      <c r="A17" s="545" t="s">
        <v>145</v>
      </c>
      <c r="B17" s="546"/>
      <c r="C17" s="547"/>
      <c r="D17" s="245">
        <f t="shared" ref="D17:I17" si="4">SUM(D7:D16)</f>
        <v>1052400000</v>
      </c>
      <c r="E17" s="246">
        <f t="shared" si="4"/>
        <v>0</v>
      </c>
      <c r="F17" s="246">
        <f t="shared" si="4"/>
        <v>146200000</v>
      </c>
      <c r="G17" s="246">
        <f t="shared" si="4"/>
        <v>40000000</v>
      </c>
      <c r="H17" s="246">
        <f t="shared" si="4"/>
        <v>3600000</v>
      </c>
      <c r="I17" s="247">
        <f t="shared" si="4"/>
        <v>50000000.000000007</v>
      </c>
      <c r="J17" s="252">
        <f>SUM(D17:I17)</f>
        <v>1292200000</v>
      </c>
      <c r="K17" s="253">
        <f>SUM(K7:K16)</f>
        <v>502500000</v>
      </c>
      <c r="L17" s="254">
        <f>SUM(L7:L16)</f>
        <v>0</v>
      </c>
      <c r="M17" s="255">
        <f>SUM(M7:M16)</f>
        <v>300000</v>
      </c>
      <c r="N17" s="256">
        <f>SUM(N7:N16)</f>
        <v>1795000000</v>
      </c>
      <c r="O17" s="62"/>
      <c r="P17" s="31">
        <f>SUM(P7:P16)</f>
        <v>1242500000</v>
      </c>
    </row>
    <row r="18" spans="1:16" s="229" customFormat="1" ht="18.75" customHeight="1">
      <c r="A18" s="220"/>
      <c r="B18" s="221"/>
      <c r="C18" s="222"/>
      <c r="D18" s="248">
        <f t="shared" ref="D18:N18" si="5">IF(D17=0,"",D17/$N17)</f>
        <v>0.58629526462395543</v>
      </c>
      <c r="E18" s="249" t="str">
        <f t="shared" si="5"/>
        <v/>
      </c>
      <c r="F18" s="249">
        <f t="shared" si="5"/>
        <v>8.1448467966573818E-2</v>
      </c>
      <c r="G18" s="249">
        <f t="shared" si="5"/>
        <v>2.2284122562674095E-2</v>
      </c>
      <c r="H18" s="249">
        <f t="shared" si="5"/>
        <v>2.0055710306406687E-3</v>
      </c>
      <c r="I18" s="250">
        <f t="shared" si="5"/>
        <v>2.7855153203342621E-2</v>
      </c>
      <c r="J18" s="224">
        <f t="shared" si="5"/>
        <v>0.71988857938718664</v>
      </c>
      <c r="K18" s="225">
        <f t="shared" si="5"/>
        <v>0.27994428969359331</v>
      </c>
      <c r="L18" s="223" t="str">
        <f t="shared" si="5"/>
        <v/>
      </c>
      <c r="M18" s="226">
        <f t="shared" si="5"/>
        <v>1.6713091922005571E-4</v>
      </c>
      <c r="N18" s="227">
        <f t="shared" si="5"/>
        <v>1</v>
      </c>
      <c r="O18" s="228"/>
    </row>
    <row r="19" spans="1:16" ht="28.5" customHeight="1">
      <c r="A19" s="28" t="s">
        <v>101</v>
      </c>
      <c r="H19" s="138"/>
      <c r="I19" s="138"/>
      <c r="J19" s="138"/>
      <c r="K19" s="138"/>
      <c r="L19" s="138"/>
    </row>
    <row r="20" spans="1:16" ht="17.25" customHeight="1">
      <c r="H20" s="135"/>
      <c r="I20" s="135"/>
      <c r="J20" s="135"/>
      <c r="K20" s="135"/>
      <c r="L20" s="135"/>
      <c r="M20" s="129"/>
      <c r="N20" s="149" t="str">
        <f>IF('원가항목별(집계)'!I42='단위공사별(집계)'!N17,"","DATA오류입니다!")</f>
        <v/>
      </c>
    </row>
    <row r="21" spans="1:16" ht="17.25" customHeight="1">
      <c r="H21" s="136"/>
      <c r="I21" s="136"/>
      <c r="J21" s="136"/>
      <c r="K21" s="136"/>
      <c r="L21" s="136"/>
      <c r="N21" s="136"/>
    </row>
    <row r="22" spans="1:16" ht="17.25" customHeight="1">
      <c r="H22" s="31"/>
      <c r="I22" s="31"/>
      <c r="J22" s="31"/>
      <c r="L22" s="31"/>
    </row>
  </sheetData>
  <mergeCells count="2">
    <mergeCell ref="A17:C17"/>
    <mergeCell ref="D4:J4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  <pageSetUpPr fitToPage="1"/>
  </sheetPr>
  <dimension ref="A1:K68"/>
  <sheetViews>
    <sheetView zoomScale="85" workbookViewId="0">
      <pane xSplit="3" ySplit="2" topLeftCell="D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3" style="28" customWidth="1"/>
    <col min="3" max="3" width="23.625" style="28" customWidth="1"/>
    <col min="4" max="4" width="18.25" style="28" customWidth="1"/>
    <col min="5" max="5" width="5.25" style="29" bestFit="1" customWidth="1"/>
    <col min="6" max="6" width="6.75" style="298" customWidth="1"/>
    <col min="7" max="7" width="11.875" style="31" customWidth="1"/>
    <col min="8" max="8" width="13.625" style="31" customWidth="1"/>
    <col min="9" max="9" width="12.75" style="28" customWidth="1"/>
    <col min="10" max="10" width="9.25" style="28" customWidth="1"/>
    <col min="11" max="11" width="11.5" style="28" bestFit="1" customWidth="1"/>
    <col min="12" max="16384" width="9" style="28"/>
  </cols>
  <sheetData>
    <row r="1" spans="1:9" ht="22.5" customHeight="1">
      <c r="B1" s="103" t="s">
        <v>83</v>
      </c>
      <c r="C1" s="148" t="s">
        <v>257</v>
      </c>
      <c r="D1" s="65"/>
      <c r="E1" s="299"/>
      <c r="F1" s="288"/>
      <c r="G1" s="67"/>
      <c r="I1" s="28" t="s">
        <v>84</v>
      </c>
    </row>
    <row r="2" spans="1:9" s="29" customFormat="1" ht="16.5" customHeight="1">
      <c r="A2" s="471" t="s">
        <v>31</v>
      </c>
      <c r="B2" s="551"/>
      <c r="C2" s="125" t="s">
        <v>44</v>
      </c>
      <c r="D2" s="126" t="s">
        <v>32</v>
      </c>
      <c r="E2" s="126" t="s">
        <v>33</v>
      </c>
      <c r="F2" s="54" t="s">
        <v>34</v>
      </c>
      <c r="G2" s="54" t="s">
        <v>35</v>
      </c>
      <c r="H2" s="54" t="s">
        <v>36</v>
      </c>
      <c r="I2" s="126" t="s">
        <v>46</v>
      </c>
    </row>
    <row r="3" spans="1:9" ht="15.95" customHeight="1">
      <c r="A3" s="554" t="s">
        <v>77</v>
      </c>
      <c r="B3" s="104" t="s">
        <v>37</v>
      </c>
      <c r="C3" s="121" t="s">
        <v>258</v>
      </c>
      <c r="D3" s="121"/>
      <c r="E3" s="300" t="s">
        <v>218</v>
      </c>
      <c r="F3" s="289">
        <v>13</v>
      </c>
      <c r="G3" s="122">
        <v>2500000</v>
      </c>
      <c r="H3" s="123">
        <f t="shared" ref="H3:H8" si="0">IF(F3=0,G3,G3*F3)</f>
        <v>32500000</v>
      </c>
      <c r="I3" s="124"/>
    </row>
    <row r="4" spans="1:9" ht="15.95" customHeight="1">
      <c r="A4" s="555"/>
      <c r="B4" s="104"/>
      <c r="C4" s="70" t="s">
        <v>259</v>
      </c>
      <c r="D4" s="121"/>
      <c r="E4" s="300" t="s">
        <v>260</v>
      </c>
      <c r="F4" s="289">
        <v>13</v>
      </c>
      <c r="G4" s="122">
        <v>500000</v>
      </c>
      <c r="H4" s="105">
        <f t="shared" si="0"/>
        <v>6500000</v>
      </c>
      <c r="I4" s="72"/>
    </row>
    <row r="5" spans="1:9" ht="15.95" customHeight="1">
      <c r="A5" s="555"/>
      <c r="B5" s="104"/>
      <c r="C5" s="70" t="s">
        <v>261</v>
      </c>
      <c r="D5" s="121"/>
      <c r="E5" s="300" t="s">
        <v>216</v>
      </c>
      <c r="F5" s="289">
        <v>42</v>
      </c>
      <c r="G5" s="122">
        <v>500000</v>
      </c>
      <c r="H5" s="105">
        <f t="shared" si="0"/>
        <v>21000000</v>
      </c>
      <c r="I5" s="72"/>
    </row>
    <row r="6" spans="1:9" ht="15.95" customHeight="1">
      <c r="A6" s="555"/>
      <c r="B6" s="104"/>
      <c r="C6" s="70" t="s">
        <v>262</v>
      </c>
      <c r="D6" s="121"/>
      <c r="E6" s="300" t="s">
        <v>208</v>
      </c>
      <c r="F6" s="289">
        <v>2</v>
      </c>
      <c r="G6" s="122">
        <v>2500000</v>
      </c>
      <c r="H6" s="105">
        <f t="shared" si="0"/>
        <v>5000000</v>
      </c>
      <c r="I6" s="72"/>
    </row>
    <row r="7" spans="1:9" ht="15.95" customHeight="1">
      <c r="A7" s="555"/>
      <c r="B7" s="104"/>
      <c r="C7" s="70"/>
      <c r="D7" s="70"/>
      <c r="E7" s="301"/>
      <c r="F7" s="290"/>
      <c r="G7" s="71"/>
      <c r="H7" s="105">
        <f t="shared" si="0"/>
        <v>0</v>
      </c>
      <c r="I7" s="72"/>
    </row>
    <row r="8" spans="1:9" ht="15.95" customHeight="1">
      <c r="A8" s="555"/>
      <c r="B8" s="104"/>
      <c r="C8" s="118"/>
      <c r="D8" s="118"/>
      <c r="E8" s="302"/>
      <c r="F8" s="291"/>
      <c r="G8" s="119"/>
      <c r="H8" s="105">
        <f t="shared" si="0"/>
        <v>0</v>
      </c>
      <c r="I8" s="73"/>
    </row>
    <row r="9" spans="1:9" ht="15.95" customHeight="1">
      <c r="A9" s="555"/>
      <c r="B9" s="74"/>
      <c r="C9" s="107"/>
      <c r="D9" s="97"/>
      <c r="E9" s="125"/>
      <c r="F9" s="292"/>
      <c r="G9" s="40"/>
      <c r="H9" s="30">
        <f>SUM(H3:H8)</f>
        <v>65000000</v>
      </c>
      <c r="I9" s="76"/>
    </row>
    <row r="10" spans="1:9" ht="15.95" customHeight="1">
      <c r="A10" s="555"/>
      <c r="B10" s="270" t="s">
        <v>150</v>
      </c>
      <c r="C10" s="116"/>
      <c r="D10" s="116"/>
      <c r="E10" s="297"/>
      <c r="F10" s="293"/>
      <c r="G10" s="117"/>
      <c r="H10" s="109">
        <f t="shared" ref="H10:H21" si="1">IF(F10=0,G10,G10*F10)</f>
        <v>0</v>
      </c>
      <c r="I10" s="77"/>
    </row>
    <row r="11" spans="1:9" ht="15.95" customHeight="1">
      <c r="A11" s="555"/>
      <c r="B11" s="271" t="s">
        <v>151</v>
      </c>
      <c r="C11" s="70"/>
      <c r="D11" s="70"/>
      <c r="E11" s="301"/>
      <c r="F11" s="290"/>
      <c r="G11" s="71"/>
      <c r="H11" s="105">
        <f t="shared" si="1"/>
        <v>0</v>
      </c>
      <c r="I11" s="72"/>
    </row>
    <row r="12" spans="1:9" ht="15.95" customHeight="1">
      <c r="A12" s="555"/>
      <c r="B12" s="271" t="s">
        <v>149</v>
      </c>
      <c r="C12" s="70"/>
      <c r="D12" s="70"/>
      <c r="E12" s="301"/>
      <c r="F12" s="290"/>
      <c r="G12" s="71"/>
      <c r="H12" s="105">
        <f t="shared" si="1"/>
        <v>0</v>
      </c>
      <c r="I12" s="72"/>
    </row>
    <row r="13" spans="1:9" ht="15.95" customHeight="1">
      <c r="A13" s="555"/>
      <c r="B13" s="104"/>
      <c r="C13" s="70"/>
      <c r="D13" s="70"/>
      <c r="E13" s="301"/>
      <c r="F13" s="290"/>
      <c r="G13" s="71"/>
      <c r="H13" s="105">
        <f t="shared" si="1"/>
        <v>0</v>
      </c>
      <c r="I13" s="72"/>
    </row>
    <row r="14" spans="1:9" ht="15.95" customHeight="1">
      <c r="A14" s="555"/>
      <c r="B14" s="104"/>
      <c r="C14" s="70"/>
      <c r="D14" s="70"/>
      <c r="E14" s="301"/>
      <c r="F14" s="290"/>
      <c r="G14" s="71"/>
      <c r="H14" s="105">
        <f t="shared" si="1"/>
        <v>0</v>
      </c>
      <c r="I14" s="72"/>
    </row>
    <row r="15" spans="1:9" ht="15.95" customHeight="1">
      <c r="A15" s="555"/>
      <c r="B15" s="104"/>
      <c r="C15" s="118" t="s">
        <v>47</v>
      </c>
      <c r="D15" s="261"/>
      <c r="E15" s="302" t="s">
        <v>172</v>
      </c>
      <c r="F15" s="294"/>
      <c r="G15" s="262"/>
      <c r="H15" s="263">
        <f t="shared" si="1"/>
        <v>0</v>
      </c>
      <c r="I15" s="264"/>
    </row>
    <row r="16" spans="1:9" ht="15.95" customHeight="1">
      <c r="A16" s="555"/>
      <c r="B16" s="104"/>
      <c r="C16" s="265"/>
      <c r="D16" s="266"/>
      <c r="E16" s="303"/>
      <c r="F16" s="295"/>
      <c r="G16" s="268"/>
      <c r="H16" s="269">
        <f>SUM(H10:H15)</f>
        <v>0</v>
      </c>
      <c r="I16" s="267"/>
    </row>
    <row r="17" spans="1:9" ht="15.95" customHeight="1">
      <c r="A17" s="555"/>
      <c r="B17" s="108" t="s">
        <v>40</v>
      </c>
      <c r="C17" s="310" t="s">
        <v>263</v>
      </c>
      <c r="D17" s="310"/>
      <c r="E17" s="311" t="s">
        <v>264</v>
      </c>
      <c r="F17" s="312">
        <v>1</v>
      </c>
      <c r="G17" s="313">
        <v>60000000</v>
      </c>
      <c r="H17" s="109">
        <f>IF(F17=0,G17,G17*F17)</f>
        <v>60000000</v>
      </c>
      <c r="I17" s="77"/>
    </row>
    <row r="18" spans="1:9" ht="15.95" customHeight="1">
      <c r="A18" s="555"/>
      <c r="B18" s="104"/>
      <c r="C18" s="314" t="s">
        <v>265</v>
      </c>
      <c r="D18" s="314"/>
      <c r="E18" s="315" t="s">
        <v>266</v>
      </c>
      <c r="F18" s="316">
        <v>1</v>
      </c>
      <c r="G18" s="317">
        <v>100000000</v>
      </c>
      <c r="H18" s="105">
        <f t="shared" si="1"/>
        <v>100000000</v>
      </c>
      <c r="I18" s="72"/>
    </row>
    <row r="19" spans="1:9" ht="15.95" customHeight="1">
      <c r="A19" s="555"/>
      <c r="B19" s="104"/>
      <c r="C19" s="314" t="s">
        <v>268</v>
      </c>
      <c r="D19" s="314"/>
      <c r="E19" s="315" t="s">
        <v>267</v>
      </c>
      <c r="F19" s="316">
        <v>1</v>
      </c>
      <c r="G19" s="317">
        <v>13000000</v>
      </c>
      <c r="H19" s="105">
        <f t="shared" si="1"/>
        <v>13000000</v>
      </c>
      <c r="I19" s="72"/>
    </row>
    <row r="20" spans="1:9" ht="15.95" customHeight="1">
      <c r="A20" s="555"/>
      <c r="B20" s="104"/>
      <c r="C20" s="314" t="s">
        <v>269</v>
      </c>
      <c r="D20" s="318" t="s">
        <v>270</v>
      </c>
      <c r="E20" s="315" t="s">
        <v>208</v>
      </c>
      <c r="F20" s="316">
        <v>1</v>
      </c>
      <c r="G20" s="317">
        <v>6000000</v>
      </c>
      <c r="H20" s="105">
        <f t="shared" si="1"/>
        <v>6000000</v>
      </c>
      <c r="I20" s="72"/>
    </row>
    <row r="21" spans="1:9" ht="15.95" customHeight="1">
      <c r="A21" s="555"/>
      <c r="B21" s="104"/>
      <c r="C21" s="314" t="s">
        <v>269</v>
      </c>
      <c r="D21" s="318" t="s">
        <v>271</v>
      </c>
      <c r="E21" s="315" t="s">
        <v>216</v>
      </c>
      <c r="F21" s="316">
        <v>1</v>
      </c>
      <c r="G21" s="317">
        <v>7000000</v>
      </c>
      <c r="H21" s="105">
        <f t="shared" si="1"/>
        <v>7000000</v>
      </c>
      <c r="I21" s="72"/>
    </row>
    <row r="22" spans="1:9" ht="15.95" customHeight="1">
      <c r="A22" s="555"/>
      <c r="B22" s="104"/>
      <c r="C22" s="314" t="s">
        <v>272</v>
      </c>
      <c r="D22" s="314"/>
      <c r="E22" s="315" t="s">
        <v>208</v>
      </c>
      <c r="F22" s="316">
        <v>2</v>
      </c>
      <c r="G22" s="317">
        <v>7000000</v>
      </c>
      <c r="H22" s="105">
        <f t="shared" ref="H22:H30" si="2">IF(F22=0,G22,G22*F22)</f>
        <v>14000000</v>
      </c>
      <c r="I22" s="72"/>
    </row>
    <row r="23" spans="1:9" ht="15.95" customHeight="1">
      <c r="A23" s="555"/>
      <c r="B23" s="104"/>
      <c r="C23" s="314"/>
      <c r="D23" s="314"/>
      <c r="E23" s="315"/>
      <c r="F23" s="316"/>
      <c r="G23" s="317"/>
      <c r="H23" s="105">
        <f t="shared" si="2"/>
        <v>0</v>
      </c>
      <c r="I23" s="72"/>
    </row>
    <row r="24" spans="1:9" ht="15.95" customHeight="1">
      <c r="A24" s="555"/>
      <c r="B24" s="104"/>
      <c r="C24" s="319"/>
      <c r="D24" s="319"/>
      <c r="E24" s="320"/>
      <c r="F24" s="321"/>
      <c r="G24" s="322"/>
      <c r="H24" s="105">
        <f t="shared" si="2"/>
        <v>0</v>
      </c>
      <c r="I24" s="72"/>
    </row>
    <row r="25" spans="1:9" ht="15.95" customHeight="1">
      <c r="A25" s="555"/>
      <c r="B25" s="104"/>
      <c r="C25" s="323"/>
      <c r="D25" s="323"/>
      <c r="E25" s="315"/>
      <c r="F25" s="324"/>
      <c r="G25" s="325"/>
      <c r="H25" s="105">
        <f t="shared" si="2"/>
        <v>0</v>
      </c>
      <c r="I25" s="72"/>
    </row>
    <row r="26" spans="1:9" ht="15.95" customHeight="1">
      <c r="A26" s="555"/>
      <c r="B26" s="104"/>
      <c r="C26" s="323"/>
      <c r="D26" s="323"/>
      <c r="E26" s="315"/>
      <c r="F26" s="324"/>
      <c r="G26" s="325"/>
      <c r="H26" s="105">
        <f t="shared" si="2"/>
        <v>0</v>
      </c>
      <c r="I26" s="72"/>
    </row>
    <row r="27" spans="1:9" ht="15.95" customHeight="1">
      <c r="A27" s="555"/>
      <c r="B27" s="104"/>
      <c r="C27" s="314"/>
      <c r="D27" s="323"/>
      <c r="E27" s="315"/>
      <c r="F27" s="324"/>
      <c r="G27" s="325"/>
      <c r="H27" s="105">
        <f t="shared" si="2"/>
        <v>0</v>
      </c>
      <c r="I27" s="72"/>
    </row>
    <row r="28" spans="1:9" ht="15.95" customHeight="1">
      <c r="A28" s="555"/>
      <c r="B28" s="104"/>
      <c r="C28" s="319"/>
      <c r="D28" s="323"/>
      <c r="E28" s="320"/>
      <c r="F28" s="326"/>
      <c r="G28" s="327"/>
      <c r="H28" s="105">
        <f t="shared" si="2"/>
        <v>0</v>
      </c>
      <c r="I28" s="72"/>
    </row>
    <row r="29" spans="1:9" ht="15.95" customHeight="1">
      <c r="A29" s="555"/>
      <c r="B29" s="104"/>
      <c r="C29" s="319"/>
      <c r="D29" s="323"/>
      <c r="E29" s="320"/>
      <c r="F29" s="326"/>
      <c r="G29" s="327"/>
      <c r="H29" s="105">
        <f t="shared" si="2"/>
        <v>0</v>
      </c>
      <c r="I29" s="72"/>
    </row>
    <row r="30" spans="1:9" ht="15.95" customHeight="1">
      <c r="A30" s="555"/>
      <c r="B30" s="104"/>
      <c r="C30" s="319"/>
      <c r="D30" s="323"/>
      <c r="E30" s="320"/>
      <c r="F30" s="326"/>
      <c r="G30" s="327"/>
      <c r="H30" s="105">
        <f t="shared" si="2"/>
        <v>0</v>
      </c>
      <c r="I30" s="72"/>
    </row>
    <row r="31" spans="1:9" ht="15.95" customHeight="1">
      <c r="A31" s="555"/>
      <c r="B31" s="104"/>
      <c r="C31" s="319"/>
      <c r="D31" s="323"/>
      <c r="E31" s="320"/>
      <c r="F31" s="326"/>
      <c r="G31" s="327"/>
      <c r="H31" s="105">
        <f t="shared" ref="H31:H41" si="3">IF(F31=0,G31,G31*F31)</f>
        <v>0</v>
      </c>
      <c r="I31" s="72"/>
    </row>
    <row r="32" spans="1:9" ht="15.95" customHeight="1">
      <c r="A32" s="555"/>
      <c r="B32" s="104"/>
      <c r="C32" s="323"/>
      <c r="D32" s="323"/>
      <c r="E32" s="315"/>
      <c r="F32" s="324"/>
      <c r="G32" s="325"/>
      <c r="H32" s="105">
        <f t="shared" si="3"/>
        <v>0</v>
      </c>
      <c r="I32" s="72"/>
    </row>
    <row r="33" spans="1:9" ht="15.95" customHeight="1">
      <c r="A33" s="555"/>
      <c r="B33" s="104"/>
      <c r="C33" s="323"/>
      <c r="D33" s="323"/>
      <c r="E33" s="315"/>
      <c r="F33" s="324"/>
      <c r="G33" s="325"/>
      <c r="H33" s="105">
        <f t="shared" si="3"/>
        <v>0</v>
      </c>
      <c r="I33" s="72"/>
    </row>
    <row r="34" spans="1:9" ht="15.95" customHeight="1">
      <c r="A34" s="555"/>
      <c r="B34" s="104"/>
      <c r="C34" s="323"/>
      <c r="D34" s="323"/>
      <c r="E34" s="315"/>
      <c r="F34" s="324"/>
      <c r="G34" s="325"/>
      <c r="H34" s="105">
        <f t="shared" si="3"/>
        <v>0</v>
      </c>
      <c r="I34" s="72"/>
    </row>
    <row r="35" spans="1:9" ht="15.95" customHeight="1">
      <c r="A35" s="555"/>
      <c r="B35" s="104"/>
      <c r="C35" s="314"/>
      <c r="D35" s="314"/>
      <c r="E35" s="315"/>
      <c r="F35" s="316"/>
      <c r="G35" s="317"/>
      <c r="H35" s="105">
        <f t="shared" si="3"/>
        <v>0</v>
      </c>
      <c r="I35" s="72"/>
    </row>
    <row r="36" spans="1:9" ht="15.95" customHeight="1">
      <c r="A36" s="555"/>
      <c r="B36" s="104"/>
      <c r="C36" s="314"/>
      <c r="D36" s="314"/>
      <c r="E36" s="315"/>
      <c r="F36" s="328"/>
      <c r="G36" s="329"/>
      <c r="H36" s="105">
        <f t="shared" si="3"/>
        <v>0</v>
      </c>
      <c r="I36" s="72"/>
    </row>
    <row r="37" spans="1:9" ht="15.95" customHeight="1">
      <c r="A37" s="555"/>
      <c r="B37" s="104"/>
      <c r="C37" s="70"/>
      <c r="D37" s="70"/>
      <c r="E37" s="301"/>
      <c r="F37" s="290"/>
      <c r="G37" s="71"/>
      <c r="H37" s="105">
        <f t="shared" si="3"/>
        <v>0</v>
      </c>
      <c r="I37" s="72"/>
    </row>
    <row r="38" spans="1:9" ht="15.95" customHeight="1">
      <c r="A38" s="555"/>
      <c r="B38" s="104"/>
      <c r="C38" s="70"/>
      <c r="D38" s="70"/>
      <c r="E38" s="301"/>
      <c r="F38" s="290"/>
      <c r="G38" s="71"/>
      <c r="H38" s="105">
        <f t="shared" si="3"/>
        <v>0</v>
      </c>
      <c r="I38" s="72"/>
    </row>
    <row r="39" spans="1:9" ht="15.95" customHeight="1">
      <c r="A39" s="555"/>
      <c r="B39" s="104"/>
      <c r="C39" s="70"/>
      <c r="D39" s="70"/>
      <c r="E39" s="301"/>
      <c r="F39" s="290"/>
      <c r="G39" s="71"/>
      <c r="H39" s="105">
        <f t="shared" si="3"/>
        <v>0</v>
      </c>
      <c r="I39" s="72"/>
    </row>
    <row r="40" spans="1:9" ht="15.95" customHeight="1">
      <c r="A40" s="555"/>
      <c r="B40" s="104"/>
      <c r="C40" s="70"/>
      <c r="D40" s="70"/>
      <c r="E40" s="301"/>
      <c r="F40" s="290"/>
      <c r="G40" s="71"/>
      <c r="H40" s="105">
        <f t="shared" si="3"/>
        <v>0</v>
      </c>
      <c r="I40" s="72"/>
    </row>
    <row r="41" spans="1:9" ht="15.95" customHeight="1">
      <c r="A41" s="555"/>
      <c r="B41" s="104"/>
      <c r="C41" s="70"/>
      <c r="D41" s="70"/>
      <c r="E41" s="301"/>
      <c r="F41" s="290"/>
      <c r="G41" s="71"/>
      <c r="H41" s="105">
        <f t="shared" si="3"/>
        <v>0</v>
      </c>
      <c r="I41" s="72"/>
    </row>
    <row r="42" spans="1:9" ht="15.95" customHeight="1">
      <c r="A42" s="555"/>
      <c r="B42" s="104"/>
      <c r="C42" s="70"/>
      <c r="D42" s="70"/>
      <c r="E42" s="301"/>
      <c r="F42" s="290"/>
      <c r="G42" s="71"/>
      <c r="H42" s="105">
        <f t="shared" ref="H42:H53" si="4">IF(F42=0,G42,G42*F42)</f>
        <v>0</v>
      </c>
      <c r="I42" s="72"/>
    </row>
    <row r="43" spans="1:9" ht="15.95" customHeight="1">
      <c r="A43" s="555"/>
      <c r="B43" s="104"/>
      <c r="C43" s="70"/>
      <c r="D43" s="70"/>
      <c r="E43" s="301"/>
      <c r="F43" s="290"/>
      <c r="G43" s="71"/>
      <c r="H43" s="105">
        <f t="shared" si="4"/>
        <v>0</v>
      </c>
      <c r="I43" s="72"/>
    </row>
    <row r="44" spans="1:9" ht="15.95" customHeight="1">
      <c r="A44" s="555"/>
      <c r="B44" s="104"/>
      <c r="C44" s="70"/>
      <c r="D44" s="70"/>
      <c r="E44" s="301"/>
      <c r="F44" s="290"/>
      <c r="G44" s="71"/>
      <c r="H44" s="105">
        <f t="shared" si="4"/>
        <v>0</v>
      </c>
      <c r="I44" s="72"/>
    </row>
    <row r="45" spans="1:9" ht="15.95" customHeight="1">
      <c r="A45" s="555"/>
      <c r="B45" s="104"/>
      <c r="C45" s="70"/>
      <c r="D45" s="70"/>
      <c r="E45" s="301"/>
      <c r="F45" s="290"/>
      <c r="G45" s="71"/>
      <c r="H45" s="105">
        <f t="shared" si="4"/>
        <v>0</v>
      </c>
      <c r="I45" s="72"/>
    </row>
    <row r="46" spans="1:9" ht="15.95" customHeight="1">
      <c r="A46" s="555"/>
      <c r="B46" s="104"/>
      <c r="C46" s="70"/>
      <c r="D46" s="70"/>
      <c r="E46" s="301"/>
      <c r="F46" s="290"/>
      <c r="G46" s="71"/>
      <c r="H46" s="105">
        <f t="shared" si="4"/>
        <v>0</v>
      </c>
      <c r="I46" s="72"/>
    </row>
    <row r="47" spans="1:9" ht="15.95" customHeight="1">
      <c r="A47" s="555"/>
      <c r="B47" s="104"/>
      <c r="C47" s="70"/>
      <c r="D47" s="70"/>
      <c r="E47" s="301"/>
      <c r="F47" s="290"/>
      <c r="G47" s="71"/>
      <c r="H47" s="105">
        <f t="shared" si="4"/>
        <v>0</v>
      </c>
      <c r="I47" s="72"/>
    </row>
    <row r="48" spans="1:9" ht="15.95" customHeight="1">
      <c r="A48" s="555"/>
      <c r="B48" s="104"/>
      <c r="C48" s="70"/>
      <c r="D48" s="70"/>
      <c r="E48" s="301"/>
      <c r="F48" s="290"/>
      <c r="G48" s="71"/>
      <c r="H48" s="105">
        <f t="shared" si="4"/>
        <v>0</v>
      </c>
      <c r="I48" s="72"/>
    </row>
    <row r="49" spans="1:9" ht="15.95" customHeight="1">
      <c r="A49" s="555"/>
      <c r="B49" s="104"/>
      <c r="C49" s="70"/>
      <c r="D49" s="70"/>
      <c r="E49" s="301"/>
      <c r="F49" s="290"/>
      <c r="G49" s="71"/>
      <c r="H49" s="105">
        <f t="shared" si="4"/>
        <v>0</v>
      </c>
      <c r="I49" s="72"/>
    </row>
    <row r="50" spans="1:9" ht="15.95" customHeight="1">
      <c r="A50" s="555"/>
      <c r="B50" s="104"/>
      <c r="C50" s="70"/>
      <c r="D50" s="70"/>
      <c r="E50" s="301"/>
      <c r="F50" s="290"/>
      <c r="G50" s="71"/>
      <c r="H50" s="105">
        <f t="shared" si="4"/>
        <v>0</v>
      </c>
      <c r="I50" s="72"/>
    </row>
    <row r="51" spans="1:9" ht="15.95" customHeight="1">
      <c r="A51" s="555"/>
      <c r="B51" s="104"/>
      <c r="C51" s="70"/>
      <c r="D51" s="70"/>
      <c r="E51" s="301"/>
      <c r="F51" s="290"/>
      <c r="G51" s="71"/>
      <c r="H51" s="105">
        <f t="shared" si="4"/>
        <v>0</v>
      </c>
      <c r="I51" s="72"/>
    </row>
    <row r="52" spans="1:9" ht="15.95" customHeight="1">
      <c r="A52" s="555"/>
      <c r="B52" s="104"/>
      <c r="C52" s="70"/>
      <c r="D52" s="70"/>
      <c r="E52" s="301"/>
      <c r="F52" s="290"/>
      <c r="G52" s="71"/>
      <c r="H52" s="105">
        <f t="shared" si="4"/>
        <v>0</v>
      </c>
      <c r="I52" s="72"/>
    </row>
    <row r="53" spans="1:9" ht="15.95" customHeight="1">
      <c r="A53" s="555"/>
      <c r="B53" s="104"/>
      <c r="C53" s="118"/>
      <c r="D53" s="118"/>
      <c r="E53" s="302"/>
      <c r="F53" s="291"/>
      <c r="G53" s="119"/>
      <c r="H53" s="110">
        <f t="shared" si="4"/>
        <v>0</v>
      </c>
      <c r="I53" s="73"/>
    </row>
    <row r="54" spans="1:9" ht="15.95" customHeight="1">
      <c r="A54" s="555"/>
      <c r="B54" s="74"/>
      <c r="C54" s="107"/>
      <c r="D54" s="97"/>
      <c r="E54" s="125"/>
      <c r="F54" s="292"/>
      <c r="G54" s="40"/>
      <c r="H54" s="30">
        <f>SUM(H17:H53)</f>
        <v>200000000</v>
      </c>
      <c r="I54" s="76"/>
    </row>
    <row r="55" spans="1:9" ht="15.95" customHeight="1">
      <c r="A55" s="78"/>
      <c r="B55" s="102" t="s">
        <v>42</v>
      </c>
      <c r="C55" s="75"/>
      <c r="D55" s="76"/>
      <c r="E55" s="126"/>
      <c r="F55" s="106"/>
      <c r="G55" s="56"/>
      <c r="H55" s="30">
        <f>SUM(H54,H9,H16)</f>
        <v>265000000</v>
      </c>
      <c r="I55" s="76"/>
    </row>
    <row r="56" spans="1:9" ht="15.95" customHeight="1">
      <c r="A56" s="552" t="s">
        <v>72</v>
      </c>
      <c r="B56" s="141" t="s">
        <v>273</v>
      </c>
      <c r="C56" s="75"/>
      <c r="D56" s="79"/>
      <c r="E56" s="304" t="s">
        <v>51</v>
      </c>
      <c r="F56" s="296">
        <v>90</v>
      </c>
      <c r="G56" s="287">
        <v>300000</v>
      </c>
      <c r="H56" s="53">
        <f t="shared" ref="H56:H62" si="5">F56*G56</f>
        <v>27000000</v>
      </c>
      <c r="I56" s="76"/>
    </row>
    <row r="57" spans="1:9" ht="15.95" customHeight="1">
      <c r="A57" s="553"/>
      <c r="B57" s="142" t="s">
        <v>174</v>
      </c>
      <c r="C57" s="145"/>
      <c r="D57" s="80"/>
      <c r="E57" s="305" t="s">
        <v>279</v>
      </c>
      <c r="F57" s="297">
        <v>1</v>
      </c>
      <c r="G57" s="117">
        <v>97000000</v>
      </c>
      <c r="H57" s="109">
        <f t="shared" si="5"/>
        <v>97000000</v>
      </c>
      <c r="I57" s="77" t="s">
        <v>274</v>
      </c>
    </row>
    <row r="58" spans="1:9" ht="15.95" customHeight="1">
      <c r="A58" s="553"/>
      <c r="B58" s="143" t="s">
        <v>102</v>
      </c>
      <c r="C58" s="146" t="s">
        <v>277</v>
      </c>
      <c r="D58" s="81"/>
      <c r="E58" s="306" t="s">
        <v>50</v>
      </c>
      <c r="F58" s="289">
        <v>50</v>
      </c>
      <c r="G58" s="71">
        <v>300000</v>
      </c>
      <c r="H58" s="105">
        <f t="shared" si="5"/>
        <v>15000000</v>
      </c>
      <c r="I58" s="72"/>
    </row>
    <row r="59" spans="1:9" ht="15.95" customHeight="1">
      <c r="A59" s="553"/>
      <c r="B59" s="143" t="s">
        <v>103</v>
      </c>
      <c r="C59" s="146"/>
      <c r="D59" s="81"/>
      <c r="E59" s="306" t="s">
        <v>50</v>
      </c>
      <c r="F59" s="290">
        <v>120</v>
      </c>
      <c r="G59" s="71">
        <v>300000</v>
      </c>
      <c r="H59" s="105">
        <f>F59*G59</f>
        <v>36000000</v>
      </c>
      <c r="I59" s="72"/>
    </row>
    <row r="60" spans="1:9" ht="15.95" customHeight="1">
      <c r="A60" s="553"/>
      <c r="B60" s="143" t="s">
        <v>104</v>
      </c>
      <c r="C60" s="146"/>
      <c r="D60" s="81"/>
      <c r="E60" s="306" t="s">
        <v>50</v>
      </c>
      <c r="F60" s="290">
        <v>50</v>
      </c>
      <c r="G60" s="71">
        <v>400000</v>
      </c>
      <c r="H60" s="105">
        <f t="shared" si="5"/>
        <v>20000000</v>
      </c>
      <c r="I60" s="72"/>
    </row>
    <row r="61" spans="1:9" ht="15.95" customHeight="1">
      <c r="A61" s="553"/>
      <c r="B61" s="143" t="s">
        <v>105</v>
      </c>
      <c r="C61" s="146" t="s">
        <v>278</v>
      </c>
      <c r="D61" s="81"/>
      <c r="E61" s="306" t="s">
        <v>279</v>
      </c>
      <c r="F61" s="294">
        <v>1</v>
      </c>
      <c r="G61" s="262">
        <v>38000000</v>
      </c>
      <c r="H61" s="105">
        <f t="shared" si="5"/>
        <v>38000000</v>
      </c>
      <c r="I61" s="72"/>
    </row>
    <row r="62" spans="1:9" ht="15.95" customHeight="1">
      <c r="A62" s="553"/>
      <c r="B62" s="144" t="s">
        <v>106</v>
      </c>
      <c r="C62" s="147"/>
      <c r="D62" s="82"/>
      <c r="E62" s="307" t="s">
        <v>50</v>
      </c>
      <c r="F62" s="291">
        <v>9</v>
      </c>
      <c r="G62" s="119">
        <v>500000</v>
      </c>
      <c r="H62" s="110">
        <f t="shared" si="5"/>
        <v>4500000</v>
      </c>
      <c r="I62" s="73"/>
    </row>
    <row r="63" spans="1:9" ht="15.95" customHeight="1">
      <c r="A63" s="78"/>
      <c r="B63" s="101" t="s">
        <v>41</v>
      </c>
      <c r="C63" s="75"/>
      <c r="D63" s="76"/>
      <c r="E63" s="126"/>
      <c r="F63" s="292"/>
      <c r="G63" s="40"/>
      <c r="H63" s="30">
        <f>SUM(H56:H62)</f>
        <v>237500000</v>
      </c>
      <c r="I63" s="76"/>
    </row>
    <row r="64" spans="1:9" ht="15.95" customHeight="1">
      <c r="A64" s="52"/>
      <c r="B64" s="101" t="s">
        <v>48</v>
      </c>
      <c r="C64" s="75"/>
      <c r="D64" s="76"/>
      <c r="E64" s="126"/>
      <c r="F64" s="54"/>
      <c r="G64" s="150" t="s">
        <v>78</v>
      </c>
      <c r="H64" s="56">
        <v>0</v>
      </c>
      <c r="I64" s="76"/>
    </row>
    <row r="65" spans="1:11" ht="15.95" customHeight="1">
      <c r="A65" s="52"/>
      <c r="B65" s="101" t="s">
        <v>25</v>
      </c>
      <c r="C65" s="75"/>
      <c r="D65" s="76"/>
      <c r="E65" s="126"/>
      <c r="F65" s="54"/>
      <c r="G65" s="55"/>
      <c r="H65" s="120"/>
      <c r="I65" s="75"/>
    </row>
    <row r="66" spans="1:11" ht="15.95" customHeight="1">
      <c r="A66" s="52"/>
      <c r="B66" s="101" t="s">
        <v>146</v>
      </c>
      <c r="C66" s="75"/>
      <c r="D66" s="76"/>
      <c r="E66" s="126"/>
      <c r="F66" s="54"/>
      <c r="G66" s="55"/>
      <c r="H66" s="120"/>
      <c r="I66" s="75"/>
    </row>
    <row r="67" spans="1:11" ht="15.95" customHeight="1">
      <c r="A67" s="52"/>
      <c r="B67" s="101" t="s">
        <v>147</v>
      </c>
      <c r="C67" s="75"/>
      <c r="D67" s="76"/>
      <c r="E67" s="126"/>
      <c r="F67" s="54"/>
      <c r="G67" s="30"/>
      <c r="H67" s="40">
        <f>H55+H63+H64+H65+H66</f>
        <v>502500000</v>
      </c>
      <c r="I67" s="76"/>
      <c r="K67" s="31"/>
    </row>
    <row r="68" spans="1:11">
      <c r="A68" s="29"/>
    </row>
  </sheetData>
  <mergeCells count="3">
    <mergeCell ref="A2:B2"/>
    <mergeCell ref="A56:A62"/>
    <mergeCell ref="A3:A5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72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  <pageSetUpPr fitToPage="1"/>
  </sheetPr>
  <dimension ref="A1:K67"/>
  <sheetViews>
    <sheetView zoomScale="85" zoomScaleNormal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0" width="9" style="28"/>
    <col min="11" max="11" width="10" style="28" bestFit="1" customWidth="1"/>
    <col min="12" max="16384" width="9" style="28"/>
  </cols>
  <sheetData>
    <row r="1" spans="1:11" ht="22.5" customHeight="1">
      <c r="B1" s="103" t="s">
        <v>79</v>
      </c>
      <c r="C1" s="151" t="s">
        <v>198</v>
      </c>
      <c r="D1" s="65"/>
      <c r="E1" s="65"/>
      <c r="F1" s="66"/>
      <c r="G1" s="67"/>
      <c r="I1" s="28" t="s">
        <v>82</v>
      </c>
      <c r="K1" s="127"/>
    </row>
    <row r="2" spans="1:11" s="29" customFormat="1" ht="16.5" customHeight="1">
      <c r="A2" s="471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11" ht="15.95" customHeight="1">
      <c r="A3" s="554" t="s">
        <v>81</v>
      </c>
      <c r="B3" s="104" t="s">
        <v>37</v>
      </c>
      <c r="C3" s="70" t="s">
        <v>234</v>
      </c>
      <c r="D3" s="333"/>
      <c r="E3" s="301" t="s">
        <v>208</v>
      </c>
      <c r="F3" s="290">
        <v>1</v>
      </c>
      <c r="G3" s="71">
        <v>40000000</v>
      </c>
      <c r="H3" s="105">
        <f>IF(F3=0,G3,G3*F3)</f>
        <v>40000000</v>
      </c>
      <c r="I3" s="330"/>
    </row>
    <row r="4" spans="1:11" ht="15.95" customHeight="1">
      <c r="A4" s="556"/>
      <c r="B4" s="104"/>
      <c r="C4" s="384"/>
      <c r="D4" s="384"/>
      <c r="E4" s="387"/>
      <c r="F4" s="388"/>
      <c r="G4" s="385"/>
      <c r="H4" s="105">
        <f>F4*G4</f>
        <v>0</v>
      </c>
      <c r="I4" s="72"/>
    </row>
    <row r="5" spans="1:11" ht="15.95" customHeight="1">
      <c r="A5" s="556"/>
      <c r="B5" s="104"/>
      <c r="C5" s="335"/>
      <c r="D5" s="335"/>
      <c r="E5" s="333"/>
      <c r="F5" s="334"/>
      <c r="G5" s="351"/>
      <c r="H5" s="105">
        <f>F5*G5</f>
        <v>0</v>
      </c>
      <c r="I5" s="124"/>
    </row>
    <row r="6" spans="1:11" ht="15.95" customHeight="1">
      <c r="A6" s="556"/>
      <c r="B6" s="104"/>
      <c r="C6" s="335"/>
      <c r="D6" s="335"/>
      <c r="E6" s="333"/>
      <c r="F6" s="334"/>
      <c r="G6" s="351"/>
      <c r="H6" s="105">
        <f>F6*G6</f>
        <v>0</v>
      </c>
      <c r="I6" s="72"/>
    </row>
    <row r="7" spans="1:11" ht="15.95" customHeight="1">
      <c r="A7" s="556"/>
      <c r="B7" s="104"/>
      <c r="C7" s="335"/>
      <c r="D7" s="335"/>
      <c r="E7" s="333"/>
      <c r="F7" s="334"/>
      <c r="G7" s="351"/>
      <c r="H7" s="105">
        <f>F7*G7</f>
        <v>0</v>
      </c>
      <c r="I7" s="72"/>
    </row>
    <row r="8" spans="1:11" ht="15.95" customHeight="1">
      <c r="A8" s="556"/>
      <c r="B8" s="104"/>
      <c r="C8" s="70"/>
      <c r="D8" s="70"/>
      <c r="E8" s="70"/>
      <c r="F8" s="71"/>
      <c r="G8" s="71"/>
      <c r="H8" s="105">
        <f t="shared" ref="H8:H37" si="0">IF(F8=0,G8,G8*F8)</f>
        <v>0</v>
      </c>
      <c r="I8" s="72"/>
    </row>
    <row r="9" spans="1:11" ht="15.95" customHeight="1">
      <c r="A9" s="556"/>
      <c r="B9" s="104"/>
      <c r="C9" s="118"/>
      <c r="D9" s="302"/>
      <c r="E9" s="302"/>
      <c r="F9" s="291"/>
      <c r="G9" s="119"/>
      <c r="H9" s="263">
        <f t="shared" si="0"/>
        <v>0</v>
      </c>
      <c r="I9" s="264"/>
    </row>
    <row r="10" spans="1:11" ht="15.95" customHeight="1">
      <c r="A10" s="556"/>
      <c r="B10" s="74"/>
      <c r="C10" s="267"/>
      <c r="D10" s="267"/>
      <c r="E10" s="267"/>
      <c r="F10" s="268"/>
      <c r="G10" s="268"/>
      <c r="H10" s="269">
        <f>SUM(H3:H9)</f>
        <v>40000000</v>
      </c>
      <c r="I10" s="267"/>
    </row>
    <row r="11" spans="1:11" ht="15.95" customHeight="1">
      <c r="A11" s="556"/>
      <c r="B11" s="104" t="s">
        <v>154</v>
      </c>
      <c r="C11" s="121"/>
      <c r="D11" s="121"/>
      <c r="E11" s="300"/>
      <c r="F11" s="289"/>
      <c r="G11" s="122"/>
      <c r="H11" s="123">
        <f t="shared" si="0"/>
        <v>0</v>
      </c>
      <c r="I11" s="124"/>
    </row>
    <row r="12" spans="1:11" ht="15.95" customHeight="1">
      <c r="A12" s="556"/>
      <c r="B12" s="104" t="s">
        <v>155</v>
      </c>
      <c r="C12" s="70"/>
      <c r="D12" s="70"/>
      <c r="E12" s="70"/>
      <c r="F12" s="290"/>
      <c r="G12" s="71"/>
      <c r="H12" s="105">
        <f t="shared" si="0"/>
        <v>0</v>
      </c>
      <c r="I12" s="72"/>
    </row>
    <row r="13" spans="1:11" ht="15.95" customHeight="1">
      <c r="A13" s="556"/>
      <c r="B13" s="104"/>
      <c r="C13" s="70"/>
      <c r="D13" s="70"/>
      <c r="E13" s="70"/>
      <c r="F13" s="290"/>
      <c r="G13" s="71"/>
      <c r="H13" s="105">
        <f t="shared" si="0"/>
        <v>0</v>
      </c>
      <c r="I13" s="72"/>
    </row>
    <row r="14" spans="1:11" ht="15.95" customHeight="1">
      <c r="A14" s="556"/>
      <c r="B14" s="104"/>
      <c r="C14" s="70"/>
      <c r="D14" s="70"/>
      <c r="E14" s="70"/>
      <c r="F14" s="290"/>
      <c r="G14" s="71"/>
      <c r="H14" s="105">
        <f t="shared" si="0"/>
        <v>0</v>
      </c>
      <c r="I14" s="72"/>
    </row>
    <row r="15" spans="1:11" ht="15.95" customHeight="1">
      <c r="A15" s="556"/>
      <c r="B15" s="104"/>
      <c r="C15" s="118"/>
      <c r="D15" s="118"/>
      <c r="E15" s="302"/>
      <c r="F15" s="291"/>
      <c r="G15" s="119"/>
      <c r="H15" s="105">
        <f t="shared" si="0"/>
        <v>0</v>
      </c>
      <c r="I15" s="73"/>
    </row>
    <row r="16" spans="1:11" ht="15.95" customHeight="1">
      <c r="A16" s="556"/>
      <c r="B16" s="74"/>
      <c r="C16" s="107"/>
      <c r="D16" s="97"/>
      <c r="E16" s="97"/>
      <c r="F16" s="152"/>
      <c r="G16" s="40"/>
      <c r="H16" s="30">
        <f>SUM(H11:H15)</f>
        <v>0</v>
      </c>
      <c r="I16" s="76"/>
    </row>
    <row r="17" spans="1:9" ht="15.95" customHeight="1">
      <c r="A17" s="556"/>
      <c r="B17" s="108" t="s">
        <v>38</v>
      </c>
      <c r="C17" s="335" t="s">
        <v>224</v>
      </c>
      <c r="D17" s="335" t="s">
        <v>222</v>
      </c>
      <c r="E17" s="333" t="s">
        <v>204</v>
      </c>
      <c r="F17" s="389">
        <v>3</v>
      </c>
      <c r="G17" s="351">
        <v>5000000</v>
      </c>
      <c r="H17" s="62">
        <f t="shared" si="0"/>
        <v>15000000</v>
      </c>
      <c r="I17" s="77" t="s">
        <v>223</v>
      </c>
    </row>
    <row r="18" spans="1:9" ht="15.95" customHeight="1">
      <c r="A18" s="556"/>
      <c r="B18" s="104" t="s">
        <v>45</v>
      </c>
      <c r="C18" s="335" t="s">
        <v>225</v>
      </c>
      <c r="D18" s="335"/>
      <c r="E18" s="333" t="s">
        <v>216</v>
      </c>
      <c r="F18" s="389">
        <v>1</v>
      </c>
      <c r="G18" s="351">
        <v>12500000</v>
      </c>
      <c r="H18" s="105">
        <f t="shared" si="0"/>
        <v>12500000</v>
      </c>
      <c r="I18" s="348"/>
    </row>
    <row r="19" spans="1:9" ht="15.95" customHeight="1">
      <c r="A19" s="556"/>
      <c r="B19" s="104"/>
      <c r="C19" s="335"/>
      <c r="D19" s="335"/>
      <c r="E19" s="333"/>
      <c r="F19" s="389"/>
      <c r="G19" s="351"/>
      <c r="H19" s="105">
        <f t="shared" si="0"/>
        <v>0</v>
      </c>
      <c r="I19" s="348"/>
    </row>
    <row r="20" spans="1:9" ht="15.95" customHeight="1">
      <c r="A20" s="556"/>
      <c r="B20" s="104"/>
      <c r="C20" s="335"/>
      <c r="D20" s="335"/>
      <c r="E20" s="333"/>
      <c r="F20" s="389"/>
      <c r="G20" s="351"/>
      <c r="H20" s="105">
        <f t="shared" si="0"/>
        <v>0</v>
      </c>
      <c r="I20" s="348"/>
    </row>
    <row r="21" spans="1:9" ht="15.95" customHeight="1">
      <c r="A21" s="556"/>
      <c r="B21" s="104"/>
      <c r="C21" s="335"/>
      <c r="D21" s="335"/>
      <c r="E21" s="333"/>
      <c r="F21" s="389"/>
      <c r="G21" s="351"/>
      <c r="H21" s="105">
        <f t="shared" si="0"/>
        <v>0</v>
      </c>
      <c r="I21" s="348"/>
    </row>
    <row r="22" spans="1:9" ht="15.95" customHeight="1">
      <c r="A22" s="556"/>
      <c r="B22" s="104"/>
      <c r="C22" s="335"/>
      <c r="D22" s="335"/>
      <c r="E22" s="333"/>
      <c r="F22" s="389"/>
      <c r="G22" s="351"/>
      <c r="H22" s="105">
        <f t="shared" si="0"/>
        <v>0</v>
      </c>
      <c r="I22" s="348"/>
    </row>
    <row r="23" spans="1:9" ht="15.95" customHeight="1">
      <c r="A23" s="556"/>
      <c r="B23" s="104"/>
      <c r="C23" s="70"/>
      <c r="D23" s="335"/>
      <c r="E23" s="333"/>
      <c r="F23" s="334"/>
      <c r="G23" s="71"/>
      <c r="H23" s="105">
        <f t="shared" si="0"/>
        <v>0</v>
      </c>
      <c r="I23" s="72"/>
    </row>
    <row r="24" spans="1:9" ht="15.95" customHeight="1">
      <c r="A24" s="556"/>
      <c r="B24" s="104"/>
      <c r="C24" s="70"/>
      <c r="D24" s="335"/>
      <c r="E24" s="333"/>
      <c r="F24" s="334"/>
      <c r="G24" s="71"/>
      <c r="H24" s="105">
        <f t="shared" si="0"/>
        <v>0</v>
      </c>
      <c r="I24" s="72"/>
    </row>
    <row r="25" spans="1:9" ht="15.95" customHeight="1">
      <c r="A25" s="556"/>
      <c r="B25" s="104"/>
      <c r="C25" s="70"/>
      <c r="D25" s="335"/>
      <c r="E25" s="333"/>
      <c r="F25" s="334"/>
      <c r="G25" s="71"/>
      <c r="H25" s="105">
        <f t="shared" si="0"/>
        <v>0</v>
      </c>
      <c r="I25" s="72"/>
    </row>
    <row r="26" spans="1:9" ht="15.95" customHeight="1">
      <c r="A26" s="556"/>
      <c r="B26" s="104"/>
      <c r="C26" s="70"/>
      <c r="D26" s="335"/>
      <c r="E26" s="333"/>
      <c r="F26" s="334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335"/>
      <c r="E27" s="333"/>
      <c r="F27" s="334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335"/>
      <c r="E28" s="333"/>
      <c r="F28" s="334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70"/>
      <c r="D29" s="335"/>
      <c r="E29" s="333"/>
      <c r="F29" s="334"/>
      <c r="G29" s="71"/>
      <c r="H29" s="105">
        <f t="shared" si="0"/>
        <v>0</v>
      </c>
      <c r="I29" s="72"/>
    </row>
    <row r="30" spans="1:9" ht="15.95" customHeight="1">
      <c r="A30" s="556"/>
      <c r="B30" s="104"/>
      <c r="C30" s="70"/>
      <c r="D30" s="335"/>
      <c r="E30" s="333"/>
      <c r="F30" s="334"/>
      <c r="G30" s="71"/>
      <c r="H30" s="105">
        <f t="shared" si="0"/>
        <v>0</v>
      </c>
      <c r="I30" s="72"/>
    </row>
    <row r="31" spans="1:9" ht="15.95" customHeight="1">
      <c r="A31" s="556"/>
      <c r="B31" s="104"/>
      <c r="C31" s="118"/>
      <c r="D31" s="118"/>
      <c r="E31" s="302"/>
      <c r="F31" s="291"/>
      <c r="G31" s="119"/>
      <c r="H31" s="263">
        <f t="shared" si="0"/>
        <v>0</v>
      </c>
      <c r="I31" s="264"/>
    </row>
    <row r="32" spans="1:9" ht="15.95" customHeight="1">
      <c r="A32" s="556"/>
      <c r="B32" s="74"/>
      <c r="C32" s="75"/>
      <c r="D32" s="76"/>
      <c r="E32" s="76"/>
      <c r="F32" s="30"/>
      <c r="G32" s="30"/>
      <c r="H32" s="30">
        <f>SUM(H17:H31)</f>
        <v>27500000</v>
      </c>
      <c r="I32" s="76"/>
    </row>
    <row r="33" spans="1:9" ht="15.95" customHeight="1">
      <c r="A33" s="556"/>
      <c r="B33" s="108" t="s">
        <v>39</v>
      </c>
      <c r="C33" s="70" t="s">
        <v>202</v>
      </c>
      <c r="D33" s="333" t="s">
        <v>203</v>
      </c>
      <c r="E33" s="333" t="s">
        <v>204</v>
      </c>
      <c r="F33" s="334">
        <v>2</v>
      </c>
      <c r="G33" s="71">
        <v>28500000</v>
      </c>
      <c r="H33" s="105">
        <f t="shared" si="0"/>
        <v>57000000</v>
      </c>
      <c r="I33" s="77"/>
    </row>
    <row r="34" spans="1:9" ht="15.95" customHeight="1">
      <c r="A34" s="556"/>
      <c r="B34" s="104"/>
      <c r="C34" s="70" t="s">
        <v>205</v>
      </c>
      <c r="D34" s="333" t="s">
        <v>207</v>
      </c>
      <c r="E34" s="333" t="s">
        <v>208</v>
      </c>
      <c r="F34" s="334">
        <v>1</v>
      </c>
      <c r="G34" s="71">
        <v>32100000</v>
      </c>
      <c r="H34" s="105">
        <f t="shared" si="0"/>
        <v>32100000</v>
      </c>
      <c r="I34" s="72"/>
    </row>
    <row r="35" spans="1:9" ht="15.95" customHeight="1">
      <c r="A35" s="556"/>
      <c r="B35" s="104"/>
      <c r="C35" s="70" t="s">
        <v>206</v>
      </c>
      <c r="D35" s="333" t="s">
        <v>207</v>
      </c>
      <c r="E35" s="333" t="s">
        <v>208</v>
      </c>
      <c r="F35" s="334">
        <v>1</v>
      </c>
      <c r="G35" s="71">
        <v>38800000</v>
      </c>
      <c r="H35" s="105">
        <f t="shared" ref="H35" si="1">IF(F35=0,G35,G35*F35)</f>
        <v>38800000</v>
      </c>
      <c r="I35" s="72"/>
    </row>
    <row r="36" spans="1:9" ht="15.95" customHeight="1">
      <c r="A36" s="556"/>
      <c r="B36" s="104"/>
      <c r="C36" s="70" t="s">
        <v>209</v>
      </c>
      <c r="D36" s="70"/>
      <c r="E36" s="301" t="s">
        <v>208</v>
      </c>
      <c r="F36" s="290">
        <v>2</v>
      </c>
      <c r="G36" s="71">
        <v>12700000</v>
      </c>
      <c r="H36" s="105">
        <f t="shared" si="0"/>
        <v>25400000</v>
      </c>
      <c r="I36" s="72"/>
    </row>
    <row r="37" spans="1:9" ht="15.95" customHeight="1">
      <c r="A37" s="556"/>
      <c r="B37" s="104"/>
      <c r="C37" s="70" t="s">
        <v>210</v>
      </c>
      <c r="D37" s="333" t="s">
        <v>212</v>
      </c>
      <c r="E37" s="301" t="s">
        <v>208</v>
      </c>
      <c r="F37" s="334">
        <v>1</v>
      </c>
      <c r="G37" s="71">
        <v>10000000</v>
      </c>
      <c r="H37" s="105">
        <f t="shared" si="0"/>
        <v>10000000</v>
      </c>
      <c r="I37" s="72"/>
    </row>
    <row r="38" spans="1:9" ht="15.95" customHeight="1">
      <c r="A38" s="556"/>
      <c r="B38" s="104"/>
      <c r="C38" s="70" t="s">
        <v>211</v>
      </c>
      <c r="D38" s="333" t="s">
        <v>213</v>
      </c>
      <c r="E38" s="301" t="s">
        <v>208</v>
      </c>
      <c r="F38" s="334">
        <v>3</v>
      </c>
      <c r="G38" s="71">
        <v>11800000</v>
      </c>
      <c r="H38" s="105">
        <f t="shared" ref="H38:H51" si="2">IF(F38=0,G38,G38*F38)</f>
        <v>35400000</v>
      </c>
      <c r="I38" s="72"/>
    </row>
    <row r="39" spans="1:9" ht="15.95" customHeight="1">
      <c r="A39" s="556"/>
      <c r="B39" s="104"/>
      <c r="C39" s="70" t="s">
        <v>210</v>
      </c>
      <c r="D39" s="333" t="s">
        <v>214</v>
      </c>
      <c r="E39" s="301" t="s">
        <v>208</v>
      </c>
      <c r="F39" s="334">
        <v>2</v>
      </c>
      <c r="G39" s="71">
        <v>15400000</v>
      </c>
      <c r="H39" s="105">
        <f t="shared" si="2"/>
        <v>30800000</v>
      </c>
      <c r="I39" s="72"/>
    </row>
    <row r="40" spans="1:9" ht="15.95" customHeight="1">
      <c r="A40" s="556"/>
      <c r="B40" s="104"/>
      <c r="C40" s="70" t="s">
        <v>210</v>
      </c>
      <c r="D40" s="333" t="s">
        <v>215</v>
      </c>
      <c r="E40" s="333" t="s">
        <v>216</v>
      </c>
      <c r="F40" s="334">
        <v>1</v>
      </c>
      <c r="G40" s="71">
        <v>16000000</v>
      </c>
      <c r="H40" s="105">
        <f t="shared" si="2"/>
        <v>16000000</v>
      </c>
      <c r="I40" s="72"/>
    </row>
    <row r="41" spans="1:9" ht="15.95" customHeight="1">
      <c r="A41" s="556"/>
      <c r="B41" s="104"/>
      <c r="C41" s="70" t="s">
        <v>217</v>
      </c>
      <c r="D41" s="333"/>
      <c r="E41" s="333" t="s">
        <v>218</v>
      </c>
      <c r="F41" s="334">
        <v>18</v>
      </c>
      <c r="G41" s="71">
        <v>1300000</v>
      </c>
      <c r="H41" s="105">
        <f t="shared" si="2"/>
        <v>23400000</v>
      </c>
      <c r="I41" s="72"/>
    </row>
    <row r="42" spans="1:9" ht="15.95" customHeight="1">
      <c r="A42" s="556"/>
      <c r="B42" s="104"/>
      <c r="C42" s="70" t="s">
        <v>219</v>
      </c>
      <c r="D42" s="333"/>
      <c r="E42" s="333" t="s">
        <v>218</v>
      </c>
      <c r="F42" s="334">
        <v>4</v>
      </c>
      <c r="G42" s="71">
        <v>1500000</v>
      </c>
      <c r="H42" s="105">
        <f t="shared" si="2"/>
        <v>6000000</v>
      </c>
      <c r="I42" s="72"/>
    </row>
    <row r="43" spans="1:9" ht="15.95" customHeight="1">
      <c r="A43" s="556"/>
      <c r="B43" s="104"/>
      <c r="C43" s="70" t="s">
        <v>220</v>
      </c>
      <c r="D43" s="333" t="s">
        <v>221</v>
      </c>
      <c r="E43" s="333" t="s">
        <v>218</v>
      </c>
      <c r="F43" s="334">
        <v>2</v>
      </c>
      <c r="G43" s="71">
        <v>2000000</v>
      </c>
      <c r="H43" s="105">
        <f t="shared" si="2"/>
        <v>4000000</v>
      </c>
      <c r="I43" s="72"/>
    </row>
    <row r="44" spans="1:9" ht="15.95" customHeight="1">
      <c r="A44" s="556"/>
      <c r="B44" s="104"/>
      <c r="C44" s="70" t="s">
        <v>226</v>
      </c>
      <c r="D44" s="333" t="s">
        <v>227</v>
      </c>
      <c r="E44" s="333" t="s">
        <v>204</v>
      </c>
      <c r="F44" s="334">
        <v>1</v>
      </c>
      <c r="G44" s="71">
        <v>4000000</v>
      </c>
      <c r="H44" s="105">
        <f t="shared" si="2"/>
        <v>4000000</v>
      </c>
      <c r="I44" s="72"/>
    </row>
    <row r="45" spans="1:9" ht="15.95" customHeight="1">
      <c r="A45" s="556"/>
      <c r="B45" s="104"/>
      <c r="C45" s="70" t="s">
        <v>228</v>
      </c>
      <c r="D45" s="333"/>
      <c r="E45" s="333" t="s">
        <v>216</v>
      </c>
      <c r="F45" s="334">
        <v>1</v>
      </c>
      <c r="G45" s="71">
        <v>21200000</v>
      </c>
      <c r="H45" s="105">
        <f t="shared" si="2"/>
        <v>21200000</v>
      </c>
      <c r="I45" s="72"/>
    </row>
    <row r="46" spans="1:9" ht="15.95" customHeight="1">
      <c r="A46" s="556"/>
      <c r="B46" s="104"/>
      <c r="C46" s="70" t="s">
        <v>229</v>
      </c>
      <c r="D46" s="333"/>
      <c r="E46" s="333" t="s">
        <v>208</v>
      </c>
      <c r="F46" s="334">
        <v>1</v>
      </c>
      <c r="G46" s="71">
        <v>85000000</v>
      </c>
      <c r="H46" s="105">
        <f t="shared" si="2"/>
        <v>85000000</v>
      </c>
      <c r="I46" s="72"/>
    </row>
    <row r="47" spans="1:9" ht="15.95" customHeight="1">
      <c r="A47" s="556"/>
      <c r="B47" s="104"/>
      <c r="C47" s="70" t="s">
        <v>230</v>
      </c>
      <c r="D47" s="333"/>
      <c r="E47" s="333" t="s">
        <v>216</v>
      </c>
      <c r="F47" s="334">
        <v>1</v>
      </c>
      <c r="G47" s="71">
        <v>1500000</v>
      </c>
      <c r="H47" s="105">
        <f t="shared" si="2"/>
        <v>1500000</v>
      </c>
      <c r="I47" s="72"/>
    </row>
    <row r="48" spans="1:9" ht="15.95" customHeight="1">
      <c r="A48" s="556"/>
      <c r="B48" s="104"/>
      <c r="C48" s="70" t="s">
        <v>231</v>
      </c>
      <c r="D48" s="333" t="s">
        <v>232</v>
      </c>
      <c r="E48" s="333" t="s">
        <v>204</v>
      </c>
      <c r="F48" s="334">
        <v>1</v>
      </c>
      <c r="G48" s="71">
        <v>40700000</v>
      </c>
      <c r="H48" s="105">
        <f t="shared" si="2"/>
        <v>40700000</v>
      </c>
      <c r="I48" s="72"/>
    </row>
    <row r="49" spans="1:9" ht="15.95" customHeight="1">
      <c r="A49" s="556"/>
      <c r="B49" s="104"/>
      <c r="C49" s="70" t="s">
        <v>231</v>
      </c>
      <c r="D49" s="333"/>
      <c r="E49" s="333" t="s">
        <v>218</v>
      </c>
      <c r="F49" s="334">
        <v>1</v>
      </c>
      <c r="G49" s="71">
        <v>28000000</v>
      </c>
      <c r="H49" s="105">
        <f t="shared" si="2"/>
        <v>28000000</v>
      </c>
      <c r="I49" s="72"/>
    </row>
    <row r="50" spans="1:9" ht="15.95" customHeight="1">
      <c r="A50" s="556"/>
      <c r="B50" s="104"/>
      <c r="C50" s="70" t="s">
        <v>233</v>
      </c>
      <c r="D50" s="333"/>
      <c r="E50" s="333" t="s">
        <v>208</v>
      </c>
      <c r="F50" s="334">
        <v>1</v>
      </c>
      <c r="G50" s="71">
        <v>24000000</v>
      </c>
      <c r="H50" s="105">
        <f t="shared" si="2"/>
        <v>24000000</v>
      </c>
      <c r="I50" s="72"/>
    </row>
    <row r="51" spans="1:9" ht="15.95" customHeight="1">
      <c r="A51" s="556"/>
      <c r="B51" s="104"/>
      <c r="C51" s="70"/>
      <c r="D51" s="333"/>
      <c r="E51" s="333"/>
      <c r="F51" s="334"/>
      <c r="G51" s="71"/>
      <c r="H51" s="105">
        <f t="shared" si="2"/>
        <v>0</v>
      </c>
      <c r="I51" s="72"/>
    </row>
    <row r="52" spans="1:9" ht="15.95" customHeight="1">
      <c r="A52" s="556"/>
      <c r="B52" s="74"/>
      <c r="C52" s="107"/>
      <c r="D52" s="97"/>
      <c r="E52" s="97"/>
      <c r="F52" s="40"/>
      <c r="G52" s="40"/>
      <c r="H52" s="30">
        <f>SUM(H33:H51)</f>
        <v>483300000</v>
      </c>
      <c r="I52" s="76"/>
    </row>
    <row r="53" spans="1:9" ht="15.95" customHeight="1">
      <c r="A53" s="78"/>
      <c r="B53" s="102" t="s">
        <v>42</v>
      </c>
      <c r="C53" s="75"/>
      <c r="D53" s="76"/>
      <c r="E53" s="76"/>
      <c r="F53" s="56"/>
      <c r="G53" s="56"/>
      <c r="H53" s="30">
        <f>SUM(H52,H32,H16,H10)</f>
        <v>550800000</v>
      </c>
      <c r="I53" s="76"/>
    </row>
    <row r="54" spans="1:9" ht="15.95" customHeight="1">
      <c r="A54" s="554" t="s">
        <v>72</v>
      </c>
      <c r="B54" s="141" t="s">
        <v>70</v>
      </c>
      <c r="C54" s="75"/>
      <c r="D54" s="79"/>
      <c r="E54" s="111" t="s">
        <v>51</v>
      </c>
      <c r="F54" s="386"/>
      <c r="G54" s="287"/>
      <c r="H54" s="53">
        <f>F54*G54</f>
        <v>0</v>
      </c>
      <c r="I54" s="76"/>
    </row>
    <row r="55" spans="1:9" ht="15.95" customHeight="1">
      <c r="A55" s="556"/>
      <c r="B55" s="142" t="s">
        <v>107</v>
      </c>
      <c r="C55" s="145"/>
      <c r="D55" s="80"/>
      <c r="E55" s="112" t="s">
        <v>50</v>
      </c>
      <c r="F55" s="378">
        <v>30</v>
      </c>
      <c r="G55" s="117">
        <v>300000</v>
      </c>
      <c r="H55" s="109">
        <f t="shared" ref="H55:H61" si="3">F55*G55</f>
        <v>9000000</v>
      </c>
      <c r="I55" s="77"/>
    </row>
    <row r="56" spans="1:9" ht="15.95" customHeight="1">
      <c r="A56" s="556"/>
      <c r="B56" s="143" t="s">
        <v>108</v>
      </c>
      <c r="C56" s="146" t="s">
        <v>276</v>
      </c>
      <c r="D56" s="81"/>
      <c r="E56" s="113" t="s">
        <v>50</v>
      </c>
      <c r="F56" s="379">
        <v>80</v>
      </c>
      <c r="G56" s="71">
        <v>300000</v>
      </c>
      <c r="H56" s="105">
        <f t="shared" si="3"/>
        <v>24000000</v>
      </c>
      <c r="I56" s="72"/>
    </row>
    <row r="57" spans="1:9" ht="15.95" customHeight="1">
      <c r="A57" s="556"/>
      <c r="B57" s="143" t="s">
        <v>109</v>
      </c>
      <c r="C57" s="146"/>
      <c r="D57" s="81"/>
      <c r="E57" s="113" t="s">
        <v>50</v>
      </c>
      <c r="F57" s="379">
        <v>40</v>
      </c>
      <c r="G57" s="71">
        <v>300000</v>
      </c>
      <c r="H57" s="105">
        <f t="shared" si="3"/>
        <v>12000000</v>
      </c>
      <c r="I57" s="72"/>
    </row>
    <row r="58" spans="1:9" ht="15.95" customHeight="1">
      <c r="A58" s="556"/>
      <c r="B58" s="143" t="s">
        <v>110</v>
      </c>
      <c r="C58" s="146"/>
      <c r="D58" s="81"/>
      <c r="E58" s="113" t="s">
        <v>50</v>
      </c>
      <c r="F58" s="379">
        <v>100</v>
      </c>
      <c r="G58" s="71">
        <v>400000</v>
      </c>
      <c r="H58" s="105">
        <f t="shared" si="3"/>
        <v>40000000</v>
      </c>
      <c r="I58" s="72"/>
    </row>
    <row r="59" spans="1:9" ht="15.95" customHeight="1">
      <c r="A59" s="556"/>
      <c r="B59" s="143" t="s">
        <v>111</v>
      </c>
      <c r="C59" s="146"/>
      <c r="D59" s="81"/>
      <c r="E59" s="113"/>
      <c r="F59" s="379"/>
      <c r="G59" s="71"/>
      <c r="H59" s="105">
        <f t="shared" si="3"/>
        <v>0</v>
      </c>
      <c r="I59" s="72"/>
    </row>
    <row r="60" spans="1:9" ht="15.95" customHeight="1">
      <c r="A60" s="556"/>
      <c r="B60" s="143" t="s">
        <v>112</v>
      </c>
      <c r="C60" s="146"/>
      <c r="D60" s="81"/>
      <c r="E60" s="113" t="s">
        <v>51</v>
      </c>
      <c r="F60" s="379">
        <v>9</v>
      </c>
      <c r="G60" s="71">
        <v>400000</v>
      </c>
      <c r="H60" s="105">
        <f t="shared" si="3"/>
        <v>3600000</v>
      </c>
      <c r="I60" s="72"/>
    </row>
    <row r="61" spans="1:9" ht="15.95" customHeight="1">
      <c r="A61" s="556"/>
      <c r="B61" s="144" t="s">
        <v>281</v>
      </c>
      <c r="C61" s="147"/>
      <c r="D61" s="82"/>
      <c r="E61" s="114" t="s">
        <v>280</v>
      </c>
      <c r="F61" s="383">
        <v>1</v>
      </c>
      <c r="G61" s="119">
        <v>65200000</v>
      </c>
      <c r="H61" s="110">
        <f t="shared" si="3"/>
        <v>65200000</v>
      </c>
      <c r="I61" s="73"/>
    </row>
    <row r="62" spans="1:9" ht="15.95" customHeight="1">
      <c r="A62" s="78"/>
      <c r="B62" s="101" t="s">
        <v>41</v>
      </c>
      <c r="C62" s="75"/>
      <c r="D62" s="76"/>
      <c r="E62" s="76"/>
      <c r="F62" s="30"/>
      <c r="G62" s="30"/>
      <c r="H62" s="30">
        <f>SUM(H54:H61)</f>
        <v>153800000</v>
      </c>
      <c r="I62" s="97"/>
    </row>
    <row r="63" spans="1:9" ht="15.95" customHeight="1">
      <c r="A63" s="52"/>
      <c r="B63" s="101" t="s">
        <v>165</v>
      </c>
      <c r="C63" s="75"/>
      <c r="D63" s="76"/>
      <c r="E63" s="126" t="s">
        <v>116</v>
      </c>
      <c r="F63" s="30"/>
      <c r="G63" s="30"/>
      <c r="H63" s="56">
        <f>G63*F63</f>
        <v>0</v>
      </c>
      <c r="I63" s="76"/>
    </row>
    <row r="64" spans="1:9" ht="15.95" customHeight="1">
      <c r="A64" s="52"/>
      <c r="B64" s="101" t="s">
        <v>25</v>
      </c>
      <c r="C64" s="75"/>
      <c r="D64" s="76"/>
      <c r="E64" s="126"/>
      <c r="F64" s="30"/>
      <c r="G64" s="55"/>
      <c r="H64" s="120">
        <v>300000</v>
      </c>
      <c r="I64" s="75"/>
    </row>
    <row r="65" spans="1:9" ht="15.95" customHeight="1">
      <c r="A65" s="52"/>
      <c r="B65" s="101" t="s">
        <v>146</v>
      </c>
      <c r="C65" s="75"/>
      <c r="D65" s="76"/>
      <c r="E65" s="126"/>
      <c r="F65" s="30"/>
      <c r="G65" s="55"/>
      <c r="H65" s="120"/>
      <c r="I65" s="75"/>
    </row>
    <row r="66" spans="1:9" ht="15.95" customHeight="1">
      <c r="A66" s="52"/>
      <c r="B66" s="101" t="s">
        <v>147</v>
      </c>
      <c r="C66" s="75"/>
      <c r="D66" s="76"/>
      <c r="E66" s="76"/>
      <c r="F66" s="30"/>
      <c r="G66" s="30"/>
      <c r="H66" s="40">
        <f>H53+H62+H63+H64+H65</f>
        <v>704900000</v>
      </c>
      <c r="I66" s="76"/>
    </row>
    <row r="67" spans="1:9">
      <c r="A67" s="29"/>
    </row>
  </sheetData>
  <mergeCells count="3">
    <mergeCell ref="A2:B2"/>
    <mergeCell ref="A54:A61"/>
    <mergeCell ref="A3:A52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50"/>
    <pageSetUpPr fitToPage="1"/>
  </sheetPr>
  <dimension ref="A1:I83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 t="s">
        <v>199</v>
      </c>
      <c r="D1" s="65"/>
      <c r="E1" s="65"/>
      <c r="F1" s="66"/>
      <c r="G1" s="67"/>
      <c r="I1" s="28" t="s">
        <v>82</v>
      </c>
    </row>
    <row r="2" spans="1:9" s="29" customFormat="1" ht="16.5" customHeight="1">
      <c r="A2" s="471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70" t="s">
        <v>234</v>
      </c>
      <c r="D3" s="333"/>
      <c r="E3" s="301" t="s">
        <v>208</v>
      </c>
      <c r="F3" s="290">
        <v>1</v>
      </c>
      <c r="G3" s="71">
        <v>11000000</v>
      </c>
      <c r="H3" s="105">
        <f>IF(F3=0,G3,G3*F3)</f>
        <v>11000000</v>
      </c>
      <c r="I3" s="330"/>
    </row>
    <row r="4" spans="1:9" ht="15.95" customHeight="1">
      <c r="A4" s="556"/>
      <c r="B4" s="104"/>
      <c r="C4" s="335"/>
      <c r="D4" s="332"/>
      <c r="E4" s="333"/>
      <c r="F4" s="382"/>
      <c r="G4" s="351"/>
      <c r="H4" s="105">
        <f>F4*G4</f>
        <v>0</v>
      </c>
      <c r="I4" s="72"/>
    </row>
    <row r="5" spans="1:9" ht="15.95" customHeight="1">
      <c r="A5" s="556"/>
      <c r="B5" s="104"/>
      <c r="C5" s="335"/>
      <c r="D5" s="332"/>
      <c r="E5" s="333"/>
      <c r="F5" s="381"/>
      <c r="G5" s="351"/>
      <c r="H5" s="105">
        <f>F5*G5</f>
        <v>0</v>
      </c>
      <c r="I5" s="72"/>
    </row>
    <row r="6" spans="1:9" ht="15.95" customHeight="1">
      <c r="A6" s="556"/>
      <c r="B6" s="104"/>
      <c r="C6" s="335"/>
      <c r="D6" s="335"/>
      <c r="E6" s="333"/>
      <c r="F6" s="381"/>
      <c r="G6" s="351"/>
      <c r="H6" s="105">
        <f>F6*G6</f>
        <v>0</v>
      </c>
      <c r="I6" s="72"/>
    </row>
    <row r="7" spans="1:9" ht="15.95" customHeight="1">
      <c r="A7" s="556"/>
      <c r="B7" s="104"/>
      <c r="C7" s="335"/>
      <c r="D7" s="335"/>
      <c r="E7" s="333"/>
      <c r="F7" s="381"/>
      <c r="G7" s="351"/>
      <c r="H7" s="105">
        <f>F7*G7</f>
        <v>0</v>
      </c>
      <c r="I7" s="72"/>
    </row>
    <row r="8" spans="1:9" ht="15.95" customHeight="1">
      <c r="A8" s="556"/>
      <c r="B8" s="104"/>
      <c r="C8" s="335"/>
      <c r="D8" s="335"/>
      <c r="E8" s="333"/>
      <c r="F8" s="351"/>
      <c r="G8" s="351"/>
      <c r="H8" s="105">
        <f t="shared" ref="H8:H67" si="0">IF(F8=0,G8,G8*F8)</f>
        <v>0</v>
      </c>
      <c r="I8" s="72"/>
    </row>
    <row r="9" spans="1:9" ht="15.95" customHeight="1">
      <c r="A9" s="556"/>
      <c r="B9" s="104"/>
      <c r="C9" s="335"/>
      <c r="D9" s="335"/>
      <c r="E9" s="335"/>
      <c r="F9" s="351"/>
      <c r="G9" s="351"/>
      <c r="H9" s="105">
        <f t="shared" si="0"/>
        <v>0</v>
      </c>
      <c r="I9" s="72"/>
    </row>
    <row r="10" spans="1:9" ht="15.95" customHeight="1">
      <c r="A10" s="556"/>
      <c r="B10" s="104"/>
      <c r="C10" s="335"/>
      <c r="D10" s="335"/>
      <c r="E10" s="335"/>
      <c r="F10" s="351"/>
      <c r="G10" s="35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/>
      <c r="D23" s="302"/>
      <c r="E23" s="302"/>
      <c r="F23" s="291"/>
      <c r="G23" s="119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11000000</v>
      </c>
      <c r="I24" s="267"/>
    </row>
    <row r="25" spans="1:9" ht="15.95" customHeight="1">
      <c r="A25" s="556"/>
      <c r="B25" s="104" t="s">
        <v>154</v>
      </c>
      <c r="C25" s="121"/>
      <c r="D25" s="121"/>
      <c r="E25" s="300"/>
      <c r="F25" s="289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/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335" t="s">
        <v>239</v>
      </c>
      <c r="D31" s="335"/>
      <c r="E31" s="333" t="s">
        <v>216</v>
      </c>
      <c r="F31" s="389">
        <v>1</v>
      </c>
      <c r="G31" s="351">
        <v>25000000</v>
      </c>
      <c r="H31" s="62">
        <f t="shared" ref="H31:H38" si="1">IF(F31=0,G31,G31*F31)</f>
        <v>25000000</v>
      </c>
      <c r="I31" s="77"/>
    </row>
    <row r="32" spans="1:9" ht="15.95" customHeight="1">
      <c r="A32" s="556"/>
      <c r="B32" s="104" t="s">
        <v>45</v>
      </c>
      <c r="C32" s="335" t="s">
        <v>224</v>
      </c>
      <c r="D32" s="335" t="s">
        <v>222</v>
      </c>
      <c r="E32" s="333" t="s">
        <v>204</v>
      </c>
      <c r="F32" s="389">
        <v>1</v>
      </c>
      <c r="G32" s="351">
        <v>5000000</v>
      </c>
      <c r="H32" s="105">
        <f t="shared" si="1"/>
        <v>5000000</v>
      </c>
      <c r="I32" s="72" t="s">
        <v>223</v>
      </c>
    </row>
    <row r="33" spans="1:9" ht="15.95" customHeight="1">
      <c r="A33" s="556"/>
      <c r="B33" s="104"/>
      <c r="C33" s="335"/>
      <c r="D33" s="333"/>
      <c r="E33" s="333"/>
      <c r="F33" s="389"/>
      <c r="G33" s="351"/>
      <c r="H33" s="105">
        <f t="shared" si="1"/>
        <v>0</v>
      </c>
      <c r="I33" s="72"/>
    </row>
    <row r="34" spans="1:9" ht="15.95" customHeight="1">
      <c r="A34" s="556"/>
      <c r="B34" s="104"/>
      <c r="C34" s="70"/>
      <c r="D34" s="333"/>
      <c r="E34" s="333"/>
      <c r="F34" s="389"/>
      <c r="G34" s="351"/>
      <c r="H34" s="105">
        <f t="shared" si="1"/>
        <v>0</v>
      </c>
      <c r="I34" s="72"/>
    </row>
    <row r="35" spans="1:9" ht="15.95" customHeight="1">
      <c r="A35" s="556"/>
      <c r="B35" s="104"/>
      <c r="C35" s="70"/>
      <c r="D35" s="333"/>
      <c r="E35" s="333"/>
      <c r="F35" s="334"/>
      <c r="G35" s="71"/>
      <c r="H35" s="105">
        <f t="shared" si="1"/>
        <v>0</v>
      </c>
      <c r="I35" s="72"/>
    </row>
    <row r="36" spans="1:9" ht="15.95" customHeight="1">
      <c r="A36" s="556"/>
      <c r="B36" s="104"/>
      <c r="C36" s="335"/>
      <c r="D36" s="333"/>
      <c r="E36" s="333"/>
      <c r="F36" s="389"/>
      <c r="G36" s="351"/>
      <c r="H36" s="105">
        <f t="shared" si="1"/>
        <v>0</v>
      </c>
      <c r="I36" s="72"/>
    </row>
    <row r="37" spans="1:9" ht="15.95" customHeight="1">
      <c r="A37" s="556"/>
      <c r="B37" s="104"/>
      <c r="C37" s="335"/>
      <c r="D37" s="335"/>
      <c r="E37" s="333"/>
      <c r="F37" s="389"/>
      <c r="G37" s="351"/>
      <c r="H37" s="105">
        <f t="shared" si="1"/>
        <v>0</v>
      </c>
      <c r="I37" s="72"/>
    </row>
    <row r="38" spans="1:9" ht="15.95" customHeight="1">
      <c r="A38" s="556"/>
      <c r="B38" s="104"/>
      <c r="C38" s="335"/>
      <c r="D38" s="333"/>
      <c r="E38" s="333"/>
      <c r="F38" s="389"/>
      <c r="G38" s="351"/>
      <c r="H38" s="105">
        <f t="shared" si="1"/>
        <v>0</v>
      </c>
      <c r="I38" s="72"/>
    </row>
    <row r="39" spans="1:9" ht="15.95" customHeight="1">
      <c r="A39" s="556"/>
      <c r="B39" s="104"/>
      <c r="C39" s="335"/>
      <c r="D39" s="333"/>
      <c r="E39" s="335"/>
      <c r="F39" s="334"/>
      <c r="G39" s="35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301"/>
      <c r="E40" s="70"/>
      <c r="F40" s="290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301"/>
      <c r="E41" s="70"/>
      <c r="F41" s="290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301"/>
      <c r="E42" s="70"/>
      <c r="F42" s="290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301"/>
      <c r="E43" s="70"/>
      <c r="F43" s="290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301"/>
      <c r="E44" s="70"/>
      <c r="F44" s="290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352"/>
      <c r="D45" s="416"/>
      <c r="E45" s="335"/>
      <c r="F45" s="417"/>
      <c r="G45" s="353"/>
      <c r="H45" s="105">
        <f t="shared" si="0"/>
        <v>0</v>
      </c>
      <c r="I45" s="72"/>
    </row>
    <row r="46" spans="1:9" ht="15.95" customHeight="1">
      <c r="A46" s="556"/>
      <c r="B46" s="104"/>
      <c r="C46" s="118"/>
      <c r="D46" s="302"/>
      <c r="E46" s="302"/>
      <c r="F46" s="291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30000000</v>
      </c>
      <c r="I47" s="76"/>
    </row>
    <row r="48" spans="1:9" ht="15.95" customHeight="1">
      <c r="A48" s="556"/>
      <c r="B48" s="108" t="s">
        <v>39</v>
      </c>
      <c r="C48" s="335" t="s">
        <v>235</v>
      </c>
      <c r="D48" s="333" t="s">
        <v>236</v>
      </c>
      <c r="E48" s="333" t="s">
        <v>204</v>
      </c>
      <c r="F48" s="389">
        <v>1</v>
      </c>
      <c r="G48" s="351">
        <v>2000000</v>
      </c>
      <c r="H48" s="62">
        <f t="shared" ref="H48:H55" si="2">IF(F48=0,G48,G48*F48)</f>
        <v>2000000</v>
      </c>
      <c r="I48" s="77"/>
    </row>
    <row r="49" spans="1:9" ht="15.95" customHeight="1">
      <c r="A49" s="556"/>
      <c r="B49" s="104"/>
      <c r="C49" s="335" t="s">
        <v>241</v>
      </c>
      <c r="D49" s="333"/>
      <c r="E49" s="333" t="s">
        <v>218</v>
      </c>
      <c r="F49" s="389">
        <v>1</v>
      </c>
      <c r="G49" s="351">
        <v>1500000</v>
      </c>
      <c r="H49" s="105">
        <f t="shared" si="2"/>
        <v>1500000</v>
      </c>
      <c r="I49" s="124"/>
    </row>
    <row r="50" spans="1:9" ht="15.95" customHeight="1">
      <c r="A50" s="556"/>
      <c r="B50" s="104"/>
      <c r="C50" s="335" t="s">
        <v>211</v>
      </c>
      <c r="D50" s="333" t="s">
        <v>213</v>
      </c>
      <c r="E50" s="333" t="s">
        <v>216</v>
      </c>
      <c r="F50" s="389">
        <v>1</v>
      </c>
      <c r="G50" s="351">
        <v>11800000</v>
      </c>
      <c r="H50" s="105">
        <f t="shared" si="2"/>
        <v>11800000</v>
      </c>
      <c r="I50" s="72"/>
    </row>
    <row r="51" spans="1:9" ht="15.95" customHeight="1">
      <c r="A51" s="556"/>
      <c r="B51" s="104"/>
      <c r="C51" s="335" t="s">
        <v>211</v>
      </c>
      <c r="D51" s="333" t="s">
        <v>214</v>
      </c>
      <c r="E51" s="333" t="s">
        <v>216</v>
      </c>
      <c r="F51" s="389">
        <v>1</v>
      </c>
      <c r="G51" s="351">
        <v>15400000</v>
      </c>
      <c r="H51" s="105">
        <f t="shared" ref="H51" si="3">IF(F51=0,G51,G51*F51)</f>
        <v>15400000</v>
      </c>
      <c r="I51" s="72"/>
    </row>
    <row r="52" spans="1:9" ht="15.95" customHeight="1">
      <c r="A52" s="556"/>
      <c r="B52" s="104"/>
      <c r="C52" s="335" t="s">
        <v>202</v>
      </c>
      <c r="D52" s="333" t="s">
        <v>240</v>
      </c>
      <c r="E52" s="333" t="s">
        <v>238</v>
      </c>
      <c r="F52" s="389">
        <v>1</v>
      </c>
      <c r="G52" s="351">
        <v>28500000</v>
      </c>
      <c r="H52" s="105">
        <f t="shared" si="2"/>
        <v>28500000</v>
      </c>
      <c r="I52" s="72"/>
    </row>
    <row r="53" spans="1:9" ht="15.95" customHeight="1">
      <c r="A53" s="556"/>
      <c r="B53" s="104"/>
      <c r="C53" s="335" t="s">
        <v>202</v>
      </c>
      <c r="D53" s="333" t="s">
        <v>237</v>
      </c>
      <c r="E53" s="333" t="s">
        <v>238</v>
      </c>
      <c r="F53" s="389">
        <v>1</v>
      </c>
      <c r="G53" s="351">
        <v>37200000</v>
      </c>
      <c r="H53" s="105">
        <f t="shared" ref="H53" si="4">IF(F53=0,G53,G53*F53)</f>
        <v>37200000</v>
      </c>
      <c r="I53" s="72"/>
    </row>
    <row r="54" spans="1:9" ht="15.95" customHeight="1">
      <c r="A54" s="556"/>
      <c r="B54" s="104"/>
      <c r="C54" s="70" t="s">
        <v>217</v>
      </c>
      <c r="D54" s="333"/>
      <c r="E54" s="333" t="s">
        <v>208</v>
      </c>
      <c r="F54" s="389">
        <v>6</v>
      </c>
      <c r="G54" s="351">
        <v>1300000</v>
      </c>
      <c r="H54" s="105">
        <f t="shared" si="2"/>
        <v>7800000</v>
      </c>
      <c r="I54" s="72"/>
    </row>
    <row r="55" spans="1:9" ht="15.95" customHeight="1">
      <c r="A55" s="556"/>
      <c r="B55" s="104"/>
      <c r="C55" s="70" t="s">
        <v>226</v>
      </c>
      <c r="D55" s="333" t="s">
        <v>227</v>
      </c>
      <c r="E55" s="333" t="s">
        <v>204</v>
      </c>
      <c r="F55" s="334">
        <v>1</v>
      </c>
      <c r="G55" s="71">
        <v>4000000</v>
      </c>
      <c r="H55" s="105">
        <f t="shared" si="2"/>
        <v>4000000</v>
      </c>
      <c r="I55" s="72"/>
    </row>
    <row r="56" spans="1:9" ht="15.95" customHeight="1">
      <c r="A56" s="556"/>
      <c r="B56" s="104"/>
      <c r="C56" s="70" t="s">
        <v>228</v>
      </c>
      <c r="D56" s="70"/>
      <c r="E56" s="301" t="s">
        <v>216</v>
      </c>
      <c r="F56" s="290">
        <v>1</v>
      </c>
      <c r="G56" s="71">
        <v>21200000</v>
      </c>
      <c r="H56" s="105">
        <f t="shared" si="0"/>
        <v>21200000</v>
      </c>
      <c r="I56" s="72"/>
    </row>
    <row r="57" spans="1:9" ht="15.95" customHeight="1">
      <c r="A57" s="556"/>
      <c r="B57" s="104"/>
      <c r="C57" s="70" t="s">
        <v>229</v>
      </c>
      <c r="D57" s="333"/>
      <c r="E57" s="333" t="s">
        <v>208</v>
      </c>
      <c r="F57" s="334">
        <v>1</v>
      </c>
      <c r="G57" s="71">
        <v>85000000</v>
      </c>
      <c r="H57" s="105">
        <f t="shared" si="0"/>
        <v>85000000</v>
      </c>
      <c r="I57" s="264"/>
    </row>
    <row r="58" spans="1:9" ht="15.95" customHeight="1">
      <c r="A58" s="556"/>
      <c r="B58" s="104"/>
      <c r="C58" s="70" t="s">
        <v>230</v>
      </c>
      <c r="D58" s="333"/>
      <c r="E58" s="333" t="s">
        <v>216</v>
      </c>
      <c r="F58" s="334">
        <v>1</v>
      </c>
      <c r="G58" s="71">
        <v>1500000</v>
      </c>
      <c r="H58" s="105">
        <f t="shared" si="0"/>
        <v>1500000</v>
      </c>
      <c r="I58" s="264"/>
    </row>
    <row r="59" spans="1:9" ht="15.95" customHeight="1">
      <c r="A59" s="556"/>
      <c r="B59" s="104"/>
      <c r="C59" s="70" t="s">
        <v>233</v>
      </c>
      <c r="D59" s="333"/>
      <c r="E59" s="333" t="s">
        <v>208</v>
      </c>
      <c r="F59" s="334">
        <v>1</v>
      </c>
      <c r="G59" s="71">
        <v>24000000</v>
      </c>
      <c r="H59" s="105">
        <f t="shared" si="0"/>
        <v>24000000</v>
      </c>
      <c r="I59" s="264"/>
    </row>
    <row r="60" spans="1:9" ht="15.95" customHeight="1">
      <c r="A60" s="556"/>
      <c r="B60" s="104"/>
      <c r="C60" s="261"/>
      <c r="D60" s="261"/>
      <c r="E60" s="418"/>
      <c r="F60" s="294"/>
      <c r="G60" s="262"/>
      <c r="H60" s="105">
        <f t="shared" si="0"/>
        <v>0</v>
      </c>
      <c r="I60" s="264"/>
    </row>
    <row r="61" spans="1:9" ht="15.95" customHeight="1">
      <c r="A61" s="556"/>
      <c r="B61" s="104"/>
      <c r="C61" s="261"/>
      <c r="D61" s="261"/>
      <c r="E61" s="418"/>
      <c r="F61" s="294"/>
      <c r="G61" s="262"/>
      <c r="H61" s="105">
        <f t="shared" si="0"/>
        <v>0</v>
      </c>
      <c r="I61" s="264"/>
    </row>
    <row r="62" spans="1:9" ht="15.95" customHeight="1">
      <c r="A62" s="556"/>
      <c r="B62" s="104"/>
      <c r="C62" s="261"/>
      <c r="D62" s="261"/>
      <c r="E62" s="418"/>
      <c r="F62" s="294"/>
      <c r="G62" s="262"/>
      <c r="H62" s="105">
        <f t="shared" si="0"/>
        <v>0</v>
      </c>
      <c r="I62" s="264"/>
    </row>
    <row r="63" spans="1:9" ht="15.95" customHeight="1">
      <c r="A63" s="556"/>
      <c r="B63" s="104"/>
      <c r="C63" s="261"/>
      <c r="D63" s="261"/>
      <c r="E63" s="418"/>
      <c r="F63" s="294"/>
      <c r="G63" s="262"/>
      <c r="H63" s="105">
        <f t="shared" si="0"/>
        <v>0</v>
      </c>
      <c r="I63" s="264"/>
    </row>
    <row r="64" spans="1:9" ht="15.95" customHeight="1">
      <c r="A64" s="556"/>
      <c r="B64" s="104"/>
      <c r="C64" s="261"/>
      <c r="D64" s="261"/>
      <c r="E64" s="418"/>
      <c r="F64" s="294"/>
      <c r="G64" s="262"/>
      <c r="H64" s="105">
        <f t="shared" si="0"/>
        <v>0</v>
      </c>
      <c r="I64" s="264"/>
    </row>
    <row r="65" spans="1:9" ht="15.95" customHeight="1">
      <c r="A65" s="556"/>
      <c r="B65" s="104"/>
      <c r="C65" s="261"/>
      <c r="D65" s="261"/>
      <c r="E65" s="418"/>
      <c r="F65" s="294"/>
      <c r="G65" s="262"/>
      <c r="H65" s="105">
        <f t="shared" si="0"/>
        <v>0</v>
      </c>
      <c r="I65" s="264"/>
    </row>
    <row r="66" spans="1:9" ht="15.95" customHeight="1">
      <c r="A66" s="556"/>
      <c r="B66" s="104"/>
      <c r="C66" s="261"/>
      <c r="D66" s="261"/>
      <c r="E66" s="418"/>
      <c r="F66" s="294"/>
      <c r="G66" s="262"/>
      <c r="H66" s="105">
        <f t="shared" si="0"/>
        <v>0</v>
      </c>
      <c r="I66" s="264"/>
    </row>
    <row r="67" spans="1:9" ht="15.95" customHeight="1">
      <c r="A67" s="556"/>
      <c r="B67" s="104"/>
      <c r="C67" s="118"/>
      <c r="D67" s="118"/>
      <c r="E67" s="118"/>
      <c r="F67" s="119"/>
      <c r="G67" s="119"/>
      <c r="H67" s="105">
        <f t="shared" si="0"/>
        <v>0</v>
      </c>
      <c r="I67" s="73"/>
    </row>
    <row r="68" spans="1:9" ht="15.95" customHeight="1">
      <c r="A68" s="556"/>
      <c r="B68" s="74"/>
      <c r="C68" s="107"/>
      <c r="D68" s="97"/>
      <c r="E68" s="97"/>
      <c r="F68" s="40"/>
      <c r="G68" s="40"/>
      <c r="H68" s="30">
        <f>SUM(H48:H67)</f>
        <v>239900000</v>
      </c>
      <c r="I68" s="76"/>
    </row>
    <row r="69" spans="1:9" ht="15.95" customHeight="1">
      <c r="A69" s="78"/>
      <c r="B69" s="400" t="s">
        <v>42</v>
      </c>
      <c r="C69" s="401"/>
      <c r="D69" s="330"/>
      <c r="E69" s="330"/>
      <c r="F69" s="56"/>
      <c r="G69" s="56"/>
      <c r="H69" s="56">
        <f>SUM(H68,H47,H30,H24)</f>
        <v>280900000</v>
      </c>
      <c r="I69" s="56"/>
    </row>
    <row r="70" spans="1:9" ht="15.95" customHeight="1">
      <c r="A70" s="557" t="s">
        <v>72</v>
      </c>
      <c r="B70" s="142" t="s">
        <v>70</v>
      </c>
      <c r="C70" s="145"/>
      <c r="D70" s="80"/>
      <c r="E70" s="112" t="s">
        <v>51</v>
      </c>
      <c r="F70" s="117"/>
      <c r="G70" s="117"/>
      <c r="H70" s="109">
        <f>F70*G70</f>
        <v>0</v>
      </c>
      <c r="I70" s="77"/>
    </row>
    <row r="71" spans="1:9" ht="15.95" customHeight="1">
      <c r="A71" s="556"/>
      <c r="B71" s="143" t="s">
        <v>107</v>
      </c>
      <c r="C71" s="146"/>
      <c r="D71" s="81"/>
      <c r="E71" s="113" t="s">
        <v>50</v>
      </c>
      <c r="F71" s="379">
        <v>20</v>
      </c>
      <c r="G71" s="71">
        <v>300000</v>
      </c>
      <c r="H71" s="105">
        <f t="shared" ref="H71:H77" si="5">F71*G71</f>
        <v>6000000</v>
      </c>
      <c r="I71" s="72"/>
    </row>
    <row r="72" spans="1:9" ht="15.95" customHeight="1">
      <c r="A72" s="556"/>
      <c r="B72" s="174" t="s">
        <v>108</v>
      </c>
      <c r="C72" s="146"/>
      <c r="D72" s="81"/>
      <c r="E72" s="113" t="s">
        <v>50</v>
      </c>
      <c r="F72" s="379"/>
      <c r="G72" s="71"/>
      <c r="H72" s="105">
        <f t="shared" si="5"/>
        <v>0</v>
      </c>
      <c r="I72" s="72"/>
    </row>
    <row r="73" spans="1:9" ht="15.95" customHeight="1">
      <c r="A73" s="556"/>
      <c r="B73" s="143" t="s">
        <v>109</v>
      </c>
      <c r="C73" s="146"/>
      <c r="D73" s="81"/>
      <c r="E73" s="113" t="s">
        <v>50</v>
      </c>
      <c r="F73" s="379">
        <v>20</v>
      </c>
      <c r="G73" s="71">
        <v>300000</v>
      </c>
      <c r="H73" s="105">
        <f t="shared" si="5"/>
        <v>6000000</v>
      </c>
      <c r="I73" s="72"/>
    </row>
    <row r="74" spans="1:9" ht="15.95" customHeight="1">
      <c r="A74" s="556"/>
      <c r="B74" s="143" t="s">
        <v>110</v>
      </c>
      <c r="C74" s="146"/>
      <c r="D74" s="81"/>
      <c r="E74" s="113" t="s">
        <v>50</v>
      </c>
      <c r="F74" s="379"/>
      <c r="G74" s="71"/>
      <c r="H74" s="105">
        <f t="shared" si="5"/>
        <v>0</v>
      </c>
      <c r="I74" s="72"/>
    </row>
    <row r="75" spans="1:9" ht="15.95" customHeight="1">
      <c r="A75" s="556"/>
      <c r="B75" s="143" t="s">
        <v>111</v>
      </c>
      <c r="C75" s="146"/>
      <c r="D75" s="81"/>
      <c r="E75" s="113" t="s">
        <v>50</v>
      </c>
      <c r="F75" s="379"/>
      <c r="G75" s="71"/>
      <c r="H75" s="105">
        <f t="shared" si="5"/>
        <v>0</v>
      </c>
      <c r="I75" s="72"/>
    </row>
    <row r="76" spans="1:9" ht="15.95" customHeight="1">
      <c r="A76" s="556"/>
      <c r="B76" s="143" t="s">
        <v>112</v>
      </c>
      <c r="C76" s="146"/>
      <c r="D76" s="81"/>
      <c r="E76" s="113" t="s">
        <v>50</v>
      </c>
      <c r="F76" s="379"/>
      <c r="G76" s="71"/>
      <c r="H76" s="105">
        <f t="shared" si="5"/>
        <v>0</v>
      </c>
      <c r="I76" s="72"/>
    </row>
    <row r="77" spans="1:9" ht="15.95" customHeight="1">
      <c r="A77" s="556"/>
      <c r="B77" s="144" t="s">
        <v>113</v>
      </c>
      <c r="C77" s="402"/>
      <c r="D77" s="403"/>
      <c r="E77" s="404" t="s">
        <v>50</v>
      </c>
      <c r="F77" s="380"/>
      <c r="G77" s="262"/>
      <c r="H77" s="263">
        <f t="shared" si="5"/>
        <v>0</v>
      </c>
      <c r="I77" s="264"/>
    </row>
    <row r="78" spans="1:9" ht="15.95" customHeight="1">
      <c r="A78" s="78"/>
      <c r="B78" s="101" t="s">
        <v>41</v>
      </c>
      <c r="C78" s="75"/>
      <c r="D78" s="76"/>
      <c r="E78" s="76"/>
      <c r="F78" s="30"/>
      <c r="G78" s="30"/>
      <c r="H78" s="30">
        <f>SUM(H70:H77)</f>
        <v>12000000</v>
      </c>
      <c r="I78" s="76"/>
    </row>
    <row r="79" spans="1:9" ht="15.95" customHeight="1">
      <c r="A79" s="52"/>
      <c r="B79" s="101" t="s">
        <v>165</v>
      </c>
      <c r="C79" s="75"/>
      <c r="D79" s="76"/>
      <c r="E79" s="76"/>
      <c r="F79" s="30"/>
      <c r="G79" s="30"/>
      <c r="H79" s="56">
        <f>'단위공사별(집계)'!L8+'단위공사별(집계)'!I8</f>
        <v>11786720.321931589</v>
      </c>
      <c r="I79" s="76"/>
    </row>
    <row r="80" spans="1:9" ht="15.95" customHeight="1">
      <c r="A80" s="52"/>
      <c r="B80" s="101" t="s">
        <v>25</v>
      </c>
      <c r="C80" s="75"/>
      <c r="D80" s="76"/>
      <c r="E80" s="76"/>
      <c r="F80" s="30"/>
      <c r="G80" s="55"/>
      <c r="H80" s="120"/>
      <c r="I80" s="75"/>
    </row>
    <row r="81" spans="1:9" ht="15.95" customHeight="1">
      <c r="A81" s="52"/>
      <c r="B81" s="101" t="s">
        <v>146</v>
      </c>
      <c r="C81" s="75"/>
      <c r="D81" s="76"/>
      <c r="E81" s="76"/>
      <c r="F81" s="30"/>
      <c r="G81" s="55"/>
      <c r="H81" s="120"/>
      <c r="I81" s="75"/>
    </row>
    <row r="82" spans="1:9" ht="15.95" customHeight="1">
      <c r="A82" s="52"/>
      <c r="B82" s="101" t="s">
        <v>147</v>
      </c>
      <c r="C82" s="75"/>
      <c r="D82" s="76"/>
      <c r="E82" s="76"/>
      <c r="F82" s="30"/>
      <c r="G82" s="30"/>
      <c r="H82" s="40">
        <f>H69+H78+H79+H80+H81</f>
        <v>304686720.3219316</v>
      </c>
      <c r="I82" s="76"/>
    </row>
    <row r="83" spans="1:9">
      <c r="A83" s="29"/>
    </row>
  </sheetData>
  <mergeCells count="3">
    <mergeCell ref="A2:B2"/>
    <mergeCell ref="A70:A77"/>
    <mergeCell ref="A3:A6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 t="s">
        <v>200</v>
      </c>
      <c r="D1" s="65"/>
      <c r="E1" s="65"/>
      <c r="F1" s="66"/>
      <c r="G1" s="67"/>
      <c r="I1" s="28" t="s">
        <v>82</v>
      </c>
    </row>
    <row r="2" spans="1:9" s="29" customFormat="1" ht="16.5" customHeight="1">
      <c r="A2" s="471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70" t="s">
        <v>234</v>
      </c>
      <c r="D3" s="333"/>
      <c r="E3" s="301" t="s">
        <v>208</v>
      </c>
      <c r="F3" s="290">
        <v>2</v>
      </c>
      <c r="G3" s="71">
        <v>5700000</v>
      </c>
      <c r="H3" s="105">
        <f>IF(F3=0,G3,G3*F3)</f>
        <v>11400000</v>
      </c>
      <c r="I3" s="72"/>
    </row>
    <row r="4" spans="1:9" ht="15.95" customHeight="1">
      <c r="A4" s="556"/>
      <c r="B4" s="104"/>
      <c r="C4" s="70"/>
      <c r="D4" s="333"/>
      <c r="E4" s="301"/>
      <c r="F4" s="290"/>
      <c r="G4" s="71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6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/>
      <c r="D23" s="302"/>
      <c r="E23" s="302"/>
      <c r="F23" s="291"/>
      <c r="G23" s="119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11400000</v>
      </c>
      <c r="I24" s="267"/>
    </row>
    <row r="25" spans="1:9" ht="15.95" customHeight="1">
      <c r="A25" s="556"/>
      <c r="B25" s="104" t="s">
        <v>154</v>
      </c>
      <c r="C25" s="121"/>
      <c r="D25" s="121"/>
      <c r="E25" s="300"/>
      <c r="F25" s="289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/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346"/>
      <c r="D31" s="346"/>
      <c r="E31" s="347"/>
      <c r="F31" s="296"/>
      <c r="G31" s="28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261"/>
      <c r="D32" s="70"/>
      <c r="E32" s="301"/>
      <c r="F32" s="290"/>
      <c r="G32" s="71"/>
      <c r="H32" s="105">
        <f t="shared" si="0"/>
        <v>0</v>
      </c>
      <c r="I32" s="348"/>
    </row>
    <row r="33" spans="1:9" ht="15.95" customHeight="1">
      <c r="A33" s="556"/>
      <c r="B33" s="104"/>
      <c r="C33" s="70"/>
      <c r="D33" s="70"/>
      <c r="E33" s="301"/>
      <c r="F33" s="290"/>
      <c r="G33" s="71"/>
      <c r="H33" s="105">
        <f t="shared" si="0"/>
        <v>0</v>
      </c>
      <c r="I33" s="348"/>
    </row>
    <row r="34" spans="1:9" ht="15.95" customHeight="1">
      <c r="A34" s="556"/>
      <c r="B34" s="104"/>
      <c r="C34" s="70"/>
      <c r="D34" s="335"/>
      <c r="E34" s="301"/>
      <c r="F34" s="334"/>
      <c r="G34" s="71"/>
      <c r="H34" s="105">
        <f t="shared" si="0"/>
        <v>0</v>
      </c>
      <c r="I34" s="348"/>
    </row>
    <row r="35" spans="1:9" ht="15.95" customHeight="1">
      <c r="A35" s="556"/>
      <c r="B35" s="104"/>
      <c r="C35" s="70"/>
      <c r="D35" s="335"/>
      <c r="E35" s="301"/>
      <c r="F35" s="334"/>
      <c r="G35" s="71"/>
      <c r="H35" s="105">
        <f t="shared" si="0"/>
        <v>0</v>
      </c>
      <c r="I35" s="348"/>
    </row>
    <row r="36" spans="1:9" ht="15.95" customHeight="1">
      <c r="A36" s="556"/>
      <c r="B36" s="104"/>
      <c r="C36" s="70"/>
      <c r="D36" s="335"/>
      <c r="E36" s="301"/>
      <c r="F36" s="334"/>
      <c r="G36" s="71"/>
      <c r="H36" s="105">
        <f t="shared" si="0"/>
        <v>0</v>
      </c>
      <c r="I36" s="348"/>
    </row>
    <row r="37" spans="1:9" ht="15.95" customHeight="1">
      <c r="A37" s="556"/>
      <c r="B37" s="104"/>
      <c r="C37" s="70"/>
      <c r="D37" s="335"/>
      <c r="E37" s="301"/>
      <c r="F37" s="334"/>
      <c r="G37" s="71"/>
      <c r="H37" s="105">
        <f t="shared" si="0"/>
        <v>0</v>
      </c>
      <c r="I37" s="348"/>
    </row>
    <row r="38" spans="1:9" ht="15.95" customHeight="1">
      <c r="A38" s="556"/>
      <c r="B38" s="104"/>
      <c r="C38" s="261"/>
      <c r="D38" s="261"/>
      <c r="E38" s="70"/>
      <c r="F38" s="262"/>
      <c r="G38" s="262"/>
      <c r="H38" s="105">
        <f t="shared" si="0"/>
        <v>0</v>
      </c>
      <c r="I38" s="348"/>
    </row>
    <row r="39" spans="1:9" ht="15.95" customHeight="1">
      <c r="A39" s="556"/>
      <c r="B39" s="104"/>
      <c r="C39" s="261"/>
      <c r="D39" s="261"/>
      <c r="E39" s="70"/>
      <c r="F39" s="262"/>
      <c r="G39" s="262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301"/>
      <c r="F40" s="290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335"/>
      <c r="E41" s="301"/>
      <c r="F41" s="334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335"/>
      <c r="E42" s="301"/>
      <c r="F42" s="334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335"/>
      <c r="E43" s="301"/>
      <c r="F43" s="334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261"/>
      <c r="D45" s="261"/>
      <c r="E45" s="70"/>
      <c r="F45" s="262"/>
      <c r="G45" s="262"/>
      <c r="H45" s="105">
        <f t="shared" si="0"/>
        <v>0</v>
      </c>
      <c r="I45" s="72"/>
    </row>
    <row r="46" spans="1:9" ht="15.95" customHeight="1">
      <c r="A46" s="556"/>
      <c r="B46" s="104"/>
      <c r="C46" s="118"/>
      <c r="D46" s="118"/>
      <c r="E46" s="302"/>
      <c r="F46" s="291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70" t="s">
        <v>242</v>
      </c>
      <c r="D48" s="419" t="s">
        <v>243</v>
      </c>
      <c r="E48" s="333" t="s">
        <v>204</v>
      </c>
      <c r="F48" s="334">
        <v>2</v>
      </c>
      <c r="G48" s="71">
        <v>25000000</v>
      </c>
      <c r="H48" s="109">
        <f t="shared" si="0"/>
        <v>50000000</v>
      </c>
      <c r="I48" s="77"/>
    </row>
    <row r="49" spans="1:9" ht="15.95" customHeight="1">
      <c r="A49" s="556"/>
      <c r="B49" s="104"/>
      <c r="C49" s="70" t="s">
        <v>244</v>
      </c>
      <c r="D49" s="333" t="s">
        <v>245</v>
      </c>
      <c r="E49" s="333" t="s">
        <v>204</v>
      </c>
      <c r="F49" s="334">
        <v>2</v>
      </c>
      <c r="G49" s="71">
        <v>15400000</v>
      </c>
      <c r="H49" s="105">
        <f t="shared" si="0"/>
        <v>30800000</v>
      </c>
      <c r="I49" s="72"/>
    </row>
    <row r="50" spans="1:9" ht="15.95" customHeight="1">
      <c r="A50" s="556"/>
      <c r="B50" s="104"/>
      <c r="C50" s="70"/>
      <c r="D50" s="70"/>
      <c r="E50" s="301"/>
      <c r="F50" s="290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301"/>
      <c r="F51" s="290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333"/>
      <c r="E52" s="333"/>
      <c r="F52" s="334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70"/>
      <c r="D53" s="70"/>
      <c r="E53" s="301"/>
      <c r="F53" s="290"/>
      <c r="G53" s="71"/>
      <c r="H53" s="105">
        <f t="shared" si="0"/>
        <v>0</v>
      </c>
      <c r="I53" s="72"/>
    </row>
    <row r="54" spans="1:9" ht="15.95" customHeight="1">
      <c r="A54" s="556"/>
      <c r="B54" s="104"/>
      <c r="C54" s="118"/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556"/>
      <c r="B55" s="74"/>
      <c r="C55" s="107"/>
      <c r="D55" s="97"/>
      <c r="E55" s="97"/>
      <c r="F55" s="40"/>
      <c r="G55" s="40"/>
      <c r="H55" s="30">
        <f>SUM(H48:H54)</f>
        <v>80800000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92200000</v>
      </c>
      <c r="I56" s="76"/>
    </row>
    <row r="57" spans="1:9" ht="15.95" customHeight="1">
      <c r="A57" s="557" t="s">
        <v>72</v>
      </c>
      <c r="B57" s="142" t="s">
        <v>70</v>
      </c>
      <c r="C57" s="145"/>
      <c r="D57" s="80"/>
      <c r="E57" s="112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556"/>
      <c r="B58" s="143" t="s">
        <v>107</v>
      </c>
      <c r="C58" s="368"/>
      <c r="D58" s="335"/>
      <c r="E58" s="369" t="s">
        <v>50</v>
      </c>
      <c r="F58" s="379">
        <v>20</v>
      </c>
      <c r="G58" s="71">
        <v>300000</v>
      </c>
      <c r="H58" s="105">
        <f t="shared" ref="H58:H64" si="1">F58*G58</f>
        <v>6000000</v>
      </c>
      <c r="I58" s="72"/>
    </row>
    <row r="59" spans="1:9" ht="15.95" customHeight="1">
      <c r="A59" s="556"/>
      <c r="B59" s="174" t="s">
        <v>108</v>
      </c>
      <c r="C59" s="368"/>
      <c r="D59" s="335"/>
      <c r="E59" s="369" t="s">
        <v>50</v>
      </c>
      <c r="F59" s="379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109</v>
      </c>
      <c r="C60" s="368"/>
      <c r="D60" s="335"/>
      <c r="E60" s="369" t="s">
        <v>50</v>
      </c>
      <c r="F60" s="379">
        <v>20</v>
      </c>
      <c r="G60" s="71">
        <v>300000</v>
      </c>
      <c r="H60" s="105">
        <f t="shared" si="1"/>
        <v>6000000</v>
      </c>
      <c r="I60" s="72"/>
    </row>
    <row r="61" spans="1:9" ht="15.95" customHeight="1">
      <c r="A61" s="556"/>
      <c r="B61" s="143" t="s">
        <v>110</v>
      </c>
      <c r="C61" s="368"/>
      <c r="D61" s="335"/>
      <c r="E61" s="369" t="s">
        <v>50</v>
      </c>
      <c r="F61" s="379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111</v>
      </c>
      <c r="C62" s="368"/>
      <c r="D62" s="335"/>
      <c r="E62" s="369" t="s">
        <v>50</v>
      </c>
      <c r="F62" s="379"/>
      <c r="G62" s="71"/>
      <c r="H62" s="105">
        <f t="shared" si="1"/>
        <v>0</v>
      </c>
      <c r="I62" s="72"/>
    </row>
    <row r="63" spans="1:9" ht="15.95" customHeight="1">
      <c r="A63" s="556"/>
      <c r="B63" s="143" t="s">
        <v>112</v>
      </c>
      <c r="C63" s="368"/>
      <c r="D63" s="335"/>
      <c r="E63" s="369" t="s">
        <v>50</v>
      </c>
      <c r="F63" s="391"/>
      <c r="G63" s="71"/>
      <c r="H63" s="105">
        <f t="shared" si="1"/>
        <v>0</v>
      </c>
      <c r="I63" s="72"/>
    </row>
    <row r="64" spans="1:9" ht="15.95" customHeight="1">
      <c r="A64" s="556"/>
      <c r="B64" s="144" t="s">
        <v>113</v>
      </c>
      <c r="C64" s="370"/>
      <c r="D64" s="354"/>
      <c r="E64" s="371" t="s">
        <v>50</v>
      </c>
      <c r="F64" s="392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12000000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'단위공사별(집계)'!L9+'단위공사별(집계)'!I9</f>
        <v>4193158.953722334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108393158.95372233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  <pageSetUpPr fitToPage="1"/>
  </sheetPr>
  <dimension ref="A1:I72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C1" sqref="C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 t="s">
        <v>201</v>
      </c>
      <c r="D1" s="65"/>
      <c r="E1" s="65"/>
      <c r="F1" s="66"/>
      <c r="G1" s="67"/>
      <c r="I1" s="28" t="s">
        <v>82</v>
      </c>
    </row>
    <row r="2" spans="1:9" s="29" customFormat="1" ht="16.5" customHeight="1">
      <c r="A2" s="471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70" t="s">
        <v>234</v>
      </c>
      <c r="D3" s="333"/>
      <c r="E3" s="301" t="s">
        <v>208</v>
      </c>
      <c r="F3" s="290">
        <v>1</v>
      </c>
      <c r="G3" s="71">
        <v>11000000</v>
      </c>
      <c r="H3" s="105">
        <f>IF(F3=0,G3,G3*F3)</f>
        <v>11000000</v>
      </c>
      <c r="I3" s="77"/>
    </row>
    <row r="4" spans="1:9" ht="15.95" customHeight="1">
      <c r="A4" s="556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70"/>
      <c r="F5" s="71"/>
      <c r="G5" s="71"/>
      <c r="H5" s="105">
        <f t="shared" ref="H5:H56" si="0">IF(F5=0,G5,G5*F5)</f>
        <v>0</v>
      </c>
      <c r="I5" s="72"/>
    </row>
    <row r="6" spans="1:9" ht="15.95" customHeight="1">
      <c r="A6" s="556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/>
      <c r="D23" s="302"/>
      <c r="E23" s="302"/>
      <c r="F23" s="291"/>
      <c r="G23" s="119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11000000</v>
      </c>
      <c r="I24" s="267"/>
    </row>
    <row r="25" spans="1:9" ht="15.95" customHeight="1">
      <c r="A25" s="556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/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116"/>
      <c r="D31" s="116"/>
      <c r="E31" s="297"/>
      <c r="F31" s="117"/>
      <c r="G31" s="11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70"/>
      <c r="D32" s="70"/>
      <c r="E32" s="301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301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301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301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301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350"/>
      <c r="E37" s="301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356"/>
      <c r="D38" s="349"/>
      <c r="E38" s="301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261"/>
      <c r="D39" s="261"/>
      <c r="E39" s="70"/>
      <c r="F39" s="262"/>
      <c r="G39" s="262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301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301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301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301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301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70"/>
      <c r="D45" s="70"/>
      <c r="E45" s="301"/>
      <c r="F45" s="71"/>
      <c r="G45" s="71"/>
      <c r="H45" s="105">
        <f t="shared" si="0"/>
        <v>0</v>
      </c>
      <c r="I45" s="72"/>
    </row>
    <row r="46" spans="1:9" ht="15.95" customHeight="1">
      <c r="A46" s="556"/>
      <c r="B46" s="104"/>
      <c r="C46" s="118"/>
      <c r="D46" s="118"/>
      <c r="E46" s="302"/>
      <c r="F46" s="291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70" t="s">
        <v>246</v>
      </c>
      <c r="D48" s="333" t="s">
        <v>247</v>
      </c>
      <c r="E48" s="333" t="s">
        <v>204</v>
      </c>
      <c r="F48" s="334">
        <v>1</v>
      </c>
      <c r="G48" s="71">
        <v>15800000</v>
      </c>
      <c r="H48" s="109">
        <f t="shared" si="0"/>
        <v>15800000</v>
      </c>
      <c r="I48" s="77"/>
    </row>
    <row r="49" spans="1:9" ht="15.95" customHeight="1">
      <c r="A49" s="556"/>
      <c r="B49" s="104"/>
      <c r="C49" s="70" t="s">
        <v>248</v>
      </c>
      <c r="D49" s="333"/>
      <c r="E49" s="333" t="s">
        <v>216</v>
      </c>
      <c r="F49" s="334">
        <v>1</v>
      </c>
      <c r="G49" s="71">
        <v>4600000</v>
      </c>
      <c r="H49" s="105">
        <f t="shared" si="0"/>
        <v>4600000</v>
      </c>
      <c r="I49" s="72"/>
    </row>
    <row r="50" spans="1:9" ht="15.95" customHeight="1">
      <c r="A50" s="556"/>
      <c r="B50" s="104"/>
      <c r="C50" s="70" t="s">
        <v>249</v>
      </c>
      <c r="D50" s="301"/>
      <c r="E50" s="301" t="s">
        <v>208</v>
      </c>
      <c r="F50" s="290">
        <v>1</v>
      </c>
      <c r="G50" s="71">
        <v>23600000</v>
      </c>
      <c r="H50" s="105">
        <f t="shared" si="0"/>
        <v>23600000</v>
      </c>
      <c r="I50" s="72"/>
    </row>
    <row r="51" spans="1:9" ht="15.95" customHeight="1">
      <c r="A51" s="556"/>
      <c r="B51" s="104"/>
      <c r="C51" s="70" t="s">
        <v>250</v>
      </c>
      <c r="D51" s="301"/>
      <c r="E51" s="301" t="s">
        <v>208</v>
      </c>
      <c r="F51" s="290">
        <v>1</v>
      </c>
      <c r="G51" s="71">
        <v>9500000</v>
      </c>
      <c r="H51" s="105">
        <f t="shared" si="0"/>
        <v>9500000</v>
      </c>
      <c r="I51" s="72"/>
    </row>
    <row r="52" spans="1:9" ht="15.95" customHeight="1">
      <c r="A52" s="556"/>
      <c r="B52" s="104"/>
      <c r="C52" s="70" t="s">
        <v>211</v>
      </c>
      <c r="D52" s="301" t="s">
        <v>251</v>
      </c>
      <c r="E52" s="301" t="s">
        <v>208</v>
      </c>
      <c r="F52" s="290">
        <v>1</v>
      </c>
      <c r="G52" s="71">
        <v>10000000</v>
      </c>
      <c r="H52" s="105">
        <f t="shared" si="0"/>
        <v>10000000</v>
      </c>
      <c r="I52" s="72"/>
    </row>
    <row r="53" spans="1:9" ht="15.95" customHeight="1">
      <c r="A53" s="556"/>
      <c r="B53" s="104"/>
      <c r="C53" s="70" t="s">
        <v>210</v>
      </c>
      <c r="D53" s="301" t="s">
        <v>252</v>
      </c>
      <c r="E53" s="301" t="s">
        <v>208</v>
      </c>
      <c r="F53" s="290">
        <v>1</v>
      </c>
      <c r="G53" s="71">
        <v>11000000</v>
      </c>
      <c r="H53" s="105">
        <f t="shared" ref="H53:H54" si="1">IF(F53=0,G53,G53*F53)</f>
        <v>11000000</v>
      </c>
      <c r="I53" s="72"/>
    </row>
    <row r="54" spans="1:9" ht="15.95" customHeight="1">
      <c r="A54" s="556"/>
      <c r="B54" s="104"/>
      <c r="C54" s="70" t="s">
        <v>253</v>
      </c>
      <c r="D54" s="301" t="s">
        <v>256</v>
      </c>
      <c r="E54" s="301" t="s">
        <v>208</v>
      </c>
      <c r="F54" s="290">
        <v>1</v>
      </c>
      <c r="G54" s="71">
        <v>17200000</v>
      </c>
      <c r="H54" s="105">
        <f t="shared" si="1"/>
        <v>17200000</v>
      </c>
      <c r="I54" s="72"/>
    </row>
    <row r="55" spans="1:9" ht="15.95" customHeight="1">
      <c r="A55" s="556"/>
      <c r="B55" s="104"/>
      <c r="C55" s="70" t="s">
        <v>254</v>
      </c>
      <c r="D55" s="301" t="s">
        <v>255</v>
      </c>
      <c r="E55" s="301" t="s">
        <v>208</v>
      </c>
      <c r="F55" s="290">
        <v>1</v>
      </c>
      <c r="G55" s="71">
        <v>25800000</v>
      </c>
      <c r="H55" s="105">
        <f t="shared" si="0"/>
        <v>25800000</v>
      </c>
      <c r="I55" s="72"/>
    </row>
    <row r="56" spans="1:9" ht="15.95" customHeight="1">
      <c r="A56" s="556"/>
      <c r="B56" s="104"/>
      <c r="C56" s="118"/>
      <c r="D56" s="302"/>
      <c r="E56" s="302"/>
      <c r="F56" s="291"/>
      <c r="G56" s="119"/>
      <c r="H56" s="110">
        <f t="shared" si="0"/>
        <v>0</v>
      </c>
      <c r="I56" s="73"/>
    </row>
    <row r="57" spans="1:9" ht="15.95" customHeight="1">
      <c r="A57" s="556"/>
      <c r="B57" s="74"/>
      <c r="C57" s="107"/>
      <c r="D57" s="97"/>
      <c r="E57" s="97"/>
      <c r="F57" s="40"/>
      <c r="G57" s="40"/>
      <c r="H57" s="30">
        <f>SUM(H48:H56)</f>
        <v>117500000</v>
      </c>
      <c r="I57" s="76"/>
    </row>
    <row r="58" spans="1:9" ht="15.95" customHeight="1">
      <c r="A58" s="78"/>
      <c r="B58" s="102" t="s">
        <v>42</v>
      </c>
      <c r="C58" s="75"/>
      <c r="D58" s="76"/>
      <c r="E58" s="76"/>
      <c r="F58" s="56"/>
      <c r="G58" s="56"/>
      <c r="H58" s="30">
        <f>SUM(H57,H47,H30,H24)</f>
        <v>128500000</v>
      </c>
      <c r="I58" s="76"/>
    </row>
    <row r="59" spans="1:9" ht="15.95" customHeight="1">
      <c r="A59" s="557" t="s">
        <v>72</v>
      </c>
      <c r="B59" s="142" t="s">
        <v>70</v>
      </c>
      <c r="C59" s="145"/>
      <c r="D59" s="80"/>
      <c r="E59" s="112" t="s">
        <v>51</v>
      </c>
      <c r="F59" s="117"/>
      <c r="G59" s="117"/>
      <c r="H59" s="109">
        <f>F59*G59</f>
        <v>0</v>
      </c>
      <c r="I59" s="77"/>
    </row>
    <row r="60" spans="1:9" ht="15.95" customHeight="1">
      <c r="A60" s="556"/>
      <c r="B60" s="143" t="s">
        <v>107</v>
      </c>
      <c r="C60" s="146"/>
      <c r="D60" s="81"/>
      <c r="E60" s="113" t="s">
        <v>50</v>
      </c>
      <c r="F60" s="71">
        <v>20</v>
      </c>
      <c r="G60" s="71">
        <v>300000</v>
      </c>
      <c r="H60" s="105">
        <f t="shared" ref="H60:H66" si="2">F60*G60</f>
        <v>6000000</v>
      </c>
      <c r="I60" s="72"/>
    </row>
    <row r="61" spans="1:9" ht="15.95" customHeight="1">
      <c r="A61" s="556"/>
      <c r="B61" s="174" t="s">
        <v>108</v>
      </c>
      <c r="C61" s="146"/>
      <c r="D61" s="81"/>
      <c r="E61" s="113" t="s">
        <v>50</v>
      </c>
      <c r="F61" s="331"/>
      <c r="G61" s="71"/>
      <c r="H61" s="105">
        <f t="shared" si="2"/>
        <v>0</v>
      </c>
      <c r="I61" s="72"/>
    </row>
    <row r="62" spans="1:9" ht="15.95" customHeight="1">
      <c r="A62" s="556"/>
      <c r="B62" s="143" t="s">
        <v>109</v>
      </c>
      <c r="C62" s="146"/>
      <c r="D62" s="81"/>
      <c r="E62" s="113" t="s">
        <v>50</v>
      </c>
      <c r="F62" s="331">
        <v>20</v>
      </c>
      <c r="G62" s="71">
        <v>300000</v>
      </c>
      <c r="H62" s="105">
        <f t="shared" si="2"/>
        <v>6000000</v>
      </c>
      <c r="I62" s="72"/>
    </row>
    <row r="63" spans="1:9" ht="15.95" customHeight="1">
      <c r="A63" s="556"/>
      <c r="B63" s="143" t="s">
        <v>110</v>
      </c>
      <c r="C63" s="146"/>
      <c r="D63" s="81"/>
      <c r="E63" s="113" t="s">
        <v>50</v>
      </c>
      <c r="F63" s="71"/>
      <c r="G63" s="71"/>
      <c r="H63" s="105">
        <f t="shared" si="2"/>
        <v>0</v>
      </c>
      <c r="I63" s="72"/>
    </row>
    <row r="64" spans="1:9" ht="15.95" customHeight="1">
      <c r="A64" s="556"/>
      <c r="B64" s="143" t="s">
        <v>111</v>
      </c>
      <c r="C64" s="146"/>
      <c r="D64" s="81"/>
      <c r="E64" s="113" t="s">
        <v>50</v>
      </c>
      <c r="F64" s="71"/>
      <c r="G64" s="71"/>
      <c r="H64" s="105">
        <f t="shared" si="2"/>
        <v>0</v>
      </c>
      <c r="I64" s="72"/>
    </row>
    <row r="65" spans="1:9" ht="15.95" customHeight="1">
      <c r="A65" s="556"/>
      <c r="B65" s="143" t="s">
        <v>112</v>
      </c>
      <c r="C65" s="146"/>
      <c r="D65" s="81"/>
      <c r="E65" s="113" t="s">
        <v>50</v>
      </c>
      <c r="F65" s="71"/>
      <c r="G65" s="71"/>
      <c r="H65" s="105">
        <f t="shared" si="2"/>
        <v>0</v>
      </c>
      <c r="I65" s="72"/>
    </row>
    <row r="66" spans="1:9" ht="15.95" customHeight="1">
      <c r="A66" s="556"/>
      <c r="B66" s="144" t="s">
        <v>113</v>
      </c>
      <c r="C66" s="147"/>
      <c r="D66" s="82"/>
      <c r="E66" s="114" t="s">
        <v>50</v>
      </c>
      <c r="F66" s="119"/>
      <c r="G66" s="119"/>
      <c r="H66" s="110">
        <f t="shared" si="2"/>
        <v>0</v>
      </c>
      <c r="I66" s="73"/>
    </row>
    <row r="67" spans="1:9" ht="15.95" customHeight="1">
      <c r="A67" s="78"/>
      <c r="B67" s="101" t="s">
        <v>41</v>
      </c>
      <c r="C67" s="75"/>
      <c r="D67" s="76"/>
      <c r="E67" s="76"/>
      <c r="F67" s="40"/>
      <c r="G67" s="40"/>
      <c r="H67" s="40">
        <f>SUM(H59:H66)</f>
        <v>12000000</v>
      </c>
      <c r="I67" s="97"/>
    </row>
    <row r="68" spans="1:9" ht="15.95" customHeight="1">
      <c r="A68" s="52"/>
      <c r="B68" s="101" t="s">
        <v>165</v>
      </c>
      <c r="C68" s="75"/>
      <c r="D68" s="76"/>
      <c r="E68" s="76"/>
      <c r="F68" s="30"/>
      <c r="G68" s="30"/>
      <c r="H68" s="56">
        <f>'단위공사별(집계)'!I10+'단위공사별(집계)'!L10</f>
        <v>5653923.5412474852</v>
      </c>
      <c r="I68" s="76"/>
    </row>
    <row r="69" spans="1:9" ht="15.95" customHeight="1">
      <c r="A69" s="52"/>
      <c r="B69" s="101" t="s">
        <v>25</v>
      </c>
      <c r="C69" s="75"/>
      <c r="D69" s="76"/>
      <c r="E69" s="76"/>
      <c r="F69" s="30"/>
      <c r="G69" s="55"/>
      <c r="H69" s="120"/>
      <c r="I69" s="75"/>
    </row>
    <row r="70" spans="1:9" ht="15.95" customHeight="1">
      <c r="A70" s="52"/>
      <c r="B70" s="101" t="s">
        <v>146</v>
      </c>
      <c r="C70" s="75"/>
      <c r="D70" s="76"/>
      <c r="E70" s="76"/>
      <c r="F70" s="30"/>
      <c r="G70" s="55"/>
      <c r="H70" s="120"/>
      <c r="I70" s="75"/>
    </row>
    <row r="71" spans="1:9" ht="15.95" customHeight="1">
      <c r="A71" s="52"/>
      <c r="B71" s="101" t="s">
        <v>147</v>
      </c>
      <c r="C71" s="75"/>
      <c r="D71" s="76"/>
      <c r="E71" s="76"/>
      <c r="F71" s="30"/>
      <c r="G71" s="30"/>
      <c r="H71" s="40">
        <f>H58+H67+H68+H69+H70</f>
        <v>146153923.54124749</v>
      </c>
      <c r="I71" s="76"/>
    </row>
    <row r="72" spans="1:9">
      <c r="A72" s="29"/>
    </row>
  </sheetData>
  <mergeCells count="3">
    <mergeCell ref="A2:B2"/>
    <mergeCell ref="A59:A66"/>
    <mergeCell ref="A3:A5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  <pageSetUpPr fitToPage="1"/>
  </sheetPr>
  <dimension ref="A1:K69"/>
  <sheetViews>
    <sheetView zoomScale="85" zoomScaleNormal="85" workbookViewId="0">
      <pane xSplit="2" ySplit="2" topLeftCell="C9" activePane="bottomRight" state="frozen"/>
      <selection activeCell="H28" sqref="H28"/>
      <selection pane="topRight" activeCell="H28" sqref="H28"/>
      <selection pane="bottomLeft" activeCell="H28" sqref="H28"/>
      <selection pane="bottomRight" activeCell="M17" sqref="M17"/>
    </sheetView>
  </sheetViews>
  <sheetFormatPr defaultRowHeight="13.5"/>
  <cols>
    <col min="1" max="1" width="5" style="28" customWidth="1"/>
    <col min="2" max="2" width="17.875" style="28" bestFit="1" customWidth="1"/>
    <col min="3" max="3" width="30.25" style="28" customWidth="1"/>
    <col min="4" max="4" width="14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11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11" s="29" customFormat="1" ht="16.5" customHeight="1">
      <c r="A2" s="471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11" ht="15.95" customHeight="1">
      <c r="A3" s="554" t="s">
        <v>81</v>
      </c>
      <c r="B3" s="104" t="s">
        <v>37</v>
      </c>
      <c r="C3" s="372"/>
      <c r="D3" s="358"/>
      <c r="E3" s="359"/>
      <c r="F3" s="360"/>
      <c r="G3" s="360"/>
      <c r="H3" s="361">
        <f>IF(F3=0,G3,G3*F3)</f>
        <v>0</v>
      </c>
      <c r="I3" s="77"/>
    </row>
    <row r="4" spans="1:11" ht="15.95" customHeight="1">
      <c r="A4" s="556"/>
      <c r="B4" s="104"/>
      <c r="C4" s="372"/>
      <c r="D4" s="358"/>
      <c r="E4" s="359"/>
      <c r="F4" s="360"/>
      <c r="G4" s="360"/>
      <c r="H4" s="362">
        <f>IF(F4=0,G4,G4*F4)</f>
        <v>0</v>
      </c>
      <c r="I4" s="72"/>
    </row>
    <row r="5" spans="1:11" ht="15.95" customHeight="1">
      <c r="A5" s="556"/>
      <c r="B5" s="104"/>
      <c r="C5" s="372"/>
      <c r="D5" s="358"/>
      <c r="E5" s="359"/>
      <c r="F5" s="360"/>
      <c r="G5" s="360"/>
      <c r="H5" s="362">
        <f t="shared" ref="H5:H53" si="0">IF(F5=0,G5,G5*F5)</f>
        <v>0</v>
      </c>
      <c r="I5" s="72"/>
    </row>
    <row r="6" spans="1:11" ht="15.95" customHeight="1">
      <c r="A6" s="556"/>
      <c r="B6" s="104"/>
      <c r="C6" s="372"/>
      <c r="D6" s="358"/>
      <c r="E6" s="359"/>
      <c r="F6" s="360"/>
      <c r="G6" s="360"/>
      <c r="H6" s="362">
        <f t="shared" si="0"/>
        <v>0</v>
      </c>
      <c r="I6" s="72"/>
    </row>
    <row r="7" spans="1:11" ht="15.95" customHeight="1">
      <c r="A7" s="556"/>
      <c r="B7" s="104"/>
      <c r="C7" s="372"/>
      <c r="D7" s="358"/>
      <c r="E7" s="359"/>
      <c r="F7" s="360"/>
      <c r="G7" s="360"/>
      <c r="H7" s="362">
        <f t="shared" si="0"/>
        <v>0</v>
      </c>
      <c r="I7" s="72"/>
    </row>
    <row r="8" spans="1:11" ht="15.95" customHeight="1">
      <c r="A8" s="556"/>
      <c r="B8" s="104"/>
      <c r="C8" s="372"/>
      <c r="D8" s="358"/>
      <c r="E8" s="359"/>
      <c r="F8" s="360"/>
      <c r="G8" s="360"/>
      <c r="H8" s="362">
        <f t="shared" si="0"/>
        <v>0</v>
      </c>
      <c r="I8" s="72"/>
    </row>
    <row r="9" spans="1:11" ht="15.95" customHeight="1">
      <c r="A9" s="556"/>
      <c r="B9" s="104"/>
      <c r="C9" s="372"/>
      <c r="D9" s="358"/>
      <c r="E9" s="359"/>
      <c r="F9" s="360"/>
      <c r="G9" s="360"/>
      <c r="H9" s="362">
        <f t="shared" si="0"/>
        <v>0</v>
      </c>
      <c r="I9" s="72"/>
    </row>
    <row r="10" spans="1:11" ht="15.95" customHeight="1">
      <c r="A10" s="556"/>
      <c r="B10" s="104"/>
      <c r="C10" s="372"/>
      <c r="D10" s="349"/>
      <c r="E10" s="349"/>
      <c r="F10" s="363"/>
      <c r="G10" s="363"/>
      <c r="H10" s="362">
        <f t="shared" si="0"/>
        <v>0</v>
      </c>
      <c r="I10" s="72"/>
    </row>
    <row r="11" spans="1:11" ht="15.95" customHeight="1">
      <c r="A11" s="556"/>
      <c r="B11" s="104"/>
      <c r="C11" s="349"/>
      <c r="D11" s="349"/>
      <c r="E11" s="349"/>
      <c r="F11" s="363"/>
      <c r="G11" s="363"/>
      <c r="H11" s="362">
        <f t="shared" si="0"/>
        <v>0</v>
      </c>
      <c r="I11" s="72"/>
    </row>
    <row r="12" spans="1:11" ht="15.95" customHeight="1">
      <c r="A12" s="556"/>
      <c r="B12" s="104"/>
      <c r="C12" s="349"/>
      <c r="D12" s="349"/>
      <c r="E12" s="349"/>
      <c r="F12" s="363"/>
      <c r="G12" s="363"/>
      <c r="H12" s="362">
        <f t="shared" si="0"/>
        <v>0</v>
      </c>
      <c r="I12" s="72"/>
    </row>
    <row r="13" spans="1:11" ht="15.95" customHeight="1">
      <c r="A13" s="556"/>
      <c r="B13" s="104"/>
      <c r="C13" s="349"/>
      <c r="D13" s="349"/>
      <c r="E13" s="349"/>
      <c r="F13" s="363"/>
      <c r="G13" s="363"/>
      <c r="H13" s="362">
        <f t="shared" si="0"/>
        <v>0</v>
      </c>
      <c r="I13" s="72"/>
    </row>
    <row r="14" spans="1:11" ht="15.95" customHeight="1">
      <c r="A14" s="556"/>
      <c r="B14" s="104"/>
      <c r="C14" s="349"/>
      <c r="D14" s="349"/>
      <c r="E14" s="349"/>
      <c r="F14" s="363"/>
      <c r="G14" s="363"/>
      <c r="H14" s="362">
        <f t="shared" si="0"/>
        <v>0</v>
      </c>
      <c r="I14" s="72"/>
      <c r="K14" s="365"/>
    </row>
    <row r="15" spans="1:11" ht="15.95" customHeight="1">
      <c r="A15" s="556"/>
      <c r="B15" s="104"/>
      <c r="C15" s="349"/>
      <c r="D15" s="349"/>
      <c r="E15" s="349"/>
      <c r="F15" s="363"/>
      <c r="G15" s="363"/>
      <c r="H15" s="362">
        <f t="shared" si="0"/>
        <v>0</v>
      </c>
      <c r="I15" s="72"/>
    </row>
    <row r="16" spans="1:11" ht="15.95" customHeight="1">
      <c r="A16" s="556"/>
      <c r="B16" s="104"/>
      <c r="C16" s="349"/>
      <c r="D16" s="349"/>
      <c r="E16" s="349"/>
      <c r="F16" s="363"/>
      <c r="G16" s="363"/>
      <c r="H16" s="362">
        <f t="shared" si="0"/>
        <v>0</v>
      </c>
      <c r="I16" s="72"/>
    </row>
    <row r="17" spans="1:9" ht="15.95" customHeight="1">
      <c r="A17" s="556"/>
      <c r="B17" s="104"/>
      <c r="C17" s="349"/>
      <c r="D17" s="349"/>
      <c r="E17" s="349"/>
      <c r="F17" s="363"/>
      <c r="G17" s="363"/>
      <c r="H17" s="362">
        <f t="shared" si="0"/>
        <v>0</v>
      </c>
      <c r="I17" s="72"/>
    </row>
    <row r="18" spans="1:9" ht="15.95" customHeight="1">
      <c r="A18" s="556"/>
      <c r="B18" s="104"/>
      <c r="C18" s="349"/>
      <c r="D18" s="349"/>
      <c r="E18" s="349"/>
      <c r="F18" s="363"/>
      <c r="G18" s="363"/>
      <c r="H18" s="362">
        <f t="shared" si="0"/>
        <v>0</v>
      </c>
      <c r="I18" s="72"/>
    </row>
    <row r="19" spans="1:9" ht="15.95" customHeight="1">
      <c r="A19" s="556"/>
      <c r="B19" s="104"/>
      <c r="C19" s="349"/>
      <c r="D19" s="349"/>
      <c r="E19" s="349"/>
      <c r="F19" s="363"/>
      <c r="G19" s="363"/>
      <c r="H19" s="362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118"/>
      <c r="D22" s="302"/>
      <c r="E22" s="302"/>
      <c r="F22" s="291"/>
      <c r="G22" s="119"/>
      <c r="H22" s="263">
        <f t="shared" si="0"/>
        <v>0</v>
      </c>
      <c r="I22" s="264"/>
    </row>
    <row r="23" spans="1:9" ht="15.95" customHeight="1">
      <c r="A23" s="556"/>
      <c r="B23" s="74"/>
      <c r="C23" s="267"/>
      <c r="D23" s="267"/>
      <c r="E23" s="267"/>
      <c r="F23" s="268"/>
      <c r="G23" s="268"/>
      <c r="H23" s="269">
        <f>SUM(H3:H22)</f>
        <v>0</v>
      </c>
      <c r="I23" s="267"/>
    </row>
    <row r="24" spans="1:9" ht="15.95" customHeight="1">
      <c r="A24" s="556"/>
      <c r="B24" s="104" t="s">
        <v>154</v>
      </c>
      <c r="C24" s="121"/>
      <c r="D24" s="121"/>
      <c r="E24" s="121"/>
      <c r="F24" s="122"/>
      <c r="G24" s="122"/>
      <c r="H24" s="123">
        <f t="shared" si="0"/>
        <v>0</v>
      </c>
      <c r="I24" s="124"/>
    </row>
    <row r="25" spans="1:9" ht="15.95" customHeight="1">
      <c r="A25" s="556"/>
      <c r="B25" s="104" t="s">
        <v>155</v>
      </c>
      <c r="C25" s="70"/>
      <c r="D25" s="70"/>
      <c r="E25" s="70"/>
      <c r="F25" s="71"/>
      <c r="G25" s="71"/>
      <c r="H25" s="105">
        <f t="shared" si="0"/>
        <v>0</v>
      </c>
      <c r="I25" s="72"/>
    </row>
    <row r="26" spans="1:9" ht="15.95" customHeight="1">
      <c r="A26" s="556"/>
      <c r="B26" s="104"/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118"/>
      <c r="D28" s="118"/>
      <c r="E28" s="118"/>
      <c r="F28" s="119"/>
      <c r="G28" s="119"/>
      <c r="H28" s="105">
        <f t="shared" si="0"/>
        <v>0</v>
      </c>
      <c r="I28" s="73"/>
    </row>
    <row r="29" spans="1:9" ht="15.95" customHeight="1">
      <c r="A29" s="556"/>
      <c r="B29" s="74"/>
      <c r="C29" s="107"/>
      <c r="D29" s="97"/>
      <c r="E29" s="97"/>
      <c r="F29" s="152"/>
      <c r="G29" s="40"/>
      <c r="H29" s="30">
        <f>SUM(H24:H28)</f>
        <v>0</v>
      </c>
      <c r="I29" s="76"/>
    </row>
    <row r="30" spans="1:9" ht="15.95" customHeight="1">
      <c r="A30" s="556"/>
      <c r="B30" s="108" t="s">
        <v>38</v>
      </c>
      <c r="C30" s="357"/>
      <c r="D30" s="358"/>
      <c r="E30" s="359"/>
      <c r="F30" s="360"/>
      <c r="G30" s="360"/>
      <c r="H30" s="109">
        <f t="shared" si="0"/>
        <v>0</v>
      </c>
      <c r="I30" s="77"/>
    </row>
    <row r="31" spans="1:9" ht="15.95" customHeight="1">
      <c r="A31" s="556"/>
      <c r="B31" s="104" t="s">
        <v>45</v>
      </c>
      <c r="C31" s="70"/>
      <c r="D31" s="70"/>
      <c r="E31" s="301"/>
      <c r="F31" s="71"/>
      <c r="G31" s="71"/>
      <c r="H31" s="105">
        <f t="shared" si="0"/>
        <v>0</v>
      </c>
      <c r="I31" s="72"/>
    </row>
    <row r="32" spans="1:9" ht="15.95" customHeight="1">
      <c r="A32" s="556"/>
      <c r="B32" s="104"/>
      <c r="C32" s="70"/>
      <c r="D32" s="70"/>
      <c r="E32" s="301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301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301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301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301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70"/>
      <c r="E37" s="301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70"/>
      <c r="D38" s="70"/>
      <c r="E38" s="301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70"/>
      <c r="D39" s="70"/>
      <c r="E39" s="301"/>
      <c r="F39" s="71"/>
      <c r="G39" s="7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301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301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301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301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301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118"/>
      <c r="D45" s="302"/>
      <c r="E45" s="302"/>
      <c r="F45" s="291"/>
      <c r="G45" s="119"/>
      <c r="H45" s="110">
        <f t="shared" si="0"/>
        <v>0</v>
      </c>
      <c r="I45" s="73"/>
    </row>
    <row r="46" spans="1:9" ht="15.95" customHeight="1">
      <c r="A46" s="556"/>
      <c r="B46" s="74"/>
      <c r="C46" s="107"/>
      <c r="D46" s="97"/>
      <c r="E46" s="97"/>
      <c r="F46" s="40"/>
      <c r="G46" s="40"/>
      <c r="H46" s="30">
        <f>SUM(H30:H45)</f>
        <v>0</v>
      </c>
      <c r="I46" s="76"/>
    </row>
    <row r="47" spans="1:9" ht="15.95" customHeight="1">
      <c r="A47" s="556"/>
      <c r="B47" s="108" t="s">
        <v>39</v>
      </c>
      <c r="C47" s="70"/>
      <c r="D47" s="333"/>
      <c r="E47" s="333"/>
      <c r="F47" s="334"/>
      <c r="G47" s="71"/>
      <c r="H47" s="109">
        <f t="shared" si="0"/>
        <v>0</v>
      </c>
      <c r="I47" s="77"/>
    </row>
    <row r="48" spans="1:9" ht="15.95" customHeight="1">
      <c r="A48" s="556"/>
      <c r="B48" s="104"/>
      <c r="C48" s="70"/>
      <c r="D48" s="364"/>
      <c r="E48" s="333"/>
      <c r="F48" s="334"/>
      <c r="G48" s="71"/>
      <c r="H48" s="105">
        <f t="shared" si="0"/>
        <v>0</v>
      </c>
      <c r="I48" s="72"/>
    </row>
    <row r="49" spans="1:9" ht="15.95" customHeight="1">
      <c r="A49" s="556"/>
      <c r="B49" s="104"/>
      <c r="C49" s="70"/>
      <c r="D49" s="333"/>
      <c r="E49" s="333"/>
      <c r="F49" s="334"/>
      <c r="G49" s="71"/>
      <c r="H49" s="105">
        <f t="shared" si="0"/>
        <v>0</v>
      </c>
      <c r="I49" s="72"/>
    </row>
    <row r="50" spans="1:9" ht="15.95" customHeight="1">
      <c r="A50" s="556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118"/>
      <c r="D53" s="118"/>
      <c r="E53" s="118"/>
      <c r="F53" s="119"/>
      <c r="G53" s="119"/>
      <c r="H53" s="110">
        <f t="shared" si="0"/>
        <v>0</v>
      </c>
      <c r="I53" s="73"/>
    </row>
    <row r="54" spans="1:9" ht="15.95" customHeight="1">
      <c r="A54" s="556"/>
      <c r="B54" s="74"/>
      <c r="C54" s="107"/>
      <c r="D54" s="97"/>
      <c r="E54" s="97"/>
      <c r="F54" s="40"/>
      <c r="G54" s="40"/>
      <c r="H54" s="30">
        <f>SUM(H47:H53)</f>
        <v>0</v>
      </c>
      <c r="I54" s="76"/>
    </row>
    <row r="55" spans="1:9" ht="15.95" customHeight="1">
      <c r="A55" s="78"/>
      <c r="B55" s="102" t="s">
        <v>42</v>
      </c>
      <c r="C55" s="75"/>
      <c r="D55" s="76"/>
      <c r="E55" s="76"/>
      <c r="F55" s="56"/>
      <c r="G55" s="56"/>
      <c r="H55" s="30">
        <f>SUM(H54,H46,H29,H23)</f>
        <v>0</v>
      </c>
      <c r="I55" s="76"/>
    </row>
    <row r="56" spans="1:9" ht="15.95" customHeight="1">
      <c r="A56" s="557" t="s">
        <v>72</v>
      </c>
      <c r="B56" s="142" t="s">
        <v>70</v>
      </c>
      <c r="C56" s="145"/>
      <c r="D56" s="80"/>
      <c r="E56" s="112" t="s">
        <v>51</v>
      </c>
      <c r="F56" s="117"/>
      <c r="G56" s="117"/>
      <c r="H56" s="109">
        <f>F56*G56</f>
        <v>0</v>
      </c>
      <c r="I56" s="77"/>
    </row>
    <row r="57" spans="1:9" ht="15.95" customHeight="1">
      <c r="A57" s="556"/>
      <c r="B57" s="143" t="s">
        <v>107</v>
      </c>
      <c r="C57" s="146"/>
      <c r="D57" s="81"/>
      <c r="E57" s="113" t="s">
        <v>50</v>
      </c>
      <c r="F57" s="71"/>
      <c r="G57" s="71"/>
      <c r="H57" s="105">
        <f t="shared" ref="H57:H63" si="1">F57*G57</f>
        <v>0</v>
      </c>
      <c r="I57" s="72"/>
    </row>
    <row r="58" spans="1:9" ht="15.95" customHeight="1">
      <c r="A58" s="556"/>
      <c r="B58" s="174" t="s">
        <v>108</v>
      </c>
      <c r="C58" s="146"/>
      <c r="D58" s="81"/>
      <c r="E58" s="113" t="s">
        <v>50</v>
      </c>
      <c r="F58" s="373"/>
      <c r="G58" s="71"/>
      <c r="H58" s="105">
        <f t="shared" si="1"/>
        <v>0</v>
      </c>
      <c r="I58" s="72"/>
    </row>
    <row r="59" spans="1:9" ht="15.95" customHeight="1">
      <c r="A59" s="556"/>
      <c r="B59" s="143" t="s">
        <v>109</v>
      </c>
      <c r="C59" s="146"/>
      <c r="D59" s="81"/>
      <c r="E59" s="113" t="s">
        <v>50</v>
      </c>
      <c r="F59" s="373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110</v>
      </c>
      <c r="C60" s="146"/>
      <c r="D60" s="81"/>
      <c r="E60" s="113" t="s">
        <v>50</v>
      </c>
      <c r="F60" s="373"/>
      <c r="G60" s="71"/>
      <c r="H60" s="105">
        <f t="shared" si="1"/>
        <v>0</v>
      </c>
      <c r="I60" s="72"/>
    </row>
    <row r="61" spans="1:9" ht="15.95" customHeight="1">
      <c r="A61" s="556"/>
      <c r="B61" s="143" t="s">
        <v>111</v>
      </c>
      <c r="C61" s="146"/>
      <c r="D61" s="81"/>
      <c r="E61" s="113" t="s">
        <v>50</v>
      </c>
      <c r="F61" s="373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112</v>
      </c>
      <c r="C62" s="146"/>
      <c r="D62" s="81"/>
      <c r="E62" s="113" t="s">
        <v>50</v>
      </c>
      <c r="F62" s="373"/>
      <c r="G62" s="71"/>
      <c r="H62" s="105">
        <f t="shared" si="1"/>
        <v>0</v>
      </c>
      <c r="I62" s="72"/>
    </row>
    <row r="63" spans="1:9" ht="15.95" customHeight="1">
      <c r="A63" s="556"/>
      <c r="B63" s="144" t="s">
        <v>175</v>
      </c>
      <c r="C63" s="147" t="s">
        <v>176</v>
      </c>
      <c r="D63" s="82"/>
      <c r="E63" s="114" t="s">
        <v>50</v>
      </c>
      <c r="F63" s="374"/>
      <c r="G63" s="119"/>
      <c r="H63" s="110">
        <f t="shared" si="1"/>
        <v>0</v>
      </c>
      <c r="I63" s="73"/>
    </row>
    <row r="64" spans="1:9" ht="15.95" customHeight="1">
      <c r="A64" s="78"/>
      <c r="B64" s="101" t="s">
        <v>41</v>
      </c>
      <c r="C64" s="75"/>
      <c r="D64" s="76"/>
      <c r="E64" s="76"/>
      <c r="F64" s="40"/>
      <c r="G64" s="40"/>
      <c r="H64" s="40">
        <f>SUM(H56:H63)</f>
        <v>0</v>
      </c>
      <c r="I64" s="97"/>
    </row>
    <row r="65" spans="1:9" ht="15.95" customHeight="1">
      <c r="A65" s="52"/>
      <c r="B65" s="101" t="s">
        <v>165</v>
      </c>
      <c r="C65" s="75"/>
      <c r="D65" s="76"/>
      <c r="E65" s="76"/>
      <c r="F65" s="30"/>
      <c r="G65" s="30"/>
      <c r="H65" s="56">
        <f>'단위공사별(집계)'!L11+'단위공사별(집계)'!I11</f>
        <v>0</v>
      </c>
      <c r="I65" s="76"/>
    </row>
    <row r="66" spans="1:9" ht="15.95" customHeight="1">
      <c r="A66" s="52"/>
      <c r="B66" s="101" t="s">
        <v>25</v>
      </c>
      <c r="C66" s="75"/>
      <c r="D66" s="76"/>
      <c r="E66" s="76"/>
      <c r="F66" s="30"/>
      <c r="G66" s="55"/>
      <c r="H66" s="120">
        <f>(H64+H55)*0.05</f>
        <v>0</v>
      </c>
      <c r="I66" s="75"/>
    </row>
    <row r="67" spans="1:9" ht="15.95" customHeight="1">
      <c r="A67" s="52"/>
      <c r="B67" s="101" t="s">
        <v>146</v>
      </c>
      <c r="C67" s="75"/>
      <c r="D67" s="76"/>
      <c r="E67" s="76"/>
      <c r="F67" s="30"/>
      <c r="G67" s="55"/>
      <c r="H67" s="120">
        <f>(H64+H55)*0.1</f>
        <v>0</v>
      </c>
      <c r="I67" s="75"/>
    </row>
    <row r="68" spans="1:9" ht="15.95" customHeight="1">
      <c r="A68" s="52"/>
      <c r="B68" s="101" t="s">
        <v>147</v>
      </c>
      <c r="C68" s="75"/>
      <c r="D68" s="76"/>
      <c r="E68" s="76"/>
      <c r="F68" s="30"/>
      <c r="G68" s="30"/>
      <c r="H68" s="40">
        <f>H55+H64+H65+H66+H67</f>
        <v>0</v>
      </c>
      <c r="I68" s="76"/>
    </row>
    <row r="69" spans="1:9">
      <c r="A69" s="29"/>
    </row>
  </sheetData>
  <mergeCells count="3">
    <mergeCell ref="A2:B2"/>
    <mergeCell ref="A56:A63"/>
    <mergeCell ref="A3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F33" sqref="F33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471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116"/>
      <c r="D3" s="116"/>
      <c r="E3" s="297"/>
      <c r="F3" s="117"/>
      <c r="G3" s="117"/>
      <c r="H3" s="109">
        <f>IF(F3=0,G3,G3*F3)</f>
        <v>0</v>
      </c>
      <c r="I3" s="77"/>
    </row>
    <row r="4" spans="1:9" ht="15.95" customHeight="1">
      <c r="A4" s="556"/>
      <c r="B4" s="104"/>
      <c r="C4" s="357"/>
      <c r="D4" s="367"/>
      <c r="E4" s="359"/>
      <c r="F4" s="360"/>
      <c r="G4" s="360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301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6"/>
      <c r="B6" s="104"/>
      <c r="C6" s="70"/>
      <c r="D6" s="70"/>
      <c r="E6" s="301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301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301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301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301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301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301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301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301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301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301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301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301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301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301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 t="s">
        <v>47</v>
      </c>
      <c r="D23" s="261"/>
      <c r="E23" s="261"/>
      <c r="F23" s="262"/>
      <c r="G23" s="262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0</v>
      </c>
      <c r="I24" s="267"/>
    </row>
    <row r="25" spans="1:9" ht="15.95" customHeight="1">
      <c r="A25" s="556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116"/>
      <c r="D31" s="116"/>
      <c r="E31" s="297"/>
      <c r="F31" s="117"/>
      <c r="G31" s="11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70"/>
      <c r="D32" s="70"/>
      <c r="E32" s="301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301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301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301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301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70"/>
      <c r="E37" s="301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70"/>
      <c r="D38" s="70"/>
      <c r="E38" s="301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70"/>
      <c r="D39" s="70"/>
      <c r="E39" s="301"/>
      <c r="F39" s="71"/>
      <c r="G39" s="7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301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301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301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301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301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70"/>
      <c r="D45" s="70"/>
      <c r="E45" s="301"/>
      <c r="F45" s="71"/>
      <c r="G45" s="71"/>
      <c r="H45" s="105">
        <f t="shared" si="0"/>
        <v>0</v>
      </c>
      <c r="I45" s="72"/>
    </row>
    <row r="46" spans="1:9" ht="15.95" customHeight="1">
      <c r="A46" s="556"/>
      <c r="B46" s="104"/>
      <c r="C46" s="118" t="s">
        <v>47</v>
      </c>
      <c r="D46" s="302"/>
      <c r="E46" s="302" t="s">
        <v>172</v>
      </c>
      <c r="F46" s="291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70"/>
      <c r="D48" s="333"/>
      <c r="E48" s="333"/>
      <c r="F48" s="334"/>
      <c r="G48" s="71"/>
      <c r="H48" s="109">
        <f t="shared" si="0"/>
        <v>0</v>
      </c>
      <c r="I48" s="77"/>
    </row>
    <row r="49" spans="1:9" ht="15.95" customHeight="1">
      <c r="A49" s="556"/>
      <c r="B49" s="104"/>
      <c r="C49" s="70"/>
      <c r="D49" s="364"/>
      <c r="E49" s="333"/>
      <c r="F49" s="334"/>
      <c r="G49" s="71"/>
      <c r="H49" s="105">
        <f t="shared" si="0"/>
        <v>0</v>
      </c>
      <c r="I49" s="72"/>
    </row>
    <row r="50" spans="1:9" ht="15.95" customHeight="1">
      <c r="A50" s="556"/>
      <c r="B50" s="104"/>
      <c r="C50" s="70"/>
      <c r="D50" s="333"/>
      <c r="E50" s="333"/>
      <c r="F50" s="334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333"/>
      <c r="F51" s="290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70"/>
      <c r="E52" s="333"/>
      <c r="F52" s="290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70"/>
      <c r="D53" s="70"/>
      <c r="E53" s="333"/>
      <c r="F53" s="71"/>
      <c r="G53" s="71"/>
      <c r="H53" s="105">
        <f t="shared" si="0"/>
        <v>0</v>
      </c>
      <c r="I53" s="72"/>
    </row>
    <row r="54" spans="1:9" ht="15.95" customHeight="1">
      <c r="A54" s="556"/>
      <c r="B54" s="104"/>
      <c r="C54" s="118"/>
      <c r="D54" s="118"/>
      <c r="E54" s="355"/>
      <c r="F54" s="119"/>
      <c r="G54" s="119"/>
      <c r="H54" s="110">
        <f t="shared" si="0"/>
        <v>0</v>
      </c>
      <c r="I54" s="73"/>
    </row>
    <row r="55" spans="1:9" ht="15.95" customHeight="1">
      <c r="A55" s="556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7" t="s">
        <v>72</v>
      </c>
      <c r="B57" s="142" t="s">
        <v>70</v>
      </c>
      <c r="C57" s="145"/>
      <c r="D57" s="80"/>
      <c r="E57" s="112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556"/>
      <c r="B58" s="143" t="s">
        <v>107</v>
      </c>
      <c r="C58" s="146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6"/>
      <c r="B59" s="174" t="s">
        <v>108</v>
      </c>
      <c r="C59" s="146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109</v>
      </c>
      <c r="C60" s="146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6"/>
      <c r="B61" s="143" t="s">
        <v>110</v>
      </c>
      <c r="C61" s="146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111</v>
      </c>
      <c r="C62" s="146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6"/>
      <c r="B63" s="143" t="s">
        <v>112</v>
      </c>
      <c r="C63" s="146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6"/>
      <c r="B64" s="144" t="s">
        <v>175</v>
      </c>
      <c r="C64" s="147" t="s">
        <v>176</v>
      </c>
      <c r="D64" s="82"/>
      <c r="E64" s="114" t="s">
        <v>50</v>
      </c>
      <c r="F64" s="366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'단위공사별(집계)'!L12+'단위공사별(집계)'!I12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471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116"/>
      <c r="D3" s="116"/>
      <c r="E3" s="297"/>
      <c r="F3" s="117"/>
      <c r="G3" s="117"/>
      <c r="H3" s="109">
        <f>IF(F3=0,G3,G3*F3)</f>
        <v>0</v>
      </c>
      <c r="I3" s="77"/>
    </row>
    <row r="4" spans="1:9" ht="15.95" customHeight="1">
      <c r="A4" s="556"/>
      <c r="B4" s="104"/>
      <c r="C4" s="70"/>
      <c r="D4" s="70"/>
      <c r="E4" s="301"/>
      <c r="F4" s="71"/>
      <c r="G4" s="71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301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6"/>
      <c r="B6" s="104"/>
      <c r="C6" s="70"/>
      <c r="D6" s="70"/>
      <c r="E6" s="301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301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301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301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301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301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301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301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301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301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301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301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301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301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301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301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 t="s">
        <v>47</v>
      </c>
      <c r="D23" s="302"/>
      <c r="E23" s="302" t="s">
        <v>172</v>
      </c>
      <c r="F23" s="291"/>
      <c r="G23" s="119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0</v>
      </c>
      <c r="I24" s="267"/>
    </row>
    <row r="25" spans="1:9" ht="15.95" customHeight="1">
      <c r="A25" s="556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116"/>
      <c r="D31" s="116"/>
      <c r="E31" s="116"/>
      <c r="F31" s="117"/>
      <c r="G31" s="11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6"/>
      <c r="B46" s="104"/>
      <c r="C46" s="118" t="s">
        <v>47</v>
      </c>
      <c r="D46" s="302"/>
      <c r="E46" s="302" t="s">
        <v>172</v>
      </c>
      <c r="F46" s="291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70"/>
      <c r="D48" s="333"/>
      <c r="E48" s="333"/>
      <c r="F48" s="334"/>
      <c r="G48" s="71"/>
      <c r="H48" s="109">
        <f t="shared" si="0"/>
        <v>0</v>
      </c>
      <c r="I48" s="77"/>
    </row>
    <row r="49" spans="1:9" ht="15.95" customHeight="1">
      <c r="A49" s="556"/>
      <c r="B49" s="104"/>
      <c r="C49" s="70"/>
      <c r="D49" s="333"/>
      <c r="E49" s="333"/>
      <c r="F49" s="334"/>
      <c r="G49" s="71"/>
      <c r="H49" s="105">
        <f t="shared" si="0"/>
        <v>0</v>
      </c>
      <c r="I49" s="72"/>
    </row>
    <row r="50" spans="1:9" ht="15.95" customHeight="1">
      <c r="A50" s="556"/>
      <c r="B50" s="104"/>
      <c r="C50" s="70"/>
      <c r="D50" s="333"/>
      <c r="E50" s="333"/>
      <c r="F50" s="334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6"/>
      <c r="B54" s="104"/>
      <c r="C54" s="118" t="s">
        <v>47</v>
      </c>
      <c r="D54" s="118"/>
      <c r="E54" s="302" t="s">
        <v>172</v>
      </c>
      <c r="F54" s="291"/>
      <c r="G54" s="119"/>
      <c r="H54" s="110">
        <f t="shared" si="0"/>
        <v>0</v>
      </c>
      <c r="I54" s="73"/>
    </row>
    <row r="55" spans="1:9" ht="15.95" customHeight="1">
      <c r="A55" s="556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7" t="s">
        <v>72</v>
      </c>
      <c r="B57" s="142" t="s">
        <v>70</v>
      </c>
      <c r="C57" s="145"/>
      <c r="D57" s="80"/>
      <c r="E57" s="112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556"/>
      <c r="B58" s="143" t="s">
        <v>107</v>
      </c>
      <c r="C58" s="146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6"/>
      <c r="B59" s="174" t="s">
        <v>108</v>
      </c>
      <c r="C59" s="146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109</v>
      </c>
      <c r="C60" s="146"/>
      <c r="D60" s="81"/>
      <c r="E60" s="113" t="s">
        <v>50</v>
      </c>
      <c r="F60" s="331"/>
      <c r="G60" s="71"/>
      <c r="H60" s="105">
        <f t="shared" si="1"/>
        <v>0</v>
      </c>
      <c r="I60" s="72"/>
    </row>
    <row r="61" spans="1:9" ht="15.95" customHeight="1">
      <c r="A61" s="556"/>
      <c r="B61" s="143" t="s">
        <v>110</v>
      </c>
      <c r="C61" s="146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111</v>
      </c>
      <c r="C62" s="146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6"/>
      <c r="B63" s="143" t="s">
        <v>112</v>
      </c>
      <c r="C63" s="146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6"/>
      <c r="B64" s="144" t="s">
        <v>113</v>
      </c>
      <c r="C64" s="147"/>
      <c r="D64" s="82"/>
      <c r="E64" s="114" t="s">
        <v>50</v>
      </c>
      <c r="F64" s="119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'단위공사별(집계)'!L13+'단위공사별(집계)'!I13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>
        <f>(H65+H56)*0.05</f>
        <v>0</v>
      </c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>
        <f>(H65+H56)*0.1</f>
        <v>0</v>
      </c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471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116"/>
      <c r="D3" s="116"/>
      <c r="E3" s="116"/>
      <c r="F3" s="117"/>
      <c r="G3" s="117"/>
      <c r="H3" s="109">
        <f>IF(F3=0,G3,G3*F3)</f>
        <v>0</v>
      </c>
      <c r="I3" s="77"/>
    </row>
    <row r="4" spans="1:9" ht="15.95" customHeight="1">
      <c r="A4" s="556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6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 t="s">
        <v>47</v>
      </c>
      <c r="D23" s="261"/>
      <c r="E23" s="261"/>
      <c r="F23" s="262"/>
      <c r="G23" s="262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0</v>
      </c>
      <c r="I24" s="267"/>
    </row>
    <row r="25" spans="1:9" ht="15.95" customHeight="1">
      <c r="A25" s="556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116"/>
      <c r="D31" s="116"/>
      <c r="E31" s="116"/>
      <c r="F31" s="117"/>
      <c r="G31" s="11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6"/>
      <c r="B46" s="104"/>
      <c r="C46" s="118" t="s">
        <v>47</v>
      </c>
      <c r="D46" s="118"/>
      <c r="E46" s="118"/>
      <c r="F46" s="119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116"/>
      <c r="D48" s="116"/>
      <c r="E48" s="116"/>
      <c r="F48" s="117"/>
      <c r="G48" s="117"/>
      <c r="H48" s="109">
        <f t="shared" si="0"/>
        <v>0</v>
      </c>
      <c r="I48" s="77"/>
    </row>
    <row r="49" spans="1:9" ht="15.95" customHeight="1">
      <c r="A49" s="556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556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6"/>
      <c r="B54" s="104"/>
      <c r="C54" s="118" t="s">
        <v>47</v>
      </c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556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7" t="s">
        <v>72</v>
      </c>
      <c r="B57" s="142" t="s">
        <v>70</v>
      </c>
      <c r="C57" s="145"/>
      <c r="D57" s="80"/>
      <c r="E57" s="112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556"/>
      <c r="B58" s="143" t="s">
        <v>107</v>
      </c>
      <c r="C58" s="146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6"/>
      <c r="B59" s="174" t="s">
        <v>108</v>
      </c>
      <c r="C59" s="146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109</v>
      </c>
      <c r="C60" s="146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6"/>
      <c r="B61" s="143" t="s">
        <v>110</v>
      </c>
      <c r="C61" s="146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111</v>
      </c>
      <c r="C62" s="146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6"/>
      <c r="B63" s="143" t="s">
        <v>112</v>
      </c>
      <c r="C63" s="146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6"/>
      <c r="B64" s="144" t="s">
        <v>113</v>
      </c>
      <c r="C64" s="147"/>
      <c r="D64" s="82"/>
      <c r="E64" s="114" t="s">
        <v>50</v>
      </c>
      <c r="F64" s="119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471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116"/>
      <c r="D3" s="116"/>
      <c r="E3" s="116"/>
      <c r="F3" s="117"/>
      <c r="G3" s="117"/>
      <c r="H3" s="109">
        <f>IF(F3=0,G3,G3*F3)</f>
        <v>0</v>
      </c>
      <c r="I3" s="77"/>
    </row>
    <row r="4" spans="1:9" ht="15.95" customHeight="1">
      <c r="A4" s="556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6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 t="s">
        <v>47</v>
      </c>
      <c r="D23" s="261"/>
      <c r="E23" s="261"/>
      <c r="F23" s="262"/>
      <c r="G23" s="262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0</v>
      </c>
      <c r="I24" s="267"/>
    </row>
    <row r="25" spans="1:9" ht="15.95" customHeight="1">
      <c r="A25" s="556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116"/>
      <c r="D31" s="116"/>
      <c r="E31" s="116"/>
      <c r="F31" s="117"/>
      <c r="G31" s="11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6"/>
      <c r="B46" s="104"/>
      <c r="C46" s="118" t="s">
        <v>47</v>
      </c>
      <c r="D46" s="118"/>
      <c r="E46" s="118"/>
      <c r="F46" s="119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116"/>
      <c r="D48" s="116"/>
      <c r="E48" s="116"/>
      <c r="F48" s="117"/>
      <c r="G48" s="117"/>
      <c r="H48" s="109">
        <f t="shared" si="0"/>
        <v>0</v>
      </c>
      <c r="I48" s="77"/>
    </row>
    <row r="49" spans="1:9" ht="15.95" customHeight="1">
      <c r="A49" s="556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556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6"/>
      <c r="B54" s="104"/>
      <c r="C54" s="118" t="s">
        <v>47</v>
      </c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556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7" t="s">
        <v>72</v>
      </c>
      <c r="B57" s="142" t="s">
        <v>70</v>
      </c>
      <c r="C57" s="145"/>
      <c r="D57" s="80"/>
      <c r="E57" s="112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556"/>
      <c r="B58" s="143" t="s">
        <v>107</v>
      </c>
      <c r="C58" s="146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6"/>
      <c r="B59" s="174" t="s">
        <v>108</v>
      </c>
      <c r="C59" s="146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109</v>
      </c>
      <c r="C60" s="146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6"/>
      <c r="B61" s="143" t="s">
        <v>110</v>
      </c>
      <c r="C61" s="146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111</v>
      </c>
      <c r="C62" s="146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6"/>
      <c r="B63" s="143" t="s">
        <v>112</v>
      </c>
      <c r="C63" s="146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6"/>
      <c r="B64" s="144" t="s">
        <v>113</v>
      </c>
      <c r="C64" s="147"/>
      <c r="D64" s="82"/>
      <c r="E64" s="114" t="s">
        <v>50</v>
      </c>
      <c r="F64" s="119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="85" workbookViewId="0">
      <pane xSplit="2" ySplit="2" topLeftCell="C35" activePane="bottomRight" state="frozen"/>
      <selection activeCell="B69" sqref="B69"/>
      <selection pane="topRight" activeCell="B69" sqref="B69"/>
      <selection pane="bottomLeft" activeCell="B69" sqref="B69"/>
      <selection pane="bottomRight" activeCell="B67" sqref="B67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103" t="s">
        <v>80</v>
      </c>
      <c r="C1" s="151"/>
      <c r="D1" s="65"/>
      <c r="E1" s="65"/>
      <c r="F1" s="66"/>
      <c r="G1" s="67"/>
      <c r="I1" s="28" t="s">
        <v>82</v>
      </c>
    </row>
    <row r="2" spans="1:9" s="29" customFormat="1" ht="16.5" customHeight="1">
      <c r="A2" s="471" t="s">
        <v>31</v>
      </c>
      <c r="B2" s="551"/>
      <c r="C2" s="68" t="s">
        <v>44</v>
      </c>
      <c r="D2" s="32" t="s">
        <v>32</v>
      </c>
      <c r="E2" s="32" t="s">
        <v>33</v>
      </c>
      <c r="F2" s="106" t="s">
        <v>34</v>
      </c>
      <c r="G2" s="106" t="s">
        <v>35</v>
      </c>
      <c r="H2" s="106" t="s">
        <v>36</v>
      </c>
      <c r="I2" s="32" t="s">
        <v>46</v>
      </c>
    </row>
    <row r="3" spans="1:9" ht="15.95" customHeight="1">
      <c r="A3" s="554" t="s">
        <v>81</v>
      </c>
      <c r="B3" s="104" t="s">
        <v>37</v>
      </c>
      <c r="C3" s="116"/>
      <c r="D3" s="116"/>
      <c r="E3" s="116"/>
      <c r="F3" s="117"/>
      <c r="G3" s="117"/>
      <c r="H3" s="109">
        <f>IF(F3=0,G3,G3*F3)</f>
        <v>0</v>
      </c>
      <c r="I3" s="77"/>
    </row>
    <row r="4" spans="1:9" ht="15.95" customHeight="1">
      <c r="A4" s="556"/>
      <c r="B4" s="104"/>
      <c r="C4" s="70"/>
      <c r="D4" s="70"/>
      <c r="E4" s="70"/>
      <c r="F4" s="71"/>
      <c r="G4" s="71"/>
      <c r="H4" s="105">
        <f>IF(F4=0,G4,G4*F4)</f>
        <v>0</v>
      </c>
      <c r="I4" s="72"/>
    </row>
    <row r="5" spans="1:9" ht="15.95" customHeight="1">
      <c r="A5" s="556"/>
      <c r="B5" s="104"/>
      <c r="C5" s="70"/>
      <c r="D5" s="70"/>
      <c r="E5" s="70"/>
      <c r="F5" s="71"/>
      <c r="G5" s="71"/>
      <c r="H5" s="105">
        <f t="shared" ref="H5:H54" si="0">IF(F5=0,G5,G5*F5)</f>
        <v>0</v>
      </c>
      <c r="I5" s="72"/>
    </row>
    <row r="6" spans="1:9" ht="15.95" customHeight="1">
      <c r="A6" s="556"/>
      <c r="B6" s="104"/>
      <c r="C6" s="70"/>
      <c r="D6" s="70"/>
      <c r="E6" s="70"/>
      <c r="F6" s="71"/>
      <c r="G6" s="71"/>
      <c r="H6" s="105">
        <f t="shared" si="0"/>
        <v>0</v>
      </c>
      <c r="I6" s="72"/>
    </row>
    <row r="7" spans="1:9" ht="15.95" customHeight="1">
      <c r="A7" s="556"/>
      <c r="B7" s="104"/>
      <c r="C7" s="70"/>
      <c r="D7" s="70"/>
      <c r="E7" s="70"/>
      <c r="F7" s="71"/>
      <c r="G7" s="71"/>
      <c r="H7" s="105">
        <f t="shared" si="0"/>
        <v>0</v>
      </c>
      <c r="I7" s="72"/>
    </row>
    <row r="8" spans="1:9" ht="15.95" customHeight="1">
      <c r="A8" s="556"/>
      <c r="B8" s="104"/>
      <c r="C8" s="70"/>
      <c r="D8" s="70"/>
      <c r="E8" s="70"/>
      <c r="F8" s="71"/>
      <c r="G8" s="71"/>
      <c r="H8" s="105">
        <f t="shared" si="0"/>
        <v>0</v>
      </c>
      <c r="I8" s="72"/>
    </row>
    <row r="9" spans="1:9" ht="15.95" customHeight="1">
      <c r="A9" s="556"/>
      <c r="B9" s="104"/>
      <c r="C9" s="70"/>
      <c r="D9" s="70"/>
      <c r="E9" s="70"/>
      <c r="F9" s="71"/>
      <c r="G9" s="71"/>
      <c r="H9" s="105">
        <f t="shared" si="0"/>
        <v>0</v>
      </c>
      <c r="I9" s="72"/>
    </row>
    <row r="10" spans="1:9" ht="15.95" customHeight="1">
      <c r="A10" s="556"/>
      <c r="B10" s="104"/>
      <c r="C10" s="70"/>
      <c r="D10" s="70"/>
      <c r="E10" s="70"/>
      <c r="F10" s="71"/>
      <c r="G10" s="71"/>
      <c r="H10" s="105">
        <f t="shared" si="0"/>
        <v>0</v>
      </c>
      <c r="I10" s="72"/>
    </row>
    <row r="11" spans="1:9" ht="15.95" customHeight="1">
      <c r="A11" s="556"/>
      <c r="B11" s="104"/>
      <c r="C11" s="70"/>
      <c r="D11" s="70"/>
      <c r="E11" s="70"/>
      <c r="F11" s="71"/>
      <c r="G11" s="71"/>
      <c r="H11" s="105">
        <f t="shared" si="0"/>
        <v>0</v>
      </c>
      <c r="I11" s="72"/>
    </row>
    <row r="12" spans="1:9" ht="15.95" customHeight="1">
      <c r="A12" s="556"/>
      <c r="B12" s="104"/>
      <c r="C12" s="70"/>
      <c r="D12" s="70"/>
      <c r="E12" s="70"/>
      <c r="F12" s="71"/>
      <c r="G12" s="71"/>
      <c r="H12" s="105">
        <f t="shared" si="0"/>
        <v>0</v>
      </c>
      <c r="I12" s="72"/>
    </row>
    <row r="13" spans="1:9" ht="15.95" customHeight="1">
      <c r="A13" s="556"/>
      <c r="B13" s="104"/>
      <c r="C13" s="70"/>
      <c r="D13" s="70"/>
      <c r="E13" s="70"/>
      <c r="F13" s="71"/>
      <c r="G13" s="71"/>
      <c r="H13" s="105">
        <f t="shared" si="0"/>
        <v>0</v>
      </c>
      <c r="I13" s="72"/>
    </row>
    <row r="14" spans="1:9" ht="15.95" customHeight="1">
      <c r="A14" s="556"/>
      <c r="B14" s="104"/>
      <c r="C14" s="70"/>
      <c r="D14" s="70"/>
      <c r="E14" s="70"/>
      <c r="F14" s="71"/>
      <c r="G14" s="71"/>
      <c r="H14" s="105">
        <f t="shared" si="0"/>
        <v>0</v>
      </c>
      <c r="I14" s="72"/>
    </row>
    <row r="15" spans="1:9" ht="15.95" customHeight="1">
      <c r="A15" s="556"/>
      <c r="B15" s="104"/>
      <c r="C15" s="70"/>
      <c r="D15" s="70"/>
      <c r="E15" s="70"/>
      <c r="F15" s="71"/>
      <c r="G15" s="71"/>
      <c r="H15" s="105">
        <f t="shared" si="0"/>
        <v>0</v>
      </c>
      <c r="I15" s="72"/>
    </row>
    <row r="16" spans="1:9" ht="15.95" customHeight="1">
      <c r="A16" s="556"/>
      <c r="B16" s="104"/>
      <c r="C16" s="70"/>
      <c r="D16" s="70"/>
      <c r="E16" s="70"/>
      <c r="F16" s="71"/>
      <c r="G16" s="71"/>
      <c r="H16" s="105">
        <f t="shared" si="0"/>
        <v>0</v>
      </c>
      <c r="I16" s="72"/>
    </row>
    <row r="17" spans="1:9" ht="15.95" customHeight="1">
      <c r="A17" s="556"/>
      <c r="B17" s="104"/>
      <c r="C17" s="70"/>
      <c r="D17" s="70"/>
      <c r="E17" s="70"/>
      <c r="F17" s="71"/>
      <c r="G17" s="71"/>
      <c r="H17" s="105">
        <f t="shared" si="0"/>
        <v>0</v>
      </c>
      <c r="I17" s="72"/>
    </row>
    <row r="18" spans="1:9" ht="15.95" customHeight="1">
      <c r="A18" s="556"/>
      <c r="B18" s="104"/>
      <c r="C18" s="70"/>
      <c r="D18" s="70"/>
      <c r="E18" s="70"/>
      <c r="F18" s="71"/>
      <c r="G18" s="71"/>
      <c r="H18" s="105">
        <f t="shared" si="0"/>
        <v>0</v>
      </c>
      <c r="I18" s="72"/>
    </row>
    <row r="19" spans="1:9" ht="15.95" customHeight="1">
      <c r="A19" s="556"/>
      <c r="B19" s="104"/>
      <c r="C19" s="70"/>
      <c r="D19" s="70"/>
      <c r="E19" s="70"/>
      <c r="F19" s="71"/>
      <c r="G19" s="71"/>
      <c r="H19" s="105">
        <f t="shared" si="0"/>
        <v>0</v>
      </c>
      <c r="I19" s="72"/>
    </row>
    <row r="20" spans="1:9" ht="15.95" customHeight="1">
      <c r="A20" s="556"/>
      <c r="B20" s="104"/>
      <c r="C20" s="70"/>
      <c r="D20" s="70"/>
      <c r="E20" s="70"/>
      <c r="F20" s="71"/>
      <c r="G20" s="71"/>
      <c r="H20" s="105">
        <f t="shared" si="0"/>
        <v>0</v>
      </c>
      <c r="I20" s="72"/>
    </row>
    <row r="21" spans="1:9" ht="15.95" customHeight="1">
      <c r="A21" s="556"/>
      <c r="B21" s="104"/>
      <c r="C21" s="70"/>
      <c r="D21" s="70"/>
      <c r="E21" s="70"/>
      <c r="F21" s="71"/>
      <c r="G21" s="71"/>
      <c r="H21" s="105">
        <f t="shared" si="0"/>
        <v>0</v>
      </c>
      <c r="I21" s="72"/>
    </row>
    <row r="22" spans="1:9" ht="15.95" customHeight="1">
      <c r="A22" s="556"/>
      <c r="B22" s="104"/>
      <c r="C22" s="70"/>
      <c r="D22" s="70"/>
      <c r="E22" s="70"/>
      <c r="F22" s="71"/>
      <c r="G22" s="71"/>
      <c r="H22" s="105">
        <f t="shared" si="0"/>
        <v>0</v>
      </c>
      <c r="I22" s="72"/>
    </row>
    <row r="23" spans="1:9" ht="15.95" customHeight="1">
      <c r="A23" s="556"/>
      <c r="B23" s="104"/>
      <c r="C23" s="118" t="s">
        <v>47</v>
      </c>
      <c r="D23" s="261"/>
      <c r="E23" s="261"/>
      <c r="F23" s="262"/>
      <c r="G23" s="262"/>
      <c r="H23" s="263">
        <f t="shared" si="0"/>
        <v>0</v>
      </c>
      <c r="I23" s="264"/>
    </row>
    <row r="24" spans="1:9" ht="15.95" customHeight="1">
      <c r="A24" s="556"/>
      <c r="B24" s="74"/>
      <c r="C24" s="267"/>
      <c r="D24" s="267"/>
      <c r="E24" s="267"/>
      <c r="F24" s="268"/>
      <c r="G24" s="268"/>
      <c r="H24" s="269">
        <f>SUM(H3:H23)</f>
        <v>0</v>
      </c>
      <c r="I24" s="267"/>
    </row>
    <row r="25" spans="1:9" ht="15.95" customHeight="1">
      <c r="A25" s="556"/>
      <c r="B25" s="104" t="s">
        <v>154</v>
      </c>
      <c r="C25" s="121"/>
      <c r="D25" s="121"/>
      <c r="E25" s="121"/>
      <c r="F25" s="122"/>
      <c r="G25" s="122"/>
      <c r="H25" s="123">
        <f t="shared" si="0"/>
        <v>0</v>
      </c>
      <c r="I25" s="124"/>
    </row>
    <row r="26" spans="1:9" ht="15.95" customHeight="1">
      <c r="A26" s="556"/>
      <c r="B26" s="104" t="s">
        <v>155</v>
      </c>
      <c r="C26" s="70"/>
      <c r="D26" s="70"/>
      <c r="E26" s="70"/>
      <c r="F26" s="71"/>
      <c r="G26" s="71"/>
      <c r="H26" s="105">
        <f t="shared" si="0"/>
        <v>0</v>
      </c>
      <c r="I26" s="72"/>
    </row>
    <row r="27" spans="1:9" ht="15.95" customHeight="1">
      <c r="A27" s="556"/>
      <c r="B27" s="104"/>
      <c r="C27" s="70"/>
      <c r="D27" s="70"/>
      <c r="E27" s="70"/>
      <c r="F27" s="71"/>
      <c r="G27" s="71"/>
      <c r="H27" s="105">
        <f t="shared" si="0"/>
        <v>0</v>
      </c>
      <c r="I27" s="72"/>
    </row>
    <row r="28" spans="1:9" ht="15.95" customHeight="1">
      <c r="A28" s="556"/>
      <c r="B28" s="104"/>
      <c r="C28" s="70"/>
      <c r="D28" s="70"/>
      <c r="E28" s="70"/>
      <c r="F28" s="71"/>
      <c r="G28" s="71"/>
      <c r="H28" s="105">
        <f t="shared" si="0"/>
        <v>0</v>
      </c>
      <c r="I28" s="72"/>
    </row>
    <row r="29" spans="1:9" ht="15.95" customHeight="1">
      <c r="A29" s="556"/>
      <c r="B29" s="104"/>
      <c r="C29" s="118" t="s">
        <v>47</v>
      </c>
      <c r="D29" s="118"/>
      <c r="E29" s="118"/>
      <c r="F29" s="119"/>
      <c r="G29" s="119"/>
      <c r="H29" s="105">
        <f t="shared" si="0"/>
        <v>0</v>
      </c>
      <c r="I29" s="73"/>
    </row>
    <row r="30" spans="1:9" ht="15.95" customHeight="1">
      <c r="A30" s="556"/>
      <c r="B30" s="74"/>
      <c r="C30" s="107"/>
      <c r="D30" s="97"/>
      <c r="E30" s="97"/>
      <c r="F30" s="152"/>
      <c r="G30" s="40"/>
      <c r="H30" s="30">
        <f>SUM(H25:H29)</f>
        <v>0</v>
      </c>
      <c r="I30" s="76"/>
    </row>
    <row r="31" spans="1:9" ht="15.95" customHeight="1">
      <c r="A31" s="556"/>
      <c r="B31" s="108" t="s">
        <v>38</v>
      </c>
      <c r="C31" s="116"/>
      <c r="D31" s="116"/>
      <c r="E31" s="116"/>
      <c r="F31" s="117"/>
      <c r="G31" s="117"/>
      <c r="H31" s="109">
        <f t="shared" si="0"/>
        <v>0</v>
      </c>
      <c r="I31" s="77"/>
    </row>
    <row r="32" spans="1:9" ht="15.95" customHeight="1">
      <c r="A32" s="556"/>
      <c r="B32" s="104" t="s">
        <v>45</v>
      </c>
      <c r="C32" s="70"/>
      <c r="D32" s="70"/>
      <c r="E32" s="70"/>
      <c r="F32" s="71"/>
      <c r="G32" s="71"/>
      <c r="H32" s="105">
        <f t="shared" si="0"/>
        <v>0</v>
      </c>
      <c r="I32" s="72"/>
    </row>
    <row r="33" spans="1:9" ht="15.95" customHeight="1">
      <c r="A33" s="556"/>
      <c r="B33" s="104"/>
      <c r="C33" s="70"/>
      <c r="D33" s="70"/>
      <c r="E33" s="70"/>
      <c r="F33" s="71"/>
      <c r="G33" s="71"/>
      <c r="H33" s="105">
        <f t="shared" si="0"/>
        <v>0</v>
      </c>
      <c r="I33" s="72"/>
    </row>
    <row r="34" spans="1:9" ht="15.95" customHeight="1">
      <c r="A34" s="556"/>
      <c r="B34" s="104"/>
      <c r="C34" s="70"/>
      <c r="D34" s="70"/>
      <c r="E34" s="70"/>
      <c r="F34" s="71"/>
      <c r="G34" s="71"/>
      <c r="H34" s="105">
        <f t="shared" si="0"/>
        <v>0</v>
      </c>
      <c r="I34" s="72"/>
    </row>
    <row r="35" spans="1:9" ht="15.95" customHeight="1">
      <c r="A35" s="556"/>
      <c r="B35" s="104"/>
      <c r="C35" s="70"/>
      <c r="D35" s="70"/>
      <c r="E35" s="70"/>
      <c r="F35" s="71"/>
      <c r="G35" s="71"/>
      <c r="H35" s="105">
        <f t="shared" si="0"/>
        <v>0</v>
      </c>
      <c r="I35" s="72"/>
    </row>
    <row r="36" spans="1:9" ht="15.95" customHeight="1">
      <c r="A36" s="556"/>
      <c r="B36" s="104"/>
      <c r="C36" s="70"/>
      <c r="D36" s="70"/>
      <c r="E36" s="70"/>
      <c r="F36" s="71"/>
      <c r="G36" s="71"/>
      <c r="H36" s="105">
        <f t="shared" si="0"/>
        <v>0</v>
      </c>
      <c r="I36" s="72"/>
    </row>
    <row r="37" spans="1:9" ht="15.95" customHeight="1">
      <c r="A37" s="556"/>
      <c r="B37" s="104"/>
      <c r="C37" s="70"/>
      <c r="D37" s="70"/>
      <c r="E37" s="70"/>
      <c r="F37" s="71"/>
      <c r="G37" s="71"/>
      <c r="H37" s="105">
        <f t="shared" si="0"/>
        <v>0</v>
      </c>
      <c r="I37" s="72"/>
    </row>
    <row r="38" spans="1:9" ht="15.95" customHeight="1">
      <c r="A38" s="556"/>
      <c r="B38" s="104"/>
      <c r="C38" s="70"/>
      <c r="D38" s="70"/>
      <c r="E38" s="70"/>
      <c r="F38" s="71"/>
      <c r="G38" s="71"/>
      <c r="H38" s="105">
        <f t="shared" si="0"/>
        <v>0</v>
      </c>
      <c r="I38" s="72"/>
    </row>
    <row r="39" spans="1:9" ht="15.95" customHeight="1">
      <c r="A39" s="556"/>
      <c r="B39" s="104"/>
      <c r="C39" s="70"/>
      <c r="D39" s="70"/>
      <c r="E39" s="70"/>
      <c r="F39" s="71"/>
      <c r="G39" s="71"/>
      <c r="H39" s="105">
        <f t="shared" si="0"/>
        <v>0</v>
      </c>
      <c r="I39" s="72"/>
    </row>
    <row r="40" spans="1:9" ht="15.95" customHeight="1">
      <c r="A40" s="556"/>
      <c r="B40" s="104"/>
      <c r="C40" s="70"/>
      <c r="D40" s="70"/>
      <c r="E40" s="70"/>
      <c r="F40" s="71"/>
      <c r="G40" s="71"/>
      <c r="H40" s="105">
        <f t="shared" si="0"/>
        <v>0</v>
      </c>
      <c r="I40" s="72"/>
    </row>
    <row r="41" spans="1:9" ht="15.95" customHeight="1">
      <c r="A41" s="556"/>
      <c r="B41" s="104"/>
      <c r="C41" s="70"/>
      <c r="D41" s="70"/>
      <c r="E41" s="70"/>
      <c r="F41" s="71"/>
      <c r="G41" s="71"/>
      <c r="H41" s="105">
        <f t="shared" si="0"/>
        <v>0</v>
      </c>
      <c r="I41" s="72"/>
    </row>
    <row r="42" spans="1:9" ht="15.95" customHeight="1">
      <c r="A42" s="556"/>
      <c r="B42" s="104"/>
      <c r="C42" s="70"/>
      <c r="D42" s="70"/>
      <c r="E42" s="70"/>
      <c r="F42" s="71"/>
      <c r="G42" s="71"/>
      <c r="H42" s="105">
        <f t="shared" si="0"/>
        <v>0</v>
      </c>
      <c r="I42" s="72"/>
    </row>
    <row r="43" spans="1:9" ht="15.95" customHeight="1">
      <c r="A43" s="556"/>
      <c r="B43" s="104"/>
      <c r="C43" s="70"/>
      <c r="D43" s="70"/>
      <c r="E43" s="70"/>
      <c r="F43" s="71"/>
      <c r="G43" s="71"/>
      <c r="H43" s="105">
        <f t="shared" si="0"/>
        <v>0</v>
      </c>
      <c r="I43" s="72"/>
    </row>
    <row r="44" spans="1:9" ht="15.95" customHeight="1">
      <c r="A44" s="556"/>
      <c r="B44" s="104"/>
      <c r="C44" s="70"/>
      <c r="D44" s="70"/>
      <c r="E44" s="70"/>
      <c r="F44" s="71"/>
      <c r="G44" s="71"/>
      <c r="H44" s="105">
        <f t="shared" si="0"/>
        <v>0</v>
      </c>
      <c r="I44" s="72"/>
    </row>
    <row r="45" spans="1:9" ht="15.95" customHeight="1">
      <c r="A45" s="556"/>
      <c r="B45" s="104"/>
      <c r="C45" s="70"/>
      <c r="D45" s="70"/>
      <c r="E45" s="70"/>
      <c r="F45" s="71"/>
      <c r="G45" s="71"/>
      <c r="H45" s="105">
        <f t="shared" si="0"/>
        <v>0</v>
      </c>
      <c r="I45" s="72"/>
    </row>
    <row r="46" spans="1:9" ht="15.95" customHeight="1">
      <c r="A46" s="556"/>
      <c r="B46" s="104"/>
      <c r="C46" s="118" t="s">
        <v>47</v>
      </c>
      <c r="D46" s="118"/>
      <c r="E46" s="118"/>
      <c r="F46" s="119"/>
      <c r="G46" s="119"/>
      <c r="H46" s="110">
        <f t="shared" si="0"/>
        <v>0</v>
      </c>
      <c r="I46" s="73"/>
    </row>
    <row r="47" spans="1:9" ht="15.95" customHeight="1">
      <c r="A47" s="556"/>
      <c r="B47" s="74"/>
      <c r="C47" s="107"/>
      <c r="D47" s="97"/>
      <c r="E47" s="97"/>
      <c r="F47" s="40"/>
      <c r="G47" s="40"/>
      <c r="H47" s="30">
        <f>SUM(H31:H46)</f>
        <v>0</v>
      </c>
      <c r="I47" s="76"/>
    </row>
    <row r="48" spans="1:9" ht="15.95" customHeight="1">
      <c r="A48" s="556"/>
      <c r="B48" s="108" t="s">
        <v>39</v>
      </c>
      <c r="C48" s="116"/>
      <c r="D48" s="116"/>
      <c r="E48" s="116"/>
      <c r="F48" s="117"/>
      <c r="G48" s="117"/>
      <c r="H48" s="109">
        <f t="shared" si="0"/>
        <v>0</v>
      </c>
      <c r="I48" s="77"/>
    </row>
    <row r="49" spans="1:9" ht="15.95" customHeight="1">
      <c r="A49" s="556"/>
      <c r="B49" s="104"/>
      <c r="C49" s="70"/>
      <c r="D49" s="70"/>
      <c r="E49" s="70"/>
      <c r="F49" s="71"/>
      <c r="G49" s="71"/>
      <c r="H49" s="105">
        <f t="shared" si="0"/>
        <v>0</v>
      </c>
      <c r="I49" s="72"/>
    </row>
    <row r="50" spans="1:9" ht="15.95" customHeight="1">
      <c r="A50" s="556"/>
      <c r="B50" s="104"/>
      <c r="C50" s="70"/>
      <c r="D50" s="70"/>
      <c r="E50" s="70"/>
      <c r="F50" s="71"/>
      <c r="G50" s="71"/>
      <c r="H50" s="105">
        <f t="shared" si="0"/>
        <v>0</v>
      </c>
      <c r="I50" s="72"/>
    </row>
    <row r="51" spans="1:9" ht="15.95" customHeight="1">
      <c r="A51" s="556"/>
      <c r="B51" s="104"/>
      <c r="C51" s="70"/>
      <c r="D51" s="70"/>
      <c r="E51" s="70"/>
      <c r="F51" s="71"/>
      <c r="G51" s="71"/>
      <c r="H51" s="105">
        <f t="shared" si="0"/>
        <v>0</v>
      </c>
      <c r="I51" s="72"/>
    </row>
    <row r="52" spans="1:9" ht="15.95" customHeight="1">
      <c r="A52" s="556"/>
      <c r="B52" s="104"/>
      <c r="C52" s="70"/>
      <c r="D52" s="70"/>
      <c r="E52" s="70"/>
      <c r="F52" s="71"/>
      <c r="G52" s="71"/>
      <c r="H52" s="105">
        <f t="shared" si="0"/>
        <v>0</v>
      </c>
      <c r="I52" s="72"/>
    </row>
    <row r="53" spans="1:9" ht="15.95" customHeight="1">
      <c r="A53" s="556"/>
      <c r="B53" s="104"/>
      <c r="C53" s="70"/>
      <c r="D53" s="70"/>
      <c r="E53" s="70"/>
      <c r="F53" s="71"/>
      <c r="G53" s="71"/>
      <c r="H53" s="105">
        <f t="shared" si="0"/>
        <v>0</v>
      </c>
      <c r="I53" s="72"/>
    </row>
    <row r="54" spans="1:9" ht="15.95" customHeight="1">
      <c r="A54" s="556"/>
      <c r="B54" s="104"/>
      <c r="C54" s="118" t="s">
        <v>47</v>
      </c>
      <c r="D54" s="118"/>
      <c r="E54" s="118"/>
      <c r="F54" s="119"/>
      <c r="G54" s="119"/>
      <c r="H54" s="110">
        <f t="shared" si="0"/>
        <v>0</v>
      </c>
      <c r="I54" s="73"/>
    </row>
    <row r="55" spans="1:9" ht="15.95" customHeight="1">
      <c r="A55" s="556"/>
      <c r="B55" s="74"/>
      <c r="C55" s="107"/>
      <c r="D55" s="97"/>
      <c r="E55" s="97"/>
      <c r="F55" s="40"/>
      <c r="G55" s="40"/>
      <c r="H55" s="30">
        <f>SUM(H48:H54)</f>
        <v>0</v>
      </c>
      <c r="I55" s="76"/>
    </row>
    <row r="56" spans="1:9" ht="15.95" customHeight="1">
      <c r="A56" s="78"/>
      <c r="B56" s="102" t="s">
        <v>42</v>
      </c>
      <c r="C56" s="75"/>
      <c r="D56" s="76"/>
      <c r="E56" s="76"/>
      <c r="F56" s="56"/>
      <c r="G56" s="56"/>
      <c r="H56" s="30">
        <f>SUM(H55,H47,H30,H24)</f>
        <v>0</v>
      </c>
      <c r="I56" s="76"/>
    </row>
    <row r="57" spans="1:9" ht="15.95" customHeight="1">
      <c r="A57" s="557" t="s">
        <v>72</v>
      </c>
      <c r="B57" s="142" t="s">
        <v>70</v>
      </c>
      <c r="C57" s="145"/>
      <c r="D57" s="80"/>
      <c r="E57" s="112" t="s">
        <v>51</v>
      </c>
      <c r="F57" s="117"/>
      <c r="G57" s="117"/>
      <c r="H57" s="109">
        <f>F57*G57</f>
        <v>0</v>
      </c>
      <c r="I57" s="77"/>
    </row>
    <row r="58" spans="1:9" ht="15.95" customHeight="1">
      <c r="A58" s="556"/>
      <c r="B58" s="143" t="s">
        <v>107</v>
      </c>
      <c r="C58" s="146"/>
      <c r="D58" s="81"/>
      <c r="E58" s="113" t="s">
        <v>50</v>
      </c>
      <c r="F58" s="71"/>
      <c r="G58" s="71"/>
      <c r="H58" s="105">
        <f t="shared" ref="H58:H64" si="1">F58*G58</f>
        <v>0</v>
      </c>
      <c r="I58" s="72"/>
    </row>
    <row r="59" spans="1:9" ht="15.95" customHeight="1">
      <c r="A59" s="556"/>
      <c r="B59" s="174" t="s">
        <v>108</v>
      </c>
      <c r="C59" s="146"/>
      <c r="D59" s="81"/>
      <c r="E59" s="113" t="s">
        <v>50</v>
      </c>
      <c r="F59" s="71"/>
      <c r="G59" s="71"/>
      <c r="H59" s="105">
        <f t="shared" si="1"/>
        <v>0</v>
      </c>
      <c r="I59" s="72"/>
    </row>
    <row r="60" spans="1:9" ht="15.95" customHeight="1">
      <c r="A60" s="556"/>
      <c r="B60" s="143" t="s">
        <v>109</v>
      </c>
      <c r="C60" s="146"/>
      <c r="D60" s="81"/>
      <c r="E60" s="113" t="s">
        <v>50</v>
      </c>
      <c r="F60" s="71"/>
      <c r="G60" s="71"/>
      <c r="H60" s="105">
        <f t="shared" si="1"/>
        <v>0</v>
      </c>
      <c r="I60" s="72"/>
    </row>
    <row r="61" spans="1:9" ht="15.95" customHeight="1">
      <c r="A61" s="556"/>
      <c r="B61" s="143" t="s">
        <v>110</v>
      </c>
      <c r="C61" s="146"/>
      <c r="D61" s="81"/>
      <c r="E61" s="113" t="s">
        <v>50</v>
      </c>
      <c r="F61" s="71"/>
      <c r="G61" s="71"/>
      <c r="H61" s="105">
        <f t="shared" si="1"/>
        <v>0</v>
      </c>
      <c r="I61" s="72"/>
    </row>
    <row r="62" spans="1:9" ht="15.95" customHeight="1">
      <c r="A62" s="556"/>
      <c r="B62" s="143" t="s">
        <v>111</v>
      </c>
      <c r="C62" s="146"/>
      <c r="D62" s="81"/>
      <c r="E62" s="113" t="s">
        <v>50</v>
      </c>
      <c r="F62" s="71"/>
      <c r="G62" s="71"/>
      <c r="H62" s="105">
        <f t="shared" si="1"/>
        <v>0</v>
      </c>
      <c r="I62" s="72"/>
    </row>
    <row r="63" spans="1:9" ht="15.95" customHeight="1">
      <c r="A63" s="556"/>
      <c r="B63" s="143" t="s">
        <v>112</v>
      </c>
      <c r="C63" s="146"/>
      <c r="D63" s="81"/>
      <c r="E63" s="113" t="s">
        <v>50</v>
      </c>
      <c r="F63" s="71"/>
      <c r="G63" s="71"/>
      <c r="H63" s="105">
        <f t="shared" si="1"/>
        <v>0</v>
      </c>
      <c r="I63" s="72"/>
    </row>
    <row r="64" spans="1:9" ht="15.95" customHeight="1">
      <c r="A64" s="556"/>
      <c r="B64" s="144" t="s">
        <v>113</v>
      </c>
      <c r="C64" s="147"/>
      <c r="D64" s="82"/>
      <c r="E64" s="114" t="s">
        <v>50</v>
      </c>
      <c r="F64" s="119"/>
      <c r="G64" s="119"/>
      <c r="H64" s="110">
        <f t="shared" si="1"/>
        <v>0</v>
      </c>
      <c r="I64" s="73"/>
    </row>
    <row r="65" spans="1:9" ht="15.95" customHeight="1">
      <c r="A65" s="78"/>
      <c r="B65" s="101" t="s">
        <v>41</v>
      </c>
      <c r="C65" s="75"/>
      <c r="D65" s="76"/>
      <c r="E65" s="76"/>
      <c r="F65" s="40"/>
      <c r="G65" s="40"/>
      <c r="H65" s="40">
        <f>SUM(H57:H64)</f>
        <v>0</v>
      </c>
      <c r="I65" s="97"/>
    </row>
    <row r="66" spans="1:9" ht="15.95" customHeight="1">
      <c r="A66" s="52"/>
      <c r="B66" s="101" t="s">
        <v>165</v>
      </c>
      <c r="C66" s="75"/>
      <c r="D66" s="76"/>
      <c r="E66" s="76"/>
      <c r="F66" s="30"/>
      <c r="G66" s="30"/>
      <c r="H66" s="56">
        <f>'단위공사별(집계)'!L14+'단위공사별(집계)'!I14</f>
        <v>0</v>
      </c>
      <c r="I66" s="76"/>
    </row>
    <row r="67" spans="1:9" ht="15.95" customHeight="1">
      <c r="A67" s="52"/>
      <c r="B67" s="101" t="s">
        <v>25</v>
      </c>
      <c r="C67" s="75"/>
      <c r="D67" s="76"/>
      <c r="E67" s="76"/>
      <c r="F67" s="30"/>
      <c r="G67" s="55"/>
      <c r="H67" s="120"/>
      <c r="I67" s="75"/>
    </row>
    <row r="68" spans="1:9" ht="15.95" customHeight="1">
      <c r="A68" s="52"/>
      <c r="B68" s="101" t="s">
        <v>146</v>
      </c>
      <c r="C68" s="75"/>
      <c r="D68" s="76"/>
      <c r="E68" s="76"/>
      <c r="F68" s="30"/>
      <c r="G68" s="55"/>
      <c r="H68" s="120"/>
      <c r="I68" s="75"/>
    </row>
    <row r="69" spans="1:9" ht="15.95" customHeight="1">
      <c r="A69" s="52"/>
      <c r="B69" s="101" t="s">
        <v>147</v>
      </c>
      <c r="C69" s="75"/>
      <c r="D69" s="76"/>
      <c r="E69" s="76"/>
      <c r="F69" s="30"/>
      <c r="G69" s="30"/>
      <c r="H69" s="40">
        <f>H56+H65+H66+H67+H68</f>
        <v>0</v>
      </c>
      <c r="I69" s="76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zoomScale="85" workbookViewId="0">
      <selection activeCell="O39" sqref="O39"/>
    </sheetView>
  </sheetViews>
  <sheetFormatPr defaultRowHeight="17.25" customHeight="1"/>
  <cols>
    <col min="1" max="1" width="16.5" style="28" customWidth="1"/>
    <col min="2" max="3" width="27.625" style="28" customWidth="1"/>
    <col min="4" max="4" width="11.5" style="28" customWidth="1"/>
    <col min="5" max="16384" width="9" style="28"/>
  </cols>
  <sheetData>
    <row r="1" spans="1:4" ht="17.25" customHeight="1">
      <c r="A1" s="28" t="s">
        <v>97</v>
      </c>
    </row>
    <row r="2" spans="1:4" ht="17.25" customHeight="1">
      <c r="D2" s="29" t="s">
        <v>98</v>
      </c>
    </row>
    <row r="3" spans="1:4" ht="24.75" customHeight="1">
      <c r="A3" s="94" t="s">
        <v>96</v>
      </c>
    </row>
    <row r="4" spans="1:4" ht="11.25" customHeight="1"/>
    <row r="5" spans="1:4" s="96" customFormat="1" ht="21" customHeight="1" thickBot="1">
      <c r="A5" s="95" t="s">
        <v>62</v>
      </c>
      <c r="B5" s="95" t="s">
        <v>52</v>
      </c>
      <c r="C5" s="95" t="s">
        <v>53</v>
      </c>
      <c r="D5" s="95" t="s">
        <v>27</v>
      </c>
    </row>
    <row r="6" spans="1:4" ht="17.25" customHeight="1" thickTop="1">
      <c r="A6" s="69"/>
      <c r="B6" s="69"/>
      <c r="C6" s="69"/>
      <c r="D6" s="69"/>
    </row>
    <row r="7" spans="1:4" ht="17.25" customHeight="1">
      <c r="A7" s="69"/>
      <c r="B7" s="69"/>
      <c r="C7" s="69"/>
      <c r="D7" s="69"/>
    </row>
    <row r="8" spans="1:4" ht="17.25" customHeight="1">
      <c r="A8" s="69"/>
      <c r="B8" s="69"/>
      <c r="C8" s="69"/>
      <c r="D8" s="69"/>
    </row>
    <row r="9" spans="1:4" ht="17.25" customHeight="1">
      <c r="A9" s="69"/>
      <c r="B9" s="69"/>
      <c r="C9" s="69"/>
      <c r="D9" s="69"/>
    </row>
    <row r="10" spans="1:4" ht="17.25" customHeight="1">
      <c r="A10" s="69"/>
      <c r="B10" s="69"/>
      <c r="C10" s="69"/>
      <c r="D10" s="69"/>
    </row>
    <row r="11" spans="1:4" ht="17.25" customHeight="1">
      <c r="A11" s="69"/>
      <c r="B11" s="69"/>
      <c r="C11" s="69"/>
      <c r="D11" s="69"/>
    </row>
    <row r="12" spans="1:4" ht="17.25" customHeight="1">
      <c r="A12" s="69"/>
      <c r="B12" s="69"/>
      <c r="C12" s="69"/>
      <c r="D12" s="69"/>
    </row>
    <row r="13" spans="1:4" ht="17.25" customHeight="1">
      <c r="A13" s="69"/>
      <c r="B13" s="69"/>
      <c r="C13" s="69"/>
      <c r="D13" s="69"/>
    </row>
    <row r="14" spans="1:4" ht="17.25" customHeight="1">
      <c r="A14" s="69"/>
      <c r="B14" s="69"/>
      <c r="C14" s="69"/>
      <c r="D14" s="69"/>
    </row>
    <row r="15" spans="1:4" ht="17.25" customHeight="1">
      <c r="A15" s="69"/>
      <c r="B15" s="69"/>
      <c r="C15" s="69"/>
      <c r="D15" s="69"/>
    </row>
    <row r="16" spans="1:4" ht="17.25" customHeight="1">
      <c r="A16" s="69"/>
      <c r="B16" s="69"/>
      <c r="C16" s="69"/>
      <c r="D16" s="69"/>
    </row>
    <row r="17" spans="1:4" ht="17.25" customHeight="1">
      <c r="A17" s="69"/>
      <c r="B17" s="69"/>
      <c r="C17" s="69"/>
      <c r="D17" s="69"/>
    </row>
    <row r="18" spans="1:4" ht="17.25" customHeight="1">
      <c r="A18" s="69"/>
      <c r="B18" s="69"/>
      <c r="C18" s="69"/>
      <c r="D18" s="69"/>
    </row>
    <row r="19" spans="1:4" ht="17.25" customHeight="1">
      <c r="A19" s="69"/>
      <c r="B19" s="69"/>
      <c r="C19" s="69"/>
      <c r="D19" s="69"/>
    </row>
    <row r="20" spans="1:4" ht="17.25" customHeight="1">
      <c r="A20" s="69"/>
      <c r="B20" s="69"/>
      <c r="C20" s="69"/>
      <c r="D20" s="69"/>
    </row>
    <row r="21" spans="1:4" ht="17.25" customHeight="1">
      <c r="A21" s="69"/>
      <c r="B21" s="69"/>
      <c r="C21" s="69"/>
      <c r="D21" s="69"/>
    </row>
    <row r="22" spans="1:4" ht="17.25" customHeight="1">
      <c r="A22" s="69"/>
      <c r="B22" s="69"/>
      <c r="C22" s="69"/>
      <c r="D22" s="69"/>
    </row>
    <row r="23" spans="1:4" ht="17.25" customHeight="1">
      <c r="A23" s="69"/>
      <c r="B23" s="69"/>
      <c r="C23" s="69"/>
      <c r="D23" s="69"/>
    </row>
    <row r="24" spans="1:4" ht="17.25" customHeight="1">
      <c r="A24" s="69"/>
      <c r="B24" s="69"/>
      <c r="C24" s="69"/>
      <c r="D24" s="69"/>
    </row>
    <row r="25" spans="1:4" ht="17.25" customHeight="1">
      <c r="A25" s="69"/>
      <c r="B25" s="69"/>
      <c r="C25" s="69"/>
      <c r="D25" s="69"/>
    </row>
    <row r="26" spans="1:4" ht="17.25" customHeight="1">
      <c r="A26" s="69"/>
      <c r="B26" s="69"/>
      <c r="C26" s="69"/>
      <c r="D26" s="69"/>
    </row>
    <row r="27" spans="1:4" ht="17.25" customHeight="1">
      <c r="A27" s="69"/>
      <c r="B27" s="69"/>
      <c r="C27" s="69"/>
      <c r="D27" s="69"/>
    </row>
    <row r="28" spans="1:4" ht="17.25" customHeight="1">
      <c r="A28" s="69"/>
      <c r="B28" s="69"/>
      <c r="C28" s="69"/>
      <c r="D28" s="69"/>
    </row>
    <row r="29" spans="1:4" ht="17.25" customHeight="1">
      <c r="A29" s="69"/>
      <c r="B29" s="69"/>
      <c r="C29" s="69"/>
      <c r="D29" s="69"/>
    </row>
    <row r="30" spans="1:4" ht="17.25" customHeight="1">
      <c r="A30" s="69"/>
      <c r="B30" s="69"/>
      <c r="C30" s="69"/>
      <c r="D30" s="69"/>
    </row>
    <row r="31" spans="1:4" ht="17.25" customHeight="1">
      <c r="A31" s="69"/>
      <c r="B31" s="69"/>
      <c r="C31" s="69"/>
      <c r="D31" s="69"/>
    </row>
    <row r="32" spans="1:4" ht="17.25" customHeight="1">
      <c r="A32" s="69"/>
      <c r="B32" s="69"/>
      <c r="C32" s="69"/>
      <c r="D32" s="69"/>
    </row>
    <row r="33" spans="1:4" ht="17.25" customHeight="1">
      <c r="A33" s="69"/>
      <c r="B33" s="69"/>
      <c r="C33" s="69"/>
      <c r="D33" s="69"/>
    </row>
    <row r="34" spans="1:4" ht="17.25" customHeight="1">
      <c r="A34" s="69"/>
      <c r="B34" s="69"/>
      <c r="C34" s="69"/>
      <c r="D34" s="69"/>
    </row>
    <row r="35" spans="1:4" ht="17.25" customHeight="1">
      <c r="A35" s="69"/>
      <c r="B35" s="69"/>
      <c r="C35" s="69"/>
      <c r="D35" s="69"/>
    </row>
    <row r="36" spans="1:4" ht="17.25" customHeight="1">
      <c r="A36" s="97"/>
      <c r="B36" s="97"/>
      <c r="C36" s="97"/>
      <c r="D36" s="97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435f4589ec11d9dca9e07ab5d6a9da34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533e8f78bb66428125cbe98c8735d5fc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259AFF-63CF-4C1F-822A-2DD7E116B6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0C1F76-38BE-4D5C-87FB-5A2A10575838}">
  <ds:schemaRefs>
    <ds:schemaRef ds:uri="http://schemas.microsoft.com/office/2006/metadata/properties"/>
    <ds:schemaRef ds:uri="http://schemas.microsoft.com/office/infopath/2007/PartnerControls"/>
    <ds:schemaRef ds:uri="83072e89-4523-4537-ba2a-0afc19ac2fb1"/>
    <ds:schemaRef ds:uri="ac81bacf-79d0-4aea-837c-13076957425d"/>
  </ds:schemaRefs>
</ds:datastoreItem>
</file>

<file path=customXml/itemProps3.xml><?xml version="1.0" encoding="utf-8"?>
<ds:datastoreItem xmlns:ds="http://schemas.openxmlformats.org/officeDocument/2006/customXml" ds:itemID="{A537E490-B7E8-45B3-A8FB-7C73954FA5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72e89-4523-4537-ba2a-0afc19ac2fb1"/>
    <ds:schemaRef ds:uri="ac81bacf-79d0-4aea-837c-130769574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USER</cp:lastModifiedBy>
  <cp:lastPrinted>2023-03-09T00:35:26Z</cp:lastPrinted>
  <dcterms:created xsi:type="dcterms:W3CDTF">2001-06-04T06:04:44Z</dcterms:created>
  <dcterms:modified xsi:type="dcterms:W3CDTF">2025-08-27T05:38:11Z</dcterms:modified>
</cp:coreProperties>
</file>