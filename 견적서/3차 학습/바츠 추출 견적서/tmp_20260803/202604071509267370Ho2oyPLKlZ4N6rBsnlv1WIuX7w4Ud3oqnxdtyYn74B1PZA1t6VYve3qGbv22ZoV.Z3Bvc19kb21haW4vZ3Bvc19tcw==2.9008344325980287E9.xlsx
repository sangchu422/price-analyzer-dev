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19305" yWindow="-15" windowWidth="19140" windowHeight="17955" tabRatio="1000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7" r:id="rId8"/>
    <sheet name="단위장비5" sheetId="8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4" hidden="1">단위장비1!$A$2:$I$54</definedName>
    <definedName name="_xlnm._FilterDatabase" localSheetId="5" hidden="1">단위장비2!$A$2:$I$69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단위장비5!$J$2:$J$68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전기!$A$2:$I$63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'원가항목별(집계)'!$A$1:$J$45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25725"/>
  <fileRecoveryPr autoRecover="0"/>
</workbook>
</file>

<file path=xl/calcChain.xml><?xml version="1.0" encoding="utf-8"?>
<calcChain xmlns="http://schemas.openxmlformats.org/spreadsheetml/2006/main">
  <c r="H3" i="3"/>
  <c r="H24"/>
  <c r="D14" i="16"/>
  <c r="H51" i="11" l="1"/>
  <c r="B9" i="2" l="1"/>
  <c r="B8"/>
  <c r="B7"/>
  <c r="C27" i="16"/>
  <c r="C26"/>
  <c r="C25"/>
  <c r="C24"/>
  <c r="C23"/>
  <c r="C22"/>
  <c r="C21"/>
  <c r="C20"/>
  <c r="C19"/>
  <c r="H58" i="9"/>
  <c r="H59"/>
  <c r="H60"/>
  <c r="H61"/>
  <c r="H62"/>
  <c r="G9" i="2" s="1"/>
  <c r="H3" i="11"/>
  <c r="H3" i="10"/>
  <c r="H24" s="1"/>
  <c r="H17" i="11"/>
  <c r="H18"/>
  <c r="H5"/>
  <c r="H33"/>
  <c r="H38" i="10"/>
  <c r="H37"/>
  <c r="H36"/>
  <c r="H35"/>
  <c r="H34"/>
  <c r="H47" s="1"/>
  <c r="H33"/>
  <c r="H32"/>
  <c r="H31"/>
  <c r="H7"/>
  <c r="H6"/>
  <c r="H5"/>
  <c r="H4"/>
  <c r="H7" i="11"/>
  <c r="H6"/>
  <c r="H4"/>
  <c r="C18" i="16"/>
  <c r="B11" i="2"/>
  <c r="K11" s="1"/>
  <c r="H3" i="8"/>
  <c r="H4"/>
  <c r="H5"/>
  <c r="H6"/>
  <c r="H7"/>
  <c r="H8"/>
  <c r="H9"/>
  <c r="H23" s="1"/>
  <c r="H49" i="10"/>
  <c r="H55" s="1"/>
  <c r="B10" i="2"/>
  <c r="I10"/>
  <c r="H21" i="11"/>
  <c r="H31"/>
  <c r="H3" i="14"/>
  <c r="H4"/>
  <c r="H24" s="1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5"/>
  <c r="H30" s="1"/>
  <c r="H26"/>
  <c r="H27"/>
  <c r="H28"/>
  <c r="H29"/>
  <c r="H31"/>
  <c r="H32"/>
  <c r="H33"/>
  <c r="H47"/>
  <c r="H34"/>
  <c r="H35"/>
  <c r="H36"/>
  <c r="H37"/>
  <c r="H38"/>
  <c r="H39"/>
  <c r="H40"/>
  <c r="H41"/>
  <c r="H42"/>
  <c r="H43"/>
  <c r="H44"/>
  <c r="H45"/>
  <c r="H46"/>
  <c r="H48"/>
  <c r="H55" s="1"/>
  <c r="H49"/>
  <c r="H50"/>
  <c r="H51"/>
  <c r="H52"/>
  <c r="H53"/>
  <c r="H54"/>
  <c r="H57"/>
  <c r="H65"/>
  <c r="H16" i="2"/>
  <c r="H58" i="14"/>
  <c r="D16" i="2"/>
  <c r="H59" i="14"/>
  <c r="E16" i="2" s="1"/>
  <c r="H60" i="14"/>
  <c r="H61"/>
  <c r="H62"/>
  <c r="H63"/>
  <c r="H64"/>
  <c r="G16" i="2" s="1"/>
  <c r="H3" i="15"/>
  <c r="H24" s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5"/>
  <c r="H26"/>
  <c r="H30" s="1"/>
  <c r="H27"/>
  <c r="H28"/>
  <c r="H29"/>
  <c r="H31"/>
  <c r="H47" s="1"/>
  <c r="H32"/>
  <c r="H33"/>
  <c r="H34"/>
  <c r="H35"/>
  <c r="H36"/>
  <c r="H37"/>
  <c r="H38"/>
  <c r="H39"/>
  <c r="H40"/>
  <c r="H41"/>
  <c r="H42"/>
  <c r="H43"/>
  <c r="H44"/>
  <c r="H45"/>
  <c r="H46"/>
  <c r="H48"/>
  <c r="H49"/>
  <c r="H55" s="1"/>
  <c r="H50"/>
  <c r="H51"/>
  <c r="H52"/>
  <c r="H53"/>
  <c r="H54"/>
  <c r="H57"/>
  <c r="D15" i="2" s="1"/>
  <c r="H58" i="15"/>
  <c r="E15" i="2" s="1"/>
  <c r="H59" i="15"/>
  <c r="H60"/>
  <c r="H61"/>
  <c r="H62"/>
  <c r="G15" i="2"/>
  <c r="H63" i="15"/>
  <c r="H64"/>
  <c r="H15" i="2" s="1"/>
  <c r="H3" i="4"/>
  <c r="H4"/>
  <c r="H24" s="1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5"/>
  <c r="H30" s="1"/>
  <c r="H26"/>
  <c r="H27"/>
  <c r="H28"/>
  <c r="H29"/>
  <c r="H31"/>
  <c r="H32"/>
  <c r="H47" s="1"/>
  <c r="H33"/>
  <c r="H34"/>
  <c r="H35"/>
  <c r="H36"/>
  <c r="H37"/>
  <c r="H38"/>
  <c r="H39"/>
  <c r="H40"/>
  <c r="H41"/>
  <c r="H42"/>
  <c r="H43"/>
  <c r="H44"/>
  <c r="H45"/>
  <c r="H46"/>
  <c r="H48"/>
  <c r="H55"/>
  <c r="H49"/>
  <c r="H50"/>
  <c r="H51"/>
  <c r="H52"/>
  <c r="H53"/>
  <c r="H54"/>
  <c r="H57"/>
  <c r="D14" i="2" s="1"/>
  <c r="E14"/>
  <c r="H58" i="4"/>
  <c r="H59"/>
  <c r="H60"/>
  <c r="H61"/>
  <c r="H62"/>
  <c r="H63"/>
  <c r="H64"/>
  <c r="H3" i="5"/>
  <c r="H4"/>
  <c r="H5"/>
  <c r="H24" s="1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5"/>
  <c r="H26"/>
  <c r="H30" s="1"/>
  <c r="H27"/>
  <c r="H28"/>
  <c r="H29"/>
  <c r="H31"/>
  <c r="H32"/>
  <c r="H33"/>
  <c r="H34"/>
  <c r="H35"/>
  <c r="H36"/>
  <c r="H37"/>
  <c r="H38"/>
  <c r="H39"/>
  <c r="H40"/>
  <c r="H41"/>
  <c r="H42"/>
  <c r="H43"/>
  <c r="H47" s="1"/>
  <c r="H56" s="1"/>
  <c r="H44"/>
  <c r="H45"/>
  <c r="H46"/>
  <c r="H48"/>
  <c r="H49"/>
  <c r="H50"/>
  <c r="H51"/>
  <c r="H52"/>
  <c r="H53"/>
  <c r="H54"/>
  <c r="H57"/>
  <c r="H65" s="1"/>
  <c r="E13" i="2"/>
  <c r="H58" i="5"/>
  <c r="H59"/>
  <c r="F13" i="2" s="1"/>
  <c r="H60" i="5"/>
  <c r="H61"/>
  <c r="G13" i="2" s="1"/>
  <c r="H62" i="5"/>
  <c r="H63"/>
  <c r="H13" i="2"/>
  <c r="H64" i="5"/>
  <c r="H3" i="6"/>
  <c r="H4"/>
  <c r="H24" s="1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5"/>
  <c r="H26"/>
  <c r="H27"/>
  <c r="H28"/>
  <c r="H30" s="1"/>
  <c r="H29"/>
  <c r="H31"/>
  <c r="H47" s="1"/>
  <c r="H32"/>
  <c r="H33"/>
  <c r="H34"/>
  <c r="H35"/>
  <c r="H36"/>
  <c r="H37"/>
  <c r="H38"/>
  <c r="H39"/>
  <c r="H40"/>
  <c r="H41"/>
  <c r="H42"/>
  <c r="H43"/>
  <c r="H44"/>
  <c r="H45"/>
  <c r="H46"/>
  <c r="H48"/>
  <c r="H49"/>
  <c r="H50"/>
  <c r="H51"/>
  <c r="H52"/>
  <c r="H53"/>
  <c r="H54"/>
  <c r="H57"/>
  <c r="H58"/>
  <c r="H59"/>
  <c r="H60"/>
  <c r="H61"/>
  <c r="H62"/>
  <c r="H63"/>
  <c r="H12" i="2" s="1"/>
  <c r="H64" i="6"/>
  <c r="H65" s="1"/>
  <c r="H3" i="7"/>
  <c r="H4"/>
  <c r="H5"/>
  <c r="H6"/>
  <c r="H7"/>
  <c r="H8"/>
  <c r="H9"/>
  <c r="H10"/>
  <c r="H11"/>
  <c r="H12"/>
  <c r="H13"/>
  <c r="H14"/>
  <c r="H24"/>
  <c r="H15"/>
  <c r="H16"/>
  <c r="H17"/>
  <c r="H18"/>
  <c r="H19"/>
  <c r="H20"/>
  <c r="H21"/>
  <c r="H22"/>
  <c r="H23"/>
  <c r="H25"/>
  <c r="H26"/>
  <c r="H27"/>
  <c r="H30" s="1"/>
  <c r="H28"/>
  <c r="H29"/>
  <c r="H31"/>
  <c r="H32"/>
  <c r="H47" s="1"/>
  <c r="H33"/>
  <c r="H34"/>
  <c r="H35"/>
  <c r="H36"/>
  <c r="H37"/>
  <c r="H38"/>
  <c r="H39"/>
  <c r="H40"/>
  <c r="H41"/>
  <c r="H42"/>
  <c r="H43"/>
  <c r="H44"/>
  <c r="H45"/>
  <c r="H46"/>
  <c r="H48"/>
  <c r="H49"/>
  <c r="H55" s="1"/>
  <c r="H56" s="1"/>
  <c r="H50"/>
  <c r="H51"/>
  <c r="H52"/>
  <c r="H53"/>
  <c r="H54"/>
  <c r="H57"/>
  <c r="H58"/>
  <c r="H59"/>
  <c r="H60"/>
  <c r="H61"/>
  <c r="H62"/>
  <c r="H65" s="1"/>
  <c r="H63"/>
  <c r="H10" i="2"/>
  <c r="H64" i="7"/>
  <c r="H10" i="8"/>
  <c r="H11"/>
  <c r="H12"/>
  <c r="H13"/>
  <c r="H14"/>
  <c r="H15"/>
  <c r="H16"/>
  <c r="H17"/>
  <c r="H18"/>
  <c r="H19"/>
  <c r="H20"/>
  <c r="H21"/>
  <c r="H22"/>
  <c r="H24"/>
  <c r="H25"/>
  <c r="H26"/>
  <c r="H27"/>
  <c r="H29" s="1"/>
  <c r="H28"/>
  <c r="H30"/>
  <c r="H31"/>
  <c r="H46" s="1"/>
  <c r="H32"/>
  <c r="H33"/>
  <c r="H34"/>
  <c r="H35"/>
  <c r="H36"/>
  <c r="H37"/>
  <c r="H38"/>
  <c r="H39"/>
  <c r="H40"/>
  <c r="H41"/>
  <c r="H42"/>
  <c r="H43"/>
  <c r="H44"/>
  <c r="H45"/>
  <c r="H47"/>
  <c r="H54" s="1"/>
  <c r="H55" s="1"/>
  <c r="H48"/>
  <c r="H49"/>
  <c r="H50"/>
  <c r="H51"/>
  <c r="H52"/>
  <c r="H53"/>
  <c r="H56"/>
  <c r="H64" s="1"/>
  <c r="H57"/>
  <c r="F11" i="2" s="1"/>
  <c r="H58" i="8"/>
  <c r="H59"/>
  <c r="H60"/>
  <c r="G11" i="2"/>
  <c r="H61" i="8"/>
  <c r="H62"/>
  <c r="H11" i="2"/>
  <c r="H63" i="8"/>
  <c r="I19" i="1" s="1"/>
  <c r="H4" i="9"/>
  <c r="H5"/>
  <c r="H24" s="1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5"/>
  <c r="H26"/>
  <c r="H30" s="1"/>
  <c r="H27"/>
  <c r="H28"/>
  <c r="H29"/>
  <c r="H31"/>
  <c r="H32"/>
  <c r="H33"/>
  <c r="H47" s="1"/>
  <c r="H34"/>
  <c r="H35"/>
  <c r="H36"/>
  <c r="H37"/>
  <c r="H38"/>
  <c r="H39"/>
  <c r="H40"/>
  <c r="H41"/>
  <c r="H42"/>
  <c r="H43"/>
  <c r="H44"/>
  <c r="H45"/>
  <c r="H46"/>
  <c r="H48"/>
  <c r="H55" s="1"/>
  <c r="H49"/>
  <c r="H50"/>
  <c r="H51"/>
  <c r="H52"/>
  <c r="H53"/>
  <c r="H54"/>
  <c r="H57"/>
  <c r="H63"/>
  <c r="H64"/>
  <c r="H8" i="10"/>
  <c r="H9"/>
  <c r="H10"/>
  <c r="H11"/>
  <c r="H12"/>
  <c r="H13"/>
  <c r="H14"/>
  <c r="H15"/>
  <c r="H16"/>
  <c r="H17"/>
  <c r="H18"/>
  <c r="H19"/>
  <c r="H20"/>
  <c r="H21"/>
  <c r="H22"/>
  <c r="H23"/>
  <c r="H25"/>
  <c r="H26"/>
  <c r="H30" s="1"/>
  <c r="H27"/>
  <c r="H28"/>
  <c r="H29"/>
  <c r="H39"/>
  <c r="H40"/>
  <c r="H41"/>
  <c r="H42"/>
  <c r="H43"/>
  <c r="H44"/>
  <c r="H45"/>
  <c r="H46"/>
  <c r="H50"/>
  <c r="H51"/>
  <c r="H52"/>
  <c r="H53"/>
  <c r="H54"/>
  <c r="H57"/>
  <c r="H58"/>
  <c r="F8" i="2" s="1"/>
  <c r="H59" i="10"/>
  <c r="H60"/>
  <c r="H65" s="1"/>
  <c r="H61"/>
  <c r="H62"/>
  <c r="G8" i="2" s="1"/>
  <c r="H63" i="10"/>
  <c r="H8" i="2" s="1"/>
  <c r="H64" i="10"/>
  <c r="H8" i="11"/>
  <c r="H9"/>
  <c r="H11"/>
  <c r="H12"/>
  <c r="H13"/>
  <c r="H14"/>
  <c r="H16"/>
  <c r="H15"/>
  <c r="H19"/>
  <c r="H20"/>
  <c r="H22"/>
  <c r="H23"/>
  <c r="H24"/>
  <c r="H25"/>
  <c r="H26"/>
  <c r="H27"/>
  <c r="H28"/>
  <c r="H29"/>
  <c r="H30"/>
  <c r="H34"/>
  <c r="H35"/>
  <c r="H36"/>
  <c r="H37"/>
  <c r="H38"/>
  <c r="H39"/>
  <c r="H42"/>
  <c r="E7" i="2" s="1"/>
  <c r="H43" i="11"/>
  <c r="H44"/>
  <c r="H45"/>
  <c r="H46"/>
  <c r="G7" i="2" s="1"/>
  <c r="H47" i="11"/>
  <c r="H48"/>
  <c r="H7" i="2" s="1"/>
  <c r="H49" i="11"/>
  <c r="H4" i="3"/>
  <c r="H5"/>
  <c r="H6"/>
  <c r="H7"/>
  <c r="H8"/>
  <c r="H10"/>
  <c r="H16" s="1"/>
  <c r="I24" i="1" s="1"/>
  <c r="H11" i="3"/>
  <c r="H12"/>
  <c r="H13"/>
  <c r="H14"/>
  <c r="H15"/>
  <c r="H17"/>
  <c r="H18"/>
  <c r="H19"/>
  <c r="H20"/>
  <c r="H21"/>
  <c r="H22"/>
  <c r="H23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2"/>
  <c r="H53"/>
  <c r="I26" i="1" s="1"/>
  <c r="H54" i="3"/>
  <c r="I27" i="1" s="1"/>
  <c r="H55" i="3"/>
  <c r="I28" i="1" s="1"/>
  <c r="H56" i="3"/>
  <c r="I29" i="1" s="1"/>
  <c r="H57" i="3"/>
  <c r="I30" i="1" s="1"/>
  <c r="H58" i="3"/>
  <c r="I31" i="1" s="1"/>
  <c r="L9" i="2"/>
  <c r="B12"/>
  <c r="A12" s="1"/>
  <c r="B13"/>
  <c r="I13"/>
  <c r="B14"/>
  <c r="L14"/>
  <c r="H14"/>
  <c r="M14"/>
  <c r="B15"/>
  <c r="L15" s="1"/>
  <c r="B16"/>
  <c r="I16" s="1"/>
  <c r="G7" i="1"/>
  <c r="G12"/>
  <c r="H12"/>
  <c r="G13"/>
  <c r="H13"/>
  <c r="H14"/>
  <c r="G15"/>
  <c r="H15"/>
  <c r="G16"/>
  <c r="H16"/>
  <c r="G17"/>
  <c r="H17"/>
  <c r="G18"/>
  <c r="H18"/>
  <c r="G19"/>
  <c r="H19"/>
  <c r="G25"/>
  <c r="H25"/>
  <c r="I25"/>
  <c r="G26"/>
  <c r="H26"/>
  <c r="G27"/>
  <c r="H27"/>
  <c r="G28"/>
  <c r="H28"/>
  <c r="G29"/>
  <c r="H29"/>
  <c r="G30"/>
  <c r="H30"/>
  <c r="G31"/>
  <c r="H31"/>
  <c r="L16" i="2"/>
  <c r="E12"/>
  <c r="E9"/>
  <c r="A14"/>
  <c r="L13"/>
  <c r="A16"/>
  <c r="K16"/>
  <c r="I14"/>
  <c r="K14"/>
  <c r="E8"/>
  <c r="H55" i="5"/>
  <c r="G12" i="2"/>
  <c r="I16" i="1"/>
  <c r="H55" i="6"/>
  <c r="F10" i="2"/>
  <c r="F9"/>
  <c r="I18" i="1"/>
  <c r="I14"/>
  <c r="I9" i="2"/>
  <c r="H65" i="15"/>
  <c r="F15" i="2" s="1"/>
  <c r="K9"/>
  <c r="A11"/>
  <c r="H9"/>
  <c r="E10"/>
  <c r="K13"/>
  <c r="I15" i="1"/>
  <c r="A13" i="2"/>
  <c r="L11"/>
  <c r="L8"/>
  <c r="K8"/>
  <c r="I8"/>
  <c r="I11"/>
  <c r="L10"/>
  <c r="K10"/>
  <c r="A7"/>
  <c r="A8"/>
  <c r="A9"/>
  <c r="A10"/>
  <c r="H50" i="11" l="1"/>
  <c r="H40"/>
  <c r="H41" s="1"/>
  <c r="H66" i="9"/>
  <c r="H66" i="5"/>
  <c r="H9" i="3"/>
  <c r="H66" i="15"/>
  <c r="F7" i="2"/>
  <c r="I13" i="1"/>
  <c r="H32" i="11"/>
  <c r="I8" i="1" s="1"/>
  <c r="H10" i="11"/>
  <c r="I7" i="1" s="1"/>
  <c r="H66" i="7"/>
  <c r="H50" i="3"/>
  <c r="H66" i="4"/>
  <c r="H65" i="8"/>
  <c r="H59" i="3"/>
  <c r="D10" i="2"/>
  <c r="H68" i="7"/>
  <c r="H67"/>
  <c r="M10" i="2" s="1"/>
  <c r="P14"/>
  <c r="D11"/>
  <c r="H68" i="10"/>
  <c r="H67"/>
  <c r="M8" i="2" s="1"/>
  <c r="D13"/>
  <c r="H67" i="5"/>
  <c r="M13" i="2" s="1"/>
  <c r="H68" i="5"/>
  <c r="H17" i="2"/>
  <c r="I10" i="1"/>
  <c r="H56" i="6"/>
  <c r="H56" i="15"/>
  <c r="H56" i="9"/>
  <c r="H56" i="14"/>
  <c r="H56" i="10"/>
  <c r="H66" i="8"/>
  <c r="M11" i="2" s="1"/>
  <c r="H67" i="8"/>
  <c r="I32" i="1"/>
  <c r="H56" i="4"/>
  <c r="L12" i="2"/>
  <c r="F12"/>
  <c r="A15"/>
  <c r="I15"/>
  <c r="J15" s="1"/>
  <c r="I12"/>
  <c r="I12" i="1"/>
  <c r="I17"/>
  <c r="J39" s="1"/>
  <c r="H65" i="9"/>
  <c r="G10" i="2"/>
  <c r="G17" s="1"/>
  <c r="H66" i="14"/>
  <c r="F16" i="2" s="1"/>
  <c r="J16" s="1"/>
  <c r="F14"/>
  <c r="J14" s="1"/>
  <c r="N14" s="1"/>
  <c r="H66" i="10"/>
  <c r="H65" i="4"/>
  <c r="E11" i="2"/>
  <c r="E17" s="1"/>
  <c r="E18" s="1"/>
  <c r="K12"/>
  <c r="K15"/>
  <c r="H69" i="15" l="1"/>
  <c r="M15" i="2" s="1"/>
  <c r="P15" s="1"/>
  <c r="I9" i="1"/>
  <c r="I11" s="1"/>
  <c r="H51" i="3"/>
  <c r="I23" i="1" s="1"/>
  <c r="H66" i="6"/>
  <c r="I20" i="1"/>
  <c r="I36" s="1"/>
  <c r="J49"/>
  <c r="I49" s="1"/>
  <c r="H69" i="14"/>
  <c r="M16" i="2" s="1"/>
  <c r="N16" s="1"/>
  <c r="F17"/>
  <c r="G25" i="16"/>
  <c r="H25"/>
  <c r="E25"/>
  <c r="H69" i="9"/>
  <c r="D9" i="2"/>
  <c r="J13"/>
  <c r="N13" s="1"/>
  <c r="P13"/>
  <c r="H69" i="4"/>
  <c r="H69" i="5"/>
  <c r="D12" i="2"/>
  <c r="J10"/>
  <c r="N10" s="1"/>
  <c r="P10"/>
  <c r="H68" i="9"/>
  <c r="H67"/>
  <c r="H69" i="7"/>
  <c r="H53" i="11"/>
  <c r="H52"/>
  <c r="D7" i="2"/>
  <c r="H68" i="6"/>
  <c r="H68" i="8"/>
  <c r="H67" i="6"/>
  <c r="M12" i="2" s="1"/>
  <c r="J11"/>
  <c r="N11" s="1"/>
  <c r="P11"/>
  <c r="D8"/>
  <c r="H69" i="10"/>
  <c r="N15" i="2" l="1"/>
  <c r="G26" i="16" s="1"/>
  <c r="J48" i="1"/>
  <c r="I48" s="1"/>
  <c r="I39" s="1"/>
  <c r="C34" i="16" s="1"/>
  <c r="H62" i="3"/>
  <c r="I41" i="1" s="1"/>
  <c r="H61" i="3"/>
  <c r="I35" i="1"/>
  <c r="I37" s="1"/>
  <c r="P16" i="2"/>
  <c r="E27" i="16"/>
  <c r="H27"/>
  <c r="G13" s="1"/>
  <c r="G27"/>
  <c r="E21"/>
  <c r="H21"/>
  <c r="G21"/>
  <c r="P12" i="2"/>
  <c r="J12"/>
  <c r="N12" s="1"/>
  <c r="I21" i="1"/>
  <c r="I22" s="1"/>
  <c r="M7" i="2"/>
  <c r="H69" i="6"/>
  <c r="D17" i="2"/>
  <c r="H54" i="11"/>
  <c r="P8" i="2"/>
  <c r="J8"/>
  <c r="N8" s="1"/>
  <c r="H24" i="16"/>
  <c r="G24"/>
  <c r="E24"/>
  <c r="E22"/>
  <c r="G22"/>
  <c r="H22"/>
  <c r="M9" i="2"/>
  <c r="P9" s="1"/>
  <c r="J9"/>
  <c r="E26" i="16" l="1"/>
  <c r="H26"/>
  <c r="H63" i="3"/>
  <c r="K45" i="16" s="1"/>
  <c r="I33" i="1"/>
  <c r="I34" s="1"/>
  <c r="K7" i="2" s="1"/>
  <c r="K17" s="1"/>
  <c r="I40" i="1"/>
  <c r="M17" i="2"/>
  <c r="H23" i="16"/>
  <c r="G23"/>
  <c r="E23"/>
  <c r="N9" i="2"/>
  <c r="P7"/>
  <c r="P17" s="1"/>
  <c r="H19" i="16"/>
  <c r="E19"/>
  <c r="G19"/>
  <c r="I42" i="1" l="1"/>
  <c r="I7" i="2"/>
  <c r="L7"/>
  <c r="L17" s="1"/>
  <c r="G20" i="16"/>
  <c r="E20"/>
  <c r="H20"/>
  <c r="I17" i="2" l="1"/>
  <c r="J7"/>
  <c r="N7" s="1"/>
  <c r="I18" l="1"/>
  <c r="J17"/>
  <c r="J18" s="1"/>
  <c r="F18" i="16"/>
  <c r="F28" s="1"/>
  <c r="N17" i="2"/>
  <c r="E18" i="16"/>
  <c r="E28" s="1"/>
  <c r="H18"/>
  <c r="H28" s="1"/>
  <c r="G18"/>
  <c r="G28" s="1"/>
  <c r="M18" i="2" l="1"/>
  <c r="N18"/>
  <c r="H18"/>
  <c r="D18"/>
  <c r="L18"/>
  <c r="F18"/>
  <c r="G18"/>
  <c r="K18"/>
  <c r="N20"/>
</calcChain>
</file>

<file path=xl/sharedStrings.xml><?xml version="1.0" encoding="utf-8"?>
<sst xmlns="http://schemas.openxmlformats.org/spreadsheetml/2006/main" count="732" uniqueCount="260">
  <si>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</si>
  <si>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</si>
  <si>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</si>
  <si>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</si>
  <si>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</si>
  <si>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</si>
  <si>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</si>
  <si>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</si>
  <si>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</si>
  <si>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</si>
  <si>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</si>
  <si>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</si>
  <si>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</si>
  <si>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</si>
  <si>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</si>
  <si>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</si>
  <si>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</si>
  <si>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</si>
  <si>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</si>
  <si>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</si>
  <si>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</si>
  <si>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</si>
  <si>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</si>
  <si>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</si>
  <si>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</si>
  <si>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</si>
  <si>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</si>
  <si>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</si>
  <si>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</si>
  <si>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</si>
  <si>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</si>
  <si>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</si>
  <si>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</si>
  <si>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</si>
  <si>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</si>
  <si>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</si>
  <si>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</si>
  <si>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</si>
  <si>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</si>
  <si>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</si>
  <si>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</si>
  <si>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</si>
  <si>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</si>
  <si>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</si>
  <si>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</si>
  <si>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</si>
  <si>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</si>
  <si>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</si>
  <si>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</si>
  <si>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</si>
  <si>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</si>
  <si>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</si>
  <si>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</si>
  <si>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</si>
  <si>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</si>
  <si>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</si>
  <si>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</si>
  <si>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</si>
  <si>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</si>
  <si>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</si>
  <si>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</si>
  <si>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</si>
  <si>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</si>
  <si>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</si>
  <si>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</si>
  <si>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</si>
  <si>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</si>
  <si>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</si>
  <si>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</si>
  <si>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</si>
  <si>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</si>
  <si>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</si>
  <si>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</si>
  <si>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</si>
  <si>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</si>
  <si>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</si>
  <si>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</si>
  <si>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</si>
  <si>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</si>
  <si>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</si>
  <si>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</si>
  <si>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</si>
  <si>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</si>
  <si>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</si>
  <si>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</si>
  <si>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</si>
  <si>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</si>
  <si>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</si>
  <si>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</si>
  <si>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</si>
  <si>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</si>
  <si>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</si>
  <si>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</si>
  <si>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</si>
  <si>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</si>
  <si>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</si>
  <si>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</si>
  <si>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</si>
  <si>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</si>
  <si>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</si>
  <si>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</si>
  <si>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</si>
  <si>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</si>
  <si>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</si>
  <si>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</si>
  <si>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</si>
  <si>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</si>
  <si>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</si>
  <si>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</si>
  <si>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</si>
  <si>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</si>
  <si>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</si>
  <si>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</si>
  <si>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</si>
  <si>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</si>
  <si>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</si>
  <si>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</si>
  <si>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</si>
  <si>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</si>
  <si>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</si>
  <si>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</si>
  <si>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</si>
  <si>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</si>
  <si>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</si>
  <si>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</si>
  <si>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</si>
  <si>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</si>
  <si>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</si>
  <si>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</si>
  <si>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</si>
  <si>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</si>
  <si>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</si>
  <si>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</si>
  <si>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</si>
  <si>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</si>
  <si>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</si>
  <si>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</si>
  <si>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</si>
  <si>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</si>
  <si>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</si>
  <si>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</si>
  <si>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</si>
  <si>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</si>
  <si>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</si>
  <si>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</si>
  <si>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</si>
  <si>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</si>
  <si>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</si>
  <si>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</si>
  <si>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</si>
  <si>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</si>
  <si>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</si>
  <si>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</si>
  <si>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</si>
  <si>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</si>
  <si>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</si>
  <si>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</si>
  <si>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</si>
  <si>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</si>
  <si>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</si>
  <si>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</si>
  <si>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</si>
  <si>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</si>
  <si>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</si>
  <si>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</si>
  <si>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</si>
  <si>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</si>
  <si>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</si>
  <si>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</si>
  <si>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</si>
  <si>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</si>
  <si>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</si>
  <si>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작화. PROGRAM 비</t>
    <phoneticPr fontId="2" type="noConversion"/>
  </si>
  <si>
    <t>Manifold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</si>
  <si>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</si>
  <si>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</si>
  <si>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견적금액</t>
    <phoneticPr fontId="2" type="noConversion"/>
  </si>
  <si>
    <t>)</t>
    <phoneticPr fontId="2" type="noConversion"/>
  </si>
  <si>
    <t>귀사 지정장소</t>
    <phoneticPr fontId="2" type="noConversion"/>
  </si>
  <si>
    <t>협의사항</t>
    <phoneticPr fontId="2" type="noConversion"/>
  </si>
  <si>
    <t>M/D</t>
    <phoneticPr fontId="2" type="noConversion"/>
  </si>
  <si>
    <t>제출후 30 일</t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</si>
  <si>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</si>
  <si>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</si>
  <si>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</si>
  <si>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</si>
  <si>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</si>
  <si>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t>공 사 명</t>
    <phoneticPr fontId="2" type="noConversion"/>
  </si>
  <si>
    <t>LOT</t>
  </si>
  <si>
    <t>PLC INPUT</t>
  </si>
  <si>
    <t>QX42</t>
  </si>
  <si>
    <t>PLC OUTPUT</t>
  </si>
  <si>
    <t xml:space="preserve">QY42 </t>
  </si>
  <si>
    <t>PLC CC LINK(CABLE포함)</t>
  </si>
  <si>
    <t>QJ61BT11N</t>
  </si>
  <si>
    <t>AJ65BTBI-32D</t>
  </si>
  <si>
    <t>AJ65SBTBI-32TE1</t>
  </si>
  <si>
    <t>PHOTO SENSOR</t>
  </si>
  <si>
    <t>BPS3M-TDT</t>
  </si>
  <si>
    <t>MITSUBISHI</t>
    <phoneticPr fontId="2" type="noConversion"/>
  </si>
  <si>
    <t>OMRON</t>
    <phoneticPr fontId="2" type="noConversion"/>
  </si>
  <si>
    <t>L.S</t>
    <phoneticPr fontId="2" type="noConversion"/>
  </si>
  <si>
    <t>Steel Plates SS400</t>
    <phoneticPr fontId="2" type="noConversion"/>
  </si>
  <si>
    <t>8 - 12t</t>
    <phoneticPr fontId="2" type="noConversion"/>
  </si>
  <si>
    <t>Steel 형광류 SS400</t>
    <phoneticPr fontId="2" type="noConversion"/>
  </si>
  <si>
    <t>200x150-6t</t>
    <phoneticPr fontId="2" type="noConversion"/>
  </si>
  <si>
    <t>PROFILE</t>
    <phoneticPr fontId="2" type="noConversion"/>
  </si>
  <si>
    <t>다종</t>
    <phoneticPr fontId="2" type="noConversion"/>
  </si>
  <si>
    <t>Kg</t>
  </si>
  <si>
    <t>포스코</t>
    <phoneticPr fontId="2" type="noConversion"/>
  </si>
  <si>
    <t>현대제철</t>
    <phoneticPr fontId="2" type="noConversion"/>
  </si>
  <si>
    <t>SAMICK</t>
    <phoneticPr fontId="2" type="noConversion"/>
  </si>
  <si>
    <t xml:space="preserve">  ! 직교로봇 : SAB120B-05-3300-BG-E42R-MA40-H -0F0286</t>
  </si>
  <si>
    <t xml:space="preserve">  ! CYLINDER</t>
  </si>
  <si>
    <t>CDA2F 63-400ST</t>
  </si>
  <si>
    <t xml:space="preserve">  ! FINGER</t>
  </si>
  <si>
    <t>MHL2-32D</t>
  </si>
  <si>
    <t xml:space="preserve">  ! SERVO UNIT</t>
  </si>
  <si>
    <t>HG-KR43 + SGL-060</t>
  </si>
  <si>
    <t xml:space="preserve">  ! LINEAR BUSHING</t>
  </si>
  <si>
    <t>LMF 30UU</t>
  </si>
  <si>
    <t xml:space="preserve">  ! PLC AXIS CARD(QD77MS2)</t>
  </si>
  <si>
    <t>SAMICKSYS</t>
    <phoneticPr fontId="2" type="noConversion"/>
  </si>
  <si>
    <t>SMC</t>
    <phoneticPr fontId="2" type="noConversion"/>
  </si>
  <si>
    <t>레이져 및 절단, 절곡 가공비</t>
  </si>
  <si>
    <t>8 - 12T</t>
  </si>
  <si>
    <t>AL, P/L 가공비</t>
  </si>
  <si>
    <t>8 - 20T</t>
  </si>
  <si>
    <t>SS P/L외 가공비</t>
  </si>
  <si>
    <t>다종</t>
  </si>
  <si>
    <t>인도 도장2라인 개조공사</t>
    <phoneticPr fontId="2" type="noConversion"/>
  </si>
  <si>
    <t>인도 도장2라인 개조공사</t>
    <phoneticPr fontId="2" type="noConversion"/>
  </si>
  <si>
    <t>협력사명 : ㈜와스텍기연</t>
    <phoneticPr fontId="2" type="noConversion"/>
  </si>
  <si>
    <t>대표 : 주해옥</t>
    <phoneticPr fontId="2" type="noConversion"/>
  </si>
  <si>
    <t>주소 : 경남 김해시 진례면 테크노밸리로 143</t>
    <phoneticPr fontId="2" type="noConversion"/>
  </si>
  <si>
    <t>전화: 055. 345. 0870</t>
    <phoneticPr fontId="2" type="noConversion"/>
  </si>
  <si>
    <t>Fax: 055. 345. 9450</t>
    <phoneticPr fontId="2" type="noConversion"/>
  </si>
  <si>
    <t>연 락 처 : 010. 3873. 4152</t>
    <phoneticPr fontId="2" type="noConversion"/>
  </si>
  <si>
    <t>견적담당: 홍상희</t>
    <phoneticPr fontId="2" type="noConversion"/>
  </si>
  <si>
    <t>2026 년 04월 30일</t>
    <phoneticPr fontId="2" type="noConversion"/>
  </si>
  <si>
    <t>전기 CABLE외 잡자재</t>
    <phoneticPr fontId="2" type="noConversion"/>
  </si>
  <si>
    <t>M/D</t>
    <phoneticPr fontId="2" type="noConversion"/>
  </si>
  <si>
    <t>인도 숙박,숙식,교통비외(3명x14일)</t>
    <phoneticPr fontId="2" type="noConversion"/>
  </si>
  <si>
    <t>인도개조작업출장비</t>
    <phoneticPr fontId="2" type="noConversion"/>
  </si>
  <si>
    <t>항공비외 국내교통비</t>
    <phoneticPr fontId="2" type="noConversion"/>
  </si>
  <si>
    <t>인도출장비(3명x14일)</t>
    <phoneticPr fontId="2" type="noConversion"/>
  </si>
  <si>
    <t>표면처리(도장, 도금)</t>
    <phoneticPr fontId="2" type="noConversion"/>
  </si>
  <si>
    <t>LOT</t>
    <phoneticPr fontId="2" type="noConversion"/>
  </si>
  <si>
    <t>2026 년 05월 20일</t>
    <phoneticPr fontId="2" type="noConversion"/>
  </si>
  <si>
    <t>WST260318-001</t>
    <phoneticPr fontId="2" type="noConversion"/>
  </si>
  <si>
    <t>기계 설치 및 시운전</t>
    <phoneticPr fontId="2" type="noConversion"/>
  </si>
  <si>
    <t>안전COVER류</t>
    <phoneticPr fontId="2" type="noConversion"/>
  </si>
  <si>
    <t>整(\</t>
    <phoneticPr fontId="2" type="noConversion"/>
  </si>
  <si>
    <r>
      <t>T</t>
    </r>
    <r>
      <rPr>
        <sz val="11"/>
        <rFont val="굴림"/>
        <family val="3"/>
        <charset val="129"/>
      </rPr>
      <t>OUCH SCREEN</t>
    </r>
    <phoneticPr fontId="2" type="noConversion"/>
  </si>
  <si>
    <t xml:space="preserve">PFXGP4501-TAD </t>
    <phoneticPr fontId="2" type="noConversion"/>
  </si>
  <si>
    <t>ST</t>
    <phoneticPr fontId="2" type="noConversion"/>
  </si>
  <si>
    <t>Pro-Face</t>
    <phoneticPr fontId="2" type="noConversion"/>
  </si>
  <si>
    <t>O.P PANEL</t>
    <phoneticPr fontId="2" type="noConversion"/>
  </si>
  <si>
    <t>400x600x250</t>
    <phoneticPr fontId="2" type="noConversion"/>
  </si>
  <si>
    <t>제작품</t>
    <phoneticPr fontId="2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</si>
</sst>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</numFmts>
  <fonts count="33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</cellStyleXfs>
  <cellXfs count="513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vertical="center"/>
    </xf>
    <xf numFmtId="3" fontId="5" fillId="0" borderId="10" xfId="0" applyNumberFormat="1" applyFont="1" applyBorder="1" applyAlignment="1">
      <alignment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9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7" fontId="5" fillId="0" borderId="19" xfId="0" applyNumberFormat="1" applyFont="1" applyBorder="1" applyAlignment="1">
      <alignment horizontal="center" vertical="center"/>
    </xf>
    <xf numFmtId="177" fontId="5" fillId="0" borderId="17" xfId="0" applyNumberFormat="1" applyFont="1" applyBorder="1" applyAlignment="1">
      <alignment vertical="center"/>
    </xf>
    <xf numFmtId="177" fontId="4" fillId="0" borderId="4" xfId="0" applyNumberFormat="1" applyFont="1" applyBorder="1" applyAlignment="1">
      <alignment vertical="center"/>
    </xf>
    <xf numFmtId="177" fontId="4" fillId="0" borderId="23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vertical="center"/>
    </xf>
    <xf numFmtId="177" fontId="4" fillId="0" borderId="24" xfId="0" applyNumberFormat="1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Border="1" applyAlignment="1">
      <alignment vertical="center"/>
    </xf>
    <xf numFmtId="3" fontId="5" fillId="0" borderId="29" xfId="0" applyNumberFormat="1" applyFont="1" applyBorder="1" applyAlignment="1">
      <alignment vertical="center"/>
    </xf>
    <xf numFmtId="3" fontId="5" fillId="0" borderId="30" xfId="0" applyNumberFormat="1" applyFont="1" applyBorder="1" applyAlignment="1">
      <alignment horizontal="left" vertical="center"/>
    </xf>
    <xf numFmtId="177" fontId="4" fillId="0" borderId="31" xfId="0" applyNumberFormat="1" applyFont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11" fillId="0" borderId="0" xfId="0" applyNumberFormat="1" applyFont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77" fontId="5" fillId="0" borderId="2" xfId="0" applyNumberFormat="1" applyFont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5" fillId="0" borderId="41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3" fontId="5" fillId="0" borderId="54" xfId="0" applyNumberFormat="1" applyFont="1" applyBorder="1" applyAlignment="1">
      <alignment vertical="center"/>
    </xf>
    <xf numFmtId="177" fontId="4" fillId="0" borderId="17" xfId="0" applyNumberFormat="1" applyFont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3" fontId="5" fillId="0" borderId="56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Border="1" applyAlignment="1">
      <alignment horizontal="left" vertical="center"/>
    </xf>
    <xf numFmtId="178" fontId="1" fillId="0" borderId="63" xfId="0" applyNumberFormat="1" applyFont="1" applyBorder="1" applyAlignment="1">
      <alignment vertical="center"/>
    </xf>
    <xf numFmtId="178" fontId="0" fillId="0" borderId="64" xfId="0" applyNumberFormat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Border="1" applyAlignment="1">
      <alignment horizontal="left" vertical="center"/>
    </xf>
    <xf numFmtId="178" fontId="1" fillId="0" borderId="4" xfId="0" applyNumberFormat="1" applyFont="1" applyBorder="1" applyAlignment="1">
      <alignment vertical="center"/>
    </xf>
    <xf numFmtId="178" fontId="0" fillId="0" borderId="67" xfId="0" applyNumberFormat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7" xfId="0" applyNumberFormat="1" applyBorder="1" applyAlignment="1">
      <alignment horizontal="left" vertical="center"/>
    </xf>
    <xf numFmtId="178" fontId="1" fillId="0" borderId="23" xfId="0" applyNumberFormat="1" applyFont="1" applyBorder="1" applyAlignment="1">
      <alignment vertical="center"/>
    </xf>
    <xf numFmtId="178" fontId="0" fillId="0" borderId="69" xfId="0" applyNumberFormat="1" applyBorder="1" applyAlignment="1">
      <alignment vertical="center"/>
    </xf>
    <xf numFmtId="178" fontId="0" fillId="0" borderId="70" xfId="0" applyNumberFormat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36" xfId="0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Border="1" applyAlignment="1">
      <alignment vertical="center"/>
    </xf>
    <xf numFmtId="178" fontId="1" fillId="0" borderId="6" xfId="0" applyNumberFormat="1" applyFont="1" applyBorder="1" applyAlignment="1">
      <alignment vertical="center"/>
    </xf>
    <xf numFmtId="178" fontId="1" fillId="0" borderId="8" xfId="0" applyNumberFormat="1" applyFont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178" fontId="25" fillId="0" borderId="85" xfId="0" applyNumberFormat="1" applyFont="1" applyBorder="1" applyAlignment="1">
      <alignment vertical="center"/>
    </xf>
    <xf numFmtId="178" fontId="25" fillId="0" borderId="63" xfId="0" applyNumberFormat="1" applyFont="1" applyBorder="1" applyAlignment="1">
      <alignment vertical="center"/>
    </xf>
    <xf numFmtId="178" fontId="25" fillId="0" borderId="86" xfId="0" applyNumberFormat="1" applyFont="1" applyBorder="1" applyAlignment="1">
      <alignment vertical="center"/>
    </xf>
    <xf numFmtId="178" fontId="25" fillId="0" borderId="13" xfId="0" applyNumberFormat="1" applyFont="1" applyBorder="1" applyAlignment="1">
      <alignment vertical="center"/>
    </xf>
    <xf numFmtId="178" fontId="25" fillId="0" borderId="4" xfId="0" applyNumberFormat="1" applyFont="1" applyBorder="1" applyAlignment="1">
      <alignment vertical="center"/>
    </xf>
    <xf numFmtId="178" fontId="25" fillId="0" borderId="5" xfId="0" applyNumberFormat="1" applyFont="1" applyBorder="1" applyAlignment="1">
      <alignment vertical="center"/>
    </xf>
    <xf numFmtId="178" fontId="25" fillId="0" borderId="87" xfId="0" applyNumberFormat="1" applyFont="1" applyBorder="1" applyAlignment="1">
      <alignment vertical="center"/>
    </xf>
    <xf numFmtId="178" fontId="25" fillId="0" borderId="23" xfId="0" applyNumberFormat="1" applyFont="1" applyBorder="1" applyAlignment="1">
      <alignment vertical="center"/>
    </xf>
    <xf numFmtId="178" fontId="25" fillId="0" borderId="9" xfId="0" applyNumberFormat="1" applyFont="1" applyBorder="1" applyAlignment="1">
      <alignment vertical="center"/>
    </xf>
    <xf numFmtId="178" fontId="25" fillId="0" borderId="1" xfId="0" applyNumberFormat="1" applyFont="1" applyBorder="1" applyAlignment="1">
      <alignment vertical="center"/>
    </xf>
    <xf numFmtId="178" fontId="25" fillId="0" borderId="2" xfId="0" applyNumberFormat="1" applyFont="1" applyBorder="1" applyAlignment="1">
      <alignment vertical="center"/>
    </xf>
    <xf numFmtId="178" fontId="25" fillId="0" borderId="40" xfId="0" applyNumberFormat="1" applyFont="1" applyBorder="1" applyAlignment="1">
      <alignment vertical="center"/>
    </xf>
    <xf numFmtId="9" fontId="26" fillId="0" borderId="88" xfId="1" applyFont="1" applyBorder="1" applyAlignment="1">
      <alignment vertical="center"/>
    </xf>
    <xf numFmtId="9" fontId="26" fillId="0" borderId="81" xfId="1" applyFont="1" applyBorder="1" applyAlignment="1">
      <alignment vertical="center"/>
    </xf>
    <xf numFmtId="9" fontId="26" fillId="0" borderId="89" xfId="1" applyFont="1" applyBorder="1" applyAlignment="1">
      <alignment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Border="1" applyAlignment="1">
      <alignment vertical="center"/>
    </xf>
    <xf numFmtId="177" fontId="0" fillId="0" borderId="0" xfId="0" applyNumberFormat="1" applyAlignment="1">
      <alignment horizontal="left" vertical="center"/>
    </xf>
    <xf numFmtId="177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3" fontId="0" fillId="0" borderId="4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1" fillId="0" borderId="0" xfId="0" applyNumberFormat="1" applyFont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5" borderId="15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16" fillId="3" borderId="27" xfId="0" applyNumberFormat="1" applyFont="1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right" vertical="center"/>
    </xf>
    <xf numFmtId="178" fontId="0" fillId="7" borderId="36" xfId="0" applyNumberForma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0" fontId="0" fillId="7" borderId="92" xfId="0" applyFill="1" applyBorder="1" applyAlignment="1">
      <alignment horizontal="center" vertical="center"/>
    </xf>
    <xf numFmtId="0" fontId="1" fillId="7" borderId="92" xfId="0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center" vertical="center"/>
    </xf>
    <xf numFmtId="0" fontId="0" fillId="7" borderId="36" xfId="0" applyFill="1" applyBorder="1" applyAlignment="1">
      <alignment horizontal="left" vertical="center"/>
    </xf>
    <xf numFmtId="0" fontId="0" fillId="7" borderId="36" xfId="0" applyFill="1" applyBorder="1" applyAlignment="1">
      <alignment horizontal="right" vertical="center"/>
    </xf>
    <xf numFmtId="41" fontId="1" fillId="7" borderId="36" xfId="3" applyFont="1" applyFill="1" applyBorder="1" applyAlignment="1">
      <alignment horizontal="right" vertical="center"/>
    </xf>
    <xf numFmtId="0" fontId="0" fillId="7" borderId="92" xfId="0" applyFill="1" applyBorder="1" applyAlignment="1">
      <alignment horizontal="right" vertical="center"/>
    </xf>
    <xf numFmtId="41" fontId="1" fillId="7" borderId="92" xfId="3" applyFont="1" applyFill="1" applyBorder="1" applyAlignment="1">
      <alignment horizontal="right" vertical="center"/>
    </xf>
    <xf numFmtId="0" fontId="1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8" borderId="36" xfId="0" applyFill="1" applyBorder="1" applyAlignment="1">
      <alignment horizontal="left" vertical="center"/>
    </xf>
    <xf numFmtId="0" fontId="0" fillId="8" borderId="36" xfId="0" applyFill="1" applyBorder="1" applyAlignment="1">
      <alignment horizontal="center" vertical="center"/>
    </xf>
    <xf numFmtId="178" fontId="0" fillId="8" borderId="36" xfId="0" applyNumberFormat="1" applyFill="1" applyBorder="1" applyAlignment="1">
      <alignment horizontal="center" vertical="center"/>
    </xf>
    <xf numFmtId="0" fontId="0" fillId="8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96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8" fillId="8" borderId="36" xfId="0" applyFont="1" applyFill="1" applyBorder="1" applyAlignment="1">
      <alignment vertical="center"/>
    </xf>
    <xf numFmtId="178" fontId="0" fillId="8" borderId="36" xfId="0" applyNumberFormat="1" applyFill="1" applyBorder="1" applyAlignment="1">
      <alignment vertical="center"/>
    </xf>
    <xf numFmtId="0" fontId="0" fillId="8" borderId="92" xfId="0" applyFill="1" applyBorder="1" applyAlignment="1">
      <alignment vertical="center"/>
    </xf>
    <xf numFmtId="178" fontId="0" fillId="8" borderId="92" xfId="0" applyNumberFormat="1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0" fillId="8" borderId="37" xfId="0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29" fillId="8" borderId="52" xfId="0" applyFont="1" applyFill="1" applyBorder="1" applyAlignment="1">
      <alignment vertical="center"/>
    </xf>
    <xf numFmtId="0" fontId="29" fillId="8" borderId="36" xfId="0" applyFont="1" applyFill="1" applyBorder="1" applyAlignment="1">
      <alignment horizontal="center" vertical="center"/>
    </xf>
    <xf numFmtId="0" fontId="29" fillId="8" borderId="46" xfId="0" applyFont="1" applyFill="1" applyBorder="1" applyAlignment="1">
      <alignment horizontal="center" vertical="center"/>
    </xf>
    <xf numFmtId="183" fontId="29" fillId="8" borderId="36" xfId="0" applyNumberFormat="1" applyFont="1" applyFill="1" applyBorder="1" applyAlignment="1">
      <alignment vertical="center"/>
    </xf>
    <xf numFmtId="0" fontId="0" fillId="8" borderId="36" xfId="0" quotePrefix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182" fontId="0" fillId="2" borderId="37" xfId="0" applyNumberFormat="1" applyFill="1" applyBorder="1" applyAlignment="1">
      <alignment vertical="center"/>
    </xf>
    <xf numFmtId="0" fontId="29" fillId="8" borderId="36" xfId="0" applyFont="1" applyFill="1" applyBorder="1" applyAlignment="1">
      <alignment horizontal="left" vertical="center"/>
    </xf>
    <xf numFmtId="0" fontId="0" fillId="8" borderId="46" xfId="0" applyFill="1" applyBorder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8" borderId="53" xfId="0" applyFill="1" applyBorder="1" applyAlignment="1">
      <alignment vertical="center"/>
    </xf>
    <xf numFmtId="184" fontId="0" fillId="2" borderId="36" xfId="0" applyNumberFormat="1" applyFill="1" applyBorder="1" applyAlignment="1">
      <alignment vertical="center"/>
    </xf>
    <xf numFmtId="184" fontId="0" fillId="2" borderId="37" xfId="0" applyNumberForma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182" fontId="0" fillId="2" borderId="39" xfId="0" applyNumberFormat="1" applyFill="1" applyBorder="1" applyAlignment="1">
      <alignment horizontal="center" vertical="center"/>
    </xf>
    <xf numFmtId="182" fontId="0" fillId="8" borderId="36" xfId="0" applyNumberFormat="1" applyFill="1" applyBorder="1" applyAlignment="1">
      <alignment horizontal="center" vertical="center"/>
    </xf>
    <xf numFmtId="182" fontId="0" fillId="2" borderId="92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right" vertical="center"/>
    </xf>
    <xf numFmtId="184" fontId="0" fillId="8" borderId="36" xfId="0" applyNumberFormat="1" applyFill="1" applyBorder="1" applyAlignment="1">
      <alignment horizontal="right" vertical="center"/>
    </xf>
    <xf numFmtId="182" fontId="0" fillId="2" borderId="37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vertical="center"/>
    </xf>
    <xf numFmtId="178" fontId="0" fillId="8" borderId="35" xfId="0" applyNumberFormat="1" applyFill="1" applyBorder="1" applyAlignment="1">
      <alignment vertical="center"/>
    </xf>
    <xf numFmtId="182" fontId="0" fillId="2" borderId="15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178" fontId="0" fillId="8" borderId="35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49" fontId="0" fillId="8" borderId="36" xfId="0" applyNumberFormat="1" applyFill="1" applyBorder="1" applyAlignment="1">
      <alignment horizontal="center" vertical="center"/>
    </xf>
    <xf numFmtId="49" fontId="0" fillId="8" borderId="37" xfId="0" applyNumberForma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right" vertical="center"/>
    </xf>
    <xf numFmtId="178" fontId="1" fillId="0" borderId="10" xfId="0" applyNumberFormat="1" applyFont="1" applyBorder="1" applyAlignment="1">
      <alignment horizontal="right" vertical="center"/>
    </xf>
    <xf numFmtId="0" fontId="0" fillId="0" borderId="39" xfId="0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9" xfId="0" applyBorder="1" applyAlignment="1">
      <alignment vertical="center"/>
    </xf>
    <xf numFmtId="178" fontId="0" fillId="0" borderId="100" xfId="0" applyNumberForma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178" fontId="1" fillId="0" borderId="5" xfId="0" applyNumberFormat="1" applyFont="1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/>
    </xf>
    <xf numFmtId="0" fontId="4" fillId="2" borderId="78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24" fillId="2" borderId="78" xfId="0" applyFont="1" applyFill="1" applyBorder="1" applyAlignment="1">
      <alignment horizontal="left" vertical="center"/>
    </xf>
    <xf numFmtId="0" fontId="24" fillId="2" borderId="101" xfId="0" applyFont="1" applyFill="1" applyBorder="1" applyAlignment="1">
      <alignment horizontal="left" vertical="center"/>
    </xf>
    <xf numFmtId="178" fontId="4" fillId="8" borderId="0" xfId="0" applyNumberFormat="1" applyFont="1" applyFill="1" applyAlignment="1">
      <alignment vertical="center"/>
    </xf>
    <xf numFmtId="0" fontId="0" fillId="0" borderId="5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3" fillId="2" borderId="96" xfId="0" applyFont="1" applyFill="1" applyBorder="1" applyAlignment="1">
      <alignment horizontal="left" vertical="center"/>
    </xf>
    <xf numFmtId="0" fontId="0" fillId="0" borderId="53" xfId="0" applyFill="1" applyBorder="1" applyAlignment="1">
      <alignment vertical="center"/>
    </xf>
    <xf numFmtId="31" fontId="0" fillId="2" borderId="4" xfId="0" applyNumberFormat="1" applyFill="1" applyBorder="1" applyAlignment="1">
      <alignment horizontal="left" vertical="center"/>
    </xf>
    <xf numFmtId="0" fontId="4" fillId="8" borderId="0" xfId="0" applyNumberFormat="1" applyFont="1" applyFill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0" borderId="52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77" xfId="0" applyFont="1" applyFill="1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1" fillId="0" borderId="51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180" fontId="0" fillId="2" borderId="45" xfId="0" applyNumberFormat="1" applyFill="1" applyBorder="1" applyAlignment="1">
      <alignment vertical="center"/>
    </xf>
    <xf numFmtId="180" fontId="1" fillId="2" borderId="0" xfId="0" applyNumberFormat="1" applyFont="1" applyFill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30" fillId="8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178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3" fontId="5" fillId="0" borderId="59" xfId="0" applyNumberFormat="1" applyFont="1" applyBorder="1" applyAlignment="1">
      <alignment horizontal="center" vertical="center"/>
    </xf>
    <xf numFmtId="3" fontId="5" fillId="0" borderId="102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59" xfId="0" applyNumberFormat="1" applyFont="1" applyBorder="1" applyAlignment="1">
      <alignment horizontal="center" vertical="center"/>
    </xf>
    <xf numFmtId="3" fontId="6" fillId="0" borderId="102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5" fillId="0" borderId="103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04" xfId="0" applyNumberFormat="1" applyFont="1" applyBorder="1" applyAlignment="1">
      <alignment horizontal="center" vertical="center"/>
    </xf>
    <xf numFmtId="3" fontId="5" fillId="0" borderId="105" xfId="0" applyNumberFormat="1" applyFont="1" applyBorder="1" applyAlignment="1">
      <alignment horizontal="center" vertical="center"/>
    </xf>
    <xf numFmtId="3" fontId="5" fillId="0" borderId="106" xfId="0" applyNumberFormat="1" applyFont="1" applyBorder="1" applyAlignment="1">
      <alignment horizontal="center" vertical="center"/>
    </xf>
    <xf numFmtId="3" fontId="5" fillId="0" borderId="107" xfId="0" applyNumberFormat="1" applyFont="1" applyBorder="1" applyAlignment="1">
      <alignment horizontal="center" vertical="center"/>
    </xf>
    <xf numFmtId="3" fontId="5" fillId="0" borderId="108" xfId="0" applyNumberFormat="1" applyFont="1" applyBorder="1" applyAlignment="1">
      <alignment horizontal="center" vertical="center"/>
    </xf>
    <xf numFmtId="3" fontId="5" fillId="0" borderId="109" xfId="0" applyNumberFormat="1" applyFont="1" applyBorder="1" applyAlignment="1">
      <alignment horizontal="center" vertical="center"/>
    </xf>
    <xf numFmtId="3" fontId="5" fillId="0" borderId="110" xfId="0" applyNumberFormat="1" applyFont="1" applyBorder="1" applyAlignment="1">
      <alignment horizontal="center" vertical="center"/>
    </xf>
    <xf numFmtId="3" fontId="5" fillId="0" borderId="111" xfId="0" applyNumberFormat="1" applyFont="1" applyBorder="1" applyAlignment="1">
      <alignment horizontal="center" vertical="center"/>
    </xf>
    <xf numFmtId="3" fontId="5" fillId="0" borderId="112" xfId="0" applyNumberFormat="1" applyFont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5" fillId="0" borderId="113" xfId="0" applyNumberFormat="1" applyFont="1" applyBorder="1" applyAlignment="1">
      <alignment horizontal="center" vertical="center"/>
    </xf>
    <xf numFmtId="3" fontId="5" fillId="0" borderId="88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14" xfId="0" applyNumberFormat="1" applyFont="1" applyBorder="1" applyAlignment="1">
      <alignment horizontal="center" vertical="center"/>
    </xf>
    <xf numFmtId="3" fontId="5" fillId="0" borderId="71" xfId="0" applyNumberFormat="1" applyFont="1" applyBorder="1" applyAlignment="1">
      <alignment horizontal="center" vertical="center"/>
    </xf>
    <xf numFmtId="3" fontId="5" fillId="0" borderId="90" xfId="0" applyNumberFormat="1" applyFont="1" applyBorder="1" applyAlignment="1">
      <alignment horizontal="center" vertical="center"/>
    </xf>
    <xf numFmtId="3" fontId="5" fillId="0" borderId="115" xfId="0" applyNumberFormat="1" applyFont="1" applyBorder="1" applyAlignment="1">
      <alignment horizontal="center" vertical="center"/>
    </xf>
    <xf numFmtId="3" fontId="5" fillId="0" borderId="116" xfId="0" applyNumberFormat="1" applyFont="1" applyBorder="1" applyAlignment="1">
      <alignment horizontal="center" vertical="center"/>
    </xf>
    <xf numFmtId="3" fontId="5" fillId="0" borderId="79" xfId="0" applyNumberFormat="1" applyFont="1" applyBorder="1" applyAlignment="1">
      <alignment horizontal="center" vertical="center"/>
    </xf>
    <xf numFmtId="3" fontId="5" fillId="0" borderId="48" xfId="0" applyNumberFormat="1" applyFont="1" applyBorder="1" applyAlignment="1">
      <alignment horizontal="center" vertical="center"/>
    </xf>
    <xf numFmtId="3" fontId="5" fillId="0" borderId="45" xfId="0" applyNumberFormat="1" applyFont="1" applyBorder="1" applyAlignment="1">
      <alignment horizontal="center" vertical="center"/>
    </xf>
    <xf numFmtId="3" fontId="5" fillId="0" borderId="117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/>
    </xf>
    <xf numFmtId="3" fontId="5" fillId="0" borderId="118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 wrapText="1"/>
    </xf>
    <xf numFmtId="3" fontId="5" fillId="0" borderId="97" xfId="0" applyNumberFormat="1" applyFont="1" applyBorder="1" applyAlignment="1">
      <alignment horizontal="center" vertical="center"/>
    </xf>
    <xf numFmtId="3" fontId="5" fillId="0" borderId="94" xfId="0" applyNumberFormat="1" applyFont="1" applyBorder="1" applyAlignment="1">
      <alignment horizontal="center" vertical="center"/>
    </xf>
    <xf numFmtId="3" fontId="5" fillId="0" borderId="119" xfId="0" applyNumberFormat="1" applyFont="1" applyBorder="1" applyAlignment="1">
      <alignment horizontal="center" vertical="center"/>
    </xf>
    <xf numFmtId="3" fontId="5" fillId="0" borderId="98" xfId="0" applyNumberFormat="1" applyFont="1" applyBorder="1" applyAlignment="1">
      <alignment horizontal="center" vertical="center"/>
    </xf>
    <xf numFmtId="3" fontId="5" fillId="0" borderId="101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10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 wrapText="1"/>
    </xf>
    <xf numFmtId="3" fontId="0" fillId="0" borderId="74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3" fillId="0" borderId="31" xfId="0" quotePrefix="1" applyNumberFormat="1" applyFont="1" applyBorder="1" applyAlignment="1">
      <alignment horizontal="left" vertical="center"/>
    </xf>
    <xf numFmtId="3" fontId="3" fillId="0" borderId="119" xfId="0" quotePrefix="1" applyNumberFormat="1" applyFont="1" applyBorder="1" applyAlignment="1">
      <alignment horizontal="left" vertical="center"/>
    </xf>
    <xf numFmtId="3" fontId="3" fillId="0" borderId="120" xfId="0" quotePrefix="1" applyNumberFormat="1" applyFont="1" applyBorder="1" applyAlignment="1">
      <alignment horizontal="left" vertical="center"/>
    </xf>
    <xf numFmtId="3" fontId="0" fillId="0" borderId="103" xfId="0" quotePrefix="1" applyNumberFormat="1" applyBorder="1" applyAlignment="1">
      <alignment horizontal="left" vertical="center"/>
    </xf>
    <xf numFmtId="3" fontId="0" fillId="0" borderId="7" xfId="0" quotePrefix="1" applyNumberFormat="1" applyBorder="1" applyAlignment="1">
      <alignment horizontal="left" vertical="center"/>
    </xf>
    <xf numFmtId="3" fontId="0" fillId="0" borderId="8" xfId="0" quotePrefix="1" applyNumberFormat="1" applyBorder="1" applyAlignment="1">
      <alignment horizontal="left" vertical="center"/>
    </xf>
    <xf numFmtId="3" fontId="3" fillId="0" borderId="59" xfId="0" applyNumberFormat="1" applyFont="1" applyBorder="1" applyAlignment="1">
      <alignment horizontal="left" vertical="center"/>
    </xf>
    <xf numFmtId="3" fontId="3" fillId="0" borderId="102" xfId="0" applyNumberFormat="1" applyFont="1" applyBorder="1" applyAlignment="1">
      <alignment horizontal="left" vertical="center"/>
    </xf>
    <xf numFmtId="3" fontId="3" fillId="0" borderId="6" xfId="0" applyNumberFormat="1" applyFont="1" applyBorder="1" applyAlignment="1">
      <alignment horizontal="left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쉼표 [0] 3" xf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="" xmlns:a16="http://schemas.microsoft.com/office/drawing/2014/main" id="{49910DA4-6754-2118-AEB2-EF5828A560E5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="" xmlns:a16="http://schemas.microsoft.com/office/drawing/2014/main" id="{3FDFAB10-1973-4999-4249-F04E2621CA83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="" xmlns:a16="http://schemas.microsoft.com/office/drawing/2014/main" id="{46C723BF-DE49-ECB3-2AEE-FA3913A924CC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="" xmlns:a16="http://schemas.microsoft.com/office/drawing/2014/main" id="{88CC7FB4-1683-B54D-97C1-AE12851930DF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8" name="AutoShape 5">
          <a:extLst>
            <a:ext uri="{FF2B5EF4-FFF2-40B4-BE49-F238E27FC236}">
              <a16:creationId xmlns="" xmlns:a16="http://schemas.microsoft.com/office/drawing/2014/main" id="{C445ED36-91CC-840F-E738-4E693C7306E9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="" xmlns:a16="http://schemas.microsoft.com/office/drawing/2014/main" id="{4C307A80-6C4C-257F-0193-BB31C6E513D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="" xmlns:a16="http://schemas.microsoft.com/office/drawing/2014/main" id="{12D41B4B-479D-2B90-36BE-114255AD5D46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="" xmlns:a16="http://schemas.microsoft.com/office/drawing/2014/main" id="{79D38949-BA40-5C60-9142-DC117BCB298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="" xmlns:a16="http://schemas.microsoft.com/office/drawing/2014/main" id="{9170C9C3-B5F2-552A-BBC7-DC27644A4CC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="" xmlns:a16="http://schemas.microsoft.com/office/drawing/2014/main" id="{2DCFED41-A2FF-A9EA-7391-00F9C27987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="" xmlns:a16="http://schemas.microsoft.com/office/drawing/2014/main" id="{273D0EE4-D34C-8FFB-668E-BCDE26C08F4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="" xmlns:a16="http://schemas.microsoft.com/office/drawing/2014/main" id="{CC50C82C-F2A4-BB0C-A1FB-32B9F7B725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="" xmlns:a16="http://schemas.microsoft.com/office/drawing/2014/main" id="{71DA1754-34C8-7232-7CE3-0314D5A47C9E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="" xmlns:a16="http://schemas.microsoft.com/office/drawing/2014/main" id="{1E98C23E-4C1F-A18D-7DA8-D0794EA28E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="" xmlns:a16="http://schemas.microsoft.com/office/drawing/2014/main" id="{0097B336-2DF8-05C3-7B25-5A3BEA1187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="" xmlns:a16="http://schemas.microsoft.com/office/drawing/2014/main" id="{284880A0-7185-2145-1411-DCA48F3CE67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="" xmlns:a16="http://schemas.microsoft.com/office/drawing/2014/main" id="{5470CB00-04EE-A934-FCFF-7AD77884C0AC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="" xmlns:a16="http://schemas.microsoft.com/office/drawing/2014/main" id="{BCE35A20-1DCF-54CF-C6D0-90903871DF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="" xmlns:a16="http://schemas.microsoft.com/office/drawing/2014/main" id="{9233541C-9958-560C-A8D6-6CE67CED2A39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="" xmlns:a16="http://schemas.microsoft.com/office/drawing/2014/main" id="{B2F7A1AD-F291-51D8-7E4B-BD927B690B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="" xmlns:a16="http://schemas.microsoft.com/office/drawing/2014/main" id="{88E29C83-B879-8ED6-D1BB-92EA81CFCF78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="" xmlns:a16="http://schemas.microsoft.com/office/drawing/2014/main" id="{6A5961C2-A26A-D652-1C8F-FDA3048955E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="" xmlns:a16="http://schemas.microsoft.com/office/drawing/2014/main" id="{CD53661B-E699-3D14-87CB-30CF1A5BD1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="" xmlns:a16="http://schemas.microsoft.com/office/drawing/2014/main" id="{C563F323-2C4A-0FA0-7416-CB40A7CB32AB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="" xmlns:a16="http://schemas.microsoft.com/office/drawing/2014/main" id="{D3415606-EDD5-C1B4-9B87-5C56E33EA2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="" xmlns:a16="http://schemas.microsoft.com/office/drawing/2014/main" id="{93B5669B-89F0-56FF-9602-DA37542831E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="" xmlns:a16="http://schemas.microsoft.com/office/drawing/2014/main" id="{5B83546C-D90B-6D86-4A01-48F215A1A06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="" xmlns:a16="http://schemas.microsoft.com/office/drawing/2014/main" id="{7C4A9D76-A359-C360-7838-BAEE4AB3235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="" xmlns:a16="http://schemas.microsoft.com/office/drawing/2014/main" id="{390D5F30-2EBE-FE71-C9ED-B4D559837029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="" xmlns:a16="http://schemas.microsoft.com/office/drawing/2014/main" id="{963F27CF-F9BC-3EB9-58A3-9102BFE2E8A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K45"/>
  <sheetViews>
    <sheetView tabSelected="1" zoomScale="90" zoomScaleNormal="90" zoomScaleSheetLayoutView="90" workbookViewId="0">
      <selection activeCell="U26" sqref="U26"/>
    </sheetView>
  </sheetViews>
  <sheetFormatPr defaultRowHeight="13.5"/>
  <cols>
    <col min="1" max="1" width="2" style="165" customWidth="1"/>
    <col min="2" max="2" width="4.875" style="165" customWidth="1"/>
    <col min="3" max="3" width="8.5" style="165" customWidth="1"/>
    <col min="4" max="4" width="14.75" style="165" customWidth="1"/>
    <col min="5" max="6" width="11.125" style="165" customWidth="1"/>
    <col min="7" max="7" width="14.125" style="165" customWidth="1"/>
    <col min="8" max="8" width="11.75" style="165" customWidth="1"/>
    <col min="9" max="9" width="8.75" style="165" customWidth="1"/>
    <col min="10" max="10" width="9" style="165"/>
    <col min="11" max="11" width="33.25" style="165" customWidth="1"/>
    <col min="12" max="16384" width="9" style="165"/>
  </cols>
  <sheetData>
    <row r="1" spans="2:9">
      <c r="B1" s="165" t="s">
        <v>135</v>
      </c>
    </row>
    <row r="2" spans="2:9" ht="38.25">
      <c r="B2" s="428" t="s">
        <v>130</v>
      </c>
      <c r="C2" s="428"/>
      <c r="D2" s="428"/>
      <c r="E2" s="428"/>
      <c r="F2" s="428"/>
      <c r="G2" s="428"/>
      <c r="H2" s="428"/>
      <c r="I2" s="428"/>
    </row>
    <row r="4" spans="2:9" s="171" customFormat="1" ht="24" customHeight="1">
      <c r="B4" s="429" t="s">
        <v>171</v>
      </c>
      <c r="C4" s="429"/>
      <c r="D4" s="429"/>
      <c r="G4" s="303" t="s">
        <v>232</v>
      </c>
      <c r="H4" s="304"/>
      <c r="I4" s="364"/>
    </row>
    <row r="5" spans="2:9" s="171" customFormat="1" ht="21.75" customHeight="1">
      <c r="B5" s="432" t="s">
        <v>123</v>
      </c>
      <c r="C5" s="433"/>
      <c r="D5" s="346">
        <v>46099</v>
      </c>
      <c r="E5" s="181"/>
      <c r="G5" s="305" t="s">
        <v>233</v>
      </c>
      <c r="H5" s="306"/>
      <c r="I5" s="365"/>
    </row>
    <row r="6" spans="2:9" s="171" customFormat="1" ht="21.75" customHeight="1">
      <c r="B6" s="412" t="s">
        <v>124</v>
      </c>
      <c r="C6" s="413"/>
      <c r="D6" s="261" t="s">
        <v>249</v>
      </c>
      <c r="E6" s="182"/>
      <c r="G6" s="372" t="s">
        <v>234</v>
      </c>
      <c r="H6" s="307"/>
      <c r="I6" s="366"/>
    </row>
    <row r="7" spans="2:9" s="171" customFormat="1" ht="21.75" customHeight="1">
      <c r="B7" s="434" t="s">
        <v>125</v>
      </c>
      <c r="C7" s="187" t="s">
        <v>133</v>
      </c>
      <c r="D7" s="261" t="s">
        <v>239</v>
      </c>
      <c r="E7" s="182"/>
      <c r="G7" s="308"/>
      <c r="H7" s="307"/>
      <c r="I7" s="366"/>
    </row>
    <row r="8" spans="2:9" s="171" customFormat="1" ht="21.75" customHeight="1">
      <c r="B8" s="434"/>
      <c r="C8" s="187" t="s">
        <v>134</v>
      </c>
      <c r="D8" s="374" t="s">
        <v>248</v>
      </c>
      <c r="E8" s="182"/>
      <c r="G8" s="308" t="s">
        <v>235</v>
      </c>
      <c r="H8" s="307"/>
      <c r="I8" s="366"/>
    </row>
    <row r="9" spans="2:9" s="171" customFormat="1" ht="21.75" customHeight="1">
      <c r="B9" s="412" t="s">
        <v>126</v>
      </c>
      <c r="C9" s="413"/>
      <c r="D9" s="261" t="s">
        <v>181</v>
      </c>
      <c r="E9" s="182"/>
      <c r="G9" s="305" t="s">
        <v>236</v>
      </c>
      <c r="H9" s="307"/>
      <c r="I9" s="366"/>
    </row>
    <row r="10" spans="2:9" s="171" customFormat="1" ht="21.75" customHeight="1">
      <c r="B10" s="412" t="s">
        <v>127</v>
      </c>
      <c r="C10" s="413"/>
      <c r="D10" s="261" t="s">
        <v>178</v>
      </c>
      <c r="E10" s="182"/>
      <c r="G10" s="305" t="s">
        <v>238</v>
      </c>
      <c r="H10" s="307"/>
      <c r="I10" s="367"/>
    </row>
    <row r="11" spans="2:9" s="171" customFormat="1" ht="21.75" customHeight="1">
      <c r="B11" s="412" t="s">
        <v>128</v>
      </c>
      <c r="C11" s="413"/>
      <c r="D11" s="261" t="s">
        <v>179</v>
      </c>
      <c r="E11" s="182"/>
      <c r="G11" s="305" t="s">
        <v>237</v>
      </c>
      <c r="H11" s="307"/>
      <c r="I11" s="368"/>
    </row>
    <row r="12" spans="2:9" s="172" customFormat="1" ht="10.5" customHeight="1">
      <c r="B12" s="174"/>
      <c r="I12" s="173"/>
    </row>
    <row r="13" spans="2:9" s="172" customFormat="1" ht="24.95" customHeight="1">
      <c r="B13" s="424" t="s">
        <v>187</v>
      </c>
      <c r="C13" s="424"/>
      <c r="D13" s="426" t="s">
        <v>231</v>
      </c>
      <c r="E13" s="427"/>
      <c r="F13" s="427"/>
      <c r="G13" s="435" t="str">
        <f>H27</f>
        <v/>
      </c>
      <c r="H13" s="436"/>
      <c r="I13" s="333"/>
    </row>
    <row r="14" spans="2:9" s="172" customFormat="1" ht="24.95" customHeight="1">
      <c r="B14" s="424" t="s">
        <v>176</v>
      </c>
      <c r="C14" s="424"/>
      <c r="D14" s="425" t="str">
        <f>"一金"&amp;NUMBERSTRING(H14,1)&amp;"원"</f>
        <v>一金일억사천팔백오십만원</v>
      </c>
      <c r="E14" s="425"/>
      <c r="F14" s="425"/>
      <c r="G14" s="369" t="s">
        <v>252</v>
      </c>
      <c r="H14" s="375">
        <v>148500000</v>
      </c>
      <c r="I14" s="333" t="s">
        <v>177</v>
      </c>
    </row>
    <row r="15" spans="2:9" s="171" customFormat="1" ht="8.25" customHeight="1"/>
    <row r="16" spans="2:9" s="166" customFormat="1" ht="24.95" customHeight="1">
      <c r="B16" s="431" t="s">
        <v>118</v>
      </c>
      <c r="C16" s="414" t="s">
        <v>142</v>
      </c>
      <c r="D16" s="415"/>
      <c r="E16" s="430" t="s">
        <v>129</v>
      </c>
      <c r="F16" s="430"/>
      <c r="G16" s="430"/>
      <c r="H16" s="430"/>
      <c r="I16" s="431" t="s">
        <v>27</v>
      </c>
    </row>
    <row r="17" spans="2:9" s="166" customFormat="1" ht="29.25" customHeight="1">
      <c r="B17" s="430"/>
      <c r="C17" s="416"/>
      <c r="D17" s="417"/>
      <c r="E17" s="350" t="s">
        <v>184</v>
      </c>
      <c r="F17" s="351" t="s">
        <v>185</v>
      </c>
      <c r="G17" s="363" t="s">
        <v>186</v>
      </c>
      <c r="H17" s="349" t="s">
        <v>122</v>
      </c>
      <c r="I17" s="430"/>
    </row>
    <row r="18" spans="2:9" ht="24.95" customHeight="1">
      <c r="B18" s="352">
        <v>1</v>
      </c>
      <c r="C18" s="401" t="str">
        <f>단위장비1!C1</f>
        <v>인도 도장2라인 개조공사</v>
      </c>
      <c r="D18" s="402"/>
      <c r="E18" s="360">
        <f>IF('단위공사별(집계)'!N7&gt;1,('단위공사별(집계)'!D7+'단위공사별(집계)'!E7+'단위공사별(집계)'!F7+'단위공사별(집계)'!G7+'단위공사별(집계)'!H7+'단위공사별(집계)'!I7)/1000," ")</f>
        <v>100110</v>
      </c>
      <c r="F18" s="398">
        <f>IF('단위공사별(집계)'!N7&gt;0,'단위공사별(집계)'!K17/1000,"")</f>
        <v>35653.449999999997</v>
      </c>
      <c r="G18" s="353">
        <f>IF('단위공사별(집계)'!N7&gt;0,('단위공사별(집계)'!L7+'단위공사별(집계)'!M7)/1000,"")</f>
        <v>15934.5</v>
      </c>
      <c r="H18" s="354">
        <f>IF('단위공사별(집계)'!N7&gt;0,'단위공사별(집계)'!N7/1000,"")</f>
        <v>151697.95000000001</v>
      </c>
      <c r="I18" s="355"/>
    </row>
    <row r="19" spans="2:9" ht="24.95" customHeight="1">
      <c r="B19" s="175">
        <v>2</v>
      </c>
      <c r="C19" s="382">
        <f>단위장비2!C1</f>
        <v>0</v>
      </c>
      <c r="D19" s="383"/>
      <c r="E19" s="361" t="str">
        <f>IF('단위공사별(집계)'!N8&gt;1,('단위공사별(집계)'!D8+'단위공사별(집계)'!E8+'단위공사별(집계)'!F8+'단위공사별(집계)'!G8+'단위공사별(집계)'!H8+'단위공사별(집계)'!I8)/1000," ")</f>
        <v xml:space="preserve"> </v>
      </c>
      <c r="F19" s="399"/>
      <c r="G19" s="176" t="str">
        <f>IF('단위공사별(집계)'!N8&gt;0,('단위공사별(집계)'!L8+'단위공사별(집계)'!M8)/1000,"")</f>
        <v/>
      </c>
      <c r="H19" s="362" t="str">
        <f>IF('단위공사별(집계)'!N8&gt;0,'단위공사별(집계)'!N8/1000,"")</f>
        <v/>
      </c>
      <c r="I19" s="70"/>
    </row>
    <row r="20" spans="2:9" ht="24.95" customHeight="1">
      <c r="B20" s="175">
        <v>3</v>
      </c>
      <c r="C20" s="382">
        <f>단위장비3!C1</f>
        <v>0</v>
      </c>
      <c r="D20" s="383"/>
      <c r="E20" s="361" t="str">
        <f>IF('단위공사별(집계)'!N9&gt;1,('단위공사별(집계)'!D9+'단위공사별(집계)'!E9+'단위공사별(집계)'!F9+'단위공사별(집계)'!G9+'단위공사별(집계)'!H9+'단위공사별(집계)'!I9)/1000," ")</f>
        <v xml:space="preserve"> </v>
      </c>
      <c r="F20" s="399"/>
      <c r="G20" s="176" t="str">
        <f>IF('단위공사별(집계)'!N9&gt;0,('단위공사별(집계)'!L9+'단위공사별(집계)'!M9)/1000,"")</f>
        <v/>
      </c>
      <c r="H20" s="362" t="str">
        <f>IF('단위공사별(집계)'!N9&gt;0,'단위공사별(집계)'!N9/1000,"")</f>
        <v/>
      </c>
      <c r="I20" s="177"/>
    </row>
    <row r="21" spans="2:9" ht="24.95" customHeight="1">
      <c r="B21" s="175">
        <v>4</v>
      </c>
      <c r="C21" s="382">
        <f>단위장비4!C1</f>
        <v>0</v>
      </c>
      <c r="D21" s="383"/>
      <c r="E21" s="361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399"/>
      <c r="G21" s="176" t="str">
        <f>IF('단위공사별(집계)'!N10&gt;0,('단위공사별(집계)'!L10+'단위공사별(집계)'!M10)/1000,"")</f>
        <v/>
      </c>
      <c r="H21" s="362" t="str">
        <f>IF('단위공사별(집계)'!N10&gt;0,'단위공사별(집계)'!N10/1000,"")</f>
        <v/>
      </c>
      <c r="I21" s="177"/>
    </row>
    <row r="22" spans="2:9" ht="24.95" customHeight="1">
      <c r="B22" s="175">
        <v>5</v>
      </c>
      <c r="C22" s="382">
        <f>단위장비5!C1</f>
        <v>0</v>
      </c>
      <c r="D22" s="383"/>
      <c r="E22" s="361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399"/>
      <c r="G22" s="176" t="str">
        <f>IF('단위공사별(집계)'!N11&gt;0,('단위공사별(집계)'!L11+'단위공사별(집계)'!M11)/1000,"")</f>
        <v/>
      </c>
      <c r="H22" s="362" t="str">
        <f>IF('단위공사별(집계)'!N11&gt;0,'단위공사별(집계)'!N11/1000,"")</f>
        <v/>
      </c>
      <c r="I22" s="177"/>
    </row>
    <row r="23" spans="2:9" ht="24.95" customHeight="1">
      <c r="B23" s="175">
        <v>6</v>
      </c>
      <c r="C23" s="382">
        <f>단위장비6!C1</f>
        <v>0</v>
      </c>
      <c r="D23" s="383"/>
      <c r="E23" s="361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399"/>
      <c r="G23" s="176" t="str">
        <f>IF('단위공사별(집계)'!N12&gt;0,('단위공사별(집계)'!L12+'단위공사별(집계)'!M12)/1000,"")</f>
        <v/>
      </c>
      <c r="H23" s="362" t="str">
        <f>IF('단위공사별(집계)'!N12&gt;0,'단위공사별(집계)'!N12/1000,"")</f>
        <v/>
      </c>
      <c r="I23" s="177"/>
    </row>
    <row r="24" spans="2:9" ht="24.95" customHeight="1">
      <c r="B24" s="175">
        <v>7</v>
      </c>
      <c r="C24" s="382">
        <f>단위장비7!C1</f>
        <v>0</v>
      </c>
      <c r="D24" s="383"/>
      <c r="E24" s="361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399"/>
      <c r="G24" s="176" t="str">
        <f>IF('단위공사별(집계)'!N13&gt;0,('단위공사별(집계)'!L13+'단위공사별(집계)'!M13)/1000,"")</f>
        <v/>
      </c>
      <c r="H24" s="362" t="str">
        <f>IF('단위공사별(집계)'!N13&gt;0,'단위공사별(집계)'!N13/1000,"")</f>
        <v/>
      </c>
      <c r="I24" s="177"/>
    </row>
    <row r="25" spans="2:9" ht="24.95" customHeight="1">
      <c r="B25" s="178">
        <v>8</v>
      </c>
      <c r="C25" s="382">
        <f>단위장비8!C1</f>
        <v>0</v>
      </c>
      <c r="D25" s="383"/>
      <c r="E25" s="361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399"/>
      <c r="G25" s="176" t="str">
        <f>IF('단위공사별(집계)'!N14&gt;0,('단위공사별(집계)'!L14+'단위공사별(집계)'!M14)/1000,"")</f>
        <v/>
      </c>
      <c r="H25" s="362" t="str">
        <f>IF('단위공사별(집계)'!N14&gt;0,'단위공사별(집계)'!N14/1000,"")</f>
        <v/>
      </c>
      <c r="I25" s="177"/>
    </row>
    <row r="26" spans="2:9" ht="24.95" customHeight="1">
      <c r="B26" s="178">
        <v>9</v>
      </c>
      <c r="C26" s="382">
        <f>단위장비9!C1</f>
        <v>0</v>
      </c>
      <c r="D26" s="383"/>
      <c r="E26" s="361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399"/>
      <c r="G26" s="176" t="str">
        <f>IF('단위공사별(집계)'!N15&gt;0,('단위공사별(집계)'!L15+'단위공사별(집계)'!M15)/1000,"")</f>
        <v/>
      </c>
      <c r="H26" s="362" t="str">
        <f>IF('단위공사별(집계)'!N15&gt;0,'단위공사별(집계)'!N15/1000,"")</f>
        <v/>
      </c>
      <c r="I26" s="177"/>
    </row>
    <row r="27" spans="2:9" ht="24.95" customHeight="1">
      <c r="B27" s="179">
        <v>10</v>
      </c>
      <c r="C27" s="382">
        <f>단위장비10!C1</f>
        <v>0</v>
      </c>
      <c r="D27" s="383"/>
      <c r="E27" s="361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400"/>
      <c r="G27" s="176" t="str">
        <f>IF('단위공사별(집계)'!N16&gt;0,('단위공사별(집계)'!L16+'단위공사별(집계)'!M16)/1000,"")</f>
        <v/>
      </c>
      <c r="H27" s="362" t="str">
        <f>IF('단위공사별(집계)'!N16&gt;0,'단위공사별(집계)'!N16/1000,"")</f>
        <v/>
      </c>
      <c r="I27" s="180"/>
    </row>
    <row r="28" spans="2:9" ht="24.95" customHeight="1">
      <c r="B28" s="406" t="s">
        <v>131</v>
      </c>
      <c r="C28" s="407"/>
      <c r="D28" s="408"/>
      <c r="E28" s="184">
        <f>SUM(E18:E27)</f>
        <v>100110</v>
      </c>
      <c r="F28" s="185">
        <f>SUM(F18)</f>
        <v>35653.449999999997</v>
      </c>
      <c r="G28" s="185">
        <f>SUM(G18:G27)</f>
        <v>15934.5</v>
      </c>
      <c r="H28" s="281">
        <f>SUM(H18:H27)</f>
        <v>151697.95000000001</v>
      </c>
      <c r="I28" s="186"/>
    </row>
    <row r="29" spans="2:9" ht="4.5" customHeight="1">
      <c r="B29" s="168"/>
      <c r="C29" s="169"/>
      <c r="D29" s="169"/>
      <c r="E29" s="170"/>
      <c r="F29" s="170"/>
      <c r="G29" s="170"/>
      <c r="H29" s="170"/>
    </row>
    <row r="30" spans="2:9" ht="24" customHeight="1">
      <c r="B30" s="169"/>
      <c r="C30" s="169"/>
      <c r="D30" s="169"/>
      <c r="E30" s="170"/>
      <c r="F30" s="390" t="s">
        <v>132</v>
      </c>
      <c r="G30" s="391"/>
      <c r="H30" s="167">
        <v>148500000</v>
      </c>
    </row>
    <row r="31" spans="2:9" ht="15" customHeight="1">
      <c r="B31" s="169"/>
      <c r="C31" s="169"/>
      <c r="D31" s="169"/>
      <c r="E31" s="170"/>
      <c r="F31" s="170"/>
      <c r="G31" s="170"/>
      <c r="H31" s="170"/>
    </row>
    <row r="32" spans="2:9" ht="22.5" customHeight="1">
      <c r="B32" s="403" t="s">
        <v>121</v>
      </c>
      <c r="C32" s="384" t="s">
        <v>119</v>
      </c>
      <c r="D32" s="385"/>
      <c r="E32" s="386"/>
      <c r="F32" s="392" t="s">
        <v>141</v>
      </c>
      <c r="G32" s="393"/>
      <c r="H32" s="393"/>
      <c r="I32" s="394"/>
    </row>
    <row r="33" spans="2:11" ht="22.5" customHeight="1">
      <c r="B33" s="404"/>
      <c r="C33" s="387" t="s">
        <v>120</v>
      </c>
      <c r="D33" s="388"/>
      <c r="E33" s="389"/>
      <c r="F33" s="183" t="s">
        <v>165</v>
      </c>
      <c r="G33" s="395"/>
      <c r="H33" s="396"/>
      <c r="I33" s="397"/>
    </row>
    <row r="34" spans="2:11" ht="22.5" customHeight="1">
      <c r="B34" s="404"/>
      <c r="C34" s="409">
        <f>'원가항목별(집계)'!I39</f>
        <v>918000</v>
      </c>
      <c r="D34" s="410"/>
      <c r="E34" s="411"/>
      <c r="F34" s="178" t="s">
        <v>166</v>
      </c>
      <c r="G34" s="376"/>
      <c r="H34" s="377"/>
      <c r="I34" s="378"/>
    </row>
    <row r="35" spans="2:11" ht="22.5" customHeight="1">
      <c r="B35" s="404"/>
      <c r="C35" s="418"/>
      <c r="D35" s="419"/>
      <c r="E35" s="420"/>
      <c r="F35" s="178" t="s">
        <v>167</v>
      </c>
      <c r="G35" s="376"/>
      <c r="H35" s="377"/>
      <c r="I35" s="378"/>
    </row>
    <row r="36" spans="2:11" ht="22.5" customHeight="1">
      <c r="B36" s="405"/>
      <c r="C36" s="421"/>
      <c r="D36" s="422"/>
      <c r="E36" s="423"/>
      <c r="F36" s="179" t="s">
        <v>168</v>
      </c>
      <c r="G36" s="379"/>
      <c r="H36" s="380"/>
      <c r="I36" s="381"/>
    </row>
    <row r="45" spans="2:11">
      <c r="K45" s="165">
        <f>전기!H63+단위장비1!H54+단위장비2!H69+단위장비3!H69+단위장비5!H68+단위장비4!H69+단위장비6!H69+단위장비7!H69+단위장비8!H69+단위장비9!H69+단위장비10!H69</f>
        <v>155779950</v>
      </c>
    </row>
  </sheetData>
  <mergeCells count="41"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  <mergeCell ref="G13:H13"/>
    <mergeCell ref="B32:B36"/>
    <mergeCell ref="B28:D28"/>
    <mergeCell ref="C34:E34"/>
    <mergeCell ref="B11:C11"/>
    <mergeCell ref="C16:D17"/>
    <mergeCell ref="C21:D21"/>
    <mergeCell ref="C22:D22"/>
    <mergeCell ref="C35:E35"/>
    <mergeCell ref="C36:E36"/>
    <mergeCell ref="B14:C14"/>
    <mergeCell ref="D14:F14"/>
    <mergeCell ref="B13:C13"/>
    <mergeCell ref="D13:F13"/>
    <mergeCell ref="C24:D24"/>
    <mergeCell ref="G35:I35"/>
    <mergeCell ref="G36:I36"/>
    <mergeCell ref="C19:D19"/>
    <mergeCell ref="C32:E32"/>
    <mergeCell ref="C33:E33"/>
    <mergeCell ref="F30:G30"/>
    <mergeCell ref="C20:D20"/>
    <mergeCell ref="F32:I32"/>
    <mergeCell ref="G33:I33"/>
    <mergeCell ref="G34:I34"/>
    <mergeCell ref="C25:D25"/>
    <mergeCell ref="C26:D26"/>
    <mergeCell ref="C27:D27"/>
    <mergeCell ref="F18:F27"/>
    <mergeCell ref="C18:D18"/>
    <mergeCell ref="C23:D23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B1:M50"/>
  <sheetViews>
    <sheetView showGridLines="0" zoomScale="80" workbookViewId="0">
      <pane ySplit="6" topLeftCell="A7" activePane="bottomLeft" state="frozen"/>
      <selection activeCell="H28" sqref="H28"/>
      <selection pane="bottomLeft" activeCell="O35" sqref="O35"/>
    </sheetView>
  </sheetViews>
  <sheetFormatPr defaultRowHeight="19.5" customHeight="1"/>
  <cols>
    <col min="1" max="1" width="0.5" style="7" customWidth="1"/>
    <col min="2" max="2" width="5.25" style="7" bestFit="1" customWidth="1"/>
    <col min="3" max="3" width="7.375" style="7" customWidth="1"/>
    <col min="4" max="4" width="8.875" style="7" customWidth="1"/>
    <col min="5" max="5" width="17.75" style="7" customWidth="1"/>
    <col min="6" max="6" width="6.375" style="8" customWidth="1"/>
    <col min="7" max="7" width="8.875" style="27" customWidth="1"/>
    <col min="8" max="8" width="9.75" style="44" customWidth="1"/>
    <col min="9" max="9" width="17.5" style="44" bestFit="1" customWidth="1"/>
    <col min="10" max="10" width="15.625" style="7" customWidth="1"/>
    <col min="11" max="11" width="13.75" style="80" bestFit="1" customWidth="1"/>
    <col min="12" max="12" width="10.8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77"/>
    </row>
    <row r="2" spans="2:11" s="79" customFormat="1" ht="26.25" customHeight="1">
      <c r="B2" s="3"/>
      <c r="C2" s="4" t="s">
        <v>71</v>
      </c>
      <c r="D2" s="5"/>
      <c r="E2" s="5"/>
      <c r="F2" s="6"/>
      <c r="G2" s="26"/>
      <c r="H2" s="43"/>
      <c r="I2" s="43"/>
      <c r="J2" s="5"/>
      <c r="K2" s="78"/>
    </row>
    <row r="3" spans="2:11" s="79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78"/>
    </row>
    <row r="4" spans="2:11" ht="30" customHeight="1">
      <c r="B4" s="160" t="s">
        <v>112</v>
      </c>
      <c r="D4" s="123"/>
      <c r="J4" s="8"/>
    </row>
    <row r="5" spans="2:11" s="8" customFormat="1" ht="8.25" customHeight="1">
      <c r="B5" s="9"/>
      <c r="C5" s="461"/>
      <c r="D5" s="462"/>
      <c r="E5" s="463"/>
      <c r="F5" s="10"/>
      <c r="G5" s="81"/>
      <c r="H5" s="81"/>
      <c r="I5" s="81"/>
      <c r="J5" s="82"/>
      <c r="K5" s="83"/>
    </row>
    <row r="6" spans="2:11" s="8" customFormat="1" ht="22.5" customHeight="1" thickBot="1">
      <c r="B6" s="37" t="s">
        <v>10</v>
      </c>
      <c r="C6" s="464" t="s">
        <v>12</v>
      </c>
      <c r="D6" s="465"/>
      <c r="E6" s="466"/>
      <c r="F6" s="38" t="s">
        <v>11</v>
      </c>
      <c r="G6" s="45" t="s">
        <v>13</v>
      </c>
      <c r="H6" s="45" t="s">
        <v>14</v>
      </c>
      <c r="I6" s="45" t="s">
        <v>95</v>
      </c>
      <c r="J6" s="39" t="s">
        <v>15</v>
      </c>
      <c r="K6" s="83"/>
    </row>
    <row r="7" spans="2:11" ht="19.5" customHeight="1" thickTop="1">
      <c r="B7" s="458">
        <v>1</v>
      </c>
      <c r="C7" s="477" t="s">
        <v>90</v>
      </c>
      <c r="D7" s="473" t="s">
        <v>1</v>
      </c>
      <c r="E7" s="36" t="s">
        <v>88</v>
      </c>
      <c r="F7" s="163" t="s">
        <v>115</v>
      </c>
      <c r="G7" s="92">
        <f>단위장비1!F16+단위장비2!F30+단위장비3!F30+단위장비5!F29+단위장비4!F30+단위장비6!F30+단위장비7!F30+단위장비8!F30+단위장비9!F30+단위장비10!F30</f>
        <v>0</v>
      </c>
      <c r="H7" s="46"/>
      <c r="I7" s="46">
        <f>단위장비1!H10+단위장비2!H24+단위장비3!H24+단위장비5!H23+단위장비4!H24+단위장비6!H24+단위장비7!H24+단위장비8!H24+단위장비9!H24+단위장비10!H24</f>
        <v>6250000</v>
      </c>
      <c r="J7" s="22" t="s">
        <v>21</v>
      </c>
    </row>
    <row r="8" spans="2:11" ht="19.5" customHeight="1">
      <c r="B8" s="458"/>
      <c r="C8" s="473"/>
      <c r="D8" s="473"/>
      <c r="E8" s="12" t="s">
        <v>117</v>
      </c>
      <c r="F8" s="161" t="s">
        <v>116</v>
      </c>
      <c r="G8" s="93">
        <v>1</v>
      </c>
      <c r="H8" s="35"/>
      <c r="I8" s="35">
        <f>단위장비1!H32+단위장비2!H47+단위장비3!H47+단위장비5!H46+단위장비4!H47+단위장비6!H47+단위장비7!H47+단위장비8!H47+단위장비9!H47+단위장비10!H47</f>
        <v>8600000</v>
      </c>
      <c r="J8" s="13" t="s">
        <v>22</v>
      </c>
    </row>
    <row r="9" spans="2:11" ht="19.5" customHeight="1">
      <c r="B9" s="458"/>
      <c r="C9" s="473"/>
      <c r="D9" s="473"/>
      <c r="E9" s="12" t="s">
        <v>2</v>
      </c>
      <c r="F9" s="161" t="s">
        <v>116</v>
      </c>
      <c r="G9" s="94">
        <v>1</v>
      </c>
      <c r="H9" s="35"/>
      <c r="I9" s="35">
        <f>단위장비1!H40+단위장비2!H55+단위장비3!H55+단위장비5!H54+단위장비4!H55+단위장비6!H55+단위장비7!H55+단위장비8!H55+단위장비9!H55+단위장비10!H55</f>
        <v>13900000</v>
      </c>
      <c r="J9" s="13" t="s">
        <v>30</v>
      </c>
    </row>
    <row r="10" spans="2:11" ht="19.5" customHeight="1">
      <c r="B10" s="458"/>
      <c r="C10" s="473"/>
      <c r="D10" s="473"/>
      <c r="E10" s="232" t="s">
        <v>150</v>
      </c>
      <c r="F10" s="253" t="s">
        <v>146</v>
      </c>
      <c r="G10" s="254">
        <v>1</v>
      </c>
      <c r="H10" s="233"/>
      <c r="I10" s="233">
        <f>단위장비1!H16+단위장비2!H30+단위장비3!H30+단위장비5!H29+단위장비4!H30+단위장비6!H30+단위장비7!H30+단위장비8!H30+단위장비9!H30+단위장비10!H30</f>
        <v>0</v>
      </c>
      <c r="J10" s="247" t="s">
        <v>151</v>
      </c>
    </row>
    <row r="11" spans="2:11" ht="19.5" customHeight="1">
      <c r="B11" s="458"/>
      <c r="C11" s="473"/>
      <c r="D11" s="478"/>
      <c r="E11" s="14" t="s">
        <v>67</v>
      </c>
      <c r="F11" s="437"/>
      <c r="G11" s="438"/>
      <c r="H11" s="439"/>
      <c r="I11" s="47">
        <f>SUM(I7:I10)</f>
        <v>28750000</v>
      </c>
      <c r="J11" s="13"/>
    </row>
    <row r="12" spans="2:11" ht="19.5" customHeight="1">
      <c r="B12" s="458"/>
      <c r="C12" s="473"/>
      <c r="D12" s="479" t="s">
        <v>3</v>
      </c>
      <c r="E12" s="255" t="s">
        <v>89</v>
      </c>
      <c r="F12" s="253" t="s">
        <v>113</v>
      </c>
      <c r="G12" s="256">
        <f>단위장비1!F42+단위장비2!F57+단위장비3!F57+단위장비5!F56+단위장비4!F57+단위장비6!F57+단위장비7!F57+단위장비8!F57+단위장비9!F57+단위장비10!F57</f>
        <v>0</v>
      </c>
      <c r="H12" s="256" t="str">
        <f>IF(단위장비1!G42&gt;0,단위장비1!G42,"")</f>
        <v/>
      </c>
      <c r="I12" s="256">
        <f>단위장비1!H42+단위장비2!H57+단위장비3!H57+단위장비5!H56+단위장비4!H57+단위장비6!H57+단위장비7!H57+단위장비8!H57+단위장비9!H57+단위장비10!H57</f>
        <v>0</v>
      </c>
      <c r="J12" s="16" t="s">
        <v>66</v>
      </c>
    </row>
    <row r="13" spans="2:11" s="85" customFormat="1" ht="19.5" customHeight="1">
      <c r="B13" s="458"/>
      <c r="C13" s="473"/>
      <c r="D13" s="473"/>
      <c r="E13" s="12" t="s">
        <v>4</v>
      </c>
      <c r="F13" s="161" t="s">
        <v>113</v>
      </c>
      <c r="G13" s="33">
        <f>단위장비1!F43+단위장비2!F58+단위장비3!F58+단위장비5!F57+단위장비4!F58+단위장비6!F58+단위장비7!F58+단위장비8!F58+단위장비9!F58+단위장비10!F58</f>
        <v>10</v>
      </c>
      <c r="H13" s="33">
        <f>IF(단위장비1!G43&gt;0,단위장비1!G43,"")</f>
        <v>300000</v>
      </c>
      <c r="I13" s="33">
        <f>단위장비1!H43+단위장비2!H58+단위장비3!H58+단위장비5!H57+단위장비4!H58+단위장비6!H58+단위장비7!H58+단위장비8!H58+단위장비9!H58+단위장비10!H58</f>
        <v>3000000</v>
      </c>
      <c r="J13" s="16"/>
      <c r="K13" s="84"/>
    </row>
    <row r="14" spans="2:11" s="85" customFormat="1" ht="19.5" customHeight="1">
      <c r="B14" s="458"/>
      <c r="C14" s="473"/>
      <c r="D14" s="473"/>
      <c r="E14" s="15" t="s">
        <v>19</v>
      </c>
      <c r="F14" s="161" t="s">
        <v>113</v>
      </c>
      <c r="G14" s="33"/>
      <c r="H14" s="33">
        <f>IF(단위장비1!G44&gt;0,단위장비1!G44,"")</f>
        <v>300000</v>
      </c>
      <c r="I14" s="33">
        <f>단위장비1!H44+단위장비2!H59+단위장비3!H59+단위장비5!H58+단위장비4!H59+단위장비6!H59+단위장비7!H59+단위장비8!H59+단위장비9!H59+단위장비10!H59</f>
        <v>6000000</v>
      </c>
      <c r="J14" s="16"/>
      <c r="K14" s="84"/>
    </row>
    <row r="15" spans="2:11" s="85" customFormat="1" ht="19.5" customHeight="1">
      <c r="B15" s="458"/>
      <c r="C15" s="473"/>
      <c r="D15" s="473"/>
      <c r="E15" s="15" t="s">
        <v>6</v>
      </c>
      <c r="F15" s="161" t="s">
        <v>113</v>
      </c>
      <c r="G15" s="33">
        <f>단위장비1!F45+단위장비2!F60+단위장비3!F60+단위장비5!F59+단위장비4!F60+단위장비6!F60+단위장비7!F60+단위장비8!F60+단위장비9!F60+단위장비10!F60</f>
        <v>10</v>
      </c>
      <c r="H15" s="33">
        <f>IF(단위장비1!G45&gt;0,단위장비1!G45,"")</f>
        <v>300000</v>
      </c>
      <c r="I15" s="33">
        <f>단위장비1!H45+단위장비2!H60+단위장비3!H60+단위장비5!H59+단위장비4!H60+단위장비6!H60+단위장비7!H60+단위장비8!H60+단위장비9!H60+단위장비10!H60</f>
        <v>3000000</v>
      </c>
      <c r="J15" s="16" t="s">
        <v>65</v>
      </c>
      <c r="K15" s="84"/>
    </row>
    <row r="16" spans="2:11" s="85" customFormat="1" ht="19.5" customHeight="1">
      <c r="B16" s="458"/>
      <c r="C16" s="473"/>
      <c r="D16" s="473"/>
      <c r="E16" s="255" t="s">
        <v>7</v>
      </c>
      <c r="F16" s="253" t="s">
        <v>113</v>
      </c>
      <c r="G16" s="256">
        <f>단위장비1!F46+단위장비2!F61+단위장비3!F61+단위장비5!F60+단위장비4!F61+단위장비6!F61+단위장비7!F61+단위장비8!F61+단위장비9!F61+단위장비10!F61</f>
        <v>10</v>
      </c>
      <c r="H16" s="256">
        <f>IF(단위장비1!G46&gt;0,단위장비1!G46,"")</f>
        <v>300000</v>
      </c>
      <c r="I16" s="256">
        <f>단위장비1!H46+단위장비2!H61+단위장비3!H61+단위장비5!H60+단위장비4!H61+단위장비6!H61+단위장비7!H61+단위장비8!H61+단위장비9!H61+단위장비10!H61</f>
        <v>3000000</v>
      </c>
      <c r="J16" s="16"/>
      <c r="K16" s="84"/>
    </row>
    <row r="17" spans="2:10" ht="19.5" customHeight="1">
      <c r="B17" s="458"/>
      <c r="C17" s="473"/>
      <c r="D17" s="473"/>
      <c r="E17" s="255" t="s">
        <v>8</v>
      </c>
      <c r="F17" s="253" t="s">
        <v>113</v>
      </c>
      <c r="G17" s="256">
        <f>단위장비1!F47+단위장비2!F62+단위장비3!F62+단위장비5!F61+단위장비4!F62+단위장비6!F62+단위장비7!F62+단위장비8!F62+단위장비9!F62+단위장비10!F62</f>
        <v>42</v>
      </c>
      <c r="H17" s="256">
        <f>IF(단위장비1!G47&gt;0,단위장비1!G47,"")</f>
        <v>380000</v>
      </c>
      <c r="I17" s="256">
        <f>단위장비1!H47+단위장비2!H62+단위장비3!H62+단위장비5!H61+단위장비4!H62+단위장비6!H62+단위장비7!H62+단위장비8!H62+단위장비9!H62+단위장비10!H62</f>
        <v>15960000</v>
      </c>
      <c r="J17" s="13"/>
    </row>
    <row r="18" spans="2:10" ht="19.5" customHeight="1">
      <c r="B18" s="458"/>
      <c r="C18" s="473"/>
      <c r="D18" s="473"/>
      <c r="E18" s="12" t="s">
        <v>9</v>
      </c>
      <c r="F18" s="161" t="s">
        <v>113</v>
      </c>
      <c r="G18" s="33">
        <f>단위장비1!F48+단위장비2!F63+단위장비3!F63+단위장비5!F62+단위장비4!F63+단위장비6!F63+단위장비7!F63+단위장비8!F63+단위장비9!F63+단위장비10!F63</f>
        <v>42</v>
      </c>
      <c r="H18" s="33">
        <f>IF(단위장비1!G48&gt;0,단위장비1!G48,"")</f>
        <v>500000</v>
      </c>
      <c r="I18" s="33">
        <f>단위장비1!H48+단위장비2!H63+단위장비3!H63+단위장비5!H62+단위장비4!H63+단위장비6!H63+단위장비7!H63+단위장비8!H63+단위장비9!H63+단위장비10!H63</f>
        <v>21000000</v>
      </c>
      <c r="J18" s="13"/>
    </row>
    <row r="19" spans="2:10" ht="19.5" customHeight="1">
      <c r="B19" s="458"/>
      <c r="C19" s="473"/>
      <c r="D19" s="473"/>
      <c r="E19" s="12" t="s">
        <v>20</v>
      </c>
      <c r="F19" s="161" t="s">
        <v>113</v>
      </c>
      <c r="G19" s="33">
        <f>단위장비1!F49+단위장비2!F64+단위장비3!F64+단위장비5!F63+단위장비4!F64+단위장비6!F64+단위장비7!F64+단위장비8!F64+단위장비9!F64+단위장비10!F64</f>
        <v>4</v>
      </c>
      <c r="H19" s="33">
        <f>IF(단위장비1!G49&gt;0,단위장비1!G49,"")</f>
        <v>4850000</v>
      </c>
      <c r="I19" s="33">
        <f>단위장비1!H49+단위장비2!H64+단위장비3!H64+단위장비5!H63+단위장비4!H64+단위장비6!H64+단위장비7!H64+단위장비8!H64+단위장비9!H64+단위장비10!H64</f>
        <v>19400000</v>
      </c>
      <c r="J19" s="13"/>
    </row>
    <row r="20" spans="2:10" ht="19.5" customHeight="1">
      <c r="B20" s="458"/>
      <c r="C20" s="473"/>
      <c r="D20" s="478"/>
      <c r="E20" s="14" t="s">
        <v>67</v>
      </c>
      <c r="F20" s="437"/>
      <c r="G20" s="438"/>
      <c r="H20" s="439"/>
      <c r="I20" s="47">
        <f>SUM(I12:I19)</f>
        <v>71360000</v>
      </c>
      <c r="J20" s="13"/>
    </row>
    <row r="21" spans="2:10" ht="19.5" customHeight="1">
      <c r="B21" s="458"/>
      <c r="C21" s="473"/>
      <c r="D21" s="132" t="s">
        <v>76</v>
      </c>
      <c r="E21" s="125"/>
      <c r="F21" s="437"/>
      <c r="G21" s="438"/>
      <c r="H21" s="439"/>
      <c r="I21" s="50">
        <f>단위장비1!H52+단위장비1!H53+단위장비2!H67+단위장비2!H68+단위장비3!H67+단위장비3!H68+단위장비5!H66+단위장비5!H67+단위장비4!H67+단위장비4!H68+단위장비6!H67+단위장비6!H68+단위장비7!H67+단위장비7!H68+단위장비8!H67+단위장비8!H68+단위장비9!H67+단위장비9!H68+단위장비10!H67+단위장비10!H68</f>
        <v>15016500</v>
      </c>
      <c r="J21" s="86"/>
    </row>
    <row r="22" spans="2:10" ht="19.5" customHeight="1">
      <c r="B22" s="459"/>
      <c r="C22" s="474"/>
      <c r="D22" s="17"/>
      <c r="E22" s="18" t="s">
        <v>49</v>
      </c>
      <c r="F22" s="443"/>
      <c r="G22" s="444"/>
      <c r="H22" s="445"/>
      <c r="I22" s="48">
        <f>I20+I11+I21</f>
        <v>115126500</v>
      </c>
      <c r="J22" s="19"/>
    </row>
    <row r="23" spans="2:10" ht="19.5" customHeight="1">
      <c r="B23" s="460">
        <v>2</v>
      </c>
      <c r="C23" s="470" t="s">
        <v>91</v>
      </c>
      <c r="D23" s="475" t="s">
        <v>1</v>
      </c>
      <c r="E23" s="11" t="s">
        <v>16</v>
      </c>
      <c r="F23" s="162" t="s">
        <v>114</v>
      </c>
      <c r="G23" s="34">
        <v>1</v>
      </c>
      <c r="H23" s="34"/>
      <c r="I23" s="34">
        <f>전기!H51-I24</f>
        <v>8183000</v>
      </c>
      <c r="J23" s="20"/>
    </row>
    <row r="24" spans="2:10" ht="19.5" customHeight="1">
      <c r="B24" s="458"/>
      <c r="C24" s="471"/>
      <c r="D24" s="476"/>
      <c r="E24" s="232" t="s">
        <v>150</v>
      </c>
      <c r="F24" s="257" t="s">
        <v>146</v>
      </c>
      <c r="G24" s="234">
        <v>1</v>
      </c>
      <c r="H24" s="234"/>
      <c r="I24" s="234">
        <f>전기!H16</f>
        <v>0</v>
      </c>
      <c r="J24" s="247" t="s">
        <v>151</v>
      </c>
    </row>
    <row r="25" spans="2:10" ht="19.5" customHeight="1">
      <c r="B25" s="458"/>
      <c r="C25" s="472"/>
      <c r="D25" s="479" t="s">
        <v>3</v>
      </c>
      <c r="E25" s="255" t="s">
        <v>94</v>
      </c>
      <c r="F25" s="253" t="s">
        <v>113</v>
      </c>
      <c r="G25" s="256">
        <f>전기!F52</f>
        <v>0</v>
      </c>
      <c r="H25" s="233" t="str">
        <f>IF(전기!G52&gt;0,전기!G52,"")</f>
        <v/>
      </c>
      <c r="I25" s="256">
        <f>전기!H52</f>
        <v>0</v>
      </c>
      <c r="J25" s="16"/>
    </row>
    <row r="26" spans="2:10" ht="19.5" customHeight="1">
      <c r="B26" s="458"/>
      <c r="C26" s="472"/>
      <c r="D26" s="473"/>
      <c r="E26" s="12" t="s">
        <v>73</v>
      </c>
      <c r="F26" s="161" t="s">
        <v>113</v>
      </c>
      <c r="G26" s="35">
        <f>전기!F53</f>
        <v>15</v>
      </c>
      <c r="H26" s="35">
        <f>IF(전기!G53&gt;0,전기!G53,"")</f>
        <v>300000</v>
      </c>
      <c r="I26" s="35">
        <f>전기!H53</f>
        <v>4500000</v>
      </c>
      <c r="J26" s="13"/>
    </row>
    <row r="27" spans="2:10" ht="19.5" customHeight="1">
      <c r="B27" s="458"/>
      <c r="C27" s="472"/>
      <c r="D27" s="473"/>
      <c r="E27" s="12" t="s">
        <v>5</v>
      </c>
      <c r="F27" s="161" t="s">
        <v>113</v>
      </c>
      <c r="G27" s="35">
        <f>전기!F54</f>
        <v>10</v>
      </c>
      <c r="H27" s="35">
        <f>IF(전기!G54&gt;0,전기!G54,"")</f>
        <v>300000</v>
      </c>
      <c r="I27" s="35">
        <f>전기!H54</f>
        <v>3000000</v>
      </c>
      <c r="J27" s="13"/>
    </row>
    <row r="28" spans="2:10" ht="19.5" customHeight="1">
      <c r="B28" s="458"/>
      <c r="C28" s="472"/>
      <c r="D28" s="473"/>
      <c r="E28" s="12" t="s">
        <v>100</v>
      </c>
      <c r="F28" s="161" t="s">
        <v>113</v>
      </c>
      <c r="G28" s="35">
        <f>전기!F55</f>
        <v>10</v>
      </c>
      <c r="H28" s="35">
        <f>IF(전기!G55&gt;0,전기!G55,"")</f>
        <v>300000</v>
      </c>
      <c r="I28" s="35">
        <f>전기!H55</f>
        <v>3000000</v>
      </c>
      <c r="J28" s="13"/>
    </row>
    <row r="29" spans="2:10" ht="19.5" customHeight="1">
      <c r="B29" s="458"/>
      <c r="C29" s="472"/>
      <c r="D29" s="473"/>
      <c r="E29" s="258" t="s">
        <v>99</v>
      </c>
      <c r="F29" s="253" t="s">
        <v>113</v>
      </c>
      <c r="G29" s="233">
        <f>전기!F56</f>
        <v>0</v>
      </c>
      <c r="H29" s="233" t="str">
        <f>IF(전기!G56&gt;0,전기!G56,"")</f>
        <v/>
      </c>
      <c r="I29" s="233">
        <f>전기!H56</f>
        <v>0</v>
      </c>
      <c r="J29" s="13"/>
    </row>
    <row r="30" spans="2:10" ht="19.5" customHeight="1">
      <c r="B30" s="458"/>
      <c r="C30" s="472"/>
      <c r="D30" s="473"/>
      <c r="E30" s="258" t="s">
        <v>8</v>
      </c>
      <c r="F30" s="253" t="s">
        <v>113</v>
      </c>
      <c r="G30" s="233">
        <f>전기!F57</f>
        <v>14</v>
      </c>
      <c r="H30" s="233">
        <f>IF(전기!G57&gt;0,전기!G57,"")</f>
        <v>380000</v>
      </c>
      <c r="I30" s="233">
        <f>전기!H57</f>
        <v>5320000</v>
      </c>
      <c r="J30" s="13"/>
    </row>
    <row r="31" spans="2:10" ht="19.5" customHeight="1">
      <c r="B31" s="458"/>
      <c r="C31" s="472"/>
      <c r="D31" s="473"/>
      <c r="E31" s="12" t="s">
        <v>9</v>
      </c>
      <c r="F31" s="161" t="s">
        <v>113</v>
      </c>
      <c r="G31" s="35">
        <f>전기!F58</f>
        <v>14</v>
      </c>
      <c r="H31" s="35">
        <f>IF(전기!G58&gt;0,전기!G58,"")</f>
        <v>500000</v>
      </c>
      <c r="I31" s="35">
        <f>전기!H58</f>
        <v>7000000</v>
      </c>
      <c r="J31" s="13"/>
    </row>
    <row r="32" spans="2:10" ht="19.5" customHeight="1">
      <c r="B32" s="458"/>
      <c r="C32" s="472"/>
      <c r="D32" s="478"/>
      <c r="E32" s="14" t="s">
        <v>68</v>
      </c>
      <c r="F32" s="440"/>
      <c r="G32" s="441"/>
      <c r="H32" s="442"/>
      <c r="I32" s="47">
        <f>SUM(I25:I31)</f>
        <v>22820000</v>
      </c>
      <c r="J32" s="13"/>
    </row>
    <row r="33" spans="2:13" ht="19.5" customHeight="1">
      <c r="B33" s="458"/>
      <c r="C33" s="473"/>
      <c r="D33" s="132" t="s">
        <v>76</v>
      </c>
      <c r="E33" s="125"/>
      <c r="F33" s="437"/>
      <c r="G33" s="438"/>
      <c r="H33" s="439"/>
      <c r="I33" s="50">
        <f>전기!H61+전기!H62</f>
        <v>4650450</v>
      </c>
      <c r="J33" s="86"/>
    </row>
    <row r="34" spans="2:13" ht="19.5" customHeight="1">
      <c r="B34" s="459"/>
      <c r="C34" s="474"/>
      <c r="D34" s="17"/>
      <c r="E34" s="18" t="s">
        <v>69</v>
      </c>
      <c r="F34" s="443"/>
      <c r="G34" s="444"/>
      <c r="H34" s="445"/>
      <c r="I34" s="48">
        <f>I32+I23+I33+I24</f>
        <v>35653450</v>
      </c>
      <c r="J34" s="19"/>
    </row>
    <row r="35" spans="2:13" ht="19.5" customHeight="1">
      <c r="B35" s="467">
        <v>3</v>
      </c>
      <c r="C35" s="446" t="s">
        <v>57</v>
      </c>
      <c r="D35" s="447"/>
      <c r="E35" s="448"/>
      <c r="F35" s="446"/>
      <c r="G35" s="447"/>
      <c r="H35" s="448"/>
      <c r="I35" s="49">
        <f>I23+I11+I24</f>
        <v>36933000</v>
      </c>
      <c r="J35" s="20"/>
    </row>
    <row r="36" spans="2:13" ht="19.5" customHeight="1">
      <c r="B36" s="468"/>
      <c r="C36" s="437" t="s">
        <v>58</v>
      </c>
      <c r="D36" s="438"/>
      <c r="E36" s="439"/>
      <c r="F36" s="437"/>
      <c r="G36" s="438"/>
      <c r="H36" s="439"/>
      <c r="I36" s="47">
        <f>I32+I20</f>
        <v>94180000</v>
      </c>
      <c r="J36" s="13"/>
    </row>
    <row r="37" spans="2:13" ht="19.5" customHeight="1" thickBot="1">
      <c r="B37" s="469"/>
      <c r="C37" s="450" t="s">
        <v>59</v>
      </c>
      <c r="D37" s="450"/>
      <c r="E37" s="451"/>
      <c r="F37" s="449"/>
      <c r="G37" s="450"/>
      <c r="H37" s="451"/>
      <c r="I37" s="57">
        <f>I36+I35</f>
        <v>131113000</v>
      </c>
      <c r="J37" s="58"/>
    </row>
    <row r="38" spans="2:13" ht="20.25" customHeight="1">
      <c r="B38" s="21">
        <v>4</v>
      </c>
      <c r="C38" s="478" t="s">
        <v>87</v>
      </c>
      <c r="D38" s="481"/>
      <c r="E38" s="482"/>
      <c r="F38" s="452"/>
      <c r="G38" s="453"/>
      <c r="H38" s="454"/>
      <c r="I38" s="142"/>
      <c r="J38" s="109"/>
    </row>
    <row r="39" spans="2:13" ht="22.5" customHeight="1">
      <c r="B39" s="23">
        <v>5</v>
      </c>
      <c r="C39" s="437" t="s">
        <v>0</v>
      </c>
      <c r="D39" s="438"/>
      <c r="E39" s="439"/>
      <c r="F39" s="455" t="s">
        <v>164</v>
      </c>
      <c r="G39" s="456"/>
      <c r="H39" s="457"/>
      <c r="I39" s="110">
        <f>CEILING(MIN(I48:I49),1000)</f>
        <v>918000</v>
      </c>
      <c r="J39" s="259">
        <f>I30+I29+I25+I24+I17+I16+I12+I10</f>
        <v>24280000</v>
      </c>
      <c r="K39" s="164"/>
      <c r="M39" s="164"/>
    </row>
    <row r="40" spans="2:13" ht="20.25" customHeight="1">
      <c r="B40" s="23">
        <v>6</v>
      </c>
      <c r="C40" s="437" t="s">
        <v>25</v>
      </c>
      <c r="D40" s="438"/>
      <c r="E40" s="439"/>
      <c r="F40" s="497"/>
      <c r="G40" s="498"/>
      <c r="H40" s="499"/>
      <c r="I40" s="47">
        <f>전기!H61+단위장비1!H52+단위장비2!H67+단위장비3!H67+단위장비5!H66+단위장비4!H67+단위장비6!H67+단위장비7!H67+단위장비8!H67+단위장비9!H67+단위장비10!H67</f>
        <v>6555650</v>
      </c>
      <c r="J40" s="13"/>
    </row>
    <row r="41" spans="2:13" ht="20.25" customHeight="1">
      <c r="B41" s="24">
        <v>7</v>
      </c>
      <c r="C41" s="443" t="s">
        <v>17</v>
      </c>
      <c r="D41" s="444"/>
      <c r="E41" s="445"/>
      <c r="F41" s="494"/>
      <c r="G41" s="495"/>
      <c r="H41" s="496"/>
      <c r="I41" s="50">
        <f>전기!H62+단위장비1!H53+단위장비2!H68+단위장비3!H68+단위장비5!H67+단위장비4!H68+단위장비6!H68+단위장비7!H68+단위장비8!H68+단위장비9!H68+단위장비10!H68</f>
        <v>13111300</v>
      </c>
      <c r="J41" s="86"/>
      <c r="K41" s="7"/>
    </row>
    <row r="42" spans="2:13" ht="28.5" customHeight="1" thickBot="1">
      <c r="B42" s="59"/>
      <c r="C42" s="480" t="s">
        <v>18</v>
      </c>
      <c r="D42" s="480"/>
      <c r="E42" s="480"/>
      <c r="F42" s="491" t="s">
        <v>63</v>
      </c>
      <c r="G42" s="492"/>
      <c r="H42" s="493"/>
      <c r="I42" s="60">
        <f>I22+I34+I38+I39</f>
        <v>151697950</v>
      </c>
      <c r="J42" s="87"/>
      <c r="K42" s="7"/>
    </row>
    <row r="43" spans="2:13" ht="19.5" customHeight="1">
      <c r="B43" s="235" t="s">
        <v>183</v>
      </c>
      <c r="C43" s="8"/>
      <c r="D43" s="8"/>
      <c r="E43" s="8"/>
    </row>
    <row r="44" spans="2:13" ht="19.5" customHeight="1">
      <c r="B44" s="235" t="s">
        <v>182</v>
      </c>
      <c r="C44" s="8"/>
      <c r="D44" s="8"/>
      <c r="E44" s="8"/>
    </row>
    <row r="45" spans="2:13" ht="19.5" customHeight="1">
      <c r="B45" s="7" t="s">
        <v>64</v>
      </c>
      <c r="C45" s="8"/>
      <c r="D45" s="8"/>
      <c r="E45" s="8"/>
    </row>
    <row r="46" spans="2:13" ht="19.5" customHeight="1">
      <c r="C46" s="8"/>
      <c r="D46" s="8"/>
      <c r="E46" s="8"/>
    </row>
    <row r="47" spans="2:13" ht="19.5" customHeight="1">
      <c r="C47" s="8"/>
      <c r="D47" s="8"/>
      <c r="E47" s="488" t="s">
        <v>169</v>
      </c>
      <c r="F47" s="485" t="s">
        <v>159</v>
      </c>
      <c r="G47" s="486"/>
      <c r="H47" s="487"/>
      <c r="I47" s="249" t="s">
        <v>161</v>
      </c>
      <c r="J47" s="251" t="s">
        <v>158</v>
      </c>
      <c r="K47" s="252" t="s">
        <v>162</v>
      </c>
    </row>
    <row r="48" spans="2:13" ht="19.5" customHeight="1">
      <c r="C48" s="8"/>
      <c r="D48" s="8"/>
      <c r="E48" s="489"/>
      <c r="F48" s="483" t="s">
        <v>154</v>
      </c>
      <c r="G48" s="484"/>
      <c r="H48" s="484"/>
      <c r="I48" s="47">
        <f>IF(J48&lt;500000000,J48*0.0315,1)+IF(J48&gt;500000000,J48*0.0253+3300000)*IF(J48&gt;5000000000,0,1)+IF(J48&gt;5000000000,J48*0.026,0)</f>
        <v>4130059.5</v>
      </c>
      <c r="J48" s="250">
        <f>SUM(I7:I10,I12:I19,I23:I31,I38)</f>
        <v>131113000</v>
      </c>
      <c r="K48" s="250" t="s">
        <v>156</v>
      </c>
    </row>
    <row r="49" spans="5:11" ht="19.5" customHeight="1">
      <c r="E49" s="490"/>
      <c r="F49" s="483" t="s">
        <v>155</v>
      </c>
      <c r="G49" s="484"/>
      <c r="H49" s="484"/>
      <c r="I49" s="47">
        <f>(IF(J49&lt;500000000,J49*0.0315,1)+IF(J49&gt;500000000,J49*0.0253+3300000)*IF(J49&gt;5000000000,0,1)+IF(J49&gt;5000000000,J49*0.026,0))*1.2</f>
        <v>917784</v>
      </c>
      <c r="J49" s="260">
        <f>SUM(I10,I24,I12,I16:I17,I25,I29:I30)</f>
        <v>24280000</v>
      </c>
      <c r="K49" s="250" t="s">
        <v>157</v>
      </c>
    </row>
    <row r="50" spans="5:11" ht="19.5" customHeight="1">
      <c r="G50" s="248" t="s">
        <v>160</v>
      </c>
    </row>
  </sheetData>
  <mergeCells count="38">
    <mergeCell ref="C41:E41"/>
    <mergeCell ref="C42:E42"/>
    <mergeCell ref="C38:E38"/>
    <mergeCell ref="F48:H48"/>
    <mergeCell ref="F49:H49"/>
    <mergeCell ref="F47:H47"/>
    <mergeCell ref="E47:E49"/>
    <mergeCell ref="F42:H42"/>
    <mergeCell ref="F41:H41"/>
    <mergeCell ref="C39:E39"/>
    <mergeCell ref="C40:E40"/>
    <mergeCell ref="F40:H40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F35:H35"/>
    <mergeCell ref="F36:H36"/>
    <mergeCell ref="F37:H37"/>
    <mergeCell ref="F38:H38"/>
    <mergeCell ref="F39:H39"/>
    <mergeCell ref="F11:H11"/>
    <mergeCell ref="F32:H32"/>
    <mergeCell ref="F33:H33"/>
    <mergeCell ref="F34:H34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2:P22"/>
  <sheetViews>
    <sheetView zoomScale="74" zoomScaleNormal="74" workbookViewId="0">
      <selection activeCell="M33" sqref="M33"/>
    </sheetView>
  </sheetViews>
  <sheetFormatPr defaultRowHeight="17.25" customHeight="1"/>
  <cols>
    <col min="1" max="1" width="5" style="28" customWidth="1"/>
    <col min="2" max="2" width="20.125" style="28" customWidth="1"/>
    <col min="3" max="3" width="6.25" style="28" customWidth="1"/>
    <col min="4" max="8" width="11.875" style="28" customWidth="1"/>
    <col min="9" max="9" width="13" style="28" customWidth="1"/>
    <col min="10" max="11" width="13.875" style="28" customWidth="1"/>
    <col min="12" max="12" width="12.5" style="28" bestFit="1" customWidth="1"/>
    <col min="13" max="13" width="15" style="28" bestFit="1" customWidth="1"/>
    <col min="14" max="14" width="13.875" style="28" customWidth="1"/>
    <col min="15" max="15" width="9.625" style="28" customWidth="1"/>
    <col min="16" max="16" width="12.625" style="28" hidden="1" customWidth="1"/>
    <col min="17" max="17" width="10" style="28" customWidth="1"/>
    <col min="18" max="16384" width="9" style="28"/>
  </cols>
  <sheetData>
    <row r="2" spans="1:16" ht="31.5" customHeight="1">
      <c r="A2" s="4" t="s">
        <v>92</v>
      </c>
    </row>
    <row r="3" spans="1:16" ht="17.25" customHeight="1" thickBot="1">
      <c r="N3" s="28" t="s">
        <v>29</v>
      </c>
    </row>
    <row r="4" spans="1:16" s="29" customFormat="1" ht="8.25" customHeight="1">
      <c r="A4" s="32"/>
      <c r="B4" s="32"/>
      <c r="C4" s="32"/>
      <c r="D4" s="503"/>
      <c r="E4" s="504"/>
      <c r="F4" s="504"/>
      <c r="G4" s="504"/>
      <c r="H4" s="504"/>
      <c r="I4" s="504"/>
      <c r="J4" s="505"/>
      <c r="K4" s="127"/>
      <c r="L4" s="127"/>
      <c r="M4" s="128"/>
      <c r="N4" s="63"/>
      <c r="O4" s="51"/>
    </row>
    <row r="5" spans="1:16" s="29" customFormat="1" ht="25.5" customHeight="1">
      <c r="A5" s="66"/>
      <c r="B5" s="66"/>
      <c r="C5" s="66"/>
      <c r="D5" s="207"/>
      <c r="E5" s="208"/>
      <c r="F5" s="208"/>
      <c r="G5" s="208"/>
      <c r="H5" s="208"/>
      <c r="I5" s="209" t="s">
        <v>85</v>
      </c>
      <c r="J5" s="192"/>
      <c r="K5" s="188"/>
      <c r="L5" s="188" t="s">
        <v>74</v>
      </c>
      <c r="M5" s="189" t="s">
        <v>56</v>
      </c>
      <c r="N5" s="190"/>
      <c r="O5" s="191"/>
    </row>
    <row r="6" spans="1:16" s="29" customFormat="1" ht="25.5" customHeight="1" thickBot="1">
      <c r="A6" s="41" t="s">
        <v>23</v>
      </c>
      <c r="B6" s="41" t="s">
        <v>93</v>
      </c>
      <c r="C6" s="41" t="s">
        <v>28</v>
      </c>
      <c r="D6" s="210" t="s">
        <v>24</v>
      </c>
      <c r="E6" s="211" t="s">
        <v>60</v>
      </c>
      <c r="F6" s="211" t="s">
        <v>61</v>
      </c>
      <c r="G6" s="211" t="s">
        <v>54</v>
      </c>
      <c r="H6" s="211" t="s">
        <v>55</v>
      </c>
      <c r="I6" s="212" t="s">
        <v>86</v>
      </c>
      <c r="J6" s="193" t="s">
        <v>136</v>
      </c>
      <c r="K6" s="126" t="s">
        <v>137</v>
      </c>
      <c r="L6" s="126" t="s">
        <v>75</v>
      </c>
      <c r="M6" s="129" t="s">
        <v>43</v>
      </c>
      <c r="N6" s="64" t="s">
        <v>26</v>
      </c>
      <c r="O6" s="61" t="s">
        <v>27</v>
      </c>
    </row>
    <row r="7" spans="1:16" s="31" customFormat="1" ht="25.5" customHeight="1" thickTop="1">
      <c r="A7" s="143">
        <f>IF(B7&gt;0,1,"")</f>
        <v>1</v>
      </c>
      <c r="B7" s="144" t="str">
        <f>단위장비1!C$1</f>
        <v>인도 도장2라인 개조공사</v>
      </c>
      <c r="C7" s="143" t="s">
        <v>139</v>
      </c>
      <c r="D7" s="213">
        <f>단위장비1!H41</f>
        <v>28750000</v>
      </c>
      <c r="E7" s="214">
        <f>단위장비1!H42</f>
        <v>0</v>
      </c>
      <c r="F7" s="214">
        <f>단위장비1!H43+단위장비1!H44+단위장비1!H45+단위장비1!H49</f>
        <v>31400000</v>
      </c>
      <c r="G7" s="214">
        <f>단위장비1!H46+단위장비1!H47</f>
        <v>18960000</v>
      </c>
      <c r="H7" s="214">
        <f>단위장비1!H48</f>
        <v>21000000</v>
      </c>
      <c r="I7" s="215">
        <f>IF($B7&gt;0,'원가항목별(집계)'!I$38*$P7/$P$17,0)</f>
        <v>0</v>
      </c>
      <c r="J7" s="194">
        <f>SUM(D7:I7)</f>
        <v>100110000</v>
      </c>
      <c r="K7" s="145">
        <f>IF(B7&gt;0,'원가항목별(집계)'!I$34*P7/P$17,0)</f>
        <v>35653450</v>
      </c>
      <c r="L7" s="145">
        <f>IF($B7&gt;0,'원가항목별(집계)'!I$39*$P7/$P$17,0)</f>
        <v>918000</v>
      </c>
      <c r="M7" s="146">
        <f>단위장비1!H52+단위장비1!H53</f>
        <v>15016500</v>
      </c>
      <c r="N7" s="147">
        <f>SUM(J7:M7)</f>
        <v>151697950</v>
      </c>
      <c r="O7" s="148"/>
      <c r="P7" s="31">
        <f>D7+E7+F7+G7+H7+M7</f>
        <v>115126500</v>
      </c>
    </row>
    <row r="8" spans="1:16" s="31" customFormat="1" ht="25.5" customHeight="1">
      <c r="A8" s="149" t="str">
        <f t="shared" ref="A8:A16" si="0">IF(B8&gt;0,A7+1,"")</f>
        <v/>
      </c>
      <c r="B8" s="150">
        <f>단위장비2!C$1</f>
        <v>0</v>
      </c>
      <c r="C8" s="149" t="s">
        <v>140</v>
      </c>
      <c r="D8" s="216">
        <f>단위장비2!H56</f>
        <v>0</v>
      </c>
      <c r="E8" s="217">
        <f>단위장비2!H57</f>
        <v>0</v>
      </c>
      <c r="F8" s="217">
        <f>단위장비2!H58+단위장비2!H59+단위장비2!H60+단위장비2!H64</f>
        <v>0</v>
      </c>
      <c r="G8" s="217">
        <f>단위장비2!H61+단위장비2!H62</f>
        <v>0</v>
      </c>
      <c r="H8" s="217">
        <f>단위장비2!H63</f>
        <v>0</v>
      </c>
      <c r="I8" s="218">
        <f>IF($B8&gt;0,'원가항목별(집계)'!I$38*$P8/$P$17,0)</f>
        <v>0</v>
      </c>
      <c r="J8" s="195">
        <f>SUM(D8:I8)</f>
        <v>0</v>
      </c>
      <c r="K8" s="151">
        <f>IF(B8&gt;0,'원가항목별(집계)'!I$34*P8/P$17,0)</f>
        <v>0</v>
      </c>
      <c r="L8" s="151">
        <f>IF($B8&gt;0,'원가항목별(집계)'!I$39*$P8/$P$17,0)</f>
        <v>0</v>
      </c>
      <c r="M8" s="152">
        <f>단위장비2!H67+단위장비2!H68</f>
        <v>0</v>
      </c>
      <c r="N8" s="153">
        <f t="shared" ref="N8:N16" si="1">SUM(J8:M8)</f>
        <v>0</v>
      </c>
      <c r="O8" s="99"/>
      <c r="P8" s="31">
        <f t="shared" ref="P8:P16" si="2">D8+E8+F8+G8+H8+M8</f>
        <v>0</v>
      </c>
    </row>
    <row r="9" spans="1:16" s="31" customFormat="1" ht="25.5" customHeight="1">
      <c r="A9" s="149" t="str">
        <f t="shared" si="0"/>
        <v/>
      </c>
      <c r="B9" s="150">
        <f>단위장비3!C$1</f>
        <v>0</v>
      </c>
      <c r="C9" s="149" t="s">
        <v>138</v>
      </c>
      <c r="D9" s="216">
        <f>단위장비3!H56</f>
        <v>0</v>
      </c>
      <c r="E9" s="217">
        <f>단위장비3!H57</f>
        <v>0</v>
      </c>
      <c r="F9" s="217">
        <f>단위장비3!H58+단위장비3!H59+단위장비3!H60+단위장비3!H64</f>
        <v>0</v>
      </c>
      <c r="G9" s="217">
        <f>단위장비3!H61+단위장비3!H62</f>
        <v>0</v>
      </c>
      <c r="H9" s="217">
        <f>단위장비3!H63</f>
        <v>0</v>
      </c>
      <c r="I9" s="218">
        <f>IF($B9&gt;0,'원가항목별(집계)'!I$38*$P9/$P$17,0)</f>
        <v>0</v>
      </c>
      <c r="J9" s="195">
        <f t="shared" ref="J9:J14" si="3">SUM(D9:I9)</f>
        <v>0</v>
      </c>
      <c r="K9" s="151">
        <f>IF(B9&gt;0,'원가항목별(집계)'!I$34*P9/P$17,0)</f>
        <v>0</v>
      </c>
      <c r="L9" s="151">
        <f>IF($B9&gt;0,'원가항목별(집계)'!I$39*$P9/$P$17,0)</f>
        <v>0</v>
      </c>
      <c r="M9" s="152">
        <f>단위장비3!H67+단위장비3!H68</f>
        <v>0</v>
      </c>
      <c r="N9" s="153">
        <f t="shared" si="1"/>
        <v>0</v>
      </c>
      <c r="O9" s="99"/>
      <c r="P9" s="31">
        <f t="shared" si="2"/>
        <v>0</v>
      </c>
    </row>
    <row r="10" spans="1:16" s="31" customFormat="1" ht="25.5" customHeight="1">
      <c r="A10" s="149" t="str">
        <f t="shared" si="0"/>
        <v/>
      </c>
      <c r="B10" s="150">
        <f>단위장비4!C1</f>
        <v>0</v>
      </c>
      <c r="C10" s="149" t="s">
        <v>138</v>
      </c>
      <c r="D10" s="216">
        <f>단위장비4!H56</f>
        <v>0</v>
      </c>
      <c r="E10" s="217">
        <f>단위장비4!H57</f>
        <v>0</v>
      </c>
      <c r="F10" s="217">
        <f>단위장비4!H58+단위장비4!H59+단위장비4!H60+단위장비4!H64</f>
        <v>0</v>
      </c>
      <c r="G10" s="217">
        <f>단위장비4!H61+단위장비4!H62</f>
        <v>0</v>
      </c>
      <c r="H10" s="217">
        <f>단위장비4!H63</f>
        <v>0</v>
      </c>
      <c r="I10" s="218">
        <f>IF($B10&gt;0,'원가항목별(집계)'!I$38*$P10/$P$17,0)</f>
        <v>0</v>
      </c>
      <c r="J10" s="195">
        <f t="shared" si="3"/>
        <v>0</v>
      </c>
      <c r="K10" s="151">
        <f>IF(B10&gt;0,'원가항목별(집계)'!I$34*P10/P$17,0)</f>
        <v>0</v>
      </c>
      <c r="L10" s="151">
        <f>IF($B10&gt;0,'원가항목별(집계)'!I$39*$P10/$P$17,0)</f>
        <v>0</v>
      </c>
      <c r="M10" s="152">
        <f>단위장비4!H67+단위장비4!H68</f>
        <v>0</v>
      </c>
      <c r="N10" s="153">
        <f t="shared" si="1"/>
        <v>0</v>
      </c>
      <c r="O10" s="99"/>
      <c r="P10" s="31">
        <f t="shared" si="2"/>
        <v>0</v>
      </c>
    </row>
    <row r="11" spans="1:16" s="31" customFormat="1" ht="25.5" customHeight="1">
      <c r="A11" s="149" t="str">
        <f t="shared" si="0"/>
        <v/>
      </c>
      <c r="B11" s="150">
        <f>단위장비5!C1</f>
        <v>0</v>
      </c>
      <c r="C11" s="149" t="s">
        <v>138</v>
      </c>
      <c r="D11" s="216">
        <f>단위장비5!H55</f>
        <v>0</v>
      </c>
      <c r="E11" s="217">
        <f>단위장비5!H56</f>
        <v>0</v>
      </c>
      <c r="F11" s="217">
        <f>단위장비5!H57+단위장비5!H58+단위장비5!H59+단위장비5!H63</f>
        <v>0</v>
      </c>
      <c r="G11" s="217">
        <f>단위장비5!H60+단위장비5!H61</f>
        <v>0</v>
      </c>
      <c r="H11" s="217">
        <f>단위장비5!H62</f>
        <v>0</v>
      </c>
      <c r="I11" s="218">
        <f>IF($B11&gt;0,'원가항목별(집계)'!I$38*$P11/$P$17,0)</f>
        <v>0</v>
      </c>
      <c r="J11" s="195">
        <f t="shared" si="3"/>
        <v>0</v>
      </c>
      <c r="K11" s="151">
        <f>IF(B11&gt;0,'원가항목별(집계)'!I$34*P11/P$17,0)</f>
        <v>0</v>
      </c>
      <c r="L11" s="151">
        <f>IF($B11&gt;0,'원가항목별(집계)'!I$39*$P11/$P$17,0)</f>
        <v>0</v>
      </c>
      <c r="M11" s="152">
        <f>단위장비5!H66+단위장비5!H67</f>
        <v>0</v>
      </c>
      <c r="N11" s="153">
        <f t="shared" si="1"/>
        <v>0</v>
      </c>
      <c r="O11" s="99"/>
      <c r="P11" s="31">
        <f t="shared" si="2"/>
        <v>0</v>
      </c>
    </row>
    <row r="12" spans="1:16" s="31" customFormat="1" ht="25.5" customHeight="1">
      <c r="A12" s="149" t="str">
        <f t="shared" si="0"/>
        <v/>
      </c>
      <c r="B12" s="150">
        <f>단위장비6!C$1</f>
        <v>0</v>
      </c>
      <c r="C12" s="149" t="s">
        <v>138</v>
      </c>
      <c r="D12" s="216">
        <f>단위장비6!H56</f>
        <v>0</v>
      </c>
      <c r="E12" s="217">
        <f>단위장비6!H57</f>
        <v>0</v>
      </c>
      <c r="F12" s="217">
        <f>단위장비6!H58+단위장비6!H59+단위장비6!H60+단위장비6!H64</f>
        <v>0</v>
      </c>
      <c r="G12" s="217">
        <f>단위장비6!H61+단위장비6!H62</f>
        <v>0</v>
      </c>
      <c r="H12" s="217">
        <f>단위장비6!H63</f>
        <v>0</v>
      </c>
      <c r="I12" s="218">
        <f>IF($B12&gt;0,'원가항목별(집계)'!I$38*$P12/$P$17,0)</f>
        <v>0</v>
      </c>
      <c r="J12" s="195">
        <f t="shared" si="3"/>
        <v>0</v>
      </c>
      <c r="K12" s="151">
        <f>IF(B12&gt;0,'원가항목별(집계)'!I$34*P12/P$17,0)</f>
        <v>0</v>
      </c>
      <c r="L12" s="151">
        <f>IF($B12&gt;0,'원가항목별(집계)'!I$39*$P12/$P$17,0)</f>
        <v>0</v>
      </c>
      <c r="M12" s="152">
        <f>단위장비6!H67+단위장비6!H68</f>
        <v>0</v>
      </c>
      <c r="N12" s="153">
        <f t="shared" si="1"/>
        <v>0</v>
      </c>
      <c r="O12" s="99"/>
      <c r="P12" s="31">
        <f t="shared" si="2"/>
        <v>0</v>
      </c>
    </row>
    <row r="13" spans="1:16" s="31" customFormat="1" ht="25.5" customHeight="1">
      <c r="A13" s="149" t="str">
        <f t="shared" si="0"/>
        <v/>
      </c>
      <c r="B13" s="150">
        <f>단위장비7!C$1</f>
        <v>0</v>
      </c>
      <c r="C13" s="149" t="s">
        <v>138</v>
      </c>
      <c r="D13" s="216">
        <f>단위장비7!H56</f>
        <v>0</v>
      </c>
      <c r="E13" s="217">
        <f>단위장비7!H57</f>
        <v>0</v>
      </c>
      <c r="F13" s="217">
        <f>단위장비7!H58+단위장비7!H59+단위장비7!H60+단위장비7!H64</f>
        <v>0</v>
      </c>
      <c r="G13" s="217">
        <f>단위장비7!H61+단위장비7!H62</f>
        <v>0</v>
      </c>
      <c r="H13" s="217">
        <f>단위장비7!H63</f>
        <v>0</v>
      </c>
      <c r="I13" s="218">
        <f>IF($B13&gt;0,'원가항목별(집계)'!I$38*$P13/$P$17,0)</f>
        <v>0</v>
      </c>
      <c r="J13" s="195">
        <f t="shared" si="3"/>
        <v>0</v>
      </c>
      <c r="K13" s="151">
        <f>IF(B13&gt;0,'원가항목별(집계)'!I$34*P13/P$17,0)</f>
        <v>0</v>
      </c>
      <c r="L13" s="151">
        <f>IF($B13&gt;0,'원가항목별(집계)'!I$39*$P13/$P$17,0)</f>
        <v>0</v>
      </c>
      <c r="M13" s="152">
        <f>단위장비7!H67+단위장비7!H68</f>
        <v>0</v>
      </c>
      <c r="N13" s="153">
        <f t="shared" si="1"/>
        <v>0</v>
      </c>
      <c r="O13" s="99"/>
      <c r="P13" s="31">
        <f t="shared" si="2"/>
        <v>0</v>
      </c>
    </row>
    <row r="14" spans="1:16" s="31" customFormat="1" ht="25.5" customHeight="1">
      <c r="A14" s="149" t="str">
        <f t="shared" si="0"/>
        <v/>
      </c>
      <c r="B14" s="150">
        <f>단위장비8!C$1</f>
        <v>0</v>
      </c>
      <c r="C14" s="149" t="s">
        <v>138</v>
      </c>
      <c r="D14" s="216">
        <f>단위장비8!H57</f>
        <v>0</v>
      </c>
      <c r="E14" s="217">
        <f>단위장비8!H57</f>
        <v>0</v>
      </c>
      <c r="F14" s="217">
        <f>단위장비8!H58+단위장비8!H59+단위장비8!H60+단위장비8!H64</f>
        <v>0</v>
      </c>
      <c r="G14" s="217"/>
      <c r="H14" s="217">
        <f>단위장비8!H63</f>
        <v>0</v>
      </c>
      <c r="I14" s="218">
        <f>IF($B14&gt;0,'원가항목별(집계)'!I$38*$P14/$P$17,0)</f>
        <v>0</v>
      </c>
      <c r="J14" s="195">
        <f t="shared" si="3"/>
        <v>0</v>
      </c>
      <c r="K14" s="151">
        <f>IF(B14&gt;0,'원가항목별(집계)'!I$34*P14/P$17,0)</f>
        <v>0</v>
      </c>
      <c r="L14" s="151">
        <f>IF($B14&gt;0,'원가항목별(집계)'!I$39*$P14/$P$17,0)</f>
        <v>0</v>
      </c>
      <c r="M14" s="152">
        <f>단위장비8!H67+단위장비8!H68</f>
        <v>0</v>
      </c>
      <c r="N14" s="153">
        <f t="shared" si="1"/>
        <v>0</v>
      </c>
      <c r="O14" s="99"/>
      <c r="P14" s="31">
        <f t="shared" si="2"/>
        <v>0</v>
      </c>
    </row>
    <row r="15" spans="1:16" s="31" customFormat="1" ht="25.5" customHeight="1">
      <c r="A15" s="149" t="str">
        <f t="shared" si="0"/>
        <v/>
      </c>
      <c r="B15" s="150">
        <f>단위장비9!C$1</f>
        <v>0</v>
      </c>
      <c r="C15" s="149" t="s">
        <v>138</v>
      </c>
      <c r="D15" s="216">
        <f>단위장비9!H57</f>
        <v>0</v>
      </c>
      <c r="E15" s="217">
        <f>단위장비9!H58</f>
        <v>0</v>
      </c>
      <c r="F15" s="217">
        <f>단위장비9!H59+단위장비9!H60+단위장비9!H61+단위장비9!H65</f>
        <v>0</v>
      </c>
      <c r="G15" s="217">
        <f>단위장비9!H62+단위장비9!H63</f>
        <v>0</v>
      </c>
      <c r="H15" s="217">
        <f>단위장비9!H64</f>
        <v>0</v>
      </c>
      <c r="I15" s="218">
        <f>IF($B15&gt;0,'원가항목별(집계)'!I$38*$P15/$P$17,0)</f>
        <v>0</v>
      </c>
      <c r="J15" s="195">
        <f>SUM(D15:I15)</f>
        <v>0</v>
      </c>
      <c r="K15" s="151">
        <f>IF(B15&gt;0,'원가항목별(집계)'!I$34*P15/P$17,0)</f>
        <v>0</v>
      </c>
      <c r="L15" s="151">
        <f>IF($B15&gt;0,'원가항목별(집계)'!I$39*$P15/$P$17,0)</f>
        <v>0</v>
      </c>
      <c r="M15" s="152">
        <f>단위장비9!H68+단위장비9!H69</f>
        <v>0</v>
      </c>
      <c r="N15" s="153">
        <f t="shared" si="1"/>
        <v>0</v>
      </c>
      <c r="O15" s="99"/>
      <c r="P15" s="31">
        <f t="shared" si="2"/>
        <v>0</v>
      </c>
    </row>
    <row r="16" spans="1:16" s="31" customFormat="1" ht="25.5" customHeight="1">
      <c r="A16" s="154" t="str">
        <f t="shared" si="0"/>
        <v/>
      </c>
      <c r="B16" s="155">
        <f>단위장비10!C$1</f>
        <v>0</v>
      </c>
      <c r="C16" s="154" t="s">
        <v>138</v>
      </c>
      <c r="D16" s="219">
        <f>단위장비10!H58</f>
        <v>0</v>
      </c>
      <c r="E16" s="220">
        <f>단위장비10!H59</f>
        <v>0</v>
      </c>
      <c r="F16" s="220">
        <f>단위장비10!H60+단위장비10!H61+단위장비10!H62+단위장비10!H66</f>
        <v>0</v>
      </c>
      <c r="G16" s="220">
        <f>단위장비10!H63+단위장비10!H64</f>
        <v>0</v>
      </c>
      <c r="H16" s="220">
        <f>단위장비10!H65</f>
        <v>0</v>
      </c>
      <c r="I16" s="221">
        <f>IF($B16&gt;0,'원가항목별(집계)'!I$38*$P16/$P$17,0)</f>
        <v>0</v>
      </c>
      <c r="J16" s="196">
        <f>SUM(D16:I16)</f>
        <v>0</v>
      </c>
      <c r="K16" s="156">
        <f>IF(B16&gt;0,'원가항목별(집계)'!I$34*P16/P$17,0)</f>
        <v>0</v>
      </c>
      <c r="L16" s="156">
        <f>IF($B16&gt;0,'원가항목별(집계)'!I$39*$P16/$P$17,0)</f>
        <v>0</v>
      </c>
      <c r="M16" s="157">
        <f>단위장비10!H69+단위장비10!H70</f>
        <v>0</v>
      </c>
      <c r="N16" s="158">
        <f t="shared" si="1"/>
        <v>0</v>
      </c>
      <c r="O16" s="104"/>
      <c r="P16" s="31">
        <f t="shared" si="2"/>
        <v>0</v>
      </c>
    </row>
    <row r="17" spans="1:16" s="31" customFormat="1" ht="33" customHeight="1">
      <c r="A17" s="500" t="s">
        <v>143</v>
      </c>
      <c r="B17" s="501"/>
      <c r="C17" s="502"/>
      <c r="D17" s="222">
        <f t="shared" ref="D17:I17" si="4">SUM(D7:D16)</f>
        <v>28750000</v>
      </c>
      <c r="E17" s="223">
        <f t="shared" si="4"/>
        <v>0</v>
      </c>
      <c r="F17" s="223">
        <f t="shared" si="4"/>
        <v>31400000</v>
      </c>
      <c r="G17" s="223">
        <f t="shared" si="4"/>
        <v>18960000</v>
      </c>
      <c r="H17" s="223">
        <f t="shared" si="4"/>
        <v>21000000</v>
      </c>
      <c r="I17" s="224">
        <f t="shared" si="4"/>
        <v>0</v>
      </c>
      <c r="J17" s="228">
        <f>SUM(D17:I17)</f>
        <v>100110000</v>
      </c>
      <c r="K17" s="229">
        <f>SUM(K7:K16)</f>
        <v>35653450</v>
      </c>
      <c r="L17" s="229">
        <f>SUM(L7:L16)</f>
        <v>918000</v>
      </c>
      <c r="M17" s="230">
        <f>SUM(M7:M16)</f>
        <v>15016500</v>
      </c>
      <c r="N17" s="231">
        <f>SUM(N7:N16)</f>
        <v>151697950</v>
      </c>
      <c r="O17" s="62"/>
      <c r="P17" s="31">
        <f>SUM(P7:P16)</f>
        <v>115126500</v>
      </c>
    </row>
    <row r="18" spans="1:16" s="206" customFormat="1" ht="18.75" customHeight="1">
      <c r="A18" s="197"/>
      <c r="B18" s="198"/>
      <c r="C18" s="199"/>
      <c r="D18" s="225">
        <f t="shared" ref="D18:N18" si="5">IF(D17=0,"",D17/$N17)</f>
        <v>0.18952134817906241</v>
      </c>
      <c r="E18" s="226" t="str">
        <f t="shared" si="5"/>
        <v/>
      </c>
      <c r="F18" s="226">
        <f t="shared" si="5"/>
        <v>0.20699027244600207</v>
      </c>
      <c r="G18" s="226">
        <f t="shared" si="5"/>
        <v>0.12498520909478342</v>
      </c>
      <c r="H18" s="226">
        <f t="shared" si="5"/>
        <v>0.13843298475688037</v>
      </c>
      <c r="I18" s="227" t="str">
        <f t="shared" si="5"/>
        <v/>
      </c>
      <c r="J18" s="201">
        <f t="shared" si="5"/>
        <v>0.65992981447672827</v>
      </c>
      <c r="K18" s="202">
        <f t="shared" si="5"/>
        <v>0.23502921430381887</v>
      </c>
      <c r="L18" s="200">
        <f t="shared" si="5"/>
        <v>6.0514990479436275E-3</v>
      </c>
      <c r="M18" s="203">
        <f t="shared" si="5"/>
        <v>9.8989472171509232E-2</v>
      </c>
      <c r="N18" s="204">
        <f t="shared" si="5"/>
        <v>1</v>
      </c>
      <c r="O18" s="205"/>
    </row>
    <row r="19" spans="1:16" ht="28.5" customHeight="1">
      <c r="A19" s="28" t="s">
        <v>101</v>
      </c>
      <c r="H19" s="133"/>
      <c r="I19" s="133"/>
      <c r="J19" s="133"/>
      <c r="K19" s="133"/>
      <c r="L19" s="133"/>
    </row>
    <row r="20" spans="1:16" ht="17.25" customHeight="1">
      <c r="H20" s="130"/>
      <c r="I20" s="130"/>
      <c r="J20" s="130"/>
      <c r="K20" s="130"/>
      <c r="L20" s="130"/>
      <c r="M20" s="124"/>
      <c r="N20" s="138" t="str">
        <f>IF('원가항목별(집계)'!I42='단위공사별(집계)'!N17,"","DATA오류입니다!")</f>
        <v/>
      </c>
    </row>
    <row r="21" spans="1:16" ht="17.25" customHeight="1">
      <c r="H21" s="131"/>
      <c r="I21" s="131"/>
      <c r="J21" s="131"/>
      <c r="K21" s="131"/>
      <c r="L21" s="131"/>
      <c r="N21" s="131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>
    <tabColor rgb="FF00B050"/>
    <pageSetUpPr fitToPage="1"/>
  </sheetPr>
  <dimension ref="A1:K64"/>
  <sheetViews>
    <sheetView zoomScale="85" workbookViewId="0">
      <pane xSplit="3" ySplit="2" topLeftCell="D3" activePane="bottomRight" state="frozen"/>
      <selection activeCell="H28" sqref="H28"/>
      <selection pane="topRight" activeCell="H28" sqref="H28"/>
      <selection pane="bottomLeft" activeCell="H28" sqref="H28"/>
      <selection pane="bottomRight" activeCell="M63" sqref="M63"/>
    </sheetView>
  </sheetViews>
  <sheetFormatPr defaultRowHeight="13.5"/>
  <cols>
    <col min="1" max="1" width="5" style="28" customWidth="1"/>
    <col min="2" max="2" width="13" style="28" customWidth="1"/>
    <col min="3" max="3" width="23.625" style="28" customWidth="1"/>
    <col min="4" max="4" width="18.25" style="28" customWidth="1"/>
    <col min="5" max="5" width="5.25" style="29" bestFit="1" customWidth="1"/>
    <col min="6" max="6" width="6.75" style="273" customWidth="1"/>
    <col min="7" max="7" width="11.875" style="31" customWidth="1"/>
    <col min="8" max="8" width="13.625" style="31" customWidth="1"/>
    <col min="9" max="9" width="12.75" style="28" customWidth="1"/>
    <col min="10" max="10" width="9.25" style="28" customWidth="1"/>
    <col min="11" max="11" width="11.5" style="28" bestFit="1" customWidth="1"/>
    <col min="12" max="16384" width="9" style="28"/>
  </cols>
  <sheetData>
    <row r="1" spans="1:9" ht="22.5" customHeight="1">
      <c r="B1" s="97" t="s">
        <v>83</v>
      </c>
      <c r="C1" s="137"/>
      <c r="F1" s="263"/>
      <c r="I1" s="28" t="s">
        <v>84</v>
      </c>
    </row>
    <row r="2" spans="1:9" s="29" customFormat="1" ht="16.5" customHeight="1">
      <c r="A2" s="392" t="s">
        <v>31</v>
      </c>
      <c r="B2" s="506"/>
      <c r="C2" s="120" t="s">
        <v>44</v>
      </c>
      <c r="D2" s="121" t="s">
        <v>32</v>
      </c>
      <c r="E2" s="121" t="s">
        <v>33</v>
      </c>
      <c r="F2" s="54" t="s">
        <v>34</v>
      </c>
      <c r="G2" s="54" t="s">
        <v>35</v>
      </c>
      <c r="H2" s="54" t="s">
        <v>36</v>
      </c>
      <c r="I2" s="121" t="s">
        <v>46</v>
      </c>
    </row>
    <row r="3" spans="1:9" ht="15.95" customHeight="1">
      <c r="A3" s="509" t="s">
        <v>77</v>
      </c>
      <c r="B3" s="98" t="s">
        <v>37</v>
      </c>
      <c r="C3" s="68" t="s">
        <v>257</v>
      </c>
      <c r="D3" s="116" t="s">
        <v>258</v>
      </c>
      <c r="E3" s="274" t="s">
        <v>255</v>
      </c>
      <c r="F3" s="264">
        <v>1</v>
      </c>
      <c r="G3" s="117">
        <v>550000</v>
      </c>
      <c r="H3" s="99">
        <f t="shared" ref="H3" si="0">IF(F3=0,G3,G3*F3)</f>
        <v>550000</v>
      </c>
      <c r="I3" s="311" t="s">
        <v>259</v>
      </c>
    </row>
    <row r="4" spans="1:9" ht="15.95" customHeight="1">
      <c r="A4" s="510"/>
      <c r="B4" s="98"/>
      <c r="C4" s="68"/>
      <c r="D4" s="116"/>
      <c r="E4" s="274"/>
      <c r="F4" s="264"/>
      <c r="G4" s="117"/>
      <c r="H4" s="99">
        <f t="shared" ref="H4:H8" si="1">IF(F4=0,G4,G4*F4)</f>
        <v>0</v>
      </c>
      <c r="I4" s="70"/>
    </row>
    <row r="5" spans="1:9" ht="15.95" customHeight="1">
      <c r="A5" s="510"/>
      <c r="B5" s="98"/>
      <c r="C5" s="68"/>
      <c r="D5" s="116"/>
      <c r="E5" s="274"/>
      <c r="F5" s="264"/>
      <c r="G5" s="117"/>
      <c r="H5" s="99">
        <f t="shared" si="1"/>
        <v>0</v>
      </c>
      <c r="I5" s="70"/>
    </row>
    <row r="6" spans="1:9" ht="15.95" customHeight="1">
      <c r="A6" s="510"/>
      <c r="B6" s="98"/>
      <c r="C6" s="68"/>
      <c r="D6" s="116"/>
      <c r="E6" s="274"/>
      <c r="F6" s="264"/>
      <c r="G6" s="117"/>
      <c r="H6" s="99">
        <f t="shared" si="1"/>
        <v>0</v>
      </c>
      <c r="I6" s="70"/>
    </row>
    <row r="7" spans="1:9" ht="15.95" customHeight="1">
      <c r="A7" s="510"/>
      <c r="B7" s="98"/>
      <c r="C7" s="68"/>
      <c r="D7" s="68"/>
      <c r="E7" s="275"/>
      <c r="F7" s="265"/>
      <c r="G7" s="69"/>
      <c r="H7" s="99">
        <f t="shared" si="1"/>
        <v>0</v>
      </c>
      <c r="I7" s="70"/>
    </row>
    <row r="8" spans="1:9" ht="15.95" customHeight="1">
      <c r="A8" s="510"/>
      <c r="B8" s="98"/>
      <c r="C8" s="113"/>
      <c r="D8" s="113"/>
      <c r="E8" s="276"/>
      <c r="F8" s="266"/>
      <c r="G8" s="114"/>
      <c r="H8" s="99">
        <f t="shared" si="1"/>
        <v>0</v>
      </c>
      <c r="I8" s="71"/>
    </row>
    <row r="9" spans="1:9" ht="15.95" customHeight="1">
      <c r="A9" s="510"/>
      <c r="B9" s="72"/>
      <c r="C9" s="101"/>
      <c r="D9" s="91"/>
      <c r="E9" s="120"/>
      <c r="F9" s="267"/>
      <c r="G9" s="40"/>
      <c r="H9" s="30">
        <f>SUM(H3:H8)</f>
        <v>550000</v>
      </c>
      <c r="I9" s="74"/>
    </row>
    <row r="10" spans="1:9" ht="15.95" customHeight="1">
      <c r="A10" s="510"/>
      <c r="B10" s="245" t="s">
        <v>148</v>
      </c>
      <c r="C10" s="111"/>
      <c r="D10" s="111"/>
      <c r="E10" s="272"/>
      <c r="F10" s="268"/>
      <c r="G10" s="112"/>
      <c r="H10" s="103">
        <f t="shared" ref="H10:H18" si="2">IF(F10=0,G10,G10*F10)</f>
        <v>0</v>
      </c>
      <c r="I10" s="75"/>
    </row>
    <row r="11" spans="1:9" ht="15.95" customHeight="1">
      <c r="A11" s="510"/>
      <c r="B11" s="246" t="s">
        <v>149</v>
      </c>
      <c r="C11" s="68"/>
      <c r="D11" s="68"/>
      <c r="E11" s="275"/>
      <c r="F11" s="265"/>
      <c r="G11" s="69"/>
      <c r="H11" s="99">
        <f t="shared" si="2"/>
        <v>0</v>
      </c>
      <c r="I11" s="70"/>
    </row>
    <row r="12" spans="1:9" ht="15.95" customHeight="1">
      <c r="A12" s="510"/>
      <c r="B12" s="246" t="s">
        <v>147</v>
      </c>
      <c r="C12" s="68"/>
      <c r="D12" s="68"/>
      <c r="E12" s="275"/>
      <c r="F12" s="265"/>
      <c r="G12" s="69"/>
      <c r="H12" s="99">
        <f t="shared" si="2"/>
        <v>0</v>
      </c>
      <c r="I12" s="70"/>
    </row>
    <row r="13" spans="1:9" ht="15.95" customHeight="1">
      <c r="A13" s="510"/>
      <c r="B13" s="98"/>
      <c r="C13" s="68"/>
      <c r="D13" s="68"/>
      <c r="E13" s="275"/>
      <c r="F13" s="265"/>
      <c r="G13" s="69"/>
      <c r="H13" s="99">
        <f t="shared" si="2"/>
        <v>0</v>
      </c>
      <c r="I13" s="70"/>
    </row>
    <row r="14" spans="1:9" ht="15.95" customHeight="1">
      <c r="A14" s="510"/>
      <c r="B14" s="98"/>
      <c r="C14" s="68"/>
      <c r="D14" s="68"/>
      <c r="E14" s="275"/>
      <c r="F14" s="265"/>
      <c r="G14" s="69"/>
      <c r="H14" s="99">
        <f t="shared" si="2"/>
        <v>0</v>
      </c>
      <c r="I14" s="70"/>
    </row>
    <row r="15" spans="1:9" ht="15.95" customHeight="1">
      <c r="A15" s="510"/>
      <c r="B15" s="98"/>
      <c r="C15" s="113" t="s">
        <v>47</v>
      </c>
      <c r="D15" s="236"/>
      <c r="E15" s="276" t="s">
        <v>170</v>
      </c>
      <c r="F15" s="269"/>
      <c r="G15" s="237"/>
      <c r="H15" s="238">
        <f t="shared" si="2"/>
        <v>0</v>
      </c>
      <c r="I15" s="239"/>
    </row>
    <row r="16" spans="1:9" ht="15.95" customHeight="1">
      <c r="A16" s="510"/>
      <c r="B16" s="98"/>
      <c r="C16" s="240"/>
      <c r="D16" s="241"/>
      <c r="E16" s="277"/>
      <c r="F16" s="270"/>
      <c r="G16" s="243"/>
      <c r="H16" s="244">
        <f>SUM(H10:H15)</f>
        <v>0</v>
      </c>
      <c r="I16" s="242"/>
    </row>
    <row r="17" spans="1:9" ht="15.95" customHeight="1">
      <c r="A17" s="510"/>
      <c r="B17" s="102" t="s">
        <v>40</v>
      </c>
      <c r="C17" s="282" t="s">
        <v>189</v>
      </c>
      <c r="D17" s="282" t="s">
        <v>190</v>
      </c>
      <c r="E17" s="283" t="s">
        <v>188</v>
      </c>
      <c r="F17" s="284">
        <v>1</v>
      </c>
      <c r="G17" s="285">
        <v>315000</v>
      </c>
      <c r="H17" s="99">
        <f t="shared" si="2"/>
        <v>315000</v>
      </c>
      <c r="I17" s="370" t="s">
        <v>199</v>
      </c>
    </row>
    <row r="18" spans="1:9" ht="15.95" customHeight="1">
      <c r="A18" s="510"/>
      <c r="B18" s="98"/>
      <c r="C18" s="282" t="s">
        <v>191</v>
      </c>
      <c r="D18" s="282" t="s">
        <v>192</v>
      </c>
      <c r="E18" s="283" t="s">
        <v>188</v>
      </c>
      <c r="F18" s="284">
        <v>1</v>
      </c>
      <c r="G18" s="285">
        <v>315000</v>
      </c>
      <c r="H18" s="99">
        <f t="shared" si="2"/>
        <v>315000</v>
      </c>
      <c r="I18" s="370" t="s">
        <v>199</v>
      </c>
    </row>
    <row r="19" spans="1:9" ht="15.95" customHeight="1">
      <c r="A19" s="510"/>
      <c r="B19" s="98"/>
      <c r="C19" s="282" t="s">
        <v>193</v>
      </c>
      <c r="D19" s="282" t="s">
        <v>194</v>
      </c>
      <c r="E19" s="283" t="s">
        <v>188</v>
      </c>
      <c r="F19" s="284">
        <v>1</v>
      </c>
      <c r="G19" s="285">
        <v>235000</v>
      </c>
      <c r="H19" s="99">
        <f t="shared" ref="H19:H26" si="3">IF(F19=0,G19,G19*F19)</f>
        <v>235000</v>
      </c>
      <c r="I19" s="370" t="s">
        <v>199</v>
      </c>
    </row>
    <row r="20" spans="1:9" ht="15.95" customHeight="1">
      <c r="A20" s="510"/>
      <c r="B20" s="98"/>
      <c r="C20" s="286" t="s">
        <v>193</v>
      </c>
      <c r="D20" s="286" t="s">
        <v>195</v>
      </c>
      <c r="E20" s="287" t="s">
        <v>188</v>
      </c>
      <c r="F20" s="288">
        <v>1</v>
      </c>
      <c r="G20" s="289">
        <v>235000</v>
      </c>
      <c r="H20" s="99">
        <f t="shared" si="3"/>
        <v>235000</v>
      </c>
      <c r="I20" s="370" t="s">
        <v>199</v>
      </c>
    </row>
    <row r="21" spans="1:9" ht="15.95" customHeight="1">
      <c r="A21" s="510"/>
      <c r="B21" s="98"/>
      <c r="C21" s="290" t="s">
        <v>193</v>
      </c>
      <c r="D21" s="290" t="s">
        <v>196</v>
      </c>
      <c r="E21" s="283" t="s">
        <v>188</v>
      </c>
      <c r="F21" s="291">
        <v>1</v>
      </c>
      <c r="G21" s="292">
        <v>235000</v>
      </c>
      <c r="H21" s="99">
        <f t="shared" si="3"/>
        <v>235000</v>
      </c>
      <c r="I21" s="370" t="s">
        <v>199</v>
      </c>
    </row>
    <row r="22" spans="1:9" ht="15.95" customHeight="1">
      <c r="A22" s="510"/>
      <c r="B22" s="98"/>
      <c r="C22" s="290" t="s">
        <v>197</v>
      </c>
      <c r="D22" s="290" t="s">
        <v>198</v>
      </c>
      <c r="E22" s="283" t="s">
        <v>188</v>
      </c>
      <c r="F22" s="291">
        <v>1</v>
      </c>
      <c r="G22" s="292">
        <v>48000</v>
      </c>
      <c r="H22" s="99">
        <f t="shared" si="3"/>
        <v>48000</v>
      </c>
      <c r="I22" s="371" t="s">
        <v>200</v>
      </c>
    </row>
    <row r="23" spans="1:9" ht="15.95" customHeight="1">
      <c r="A23" s="510"/>
      <c r="B23" s="98"/>
      <c r="C23" s="282" t="s">
        <v>240</v>
      </c>
      <c r="D23" s="290"/>
      <c r="E23" s="283" t="s">
        <v>188</v>
      </c>
      <c r="F23" s="291">
        <v>1</v>
      </c>
      <c r="G23" s="292">
        <v>2500000</v>
      </c>
      <c r="H23" s="99">
        <f t="shared" si="3"/>
        <v>2500000</v>
      </c>
      <c r="I23" s="371" t="s">
        <v>201</v>
      </c>
    </row>
    <row r="24" spans="1:9" ht="15.95" customHeight="1">
      <c r="A24" s="510"/>
      <c r="B24" s="98"/>
      <c r="C24" s="282" t="s">
        <v>253</v>
      </c>
      <c r="D24" s="290" t="s">
        <v>254</v>
      </c>
      <c r="E24" s="283" t="s">
        <v>255</v>
      </c>
      <c r="F24" s="291">
        <v>1</v>
      </c>
      <c r="G24" s="292">
        <v>3750000</v>
      </c>
      <c r="H24" s="99">
        <f t="shared" si="3"/>
        <v>3750000</v>
      </c>
      <c r="I24" s="371" t="s">
        <v>256</v>
      </c>
    </row>
    <row r="25" spans="1:9" ht="15.95" customHeight="1">
      <c r="A25" s="510"/>
      <c r="B25" s="98"/>
      <c r="C25" s="286"/>
      <c r="D25" s="290"/>
      <c r="E25" s="287"/>
      <c r="F25" s="293"/>
      <c r="G25" s="294"/>
      <c r="H25" s="99">
        <f t="shared" si="3"/>
        <v>0</v>
      </c>
      <c r="I25" s="70"/>
    </row>
    <row r="26" spans="1:9" ht="15.95" customHeight="1">
      <c r="A26" s="510"/>
      <c r="B26" s="98"/>
      <c r="C26" s="286"/>
      <c r="D26" s="290"/>
      <c r="E26" s="287"/>
      <c r="F26" s="293"/>
      <c r="G26" s="294"/>
      <c r="H26" s="99">
        <f t="shared" si="3"/>
        <v>0</v>
      </c>
      <c r="I26" s="70"/>
    </row>
    <row r="27" spans="1:9" ht="15.95" customHeight="1">
      <c r="A27" s="510"/>
      <c r="B27" s="98"/>
      <c r="C27" s="286"/>
      <c r="D27" s="290"/>
      <c r="E27" s="287"/>
      <c r="F27" s="293"/>
      <c r="G27" s="294"/>
      <c r="H27" s="99">
        <f t="shared" ref="H27:H37" si="4">IF(F27=0,G27,G27*F27)</f>
        <v>0</v>
      </c>
      <c r="I27" s="70"/>
    </row>
    <row r="28" spans="1:9" ht="15.95" customHeight="1">
      <c r="A28" s="510"/>
      <c r="B28" s="98"/>
      <c r="C28" s="290"/>
      <c r="D28" s="290"/>
      <c r="E28" s="283"/>
      <c r="F28" s="291"/>
      <c r="G28" s="292"/>
      <c r="H28" s="99">
        <f t="shared" si="4"/>
        <v>0</v>
      </c>
      <c r="I28" s="70"/>
    </row>
    <row r="29" spans="1:9" ht="15.95" customHeight="1">
      <c r="A29" s="510"/>
      <c r="B29" s="98"/>
      <c r="C29" s="290"/>
      <c r="D29" s="290"/>
      <c r="E29" s="283"/>
      <c r="F29" s="291"/>
      <c r="G29" s="292"/>
      <c r="H29" s="99">
        <f t="shared" si="4"/>
        <v>0</v>
      </c>
      <c r="I29" s="70"/>
    </row>
    <row r="30" spans="1:9" ht="15.95" customHeight="1">
      <c r="A30" s="510"/>
      <c r="B30" s="98"/>
      <c r="C30" s="290"/>
      <c r="D30" s="290"/>
      <c r="E30" s="283"/>
      <c r="F30" s="291"/>
      <c r="G30" s="292"/>
      <c r="H30" s="99">
        <f t="shared" si="4"/>
        <v>0</v>
      </c>
      <c r="I30" s="70"/>
    </row>
    <row r="31" spans="1:9" ht="15.95" customHeight="1">
      <c r="A31" s="510"/>
      <c r="B31" s="98"/>
      <c r="C31" s="282"/>
      <c r="D31" s="282"/>
      <c r="E31" s="283"/>
      <c r="F31" s="284"/>
      <c r="G31" s="285"/>
      <c r="H31" s="99">
        <f t="shared" si="4"/>
        <v>0</v>
      </c>
      <c r="I31" s="70"/>
    </row>
    <row r="32" spans="1:9" ht="15.95" customHeight="1">
      <c r="A32" s="510"/>
      <c r="B32" s="98"/>
      <c r="C32" s="282"/>
      <c r="D32" s="282"/>
      <c r="E32" s="283"/>
      <c r="F32" s="295"/>
      <c r="G32" s="296"/>
      <c r="H32" s="99">
        <f t="shared" si="4"/>
        <v>0</v>
      </c>
      <c r="I32" s="70"/>
    </row>
    <row r="33" spans="1:9" ht="15.95" customHeight="1">
      <c r="A33" s="510"/>
      <c r="B33" s="98"/>
      <c r="C33" s="68"/>
      <c r="D33" s="68"/>
      <c r="E33" s="275"/>
      <c r="F33" s="265"/>
      <c r="G33" s="69"/>
      <c r="H33" s="99">
        <f t="shared" si="4"/>
        <v>0</v>
      </c>
      <c r="I33" s="70"/>
    </row>
    <row r="34" spans="1:9" ht="15.95" customHeight="1">
      <c r="A34" s="510"/>
      <c r="B34" s="98"/>
      <c r="C34" s="68"/>
      <c r="D34" s="68"/>
      <c r="E34" s="275"/>
      <c r="F34" s="265"/>
      <c r="G34" s="69"/>
      <c r="H34" s="99">
        <f t="shared" si="4"/>
        <v>0</v>
      </c>
      <c r="I34" s="70"/>
    </row>
    <row r="35" spans="1:9" ht="15.95" customHeight="1">
      <c r="A35" s="510"/>
      <c r="B35" s="98"/>
      <c r="C35" s="68"/>
      <c r="D35" s="68"/>
      <c r="E35" s="275"/>
      <c r="F35" s="265"/>
      <c r="G35" s="69"/>
      <c r="H35" s="99">
        <f t="shared" si="4"/>
        <v>0</v>
      </c>
      <c r="I35" s="70"/>
    </row>
    <row r="36" spans="1:9" ht="15.95" customHeight="1">
      <c r="A36" s="510"/>
      <c r="B36" s="98"/>
      <c r="C36" s="68"/>
      <c r="D36" s="68"/>
      <c r="E36" s="275"/>
      <c r="F36" s="265"/>
      <c r="G36" s="69"/>
      <c r="H36" s="99">
        <f t="shared" si="4"/>
        <v>0</v>
      </c>
      <c r="I36" s="70"/>
    </row>
    <row r="37" spans="1:9" ht="15.95" customHeight="1">
      <c r="A37" s="510"/>
      <c r="B37" s="98"/>
      <c r="C37" s="68"/>
      <c r="D37" s="68"/>
      <c r="E37" s="275"/>
      <c r="F37" s="265"/>
      <c r="G37" s="69"/>
      <c r="H37" s="99">
        <f t="shared" si="4"/>
        <v>0</v>
      </c>
      <c r="I37" s="70"/>
    </row>
    <row r="38" spans="1:9" ht="15.95" customHeight="1">
      <c r="A38" s="510"/>
      <c r="B38" s="98"/>
      <c r="C38" s="68"/>
      <c r="D38" s="68"/>
      <c r="E38" s="275"/>
      <c r="F38" s="265"/>
      <c r="G38" s="69"/>
      <c r="H38" s="99">
        <f t="shared" ref="H38:H49" si="5">IF(F38=0,G38,G38*F38)</f>
        <v>0</v>
      </c>
      <c r="I38" s="70"/>
    </row>
    <row r="39" spans="1:9" ht="15.95" customHeight="1">
      <c r="A39" s="510"/>
      <c r="B39" s="98"/>
      <c r="C39" s="68"/>
      <c r="D39" s="68"/>
      <c r="E39" s="275"/>
      <c r="F39" s="265"/>
      <c r="G39" s="69"/>
      <c r="H39" s="99">
        <f t="shared" si="5"/>
        <v>0</v>
      </c>
      <c r="I39" s="70"/>
    </row>
    <row r="40" spans="1:9" ht="15.95" customHeight="1">
      <c r="A40" s="510"/>
      <c r="B40" s="98"/>
      <c r="C40" s="68"/>
      <c r="D40" s="68"/>
      <c r="E40" s="275"/>
      <c r="F40" s="265"/>
      <c r="G40" s="69"/>
      <c r="H40" s="99">
        <f t="shared" si="5"/>
        <v>0</v>
      </c>
      <c r="I40" s="70"/>
    </row>
    <row r="41" spans="1:9" ht="15.95" customHeight="1">
      <c r="A41" s="510"/>
      <c r="B41" s="98"/>
      <c r="C41" s="68"/>
      <c r="D41" s="68"/>
      <c r="E41" s="275"/>
      <c r="F41" s="265"/>
      <c r="G41" s="69"/>
      <c r="H41" s="99">
        <f t="shared" si="5"/>
        <v>0</v>
      </c>
      <c r="I41" s="70"/>
    </row>
    <row r="42" spans="1:9" ht="15.95" customHeight="1">
      <c r="A42" s="510"/>
      <c r="B42" s="98"/>
      <c r="C42" s="68"/>
      <c r="D42" s="68"/>
      <c r="E42" s="275"/>
      <c r="F42" s="265"/>
      <c r="G42" s="69"/>
      <c r="H42" s="99">
        <f t="shared" si="5"/>
        <v>0</v>
      </c>
      <c r="I42" s="70"/>
    </row>
    <row r="43" spans="1:9" ht="15.95" customHeight="1">
      <c r="A43" s="510"/>
      <c r="B43" s="98"/>
      <c r="C43" s="68"/>
      <c r="D43" s="68"/>
      <c r="E43" s="275"/>
      <c r="F43" s="265"/>
      <c r="G43" s="69"/>
      <c r="H43" s="99">
        <f t="shared" si="5"/>
        <v>0</v>
      </c>
      <c r="I43" s="70"/>
    </row>
    <row r="44" spans="1:9" ht="15.95" customHeight="1">
      <c r="A44" s="510"/>
      <c r="B44" s="98"/>
      <c r="C44" s="68"/>
      <c r="D44" s="68"/>
      <c r="E44" s="275"/>
      <c r="F44" s="265"/>
      <c r="G44" s="69"/>
      <c r="H44" s="99">
        <f t="shared" si="5"/>
        <v>0</v>
      </c>
      <c r="I44" s="70"/>
    </row>
    <row r="45" spans="1:9" ht="15.95" customHeight="1">
      <c r="A45" s="510"/>
      <c r="B45" s="98"/>
      <c r="C45" s="68"/>
      <c r="D45" s="68"/>
      <c r="E45" s="275"/>
      <c r="F45" s="265"/>
      <c r="G45" s="69"/>
      <c r="H45" s="99">
        <f t="shared" si="5"/>
        <v>0</v>
      </c>
      <c r="I45" s="70"/>
    </row>
    <row r="46" spans="1:9" ht="15.95" customHeight="1">
      <c r="A46" s="510"/>
      <c r="B46" s="98"/>
      <c r="C46" s="68"/>
      <c r="D46" s="68"/>
      <c r="E46" s="275"/>
      <c r="F46" s="265"/>
      <c r="G46" s="69"/>
      <c r="H46" s="99">
        <f t="shared" si="5"/>
        <v>0</v>
      </c>
      <c r="I46" s="70"/>
    </row>
    <row r="47" spans="1:9" ht="15.95" customHeight="1">
      <c r="A47" s="510"/>
      <c r="B47" s="98"/>
      <c r="C47" s="68"/>
      <c r="D47" s="68"/>
      <c r="E47" s="275"/>
      <c r="F47" s="265"/>
      <c r="G47" s="69"/>
      <c r="H47" s="99">
        <f t="shared" si="5"/>
        <v>0</v>
      </c>
      <c r="I47" s="70"/>
    </row>
    <row r="48" spans="1:9" ht="15.95" customHeight="1">
      <c r="A48" s="510"/>
      <c r="B48" s="98"/>
      <c r="C48" s="68"/>
      <c r="D48" s="68"/>
      <c r="E48" s="275"/>
      <c r="F48" s="265"/>
      <c r="G48" s="69"/>
      <c r="H48" s="99">
        <f t="shared" si="5"/>
        <v>0</v>
      </c>
      <c r="I48" s="70"/>
    </row>
    <row r="49" spans="1:11" ht="15.95" customHeight="1">
      <c r="A49" s="510"/>
      <c r="B49" s="98"/>
      <c r="C49" s="113"/>
      <c r="D49" s="113"/>
      <c r="E49" s="276"/>
      <c r="F49" s="266"/>
      <c r="G49" s="114"/>
      <c r="H49" s="104">
        <f t="shared" si="5"/>
        <v>0</v>
      </c>
      <c r="I49" s="71"/>
    </row>
    <row r="50" spans="1:11" ht="15.95" customHeight="1">
      <c r="A50" s="510"/>
      <c r="B50" s="72"/>
      <c r="C50" s="101"/>
      <c r="D50" s="91"/>
      <c r="E50" s="120"/>
      <c r="F50" s="267"/>
      <c r="G50" s="40"/>
      <c r="H50" s="30">
        <f>SUM(H17:H49)</f>
        <v>7633000</v>
      </c>
      <c r="I50" s="74"/>
    </row>
    <row r="51" spans="1:11" ht="15.95" customHeight="1">
      <c r="A51" s="76"/>
      <c r="B51" s="96" t="s">
        <v>42</v>
      </c>
      <c r="C51" s="73"/>
      <c r="D51" s="74"/>
      <c r="E51" s="121"/>
      <c r="F51" s="100"/>
      <c r="G51" s="56"/>
      <c r="H51" s="30">
        <f>SUM(H50,H9,H16)</f>
        <v>8183000</v>
      </c>
      <c r="I51" s="74"/>
    </row>
    <row r="52" spans="1:11" ht="15.95" customHeight="1">
      <c r="A52" s="507" t="s">
        <v>72</v>
      </c>
      <c r="B52" s="105" t="s">
        <v>70</v>
      </c>
      <c r="C52" s="73"/>
      <c r="D52" s="74"/>
      <c r="E52" s="52" t="s">
        <v>51</v>
      </c>
      <c r="F52" s="271"/>
      <c r="G52" s="262"/>
      <c r="H52" s="53">
        <f t="shared" ref="H52:H58" si="6">F52*G52</f>
        <v>0</v>
      </c>
      <c r="I52" s="74"/>
    </row>
    <row r="53" spans="1:11" ht="15.95" customHeight="1">
      <c r="A53" s="508"/>
      <c r="B53" s="106" t="s">
        <v>172</v>
      </c>
      <c r="C53" s="134"/>
      <c r="D53" s="75"/>
      <c r="E53" s="278" t="s">
        <v>50</v>
      </c>
      <c r="F53" s="272">
        <v>15</v>
      </c>
      <c r="G53" s="112">
        <v>300000</v>
      </c>
      <c r="H53" s="103">
        <f t="shared" si="6"/>
        <v>4500000</v>
      </c>
      <c r="I53" s="75"/>
    </row>
    <row r="54" spans="1:11" ht="15.95" customHeight="1">
      <c r="A54" s="508"/>
      <c r="B54" s="107" t="s">
        <v>102</v>
      </c>
      <c r="C54" s="135"/>
      <c r="D54" s="70"/>
      <c r="E54" s="279" t="s">
        <v>50</v>
      </c>
      <c r="F54" s="264">
        <v>10</v>
      </c>
      <c r="G54" s="69">
        <v>300000</v>
      </c>
      <c r="H54" s="99">
        <f t="shared" si="6"/>
        <v>3000000</v>
      </c>
      <c r="I54" s="70"/>
    </row>
    <row r="55" spans="1:11" ht="15.95" customHeight="1">
      <c r="A55" s="508"/>
      <c r="B55" s="107" t="s">
        <v>103</v>
      </c>
      <c r="C55" s="135"/>
      <c r="D55" s="70"/>
      <c r="E55" s="279" t="s">
        <v>50</v>
      </c>
      <c r="F55" s="265">
        <v>10</v>
      </c>
      <c r="G55" s="69">
        <v>300000</v>
      </c>
      <c r="H55" s="99">
        <f>F55*G55</f>
        <v>3000000</v>
      </c>
      <c r="I55" s="70"/>
    </row>
    <row r="56" spans="1:11" ht="15.95" customHeight="1">
      <c r="A56" s="508"/>
      <c r="B56" s="107" t="s">
        <v>104</v>
      </c>
      <c r="C56" s="135"/>
      <c r="D56" s="70"/>
      <c r="E56" s="279" t="s">
        <v>50</v>
      </c>
      <c r="F56" s="265"/>
      <c r="G56" s="69"/>
      <c r="H56" s="99">
        <f t="shared" si="6"/>
        <v>0</v>
      </c>
      <c r="I56" s="70"/>
    </row>
    <row r="57" spans="1:11" ht="15.95" customHeight="1">
      <c r="A57" s="508"/>
      <c r="B57" s="107" t="s">
        <v>242</v>
      </c>
      <c r="C57" s="135"/>
      <c r="D57" s="70"/>
      <c r="E57" s="279" t="s">
        <v>50</v>
      </c>
      <c r="F57" s="269">
        <v>14</v>
      </c>
      <c r="G57" s="237">
        <v>380000</v>
      </c>
      <c r="H57" s="99">
        <f t="shared" si="6"/>
        <v>5320000</v>
      </c>
      <c r="I57" s="70"/>
    </row>
    <row r="58" spans="1:11" ht="15.95" customHeight="1">
      <c r="A58" s="508"/>
      <c r="B58" s="107" t="s">
        <v>243</v>
      </c>
      <c r="C58" s="135" t="s">
        <v>245</v>
      </c>
      <c r="D58" s="71"/>
      <c r="E58" s="280" t="s">
        <v>50</v>
      </c>
      <c r="F58" s="266">
        <v>14</v>
      </c>
      <c r="G58" s="114">
        <v>500000</v>
      </c>
      <c r="H58" s="104">
        <f t="shared" si="6"/>
        <v>7000000</v>
      </c>
      <c r="I58" s="71"/>
    </row>
    <row r="59" spans="1:11" ht="15.95" customHeight="1">
      <c r="A59" s="76"/>
      <c r="B59" s="95" t="s">
        <v>41</v>
      </c>
      <c r="C59" s="73"/>
      <c r="D59" s="74"/>
      <c r="E59" s="121"/>
      <c r="F59" s="267"/>
      <c r="G59" s="40"/>
      <c r="H59" s="30">
        <f>SUM(H52:H58)</f>
        <v>22820000</v>
      </c>
      <c r="I59" s="74"/>
    </row>
    <row r="60" spans="1:11" ht="15.95" customHeight="1">
      <c r="A60" s="52"/>
      <c r="B60" s="95" t="s">
        <v>48</v>
      </c>
      <c r="C60" s="73"/>
      <c r="D60" s="74"/>
      <c r="E60" s="121"/>
      <c r="F60" s="54"/>
      <c r="G60" s="139" t="s">
        <v>78</v>
      </c>
      <c r="H60" s="56">
        <v>0</v>
      </c>
      <c r="I60" s="74"/>
    </row>
    <row r="61" spans="1:11" ht="15.95" customHeight="1">
      <c r="A61" s="52"/>
      <c r="B61" s="95" t="s">
        <v>25</v>
      </c>
      <c r="C61" s="73"/>
      <c r="D61" s="74"/>
      <c r="E61" s="121"/>
      <c r="F61" s="54"/>
      <c r="G61" s="55"/>
      <c r="H61" s="115">
        <f>(H59+H51)*0.05</f>
        <v>1550150</v>
      </c>
      <c r="I61" s="73"/>
    </row>
    <row r="62" spans="1:11" ht="15.95" customHeight="1">
      <c r="A62" s="52"/>
      <c r="B62" s="95" t="s">
        <v>144</v>
      </c>
      <c r="C62" s="73"/>
      <c r="D62" s="74"/>
      <c r="E62" s="121"/>
      <c r="F62" s="54"/>
      <c r="G62" s="55"/>
      <c r="H62" s="115">
        <f>(H59+H51)*0.1</f>
        <v>3100300</v>
      </c>
      <c r="I62" s="73"/>
    </row>
    <row r="63" spans="1:11" ht="15.95" customHeight="1">
      <c r="A63" s="52"/>
      <c r="B63" s="95" t="s">
        <v>145</v>
      </c>
      <c r="C63" s="73"/>
      <c r="D63" s="74"/>
      <c r="E63" s="121"/>
      <c r="F63" s="54"/>
      <c r="G63" s="30"/>
      <c r="H63" s="40">
        <f>H51+H59+H60+H61+H62</f>
        <v>35653450</v>
      </c>
      <c r="I63" s="74"/>
      <c r="K63" s="31"/>
    </row>
    <row r="64" spans="1:11">
      <c r="A64" s="29"/>
    </row>
  </sheetData>
  <mergeCells count="3">
    <mergeCell ref="A2:B2"/>
    <mergeCell ref="A52:A58"/>
    <mergeCell ref="A3:A50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>
    <tabColor rgb="FF00B050"/>
    <pageSetUpPr fitToPage="1"/>
  </sheetPr>
  <dimension ref="A1:K55"/>
  <sheetViews>
    <sheetView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L53" sqref="L53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97" t="s">
        <v>79</v>
      </c>
      <c r="C1" s="140" t="s">
        <v>230</v>
      </c>
      <c r="F1" s="65"/>
      <c r="I1" s="28" t="s">
        <v>82</v>
      </c>
      <c r="K1" s="122"/>
    </row>
    <row r="2" spans="1:11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11" ht="15.95" customHeight="1">
      <c r="A3" s="509" t="s">
        <v>81</v>
      </c>
      <c r="B3" s="98" t="s">
        <v>37</v>
      </c>
      <c r="C3" s="68" t="s">
        <v>202</v>
      </c>
      <c r="D3" s="302" t="s">
        <v>203</v>
      </c>
      <c r="E3" s="275" t="s">
        <v>208</v>
      </c>
      <c r="F3" s="265">
        <v>100</v>
      </c>
      <c r="G3" s="69">
        <v>2000</v>
      </c>
      <c r="H3" s="99">
        <f>IF(F3=0,G3,G3*F3)</f>
        <v>200000</v>
      </c>
      <c r="I3" s="32" t="s">
        <v>209</v>
      </c>
    </row>
    <row r="4" spans="1:11" ht="15.95" customHeight="1">
      <c r="A4" s="511"/>
      <c r="B4" s="98"/>
      <c r="C4" s="340" t="s">
        <v>204</v>
      </c>
      <c r="D4" s="302" t="s">
        <v>205</v>
      </c>
      <c r="E4" s="343" t="s">
        <v>208</v>
      </c>
      <c r="F4" s="344">
        <v>500</v>
      </c>
      <c r="G4" s="341">
        <v>2100</v>
      </c>
      <c r="H4" s="99">
        <f>F4*G4</f>
        <v>1050000</v>
      </c>
      <c r="I4" s="311" t="s">
        <v>210</v>
      </c>
    </row>
    <row r="5" spans="1:11" ht="15.95" customHeight="1">
      <c r="A5" s="511"/>
      <c r="B5" s="98"/>
      <c r="C5" s="302" t="s">
        <v>206</v>
      </c>
      <c r="D5" s="302" t="s">
        <v>207</v>
      </c>
      <c r="E5" s="300" t="s">
        <v>188</v>
      </c>
      <c r="F5" s="301">
        <v>1</v>
      </c>
      <c r="G5" s="313">
        <v>5000000</v>
      </c>
      <c r="H5" s="99">
        <f>F5*G5</f>
        <v>5000000</v>
      </c>
      <c r="I5" s="311" t="s">
        <v>211</v>
      </c>
    </row>
    <row r="6" spans="1:11" ht="15.95" customHeight="1">
      <c r="A6" s="511"/>
      <c r="B6" s="98"/>
      <c r="C6" s="302"/>
      <c r="D6" s="302"/>
      <c r="E6" s="300"/>
      <c r="F6" s="301"/>
      <c r="G6" s="313"/>
      <c r="H6" s="99">
        <f>F6*G6</f>
        <v>0</v>
      </c>
      <c r="I6" s="70"/>
    </row>
    <row r="7" spans="1:11" ht="15.95" customHeight="1">
      <c r="A7" s="511"/>
      <c r="B7" s="98"/>
      <c r="C7" s="302"/>
      <c r="D7" s="302"/>
      <c r="E7" s="300"/>
      <c r="F7" s="301"/>
      <c r="G7" s="313"/>
      <c r="H7" s="99">
        <f>F7*G7</f>
        <v>0</v>
      </c>
      <c r="I7" s="70"/>
    </row>
    <row r="8" spans="1:11" ht="15.95" customHeight="1">
      <c r="A8" s="511"/>
      <c r="B8" s="98"/>
      <c r="C8" s="68"/>
      <c r="D8" s="68"/>
      <c r="E8" s="68"/>
      <c r="F8" s="69"/>
      <c r="G8" s="69"/>
      <c r="H8" s="99">
        <f t="shared" ref="H8:H39" si="0">IF(F8=0,G8,G8*F8)</f>
        <v>0</v>
      </c>
      <c r="I8" s="70"/>
    </row>
    <row r="9" spans="1:11" ht="15.95" customHeight="1">
      <c r="A9" s="511"/>
      <c r="B9" s="98"/>
      <c r="C9" s="113"/>
      <c r="D9" s="276"/>
      <c r="E9" s="276"/>
      <c r="F9" s="266"/>
      <c r="G9" s="114"/>
      <c r="H9" s="238">
        <f t="shared" si="0"/>
        <v>0</v>
      </c>
      <c r="I9" s="239"/>
    </row>
    <row r="10" spans="1:11" ht="15.95" customHeight="1">
      <c r="A10" s="511"/>
      <c r="B10" s="72"/>
      <c r="C10" s="242"/>
      <c r="D10" s="242"/>
      <c r="E10" s="242"/>
      <c r="F10" s="243"/>
      <c r="G10" s="243"/>
      <c r="H10" s="244">
        <f>SUM(H3:H9)</f>
        <v>6250000</v>
      </c>
      <c r="I10" s="242"/>
    </row>
    <row r="11" spans="1:11" ht="15.95" customHeight="1">
      <c r="A11" s="511"/>
      <c r="B11" s="98" t="s">
        <v>152</v>
      </c>
      <c r="C11" s="116"/>
      <c r="D11" s="116"/>
      <c r="E11" s="274"/>
      <c r="F11" s="264"/>
      <c r="G11" s="117"/>
      <c r="H11" s="118">
        <f t="shared" si="0"/>
        <v>0</v>
      </c>
      <c r="I11" s="119"/>
    </row>
    <row r="12" spans="1:11" ht="15.95" customHeight="1">
      <c r="A12" s="511"/>
      <c r="B12" s="98" t="s">
        <v>153</v>
      </c>
      <c r="C12" s="68"/>
      <c r="D12" s="68"/>
      <c r="E12" s="68"/>
      <c r="F12" s="265"/>
      <c r="G12" s="69"/>
      <c r="H12" s="99">
        <f t="shared" si="0"/>
        <v>0</v>
      </c>
      <c r="I12" s="70"/>
    </row>
    <row r="13" spans="1:11" ht="15.95" customHeight="1">
      <c r="A13" s="511"/>
      <c r="B13" s="98"/>
      <c r="C13" s="68"/>
      <c r="D13" s="68"/>
      <c r="E13" s="68"/>
      <c r="F13" s="265"/>
      <c r="G13" s="69"/>
      <c r="H13" s="99">
        <f t="shared" si="0"/>
        <v>0</v>
      </c>
      <c r="I13" s="70"/>
    </row>
    <row r="14" spans="1:11" ht="15.95" customHeight="1">
      <c r="A14" s="511"/>
      <c r="B14" s="98"/>
      <c r="C14" s="68"/>
      <c r="D14" s="68"/>
      <c r="E14" s="68"/>
      <c r="F14" s="265"/>
      <c r="G14" s="69"/>
      <c r="H14" s="99">
        <f t="shared" si="0"/>
        <v>0</v>
      </c>
      <c r="I14" s="70"/>
    </row>
    <row r="15" spans="1:11" ht="15.95" customHeight="1">
      <c r="A15" s="511"/>
      <c r="B15" s="98"/>
      <c r="C15" s="113"/>
      <c r="D15" s="113"/>
      <c r="E15" s="276"/>
      <c r="F15" s="266"/>
      <c r="G15" s="114"/>
      <c r="H15" s="99">
        <f t="shared" si="0"/>
        <v>0</v>
      </c>
      <c r="I15" s="71"/>
    </row>
    <row r="16" spans="1:11" ht="15.95" customHeight="1">
      <c r="A16" s="511"/>
      <c r="B16" s="72"/>
      <c r="C16" s="101"/>
      <c r="D16" s="91"/>
      <c r="E16" s="91"/>
      <c r="F16" s="141"/>
      <c r="G16" s="40"/>
      <c r="H16" s="30">
        <f>SUM(H11:H15)</f>
        <v>0</v>
      </c>
      <c r="I16" s="74"/>
    </row>
    <row r="17" spans="1:9" ht="15.95" customHeight="1">
      <c r="A17" s="511"/>
      <c r="B17" s="102" t="s">
        <v>38</v>
      </c>
      <c r="C17" s="302" t="s">
        <v>212</v>
      </c>
      <c r="D17" s="302"/>
      <c r="E17" s="300" t="s">
        <v>188</v>
      </c>
      <c r="F17" s="345">
        <v>1</v>
      </c>
      <c r="G17" s="313">
        <v>4250000</v>
      </c>
      <c r="H17" s="62">
        <f t="shared" si="0"/>
        <v>4250000</v>
      </c>
      <c r="I17" s="311" t="s">
        <v>222</v>
      </c>
    </row>
    <row r="18" spans="1:9" ht="15.95" customHeight="1">
      <c r="A18" s="511"/>
      <c r="B18" s="98" t="s">
        <v>45</v>
      </c>
      <c r="C18" s="302" t="s">
        <v>213</v>
      </c>
      <c r="D18" s="302" t="s">
        <v>214</v>
      </c>
      <c r="E18" s="300" t="s">
        <v>188</v>
      </c>
      <c r="F18" s="345">
        <v>1</v>
      </c>
      <c r="G18" s="313">
        <v>350000</v>
      </c>
      <c r="H18" s="99">
        <f t="shared" si="0"/>
        <v>350000</v>
      </c>
      <c r="I18" s="311" t="s">
        <v>223</v>
      </c>
    </row>
    <row r="19" spans="1:9" ht="15.95" customHeight="1">
      <c r="A19" s="511"/>
      <c r="B19" s="98"/>
      <c r="C19" s="302" t="s">
        <v>215</v>
      </c>
      <c r="D19" s="302" t="s">
        <v>216</v>
      </c>
      <c r="E19" s="300" t="s">
        <v>188</v>
      </c>
      <c r="F19" s="345">
        <v>1</v>
      </c>
      <c r="G19" s="313">
        <v>1275000</v>
      </c>
      <c r="H19" s="99">
        <f t="shared" si="0"/>
        <v>1275000</v>
      </c>
      <c r="I19" s="311" t="s">
        <v>223</v>
      </c>
    </row>
    <row r="20" spans="1:9" ht="15.95" customHeight="1">
      <c r="A20" s="511"/>
      <c r="B20" s="98"/>
      <c r="C20" s="302" t="s">
        <v>217</v>
      </c>
      <c r="D20" s="302" t="s">
        <v>218</v>
      </c>
      <c r="E20" s="300" t="s">
        <v>188</v>
      </c>
      <c r="F20" s="345">
        <v>1</v>
      </c>
      <c r="G20" s="313">
        <v>1875000</v>
      </c>
      <c r="H20" s="99">
        <f t="shared" si="0"/>
        <v>1875000</v>
      </c>
      <c r="I20" s="311" t="s">
        <v>199</v>
      </c>
    </row>
    <row r="21" spans="1:9" ht="15.95" customHeight="1">
      <c r="A21" s="511"/>
      <c r="B21" s="98"/>
      <c r="C21" s="302" t="s">
        <v>219</v>
      </c>
      <c r="D21" s="302" t="s">
        <v>220</v>
      </c>
      <c r="E21" s="300" t="s">
        <v>188</v>
      </c>
      <c r="F21" s="345">
        <v>1</v>
      </c>
      <c r="G21" s="313">
        <v>350000</v>
      </c>
      <c r="H21" s="99">
        <f t="shared" si="0"/>
        <v>350000</v>
      </c>
      <c r="I21" s="311" t="s">
        <v>222</v>
      </c>
    </row>
    <row r="22" spans="1:9" ht="15.95" customHeight="1">
      <c r="A22" s="511"/>
      <c r="B22" s="98"/>
      <c r="C22" s="302" t="s">
        <v>221</v>
      </c>
      <c r="D22" s="302"/>
      <c r="E22" s="300" t="s">
        <v>188</v>
      </c>
      <c r="F22" s="345">
        <v>1</v>
      </c>
      <c r="G22" s="313">
        <v>500000</v>
      </c>
      <c r="H22" s="99">
        <f t="shared" si="0"/>
        <v>500000</v>
      </c>
      <c r="I22" s="311" t="s">
        <v>199</v>
      </c>
    </row>
    <row r="23" spans="1:9" ht="15.95" customHeight="1">
      <c r="A23" s="511"/>
      <c r="B23" s="98"/>
      <c r="C23" s="68"/>
      <c r="D23" s="302"/>
      <c r="E23" s="300"/>
      <c r="F23" s="301"/>
      <c r="G23" s="69"/>
      <c r="H23" s="99">
        <f t="shared" si="0"/>
        <v>0</v>
      </c>
      <c r="I23" s="70"/>
    </row>
    <row r="24" spans="1:9" ht="15.95" customHeight="1">
      <c r="A24" s="511"/>
      <c r="B24" s="98"/>
      <c r="C24" s="68"/>
      <c r="D24" s="302"/>
      <c r="E24" s="300"/>
      <c r="F24" s="301"/>
      <c r="G24" s="69"/>
      <c r="H24" s="99">
        <f t="shared" si="0"/>
        <v>0</v>
      </c>
      <c r="I24" s="70"/>
    </row>
    <row r="25" spans="1:9" ht="15.95" customHeight="1">
      <c r="A25" s="511"/>
      <c r="B25" s="98"/>
      <c r="C25" s="68"/>
      <c r="D25" s="302"/>
      <c r="E25" s="300"/>
      <c r="F25" s="301"/>
      <c r="G25" s="69"/>
      <c r="H25" s="99">
        <f t="shared" si="0"/>
        <v>0</v>
      </c>
      <c r="I25" s="70"/>
    </row>
    <row r="26" spans="1:9" ht="15.95" customHeight="1">
      <c r="A26" s="511"/>
      <c r="B26" s="98"/>
      <c r="C26" s="68"/>
      <c r="D26" s="302"/>
      <c r="E26" s="300"/>
      <c r="F26" s="301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302"/>
      <c r="E27" s="300"/>
      <c r="F27" s="301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68"/>
      <c r="D28" s="302"/>
      <c r="E28" s="300"/>
      <c r="F28" s="301"/>
      <c r="G28" s="69"/>
      <c r="H28" s="99">
        <f t="shared" si="0"/>
        <v>0</v>
      </c>
      <c r="I28" s="70"/>
    </row>
    <row r="29" spans="1:9" ht="15.95" customHeight="1">
      <c r="A29" s="511"/>
      <c r="B29" s="98"/>
      <c r="C29" s="68"/>
      <c r="D29" s="302"/>
      <c r="E29" s="300"/>
      <c r="F29" s="301"/>
      <c r="G29" s="69"/>
      <c r="H29" s="99">
        <f t="shared" si="0"/>
        <v>0</v>
      </c>
      <c r="I29" s="70"/>
    </row>
    <row r="30" spans="1:9" ht="15.95" customHeight="1">
      <c r="A30" s="511"/>
      <c r="B30" s="98"/>
      <c r="C30" s="68"/>
      <c r="D30" s="302"/>
      <c r="E30" s="300"/>
      <c r="F30" s="301"/>
      <c r="G30" s="69"/>
      <c r="H30" s="99">
        <f t="shared" si="0"/>
        <v>0</v>
      </c>
      <c r="I30" s="70"/>
    </row>
    <row r="31" spans="1:9" ht="15.95" customHeight="1">
      <c r="A31" s="511"/>
      <c r="B31" s="98"/>
      <c r="C31" s="113"/>
      <c r="D31" s="113"/>
      <c r="E31" s="276"/>
      <c r="F31" s="266"/>
      <c r="G31" s="114"/>
      <c r="H31" s="238">
        <f t="shared" si="0"/>
        <v>0</v>
      </c>
      <c r="I31" s="239"/>
    </row>
    <row r="32" spans="1:9" ht="15.95" customHeight="1">
      <c r="A32" s="511"/>
      <c r="B32" s="72"/>
      <c r="C32" s="73"/>
      <c r="D32" s="74"/>
      <c r="E32" s="74"/>
      <c r="F32" s="30"/>
      <c r="G32" s="30"/>
      <c r="H32" s="30">
        <f>SUM(H17:H31)</f>
        <v>8600000</v>
      </c>
      <c r="I32" s="74"/>
    </row>
    <row r="33" spans="1:9" ht="15.95" customHeight="1">
      <c r="A33" s="511"/>
      <c r="B33" s="102" t="s">
        <v>39</v>
      </c>
      <c r="C33" s="68" t="s">
        <v>224</v>
      </c>
      <c r="D33" s="300" t="s">
        <v>225</v>
      </c>
      <c r="E33" s="300" t="s">
        <v>188</v>
      </c>
      <c r="F33" s="301">
        <v>1</v>
      </c>
      <c r="G33" s="69">
        <v>1150000</v>
      </c>
      <c r="H33" s="99">
        <f t="shared" si="0"/>
        <v>1150000</v>
      </c>
      <c r="I33" s="75"/>
    </row>
    <row r="34" spans="1:9" ht="15.95" customHeight="1">
      <c r="A34" s="511"/>
      <c r="B34" s="98"/>
      <c r="C34" s="68" t="s">
        <v>226</v>
      </c>
      <c r="D34" s="300" t="s">
        <v>227</v>
      </c>
      <c r="E34" s="300" t="s">
        <v>188</v>
      </c>
      <c r="F34" s="301">
        <v>1</v>
      </c>
      <c r="G34" s="69">
        <v>3500000</v>
      </c>
      <c r="H34" s="99">
        <f t="shared" si="0"/>
        <v>3500000</v>
      </c>
      <c r="I34" s="70"/>
    </row>
    <row r="35" spans="1:9" ht="15.95" customHeight="1">
      <c r="A35" s="511"/>
      <c r="B35" s="98"/>
      <c r="C35" s="68" t="s">
        <v>228</v>
      </c>
      <c r="D35" s="68" t="s">
        <v>229</v>
      </c>
      <c r="E35" s="275" t="s">
        <v>188</v>
      </c>
      <c r="F35" s="265">
        <v>1</v>
      </c>
      <c r="G35" s="69">
        <v>1250000</v>
      </c>
      <c r="H35" s="99">
        <f t="shared" si="0"/>
        <v>1250000</v>
      </c>
      <c r="I35" s="70"/>
    </row>
    <row r="36" spans="1:9" ht="15.95" customHeight="1">
      <c r="A36" s="511"/>
      <c r="B36" s="98"/>
      <c r="C36" s="68" t="s">
        <v>246</v>
      </c>
      <c r="D36" s="68"/>
      <c r="E36" s="275" t="s">
        <v>247</v>
      </c>
      <c r="F36" s="265">
        <v>1</v>
      </c>
      <c r="G36" s="69">
        <v>3500000</v>
      </c>
      <c r="H36" s="99">
        <f t="shared" si="0"/>
        <v>3500000</v>
      </c>
      <c r="I36" s="70"/>
    </row>
    <row r="37" spans="1:9" ht="15.95" customHeight="1">
      <c r="A37" s="511"/>
      <c r="B37" s="98"/>
      <c r="C37" s="68" t="s">
        <v>251</v>
      </c>
      <c r="D37" s="300"/>
      <c r="E37" s="300" t="s">
        <v>247</v>
      </c>
      <c r="F37" s="301">
        <v>1</v>
      </c>
      <c r="G37" s="69">
        <v>4500000</v>
      </c>
      <c r="H37" s="99">
        <f t="shared" si="0"/>
        <v>4500000</v>
      </c>
      <c r="I37" s="70"/>
    </row>
    <row r="38" spans="1:9" ht="15.95" customHeight="1">
      <c r="A38" s="511"/>
      <c r="B38" s="98"/>
      <c r="C38" s="68"/>
      <c r="D38" s="300"/>
      <c r="E38" s="300"/>
      <c r="F38" s="69"/>
      <c r="G38" s="69"/>
      <c r="H38" s="99">
        <f t="shared" si="0"/>
        <v>0</v>
      </c>
      <c r="I38" s="70"/>
    </row>
    <row r="39" spans="1:9" ht="15.95" customHeight="1">
      <c r="A39" s="511"/>
      <c r="B39" s="98"/>
      <c r="C39" s="113"/>
      <c r="D39" s="113"/>
      <c r="E39" s="113"/>
      <c r="F39" s="114"/>
      <c r="G39" s="114"/>
      <c r="H39" s="104">
        <f t="shared" si="0"/>
        <v>0</v>
      </c>
      <c r="I39" s="71"/>
    </row>
    <row r="40" spans="1:9" ht="15.95" customHeight="1">
      <c r="A40" s="511"/>
      <c r="B40" s="72"/>
      <c r="C40" s="101"/>
      <c r="D40" s="91"/>
      <c r="E40" s="91"/>
      <c r="F40" s="40"/>
      <c r="G40" s="40"/>
      <c r="H40" s="30">
        <f>SUM(H33:H39)</f>
        <v>13900000</v>
      </c>
      <c r="I40" s="74"/>
    </row>
    <row r="41" spans="1:9" ht="15.95" customHeight="1">
      <c r="A41" s="76"/>
      <c r="B41" s="96" t="s">
        <v>42</v>
      </c>
      <c r="C41" s="73"/>
      <c r="D41" s="74"/>
      <c r="E41" s="74"/>
      <c r="F41" s="56"/>
      <c r="G41" s="56"/>
      <c r="H41" s="30">
        <f>SUM(H40,H32,H16,H10)</f>
        <v>28750000</v>
      </c>
      <c r="I41" s="74"/>
    </row>
    <row r="42" spans="1:9" ht="15.95" customHeight="1">
      <c r="A42" s="509" t="s">
        <v>72</v>
      </c>
      <c r="B42" s="105" t="s">
        <v>70</v>
      </c>
      <c r="C42" s="73"/>
      <c r="D42" s="74"/>
      <c r="E42" s="105" t="s">
        <v>51</v>
      </c>
      <c r="F42" s="342"/>
      <c r="G42" s="262"/>
      <c r="H42" s="53">
        <f>F42*G42</f>
        <v>0</v>
      </c>
      <c r="I42" s="74"/>
    </row>
    <row r="43" spans="1:9" ht="15.95" customHeight="1">
      <c r="A43" s="511"/>
      <c r="B43" s="106" t="s">
        <v>105</v>
      </c>
      <c r="C43" s="134"/>
      <c r="D43" s="75"/>
      <c r="E43" s="106" t="s">
        <v>50</v>
      </c>
      <c r="F43" s="334">
        <v>10</v>
      </c>
      <c r="G43" s="112">
        <v>300000</v>
      </c>
      <c r="H43" s="103">
        <f t="shared" ref="H43:H49" si="1">F43*G43</f>
        <v>3000000</v>
      </c>
      <c r="I43" s="75"/>
    </row>
    <row r="44" spans="1:9" ht="15.95" customHeight="1">
      <c r="A44" s="511"/>
      <c r="B44" s="107" t="s">
        <v>106</v>
      </c>
      <c r="C44" s="135"/>
      <c r="D44" s="70"/>
      <c r="E44" s="107" t="s">
        <v>50</v>
      </c>
      <c r="F44" s="335">
        <v>20</v>
      </c>
      <c r="G44" s="69">
        <v>300000</v>
      </c>
      <c r="H44" s="99">
        <f t="shared" si="1"/>
        <v>6000000</v>
      </c>
      <c r="I44" s="70"/>
    </row>
    <row r="45" spans="1:9" ht="15.95" customHeight="1">
      <c r="A45" s="511"/>
      <c r="B45" s="107" t="s">
        <v>107</v>
      </c>
      <c r="C45" s="135"/>
      <c r="D45" s="70"/>
      <c r="E45" s="107" t="s">
        <v>50</v>
      </c>
      <c r="F45" s="335">
        <v>10</v>
      </c>
      <c r="G45" s="69">
        <v>300000</v>
      </c>
      <c r="H45" s="99">
        <f t="shared" si="1"/>
        <v>3000000</v>
      </c>
      <c r="I45" s="70"/>
    </row>
    <row r="46" spans="1:9" ht="15.95" customHeight="1">
      <c r="A46" s="511"/>
      <c r="B46" s="107" t="s">
        <v>250</v>
      </c>
      <c r="C46" s="135"/>
      <c r="D46" s="70"/>
      <c r="E46" s="107" t="s">
        <v>50</v>
      </c>
      <c r="F46" s="335">
        <v>10</v>
      </c>
      <c r="G46" s="69">
        <v>300000</v>
      </c>
      <c r="H46" s="99">
        <f t="shared" si="1"/>
        <v>3000000</v>
      </c>
      <c r="I46" s="70"/>
    </row>
    <row r="47" spans="1:9" ht="15.95" customHeight="1">
      <c r="A47" s="511"/>
      <c r="B47" s="107" t="s">
        <v>242</v>
      </c>
      <c r="C47" s="135"/>
      <c r="D47" s="70"/>
      <c r="E47" s="107" t="s">
        <v>241</v>
      </c>
      <c r="F47" s="335">
        <v>42</v>
      </c>
      <c r="G47" s="69">
        <v>380000</v>
      </c>
      <c r="H47" s="99">
        <f t="shared" si="1"/>
        <v>15960000</v>
      </c>
      <c r="I47" s="70"/>
    </row>
    <row r="48" spans="1:9" ht="15.95" customHeight="1">
      <c r="A48" s="511"/>
      <c r="B48" s="107" t="s">
        <v>243</v>
      </c>
      <c r="C48" s="135" t="s">
        <v>245</v>
      </c>
      <c r="D48" s="70"/>
      <c r="E48" s="107" t="s">
        <v>241</v>
      </c>
      <c r="F48" s="335">
        <v>42</v>
      </c>
      <c r="G48" s="69">
        <v>500000</v>
      </c>
      <c r="H48" s="99">
        <f t="shared" si="1"/>
        <v>21000000</v>
      </c>
      <c r="I48" s="70"/>
    </row>
    <row r="49" spans="1:9" ht="15.95" customHeight="1">
      <c r="A49" s="511"/>
      <c r="B49" s="373" t="s">
        <v>244</v>
      </c>
      <c r="C49" s="136"/>
      <c r="D49" s="71"/>
      <c r="E49" s="108" t="s">
        <v>180</v>
      </c>
      <c r="F49" s="339">
        <v>4</v>
      </c>
      <c r="G49" s="114">
        <v>4850000</v>
      </c>
      <c r="H49" s="104">
        <f t="shared" si="1"/>
        <v>19400000</v>
      </c>
      <c r="I49" s="71"/>
    </row>
    <row r="50" spans="1:9" ht="15.95" customHeight="1">
      <c r="A50" s="76"/>
      <c r="B50" s="95" t="s">
        <v>41</v>
      </c>
      <c r="C50" s="73"/>
      <c r="D50" s="74"/>
      <c r="E50" s="74"/>
      <c r="F50" s="30"/>
      <c r="G50" s="30"/>
      <c r="H50" s="30">
        <f>SUM(H42:H49)</f>
        <v>71360000</v>
      </c>
      <c r="I50" s="91"/>
    </row>
    <row r="51" spans="1:9" ht="15.95" customHeight="1">
      <c r="A51" s="52"/>
      <c r="B51" s="95" t="s">
        <v>163</v>
      </c>
      <c r="C51" s="73"/>
      <c r="D51" s="74"/>
      <c r="E51" s="121" t="s">
        <v>114</v>
      </c>
      <c r="F51" s="30">
        <v>1</v>
      </c>
      <c r="G51" s="30">
        <v>5000000</v>
      </c>
      <c r="H51" s="99">
        <f t="shared" ref="H51" si="2">F51*G51</f>
        <v>5000000</v>
      </c>
      <c r="I51" s="74"/>
    </row>
    <row r="52" spans="1:9" ht="15.95" customHeight="1">
      <c r="A52" s="52"/>
      <c r="B52" s="95" t="s">
        <v>25</v>
      </c>
      <c r="C52" s="73"/>
      <c r="D52" s="74"/>
      <c r="E52" s="121"/>
      <c r="F52" s="30"/>
      <c r="G52" s="55"/>
      <c r="H52" s="115">
        <f>(H50+H41)*0.05</f>
        <v>5005500</v>
      </c>
      <c r="I52" s="73"/>
    </row>
    <row r="53" spans="1:9" ht="15.95" customHeight="1">
      <c r="A53" s="52"/>
      <c r="B53" s="95" t="s">
        <v>144</v>
      </c>
      <c r="C53" s="73"/>
      <c r="D53" s="74"/>
      <c r="E53" s="121"/>
      <c r="F53" s="30"/>
      <c r="G53" s="55"/>
      <c r="H53" s="115">
        <f>(H50+H41)*0.1</f>
        <v>10011000</v>
      </c>
      <c r="I53" s="73"/>
    </row>
    <row r="54" spans="1:9" ht="15.95" customHeight="1">
      <c r="A54" s="52"/>
      <c r="B54" s="95" t="s">
        <v>145</v>
      </c>
      <c r="C54" s="73"/>
      <c r="D54" s="74"/>
      <c r="E54" s="74"/>
      <c r="F54" s="30"/>
      <c r="G54" s="30"/>
      <c r="H54" s="40">
        <f>H41+H50+H51+H52+H53</f>
        <v>120126500</v>
      </c>
      <c r="I54" s="74"/>
    </row>
    <row r="55" spans="1:9">
      <c r="A55" s="29"/>
    </row>
  </sheetData>
  <mergeCells count="3">
    <mergeCell ref="A2:B2"/>
    <mergeCell ref="A42:A49"/>
    <mergeCell ref="A3:A4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>
    <tabColor rgb="FF00B050"/>
    <pageSetUpPr fitToPage="1"/>
  </sheetPr>
  <dimension ref="A1:I70"/>
  <sheetViews>
    <sheetView zoomScale="85" workbookViewId="0">
      <pane xSplit="2" ySplit="2" topLeftCell="C5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09" t="s">
        <v>81</v>
      </c>
      <c r="B3" s="98" t="s">
        <v>37</v>
      </c>
      <c r="C3" s="68"/>
      <c r="D3" s="300"/>
      <c r="E3" s="275"/>
      <c r="F3" s="265"/>
      <c r="G3" s="69"/>
      <c r="H3" s="99">
        <f>IF(F3=0,G3,G3*F3)</f>
        <v>0</v>
      </c>
      <c r="I3" s="297"/>
    </row>
    <row r="4" spans="1:9" ht="15.95" customHeight="1">
      <c r="A4" s="511"/>
      <c r="B4" s="98"/>
      <c r="C4" s="302"/>
      <c r="D4" s="299"/>
      <c r="E4" s="300"/>
      <c r="F4" s="338"/>
      <c r="G4" s="313"/>
      <c r="H4" s="99">
        <f>F4*G4</f>
        <v>0</v>
      </c>
      <c r="I4" s="70"/>
    </row>
    <row r="5" spans="1:9" ht="15.95" customHeight="1">
      <c r="A5" s="511"/>
      <c r="B5" s="98"/>
      <c r="C5" s="302"/>
      <c r="D5" s="299"/>
      <c r="E5" s="300"/>
      <c r="F5" s="337"/>
      <c r="G5" s="313"/>
      <c r="H5" s="99">
        <f>F5*G5</f>
        <v>0</v>
      </c>
      <c r="I5" s="70"/>
    </row>
    <row r="6" spans="1:9" ht="15.95" customHeight="1">
      <c r="A6" s="511"/>
      <c r="B6" s="98"/>
      <c r="C6" s="302"/>
      <c r="D6" s="302"/>
      <c r="E6" s="300"/>
      <c r="F6" s="337"/>
      <c r="G6" s="313"/>
      <c r="H6" s="99">
        <f>F6*G6</f>
        <v>0</v>
      </c>
      <c r="I6" s="70"/>
    </row>
    <row r="7" spans="1:9" ht="15.95" customHeight="1">
      <c r="A7" s="511"/>
      <c r="B7" s="98"/>
      <c r="C7" s="302"/>
      <c r="D7" s="302"/>
      <c r="E7" s="300"/>
      <c r="F7" s="337"/>
      <c r="G7" s="313"/>
      <c r="H7" s="99">
        <f>F7*G7</f>
        <v>0</v>
      </c>
      <c r="I7" s="70"/>
    </row>
    <row r="8" spans="1:9" ht="15.95" customHeight="1">
      <c r="A8" s="511"/>
      <c r="B8" s="98"/>
      <c r="C8" s="302"/>
      <c r="D8" s="302"/>
      <c r="E8" s="300"/>
      <c r="F8" s="313"/>
      <c r="G8" s="313"/>
      <c r="H8" s="99">
        <f t="shared" ref="H8:H54" si="0">IF(F8=0,G8,G8*F8)</f>
        <v>0</v>
      </c>
      <c r="I8" s="70"/>
    </row>
    <row r="9" spans="1:9" ht="15.95" customHeight="1">
      <c r="A9" s="511"/>
      <c r="B9" s="98"/>
      <c r="C9" s="302"/>
      <c r="D9" s="302"/>
      <c r="E9" s="302"/>
      <c r="F9" s="313"/>
      <c r="G9" s="313"/>
      <c r="H9" s="99">
        <f t="shared" si="0"/>
        <v>0</v>
      </c>
      <c r="I9" s="70"/>
    </row>
    <row r="10" spans="1:9" ht="15.95" customHeight="1">
      <c r="A10" s="511"/>
      <c r="B10" s="98"/>
      <c r="C10" s="302"/>
      <c r="D10" s="302"/>
      <c r="E10" s="302"/>
      <c r="F10" s="313"/>
      <c r="G10" s="313"/>
      <c r="H10" s="99">
        <f t="shared" si="0"/>
        <v>0</v>
      </c>
      <c r="I10" s="70"/>
    </row>
    <row r="11" spans="1:9" ht="15.95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1"/>
      <c r="B23" s="98"/>
      <c r="C23" s="113"/>
      <c r="D23" s="276"/>
      <c r="E23" s="276"/>
      <c r="F23" s="266"/>
      <c r="G23" s="114"/>
      <c r="H23" s="238">
        <f t="shared" si="0"/>
        <v>0</v>
      </c>
      <c r="I23" s="239"/>
    </row>
    <row r="24" spans="1:9" ht="15.95" customHeight="1">
      <c r="A24" s="511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1"/>
      <c r="B25" s="98" t="s">
        <v>152</v>
      </c>
      <c r="C25" s="116"/>
      <c r="D25" s="116"/>
      <c r="E25" s="274"/>
      <c r="F25" s="264"/>
      <c r="G25" s="117"/>
      <c r="H25" s="118">
        <f t="shared" si="0"/>
        <v>0</v>
      </c>
      <c r="I25" s="119"/>
    </row>
    <row r="26" spans="1:9" ht="15.95" customHeight="1">
      <c r="A26" s="511"/>
      <c r="B26" s="98" t="s">
        <v>153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1"/>
      <c r="B29" s="98"/>
      <c r="C29" s="113"/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1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1"/>
      <c r="B31" s="102" t="s">
        <v>38</v>
      </c>
      <c r="C31" s="302"/>
      <c r="D31" s="302"/>
      <c r="E31" s="300"/>
      <c r="F31" s="337"/>
      <c r="G31" s="313"/>
      <c r="H31" s="62">
        <f t="shared" ref="H31:H38" si="1">IF(F31=0,G31,G31*F31)</f>
        <v>0</v>
      </c>
      <c r="I31" s="75"/>
    </row>
    <row r="32" spans="1:9" ht="15.95" customHeight="1">
      <c r="A32" s="511"/>
      <c r="B32" s="98" t="s">
        <v>45</v>
      </c>
      <c r="C32" s="302"/>
      <c r="D32" s="302"/>
      <c r="E32" s="300"/>
      <c r="F32" s="337"/>
      <c r="G32" s="313"/>
      <c r="H32" s="99">
        <f t="shared" si="1"/>
        <v>0</v>
      </c>
      <c r="I32" s="70"/>
    </row>
    <row r="33" spans="1:9" ht="15.95" customHeight="1">
      <c r="A33" s="511"/>
      <c r="B33" s="98"/>
      <c r="C33" s="302"/>
      <c r="D33" s="302"/>
      <c r="E33" s="300"/>
      <c r="F33" s="337"/>
      <c r="G33" s="313"/>
      <c r="H33" s="99">
        <f t="shared" si="1"/>
        <v>0</v>
      </c>
      <c r="I33" s="70"/>
    </row>
    <row r="34" spans="1:9" ht="15.95" customHeight="1">
      <c r="A34" s="511"/>
      <c r="B34" s="98"/>
      <c r="C34" s="302"/>
      <c r="D34" s="302"/>
      <c r="E34" s="300"/>
      <c r="F34" s="337"/>
      <c r="G34" s="313"/>
      <c r="H34" s="99">
        <f t="shared" si="1"/>
        <v>0</v>
      </c>
      <c r="I34" s="70"/>
    </row>
    <row r="35" spans="1:9" ht="15.95" customHeight="1">
      <c r="A35" s="511"/>
      <c r="B35" s="98"/>
      <c r="C35" s="302"/>
      <c r="D35" s="302"/>
      <c r="E35" s="300"/>
      <c r="F35" s="337"/>
      <c r="G35" s="313"/>
      <c r="H35" s="99">
        <f t="shared" si="1"/>
        <v>0</v>
      </c>
      <c r="I35" s="70"/>
    </row>
    <row r="36" spans="1:9" ht="15.95" customHeight="1">
      <c r="A36" s="511"/>
      <c r="B36" s="98"/>
      <c r="C36" s="302"/>
      <c r="D36" s="302"/>
      <c r="E36" s="300"/>
      <c r="F36" s="337"/>
      <c r="G36" s="313"/>
      <c r="H36" s="99">
        <f t="shared" si="1"/>
        <v>0</v>
      </c>
      <c r="I36" s="70"/>
    </row>
    <row r="37" spans="1:9" ht="15.95" customHeight="1">
      <c r="A37" s="511"/>
      <c r="B37" s="98"/>
      <c r="C37" s="302"/>
      <c r="D37" s="302"/>
      <c r="E37" s="300"/>
      <c r="F37" s="337"/>
      <c r="G37" s="313"/>
      <c r="H37" s="99">
        <f t="shared" si="1"/>
        <v>0</v>
      </c>
      <c r="I37" s="70"/>
    </row>
    <row r="38" spans="1:9" ht="15.95" customHeight="1">
      <c r="A38" s="511"/>
      <c r="B38" s="98"/>
      <c r="C38" s="302"/>
      <c r="D38" s="302"/>
      <c r="E38" s="300"/>
      <c r="F38" s="337"/>
      <c r="G38" s="313"/>
      <c r="H38" s="99">
        <f t="shared" si="1"/>
        <v>0</v>
      </c>
      <c r="I38" s="70"/>
    </row>
    <row r="39" spans="1:9" ht="15.95" customHeight="1">
      <c r="A39" s="511"/>
      <c r="B39" s="98"/>
      <c r="C39" s="302"/>
      <c r="D39" s="302"/>
      <c r="E39" s="302"/>
      <c r="F39" s="313"/>
      <c r="G39" s="313"/>
      <c r="H39" s="99">
        <f t="shared" si="0"/>
        <v>0</v>
      </c>
      <c r="I39" s="70"/>
    </row>
    <row r="40" spans="1:9" ht="15.95" customHeight="1">
      <c r="A40" s="511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1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1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1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1"/>
      <c r="B45" s="98"/>
      <c r="C45" s="314"/>
      <c r="D45" s="314"/>
      <c r="E45" s="302"/>
      <c r="F45" s="315"/>
      <c r="G45" s="315"/>
      <c r="H45" s="99">
        <f t="shared" si="0"/>
        <v>0</v>
      </c>
      <c r="I45" s="70"/>
    </row>
    <row r="46" spans="1:9" ht="15.95" customHeight="1">
      <c r="A46" s="511"/>
      <c r="B46" s="98"/>
      <c r="C46" s="113"/>
      <c r="D46" s="113"/>
      <c r="E46" s="276"/>
      <c r="F46" s="266"/>
      <c r="G46" s="114"/>
      <c r="H46" s="104">
        <f t="shared" si="0"/>
        <v>0</v>
      </c>
      <c r="I46" s="71"/>
    </row>
    <row r="47" spans="1:9" ht="15.95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1"/>
      <c r="B48" s="102" t="s">
        <v>39</v>
      </c>
      <c r="C48" s="68"/>
      <c r="D48" s="300"/>
      <c r="E48" s="300"/>
      <c r="F48" s="301"/>
      <c r="G48" s="69"/>
      <c r="H48" s="103"/>
      <c r="I48" s="75"/>
    </row>
    <row r="49" spans="1:9" ht="15.95" customHeight="1">
      <c r="A49" s="511"/>
      <c r="B49" s="98"/>
      <c r="C49" s="68"/>
      <c r="D49" s="300"/>
      <c r="E49" s="300"/>
      <c r="F49" s="301"/>
      <c r="G49" s="69"/>
      <c r="H49" s="99">
        <f>IF(F49=0,G49,G49*F49)</f>
        <v>0</v>
      </c>
      <c r="I49" s="70"/>
    </row>
    <row r="50" spans="1:9" ht="15.95" customHeight="1">
      <c r="A50" s="511"/>
      <c r="B50" s="98"/>
      <c r="C50" s="68"/>
      <c r="D50" s="68"/>
      <c r="E50" s="275"/>
      <c r="F50" s="265"/>
      <c r="G50" s="69"/>
      <c r="H50" s="99">
        <f t="shared" si="0"/>
        <v>0</v>
      </c>
      <c r="I50" s="70"/>
    </row>
    <row r="51" spans="1:9" ht="15.95" customHeight="1">
      <c r="A51" s="511"/>
      <c r="B51" s="98"/>
      <c r="C51" s="68"/>
      <c r="D51" s="68"/>
      <c r="E51" s="275"/>
      <c r="F51" s="265"/>
      <c r="G51" s="69"/>
      <c r="H51" s="99">
        <f t="shared" si="0"/>
        <v>0</v>
      </c>
      <c r="I51" s="70"/>
    </row>
    <row r="52" spans="1:9" ht="15.95" customHeight="1">
      <c r="A52" s="511"/>
      <c r="B52" s="98"/>
      <c r="C52" s="68"/>
      <c r="D52" s="300"/>
      <c r="E52" s="300"/>
      <c r="F52" s="301"/>
      <c r="G52" s="69"/>
      <c r="H52" s="99">
        <f t="shared" si="0"/>
        <v>0</v>
      </c>
      <c r="I52" s="70"/>
    </row>
    <row r="53" spans="1:9" ht="15.95" customHeight="1">
      <c r="A53" s="511"/>
      <c r="B53" s="98"/>
      <c r="C53" s="68"/>
      <c r="D53" s="68"/>
      <c r="E53" s="275"/>
      <c r="F53" s="265"/>
      <c r="G53" s="69"/>
      <c r="H53" s="99">
        <f t="shared" si="0"/>
        <v>0</v>
      </c>
      <c r="I53" s="70"/>
    </row>
    <row r="54" spans="1:9" ht="15.95" customHeight="1">
      <c r="A54" s="511"/>
      <c r="B54" s="98"/>
      <c r="C54" s="113"/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356" t="s">
        <v>42</v>
      </c>
      <c r="C56" s="357"/>
      <c r="D56" s="297"/>
      <c r="E56" s="297"/>
      <c r="F56" s="56"/>
      <c r="G56" s="56"/>
      <c r="H56" s="56">
        <f>SUM(H55,H47,H30,H24)</f>
        <v>0</v>
      </c>
      <c r="I56" s="297"/>
    </row>
    <row r="57" spans="1:9" ht="15.95" customHeight="1">
      <c r="A57" s="512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1"/>
      <c r="B58" s="107" t="s">
        <v>105</v>
      </c>
      <c r="C58" s="135"/>
      <c r="D58" s="70"/>
      <c r="E58" s="107" t="s">
        <v>50</v>
      </c>
      <c r="F58" s="335"/>
      <c r="G58" s="69"/>
      <c r="H58" s="99">
        <f t="shared" ref="H58:H64" si="2">F58*G58</f>
        <v>0</v>
      </c>
      <c r="I58" s="70"/>
    </row>
    <row r="59" spans="1:9" ht="15.95" customHeight="1">
      <c r="A59" s="511"/>
      <c r="B59" s="159" t="s">
        <v>106</v>
      </c>
      <c r="C59" s="135"/>
      <c r="D59" s="70"/>
      <c r="E59" s="107" t="s">
        <v>50</v>
      </c>
      <c r="F59" s="335"/>
      <c r="G59" s="69"/>
      <c r="H59" s="99">
        <f t="shared" si="2"/>
        <v>0</v>
      </c>
      <c r="I59" s="70"/>
    </row>
    <row r="60" spans="1:9" ht="15.95" customHeight="1">
      <c r="A60" s="511"/>
      <c r="B60" s="107" t="s">
        <v>107</v>
      </c>
      <c r="C60" s="135"/>
      <c r="D60" s="70"/>
      <c r="E60" s="107" t="s">
        <v>50</v>
      </c>
      <c r="F60" s="335"/>
      <c r="G60" s="69"/>
      <c r="H60" s="99">
        <f t="shared" si="2"/>
        <v>0</v>
      </c>
      <c r="I60" s="70"/>
    </row>
    <row r="61" spans="1:9" ht="15.95" customHeight="1">
      <c r="A61" s="511"/>
      <c r="B61" s="107" t="s">
        <v>108</v>
      </c>
      <c r="C61" s="135"/>
      <c r="D61" s="70"/>
      <c r="E61" s="107" t="s">
        <v>50</v>
      </c>
      <c r="F61" s="335"/>
      <c r="G61" s="69"/>
      <c r="H61" s="99">
        <f t="shared" si="2"/>
        <v>0</v>
      </c>
      <c r="I61" s="70"/>
    </row>
    <row r="62" spans="1:9" ht="15.95" customHeight="1">
      <c r="A62" s="511"/>
      <c r="B62" s="107" t="s">
        <v>109</v>
      </c>
      <c r="C62" s="135"/>
      <c r="D62" s="70"/>
      <c r="E62" s="107" t="s">
        <v>50</v>
      </c>
      <c r="F62" s="335"/>
      <c r="G62" s="69"/>
      <c r="H62" s="99">
        <f t="shared" si="2"/>
        <v>0</v>
      </c>
      <c r="I62" s="70"/>
    </row>
    <row r="63" spans="1:9" ht="15.95" customHeight="1">
      <c r="A63" s="511"/>
      <c r="B63" s="107" t="s">
        <v>110</v>
      </c>
      <c r="C63" s="135"/>
      <c r="D63" s="70"/>
      <c r="E63" s="107" t="s">
        <v>50</v>
      </c>
      <c r="F63" s="335"/>
      <c r="G63" s="69"/>
      <c r="H63" s="99">
        <f t="shared" si="2"/>
        <v>0</v>
      </c>
      <c r="I63" s="70"/>
    </row>
    <row r="64" spans="1:9" ht="15.95" customHeight="1">
      <c r="A64" s="511"/>
      <c r="B64" s="108" t="s">
        <v>111</v>
      </c>
      <c r="C64" s="358"/>
      <c r="D64" s="239"/>
      <c r="E64" s="359" t="s">
        <v>50</v>
      </c>
      <c r="F64" s="336"/>
      <c r="G64" s="237"/>
      <c r="H64" s="238">
        <f t="shared" si="2"/>
        <v>0</v>
      </c>
      <c r="I64" s="239"/>
    </row>
    <row r="65" spans="1:9" ht="15.95" customHeight="1">
      <c r="A65" s="76"/>
      <c r="B65" s="95" t="s">
        <v>41</v>
      </c>
      <c r="C65" s="73"/>
      <c r="D65" s="74"/>
      <c r="E65" s="74"/>
      <c r="F65" s="30"/>
      <c r="G65" s="30"/>
      <c r="H65" s="30">
        <f>SUM(H57:H64)</f>
        <v>0</v>
      </c>
      <c r="I65" s="74"/>
    </row>
    <row r="66" spans="1:9" ht="15.95" customHeight="1">
      <c r="A66" s="52"/>
      <c r="B66" s="95" t="s">
        <v>163</v>
      </c>
      <c r="C66" s="73"/>
      <c r="D66" s="74"/>
      <c r="E66" s="74"/>
      <c r="F66" s="30"/>
      <c r="G66" s="30"/>
      <c r="H66" s="56">
        <f>'단위공사별(집계)'!L8+'단위공사별(집계)'!I8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144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145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>
    <tabColor rgb="FF00B050"/>
    <pageSetUpPr fitToPage="1"/>
  </sheetPr>
  <dimension ref="A1:I70"/>
  <sheetViews>
    <sheetView zoomScale="85" workbookViewId="0">
      <pane xSplit="2" ySplit="2" topLeftCell="C9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09" t="s">
        <v>81</v>
      </c>
      <c r="B3" s="98" t="s">
        <v>37</v>
      </c>
      <c r="C3" s="68"/>
      <c r="D3" s="300"/>
      <c r="E3" s="275"/>
      <c r="F3" s="265"/>
      <c r="G3" s="69"/>
      <c r="H3" s="99"/>
      <c r="I3" s="70" t="s">
        <v>173</v>
      </c>
    </row>
    <row r="4" spans="1:9" ht="15.95" customHeight="1">
      <c r="A4" s="511"/>
      <c r="B4" s="98"/>
      <c r="C4" s="68"/>
      <c r="D4" s="300"/>
      <c r="E4" s="275"/>
      <c r="F4" s="265"/>
      <c r="G4" s="69"/>
      <c r="H4" s="99">
        <f>IF(F4=0,G4,G4*F4)</f>
        <v>0</v>
      </c>
      <c r="I4" s="70"/>
    </row>
    <row r="5" spans="1:9" ht="15.95" customHeight="1">
      <c r="A5" s="511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11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11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1"/>
      <c r="B23" s="98"/>
      <c r="C23" s="113"/>
      <c r="D23" s="276"/>
      <c r="E23" s="276"/>
      <c r="F23" s="266"/>
      <c r="G23" s="114"/>
      <c r="H23" s="238">
        <f t="shared" si="0"/>
        <v>0</v>
      </c>
      <c r="I23" s="239"/>
    </row>
    <row r="24" spans="1:9" ht="15.95" customHeight="1">
      <c r="A24" s="511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1"/>
      <c r="B25" s="98" t="s">
        <v>152</v>
      </c>
      <c r="C25" s="116"/>
      <c r="D25" s="116"/>
      <c r="E25" s="274"/>
      <c r="F25" s="264"/>
      <c r="G25" s="117"/>
      <c r="H25" s="118">
        <f t="shared" si="0"/>
        <v>0</v>
      </c>
      <c r="I25" s="119"/>
    </row>
    <row r="26" spans="1:9" ht="15.95" customHeight="1">
      <c r="A26" s="511"/>
      <c r="B26" s="98" t="s">
        <v>153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1"/>
      <c r="B29" s="98"/>
      <c r="C29" s="113"/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1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1"/>
      <c r="B31" s="102" t="s">
        <v>38</v>
      </c>
      <c r="C31" s="309"/>
      <c r="D31" s="309"/>
      <c r="E31" s="310"/>
      <c r="F31" s="271"/>
      <c r="G31" s="262"/>
      <c r="H31" s="103">
        <f t="shared" si="0"/>
        <v>0</v>
      </c>
      <c r="I31" s="75"/>
    </row>
    <row r="32" spans="1:9" ht="15.95" customHeight="1">
      <c r="A32" s="511"/>
      <c r="B32" s="98" t="s">
        <v>45</v>
      </c>
      <c r="C32" s="236"/>
      <c r="D32" s="68"/>
      <c r="E32" s="275"/>
      <c r="F32" s="265"/>
      <c r="G32" s="69"/>
      <c r="H32" s="99">
        <f t="shared" si="0"/>
        <v>0</v>
      </c>
      <c r="I32" s="311"/>
    </row>
    <row r="33" spans="1:9" ht="15.95" customHeight="1">
      <c r="A33" s="511"/>
      <c r="B33" s="98"/>
      <c r="C33" s="68"/>
      <c r="D33" s="68"/>
      <c r="E33" s="275"/>
      <c r="F33" s="265"/>
      <c r="G33" s="69"/>
      <c r="H33" s="99">
        <f t="shared" si="0"/>
        <v>0</v>
      </c>
      <c r="I33" s="311"/>
    </row>
    <row r="34" spans="1:9" ht="15.95" customHeight="1">
      <c r="A34" s="511"/>
      <c r="B34" s="98"/>
      <c r="C34" s="68"/>
      <c r="D34" s="302"/>
      <c r="E34" s="275"/>
      <c r="F34" s="301"/>
      <c r="G34" s="69"/>
      <c r="H34" s="99">
        <f t="shared" si="0"/>
        <v>0</v>
      </c>
      <c r="I34" s="311"/>
    </row>
    <row r="35" spans="1:9" ht="15.95" customHeight="1">
      <c r="A35" s="511"/>
      <c r="B35" s="98"/>
      <c r="C35" s="68"/>
      <c r="D35" s="302"/>
      <c r="E35" s="275"/>
      <c r="F35" s="301"/>
      <c r="G35" s="69"/>
      <c r="H35" s="99">
        <f t="shared" si="0"/>
        <v>0</v>
      </c>
      <c r="I35" s="311"/>
    </row>
    <row r="36" spans="1:9" ht="15.95" customHeight="1">
      <c r="A36" s="511"/>
      <c r="B36" s="98"/>
      <c r="C36" s="68"/>
      <c r="D36" s="302"/>
      <c r="E36" s="275"/>
      <c r="F36" s="301"/>
      <c r="G36" s="69"/>
      <c r="H36" s="99">
        <f t="shared" si="0"/>
        <v>0</v>
      </c>
      <c r="I36" s="311"/>
    </row>
    <row r="37" spans="1:9" ht="15.95" customHeight="1">
      <c r="A37" s="511"/>
      <c r="B37" s="98"/>
      <c r="C37" s="68"/>
      <c r="D37" s="302"/>
      <c r="E37" s="275"/>
      <c r="F37" s="301"/>
      <c r="G37" s="69"/>
      <c r="H37" s="99">
        <f t="shared" si="0"/>
        <v>0</v>
      </c>
      <c r="I37" s="311"/>
    </row>
    <row r="38" spans="1:9" ht="15.95" customHeight="1">
      <c r="A38" s="511"/>
      <c r="B38" s="98"/>
      <c r="C38" s="236"/>
      <c r="D38" s="236"/>
      <c r="E38" s="68"/>
      <c r="F38" s="237"/>
      <c r="G38" s="237"/>
      <c r="H38" s="99">
        <f t="shared" si="0"/>
        <v>0</v>
      </c>
      <c r="I38" s="311"/>
    </row>
    <row r="39" spans="1:9" ht="15.95" customHeight="1">
      <c r="A39" s="511"/>
      <c r="B39" s="98"/>
      <c r="C39" s="236"/>
      <c r="D39" s="236"/>
      <c r="E39" s="68"/>
      <c r="F39" s="237"/>
      <c r="G39" s="237"/>
      <c r="H39" s="99">
        <f t="shared" si="0"/>
        <v>0</v>
      </c>
      <c r="I39" s="70"/>
    </row>
    <row r="40" spans="1:9" ht="15.95" customHeight="1">
      <c r="A40" s="511"/>
      <c r="B40" s="98"/>
      <c r="C40" s="68"/>
      <c r="D40" s="68"/>
      <c r="E40" s="275"/>
      <c r="F40" s="265"/>
      <c r="G40" s="69"/>
      <c r="H40" s="99">
        <f t="shared" si="0"/>
        <v>0</v>
      </c>
      <c r="I40" s="70"/>
    </row>
    <row r="41" spans="1:9" ht="15.95" customHeight="1">
      <c r="A41" s="511"/>
      <c r="B41" s="98"/>
      <c r="C41" s="68"/>
      <c r="D41" s="302"/>
      <c r="E41" s="275"/>
      <c r="F41" s="301"/>
      <c r="G41" s="69"/>
      <c r="H41" s="99">
        <f t="shared" si="0"/>
        <v>0</v>
      </c>
      <c r="I41" s="70"/>
    </row>
    <row r="42" spans="1:9" ht="15.95" customHeight="1">
      <c r="A42" s="511"/>
      <c r="B42" s="98"/>
      <c r="C42" s="68"/>
      <c r="D42" s="302"/>
      <c r="E42" s="275"/>
      <c r="F42" s="301"/>
      <c r="G42" s="69"/>
      <c r="H42" s="99">
        <f t="shared" si="0"/>
        <v>0</v>
      </c>
      <c r="I42" s="70"/>
    </row>
    <row r="43" spans="1:9" ht="15.95" customHeight="1">
      <c r="A43" s="511"/>
      <c r="B43" s="98"/>
      <c r="C43" s="68"/>
      <c r="D43" s="302"/>
      <c r="E43" s="275"/>
      <c r="F43" s="301"/>
      <c r="G43" s="69"/>
      <c r="H43" s="99">
        <f t="shared" si="0"/>
        <v>0</v>
      </c>
      <c r="I43" s="70"/>
    </row>
    <row r="44" spans="1:9" ht="15.95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1"/>
      <c r="B45" s="98"/>
      <c r="C45" s="236"/>
      <c r="D45" s="236"/>
      <c r="E45" s="68"/>
      <c r="F45" s="237"/>
      <c r="G45" s="237"/>
      <c r="H45" s="99">
        <f t="shared" si="0"/>
        <v>0</v>
      </c>
      <c r="I45" s="70"/>
    </row>
    <row r="46" spans="1:9" ht="15.95" customHeight="1">
      <c r="A46" s="511"/>
      <c r="B46" s="98"/>
      <c r="C46" s="113"/>
      <c r="D46" s="113"/>
      <c r="E46" s="276"/>
      <c r="F46" s="266"/>
      <c r="G46" s="114"/>
      <c r="H46" s="104">
        <f t="shared" si="0"/>
        <v>0</v>
      </c>
      <c r="I46" s="71"/>
    </row>
    <row r="47" spans="1:9" ht="15.95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1"/>
      <c r="B48" s="102" t="s">
        <v>39</v>
      </c>
      <c r="C48" s="68"/>
      <c r="D48" s="300"/>
      <c r="E48" s="300"/>
      <c r="F48" s="301"/>
      <c r="G48" s="69"/>
      <c r="H48" s="103">
        <f t="shared" si="0"/>
        <v>0</v>
      </c>
      <c r="I48" s="75"/>
    </row>
    <row r="49" spans="1:9" ht="15.95" customHeight="1">
      <c r="A49" s="511"/>
      <c r="B49" s="98"/>
      <c r="C49" s="68"/>
      <c r="D49" s="300"/>
      <c r="E49" s="300"/>
      <c r="F49" s="301"/>
      <c r="G49" s="69"/>
      <c r="H49" s="99">
        <f t="shared" si="0"/>
        <v>0</v>
      </c>
      <c r="I49" s="70"/>
    </row>
    <row r="50" spans="1:9" ht="15.95" customHeight="1">
      <c r="A50" s="511"/>
      <c r="B50" s="98"/>
      <c r="C50" s="68"/>
      <c r="D50" s="68"/>
      <c r="E50" s="275"/>
      <c r="F50" s="265"/>
      <c r="G50" s="69"/>
      <c r="H50" s="99">
        <f t="shared" si="0"/>
        <v>0</v>
      </c>
      <c r="I50" s="70"/>
    </row>
    <row r="51" spans="1:9" ht="15.95" customHeight="1">
      <c r="A51" s="511"/>
      <c r="B51" s="98"/>
      <c r="C51" s="68"/>
      <c r="D51" s="68"/>
      <c r="E51" s="275"/>
      <c r="F51" s="265"/>
      <c r="G51" s="69"/>
      <c r="H51" s="99">
        <f t="shared" si="0"/>
        <v>0</v>
      </c>
      <c r="I51" s="70"/>
    </row>
    <row r="52" spans="1:9" ht="15.95" customHeight="1">
      <c r="A52" s="511"/>
      <c r="B52" s="98"/>
      <c r="C52" s="68"/>
      <c r="D52" s="300"/>
      <c r="E52" s="300"/>
      <c r="F52" s="301"/>
      <c r="G52" s="69"/>
      <c r="H52" s="99">
        <f t="shared" si="0"/>
        <v>0</v>
      </c>
      <c r="I52" s="70"/>
    </row>
    <row r="53" spans="1:9" ht="15.95" customHeight="1">
      <c r="A53" s="511"/>
      <c r="B53" s="98"/>
      <c r="C53" s="68"/>
      <c r="D53" s="68"/>
      <c r="E53" s="275"/>
      <c r="F53" s="265"/>
      <c r="G53" s="69"/>
      <c r="H53" s="99">
        <f t="shared" si="0"/>
        <v>0</v>
      </c>
      <c r="I53" s="70"/>
    </row>
    <row r="54" spans="1:9" ht="15.95" customHeight="1">
      <c r="A54" s="511"/>
      <c r="B54" s="98"/>
      <c r="C54" s="113"/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2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1"/>
      <c r="B58" s="107" t="s">
        <v>105</v>
      </c>
      <c r="C58" s="327"/>
      <c r="D58" s="302"/>
      <c r="E58" s="328" t="s">
        <v>50</v>
      </c>
      <c r="F58" s="335"/>
      <c r="G58" s="69"/>
      <c r="H58" s="99">
        <f t="shared" ref="H58:H64" si="1">F58*G58</f>
        <v>0</v>
      </c>
      <c r="I58" s="70"/>
    </row>
    <row r="59" spans="1:9" ht="15.95" customHeight="1">
      <c r="A59" s="511"/>
      <c r="B59" s="159" t="s">
        <v>106</v>
      </c>
      <c r="C59" s="327"/>
      <c r="D59" s="302"/>
      <c r="E59" s="328" t="s">
        <v>50</v>
      </c>
      <c r="F59" s="335"/>
      <c r="G59" s="69"/>
      <c r="H59" s="99">
        <f t="shared" si="1"/>
        <v>0</v>
      </c>
      <c r="I59" s="70"/>
    </row>
    <row r="60" spans="1:9" ht="15.95" customHeight="1">
      <c r="A60" s="511"/>
      <c r="B60" s="107" t="s">
        <v>107</v>
      </c>
      <c r="C60" s="327"/>
      <c r="D60" s="302"/>
      <c r="E60" s="328" t="s">
        <v>50</v>
      </c>
      <c r="F60" s="335"/>
      <c r="G60" s="69"/>
      <c r="H60" s="99">
        <f t="shared" si="1"/>
        <v>0</v>
      </c>
      <c r="I60" s="70"/>
    </row>
    <row r="61" spans="1:9" ht="15.95" customHeight="1">
      <c r="A61" s="511"/>
      <c r="B61" s="107" t="s">
        <v>108</v>
      </c>
      <c r="C61" s="327"/>
      <c r="D61" s="302"/>
      <c r="E61" s="328" t="s">
        <v>50</v>
      </c>
      <c r="F61" s="335"/>
      <c r="G61" s="69"/>
      <c r="H61" s="99">
        <f t="shared" si="1"/>
        <v>0</v>
      </c>
      <c r="I61" s="70"/>
    </row>
    <row r="62" spans="1:9" ht="15.95" customHeight="1">
      <c r="A62" s="511"/>
      <c r="B62" s="107" t="s">
        <v>109</v>
      </c>
      <c r="C62" s="327"/>
      <c r="D62" s="302"/>
      <c r="E62" s="328" t="s">
        <v>50</v>
      </c>
      <c r="F62" s="335"/>
      <c r="G62" s="69"/>
      <c r="H62" s="99">
        <f t="shared" si="1"/>
        <v>0</v>
      </c>
      <c r="I62" s="70"/>
    </row>
    <row r="63" spans="1:9" ht="15.95" customHeight="1">
      <c r="A63" s="511"/>
      <c r="B63" s="107" t="s">
        <v>110</v>
      </c>
      <c r="C63" s="327"/>
      <c r="D63" s="302"/>
      <c r="E63" s="328" t="s">
        <v>50</v>
      </c>
      <c r="F63" s="347"/>
      <c r="G63" s="69"/>
      <c r="H63" s="99">
        <f t="shared" si="1"/>
        <v>0</v>
      </c>
      <c r="I63" s="70"/>
    </row>
    <row r="64" spans="1:9" ht="15.95" customHeight="1">
      <c r="A64" s="511"/>
      <c r="B64" s="108" t="s">
        <v>111</v>
      </c>
      <c r="C64" s="329"/>
      <c r="D64" s="316"/>
      <c r="E64" s="330" t="s">
        <v>50</v>
      </c>
      <c r="F64" s="348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163</v>
      </c>
      <c r="C66" s="73"/>
      <c r="D66" s="74"/>
      <c r="E66" s="74"/>
      <c r="F66" s="30"/>
      <c r="G66" s="30"/>
      <c r="H66" s="56">
        <f>'단위공사별(집계)'!L9+'단위공사별(집계)'!I9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144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145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0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09" t="s">
        <v>81</v>
      </c>
      <c r="B3" s="98" t="s">
        <v>37</v>
      </c>
      <c r="C3" s="68"/>
      <c r="D3" s="299"/>
      <c r="E3" s="275"/>
      <c r="F3" s="265"/>
      <c r="G3" s="69"/>
      <c r="H3" s="103">
        <f>IF(F3=0,G3,G3*F3)</f>
        <v>0</v>
      </c>
      <c r="I3" s="75"/>
    </row>
    <row r="4" spans="1:9" ht="15.95" customHeight="1">
      <c r="A4" s="511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11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11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11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1"/>
      <c r="B23" s="98"/>
      <c r="C23" s="113"/>
      <c r="D23" s="276"/>
      <c r="E23" s="276"/>
      <c r="F23" s="266"/>
      <c r="G23" s="114"/>
      <c r="H23" s="238">
        <f t="shared" si="0"/>
        <v>0</v>
      </c>
      <c r="I23" s="239"/>
    </row>
    <row r="24" spans="1:9" ht="15.95" customHeight="1">
      <c r="A24" s="511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1"/>
      <c r="B25" s="98" t="s">
        <v>152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1"/>
      <c r="B26" s="98" t="s">
        <v>153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1"/>
      <c r="B29" s="98"/>
      <c r="C29" s="113"/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1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1"/>
      <c r="B31" s="102" t="s">
        <v>38</v>
      </c>
      <c r="C31" s="111"/>
      <c r="D31" s="111"/>
      <c r="E31" s="272"/>
      <c r="F31" s="112"/>
      <c r="G31" s="112"/>
      <c r="H31" s="103">
        <f t="shared" si="0"/>
        <v>0</v>
      </c>
      <c r="I31" s="75"/>
    </row>
    <row r="32" spans="1:9" ht="15.95" customHeight="1">
      <c r="A32" s="511"/>
      <c r="B32" s="98" t="s">
        <v>45</v>
      </c>
      <c r="C32" s="68"/>
      <c r="D32" s="68"/>
      <c r="E32" s="275"/>
      <c r="F32" s="69"/>
      <c r="G32" s="69"/>
      <c r="H32" s="99">
        <f t="shared" si="0"/>
        <v>0</v>
      </c>
      <c r="I32" s="70"/>
    </row>
    <row r="33" spans="1:9" ht="15.95" customHeight="1">
      <c r="A33" s="511"/>
      <c r="B33" s="98"/>
      <c r="C33" s="68"/>
      <c r="D33" s="68"/>
      <c r="E33" s="275"/>
      <c r="F33" s="69"/>
      <c r="G33" s="69"/>
      <c r="H33" s="99">
        <f t="shared" si="0"/>
        <v>0</v>
      </c>
      <c r="I33" s="70"/>
    </row>
    <row r="34" spans="1:9" ht="15.95" customHeight="1">
      <c r="A34" s="511"/>
      <c r="B34" s="98"/>
      <c r="C34" s="68"/>
      <c r="D34" s="68"/>
      <c r="E34" s="275"/>
      <c r="F34" s="69"/>
      <c r="G34" s="69"/>
      <c r="H34" s="99">
        <f t="shared" si="0"/>
        <v>0</v>
      </c>
      <c r="I34" s="70"/>
    </row>
    <row r="35" spans="1:9" ht="15.95" customHeight="1">
      <c r="A35" s="511"/>
      <c r="B35" s="98"/>
      <c r="C35" s="68"/>
      <c r="D35" s="68"/>
      <c r="E35" s="275"/>
      <c r="F35" s="69"/>
      <c r="G35" s="69"/>
      <c r="H35" s="99">
        <f t="shared" si="0"/>
        <v>0</v>
      </c>
      <c r="I35" s="70"/>
    </row>
    <row r="36" spans="1:9" ht="15.95" customHeight="1">
      <c r="A36" s="511"/>
      <c r="B36" s="98"/>
      <c r="C36" s="68"/>
      <c r="D36" s="68"/>
      <c r="E36" s="275"/>
      <c r="F36" s="69"/>
      <c r="G36" s="69"/>
      <c r="H36" s="99">
        <f t="shared" si="0"/>
        <v>0</v>
      </c>
      <c r="I36" s="70"/>
    </row>
    <row r="37" spans="1:9" ht="15.95" customHeight="1">
      <c r="A37" s="511"/>
      <c r="B37" s="98"/>
      <c r="C37" s="68"/>
      <c r="D37" s="312"/>
      <c r="E37" s="275"/>
      <c r="F37" s="69"/>
      <c r="G37" s="69"/>
      <c r="H37" s="99">
        <f t="shared" si="0"/>
        <v>0</v>
      </c>
      <c r="I37" s="70"/>
    </row>
    <row r="38" spans="1:9" ht="15.95" customHeight="1">
      <c r="A38" s="511"/>
      <c r="B38" s="98"/>
      <c r="C38" s="318"/>
      <c r="D38" s="302"/>
      <c r="E38" s="275"/>
      <c r="F38" s="69"/>
      <c r="G38" s="69"/>
      <c r="H38" s="99">
        <f t="shared" si="0"/>
        <v>0</v>
      </c>
      <c r="I38" s="70"/>
    </row>
    <row r="39" spans="1:9" ht="15.95" customHeight="1">
      <c r="A39" s="511"/>
      <c r="B39" s="98"/>
      <c r="C39" s="236"/>
      <c r="D39" s="236"/>
      <c r="E39" s="68"/>
      <c r="F39" s="237"/>
      <c r="G39" s="237"/>
      <c r="H39" s="99">
        <f t="shared" si="0"/>
        <v>0</v>
      </c>
      <c r="I39" s="70"/>
    </row>
    <row r="40" spans="1:9" ht="15.95" customHeight="1">
      <c r="A40" s="511"/>
      <c r="B40" s="98"/>
      <c r="C40" s="68"/>
      <c r="D40" s="68"/>
      <c r="E40" s="275"/>
      <c r="F40" s="69"/>
      <c r="G40" s="69"/>
      <c r="H40" s="99">
        <f t="shared" si="0"/>
        <v>0</v>
      </c>
      <c r="I40" s="70"/>
    </row>
    <row r="41" spans="1:9" ht="15.95" customHeight="1">
      <c r="A41" s="511"/>
      <c r="B41" s="98"/>
      <c r="C41" s="68"/>
      <c r="D41" s="68"/>
      <c r="E41" s="275"/>
      <c r="F41" s="69"/>
      <c r="G41" s="69"/>
      <c r="H41" s="99">
        <f t="shared" si="0"/>
        <v>0</v>
      </c>
      <c r="I41" s="70"/>
    </row>
    <row r="42" spans="1:9" ht="15.95" customHeight="1">
      <c r="A42" s="511"/>
      <c r="B42" s="98"/>
      <c r="C42" s="68"/>
      <c r="D42" s="68"/>
      <c r="E42" s="275"/>
      <c r="F42" s="69"/>
      <c r="G42" s="69"/>
      <c r="H42" s="99">
        <f t="shared" si="0"/>
        <v>0</v>
      </c>
      <c r="I42" s="70"/>
    </row>
    <row r="43" spans="1:9" ht="15.95" customHeight="1">
      <c r="A43" s="511"/>
      <c r="B43" s="98"/>
      <c r="C43" s="68"/>
      <c r="D43" s="68"/>
      <c r="E43" s="275"/>
      <c r="F43" s="69"/>
      <c r="G43" s="69"/>
      <c r="H43" s="99">
        <f t="shared" si="0"/>
        <v>0</v>
      </c>
      <c r="I43" s="70"/>
    </row>
    <row r="44" spans="1:9" ht="15.95" customHeight="1">
      <c r="A44" s="511"/>
      <c r="B44" s="98"/>
      <c r="C44" s="68"/>
      <c r="D44" s="68"/>
      <c r="E44" s="275"/>
      <c r="F44" s="69"/>
      <c r="G44" s="69"/>
      <c r="H44" s="99">
        <f t="shared" si="0"/>
        <v>0</v>
      </c>
      <c r="I44" s="70"/>
    </row>
    <row r="45" spans="1:9" ht="15.95" customHeight="1">
      <c r="A45" s="511"/>
      <c r="B45" s="98"/>
      <c r="C45" s="68"/>
      <c r="D45" s="68"/>
      <c r="E45" s="275"/>
      <c r="F45" s="69"/>
      <c r="G45" s="69"/>
      <c r="H45" s="99">
        <f t="shared" si="0"/>
        <v>0</v>
      </c>
      <c r="I45" s="70"/>
    </row>
    <row r="46" spans="1:9" ht="15.95" customHeight="1">
      <c r="A46" s="511"/>
      <c r="B46" s="98"/>
      <c r="C46" s="113"/>
      <c r="D46" s="113"/>
      <c r="E46" s="276"/>
      <c r="F46" s="266"/>
      <c r="G46" s="114"/>
      <c r="H46" s="104">
        <f t="shared" si="0"/>
        <v>0</v>
      </c>
      <c r="I46" s="71"/>
    </row>
    <row r="47" spans="1:9" ht="15.95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1"/>
      <c r="B48" s="102" t="s">
        <v>39</v>
      </c>
      <c r="C48" s="68"/>
      <c r="D48" s="300"/>
      <c r="E48" s="300"/>
      <c r="F48" s="301"/>
      <c r="G48" s="69"/>
      <c r="H48" s="103">
        <f t="shared" si="0"/>
        <v>0</v>
      </c>
      <c r="I48" s="75"/>
    </row>
    <row r="49" spans="1:9" ht="15.95" customHeight="1">
      <c r="A49" s="511"/>
      <c r="B49" s="98"/>
      <c r="C49" s="68"/>
      <c r="D49" s="300"/>
      <c r="E49" s="300"/>
      <c r="F49" s="301"/>
      <c r="G49" s="69"/>
      <c r="H49" s="99">
        <f t="shared" si="0"/>
        <v>0</v>
      </c>
      <c r="I49" s="70"/>
    </row>
    <row r="50" spans="1:9" ht="15.95" customHeight="1">
      <c r="A50" s="511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11"/>
      <c r="B54" s="98"/>
      <c r="C54" s="113"/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2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1"/>
      <c r="B58" s="107" t="s">
        <v>105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1"/>
      <c r="B59" s="159" t="s">
        <v>106</v>
      </c>
      <c r="C59" s="135"/>
      <c r="D59" s="70"/>
      <c r="E59" s="107" t="s">
        <v>50</v>
      </c>
      <c r="F59" s="298"/>
      <c r="G59" s="69"/>
      <c r="H59" s="99">
        <f t="shared" si="1"/>
        <v>0</v>
      </c>
      <c r="I59" s="70"/>
    </row>
    <row r="60" spans="1:9" ht="15.95" customHeight="1">
      <c r="A60" s="511"/>
      <c r="B60" s="107" t="s">
        <v>107</v>
      </c>
      <c r="C60" s="135"/>
      <c r="D60" s="70"/>
      <c r="E60" s="107" t="s">
        <v>50</v>
      </c>
      <c r="F60" s="298"/>
      <c r="G60" s="69"/>
      <c r="H60" s="99">
        <f t="shared" si="1"/>
        <v>0</v>
      </c>
      <c r="I60" s="70"/>
    </row>
    <row r="61" spans="1:9" ht="15.95" customHeight="1">
      <c r="A61" s="511"/>
      <c r="B61" s="107" t="s">
        <v>108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1"/>
      <c r="B62" s="107" t="s">
        <v>109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1"/>
      <c r="B63" s="107" t="s">
        <v>110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1"/>
      <c r="B64" s="108" t="s">
        <v>111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163</v>
      </c>
      <c r="C66" s="73"/>
      <c r="D66" s="74"/>
      <c r="E66" s="74"/>
      <c r="F66" s="30"/>
      <c r="G66" s="30"/>
      <c r="H66" s="56">
        <f>'단위공사별(집계)'!I10+'단위공사별(집계)'!L10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144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145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00B050"/>
    <pageSetUpPr fitToPage="1"/>
  </sheetPr>
  <dimension ref="A1:K69"/>
  <sheetViews>
    <sheetView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G20" sqref="G20"/>
    </sheetView>
  </sheetViews>
  <sheetFormatPr defaultRowHeight="13.5"/>
  <cols>
    <col min="1" max="1" width="5" style="28" customWidth="1"/>
    <col min="2" max="2" width="17.875" style="28" bestFit="1" customWidth="1"/>
    <col min="3" max="3" width="30.25" style="28" customWidth="1"/>
    <col min="4" max="4" width="14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11" ht="22.5" customHeight="1">
      <c r="B1" s="97" t="s">
        <v>80</v>
      </c>
      <c r="C1" s="140"/>
      <c r="F1" s="65"/>
      <c r="I1" s="28" t="s">
        <v>82</v>
      </c>
    </row>
    <row r="2" spans="1:11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11" ht="15.95" customHeight="1">
      <c r="A3" s="509" t="s">
        <v>81</v>
      </c>
      <c r="B3" s="98" t="s">
        <v>37</v>
      </c>
      <c r="C3" s="328"/>
      <c r="D3" s="320"/>
      <c r="E3" s="321"/>
      <c r="F3" s="322"/>
      <c r="G3" s="322"/>
      <c r="H3" s="103">
        <f>IF(F3=0,G3,G3*F3)</f>
        <v>0</v>
      </c>
      <c r="I3" s="75"/>
    </row>
    <row r="4" spans="1:11" ht="15.95" customHeight="1">
      <c r="A4" s="511"/>
      <c r="B4" s="98"/>
      <c r="C4" s="328"/>
      <c r="D4" s="320"/>
      <c r="E4" s="321"/>
      <c r="F4" s="322"/>
      <c r="G4" s="322"/>
      <c r="H4" s="99">
        <f>IF(F4=0,G4,G4*F4)</f>
        <v>0</v>
      </c>
      <c r="I4" s="70"/>
    </row>
    <row r="5" spans="1:11" ht="15.95" customHeight="1">
      <c r="A5" s="511"/>
      <c r="B5" s="98"/>
      <c r="C5" s="328"/>
      <c r="D5" s="320"/>
      <c r="E5" s="321"/>
      <c r="F5" s="322"/>
      <c r="G5" s="322"/>
      <c r="H5" s="99">
        <f t="shared" ref="H5:H53" si="0">IF(F5=0,G5,G5*F5)</f>
        <v>0</v>
      </c>
      <c r="I5" s="70"/>
    </row>
    <row r="6" spans="1:11" ht="15.95" customHeight="1">
      <c r="A6" s="511"/>
      <c r="B6" s="98"/>
      <c r="C6" s="328"/>
      <c r="D6" s="320"/>
      <c r="E6" s="321"/>
      <c r="F6" s="322"/>
      <c r="G6" s="322"/>
      <c r="H6" s="99">
        <f t="shared" si="0"/>
        <v>0</v>
      </c>
      <c r="I6" s="70"/>
    </row>
    <row r="7" spans="1:11" ht="15.95" customHeight="1">
      <c r="A7" s="511"/>
      <c r="B7" s="98"/>
      <c r="C7" s="328"/>
      <c r="D7" s="320"/>
      <c r="E7" s="321"/>
      <c r="F7" s="322"/>
      <c r="G7" s="322"/>
      <c r="H7" s="99">
        <f t="shared" si="0"/>
        <v>0</v>
      </c>
      <c r="I7" s="70"/>
    </row>
    <row r="8" spans="1:11" ht="15.95" customHeight="1">
      <c r="A8" s="511"/>
      <c r="B8" s="98"/>
      <c r="C8" s="328"/>
      <c r="D8" s="320"/>
      <c r="E8" s="321"/>
      <c r="F8" s="322"/>
      <c r="G8" s="322"/>
      <c r="H8" s="99">
        <f t="shared" si="0"/>
        <v>0</v>
      </c>
      <c r="I8" s="70"/>
    </row>
    <row r="9" spans="1:11" ht="15.95" customHeight="1">
      <c r="A9" s="511"/>
      <c r="B9" s="98"/>
      <c r="C9" s="328"/>
      <c r="D9" s="320"/>
      <c r="E9" s="321"/>
      <c r="F9" s="322"/>
      <c r="G9" s="322"/>
      <c r="H9" s="99">
        <f t="shared" si="0"/>
        <v>0</v>
      </c>
      <c r="I9" s="70"/>
    </row>
    <row r="10" spans="1:11" ht="15.95" customHeight="1">
      <c r="A10" s="511"/>
      <c r="B10" s="98"/>
      <c r="C10" s="328"/>
      <c r="D10" s="302"/>
      <c r="E10" s="302"/>
      <c r="F10" s="69"/>
      <c r="G10" s="69"/>
      <c r="H10" s="99">
        <f t="shared" si="0"/>
        <v>0</v>
      </c>
      <c r="I10" s="70"/>
    </row>
    <row r="11" spans="1:11" ht="15.95" customHeight="1">
      <c r="A11" s="511"/>
      <c r="B11" s="98"/>
      <c r="C11" s="302"/>
      <c r="D11" s="302"/>
      <c r="E11" s="302"/>
      <c r="F11" s="69"/>
      <c r="G11" s="69"/>
      <c r="H11" s="99">
        <f t="shared" si="0"/>
        <v>0</v>
      </c>
      <c r="I11" s="70"/>
    </row>
    <row r="12" spans="1:11" ht="15.95" customHeight="1">
      <c r="A12" s="511"/>
      <c r="B12" s="98"/>
      <c r="C12" s="302"/>
      <c r="D12" s="302"/>
      <c r="E12" s="302"/>
      <c r="F12" s="69"/>
      <c r="G12" s="69"/>
      <c r="H12" s="99">
        <f t="shared" si="0"/>
        <v>0</v>
      </c>
      <c r="I12" s="70"/>
    </row>
    <row r="13" spans="1:11" ht="15.95" customHeight="1">
      <c r="A13" s="511"/>
      <c r="B13" s="98"/>
      <c r="C13" s="302"/>
      <c r="D13" s="302"/>
      <c r="E13" s="302"/>
      <c r="F13" s="69"/>
      <c r="G13" s="69"/>
      <c r="H13" s="99">
        <f t="shared" si="0"/>
        <v>0</v>
      </c>
      <c r="I13" s="70"/>
    </row>
    <row r="14" spans="1:11" ht="15.95" customHeight="1">
      <c r="A14" s="511"/>
      <c r="B14" s="98"/>
      <c r="C14" s="302"/>
      <c r="D14" s="302"/>
      <c r="E14" s="302"/>
      <c r="F14" s="69"/>
      <c r="G14" s="69"/>
      <c r="H14" s="99">
        <f t="shared" si="0"/>
        <v>0</v>
      </c>
      <c r="I14" s="70"/>
      <c r="K14" s="324"/>
    </row>
    <row r="15" spans="1:11" ht="15.95" customHeight="1">
      <c r="A15" s="511"/>
      <c r="B15" s="98"/>
      <c r="C15" s="302"/>
      <c r="D15" s="302"/>
      <c r="E15" s="302"/>
      <c r="F15" s="69"/>
      <c r="G15" s="69"/>
      <c r="H15" s="99">
        <f t="shared" si="0"/>
        <v>0</v>
      </c>
      <c r="I15" s="70"/>
    </row>
    <row r="16" spans="1:11" ht="15.95" customHeight="1">
      <c r="A16" s="511"/>
      <c r="B16" s="98"/>
      <c r="C16" s="302"/>
      <c r="D16" s="302"/>
      <c r="E16" s="302"/>
      <c r="F16" s="69"/>
      <c r="G16" s="69"/>
      <c r="H16" s="99">
        <f t="shared" si="0"/>
        <v>0</v>
      </c>
      <c r="I16" s="70"/>
    </row>
    <row r="17" spans="1:9" ht="15.95" customHeight="1">
      <c r="A17" s="511"/>
      <c r="B17" s="98"/>
      <c r="C17" s="302"/>
      <c r="D17" s="302"/>
      <c r="E17" s="302"/>
      <c r="F17" s="69"/>
      <c r="G17" s="69"/>
      <c r="H17" s="99">
        <f t="shared" si="0"/>
        <v>0</v>
      </c>
      <c r="I17" s="70"/>
    </row>
    <row r="18" spans="1:9" ht="15.95" customHeight="1">
      <c r="A18" s="511"/>
      <c r="B18" s="98"/>
      <c r="C18" s="302"/>
      <c r="D18" s="302"/>
      <c r="E18" s="302"/>
      <c r="F18" s="69"/>
      <c r="G18" s="69"/>
      <c r="H18" s="99">
        <f t="shared" si="0"/>
        <v>0</v>
      </c>
      <c r="I18" s="70"/>
    </row>
    <row r="19" spans="1:9" ht="15.95" customHeight="1">
      <c r="A19" s="511"/>
      <c r="B19" s="98"/>
      <c r="C19" s="302"/>
      <c r="D19" s="302"/>
      <c r="E19" s="302"/>
      <c r="F19" s="69"/>
      <c r="G19" s="69"/>
      <c r="H19" s="99">
        <f t="shared" si="0"/>
        <v>0</v>
      </c>
      <c r="I19" s="70"/>
    </row>
    <row r="20" spans="1:9" ht="15.95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1"/>
      <c r="B22" s="98"/>
      <c r="C22" s="113"/>
      <c r="D22" s="276"/>
      <c r="E22" s="276"/>
      <c r="F22" s="266"/>
      <c r="G22" s="114"/>
      <c r="H22" s="238">
        <f t="shared" si="0"/>
        <v>0</v>
      </c>
      <c r="I22" s="239"/>
    </row>
    <row r="23" spans="1:9" ht="15.95" customHeight="1">
      <c r="A23" s="511"/>
      <c r="B23" s="72"/>
      <c r="C23" s="242"/>
      <c r="D23" s="242"/>
      <c r="E23" s="242"/>
      <c r="F23" s="243"/>
      <c r="G23" s="243"/>
      <c r="H23" s="244">
        <f>SUM(H3:H22)</f>
        <v>0</v>
      </c>
      <c r="I23" s="242"/>
    </row>
    <row r="24" spans="1:9" ht="15.95" customHeight="1">
      <c r="A24" s="511"/>
      <c r="B24" s="98" t="s">
        <v>152</v>
      </c>
      <c r="C24" s="116"/>
      <c r="D24" s="116"/>
      <c r="E24" s="116"/>
      <c r="F24" s="117"/>
      <c r="G24" s="117"/>
      <c r="H24" s="118">
        <f t="shared" si="0"/>
        <v>0</v>
      </c>
      <c r="I24" s="119"/>
    </row>
    <row r="25" spans="1:9" ht="15.95" customHeight="1">
      <c r="A25" s="511"/>
      <c r="B25" s="98" t="s">
        <v>153</v>
      </c>
      <c r="C25" s="68"/>
      <c r="D25" s="68"/>
      <c r="E25" s="68"/>
      <c r="F25" s="69"/>
      <c r="G25" s="69"/>
      <c r="H25" s="99">
        <f t="shared" si="0"/>
        <v>0</v>
      </c>
      <c r="I25" s="70"/>
    </row>
    <row r="26" spans="1:9" ht="15.95" customHeight="1">
      <c r="A26" s="511"/>
      <c r="B26" s="98"/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113"/>
      <c r="D28" s="113"/>
      <c r="E28" s="113"/>
      <c r="F28" s="114"/>
      <c r="G28" s="114"/>
      <c r="H28" s="99">
        <f t="shared" si="0"/>
        <v>0</v>
      </c>
      <c r="I28" s="71"/>
    </row>
    <row r="29" spans="1:9" ht="15.95" customHeight="1">
      <c r="A29" s="511"/>
      <c r="B29" s="72"/>
      <c r="C29" s="101"/>
      <c r="D29" s="91"/>
      <c r="E29" s="91"/>
      <c r="F29" s="141"/>
      <c r="G29" s="40"/>
      <c r="H29" s="30">
        <f>SUM(H24:H28)</f>
        <v>0</v>
      </c>
      <c r="I29" s="74"/>
    </row>
    <row r="30" spans="1:9" ht="15.95" customHeight="1">
      <c r="A30" s="511"/>
      <c r="B30" s="102" t="s">
        <v>38</v>
      </c>
      <c r="C30" s="319"/>
      <c r="D30" s="320"/>
      <c r="E30" s="321"/>
      <c r="F30" s="322"/>
      <c r="G30" s="322"/>
      <c r="H30" s="103">
        <f t="shared" si="0"/>
        <v>0</v>
      </c>
      <c r="I30" s="75"/>
    </row>
    <row r="31" spans="1:9" ht="15.95" customHeight="1">
      <c r="A31" s="511"/>
      <c r="B31" s="98" t="s">
        <v>45</v>
      </c>
      <c r="C31" s="68"/>
      <c r="D31" s="68"/>
      <c r="E31" s="275"/>
      <c r="F31" s="69"/>
      <c r="G31" s="69"/>
      <c r="H31" s="99">
        <f t="shared" si="0"/>
        <v>0</v>
      </c>
      <c r="I31" s="70"/>
    </row>
    <row r="32" spans="1:9" ht="15.95" customHeight="1">
      <c r="A32" s="511"/>
      <c r="B32" s="98"/>
      <c r="C32" s="68"/>
      <c r="D32" s="68"/>
      <c r="E32" s="275"/>
      <c r="F32" s="69"/>
      <c r="G32" s="69"/>
      <c r="H32" s="99">
        <f t="shared" si="0"/>
        <v>0</v>
      </c>
      <c r="I32" s="70"/>
    </row>
    <row r="33" spans="1:9" ht="15.95" customHeight="1">
      <c r="A33" s="511"/>
      <c r="B33" s="98"/>
      <c r="C33" s="68"/>
      <c r="D33" s="68"/>
      <c r="E33" s="275"/>
      <c r="F33" s="69"/>
      <c r="G33" s="69"/>
      <c r="H33" s="99">
        <f t="shared" si="0"/>
        <v>0</v>
      </c>
      <c r="I33" s="70"/>
    </row>
    <row r="34" spans="1:9" ht="15.95" customHeight="1">
      <c r="A34" s="511"/>
      <c r="B34" s="98"/>
      <c r="C34" s="68"/>
      <c r="D34" s="68"/>
      <c r="E34" s="275"/>
      <c r="F34" s="69"/>
      <c r="G34" s="69"/>
      <c r="H34" s="99">
        <f t="shared" si="0"/>
        <v>0</v>
      </c>
      <c r="I34" s="70"/>
    </row>
    <row r="35" spans="1:9" ht="15.95" customHeight="1">
      <c r="A35" s="511"/>
      <c r="B35" s="98"/>
      <c r="C35" s="68"/>
      <c r="D35" s="68"/>
      <c r="E35" s="275"/>
      <c r="F35" s="69"/>
      <c r="G35" s="69"/>
      <c r="H35" s="99">
        <f t="shared" si="0"/>
        <v>0</v>
      </c>
      <c r="I35" s="70"/>
    </row>
    <row r="36" spans="1:9" ht="15.95" customHeight="1">
      <c r="A36" s="511"/>
      <c r="B36" s="98"/>
      <c r="C36" s="68"/>
      <c r="D36" s="68"/>
      <c r="E36" s="275"/>
      <c r="F36" s="69"/>
      <c r="G36" s="69"/>
      <c r="H36" s="99">
        <f t="shared" si="0"/>
        <v>0</v>
      </c>
      <c r="I36" s="70"/>
    </row>
    <row r="37" spans="1:9" ht="15.95" customHeight="1">
      <c r="A37" s="511"/>
      <c r="B37" s="98"/>
      <c r="C37" s="68"/>
      <c r="D37" s="68"/>
      <c r="E37" s="275"/>
      <c r="F37" s="69"/>
      <c r="G37" s="69"/>
      <c r="H37" s="99">
        <f t="shared" si="0"/>
        <v>0</v>
      </c>
      <c r="I37" s="70"/>
    </row>
    <row r="38" spans="1:9" ht="15.95" customHeight="1">
      <c r="A38" s="511"/>
      <c r="B38" s="98"/>
      <c r="C38" s="68"/>
      <c r="D38" s="68"/>
      <c r="E38" s="275"/>
      <c r="F38" s="69"/>
      <c r="G38" s="69"/>
      <c r="H38" s="99">
        <f t="shared" si="0"/>
        <v>0</v>
      </c>
      <c r="I38" s="70"/>
    </row>
    <row r="39" spans="1:9" ht="15.95" customHeight="1">
      <c r="A39" s="511"/>
      <c r="B39" s="98"/>
      <c r="C39" s="68"/>
      <c r="D39" s="68"/>
      <c r="E39" s="275"/>
      <c r="F39" s="69"/>
      <c r="G39" s="69"/>
      <c r="H39" s="99">
        <f t="shared" si="0"/>
        <v>0</v>
      </c>
      <c r="I39" s="70"/>
    </row>
    <row r="40" spans="1:9" ht="15.95" customHeight="1">
      <c r="A40" s="511"/>
      <c r="B40" s="98"/>
      <c r="C40" s="68"/>
      <c r="D40" s="68"/>
      <c r="E40" s="275"/>
      <c r="F40" s="69"/>
      <c r="G40" s="69"/>
      <c r="H40" s="99">
        <f t="shared" si="0"/>
        <v>0</v>
      </c>
      <c r="I40" s="70"/>
    </row>
    <row r="41" spans="1:9" ht="15.95" customHeight="1">
      <c r="A41" s="511"/>
      <c r="B41" s="98"/>
      <c r="C41" s="68"/>
      <c r="D41" s="68"/>
      <c r="E41" s="275"/>
      <c r="F41" s="69"/>
      <c r="G41" s="69"/>
      <c r="H41" s="99">
        <f t="shared" si="0"/>
        <v>0</v>
      </c>
      <c r="I41" s="70"/>
    </row>
    <row r="42" spans="1:9" ht="15.95" customHeight="1">
      <c r="A42" s="511"/>
      <c r="B42" s="98"/>
      <c r="C42" s="68"/>
      <c r="D42" s="68"/>
      <c r="E42" s="275"/>
      <c r="F42" s="69"/>
      <c r="G42" s="69"/>
      <c r="H42" s="99">
        <f t="shared" si="0"/>
        <v>0</v>
      </c>
      <c r="I42" s="70"/>
    </row>
    <row r="43" spans="1:9" ht="15.95" customHeight="1">
      <c r="A43" s="511"/>
      <c r="B43" s="98"/>
      <c r="C43" s="68"/>
      <c r="D43" s="68"/>
      <c r="E43" s="275"/>
      <c r="F43" s="69"/>
      <c r="G43" s="69"/>
      <c r="H43" s="99">
        <f t="shared" si="0"/>
        <v>0</v>
      </c>
      <c r="I43" s="70"/>
    </row>
    <row r="44" spans="1:9" ht="15.95" customHeight="1">
      <c r="A44" s="511"/>
      <c r="B44" s="98"/>
      <c r="C44" s="68"/>
      <c r="D44" s="68"/>
      <c r="E44" s="275"/>
      <c r="F44" s="69"/>
      <c r="G44" s="69"/>
      <c r="H44" s="99">
        <f t="shared" si="0"/>
        <v>0</v>
      </c>
      <c r="I44" s="70"/>
    </row>
    <row r="45" spans="1:9" ht="15.95" customHeight="1">
      <c r="A45" s="511"/>
      <c r="B45" s="98"/>
      <c r="C45" s="113"/>
      <c r="D45" s="276"/>
      <c r="E45" s="276"/>
      <c r="F45" s="266"/>
      <c r="G45" s="114"/>
      <c r="H45" s="104">
        <f t="shared" si="0"/>
        <v>0</v>
      </c>
      <c r="I45" s="71"/>
    </row>
    <row r="46" spans="1:9" ht="15.95" customHeight="1">
      <c r="A46" s="511"/>
      <c r="B46" s="72"/>
      <c r="C46" s="101"/>
      <c r="D46" s="91"/>
      <c r="E46" s="91"/>
      <c r="F46" s="40"/>
      <c r="G46" s="40"/>
      <c r="H46" s="30">
        <f>SUM(H30:H45)</f>
        <v>0</v>
      </c>
      <c r="I46" s="74"/>
    </row>
    <row r="47" spans="1:9" ht="15.95" customHeight="1">
      <c r="A47" s="511"/>
      <c r="B47" s="102" t="s">
        <v>39</v>
      </c>
      <c r="C47" s="68"/>
      <c r="D47" s="300"/>
      <c r="E47" s="300"/>
      <c r="F47" s="301"/>
      <c r="G47" s="69"/>
      <c r="H47" s="103">
        <f t="shared" si="0"/>
        <v>0</v>
      </c>
      <c r="I47" s="75"/>
    </row>
    <row r="48" spans="1:9" ht="15.95" customHeight="1">
      <c r="A48" s="511"/>
      <c r="B48" s="98"/>
      <c r="C48" s="68"/>
      <c r="D48" s="323"/>
      <c r="E48" s="300"/>
      <c r="F48" s="301"/>
      <c r="G48" s="69"/>
      <c r="H48" s="99">
        <f t="shared" si="0"/>
        <v>0</v>
      </c>
      <c r="I48" s="70"/>
    </row>
    <row r="49" spans="1:9" ht="15.95" customHeight="1">
      <c r="A49" s="511"/>
      <c r="B49" s="98"/>
      <c r="C49" s="68"/>
      <c r="D49" s="300"/>
      <c r="E49" s="300"/>
      <c r="F49" s="301"/>
      <c r="G49" s="69"/>
      <c r="H49" s="99">
        <f t="shared" si="0"/>
        <v>0</v>
      </c>
      <c r="I49" s="70"/>
    </row>
    <row r="50" spans="1:9" ht="15.95" customHeight="1">
      <c r="A50" s="511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1"/>
      <c r="B53" s="98"/>
      <c r="C53" s="113"/>
      <c r="D53" s="113"/>
      <c r="E53" s="113"/>
      <c r="F53" s="114"/>
      <c r="G53" s="114"/>
      <c r="H53" s="104">
        <f t="shared" si="0"/>
        <v>0</v>
      </c>
      <c r="I53" s="71"/>
    </row>
    <row r="54" spans="1:9" ht="15.95" customHeight="1">
      <c r="A54" s="511"/>
      <c r="B54" s="72"/>
      <c r="C54" s="101"/>
      <c r="D54" s="91"/>
      <c r="E54" s="91"/>
      <c r="F54" s="40"/>
      <c r="G54" s="40"/>
      <c r="H54" s="30">
        <f>SUM(H47:H53)</f>
        <v>0</v>
      </c>
      <c r="I54" s="74"/>
    </row>
    <row r="55" spans="1:9" ht="15.95" customHeight="1">
      <c r="A55" s="76"/>
      <c r="B55" s="96" t="s">
        <v>42</v>
      </c>
      <c r="C55" s="73"/>
      <c r="D55" s="74"/>
      <c r="E55" s="74"/>
      <c r="F55" s="56"/>
      <c r="G55" s="56"/>
      <c r="H55" s="30">
        <f>SUM(H54,H46,H29,H23)</f>
        <v>0</v>
      </c>
      <c r="I55" s="74"/>
    </row>
    <row r="56" spans="1:9" ht="15.95" customHeight="1">
      <c r="A56" s="512" t="s">
        <v>72</v>
      </c>
      <c r="B56" s="106" t="s">
        <v>70</v>
      </c>
      <c r="C56" s="134"/>
      <c r="D56" s="75"/>
      <c r="E56" s="106" t="s">
        <v>51</v>
      </c>
      <c r="F56" s="112"/>
      <c r="G56" s="112"/>
      <c r="H56" s="103">
        <f>F56*G56</f>
        <v>0</v>
      </c>
      <c r="I56" s="75"/>
    </row>
    <row r="57" spans="1:9" ht="15.95" customHeight="1">
      <c r="A57" s="511"/>
      <c r="B57" s="107" t="s">
        <v>105</v>
      </c>
      <c r="C57" s="135"/>
      <c r="D57" s="70"/>
      <c r="E57" s="107" t="s">
        <v>50</v>
      </c>
      <c r="F57" s="69"/>
      <c r="G57" s="69"/>
      <c r="H57" s="99">
        <f t="shared" ref="H57:H63" si="1">F57*G57</f>
        <v>0</v>
      </c>
      <c r="I57" s="70"/>
    </row>
    <row r="58" spans="1:9" ht="15.95" customHeight="1">
      <c r="A58" s="511"/>
      <c r="B58" s="159" t="s">
        <v>106</v>
      </c>
      <c r="C58" s="135"/>
      <c r="D58" s="70"/>
      <c r="E58" s="107" t="s">
        <v>50</v>
      </c>
      <c r="F58" s="331"/>
      <c r="G58" s="69"/>
      <c r="H58" s="99">
        <f t="shared" si="1"/>
        <v>0</v>
      </c>
      <c r="I58" s="70"/>
    </row>
    <row r="59" spans="1:9" ht="15.95" customHeight="1">
      <c r="A59" s="511"/>
      <c r="B59" s="107" t="s">
        <v>107</v>
      </c>
      <c r="C59" s="135"/>
      <c r="D59" s="70"/>
      <c r="E59" s="107" t="s">
        <v>50</v>
      </c>
      <c r="F59" s="331"/>
      <c r="G59" s="69"/>
      <c r="H59" s="99">
        <f t="shared" si="1"/>
        <v>0</v>
      </c>
      <c r="I59" s="70"/>
    </row>
    <row r="60" spans="1:9" ht="15.95" customHeight="1">
      <c r="A60" s="511"/>
      <c r="B60" s="107" t="s">
        <v>108</v>
      </c>
      <c r="C60" s="135"/>
      <c r="D60" s="70"/>
      <c r="E60" s="107" t="s">
        <v>50</v>
      </c>
      <c r="F60" s="331"/>
      <c r="G60" s="69"/>
      <c r="H60" s="99">
        <f t="shared" si="1"/>
        <v>0</v>
      </c>
      <c r="I60" s="70"/>
    </row>
    <row r="61" spans="1:9" ht="15.95" customHeight="1">
      <c r="A61" s="511"/>
      <c r="B61" s="107" t="s">
        <v>109</v>
      </c>
      <c r="C61" s="135"/>
      <c r="D61" s="70"/>
      <c r="E61" s="107" t="s">
        <v>50</v>
      </c>
      <c r="F61" s="331"/>
      <c r="G61" s="69"/>
      <c r="H61" s="99">
        <f t="shared" si="1"/>
        <v>0</v>
      </c>
      <c r="I61" s="70"/>
    </row>
    <row r="62" spans="1:9" ht="15.95" customHeight="1">
      <c r="A62" s="511"/>
      <c r="B62" s="107" t="s">
        <v>110</v>
      </c>
      <c r="C62" s="135"/>
      <c r="D62" s="70"/>
      <c r="E62" s="107" t="s">
        <v>50</v>
      </c>
      <c r="F62" s="331"/>
      <c r="G62" s="69"/>
      <c r="H62" s="99">
        <f t="shared" si="1"/>
        <v>0</v>
      </c>
      <c r="I62" s="70"/>
    </row>
    <row r="63" spans="1:9" ht="15.95" customHeight="1">
      <c r="A63" s="511"/>
      <c r="B63" s="108" t="s">
        <v>174</v>
      </c>
      <c r="C63" s="136" t="s">
        <v>175</v>
      </c>
      <c r="D63" s="71"/>
      <c r="E63" s="108" t="s">
        <v>50</v>
      </c>
      <c r="F63" s="332"/>
      <c r="G63" s="114"/>
      <c r="H63" s="104">
        <f t="shared" si="1"/>
        <v>0</v>
      </c>
      <c r="I63" s="71"/>
    </row>
    <row r="64" spans="1:9" ht="15.95" customHeight="1">
      <c r="A64" s="76"/>
      <c r="B64" s="95" t="s">
        <v>41</v>
      </c>
      <c r="C64" s="73"/>
      <c r="D64" s="74"/>
      <c r="E64" s="74"/>
      <c r="F64" s="40"/>
      <c r="G64" s="40"/>
      <c r="H64" s="40">
        <f>SUM(H56:H63)</f>
        <v>0</v>
      </c>
      <c r="I64" s="91"/>
    </row>
    <row r="65" spans="1:9" ht="15.95" customHeight="1">
      <c r="A65" s="52"/>
      <c r="B65" s="95" t="s">
        <v>163</v>
      </c>
      <c r="C65" s="73"/>
      <c r="D65" s="74"/>
      <c r="E65" s="74"/>
      <c r="F65" s="30"/>
      <c r="G65" s="30"/>
      <c r="H65" s="56">
        <f>'단위공사별(집계)'!L11+'단위공사별(집계)'!I11</f>
        <v>0</v>
      </c>
      <c r="I65" s="74"/>
    </row>
    <row r="66" spans="1:9" ht="15.95" customHeight="1">
      <c r="A66" s="52"/>
      <c r="B66" s="95" t="s">
        <v>25</v>
      </c>
      <c r="C66" s="73"/>
      <c r="D66" s="74"/>
      <c r="E66" s="74"/>
      <c r="F66" s="30"/>
      <c r="G66" s="55"/>
      <c r="H66" s="115">
        <f>(H64+H55)*0.05</f>
        <v>0</v>
      </c>
      <c r="I66" s="73"/>
    </row>
    <row r="67" spans="1:9" ht="15.95" customHeight="1">
      <c r="A67" s="52"/>
      <c r="B67" s="95" t="s">
        <v>144</v>
      </c>
      <c r="C67" s="73"/>
      <c r="D67" s="74"/>
      <c r="E67" s="74"/>
      <c r="F67" s="30"/>
      <c r="G67" s="55"/>
      <c r="H67" s="115">
        <f>(H64+H55)*0.1</f>
        <v>0</v>
      </c>
      <c r="I67" s="73"/>
    </row>
    <row r="68" spans="1:9" ht="15.95" customHeight="1">
      <c r="A68" s="52"/>
      <c r="B68" s="95" t="s">
        <v>145</v>
      </c>
      <c r="C68" s="73"/>
      <c r="D68" s="74"/>
      <c r="E68" s="74"/>
      <c r="F68" s="30"/>
      <c r="G68" s="30"/>
      <c r="H68" s="40">
        <f>H55+H64+H65+H66+H67</f>
        <v>0</v>
      </c>
      <c r="I68" s="74"/>
    </row>
    <row r="69" spans="1:9">
      <c r="A69" s="29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F33" sqref="F33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09" t="s">
        <v>81</v>
      </c>
      <c r="B3" s="98" t="s">
        <v>37</v>
      </c>
      <c r="C3" s="111"/>
      <c r="D3" s="111"/>
      <c r="E3" s="272"/>
      <c r="F3" s="112"/>
      <c r="G3" s="112"/>
      <c r="H3" s="103">
        <f>IF(F3=0,G3,G3*F3)</f>
        <v>0</v>
      </c>
      <c r="I3" s="75"/>
    </row>
    <row r="4" spans="1:9" ht="15.95" customHeight="1">
      <c r="A4" s="511"/>
      <c r="B4" s="98"/>
      <c r="C4" s="319"/>
      <c r="D4" s="326"/>
      <c r="E4" s="321"/>
      <c r="F4" s="322"/>
      <c r="G4" s="322"/>
      <c r="H4" s="99">
        <f>IF(F4=0,G4,G4*F4)</f>
        <v>0</v>
      </c>
      <c r="I4" s="70"/>
    </row>
    <row r="5" spans="1:9" ht="15.95" customHeight="1">
      <c r="A5" s="511"/>
      <c r="B5" s="98"/>
      <c r="C5" s="68"/>
      <c r="D5" s="68"/>
      <c r="E5" s="275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1"/>
      <c r="B6" s="98"/>
      <c r="C6" s="68"/>
      <c r="D6" s="68"/>
      <c r="E6" s="275"/>
      <c r="F6" s="69"/>
      <c r="G6" s="69"/>
      <c r="H6" s="99">
        <f t="shared" si="0"/>
        <v>0</v>
      </c>
      <c r="I6" s="70"/>
    </row>
    <row r="7" spans="1:9" ht="15.95" customHeight="1">
      <c r="A7" s="511"/>
      <c r="B7" s="98"/>
      <c r="C7" s="68"/>
      <c r="D7" s="68"/>
      <c r="E7" s="275"/>
      <c r="F7" s="69"/>
      <c r="G7" s="69"/>
      <c r="H7" s="99">
        <f t="shared" si="0"/>
        <v>0</v>
      </c>
      <c r="I7" s="70"/>
    </row>
    <row r="8" spans="1:9" ht="15.95" customHeight="1">
      <c r="A8" s="511"/>
      <c r="B8" s="98"/>
      <c r="C8" s="68"/>
      <c r="D8" s="68"/>
      <c r="E8" s="275"/>
      <c r="F8" s="69"/>
      <c r="G8" s="69"/>
      <c r="H8" s="99">
        <f t="shared" si="0"/>
        <v>0</v>
      </c>
      <c r="I8" s="70"/>
    </row>
    <row r="9" spans="1:9" ht="15.95" customHeight="1">
      <c r="A9" s="511"/>
      <c r="B9" s="98"/>
      <c r="C9" s="68"/>
      <c r="D9" s="68"/>
      <c r="E9" s="275"/>
      <c r="F9" s="69"/>
      <c r="G9" s="69"/>
      <c r="H9" s="99">
        <f t="shared" si="0"/>
        <v>0</v>
      </c>
      <c r="I9" s="70"/>
    </row>
    <row r="10" spans="1:9" ht="15.95" customHeight="1">
      <c r="A10" s="511"/>
      <c r="B10" s="98"/>
      <c r="C10" s="68"/>
      <c r="D10" s="68"/>
      <c r="E10" s="275"/>
      <c r="F10" s="69"/>
      <c r="G10" s="69"/>
      <c r="H10" s="99">
        <f t="shared" si="0"/>
        <v>0</v>
      </c>
      <c r="I10" s="70"/>
    </row>
    <row r="11" spans="1:9" ht="15.95" customHeight="1">
      <c r="A11" s="511"/>
      <c r="B11" s="98"/>
      <c r="C11" s="68"/>
      <c r="D11" s="68"/>
      <c r="E11" s="275"/>
      <c r="F11" s="69"/>
      <c r="G11" s="69"/>
      <c r="H11" s="99">
        <f t="shared" si="0"/>
        <v>0</v>
      </c>
      <c r="I11" s="70"/>
    </row>
    <row r="12" spans="1:9" ht="15.95" customHeight="1">
      <c r="A12" s="511"/>
      <c r="B12" s="98"/>
      <c r="C12" s="68"/>
      <c r="D12" s="68"/>
      <c r="E12" s="275"/>
      <c r="F12" s="69"/>
      <c r="G12" s="69"/>
      <c r="H12" s="99">
        <f t="shared" si="0"/>
        <v>0</v>
      </c>
      <c r="I12" s="70"/>
    </row>
    <row r="13" spans="1:9" ht="15.95" customHeight="1">
      <c r="A13" s="511"/>
      <c r="B13" s="98"/>
      <c r="C13" s="68"/>
      <c r="D13" s="68"/>
      <c r="E13" s="275"/>
      <c r="F13" s="69"/>
      <c r="G13" s="69"/>
      <c r="H13" s="99">
        <f t="shared" si="0"/>
        <v>0</v>
      </c>
      <c r="I13" s="70"/>
    </row>
    <row r="14" spans="1:9" ht="15.95" customHeight="1">
      <c r="A14" s="511"/>
      <c r="B14" s="98"/>
      <c r="C14" s="68"/>
      <c r="D14" s="68"/>
      <c r="E14" s="275"/>
      <c r="F14" s="69"/>
      <c r="G14" s="69"/>
      <c r="H14" s="99">
        <f t="shared" si="0"/>
        <v>0</v>
      </c>
      <c r="I14" s="70"/>
    </row>
    <row r="15" spans="1:9" ht="15.95" customHeight="1">
      <c r="A15" s="511"/>
      <c r="B15" s="98"/>
      <c r="C15" s="68"/>
      <c r="D15" s="68"/>
      <c r="E15" s="275"/>
      <c r="F15" s="69"/>
      <c r="G15" s="69"/>
      <c r="H15" s="99">
        <f t="shared" si="0"/>
        <v>0</v>
      </c>
      <c r="I15" s="70"/>
    </row>
    <row r="16" spans="1:9" ht="15.95" customHeight="1">
      <c r="A16" s="511"/>
      <c r="B16" s="98"/>
      <c r="C16" s="68"/>
      <c r="D16" s="68"/>
      <c r="E16" s="275"/>
      <c r="F16" s="69"/>
      <c r="G16" s="69"/>
      <c r="H16" s="99">
        <f t="shared" si="0"/>
        <v>0</v>
      </c>
      <c r="I16" s="70"/>
    </row>
    <row r="17" spans="1:9" ht="15.95" customHeight="1">
      <c r="A17" s="511"/>
      <c r="B17" s="98"/>
      <c r="C17" s="68"/>
      <c r="D17" s="68"/>
      <c r="E17" s="275"/>
      <c r="F17" s="69"/>
      <c r="G17" s="69"/>
      <c r="H17" s="99">
        <f t="shared" si="0"/>
        <v>0</v>
      </c>
      <c r="I17" s="70"/>
    </row>
    <row r="18" spans="1:9" ht="15.95" customHeight="1">
      <c r="A18" s="511"/>
      <c r="B18" s="98"/>
      <c r="C18" s="68"/>
      <c r="D18" s="68"/>
      <c r="E18" s="275"/>
      <c r="F18" s="69"/>
      <c r="G18" s="69"/>
      <c r="H18" s="99">
        <f t="shared" si="0"/>
        <v>0</v>
      </c>
      <c r="I18" s="70"/>
    </row>
    <row r="19" spans="1:9" ht="15.95" customHeight="1">
      <c r="A19" s="511"/>
      <c r="B19" s="98"/>
      <c r="C19" s="68"/>
      <c r="D19" s="68"/>
      <c r="E19" s="275"/>
      <c r="F19" s="69"/>
      <c r="G19" s="69"/>
      <c r="H19" s="99">
        <f t="shared" si="0"/>
        <v>0</v>
      </c>
      <c r="I19" s="70"/>
    </row>
    <row r="20" spans="1:9" ht="15.95" customHeight="1">
      <c r="A20" s="511"/>
      <c r="B20" s="98"/>
      <c r="C20" s="68"/>
      <c r="D20" s="68"/>
      <c r="E20" s="275"/>
      <c r="F20" s="69"/>
      <c r="G20" s="69"/>
      <c r="H20" s="99">
        <f t="shared" si="0"/>
        <v>0</v>
      </c>
      <c r="I20" s="70"/>
    </row>
    <row r="21" spans="1:9" ht="15.95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1"/>
      <c r="B23" s="98"/>
      <c r="C23" s="113" t="s">
        <v>47</v>
      </c>
      <c r="D23" s="236"/>
      <c r="E23" s="236"/>
      <c r="F23" s="237"/>
      <c r="G23" s="237"/>
      <c r="H23" s="238">
        <f t="shared" si="0"/>
        <v>0</v>
      </c>
      <c r="I23" s="239"/>
    </row>
    <row r="24" spans="1:9" ht="15.95" customHeight="1">
      <c r="A24" s="511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1"/>
      <c r="B25" s="98" t="s">
        <v>152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1"/>
      <c r="B26" s="98" t="s">
        <v>153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1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1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1"/>
      <c r="B31" s="102" t="s">
        <v>38</v>
      </c>
      <c r="C31" s="111"/>
      <c r="D31" s="111"/>
      <c r="E31" s="272"/>
      <c r="F31" s="112"/>
      <c r="G31" s="112"/>
      <c r="H31" s="103">
        <f t="shared" si="0"/>
        <v>0</v>
      </c>
      <c r="I31" s="75"/>
    </row>
    <row r="32" spans="1:9" ht="15.95" customHeight="1">
      <c r="A32" s="511"/>
      <c r="B32" s="98" t="s">
        <v>45</v>
      </c>
      <c r="C32" s="68"/>
      <c r="D32" s="68"/>
      <c r="E32" s="275"/>
      <c r="F32" s="69"/>
      <c r="G32" s="69"/>
      <c r="H32" s="99">
        <f t="shared" si="0"/>
        <v>0</v>
      </c>
      <c r="I32" s="70"/>
    </row>
    <row r="33" spans="1:9" ht="15.95" customHeight="1">
      <c r="A33" s="511"/>
      <c r="B33" s="98"/>
      <c r="C33" s="68"/>
      <c r="D33" s="68"/>
      <c r="E33" s="275"/>
      <c r="F33" s="69"/>
      <c r="G33" s="69"/>
      <c r="H33" s="99">
        <f t="shared" si="0"/>
        <v>0</v>
      </c>
      <c r="I33" s="70"/>
    </row>
    <row r="34" spans="1:9" ht="15.95" customHeight="1">
      <c r="A34" s="511"/>
      <c r="B34" s="98"/>
      <c r="C34" s="68"/>
      <c r="D34" s="68"/>
      <c r="E34" s="275"/>
      <c r="F34" s="69"/>
      <c r="G34" s="69"/>
      <c r="H34" s="99">
        <f t="shared" si="0"/>
        <v>0</v>
      </c>
      <c r="I34" s="70"/>
    </row>
    <row r="35" spans="1:9" ht="15.95" customHeight="1">
      <c r="A35" s="511"/>
      <c r="B35" s="98"/>
      <c r="C35" s="68"/>
      <c r="D35" s="68"/>
      <c r="E35" s="275"/>
      <c r="F35" s="69"/>
      <c r="G35" s="69"/>
      <c r="H35" s="99">
        <f t="shared" si="0"/>
        <v>0</v>
      </c>
      <c r="I35" s="70"/>
    </row>
    <row r="36" spans="1:9" ht="15.95" customHeight="1">
      <c r="A36" s="511"/>
      <c r="B36" s="98"/>
      <c r="C36" s="68"/>
      <c r="D36" s="68"/>
      <c r="E36" s="275"/>
      <c r="F36" s="69"/>
      <c r="G36" s="69"/>
      <c r="H36" s="99">
        <f t="shared" si="0"/>
        <v>0</v>
      </c>
      <c r="I36" s="70"/>
    </row>
    <row r="37" spans="1:9" ht="15.95" customHeight="1">
      <c r="A37" s="511"/>
      <c r="B37" s="98"/>
      <c r="C37" s="68"/>
      <c r="D37" s="68"/>
      <c r="E37" s="275"/>
      <c r="F37" s="69"/>
      <c r="G37" s="69"/>
      <c r="H37" s="99">
        <f t="shared" si="0"/>
        <v>0</v>
      </c>
      <c r="I37" s="70"/>
    </row>
    <row r="38" spans="1:9" ht="15.95" customHeight="1">
      <c r="A38" s="511"/>
      <c r="B38" s="98"/>
      <c r="C38" s="68"/>
      <c r="D38" s="68"/>
      <c r="E38" s="275"/>
      <c r="F38" s="69"/>
      <c r="G38" s="69"/>
      <c r="H38" s="99">
        <f t="shared" si="0"/>
        <v>0</v>
      </c>
      <c r="I38" s="70"/>
    </row>
    <row r="39" spans="1:9" ht="15.95" customHeight="1">
      <c r="A39" s="511"/>
      <c r="B39" s="98"/>
      <c r="C39" s="68"/>
      <c r="D39" s="68"/>
      <c r="E39" s="275"/>
      <c r="F39" s="69"/>
      <c r="G39" s="69"/>
      <c r="H39" s="99">
        <f t="shared" si="0"/>
        <v>0</v>
      </c>
      <c r="I39" s="70"/>
    </row>
    <row r="40" spans="1:9" ht="15.95" customHeight="1">
      <c r="A40" s="511"/>
      <c r="B40" s="98"/>
      <c r="C40" s="68"/>
      <c r="D40" s="68"/>
      <c r="E40" s="275"/>
      <c r="F40" s="69"/>
      <c r="G40" s="69"/>
      <c r="H40" s="99">
        <f t="shared" si="0"/>
        <v>0</v>
      </c>
      <c r="I40" s="70"/>
    </row>
    <row r="41" spans="1:9" ht="15.95" customHeight="1">
      <c r="A41" s="511"/>
      <c r="B41" s="98"/>
      <c r="C41" s="68"/>
      <c r="D41" s="68"/>
      <c r="E41" s="275"/>
      <c r="F41" s="69"/>
      <c r="G41" s="69"/>
      <c r="H41" s="99">
        <f t="shared" si="0"/>
        <v>0</v>
      </c>
      <c r="I41" s="70"/>
    </row>
    <row r="42" spans="1:9" ht="15.95" customHeight="1">
      <c r="A42" s="511"/>
      <c r="B42" s="98"/>
      <c r="C42" s="68"/>
      <c r="D42" s="68"/>
      <c r="E42" s="275"/>
      <c r="F42" s="69"/>
      <c r="G42" s="69"/>
      <c r="H42" s="99">
        <f t="shared" si="0"/>
        <v>0</v>
      </c>
      <c r="I42" s="70"/>
    </row>
    <row r="43" spans="1:9" ht="15.95" customHeight="1">
      <c r="A43" s="511"/>
      <c r="B43" s="98"/>
      <c r="C43" s="68"/>
      <c r="D43" s="68"/>
      <c r="E43" s="275"/>
      <c r="F43" s="69"/>
      <c r="G43" s="69"/>
      <c r="H43" s="99">
        <f t="shared" si="0"/>
        <v>0</v>
      </c>
      <c r="I43" s="70"/>
    </row>
    <row r="44" spans="1:9" ht="15.95" customHeight="1">
      <c r="A44" s="511"/>
      <c r="B44" s="98"/>
      <c r="C44" s="68"/>
      <c r="D44" s="68"/>
      <c r="E44" s="275"/>
      <c r="F44" s="69"/>
      <c r="G44" s="69"/>
      <c r="H44" s="99">
        <f t="shared" si="0"/>
        <v>0</v>
      </c>
      <c r="I44" s="70"/>
    </row>
    <row r="45" spans="1:9" ht="15.95" customHeight="1">
      <c r="A45" s="511"/>
      <c r="B45" s="98"/>
      <c r="C45" s="68"/>
      <c r="D45" s="68"/>
      <c r="E45" s="275"/>
      <c r="F45" s="69"/>
      <c r="G45" s="69"/>
      <c r="H45" s="99">
        <f t="shared" si="0"/>
        <v>0</v>
      </c>
      <c r="I45" s="70"/>
    </row>
    <row r="46" spans="1:9" ht="15.95" customHeight="1">
      <c r="A46" s="511"/>
      <c r="B46" s="98"/>
      <c r="C46" s="113" t="s">
        <v>47</v>
      </c>
      <c r="D46" s="276"/>
      <c r="E46" s="276" t="s">
        <v>170</v>
      </c>
      <c r="F46" s="266"/>
      <c r="G46" s="114"/>
      <c r="H46" s="104">
        <f t="shared" si="0"/>
        <v>0</v>
      </c>
      <c r="I46" s="71"/>
    </row>
    <row r="47" spans="1:9" ht="15.95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1"/>
      <c r="B48" s="102" t="s">
        <v>39</v>
      </c>
      <c r="C48" s="68"/>
      <c r="D48" s="300"/>
      <c r="E48" s="300"/>
      <c r="F48" s="301"/>
      <c r="G48" s="69"/>
      <c r="H48" s="103">
        <f t="shared" si="0"/>
        <v>0</v>
      </c>
      <c r="I48" s="75"/>
    </row>
    <row r="49" spans="1:9" ht="15.95" customHeight="1">
      <c r="A49" s="511"/>
      <c r="B49" s="98"/>
      <c r="C49" s="68"/>
      <c r="D49" s="323"/>
      <c r="E49" s="300"/>
      <c r="F49" s="301"/>
      <c r="G49" s="69"/>
      <c r="H49" s="99">
        <f t="shared" si="0"/>
        <v>0</v>
      </c>
      <c r="I49" s="70"/>
    </row>
    <row r="50" spans="1:9" ht="15.95" customHeight="1">
      <c r="A50" s="511"/>
      <c r="B50" s="98"/>
      <c r="C50" s="68"/>
      <c r="D50" s="300"/>
      <c r="E50" s="300"/>
      <c r="F50" s="301"/>
      <c r="G50" s="69"/>
      <c r="H50" s="99">
        <f t="shared" si="0"/>
        <v>0</v>
      </c>
      <c r="I50" s="70"/>
    </row>
    <row r="51" spans="1:9" ht="15.95" customHeight="1">
      <c r="A51" s="511"/>
      <c r="B51" s="98"/>
      <c r="C51" s="68"/>
      <c r="D51" s="68"/>
      <c r="E51" s="300"/>
      <c r="F51" s="265"/>
      <c r="G51" s="69"/>
      <c r="H51" s="99">
        <f t="shared" si="0"/>
        <v>0</v>
      </c>
      <c r="I51" s="70"/>
    </row>
    <row r="52" spans="1:9" ht="15.95" customHeight="1">
      <c r="A52" s="511"/>
      <c r="B52" s="98"/>
      <c r="C52" s="68"/>
      <c r="D52" s="68"/>
      <c r="E52" s="300"/>
      <c r="F52" s="265"/>
      <c r="G52" s="69"/>
      <c r="H52" s="99">
        <f t="shared" si="0"/>
        <v>0</v>
      </c>
      <c r="I52" s="70"/>
    </row>
    <row r="53" spans="1:9" ht="15.95" customHeight="1">
      <c r="A53" s="511"/>
      <c r="B53" s="98"/>
      <c r="C53" s="68"/>
      <c r="D53" s="68"/>
      <c r="E53" s="300"/>
      <c r="F53" s="69"/>
      <c r="G53" s="69"/>
      <c r="H53" s="99">
        <f t="shared" si="0"/>
        <v>0</v>
      </c>
      <c r="I53" s="70"/>
    </row>
    <row r="54" spans="1:9" ht="15.95" customHeight="1">
      <c r="A54" s="511"/>
      <c r="B54" s="98"/>
      <c r="C54" s="113"/>
      <c r="D54" s="113"/>
      <c r="E54" s="317"/>
      <c r="F54" s="114"/>
      <c r="G54" s="114"/>
      <c r="H54" s="104">
        <f t="shared" si="0"/>
        <v>0</v>
      </c>
      <c r="I54" s="71"/>
    </row>
    <row r="55" spans="1:9" ht="15.95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2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1"/>
      <c r="B58" s="107" t="s">
        <v>105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1"/>
      <c r="B59" s="159" t="s">
        <v>106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1"/>
      <c r="B60" s="107" t="s">
        <v>107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11"/>
      <c r="B61" s="107" t="s">
        <v>108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1"/>
      <c r="B62" s="107" t="s">
        <v>109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1"/>
      <c r="B63" s="107" t="s">
        <v>110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1"/>
      <c r="B64" s="108" t="s">
        <v>174</v>
      </c>
      <c r="C64" s="136" t="s">
        <v>175</v>
      </c>
      <c r="D64" s="71"/>
      <c r="E64" s="108" t="s">
        <v>50</v>
      </c>
      <c r="F64" s="325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163</v>
      </c>
      <c r="C66" s="73"/>
      <c r="D66" s="74"/>
      <c r="E66" s="74"/>
      <c r="F66" s="30"/>
      <c r="G66" s="30"/>
      <c r="H66" s="56">
        <f>'단위공사별(집계)'!L12+'단위공사별(집계)'!I12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144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145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2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09" t="s">
        <v>81</v>
      </c>
      <c r="B3" s="98" t="s">
        <v>37</v>
      </c>
      <c r="C3" s="111"/>
      <c r="D3" s="111"/>
      <c r="E3" s="272"/>
      <c r="F3" s="112"/>
      <c r="G3" s="112"/>
      <c r="H3" s="103">
        <f>IF(F3=0,G3,G3*F3)</f>
        <v>0</v>
      </c>
      <c r="I3" s="75"/>
    </row>
    <row r="4" spans="1:9" ht="15.95" customHeight="1">
      <c r="A4" s="511"/>
      <c r="B4" s="98"/>
      <c r="C4" s="68"/>
      <c r="D4" s="68"/>
      <c r="E4" s="275"/>
      <c r="F4" s="69"/>
      <c r="G4" s="69"/>
      <c r="H4" s="99">
        <f>IF(F4=0,G4,G4*F4)</f>
        <v>0</v>
      </c>
      <c r="I4" s="70"/>
    </row>
    <row r="5" spans="1:9" ht="15.95" customHeight="1">
      <c r="A5" s="511"/>
      <c r="B5" s="98"/>
      <c r="C5" s="68"/>
      <c r="D5" s="68"/>
      <c r="E5" s="275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1"/>
      <c r="B6" s="98"/>
      <c r="C6" s="68"/>
      <c r="D6" s="68"/>
      <c r="E6" s="275"/>
      <c r="F6" s="69"/>
      <c r="G6" s="69"/>
      <c r="H6" s="99">
        <f t="shared" si="0"/>
        <v>0</v>
      </c>
      <c r="I6" s="70"/>
    </row>
    <row r="7" spans="1:9" ht="15.95" customHeight="1">
      <c r="A7" s="511"/>
      <c r="B7" s="98"/>
      <c r="C7" s="68"/>
      <c r="D7" s="68"/>
      <c r="E7" s="275"/>
      <c r="F7" s="69"/>
      <c r="G7" s="69"/>
      <c r="H7" s="99">
        <f t="shared" si="0"/>
        <v>0</v>
      </c>
      <c r="I7" s="70"/>
    </row>
    <row r="8" spans="1:9" ht="15.95" customHeight="1">
      <c r="A8" s="511"/>
      <c r="B8" s="98"/>
      <c r="C8" s="68"/>
      <c r="D8" s="68"/>
      <c r="E8" s="275"/>
      <c r="F8" s="69"/>
      <c r="G8" s="69"/>
      <c r="H8" s="99">
        <f t="shared" si="0"/>
        <v>0</v>
      </c>
      <c r="I8" s="70"/>
    </row>
    <row r="9" spans="1:9" ht="15.95" customHeight="1">
      <c r="A9" s="511"/>
      <c r="B9" s="98"/>
      <c r="C9" s="68"/>
      <c r="D9" s="68"/>
      <c r="E9" s="275"/>
      <c r="F9" s="69"/>
      <c r="G9" s="69"/>
      <c r="H9" s="99">
        <f t="shared" si="0"/>
        <v>0</v>
      </c>
      <c r="I9" s="70"/>
    </row>
    <row r="10" spans="1:9" ht="15.95" customHeight="1">
      <c r="A10" s="511"/>
      <c r="B10" s="98"/>
      <c r="C10" s="68"/>
      <c r="D10" s="68"/>
      <c r="E10" s="275"/>
      <c r="F10" s="69"/>
      <c r="G10" s="69"/>
      <c r="H10" s="99">
        <f t="shared" si="0"/>
        <v>0</v>
      </c>
      <c r="I10" s="70"/>
    </row>
    <row r="11" spans="1:9" ht="15.95" customHeight="1">
      <c r="A11" s="511"/>
      <c r="B11" s="98"/>
      <c r="C11" s="68"/>
      <c r="D11" s="68"/>
      <c r="E11" s="275"/>
      <c r="F11" s="69"/>
      <c r="G11" s="69"/>
      <c r="H11" s="99">
        <f t="shared" si="0"/>
        <v>0</v>
      </c>
      <c r="I11" s="70"/>
    </row>
    <row r="12" spans="1:9" ht="15.95" customHeight="1">
      <c r="A12" s="511"/>
      <c r="B12" s="98"/>
      <c r="C12" s="68"/>
      <c r="D12" s="68"/>
      <c r="E12" s="275"/>
      <c r="F12" s="69"/>
      <c r="G12" s="69"/>
      <c r="H12" s="99">
        <f t="shared" si="0"/>
        <v>0</v>
      </c>
      <c r="I12" s="70"/>
    </row>
    <row r="13" spans="1:9" ht="15.95" customHeight="1">
      <c r="A13" s="511"/>
      <c r="B13" s="98"/>
      <c r="C13" s="68"/>
      <c r="D13" s="68"/>
      <c r="E13" s="275"/>
      <c r="F13" s="69"/>
      <c r="G13" s="69"/>
      <c r="H13" s="99">
        <f t="shared" si="0"/>
        <v>0</v>
      </c>
      <c r="I13" s="70"/>
    </row>
    <row r="14" spans="1:9" ht="15.95" customHeight="1">
      <c r="A14" s="511"/>
      <c r="B14" s="98"/>
      <c r="C14" s="68"/>
      <c r="D14" s="68"/>
      <c r="E14" s="275"/>
      <c r="F14" s="69"/>
      <c r="G14" s="69"/>
      <c r="H14" s="99">
        <f t="shared" si="0"/>
        <v>0</v>
      </c>
      <c r="I14" s="70"/>
    </row>
    <row r="15" spans="1:9" ht="15.95" customHeight="1">
      <c r="A15" s="511"/>
      <c r="B15" s="98"/>
      <c r="C15" s="68"/>
      <c r="D15" s="68"/>
      <c r="E15" s="275"/>
      <c r="F15" s="69"/>
      <c r="G15" s="69"/>
      <c r="H15" s="99">
        <f t="shared" si="0"/>
        <v>0</v>
      </c>
      <c r="I15" s="70"/>
    </row>
    <row r="16" spans="1:9" ht="15.95" customHeight="1">
      <c r="A16" s="511"/>
      <c r="B16" s="98"/>
      <c r="C16" s="68"/>
      <c r="D16" s="68"/>
      <c r="E16" s="275"/>
      <c r="F16" s="69"/>
      <c r="G16" s="69"/>
      <c r="H16" s="99">
        <f t="shared" si="0"/>
        <v>0</v>
      </c>
      <c r="I16" s="70"/>
    </row>
    <row r="17" spans="1:9" ht="15.95" customHeight="1">
      <c r="A17" s="511"/>
      <c r="B17" s="98"/>
      <c r="C17" s="68"/>
      <c r="D17" s="68"/>
      <c r="E17" s="275"/>
      <c r="F17" s="69"/>
      <c r="G17" s="69"/>
      <c r="H17" s="99">
        <f t="shared" si="0"/>
        <v>0</v>
      </c>
      <c r="I17" s="70"/>
    </row>
    <row r="18" spans="1:9" ht="15.95" customHeight="1">
      <c r="A18" s="511"/>
      <c r="B18" s="98"/>
      <c r="C18" s="68"/>
      <c r="D18" s="68"/>
      <c r="E18" s="275"/>
      <c r="F18" s="69"/>
      <c r="G18" s="69"/>
      <c r="H18" s="99">
        <f t="shared" si="0"/>
        <v>0</v>
      </c>
      <c r="I18" s="70"/>
    </row>
    <row r="19" spans="1:9" ht="15.95" customHeight="1">
      <c r="A19" s="511"/>
      <c r="B19" s="98"/>
      <c r="C19" s="68"/>
      <c r="D19" s="68"/>
      <c r="E19" s="275"/>
      <c r="F19" s="69"/>
      <c r="G19" s="69"/>
      <c r="H19" s="99">
        <f t="shared" si="0"/>
        <v>0</v>
      </c>
      <c r="I19" s="70"/>
    </row>
    <row r="20" spans="1:9" ht="15.95" customHeight="1">
      <c r="A20" s="511"/>
      <c r="B20" s="98"/>
      <c r="C20" s="68"/>
      <c r="D20" s="68"/>
      <c r="E20" s="275"/>
      <c r="F20" s="69"/>
      <c r="G20" s="69"/>
      <c r="H20" s="99">
        <f t="shared" si="0"/>
        <v>0</v>
      </c>
      <c r="I20" s="70"/>
    </row>
    <row r="21" spans="1:9" ht="15.95" customHeight="1">
      <c r="A21" s="511"/>
      <c r="B21" s="98"/>
      <c r="C21" s="68"/>
      <c r="D21" s="68"/>
      <c r="E21" s="275"/>
      <c r="F21" s="69"/>
      <c r="G21" s="69"/>
      <c r="H21" s="99">
        <f t="shared" si="0"/>
        <v>0</v>
      </c>
      <c r="I21" s="70"/>
    </row>
    <row r="22" spans="1:9" ht="15.95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1"/>
      <c r="B23" s="98"/>
      <c r="C23" s="113" t="s">
        <v>47</v>
      </c>
      <c r="D23" s="276"/>
      <c r="E23" s="276" t="s">
        <v>170</v>
      </c>
      <c r="F23" s="266"/>
      <c r="G23" s="114"/>
      <c r="H23" s="238">
        <f t="shared" si="0"/>
        <v>0</v>
      </c>
      <c r="I23" s="239"/>
    </row>
    <row r="24" spans="1:9" ht="15.95" customHeight="1">
      <c r="A24" s="511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1"/>
      <c r="B25" s="98" t="s">
        <v>152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1"/>
      <c r="B26" s="98" t="s">
        <v>153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1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1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1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11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11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11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11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11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11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11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11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11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1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1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1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1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11"/>
      <c r="B46" s="98"/>
      <c r="C46" s="113" t="s">
        <v>47</v>
      </c>
      <c r="D46" s="276"/>
      <c r="E46" s="276" t="s">
        <v>170</v>
      </c>
      <c r="F46" s="266"/>
      <c r="G46" s="114"/>
      <c r="H46" s="104">
        <f t="shared" si="0"/>
        <v>0</v>
      </c>
      <c r="I46" s="71"/>
    </row>
    <row r="47" spans="1:9" ht="15.95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1"/>
      <c r="B48" s="102" t="s">
        <v>39</v>
      </c>
      <c r="C48" s="68"/>
      <c r="D48" s="300"/>
      <c r="E48" s="300"/>
      <c r="F48" s="301"/>
      <c r="G48" s="69"/>
      <c r="H48" s="103">
        <f t="shared" si="0"/>
        <v>0</v>
      </c>
      <c r="I48" s="75"/>
    </row>
    <row r="49" spans="1:9" ht="15.95" customHeight="1">
      <c r="A49" s="511"/>
      <c r="B49" s="98"/>
      <c r="C49" s="68"/>
      <c r="D49" s="300"/>
      <c r="E49" s="300"/>
      <c r="F49" s="301"/>
      <c r="G49" s="69"/>
      <c r="H49" s="99">
        <f t="shared" si="0"/>
        <v>0</v>
      </c>
      <c r="I49" s="70"/>
    </row>
    <row r="50" spans="1:9" ht="15.95" customHeight="1">
      <c r="A50" s="511"/>
      <c r="B50" s="98"/>
      <c r="C50" s="68"/>
      <c r="D50" s="300"/>
      <c r="E50" s="300"/>
      <c r="F50" s="301"/>
      <c r="G50" s="69"/>
      <c r="H50" s="99">
        <f t="shared" si="0"/>
        <v>0</v>
      </c>
      <c r="I50" s="70"/>
    </row>
    <row r="51" spans="1:9" ht="15.95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11"/>
      <c r="B54" s="98"/>
      <c r="C54" s="113" t="s">
        <v>47</v>
      </c>
      <c r="D54" s="113"/>
      <c r="E54" s="276" t="s">
        <v>170</v>
      </c>
      <c r="F54" s="266"/>
      <c r="G54" s="114"/>
      <c r="H54" s="104">
        <f t="shared" si="0"/>
        <v>0</v>
      </c>
      <c r="I54" s="71"/>
    </row>
    <row r="55" spans="1:9" ht="15.95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2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1"/>
      <c r="B58" s="107" t="s">
        <v>105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1"/>
      <c r="B59" s="159" t="s">
        <v>106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1"/>
      <c r="B60" s="107" t="s">
        <v>107</v>
      </c>
      <c r="C60" s="135"/>
      <c r="D60" s="70"/>
      <c r="E60" s="107" t="s">
        <v>50</v>
      </c>
      <c r="F60" s="298"/>
      <c r="G60" s="69"/>
      <c r="H60" s="99">
        <f t="shared" si="1"/>
        <v>0</v>
      </c>
      <c r="I60" s="70"/>
    </row>
    <row r="61" spans="1:9" ht="15.95" customHeight="1">
      <c r="A61" s="511"/>
      <c r="B61" s="107" t="s">
        <v>108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1"/>
      <c r="B62" s="107" t="s">
        <v>109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1"/>
      <c r="B63" s="107" t="s">
        <v>110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1"/>
      <c r="B64" s="108" t="s">
        <v>111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163</v>
      </c>
      <c r="C66" s="73"/>
      <c r="D66" s="74"/>
      <c r="E66" s="74"/>
      <c r="F66" s="30"/>
      <c r="G66" s="30"/>
      <c r="H66" s="56">
        <f>'단위공사별(집계)'!L13+'단위공사별(집계)'!I13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144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145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3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09" t="s">
        <v>81</v>
      </c>
      <c r="B3" s="98" t="s">
        <v>37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5" customHeight="1">
      <c r="A4" s="511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11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11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11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1"/>
      <c r="B23" s="98"/>
      <c r="C23" s="113" t="s">
        <v>47</v>
      </c>
      <c r="D23" s="236"/>
      <c r="E23" s="236"/>
      <c r="F23" s="237"/>
      <c r="G23" s="237"/>
      <c r="H23" s="238">
        <f t="shared" si="0"/>
        <v>0</v>
      </c>
      <c r="I23" s="239"/>
    </row>
    <row r="24" spans="1:9" ht="15.95" customHeight="1">
      <c r="A24" s="511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1"/>
      <c r="B25" s="98" t="s">
        <v>152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1"/>
      <c r="B26" s="98" t="s">
        <v>153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1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1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1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11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11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11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11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11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11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11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11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11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1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1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1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1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11"/>
      <c r="B46" s="98"/>
      <c r="C46" s="113" t="s">
        <v>47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5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1"/>
      <c r="B48" s="102" t="s">
        <v>39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5" customHeight="1">
      <c r="A49" s="511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5" customHeight="1">
      <c r="A50" s="511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11"/>
      <c r="B54" s="98"/>
      <c r="C54" s="113" t="s">
        <v>47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2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1"/>
      <c r="B58" s="107" t="s">
        <v>105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1"/>
      <c r="B59" s="159" t="s">
        <v>106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1"/>
      <c r="B60" s="107" t="s">
        <v>107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11"/>
      <c r="B61" s="107" t="s">
        <v>108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1"/>
      <c r="B62" s="107" t="s">
        <v>109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1"/>
      <c r="B63" s="107" t="s">
        <v>110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1"/>
      <c r="B64" s="108" t="s">
        <v>111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163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5" customHeight="1">
      <c r="A68" s="52"/>
      <c r="B68" s="95" t="s">
        <v>144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145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09" t="s">
        <v>81</v>
      </c>
      <c r="B3" s="98" t="s">
        <v>37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5" customHeight="1">
      <c r="A4" s="511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11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11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11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1"/>
      <c r="B23" s="98"/>
      <c r="C23" s="113" t="s">
        <v>47</v>
      </c>
      <c r="D23" s="236"/>
      <c r="E23" s="236"/>
      <c r="F23" s="237"/>
      <c r="G23" s="237"/>
      <c r="H23" s="238">
        <f t="shared" si="0"/>
        <v>0</v>
      </c>
      <c r="I23" s="239"/>
    </row>
    <row r="24" spans="1:9" ht="15.95" customHeight="1">
      <c r="A24" s="511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1"/>
      <c r="B25" s="98" t="s">
        <v>152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1"/>
      <c r="B26" s="98" t="s">
        <v>153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1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1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1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11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11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11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11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11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11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11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11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11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1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1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1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1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11"/>
      <c r="B46" s="98"/>
      <c r="C46" s="113" t="s">
        <v>47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5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1"/>
      <c r="B48" s="102" t="s">
        <v>39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5" customHeight="1">
      <c r="A49" s="511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5" customHeight="1">
      <c r="A50" s="511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11"/>
      <c r="B54" s="98"/>
      <c r="C54" s="113" t="s">
        <v>47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2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1"/>
      <c r="B58" s="107" t="s">
        <v>105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1"/>
      <c r="B59" s="159" t="s">
        <v>106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1"/>
      <c r="B60" s="107" t="s">
        <v>107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11"/>
      <c r="B61" s="107" t="s">
        <v>108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1"/>
      <c r="B62" s="107" t="s">
        <v>109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1"/>
      <c r="B63" s="107" t="s">
        <v>110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1"/>
      <c r="B64" s="108" t="s">
        <v>111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163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5" customHeight="1">
      <c r="A68" s="52"/>
      <c r="B68" s="95" t="s">
        <v>144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145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I70"/>
  <sheetViews>
    <sheetView zoomScale="85" workbookViewId="0">
      <pane xSplit="2" ySplit="2" topLeftCell="C35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6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09" t="s">
        <v>81</v>
      </c>
      <c r="B3" s="98" t="s">
        <v>37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5" customHeight="1">
      <c r="A4" s="511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11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1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11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11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11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11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11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1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1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1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1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1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1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1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1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1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1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1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1"/>
      <c r="B23" s="98"/>
      <c r="C23" s="113" t="s">
        <v>47</v>
      </c>
      <c r="D23" s="236"/>
      <c r="E23" s="236"/>
      <c r="F23" s="237"/>
      <c r="G23" s="237"/>
      <c r="H23" s="238">
        <f t="shared" si="0"/>
        <v>0</v>
      </c>
      <c r="I23" s="239"/>
    </row>
    <row r="24" spans="1:9" ht="15.95" customHeight="1">
      <c r="A24" s="511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1"/>
      <c r="B25" s="98" t="s">
        <v>152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1"/>
      <c r="B26" s="98" t="s">
        <v>153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1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1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1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1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1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11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11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11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11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11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11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11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11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11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1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1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1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1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1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11"/>
      <c r="B46" s="98"/>
      <c r="C46" s="113" t="s">
        <v>47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5" customHeight="1">
      <c r="A47" s="511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1"/>
      <c r="B48" s="102" t="s">
        <v>39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5" customHeight="1">
      <c r="A49" s="511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5" customHeight="1">
      <c r="A50" s="511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11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1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1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11"/>
      <c r="B54" s="98"/>
      <c r="C54" s="113" t="s">
        <v>47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11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2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1"/>
      <c r="B58" s="107" t="s">
        <v>105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1"/>
      <c r="B59" s="159" t="s">
        <v>106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1"/>
      <c r="B60" s="107" t="s">
        <v>107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11"/>
      <c r="B61" s="107" t="s">
        <v>108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1"/>
      <c r="B62" s="107" t="s">
        <v>109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1"/>
      <c r="B63" s="107" t="s">
        <v>110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1"/>
      <c r="B64" s="108" t="s">
        <v>111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163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5" customHeight="1">
      <c r="A68" s="52"/>
      <c r="B68" s="95" t="s">
        <v>144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145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D36"/>
  <sheetViews>
    <sheetView zoomScale="85" workbookViewId="0">
      <selection activeCell="O39" sqref="O39"/>
    </sheetView>
  </sheetViews>
  <sheetFormatPr defaultRowHeight="17.25" customHeight="1"/>
  <cols>
    <col min="1" max="1" width="16.5" style="28" customWidth="1"/>
    <col min="2" max="3" width="27.625" style="28" customWidth="1"/>
    <col min="4" max="4" width="11.5" style="28" customWidth="1"/>
    <col min="5" max="16384" width="9" style="28"/>
  </cols>
  <sheetData>
    <row r="1" spans="1:4" ht="17.25" customHeight="1">
      <c r="A1" s="28" t="s">
        <v>97</v>
      </c>
    </row>
    <row r="2" spans="1:4" ht="17.25" customHeight="1">
      <c r="D2" s="29" t="s">
        <v>98</v>
      </c>
    </row>
    <row r="3" spans="1:4" ht="24.75" customHeight="1">
      <c r="A3" s="88" t="s">
        <v>96</v>
      </c>
    </row>
    <row r="4" spans="1:4" ht="11.25" customHeight="1"/>
    <row r="5" spans="1:4" s="90" customFormat="1" ht="21" customHeight="1" thickBot="1">
      <c r="A5" s="89" t="s">
        <v>62</v>
      </c>
      <c r="B5" s="89" t="s">
        <v>52</v>
      </c>
      <c r="C5" s="89" t="s">
        <v>53</v>
      </c>
      <c r="D5" s="89" t="s">
        <v>27</v>
      </c>
    </row>
    <row r="6" spans="1:4" ht="17.25" customHeight="1" thickTop="1">
      <c r="A6" s="67"/>
      <c r="B6" s="67"/>
      <c r="C6" s="67"/>
      <c r="D6" s="67"/>
    </row>
    <row r="7" spans="1:4" ht="17.25" customHeight="1">
      <c r="A7" s="67"/>
      <c r="B7" s="67"/>
      <c r="C7" s="67"/>
      <c r="D7" s="67"/>
    </row>
    <row r="8" spans="1:4" ht="17.25" customHeight="1">
      <c r="A8" s="67"/>
      <c r="B8" s="67"/>
      <c r="C8" s="67"/>
      <c r="D8" s="67"/>
    </row>
    <row r="9" spans="1:4" ht="17.25" customHeight="1">
      <c r="A9" s="67"/>
      <c r="B9" s="67"/>
      <c r="C9" s="67"/>
      <c r="D9" s="67"/>
    </row>
    <row r="10" spans="1:4" ht="17.25" customHeight="1">
      <c r="A10" s="67"/>
      <c r="B10" s="67"/>
      <c r="C10" s="67"/>
      <c r="D10" s="67"/>
    </row>
    <row r="11" spans="1:4" ht="17.25" customHeight="1">
      <c r="A11" s="67"/>
      <c r="B11" s="67"/>
      <c r="C11" s="67"/>
      <c r="D11" s="67"/>
    </row>
    <row r="12" spans="1:4" ht="17.25" customHeight="1">
      <c r="A12" s="67"/>
      <c r="B12" s="67"/>
      <c r="C12" s="67"/>
      <c r="D12" s="67"/>
    </row>
    <row r="13" spans="1:4" ht="17.25" customHeight="1">
      <c r="A13" s="67"/>
      <c r="B13" s="67"/>
      <c r="C13" s="67"/>
      <c r="D13" s="67"/>
    </row>
    <row r="14" spans="1:4" ht="17.25" customHeight="1">
      <c r="A14" s="67"/>
      <c r="B14" s="67"/>
      <c r="C14" s="67"/>
      <c r="D14" s="67"/>
    </row>
    <row r="15" spans="1:4" ht="17.25" customHeight="1">
      <c r="A15" s="67"/>
      <c r="B15" s="67"/>
      <c r="C15" s="67"/>
      <c r="D15" s="67"/>
    </row>
    <row r="16" spans="1:4" ht="17.25" customHeight="1">
      <c r="A16" s="67"/>
      <c r="B16" s="67"/>
      <c r="C16" s="67"/>
      <c r="D16" s="67"/>
    </row>
    <row r="17" spans="1:4" ht="17.25" customHeight="1">
      <c r="A17" s="67"/>
      <c r="B17" s="67"/>
      <c r="C17" s="67"/>
      <c r="D17" s="67"/>
    </row>
    <row r="18" spans="1:4" ht="17.25" customHeight="1">
      <c r="A18" s="67"/>
      <c r="B18" s="67"/>
      <c r="C18" s="67"/>
      <c r="D18" s="67"/>
    </row>
    <row r="19" spans="1:4" ht="17.25" customHeight="1">
      <c r="A19" s="67"/>
      <c r="B19" s="67"/>
      <c r="C19" s="67"/>
      <c r="D19" s="67"/>
    </row>
    <row r="20" spans="1:4" ht="17.25" customHeight="1">
      <c r="A20" s="67"/>
      <c r="B20" s="67"/>
      <c r="C20" s="67"/>
      <c r="D20" s="67"/>
    </row>
    <row r="21" spans="1:4" ht="17.25" customHeight="1">
      <c r="A21" s="67"/>
      <c r="B21" s="67"/>
      <c r="C21" s="67"/>
      <c r="D21" s="67"/>
    </row>
    <row r="22" spans="1:4" ht="17.25" customHeight="1">
      <c r="A22" s="67"/>
      <c r="B22" s="67"/>
      <c r="C22" s="67"/>
      <c r="D22" s="67"/>
    </row>
    <row r="23" spans="1:4" ht="17.25" customHeight="1">
      <c r="A23" s="67"/>
      <c r="B23" s="67"/>
      <c r="C23" s="67"/>
      <c r="D23" s="67"/>
    </row>
    <row r="24" spans="1:4" ht="17.25" customHeight="1">
      <c r="A24" s="67"/>
      <c r="B24" s="67"/>
      <c r="C24" s="67"/>
      <c r="D24" s="67"/>
    </row>
    <row r="25" spans="1:4" ht="17.25" customHeight="1">
      <c r="A25" s="67"/>
      <c r="B25" s="67"/>
      <c r="C25" s="67"/>
      <c r="D25" s="67"/>
    </row>
    <row r="26" spans="1:4" ht="17.25" customHeight="1">
      <c r="A26" s="67"/>
      <c r="B26" s="67"/>
      <c r="C26" s="67"/>
      <c r="D26" s="67"/>
    </row>
    <row r="27" spans="1:4" ht="17.25" customHeight="1">
      <c r="A27" s="67"/>
      <c r="B27" s="67"/>
      <c r="C27" s="67"/>
      <c r="D27" s="67"/>
    </row>
    <row r="28" spans="1:4" ht="17.25" customHeight="1">
      <c r="A28" s="67"/>
      <c r="B28" s="67"/>
      <c r="C28" s="67"/>
      <c r="D28" s="67"/>
    </row>
    <row r="29" spans="1:4" ht="17.25" customHeight="1">
      <c r="A29" s="67"/>
      <c r="B29" s="67"/>
      <c r="C29" s="67"/>
      <c r="D29" s="67"/>
    </row>
    <row r="30" spans="1:4" ht="17.25" customHeight="1">
      <c r="A30" s="67"/>
      <c r="B30" s="67"/>
      <c r="C30" s="67"/>
      <c r="D30" s="67"/>
    </row>
    <row r="31" spans="1:4" ht="17.25" customHeight="1">
      <c r="A31" s="67"/>
      <c r="B31" s="67"/>
      <c r="C31" s="67"/>
      <c r="D31" s="67"/>
    </row>
    <row r="32" spans="1:4" ht="17.25" customHeight="1">
      <c r="A32" s="67"/>
      <c r="B32" s="67"/>
      <c r="C32" s="67"/>
      <c r="D32" s="67"/>
    </row>
    <row r="33" spans="1:4" ht="17.25" customHeight="1">
      <c r="A33" s="67"/>
      <c r="B33" s="67"/>
      <c r="C33" s="67"/>
      <c r="D33" s="67"/>
    </row>
    <row r="34" spans="1:4" ht="17.25" customHeight="1">
      <c r="A34" s="67"/>
      <c r="B34" s="67"/>
      <c r="C34" s="67"/>
      <c r="D34" s="67"/>
    </row>
    <row r="35" spans="1:4" ht="17.25" customHeight="1">
      <c r="A35" s="67"/>
      <c r="B35" s="67"/>
      <c r="C35" s="67"/>
      <c r="D35" s="67"/>
    </row>
    <row r="36" spans="1:4" ht="17.25" customHeight="1">
      <c r="A36" s="91"/>
      <c r="B36" s="91"/>
      <c r="C36" s="91"/>
      <c r="D36" s="9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33d0c9f88fa4279297cd52745cad6c8c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aa0e872deb2693b9d8db8791cdff6538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801A9-D037-4FBD-963B-62A5FB4C2017}"/>
</file>

<file path=customXml/itemProps2.xml><?xml version="1.0" encoding="utf-8"?>
<ds:datastoreItem xmlns:ds="http://schemas.openxmlformats.org/officeDocument/2006/customXml" ds:itemID="{450C1F76-38BE-4D5C-87FB-5A2A10575838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3.xml><?xml version="1.0" encoding="utf-8"?>
<ds:datastoreItem xmlns:ds="http://schemas.openxmlformats.org/officeDocument/2006/customXml" ds:itemID="{4C259AFF-63CF-4C1F-822A-2DD7E116B67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>현대자동차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cheolkwon77@daum.net</cp:lastModifiedBy>
  <cp:lastPrinted>2023-03-09T00:35:26Z</cp:lastPrinted>
  <dcterms:created xsi:type="dcterms:W3CDTF">2001-06-04T06:04:44Z</dcterms:created>
  <dcterms:modified xsi:type="dcterms:W3CDTF">2026-04-03T00:47:47Z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0x01010084EEACC2FBBAA64B8A9BB96350026B5F</vt:lpwstr>
  </property>
</Properties>
</file>