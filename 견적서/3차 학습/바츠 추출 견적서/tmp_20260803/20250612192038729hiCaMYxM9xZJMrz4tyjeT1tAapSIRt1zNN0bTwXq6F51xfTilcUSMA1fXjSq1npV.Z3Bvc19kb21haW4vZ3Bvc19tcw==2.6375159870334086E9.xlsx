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A\Downloads\"/>
    </mc:Choice>
  </mc:AlternateContent>
  <xr:revisionPtr revIDLastSave="0" documentId="13_ncr:1_{10E01586-C903-4C7D-8E00-1DB70659FA2D}" xr6:coauthVersionLast="47" xr6:coauthVersionMax="47" xr10:uidLastSave="{00000000-0000-0000-0000-000000000000}"/>
  <bookViews>
    <workbookView xWindow="28680" yWindow="2325" windowWidth="29040" windowHeight="15840" tabRatio="1000" xr2:uid="{2B6F9D41-AB6F-4DB8-90D9-CD90022761EB}"/>
  </bookViews>
  <sheets>
    <sheet name="갑지" sheetId="16" r:id="rId1"/>
    <sheet name="원가항목별(집계)" sheetId="1" r:id="rId2"/>
    <sheet name="단위공사별(집계)" sheetId="2" state="hidden" r:id="rId3"/>
    <sheet name="전기" sheetId="3" r:id="rId4"/>
    <sheet name="단위장비1" sheetId="11" r:id="rId5"/>
    <sheet name="단위장비2" sheetId="10" state="hidden" r:id="rId6"/>
    <sheet name="단위장비3" sheetId="9" state="hidden" r:id="rId7"/>
    <sheet name="단위장비4" sheetId="7" state="hidden" r:id="rId8"/>
    <sheet name="단위장비5" sheetId="8" state="hidden" r:id="rId9"/>
    <sheet name="단위장비6" sheetId="6" state="hidden" r:id="rId10"/>
    <sheet name="단위장비7" sheetId="5" state="hidden" r:id="rId11"/>
    <sheet name="단위장비8" sheetId="4" state="hidden" r:id="rId12"/>
    <sheet name="단위장비9" sheetId="15" state="hidden" r:id="rId13"/>
    <sheet name="단위장비10" sheetId="14" state="hidden" r:id="rId14"/>
    <sheet name="첨부(견적조건차이내역)" sheetId="13" r:id="rId15"/>
  </sheets>
  <definedNames>
    <definedName name="_xlnm._FilterDatabase" localSheetId="4" hidden="1">단위장비1!$A$2:$I$54</definedName>
    <definedName name="_xlnm._FilterDatabase" localSheetId="5" hidden="1">단위장비2!$A$2:$I$69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11" l="1"/>
  <c r="I42" i="1"/>
  <c r="I38" i="1"/>
  <c r="I34" i="1"/>
  <c r="I40" i="1"/>
  <c r="M7" i="2" s="1"/>
  <c r="B8" i="2"/>
  <c r="A8" i="2" s="1"/>
  <c r="D8" i="2"/>
  <c r="E8" i="2"/>
  <c r="F8" i="2"/>
  <c r="G8" i="2"/>
  <c r="H8" i="2"/>
  <c r="I8" i="2"/>
  <c r="K8" i="2"/>
  <c r="L8" i="2"/>
  <c r="M8" i="2"/>
  <c r="B7" i="2"/>
  <c r="A7" i="2" s="1"/>
  <c r="K7" i="2"/>
  <c r="G17" i="16"/>
  <c r="H58" i="9"/>
  <c r="H59" i="9"/>
  <c r="H60" i="9"/>
  <c r="H61" i="9"/>
  <c r="H62" i="9"/>
  <c r="H3" i="11"/>
  <c r="H10" i="11" s="1"/>
  <c r="H3" i="10"/>
  <c r="H24" i="10" s="1"/>
  <c r="H17" i="11"/>
  <c r="H32" i="11" s="1"/>
  <c r="H18" i="11"/>
  <c r="H5" i="11"/>
  <c r="H33" i="11"/>
  <c r="H38" i="10"/>
  <c r="H37" i="10"/>
  <c r="H36" i="10"/>
  <c r="H35" i="10"/>
  <c r="H34" i="10"/>
  <c r="H33" i="10"/>
  <c r="H32" i="10"/>
  <c r="H31" i="10"/>
  <c r="H47" i="10" s="1"/>
  <c r="H7" i="10"/>
  <c r="H6" i="10"/>
  <c r="H5" i="10"/>
  <c r="H4" i="10"/>
  <c r="H7" i="11"/>
  <c r="H6" i="11"/>
  <c r="H4" i="11"/>
  <c r="B11" i="2"/>
  <c r="H3" i="8"/>
  <c r="H4" i="8"/>
  <c r="H5" i="8"/>
  <c r="H23" i="8" s="1"/>
  <c r="H6" i="8"/>
  <c r="H7" i="8"/>
  <c r="H8" i="8"/>
  <c r="H9" i="8"/>
  <c r="H49" i="10"/>
  <c r="B10" i="2"/>
  <c r="K10" i="2" s="1"/>
  <c r="I10" i="2"/>
  <c r="H21" i="11"/>
  <c r="H31" i="11"/>
  <c r="H3" i="14"/>
  <c r="H24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26" i="14"/>
  <c r="H27" i="14"/>
  <c r="H30" i="14" s="1"/>
  <c r="H28" i="14"/>
  <c r="H29" i="14"/>
  <c r="H31" i="14"/>
  <c r="H47" i="14" s="1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55" i="14" s="1"/>
  <c r="H49" i="14"/>
  <c r="H50" i="14"/>
  <c r="H51" i="14"/>
  <c r="H52" i="14"/>
  <c r="H53" i="14"/>
  <c r="H54" i="14"/>
  <c r="H57" i="14"/>
  <c r="H65" i="14" s="1"/>
  <c r="H16" i="2" s="1"/>
  <c r="H58" i="14"/>
  <c r="D16" i="2"/>
  <c r="H59" i="14"/>
  <c r="E16" i="2"/>
  <c r="H60" i="14"/>
  <c r="H61" i="14"/>
  <c r="H62" i="14"/>
  <c r="H63" i="14"/>
  <c r="G16" i="2" s="1"/>
  <c r="H64" i="14"/>
  <c r="H3" i="15"/>
  <c r="H4" i="15"/>
  <c r="H5" i="15"/>
  <c r="H24" i="15" s="1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30" i="15"/>
  <c r="H26" i="15"/>
  <c r="H27" i="15"/>
  <c r="H28" i="15"/>
  <c r="H29" i="15"/>
  <c r="H31" i="15"/>
  <c r="H47" i="15" s="1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8" i="15"/>
  <c r="H55" i="15" s="1"/>
  <c r="H56" i="15" s="1"/>
  <c r="H49" i="15"/>
  <c r="H50" i="15"/>
  <c r="H51" i="15"/>
  <c r="H52" i="15"/>
  <c r="H53" i="15"/>
  <c r="H54" i="15"/>
  <c r="H57" i="15"/>
  <c r="D15" i="2" s="1"/>
  <c r="H58" i="15"/>
  <c r="E15" i="2" s="1"/>
  <c r="H59" i="15"/>
  <c r="H60" i="15"/>
  <c r="H61" i="15"/>
  <c r="H62" i="15"/>
  <c r="G15" i="2" s="1"/>
  <c r="H63" i="15"/>
  <c r="H64" i="15"/>
  <c r="H15" i="2"/>
  <c r="H3" i="4"/>
  <c r="H4" i="4"/>
  <c r="H24" i="4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30" i="4" s="1"/>
  <c r="H26" i="4"/>
  <c r="H27" i="4"/>
  <c r="H28" i="4"/>
  <c r="H29" i="4"/>
  <c r="H31" i="4"/>
  <c r="H47" i="4" s="1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55" i="4" s="1"/>
  <c r="H56" i="4" s="1"/>
  <c r="H49" i="4"/>
  <c r="H50" i="4"/>
  <c r="H51" i="4"/>
  <c r="H52" i="4"/>
  <c r="H53" i="4"/>
  <c r="H54" i="4"/>
  <c r="H57" i="4"/>
  <c r="E14" i="2" s="1"/>
  <c r="H58" i="4"/>
  <c r="H59" i="4"/>
  <c r="H60" i="4"/>
  <c r="H61" i="4"/>
  <c r="G14" i="2" s="1"/>
  <c r="H62" i="4"/>
  <c r="H63" i="4"/>
  <c r="H64" i="4"/>
  <c r="H3" i="5"/>
  <c r="H4" i="5"/>
  <c r="H5" i="5"/>
  <c r="H24" i="5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30" i="5" s="1"/>
  <c r="H26" i="5"/>
  <c r="H27" i="5"/>
  <c r="H28" i="5"/>
  <c r="H29" i="5"/>
  <c r="H31" i="5"/>
  <c r="H47" i="5" s="1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 s="1"/>
  <c r="H58" i="5"/>
  <c r="H59" i="5"/>
  <c r="H60" i="5"/>
  <c r="H65" i="5" s="1"/>
  <c r="H61" i="5"/>
  <c r="G13" i="2" s="1"/>
  <c r="H62" i="5"/>
  <c r="H63" i="5"/>
  <c r="H13" i="2" s="1"/>
  <c r="H64" i="5"/>
  <c r="H3" i="6"/>
  <c r="H4" i="6"/>
  <c r="H5" i="6"/>
  <c r="H6" i="6"/>
  <c r="H7" i="6"/>
  <c r="H24" i="6" s="1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5" i="6"/>
  <c r="H30" i="6" s="1"/>
  <c r="H26" i="6"/>
  <c r="H27" i="6"/>
  <c r="H28" i="6"/>
  <c r="H29" i="6"/>
  <c r="H31" i="6"/>
  <c r="H47" i="6" s="1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5" i="6" s="1"/>
  <c r="H56" i="6" s="1"/>
  <c r="H53" i="6"/>
  <c r="H54" i="6"/>
  <c r="H57" i="6"/>
  <c r="H65" i="6" s="1"/>
  <c r="H58" i="6"/>
  <c r="F12" i="2" s="1"/>
  <c r="H59" i="6"/>
  <c r="H60" i="6"/>
  <c r="H61" i="6"/>
  <c r="H62" i="6"/>
  <c r="G12" i="2" s="1"/>
  <c r="H63" i="6"/>
  <c r="H12" i="2" s="1"/>
  <c r="H64" i="6"/>
  <c r="H3" i="7"/>
  <c r="H4" i="7"/>
  <c r="H5" i="7"/>
  <c r="H6" i="7"/>
  <c r="H7" i="7"/>
  <c r="H24" i="7" s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26" i="7"/>
  <c r="H30" i="7" s="1"/>
  <c r="H27" i="7"/>
  <c r="H28" i="7"/>
  <c r="H29" i="7"/>
  <c r="H31" i="7"/>
  <c r="H47" i="7" s="1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8" i="7"/>
  <c r="H55" i="7" s="1"/>
  <c r="H49" i="7"/>
  <c r="H50" i="7"/>
  <c r="H51" i="7"/>
  <c r="H52" i="7"/>
  <c r="H53" i="7"/>
  <c r="H54" i="7"/>
  <c r="H57" i="7"/>
  <c r="E10" i="2" s="1"/>
  <c r="H58" i="7"/>
  <c r="F10" i="2" s="1"/>
  <c r="H59" i="7"/>
  <c r="H60" i="7"/>
  <c r="H61" i="7"/>
  <c r="G10" i="2"/>
  <c r="H62" i="7"/>
  <c r="H63" i="7"/>
  <c r="H64" i="7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9" i="8" s="1"/>
  <c r="H25" i="8"/>
  <c r="H26" i="8"/>
  <c r="H27" i="8"/>
  <c r="H28" i="8"/>
  <c r="H30" i="8"/>
  <c r="H31" i="8"/>
  <c r="H32" i="8"/>
  <c r="H33" i="8"/>
  <c r="H46" i="8" s="1"/>
  <c r="H34" i="8"/>
  <c r="H35" i="8"/>
  <c r="H36" i="8"/>
  <c r="H37" i="8"/>
  <c r="H38" i="8"/>
  <c r="H39" i="8"/>
  <c r="H40" i="8"/>
  <c r="H41" i="8"/>
  <c r="H42" i="8"/>
  <c r="H43" i="8"/>
  <c r="H44" i="8"/>
  <c r="H45" i="8"/>
  <c r="H47" i="8"/>
  <c r="H48" i="8"/>
  <c r="H54" i="8" s="1"/>
  <c r="H49" i="8"/>
  <c r="H50" i="8"/>
  <c r="H51" i="8"/>
  <c r="H52" i="8"/>
  <c r="H53" i="8"/>
  <c r="H56" i="8"/>
  <c r="I12" i="1" s="1"/>
  <c r="H57" i="8"/>
  <c r="F11" i="2" s="1"/>
  <c r="H58" i="8"/>
  <c r="H59" i="8"/>
  <c r="H60" i="8"/>
  <c r="G11" i="2" s="1"/>
  <c r="H61" i="8"/>
  <c r="H62" i="8"/>
  <c r="H11" i="2"/>
  <c r="H63" i="8"/>
  <c r="H4" i="9"/>
  <c r="H24" i="9" s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30" i="9" s="1"/>
  <c r="H26" i="9"/>
  <c r="H27" i="9"/>
  <c r="H28" i="9"/>
  <c r="H29" i="9"/>
  <c r="H31" i="9"/>
  <c r="H32" i="9"/>
  <c r="H33" i="9"/>
  <c r="H34" i="9"/>
  <c r="H47" i="9" s="1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5" i="9" s="1"/>
  <c r="H50" i="9"/>
  <c r="H51" i="9"/>
  <c r="H52" i="9"/>
  <c r="H53" i="9"/>
  <c r="H54" i="9"/>
  <c r="H57" i="9"/>
  <c r="G9" i="2"/>
  <c r="H63" i="9"/>
  <c r="H64" i="9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26" i="10"/>
  <c r="H27" i="10"/>
  <c r="H28" i="10"/>
  <c r="H29" i="10"/>
  <c r="H39" i="10"/>
  <c r="H40" i="10"/>
  <c r="H41" i="10"/>
  <c r="H42" i="10"/>
  <c r="H43" i="10"/>
  <c r="H44" i="10"/>
  <c r="H45" i="10"/>
  <c r="H46" i="10"/>
  <c r="H50" i="10"/>
  <c r="H55" i="10" s="1"/>
  <c r="H56" i="10" s="1"/>
  <c r="H51" i="10"/>
  <c r="H52" i="10"/>
  <c r="H53" i="10"/>
  <c r="H54" i="10"/>
  <c r="H57" i="10"/>
  <c r="H58" i="10"/>
  <c r="H59" i="10"/>
  <c r="H60" i="10"/>
  <c r="H61" i="10"/>
  <c r="H62" i="10"/>
  <c r="H63" i="10"/>
  <c r="H64" i="10"/>
  <c r="H8" i="11"/>
  <c r="H9" i="11"/>
  <c r="H11" i="11"/>
  <c r="H12" i="1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35" i="11"/>
  <c r="H36" i="11"/>
  <c r="H37" i="11"/>
  <c r="H38" i="11"/>
  <c r="H39" i="11"/>
  <c r="H42" i="11"/>
  <c r="E7" i="2"/>
  <c r="H43" i="11"/>
  <c r="I13" i="1" s="1"/>
  <c r="H44" i="11"/>
  <c r="F7" i="2" s="1"/>
  <c r="H45" i="11"/>
  <c r="H46" i="11"/>
  <c r="H47" i="11"/>
  <c r="I17" i="1" s="1"/>
  <c r="H48" i="11"/>
  <c r="H7" i="2" s="1"/>
  <c r="H49" i="11"/>
  <c r="H3" i="3"/>
  <c r="H4" i="3"/>
  <c r="H5" i="3"/>
  <c r="H6" i="3"/>
  <c r="H9" i="3" s="1"/>
  <c r="H7" i="3"/>
  <c r="H8" i="3"/>
  <c r="H10" i="3"/>
  <c r="H11" i="3"/>
  <c r="H12" i="3"/>
  <c r="H13" i="3"/>
  <c r="H16" i="3" s="1"/>
  <c r="I24" i="1" s="1"/>
  <c r="H14" i="3"/>
  <c r="H15" i="3"/>
  <c r="H17" i="3"/>
  <c r="H54" i="3" s="1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6" i="3"/>
  <c r="I25" i="1" s="1"/>
  <c r="H57" i="3"/>
  <c r="I26" i="1"/>
  <c r="H58" i="3"/>
  <c r="I27" i="1"/>
  <c r="H59" i="3"/>
  <c r="I28" i="1"/>
  <c r="H60" i="3"/>
  <c r="I29" i="1"/>
  <c r="H61" i="3"/>
  <c r="I30" i="1" s="1"/>
  <c r="H62" i="3"/>
  <c r="I31" i="1" s="1"/>
  <c r="B9" i="2"/>
  <c r="L9" i="2"/>
  <c r="B12" i="2"/>
  <c r="I12" i="2" s="1"/>
  <c r="K12" i="2"/>
  <c r="B13" i="2"/>
  <c r="I13" i="2"/>
  <c r="B14" i="2"/>
  <c r="L14" i="2"/>
  <c r="H14" i="2"/>
  <c r="M14" i="2"/>
  <c r="B15" i="2"/>
  <c r="K15" i="2" s="1"/>
  <c r="I15" i="2"/>
  <c r="L15" i="2"/>
  <c r="B16" i="2"/>
  <c r="L16" i="2" s="1"/>
  <c r="I16" i="2"/>
  <c r="G7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F27" i="16"/>
  <c r="E27" i="16"/>
  <c r="E9" i="2"/>
  <c r="A14" i="2"/>
  <c r="F14" i="2"/>
  <c r="L13" i="2"/>
  <c r="A16" i="2"/>
  <c r="K16" i="2"/>
  <c r="I14" i="2"/>
  <c r="K14" i="2"/>
  <c r="H30" i="10"/>
  <c r="H65" i="4"/>
  <c r="I19" i="1"/>
  <c r="H55" i="5"/>
  <c r="F13" i="2"/>
  <c r="F9" i="2"/>
  <c r="I14" i="1"/>
  <c r="H40" i="11"/>
  <c r="H16" i="11"/>
  <c r="H65" i="9"/>
  <c r="I9" i="2"/>
  <c r="H65" i="15"/>
  <c r="F15" i="2" s="1"/>
  <c r="A9" i="2"/>
  <c r="K9" i="2"/>
  <c r="A10" i="2"/>
  <c r="A11" i="2"/>
  <c r="H9" i="2"/>
  <c r="L10" i="2"/>
  <c r="K13" i="2"/>
  <c r="A13" i="2"/>
  <c r="L11" i="2"/>
  <c r="K11" i="2"/>
  <c r="I11" i="2"/>
  <c r="I7" i="2" l="1"/>
  <c r="L7" i="2"/>
  <c r="J8" i="2"/>
  <c r="N8" i="2" s="1"/>
  <c r="P8" i="2"/>
  <c r="H66" i="9"/>
  <c r="I18" i="1"/>
  <c r="G7" i="2"/>
  <c r="G17" i="2" s="1"/>
  <c r="H66" i="4"/>
  <c r="H69" i="4" s="1"/>
  <c r="H63" i="3"/>
  <c r="H66" i="14"/>
  <c r="F16" i="2" s="1"/>
  <c r="F17" i="2" s="1"/>
  <c r="I32" i="1"/>
  <c r="H65" i="8"/>
  <c r="H66" i="5"/>
  <c r="K17" i="2"/>
  <c r="H66" i="15"/>
  <c r="H69" i="15" s="1"/>
  <c r="M15" i="2" s="1"/>
  <c r="P15" i="2" s="1"/>
  <c r="H66" i="7"/>
  <c r="D12" i="2"/>
  <c r="I10" i="1"/>
  <c r="I8" i="1"/>
  <c r="H55" i="8"/>
  <c r="J15" i="2"/>
  <c r="I7" i="1"/>
  <c r="D14" i="2"/>
  <c r="H56" i="7"/>
  <c r="I9" i="1"/>
  <c r="H56" i="14"/>
  <c r="H67" i="6"/>
  <c r="M12" i="2" s="1"/>
  <c r="H68" i="6"/>
  <c r="H56" i="5"/>
  <c r="H55" i="3"/>
  <c r="H56" i="9"/>
  <c r="L12" i="2"/>
  <c r="H66" i="6" s="1"/>
  <c r="H69" i="6" s="1"/>
  <c r="I16" i="1"/>
  <c r="J39" i="1" s="1"/>
  <c r="H41" i="11"/>
  <c r="A15" i="2"/>
  <c r="H10" i="2"/>
  <c r="H17" i="2" s="1"/>
  <c r="I15" i="1"/>
  <c r="A12" i="2"/>
  <c r="H50" i="11"/>
  <c r="H65" i="10"/>
  <c r="H65" i="7"/>
  <c r="E11" i="2"/>
  <c r="E17" i="2" s="1"/>
  <c r="E18" i="2" s="1"/>
  <c r="H64" i="8"/>
  <c r="E12" i="2"/>
  <c r="I20" i="1" l="1"/>
  <c r="I36" i="1" s="1"/>
  <c r="H65" i="3"/>
  <c r="J16" i="2"/>
  <c r="H69" i="14"/>
  <c r="M16" i="2" s="1"/>
  <c r="P16" i="2" s="1"/>
  <c r="N15" i="2"/>
  <c r="H67" i="8"/>
  <c r="H66" i="8"/>
  <c r="M11" i="2" s="1"/>
  <c r="I23" i="1"/>
  <c r="H66" i="3"/>
  <c r="I11" i="1"/>
  <c r="J47" i="1"/>
  <c r="I47" i="1" s="1"/>
  <c r="H67" i="7"/>
  <c r="H68" i="7"/>
  <c r="H67" i="10"/>
  <c r="H68" i="10"/>
  <c r="D13" i="2"/>
  <c r="H68" i="8"/>
  <c r="D11" i="2"/>
  <c r="H53" i="11"/>
  <c r="H52" i="11"/>
  <c r="L17" i="2"/>
  <c r="L18" i="2" s="1"/>
  <c r="J48" i="1"/>
  <c r="I48" i="1" s="1"/>
  <c r="D10" i="2"/>
  <c r="H69" i="7"/>
  <c r="D7" i="2"/>
  <c r="J14" i="2"/>
  <c r="N14" i="2" s="1"/>
  <c r="P14" i="2"/>
  <c r="H68" i="5"/>
  <c r="H67" i="5"/>
  <c r="M13" i="2" s="1"/>
  <c r="I17" i="2"/>
  <c r="H66" i="10"/>
  <c r="H69" i="10" s="1"/>
  <c r="D9" i="2"/>
  <c r="H67" i="9"/>
  <c r="M9" i="2" s="1"/>
  <c r="H69" i="9"/>
  <c r="H68" i="9"/>
  <c r="J12" i="2"/>
  <c r="N12" i="2" s="1"/>
  <c r="P12" i="2"/>
  <c r="I41" i="1" l="1"/>
  <c r="H54" i="11"/>
  <c r="C33" i="16"/>
  <c r="N16" i="2"/>
  <c r="M10" i="2"/>
  <c r="D17" i="2"/>
  <c r="J7" i="2"/>
  <c r="I33" i="1"/>
  <c r="M17" i="2"/>
  <c r="I21" i="1"/>
  <c r="I22" i="1" s="1"/>
  <c r="H67" i="3"/>
  <c r="I35" i="1"/>
  <c r="I37" i="1" s="1"/>
  <c r="J9" i="2"/>
  <c r="N9" i="2" s="1"/>
  <c r="P9" i="2"/>
  <c r="P11" i="2"/>
  <c r="J11" i="2"/>
  <c r="N11" i="2" s="1"/>
  <c r="P10" i="2"/>
  <c r="J10" i="2"/>
  <c r="N10" i="2" s="1"/>
  <c r="H69" i="5"/>
  <c r="P13" i="2"/>
  <c r="J13" i="2"/>
  <c r="N13" i="2" s="1"/>
  <c r="G18" i="16" l="1"/>
  <c r="H18" i="16" s="1"/>
  <c r="H27" i="16" s="1"/>
  <c r="H17" i="16"/>
  <c r="L44" i="16"/>
  <c r="N7" i="2"/>
  <c r="N17" i="2" s="1"/>
  <c r="F18" i="2" s="1"/>
  <c r="P7" i="2"/>
  <c r="P17" i="2" s="1"/>
  <c r="J17" i="2"/>
  <c r="G13" i="16" l="1"/>
  <c r="D13" i="16"/>
  <c r="G27" i="16"/>
  <c r="K18" i="2"/>
  <c r="I18" i="2"/>
  <c r="D18" i="2"/>
  <c r="H18" i="2"/>
  <c r="J18" i="2"/>
  <c r="N18" i="2"/>
  <c r="G18" i="2"/>
  <c r="M18" i="2"/>
</calcChain>
</file>

<file path=xl/sharedStrings.xml><?xml version="1.0" encoding="utf-8"?>
<sst xmlns="http://schemas.openxmlformats.org/spreadsheetml/2006/main" count="657" uniqueCount="213">
  <si>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</si>
  <si>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</si>
  <si>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</si>
  <si>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</si>
  <si>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</si>
  <si>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</si>
  <si>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</si>
  <si>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</si>
  <si>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</si>
  <si>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</si>
  <si>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</si>
  <si>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</si>
  <si>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</si>
  <si>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</si>
  <si>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</si>
  <si>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</si>
  <si>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</si>
  <si>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</si>
  <si>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</si>
  <si>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</si>
  <si>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</si>
  <si>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</si>
  <si>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</si>
  <si>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</si>
  <si>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</si>
  <si>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</si>
  <si>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</si>
  <si>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</si>
  <si>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</si>
  <si>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</si>
  <si>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</si>
  <si>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</si>
  <si>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</si>
  <si>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</si>
  <si>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</si>
  <si>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</si>
  <si>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</si>
  <si>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</si>
  <si>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</si>
  <si>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</si>
  <si>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</si>
  <si>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</si>
  <si>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</si>
  <si>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</si>
  <si>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</si>
  <si>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</si>
  <si>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</si>
  <si>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</si>
  <si>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</si>
  <si>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</si>
  <si>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</si>
  <si>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</si>
  <si>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</si>
  <si>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</si>
  <si>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</si>
  <si>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</si>
  <si>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</si>
  <si>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</si>
  <si>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</si>
  <si>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</si>
  <si>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</si>
  <si>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</si>
  <si>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</si>
  <si>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</si>
  <si>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</si>
  <si>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</si>
  <si>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</si>
  <si>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</si>
  <si>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</si>
  <si>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</si>
  <si>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</si>
  <si>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</si>
  <si>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</si>
  <si>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</si>
  <si>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</si>
  <si>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</si>
  <si>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</si>
  <si>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</si>
  <si>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</si>
  <si>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</si>
  <si>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</si>
  <si>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</si>
  <si>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</si>
  <si>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</si>
  <si>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</si>
  <si>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</si>
  <si>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</si>
  <si>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</si>
  <si>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</si>
  <si>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</si>
  <si>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</si>
  <si>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</si>
  <si>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</si>
  <si>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</si>
  <si>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</si>
  <si>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</si>
  <si>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</si>
  <si>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</si>
  <si>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</si>
  <si>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</si>
  <si>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</si>
  <si>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</si>
  <si>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</si>
  <si>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</si>
  <si>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</si>
  <si>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</si>
  <si>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</si>
  <si>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</si>
  <si>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</si>
  <si>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</si>
  <si>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</si>
  <si>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</si>
  <si>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</si>
  <si>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</si>
  <si>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</si>
  <si>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</si>
  <si>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</si>
  <si>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</si>
  <si>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</si>
  <si>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</si>
  <si>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</si>
  <si>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</si>
  <si>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</si>
  <si>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</si>
  <si>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</si>
  <si>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</si>
  <si>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</si>
  <si>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</si>
  <si>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</si>
  <si>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</si>
  <si>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</si>
  <si>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</si>
  <si>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</si>
  <si>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</si>
  <si>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</si>
  <si>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</si>
  <si>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</si>
  <si>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</si>
  <si>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</si>
  <si>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</si>
  <si>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</si>
  <si>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</si>
  <si>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</si>
  <si>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</si>
  <si>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</si>
  <si>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</si>
  <si>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</si>
  <si>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</si>
  <si>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</si>
  <si>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</si>
  <si>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</si>
  <si>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</si>
  <si>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</si>
  <si>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</si>
  <si>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</si>
  <si>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</si>
  <si>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</si>
  <si>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</si>
  <si>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</si>
  <si>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</si>
  <si>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</si>
  <si>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</si>
  <si>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</si>
  <si>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</si>
  <si>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</si>
  <si>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</si>
  <si>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</si>
  <si>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</si>
  <si>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</si>
  <si>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</si>
  <si>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</si>
  <si>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</si>
  <si>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</si>
  <si>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</si>
  <si>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</si>
  <si>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전기+단위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</si>
  <si>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</si>
  <si>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</si>
  <si>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</si>
  <si>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상 /하 판 가공 및 PIN HOLE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</si>
  <si>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</si>
  <si>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</si>
  <si>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</si>
  <si>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</si>
  <si>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샘플승인비</t>
    <phoneticPr fontId="2" type="noConversion"/>
  </si>
  <si>
    <t>M/D</t>
    <phoneticPr fontId="2" type="noConversion"/>
  </si>
  <si>
    <t>샘플승인비</t>
    <phoneticPr fontId="2" type="noConversion"/>
  </si>
  <si>
    <t>운반구 철거</t>
    <phoneticPr fontId="2" type="noConversion"/>
  </si>
  <si>
    <t>견적담당:</t>
  </si>
  <si>
    <t>연 락 처 :</t>
  </si>
  <si>
    <t>제출후 30 일</t>
    <phoneticPr fontId="2" type="noConversion"/>
  </si>
  <si>
    <t xml:space="preserve">전화: </t>
    <phoneticPr fontId="2" type="noConversion"/>
  </si>
  <si>
    <t xml:space="preserve">Fax: </t>
    <phoneticPr fontId="2" type="noConversion"/>
  </si>
  <si>
    <t>BARCODE READER</t>
    <phoneticPr fontId="2" type="noConversion"/>
  </si>
  <si>
    <t>W1500 X H 1000</t>
    <phoneticPr fontId="2" type="noConversion"/>
  </si>
  <si>
    <t>KYENCE</t>
    <phoneticPr fontId="2" type="noConversion"/>
  </si>
  <si>
    <t>BRAKET</t>
    <phoneticPr fontId="2" type="noConversion"/>
  </si>
  <si>
    <t>W1700 X H 1200</t>
    <phoneticPr fontId="2" type="noConversion"/>
  </si>
  <si>
    <t>STAND</t>
    <phoneticPr fontId="2" type="noConversion"/>
  </si>
  <si>
    <t>W1700 X H 15000</t>
    <phoneticPr fontId="2" type="noConversion"/>
  </si>
  <si>
    <t>KDKK</t>
    <phoneticPr fontId="2" type="noConversion"/>
  </si>
  <si>
    <t>항공료</t>
    <phoneticPr fontId="2" type="noConversion"/>
  </si>
  <si>
    <t>대표 : 조덕기</t>
    <phoneticPr fontId="2" type="noConversion"/>
  </si>
  <si>
    <t>주소 : 인천시 남동구 남동동로 33</t>
    <phoneticPr fontId="2" type="noConversion"/>
  </si>
  <si>
    <t xml:space="preserve"> 김도훈</t>
    <phoneticPr fontId="2" type="noConversion"/>
  </si>
  <si>
    <t>010-8297-0768</t>
    <phoneticPr fontId="2" type="noConversion"/>
  </si>
  <si>
    <t>2025 년  7 월 3  일</t>
    <phoneticPr fontId="2" type="noConversion"/>
  </si>
  <si>
    <t>2024 년  7 월 30 일</t>
    <phoneticPr fontId="2" type="noConversion"/>
  </si>
  <si>
    <t>205-240910-1</t>
    <phoneticPr fontId="2" type="noConversion"/>
  </si>
  <si>
    <t>고주파열처리기 개조(전기)</t>
    <phoneticPr fontId="2" type="noConversion"/>
  </si>
  <si>
    <t>고주파열처리기 개조(기계)</t>
    <phoneticPr fontId="2" type="noConversion"/>
  </si>
  <si>
    <t>고주파열처리기 개조</t>
    <phoneticPr fontId="2" type="noConversion"/>
  </si>
  <si>
    <t>한국덴끼고교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</si>
</sst>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3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</cellStyleXfs>
  <cellXfs count="527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8" fontId="1" fillId="0" borderId="23" xfId="0" applyNumberFormat="1" applyFont="1" applyBorder="1" applyAlignment="1">
      <alignment horizontal="right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178" fontId="1" fillId="0" borderId="46" xfId="0" applyNumberFormat="1" applyFont="1" applyBorder="1" applyAlignment="1">
      <alignment horizontal="right" vertical="center"/>
    </xf>
    <xf numFmtId="178" fontId="1" fillId="0" borderId="50" xfId="0" applyNumberFormat="1" applyFont="1" applyBorder="1" applyAlignment="1">
      <alignment horizontal="right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178" fontId="27" fillId="0" borderId="85" xfId="0" applyNumberFormat="1" applyFont="1" applyBorder="1" applyAlignment="1">
      <alignment vertical="center"/>
    </xf>
    <xf numFmtId="178" fontId="27" fillId="0" borderId="63" xfId="0" applyNumberFormat="1" applyFont="1" applyBorder="1" applyAlignment="1">
      <alignment vertical="center"/>
    </xf>
    <xf numFmtId="178" fontId="27" fillId="0" borderId="86" xfId="0" applyNumberFormat="1" applyFont="1" applyBorder="1" applyAlignment="1">
      <alignment vertical="center"/>
    </xf>
    <xf numFmtId="178" fontId="27" fillId="0" borderId="13" xfId="0" applyNumberFormat="1" applyFont="1" applyBorder="1" applyAlignment="1">
      <alignment vertical="center"/>
    </xf>
    <xf numFmtId="178" fontId="27" fillId="0" borderId="4" xfId="0" applyNumberFormat="1" applyFont="1" applyBorder="1" applyAlignment="1">
      <alignment vertical="center"/>
    </xf>
    <xf numFmtId="178" fontId="27" fillId="0" borderId="5" xfId="0" applyNumberFormat="1" applyFont="1" applyBorder="1" applyAlignment="1">
      <alignment vertical="center"/>
    </xf>
    <xf numFmtId="178" fontId="27" fillId="0" borderId="87" xfId="0" applyNumberFormat="1" applyFont="1" applyBorder="1" applyAlignment="1">
      <alignment vertical="center"/>
    </xf>
    <xf numFmtId="178" fontId="27" fillId="0" borderId="23" xfId="0" applyNumberFormat="1" applyFont="1" applyBorder="1" applyAlignment="1">
      <alignment vertical="center"/>
    </xf>
    <xf numFmtId="178" fontId="27" fillId="0" borderId="9" xfId="0" applyNumberFormat="1" applyFont="1" applyBorder="1" applyAlignment="1">
      <alignment vertical="center"/>
    </xf>
    <xf numFmtId="178" fontId="27" fillId="0" borderId="1" xfId="0" applyNumberFormat="1" applyFont="1" applyBorder="1" applyAlignment="1">
      <alignment vertical="center"/>
    </xf>
    <xf numFmtId="178" fontId="27" fillId="0" borderId="2" xfId="0" applyNumberFormat="1" applyFont="1" applyBorder="1" applyAlignment="1">
      <alignment vertical="center"/>
    </xf>
    <xf numFmtId="178" fontId="27" fillId="0" borderId="40" xfId="0" applyNumberFormat="1" applyFont="1" applyBorder="1" applyAlignment="1">
      <alignment vertical="center"/>
    </xf>
    <xf numFmtId="9" fontId="28" fillId="0" borderId="88" xfId="1" applyFont="1" applyBorder="1" applyAlignment="1">
      <alignment vertical="center"/>
    </xf>
    <xf numFmtId="9" fontId="28" fillId="0" borderId="81" xfId="1" applyFont="1" applyBorder="1" applyAlignment="1">
      <alignment vertical="center"/>
    </xf>
    <xf numFmtId="9" fontId="28" fillId="0" borderId="89" xfId="1" applyFont="1" applyBorder="1" applyAlignment="1">
      <alignment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" fillId="0" borderId="13" xfId="0" applyNumberFormat="1" applyFont="1" applyBorder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1" fillId="0" borderId="54" xfId="0" applyNumberFormat="1" applyFont="1" applyBorder="1" applyAlignment="1">
      <alignment horizontal="right" vertical="center"/>
    </xf>
    <xf numFmtId="178" fontId="16" fillId="3" borderId="27" xfId="0" applyNumberFormat="1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horizontal="right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horizontal="right" vertical="center"/>
    </xf>
    <xf numFmtId="178" fontId="0" fillId="7" borderId="36" xfId="0" applyNumberForma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0" fontId="1" fillId="7" borderId="92" xfId="0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0" fontId="0" fillId="7" borderId="36" xfId="0" applyFill="1" applyBorder="1" applyAlignment="1">
      <alignment horizontal="right" vertical="center"/>
    </xf>
    <xf numFmtId="41" fontId="1" fillId="7" borderId="36" xfId="3" applyFont="1" applyFill="1" applyBorder="1" applyAlignment="1">
      <alignment horizontal="right" vertical="center"/>
    </xf>
    <xf numFmtId="0" fontId="0" fillId="7" borderId="92" xfId="0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0" fontId="1" fillId="7" borderId="36" xfId="0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4" fillId="2" borderId="95" xfId="0" applyFont="1" applyFill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0" borderId="78" xfId="0" applyFon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6" fillId="0" borderId="78" xfId="0" applyFont="1" applyBorder="1" applyAlignment="1">
      <alignment vertical="center"/>
    </xf>
    <xf numFmtId="0" fontId="0" fillId="2" borderId="96" xfId="0" applyFill="1" applyBorder="1" applyAlignment="1">
      <alignment vertical="center"/>
    </xf>
    <xf numFmtId="0" fontId="24" fillId="2" borderId="96" xfId="0" applyFont="1" applyFill="1" applyBorder="1" applyAlignment="1">
      <alignment horizontal="right" vertical="center"/>
    </xf>
    <xf numFmtId="0" fontId="25" fillId="2" borderId="0" xfId="0" applyFont="1" applyFill="1" applyAlignment="1">
      <alignment vertical="center"/>
    </xf>
    <xf numFmtId="0" fontId="24" fillId="2" borderId="0" xfId="0" applyFont="1" applyFill="1" applyAlignment="1">
      <alignment horizontal="left" vertical="center"/>
    </xf>
    <xf numFmtId="0" fontId="24" fillId="2" borderId="97" xfId="0" applyFont="1" applyFill="1" applyBorder="1" applyAlignment="1">
      <alignment horizontal="right" vertical="center"/>
    </xf>
    <xf numFmtId="0" fontId="25" fillId="2" borderId="98" xfId="0" applyFont="1" applyFill="1" applyBorder="1" applyAlignment="1">
      <alignment vertical="center"/>
    </xf>
    <xf numFmtId="0" fontId="24" fillId="2" borderId="98" xfId="0" applyFont="1" applyFill="1" applyBorder="1" applyAlignment="1">
      <alignment horizontal="left" vertical="center"/>
    </xf>
    <xf numFmtId="0" fontId="4" fillId="0" borderId="99" xfId="0" applyFont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78" fontId="1" fillId="0" borderId="87" xfId="0" applyNumberFormat="1" applyFont="1" applyBorder="1" applyAlignment="1">
      <alignment horizontal="center" vertical="center"/>
    </xf>
    <xf numFmtId="0" fontId="0" fillId="8" borderId="39" xfId="0" applyFill="1" applyBorder="1" applyAlignment="1">
      <alignment vertical="center"/>
    </xf>
    <xf numFmtId="0" fontId="30" fillId="8" borderId="36" xfId="0" applyFont="1" applyFill="1" applyBorder="1" applyAlignment="1">
      <alignment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0" fontId="3" fillId="2" borderId="36" xfId="0" applyFont="1" applyFill="1" applyBorder="1" applyAlignment="1">
      <alignment vertical="center"/>
    </xf>
    <xf numFmtId="0" fontId="31" fillId="8" borderId="52" xfId="0" applyFont="1" applyFill="1" applyBorder="1" applyAlignment="1">
      <alignment vertical="center"/>
    </xf>
    <xf numFmtId="0" fontId="31" fillId="8" borderId="36" xfId="0" applyFont="1" applyFill="1" applyBorder="1" applyAlignment="1">
      <alignment horizontal="center" vertical="center"/>
    </xf>
    <xf numFmtId="0" fontId="31" fillId="8" borderId="46" xfId="0" applyFont="1" applyFill="1" applyBorder="1" applyAlignment="1">
      <alignment horizontal="center" vertical="center"/>
    </xf>
    <xf numFmtId="183" fontId="31" fillId="8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31" fillId="8" borderId="36" xfId="0" applyFont="1" applyFill="1" applyBorder="1" applyAlignment="1">
      <alignment horizontal="left" vertical="center"/>
    </xf>
    <xf numFmtId="0" fontId="0" fillId="8" borderId="49" xfId="0" applyFill="1" applyBorder="1" applyAlignment="1">
      <alignment vertical="center"/>
    </xf>
    <xf numFmtId="0" fontId="0" fillId="8" borderId="51" xfId="0" applyFill="1" applyBorder="1" applyAlignment="1">
      <alignment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8" borderId="53" xfId="0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4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178" fontId="0" fillId="8" borderId="35" xfId="0" applyNumberFormat="1" applyFill="1" applyBorder="1" applyAlignment="1">
      <alignment vertical="center"/>
    </xf>
    <xf numFmtId="182" fontId="0" fillId="2" borderId="15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178" fontId="1" fillId="0" borderId="100" xfId="0" applyNumberFormat="1" applyFon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10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8" borderId="101" xfId="0" applyFill="1" applyBorder="1" applyAlignment="1">
      <alignment vertical="center"/>
    </xf>
    <xf numFmtId="0" fontId="0" fillId="0" borderId="93" xfId="0" applyBorder="1" applyAlignment="1">
      <alignment vertical="center"/>
    </xf>
    <xf numFmtId="0" fontId="0" fillId="0" borderId="101" xfId="0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78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" fillId="0" borderId="53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32" fillId="8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104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0" fontId="1" fillId="0" borderId="5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0" fontId="0" fillId="2" borderId="45" xfId="0" applyNumberFormat="1" applyFill="1" applyBorder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7" xfId="0" applyFont="1" applyFill="1" applyBorder="1" applyAlignment="1">
      <alignment vertical="center"/>
    </xf>
    <xf numFmtId="3" fontId="5" fillId="0" borderId="59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5" fillId="0" borderId="105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120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5" fillId="0" borderId="109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5" fillId="0" borderId="79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97" xfId="0" applyNumberFormat="1" applyFont="1" applyBorder="1" applyAlignment="1">
      <alignment horizontal="center" vertical="center"/>
    </xf>
    <xf numFmtId="3" fontId="5" fillId="0" borderId="9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0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 wrapText="1"/>
    </xf>
    <xf numFmtId="3" fontId="0" fillId="0" borderId="74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07" xfId="0" quotePrefix="1" applyNumberFormat="1" applyFont="1" applyBorder="1" applyAlignment="1">
      <alignment horizontal="left" vertical="center"/>
    </xf>
    <xf numFmtId="3" fontId="3" fillId="0" borderId="108" xfId="0" quotePrefix="1" applyNumberFormat="1" applyFont="1" applyBorder="1" applyAlignment="1">
      <alignment horizontal="left" vertical="center"/>
    </xf>
    <xf numFmtId="3" fontId="0" fillId="0" borderId="105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5" fillId="0" borderId="107" xfId="0" applyNumberFormat="1" applyFont="1" applyBorder="1" applyAlignment="1">
      <alignment horizontal="center" vertical="center"/>
    </xf>
    <xf numFmtId="3" fontId="5" fillId="0" borderId="98" xfId="0" applyNumberFormat="1" applyFont="1" applyBorder="1" applyAlignment="1">
      <alignment horizontal="center" vertical="center"/>
    </xf>
    <xf numFmtId="3" fontId="5" fillId="0" borderId="99" xfId="0" applyNumberFormat="1" applyFont="1" applyBorder="1" applyAlignment="1">
      <alignment horizontal="center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2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4">
    <cellStyle name="백분율" xfId="1" builtinId="5"/>
    <cellStyle name="쉼표 [0]" xfId="2" builtinId="6"/>
    <cellStyle name="쉼표 [0] 3" xfId="3" xr:uid="{323BF005-79D3-4205-BF9A-A574E432FA1B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198120</xdr:colOff>
      <xdr:row>15</xdr:row>
      <xdr:rowOff>19050</xdr:rowOff>
    </xdr:from>
    <xdr:to>
      <xdr:col>14</xdr:col>
      <xdr:colOff>11502</xdr:colOff>
      <xdr:row>16</xdr:row>
      <xdr:rowOff>82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858C3B9D-911A-6E90-5CF0-1CD1C82F7F78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205740</xdr:colOff>
      <xdr:row>11</xdr:row>
      <xdr:rowOff>11430</xdr:rowOff>
    </xdr:from>
    <xdr:to>
      <xdr:col>14</xdr:col>
      <xdr:colOff>19134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8636E426-23AC-B834-EC4B-B83B11D006BF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205740</xdr:colOff>
      <xdr:row>17</xdr:row>
      <xdr:rowOff>11430</xdr:rowOff>
    </xdr:from>
    <xdr:to>
      <xdr:col>14</xdr:col>
      <xdr:colOff>19134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D2B30F96-9938-65AE-C069-C4589EE6576A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217170</xdr:colOff>
      <xdr:row>7</xdr:row>
      <xdr:rowOff>115255</xdr:rowOff>
    </xdr:from>
    <xdr:to>
      <xdr:col>14</xdr:col>
      <xdr:colOff>30430</xdr:colOff>
      <xdr:row>8</xdr:row>
      <xdr:rowOff>152054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2142D8F9-3CD9-E822-CDB4-9F39A457DEEA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200496</xdr:colOff>
      <xdr:row>14</xdr:row>
      <xdr:rowOff>0</xdr:rowOff>
    </xdr:from>
    <xdr:to>
      <xdr:col>14</xdr:col>
      <xdr:colOff>15812</xdr:colOff>
      <xdr:row>14</xdr:row>
      <xdr:rowOff>174127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23635CD0-084C-817D-38BD-90A6B4A0FFFB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214307</xdr:colOff>
      <xdr:row>8</xdr:row>
      <xdr:rowOff>180498</xdr:rowOff>
    </xdr:from>
    <xdr:to>
      <xdr:col>14</xdr:col>
      <xdr:colOff>19954</xdr:colOff>
      <xdr:row>10</xdr:row>
      <xdr:rowOff>152392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C06B021A-8747-0F52-A2A1-22D28D706C74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6</xdr:col>
      <xdr:colOff>232413</xdr:colOff>
      <xdr:row>0</xdr:row>
      <xdr:rowOff>218150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3EE44D54-4383-653F-0E09-B58CD4FB8061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0</xdr:row>
      <xdr:rowOff>0</xdr:rowOff>
    </xdr:from>
    <xdr:to>
      <xdr:col>8</xdr:col>
      <xdr:colOff>766198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A72CAFDC-AF6F-60A9-F134-E55DE35943F9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156210</xdr:colOff>
      <xdr:row>0</xdr:row>
      <xdr:rowOff>22860</xdr:rowOff>
    </xdr:from>
    <xdr:to>
      <xdr:col>3</xdr:col>
      <xdr:colOff>979170</xdr:colOff>
      <xdr:row>0</xdr:row>
      <xdr:rowOff>218150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3A95146C-D220-3FFF-9898-4F5F601E378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1009650</xdr:colOff>
      <xdr:row>0</xdr:row>
      <xdr:rowOff>218150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5CA002AC-6C23-EC51-217E-4DABABD39D2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167640</xdr:colOff>
      <xdr:row>0</xdr:row>
      <xdr:rowOff>0</xdr:rowOff>
    </xdr:from>
    <xdr:to>
      <xdr:col>8</xdr:col>
      <xdr:colOff>567683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8927DF7B-ED7E-BE92-9E37-B5A890E4F462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1024890</xdr:colOff>
      <xdr:row>0</xdr:row>
      <xdr:rowOff>218150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497DF22-1C0B-0B9E-7F65-81B646F96CF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240030</xdr:colOff>
      <xdr:row>0</xdr:row>
      <xdr:rowOff>0</xdr:rowOff>
    </xdr:from>
    <xdr:to>
      <xdr:col>8</xdr:col>
      <xdr:colOff>640073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36B0AE67-430E-A835-69E4-EFD9CD39DE2C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944136</xdr:colOff>
      <xdr:row>0</xdr:row>
      <xdr:rowOff>218150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F14C0FD8-BDDC-559D-B9F4-CE1B5A27A9C1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64770</xdr:colOff>
      <xdr:row>0</xdr:row>
      <xdr:rowOff>0</xdr:rowOff>
    </xdr:from>
    <xdr:to>
      <xdr:col>8</xdr:col>
      <xdr:colOff>480055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65E97F19-DEAF-8DAB-4AC2-3868434A0C3F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</xdr:colOff>
      <xdr:row>0</xdr:row>
      <xdr:rowOff>22860</xdr:rowOff>
    </xdr:from>
    <xdr:to>
      <xdr:col>3</xdr:col>
      <xdr:colOff>857250</xdr:colOff>
      <xdr:row>0</xdr:row>
      <xdr:rowOff>218150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FFD43FC8-D54B-7AFC-D31C-32EFF6552D8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140970</xdr:colOff>
      <xdr:row>0</xdr:row>
      <xdr:rowOff>0</xdr:rowOff>
    </xdr:from>
    <xdr:to>
      <xdr:col>8</xdr:col>
      <xdr:colOff>548634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2D81549C-2E87-A0E3-5A78-C71AE3E2E92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994410</xdr:colOff>
      <xdr:row>0</xdr:row>
      <xdr:rowOff>218150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7F170C59-11FF-8A47-3536-54A97CEB81F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240030</xdr:colOff>
      <xdr:row>0</xdr:row>
      <xdr:rowOff>0</xdr:rowOff>
    </xdr:from>
    <xdr:to>
      <xdr:col>8</xdr:col>
      <xdr:colOff>640073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474172A4-0E99-D307-1C4B-E6C15E799A34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944136</xdr:colOff>
      <xdr:row>0</xdr:row>
      <xdr:rowOff>218150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787C3DB8-4EF3-D41B-3375-9160102909D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129540</xdr:colOff>
      <xdr:row>0</xdr:row>
      <xdr:rowOff>0</xdr:rowOff>
    </xdr:from>
    <xdr:to>
      <xdr:col>8</xdr:col>
      <xdr:colOff>537204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6BD11326-DF46-6A8D-1512-B509215DC8DC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936559</xdr:colOff>
      <xdr:row>0</xdr:row>
      <xdr:rowOff>218150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3DF02A5A-AF56-3734-F5C7-6AF87AF0F2B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9422BC96-D02E-6888-C4BD-5E9C7B87E3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11430</xdr:colOff>
      <xdr:row>0</xdr:row>
      <xdr:rowOff>0</xdr:rowOff>
    </xdr:from>
    <xdr:to>
      <xdr:col>8</xdr:col>
      <xdr:colOff>411474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BF38D999-11B8-DF21-6CAC-D8110A8657F3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936559</xdr:colOff>
      <xdr:row>0</xdr:row>
      <xdr:rowOff>218150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24CC138A-138B-6EDC-4A0C-8EBB584EEF9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6E230D88-E747-459D-BA22-DCDCD76F85AF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1097280</xdr:colOff>
      <xdr:row>0</xdr:row>
      <xdr:rowOff>0</xdr:rowOff>
    </xdr:from>
    <xdr:to>
      <xdr:col>8</xdr:col>
      <xdr:colOff>384577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72949618-36A4-F173-E217-83CAE3C75BF7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156210</xdr:colOff>
      <xdr:row>0</xdr:row>
      <xdr:rowOff>22860</xdr:rowOff>
    </xdr:from>
    <xdr:to>
      <xdr:col>3</xdr:col>
      <xdr:colOff>936559</xdr:colOff>
      <xdr:row>0</xdr:row>
      <xdr:rowOff>218150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08066463-C0A5-3DD4-F6EC-4DF0C531AA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56824B34-E0F2-38D8-AE76-B6BBEEBA48BC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1070610</xdr:colOff>
      <xdr:row>0</xdr:row>
      <xdr:rowOff>0</xdr:rowOff>
    </xdr:from>
    <xdr:to>
      <xdr:col>8</xdr:col>
      <xdr:colOff>365911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1564AAC4-A8D9-1A28-DB1E-292042FEF696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9753-AE08-470B-BDA0-99683007347B}">
  <sheetPr>
    <pageSetUpPr fitToPage="1"/>
  </sheetPr>
  <dimension ref="B1:L44"/>
  <sheetViews>
    <sheetView tabSelected="1" zoomScale="90" zoomScaleNormal="90" zoomScaleSheetLayoutView="90" workbookViewId="0">
      <selection activeCell="L10" sqref="L10"/>
    </sheetView>
  </sheetViews>
  <sheetFormatPr defaultColWidth="9" defaultRowHeight="13.5"/>
  <cols>
    <col min="1" max="1" width="2" style="165" customWidth="1"/>
    <col min="2" max="2" width="4.875" style="165" customWidth="1"/>
    <col min="3" max="3" width="8.5" style="165" customWidth="1"/>
    <col min="4" max="4" width="14.75" style="165" customWidth="1"/>
    <col min="5" max="6" width="11.125" style="165" customWidth="1"/>
    <col min="7" max="7" width="13.75" style="165" customWidth="1"/>
    <col min="8" max="8" width="14" style="165" customWidth="1"/>
    <col min="9" max="9" width="8.5" style="165" customWidth="1"/>
    <col min="10" max="10" width="1.375" style="165" customWidth="1"/>
    <col min="11" max="11" width="9" style="165"/>
    <col min="12" max="12" width="33.25" style="165" customWidth="1"/>
    <col min="13" max="16384" width="9" style="165"/>
  </cols>
  <sheetData>
    <row r="1" spans="2:10">
      <c r="B1" s="165" t="s">
        <v>137</v>
      </c>
    </row>
    <row r="2" spans="2:10" ht="38.25">
      <c r="B2" s="436" t="s">
        <v>132</v>
      </c>
      <c r="C2" s="436"/>
      <c r="D2" s="436"/>
      <c r="E2" s="436"/>
      <c r="F2" s="436"/>
      <c r="G2" s="436"/>
      <c r="H2" s="436"/>
      <c r="I2" s="436"/>
    </row>
    <row r="4" spans="2:10" s="171" customFormat="1" ht="24" customHeight="1">
      <c r="B4" s="437" t="s">
        <v>174</v>
      </c>
      <c r="C4" s="437"/>
      <c r="D4" s="437"/>
      <c r="G4" s="312" t="s">
        <v>212</v>
      </c>
      <c r="H4" s="313"/>
      <c r="I4" s="314"/>
      <c r="J4" s="315"/>
    </row>
    <row r="5" spans="2:10" s="171" customFormat="1" ht="21.75" customHeight="1">
      <c r="B5" s="411" t="s">
        <v>125</v>
      </c>
      <c r="C5" s="412"/>
      <c r="D5" s="370">
        <v>45820</v>
      </c>
      <c r="E5" s="182"/>
      <c r="G5" s="316" t="s">
        <v>202</v>
      </c>
      <c r="H5" s="317"/>
      <c r="I5" s="317"/>
      <c r="J5" s="318"/>
    </row>
    <row r="6" spans="2:10" s="171" customFormat="1" ht="21.75" customHeight="1">
      <c r="B6" s="413" t="s">
        <v>126</v>
      </c>
      <c r="C6" s="414"/>
      <c r="D6" s="264" t="s">
        <v>208</v>
      </c>
      <c r="E6" s="183"/>
      <c r="G6" s="316" t="s">
        <v>203</v>
      </c>
      <c r="H6" s="319"/>
      <c r="I6" s="319"/>
      <c r="J6" s="320"/>
    </row>
    <row r="7" spans="2:10" s="171" customFormat="1" ht="21.75" customHeight="1">
      <c r="B7" s="415" t="s">
        <v>127</v>
      </c>
      <c r="C7" s="188" t="s">
        <v>135</v>
      </c>
      <c r="D7" s="264" t="s">
        <v>206</v>
      </c>
      <c r="E7" s="183"/>
      <c r="G7" s="321"/>
      <c r="H7" s="319"/>
      <c r="I7" s="319"/>
      <c r="J7" s="320"/>
    </row>
    <row r="8" spans="2:10" s="171" customFormat="1" ht="21.75" customHeight="1">
      <c r="B8" s="415"/>
      <c r="C8" s="188" t="s">
        <v>136</v>
      </c>
      <c r="D8" s="264" t="s">
        <v>207</v>
      </c>
      <c r="E8" s="183"/>
      <c r="G8" s="321" t="s">
        <v>191</v>
      </c>
      <c r="H8" s="319"/>
      <c r="I8" s="319"/>
      <c r="J8" s="320"/>
    </row>
    <row r="9" spans="2:10" s="171" customFormat="1" ht="21.75" customHeight="1">
      <c r="B9" s="413" t="s">
        <v>128</v>
      </c>
      <c r="C9" s="414"/>
      <c r="D9" s="264" t="s">
        <v>190</v>
      </c>
      <c r="E9" s="183"/>
      <c r="G9" s="316" t="s">
        <v>192</v>
      </c>
      <c r="H9" s="319"/>
      <c r="I9" s="319"/>
      <c r="J9" s="320"/>
    </row>
    <row r="10" spans="2:10" s="171" customFormat="1" ht="21.75" customHeight="1">
      <c r="B10" s="413" t="s">
        <v>129</v>
      </c>
      <c r="C10" s="414"/>
      <c r="D10" s="264" t="s">
        <v>182</v>
      </c>
      <c r="E10" s="183"/>
      <c r="G10" s="322" t="s">
        <v>188</v>
      </c>
      <c r="H10" s="323" t="s">
        <v>204</v>
      </c>
      <c r="I10" s="324"/>
      <c r="J10" s="318"/>
    </row>
    <row r="11" spans="2:10" s="171" customFormat="1" ht="21.75" customHeight="1">
      <c r="B11" s="413" t="s">
        <v>130</v>
      </c>
      <c r="C11" s="414"/>
      <c r="D11" s="264" t="s">
        <v>183</v>
      </c>
      <c r="E11" s="183"/>
      <c r="G11" s="325" t="s">
        <v>189</v>
      </c>
      <c r="H11" s="326" t="s">
        <v>205</v>
      </c>
      <c r="I11" s="327"/>
      <c r="J11" s="328"/>
    </row>
    <row r="12" spans="2:10" s="172" customFormat="1" ht="10.5" customHeight="1">
      <c r="B12" s="174"/>
      <c r="I12" s="173"/>
    </row>
    <row r="13" spans="2:10" s="172" customFormat="1" ht="24.95" customHeight="1">
      <c r="B13" s="402" t="s">
        <v>180</v>
      </c>
      <c r="C13" s="402"/>
      <c r="D13" s="403" t="str">
        <f>"一金"&amp;NUMBERSTRING(H27,1)&amp;"원整"</f>
        <v>一金구천구백오십만원整</v>
      </c>
      <c r="E13" s="404"/>
      <c r="F13" s="404"/>
      <c r="G13" s="398">
        <f>H27</f>
        <v>99500000</v>
      </c>
      <c r="H13" s="399"/>
      <c r="I13" s="357" t="s">
        <v>181</v>
      </c>
      <c r="J13" s="171"/>
    </row>
    <row r="14" spans="2:10" s="171" customFormat="1" ht="8.25" customHeight="1"/>
    <row r="15" spans="2:10" s="166" customFormat="1" ht="24.95" customHeight="1">
      <c r="B15" s="440" t="s">
        <v>120</v>
      </c>
      <c r="C15" s="444" t="s">
        <v>144</v>
      </c>
      <c r="D15" s="445"/>
      <c r="E15" s="438" t="s">
        <v>131</v>
      </c>
      <c r="F15" s="439"/>
      <c r="G15" s="439"/>
      <c r="H15" s="439"/>
      <c r="I15" s="440" t="s">
        <v>27</v>
      </c>
    </row>
    <row r="16" spans="2:10" s="166" customFormat="1" ht="29.25" customHeight="1">
      <c r="B16" s="439"/>
      <c r="C16" s="446"/>
      <c r="D16" s="447"/>
      <c r="E16" s="374" t="s">
        <v>13</v>
      </c>
      <c r="F16" s="375" t="s">
        <v>11</v>
      </c>
      <c r="G16" s="376" t="s">
        <v>175</v>
      </c>
      <c r="H16" s="373" t="s">
        <v>124</v>
      </c>
      <c r="I16" s="439"/>
    </row>
    <row r="17" spans="2:10" ht="24.95" customHeight="1">
      <c r="B17" s="377">
        <v>1</v>
      </c>
      <c r="C17" s="416" t="s">
        <v>209</v>
      </c>
      <c r="D17" s="417"/>
      <c r="E17" s="378">
        <v>1</v>
      </c>
      <c r="F17" s="379"/>
      <c r="G17" s="380">
        <f>전기!H67</f>
        <v>47150000</v>
      </c>
      <c r="H17" s="381">
        <f>E17*G17</f>
        <v>47150000</v>
      </c>
      <c r="I17" s="382"/>
    </row>
    <row r="18" spans="2:10" ht="24.95" customHeight="1">
      <c r="B18" s="175">
        <v>2</v>
      </c>
      <c r="C18" s="393" t="s">
        <v>210</v>
      </c>
      <c r="D18" s="394"/>
      <c r="E18" s="266">
        <v>1</v>
      </c>
      <c r="F18" s="383"/>
      <c r="G18" s="176">
        <f>단위장비1!H54</f>
        <v>52350000</v>
      </c>
      <c r="H18" s="189">
        <f>E18*G18</f>
        <v>52350000</v>
      </c>
      <c r="I18" s="70"/>
    </row>
    <row r="19" spans="2:10" ht="24.95" customHeight="1">
      <c r="B19" s="175">
        <v>3</v>
      </c>
      <c r="C19" s="393"/>
      <c r="D19" s="394"/>
      <c r="E19" s="266"/>
      <c r="F19" s="384"/>
      <c r="G19" s="176"/>
      <c r="H19" s="285"/>
      <c r="I19" s="177"/>
    </row>
    <row r="20" spans="2:10" ht="24.95" customHeight="1">
      <c r="B20" s="175">
        <v>4</v>
      </c>
      <c r="C20" s="393"/>
      <c r="D20" s="394"/>
      <c r="E20" s="266"/>
      <c r="F20" s="384"/>
      <c r="G20" s="176"/>
      <c r="H20" s="285"/>
      <c r="I20" s="177"/>
    </row>
    <row r="21" spans="2:10" ht="24.95" customHeight="1">
      <c r="B21" s="175">
        <v>5</v>
      </c>
      <c r="C21" s="393"/>
      <c r="D21" s="394"/>
      <c r="E21" s="266"/>
      <c r="F21" s="384"/>
      <c r="G21" s="176"/>
      <c r="H21" s="285"/>
      <c r="I21" s="177"/>
    </row>
    <row r="22" spans="2:10" ht="24.95" customHeight="1">
      <c r="B22" s="175">
        <v>6</v>
      </c>
      <c r="C22" s="393"/>
      <c r="D22" s="394"/>
      <c r="E22" s="266"/>
      <c r="F22" s="384"/>
      <c r="G22" s="176"/>
      <c r="H22" s="285"/>
      <c r="I22" s="177"/>
    </row>
    <row r="23" spans="2:10" ht="24.95" customHeight="1">
      <c r="B23" s="175">
        <v>7</v>
      </c>
      <c r="C23" s="393"/>
      <c r="D23" s="394"/>
      <c r="E23" s="266"/>
      <c r="F23" s="384"/>
      <c r="G23" s="176"/>
      <c r="H23" s="285"/>
      <c r="I23" s="177"/>
    </row>
    <row r="24" spans="2:10" ht="24.95" customHeight="1">
      <c r="B24" s="178">
        <v>8</v>
      </c>
      <c r="C24" s="393"/>
      <c r="D24" s="394"/>
      <c r="E24" s="266"/>
      <c r="F24" s="384"/>
      <c r="G24" s="176"/>
      <c r="H24" s="189"/>
      <c r="I24" s="177"/>
    </row>
    <row r="25" spans="2:10" ht="24.95" customHeight="1">
      <c r="B25" s="178">
        <v>9</v>
      </c>
      <c r="C25" s="393"/>
      <c r="D25" s="394"/>
      <c r="E25" s="266"/>
      <c r="F25" s="384"/>
      <c r="G25" s="176"/>
      <c r="H25" s="189"/>
      <c r="I25" s="177"/>
    </row>
    <row r="26" spans="2:10" ht="24.95" customHeight="1">
      <c r="B26" s="179">
        <v>10</v>
      </c>
      <c r="C26" s="400"/>
      <c r="D26" s="401"/>
      <c r="E26" s="332"/>
      <c r="F26" s="385"/>
      <c r="G26" s="180"/>
      <c r="H26" s="190"/>
      <c r="I26" s="181"/>
    </row>
    <row r="27" spans="2:10" ht="24.95" customHeight="1">
      <c r="B27" s="421" t="s">
        <v>133</v>
      </c>
      <c r="C27" s="422"/>
      <c r="D27" s="423"/>
      <c r="E27" s="185">
        <f>SUM(E17:E23)</f>
        <v>2</v>
      </c>
      <c r="F27" s="186">
        <f>SUM(F17:F23)</f>
        <v>0</v>
      </c>
      <c r="G27" s="186">
        <f>SUM(G17:G23)</f>
        <v>99500000</v>
      </c>
      <c r="H27" s="286">
        <f>SUM(H17:H18)</f>
        <v>99500000</v>
      </c>
      <c r="I27" s="187"/>
      <c r="J27" s="170"/>
    </row>
    <row r="28" spans="2:10" ht="4.5" customHeight="1">
      <c r="B28" s="168"/>
      <c r="C28" s="169"/>
      <c r="D28" s="169"/>
      <c r="E28" s="170"/>
      <c r="F28" s="170"/>
      <c r="G28" s="170"/>
      <c r="H28" s="170"/>
    </row>
    <row r="29" spans="2:10" ht="24" customHeight="1">
      <c r="B29" s="169"/>
      <c r="C29" s="169"/>
      <c r="D29" s="169"/>
      <c r="E29" s="170"/>
      <c r="F29" s="391" t="s">
        <v>134</v>
      </c>
      <c r="G29" s="392"/>
      <c r="H29" s="167"/>
    </row>
    <row r="30" spans="2:10" ht="15" customHeight="1">
      <c r="B30" s="169"/>
      <c r="C30" s="169"/>
      <c r="D30" s="169"/>
      <c r="E30" s="170"/>
      <c r="F30" s="170"/>
      <c r="G30" s="170"/>
      <c r="H30" s="170"/>
    </row>
    <row r="31" spans="2:10" ht="22.5" customHeight="1">
      <c r="B31" s="418" t="s">
        <v>123</v>
      </c>
      <c r="C31" s="433" t="s">
        <v>121</v>
      </c>
      <c r="D31" s="434"/>
      <c r="E31" s="435"/>
      <c r="F31" s="395" t="s">
        <v>143</v>
      </c>
      <c r="G31" s="396"/>
      <c r="H31" s="396"/>
      <c r="I31" s="397"/>
    </row>
    <row r="32" spans="2:10" ht="22.5" customHeight="1">
      <c r="B32" s="419"/>
      <c r="C32" s="448" t="s">
        <v>122</v>
      </c>
      <c r="D32" s="449"/>
      <c r="E32" s="450"/>
      <c r="F32" s="184" t="s">
        <v>168</v>
      </c>
      <c r="G32" s="405"/>
      <c r="H32" s="406"/>
      <c r="I32" s="407"/>
    </row>
    <row r="33" spans="2:12" ht="22.5" customHeight="1">
      <c r="B33" s="419"/>
      <c r="C33" s="441">
        <f>'원가항목별(집계)'!I39</f>
        <v>0</v>
      </c>
      <c r="D33" s="442"/>
      <c r="E33" s="443"/>
      <c r="F33" s="178" t="s">
        <v>169</v>
      </c>
      <c r="G33" s="408"/>
      <c r="H33" s="409"/>
      <c r="I33" s="410"/>
    </row>
    <row r="34" spans="2:12" ht="22.5" customHeight="1">
      <c r="B34" s="419"/>
      <c r="C34" s="424"/>
      <c r="D34" s="425"/>
      <c r="E34" s="426"/>
      <c r="F34" s="178" t="s">
        <v>170</v>
      </c>
      <c r="G34" s="408"/>
      <c r="H34" s="409"/>
      <c r="I34" s="410"/>
    </row>
    <row r="35" spans="2:12" ht="22.5" customHeight="1">
      <c r="B35" s="420"/>
      <c r="C35" s="427"/>
      <c r="D35" s="428"/>
      <c r="E35" s="429"/>
      <c r="F35" s="179" t="s">
        <v>171</v>
      </c>
      <c r="G35" s="430"/>
      <c r="H35" s="431"/>
      <c r="I35" s="432"/>
    </row>
    <row r="44" spans="2:12">
      <c r="L44" s="165">
        <f>전기!H67+단위장비1!H54+단위장비2!H69+단위장비3!H69+단위장비5!H68+단위장비4!H69+단위장비6!H69+단위장비7!H69+단위장비8!H69+단위장비9!H69+단위장비10!H69</f>
        <v>99500000</v>
      </c>
    </row>
  </sheetData>
  <mergeCells count="38">
    <mergeCell ref="C33:E33"/>
    <mergeCell ref="B11:C11"/>
    <mergeCell ref="C15:D16"/>
    <mergeCell ref="C20:D20"/>
    <mergeCell ref="C21:D21"/>
    <mergeCell ref="C32:E32"/>
    <mergeCell ref="B2:I2"/>
    <mergeCell ref="B4:D4"/>
    <mergeCell ref="E15:H15"/>
    <mergeCell ref="B15:B16"/>
    <mergeCell ref="I15:I16"/>
    <mergeCell ref="G32:I32"/>
    <mergeCell ref="G33:I33"/>
    <mergeCell ref="B5:C5"/>
    <mergeCell ref="B6:C6"/>
    <mergeCell ref="B9:C9"/>
    <mergeCell ref="B10:C10"/>
    <mergeCell ref="B7:B8"/>
    <mergeCell ref="C17:D17"/>
    <mergeCell ref="B31:B35"/>
    <mergeCell ref="B27:D27"/>
    <mergeCell ref="C34:E34"/>
    <mergeCell ref="C35:E35"/>
    <mergeCell ref="G34:I34"/>
    <mergeCell ref="G35:I35"/>
    <mergeCell ref="C18:D18"/>
    <mergeCell ref="C31:E31"/>
    <mergeCell ref="F29:G29"/>
    <mergeCell ref="C19:D19"/>
    <mergeCell ref="F31:I31"/>
    <mergeCell ref="G13:H13"/>
    <mergeCell ref="C22:D22"/>
    <mergeCell ref="C23:D23"/>
    <mergeCell ref="C24:D24"/>
    <mergeCell ref="C25:D25"/>
    <mergeCell ref="C26:D26"/>
    <mergeCell ref="B13:C13"/>
    <mergeCell ref="D13:F1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orientation="portrait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4-1678-4B77-BC1C-283C30A392FE}">
  <sheetPr codeName="Sheet3">
    <pageSetUpPr fitToPage="1"/>
  </sheetPr>
  <dimension ref="B1:M49"/>
  <sheetViews>
    <sheetView showGridLines="0" zoomScale="80" workbookViewId="0">
      <pane ySplit="6" topLeftCell="A16" activePane="bottomLeft" state="frozen"/>
      <selection activeCell="U21" sqref="U21:U23"/>
      <selection pane="bottomLeft" activeCell="I38" sqref="I38"/>
    </sheetView>
  </sheetViews>
  <sheetFormatPr defaultColWidth="9"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13.25" style="44" customWidth="1"/>
    <col min="9" max="9" width="17.5" style="44" bestFit="1" customWidth="1"/>
    <col min="10" max="10" width="15.625" style="7" customWidth="1"/>
    <col min="11" max="11" width="13.75" style="80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77"/>
    </row>
    <row r="2" spans="2:11" s="79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78"/>
    </row>
    <row r="3" spans="2:11" s="79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78"/>
    </row>
    <row r="4" spans="2:11" ht="30" customHeight="1">
      <c r="B4" s="160" t="s">
        <v>114</v>
      </c>
      <c r="D4" s="123"/>
      <c r="J4" s="8"/>
    </row>
    <row r="5" spans="2:11" s="8" customFormat="1" ht="8.25" customHeight="1">
      <c r="B5" s="9"/>
      <c r="C5" s="475"/>
      <c r="D5" s="476"/>
      <c r="E5" s="477"/>
      <c r="F5" s="10"/>
      <c r="G5" s="81"/>
      <c r="H5" s="81"/>
      <c r="I5" s="81"/>
      <c r="J5" s="82"/>
      <c r="K5" s="83"/>
    </row>
    <row r="6" spans="2:11" s="8" customFormat="1" ht="22.5" customHeight="1" thickBot="1">
      <c r="B6" s="37" t="s">
        <v>10</v>
      </c>
      <c r="C6" s="478" t="s">
        <v>12</v>
      </c>
      <c r="D6" s="479"/>
      <c r="E6" s="480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3"/>
    </row>
    <row r="7" spans="2:11" ht="19.5" customHeight="1" thickTop="1">
      <c r="B7" s="472">
        <v>1</v>
      </c>
      <c r="C7" s="491" t="s">
        <v>90</v>
      </c>
      <c r="D7" s="487" t="s">
        <v>1</v>
      </c>
      <c r="E7" s="36" t="s">
        <v>88</v>
      </c>
      <c r="F7" s="163" t="s">
        <v>117</v>
      </c>
      <c r="G7" s="92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0</v>
      </c>
      <c r="J7" s="22" t="s">
        <v>21</v>
      </c>
    </row>
    <row r="8" spans="2:11" ht="19.5" customHeight="1">
      <c r="B8" s="472"/>
      <c r="C8" s="487"/>
      <c r="D8" s="487"/>
      <c r="E8" s="12" t="s">
        <v>119</v>
      </c>
      <c r="F8" s="161" t="s">
        <v>118</v>
      </c>
      <c r="G8" s="93">
        <v>1</v>
      </c>
      <c r="H8" s="35"/>
      <c r="I8" s="35">
        <f>단위장비1!H32+단위장비2!H47+단위장비3!H47+단위장비5!H46+단위장비4!H47+단위장비6!H47+단위장비7!H47+단위장비8!H47+단위장비9!H47+단위장비10!H47</f>
        <v>0</v>
      </c>
      <c r="J8" s="13" t="s">
        <v>22</v>
      </c>
    </row>
    <row r="9" spans="2:11" ht="19.5" customHeight="1">
      <c r="B9" s="472"/>
      <c r="C9" s="487"/>
      <c r="D9" s="487"/>
      <c r="E9" s="12" t="s">
        <v>2</v>
      </c>
      <c r="F9" s="161" t="s">
        <v>118</v>
      </c>
      <c r="G9" s="94">
        <v>1</v>
      </c>
      <c r="H9" s="35"/>
      <c r="I9" s="35">
        <f>단위장비1!H40+단위장비2!H55+단위장비3!H55+단위장비5!H54+단위장비4!H55+단위장비6!H55+단위장비7!H55+단위장비8!H55+단위장비9!H55+단위장비10!H55</f>
        <v>0</v>
      </c>
      <c r="J9" s="13" t="s">
        <v>30</v>
      </c>
    </row>
    <row r="10" spans="2:11" ht="19.5" customHeight="1">
      <c r="B10" s="472"/>
      <c r="C10" s="487"/>
      <c r="D10" s="487"/>
      <c r="E10" s="235" t="s">
        <v>153</v>
      </c>
      <c r="F10" s="256" t="s">
        <v>148</v>
      </c>
      <c r="G10" s="257">
        <v>1</v>
      </c>
      <c r="H10" s="236"/>
      <c r="I10" s="236">
        <f>단위장비1!H16+단위장비2!H30+단위장비3!H30+단위장비5!H29+단위장비4!H30+단위장비6!H30+단위장비7!H30+단위장비8!H30+단위장비9!H30+단위장비10!H30</f>
        <v>0</v>
      </c>
      <c r="J10" s="250" t="s">
        <v>154</v>
      </c>
    </row>
    <row r="11" spans="2:11" ht="19.5" customHeight="1">
      <c r="B11" s="472"/>
      <c r="C11" s="487"/>
      <c r="D11" s="492"/>
      <c r="E11" s="14" t="s">
        <v>67</v>
      </c>
      <c r="F11" s="451"/>
      <c r="G11" s="452"/>
      <c r="H11" s="453"/>
      <c r="I11" s="47">
        <f>SUM(I7:I10)</f>
        <v>0</v>
      </c>
      <c r="J11" s="13"/>
    </row>
    <row r="12" spans="2:11" ht="19.5" customHeight="1">
      <c r="B12" s="472"/>
      <c r="C12" s="487"/>
      <c r="D12" s="493" t="s">
        <v>3</v>
      </c>
      <c r="E12" s="258" t="s">
        <v>89</v>
      </c>
      <c r="F12" s="256" t="s">
        <v>115</v>
      </c>
      <c r="G12" s="259">
        <f>단위장비1!F42+단위장비2!F57+단위장비3!F57+단위장비5!F56+단위장비4!F57+단위장비6!F57+단위장비7!F57+단위장비8!F57+단위장비9!F57+단위장비10!F57</f>
        <v>0</v>
      </c>
      <c r="H12" s="259" t="str">
        <f>IF(단위장비1!G42&gt;0,단위장비1!G42,"")</f>
        <v/>
      </c>
      <c r="I12" s="259">
        <f>단위장비1!H42+단위장비2!H57+단위장비3!H57+단위장비5!H56+단위장비4!H57+단위장비6!H57+단위장비7!H57+단위장비8!H57+단위장비9!H57+단위장비10!H57</f>
        <v>0</v>
      </c>
      <c r="J12" s="16" t="s">
        <v>66</v>
      </c>
    </row>
    <row r="13" spans="2:11" s="85" customFormat="1" ht="19.5" customHeight="1">
      <c r="B13" s="472"/>
      <c r="C13" s="487"/>
      <c r="D13" s="487"/>
      <c r="E13" s="12" t="s">
        <v>4</v>
      </c>
      <c r="F13" s="161" t="s">
        <v>115</v>
      </c>
      <c r="G13" s="33">
        <f>단위장비1!F43+단위장비2!F58+단위장비3!F58+단위장비5!F57+단위장비4!F58+단위장비6!F58+단위장비7!F58+단위장비8!F58+단위장비9!F58+단위장비10!F58</f>
        <v>0</v>
      </c>
      <c r="H13" s="33" t="str">
        <f>IF(단위장비1!G43&gt;0,단위장비1!G43,"")</f>
        <v/>
      </c>
      <c r="I13" s="33">
        <f>단위장비1!H43+단위장비2!H58+단위장비3!H58+단위장비5!H57+단위장비4!H58+단위장비6!H58+단위장비7!H58+단위장비8!H58+단위장비9!H58+단위장비10!H58</f>
        <v>0</v>
      </c>
      <c r="J13" s="16"/>
      <c r="K13" s="84"/>
    </row>
    <row r="14" spans="2:11" s="85" customFormat="1" ht="19.5" customHeight="1">
      <c r="B14" s="472"/>
      <c r="C14" s="487"/>
      <c r="D14" s="487"/>
      <c r="E14" s="15" t="s">
        <v>19</v>
      </c>
      <c r="F14" s="161" t="s">
        <v>115</v>
      </c>
      <c r="G14" s="33">
        <f>단위장비1!F44+단위장비2!F59+단위장비3!F59+단위장비5!F58+단위장비4!F59+단위장비6!F59+단위장비7!F59+단위장비8!F59+단위장비9!F59+단위장비10!F59</f>
        <v>0</v>
      </c>
      <c r="H14" s="33" t="str">
        <f>IF(단위장비1!G44&gt;0,단위장비1!G44,"")</f>
        <v/>
      </c>
      <c r="I14" s="33">
        <f>단위장비1!H44+단위장비2!H59+단위장비3!H59+단위장비5!H58+단위장비4!H59+단위장비6!H59+단위장비7!H59+단위장비8!H59+단위장비9!H59+단위장비10!H59</f>
        <v>0</v>
      </c>
      <c r="J14" s="16"/>
      <c r="K14" s="84"/>
    </row>
    <row r="15" spans="2:11" s="85" customFormat="1" ht="19.5" customHeight="1">
      <c r="B15" s="472"/>
      <c r="C15" s="487"/>
      <c r="D15" s="487"/>
      <c r="E15" s="15" t="s">
        <v>6</v>
      </c>
      <c r="F15" s="161" t="s">
        <v>115</v>
      </c>
      <c r="G15" s="33">
        <f>단위장비1!F45+단위장비2!F60+단위장비3!F60+단위장비5!F59+단위장비4!F60+단위장비6!F60+단위장비7!F60+단위장비8!F60+단위장비9!F60+단위장비10!F60</f>
        <v>0</v>
      </c>
      <c r="H15" s="33" t="str">
        <f>IF(단위장비1!G45&gt;0,단위장비1!G45,"")</f>
        <v/>
      </c>
      <c r="I15" s="33">
        <f>단위장비1!H45+단위장비2!H60+단위장비3!H60+단위장비5!H59+단위장비4!H60+단위장비6!H60+단위장비7!H60+단위장비8!H60+단위장비9!H60+단위장비10!H60</f>
        <v>0</v>
      </c>
      <c r="J15" s="16" t="s">
        <v>65</v>
      </c>
      <c r="K15" s="84"/>
    </row>
    <row r="16" spans="2:11" s="85" customFormat="1" ht="19.5" customHeight="1">
      <c r="B16" s="472"/>
      <c r="C16" s="487"/>
      <c r="D16" s="487"/>
      <c r="E16" s="258" t="s">
        <v>7</v>
      </c>
      <c r="F16" s="256" t="s">
        <v>115</v>
      </c>
      <c r="G16" s="259">
        <f>단위장비1!F46+단위장비2!F61+단위장비3!F61+단위장비5!F60+단위장비4!F61+단위장비6!F61+단위장비7!F61+단위장비8!F61+단위장비9!F61+단위장비10!F61</f>
        <v>2</v>
      </c>
      <c r="H16" s="259">
        <f>IF(단위장비1!G46&gt;0,단위장비1!G46,"")</f>
        <v>1400000</v>
      </c>
      <c r="I16" s="259">
        <f>단위장비1!H46+단위장비2!H61+단위장비3!H61+단위장비5!H60+단위장비4!H61+단위장비6!H61+단위장비7!H61+단위장비8!H61+단위장비9!H61+단위장비10!H61</f>
        <v>2800000</v>
      </c>
      <c r="J16" s="16"/>
      <c r="K16" s="84"/>
    </row>
    <row r="17" spans="2:10" ht="19.5" customHeight="1">
      <c r="B17" s="472"/>
      <c r="C17" s="487"/>
      <c r="D17" s="487"/>
      <c r="E17" s="258" t="s">
        <v>8</v>
      </c>
      <c r="F17" s="256" t="s">
        <v>115</v>
      </c>
      <c r="G17" s="259">
        <f>단위장비1!F47+단위장비2!F62+단위장비3!F62+단위장비5!F61+단위장비4!F62+단위장비6!F62+단위장비7!F62+단위장비8!F62+단위장비9!F62+단위장비10!F62</f>
        <v>6</v>
      </c>
      <c r="H17" s="259">
        <f>IF(단위장비1!G47&gt;0,단위장비1!G47,"")</f>
        <v>1400000</v>
      </c>
      <c r="I17" s="259">
        <f>단위장비1!H47+단위장비2!H62+단위장비3!H62+단위장비5!H61+단위장비4!H62+단위장비6!H62+단위장비7!H62+단위장비8!H62+단위장비9!H62+단위장비10!H62</f>
        <v>8400000</v>
      </c>
      <c r="J17" s="13"/>
    </row>
    <row r="18" spans="2:10" ht="19.5" customHeight="1">
      <c r="B18" s="472"/>
      <c r="C18" s="487"/>
      <c r="D18" s="487"/>
      <c r="E18" s="12" t="s">
        <v>9</v>
      </c>
      <c r="F18" s="161" t="s">
        <v>115</v>
      </c>
      <c r="G18" s="33">
        <f>단위장비1!F48+단위장비2!F63+단위장비3!F63+단위장비5!F62+단위장비4!F63+단위장비6!F63+단위장비7!F63+단위장비8!F63+단위장비9!F63+단위장비10!F63</f>
        <v>8</v>
      </c>
      <c r="H18" s="33">
        <f>IF(단위장비1!G48&gt;0,단위장비1!G48,"")</f>
        <v>1400000</v>
      </c>
      <c r="I18" s="33">
        <f>단위장비1!H48+단위장비2!H63+단위장비3!H63+단위장비5!H62+단위장비4!H63+단위장비6!H63+단위장비7!H63+단위장비8!H63+단위장비9!H63+단위장비10!H63</f>
        <v>11200000</v>
      </c>
      <c r="J18" s="13"/>
    </row>
    <row r="19" spans="2:10" ht="19.5" customHeight="1">
      <c r="B19" s="472"/>
      <c r="C19" s="487"/>
      <c r="D19" s="487"/>
      <c r="E19" s="12" t="s">
        <v>20</v>
      </c>
      <c r="F19" s="161" t="s">
        <v>115</v>
      </c>
      <c r="G19" s="33">
        <f>단위장비1!F49+단위장비2!F64+단위장비3!F64+단위장비5!F63+단위장비4!F64+단위장비6!F64+단위장비7!F64+단위장비8!F64+단위장비9!F64+단위장비10!F64</f>
        <v>0</v>
      </c>
      <c r="H19" s="33" t="str">
        <f>IF(단위장비1!G49&gt;0,단위장비1!G49,"")</f>
        <v/>
      </c>
      <c r="I19" s="33">
        <f>단위장비1!H49+단위장비2!H64+단위장비3!H64+단위장비5!H63+단위장비4!H64+단위장비6!H64+단위장비7!H64+단위장비8!H64+단위장비9!H64+단위장비10!H64</f>
        <v>0</v>
      </c>
      <c r="J19" s="13"/>
    </row>
    <row r="20" spans="2:10" ht="19.5" customHeight="1">
      <c r="B20" s="472"/>
      <c r="C20" s="487"/>
      <c r="D20" s="492"/>
      <c r="E20" s="14" t="s">
        <v>67</v>
      </c>
      <c r="F20" s="451"/>
      <c r="G20" s="452"/>
      <c r="H20" s="453"/>
      <c r="I20" s="47">
        <f>SUM(I12:I19)</f>
        <v>22400000</v>
      </c>
      <c r="J20" s="13"/>
    </row>
    <row r="21" spans="2:10" ht="19.5" customHeight="1">
      <c r="B21" s="472"/>
      <c r="C21" s="487"/>
      <c r="D21" s="132" t="s">
        <v>76</v>
      </c>
      <c r="E21" s="125"/>
      <c r="F21" s="451"/>
      <c r="G21" s="452"/>
      <c r="H21" s="453"/>
      <c r="I21" s="50">
        <f>단위장비1!H52+단위장비1!H53+단위장비2!H67+단위장비2!H68+단위장비3!H67+단위장비3!H68+단위장비5!H66+단위장비5!H67+단위장비4!H67+단위장비4!H68+단위장비6!H67+단위장비6!H68+단위장비7!H67+단위장비7!H68+단위장비8!H67+단위장비8!H68+단위장비9!H67+단위장비9!H68+단위장비10!H67+단위장비10!H68</f>
        <v>3360000</v>
      </c>
      <c r="J21" s="86"/>
    </row>
    <row r="22" spans="2:10" ht="19.5" customHeight="1">
      <c r="B22" s="473"/>
      <c r="C22" s="488"/>
      <c r="D22" s="17"/>
      <c r="E22" s="18" t="s">
        <v>49</v>
      </c>
      <c r="F22" s="457"/>
      <c r="G22" s="458"/>
      <c r="H22" s="459"/>
      <c r="I22" s="48">
        <f>I20+I11+I21</f>
        <v>25760000</v>
      </c>
      <c r="J22" s="19"/>
    </row>
    <row r="23" spans="2:10" ht="19.5" customHeight="1">
      <c r="B23" s="474">
        <v>2</v>
      </c>
      <c r="C23" s="484" t="s">
        <v>91</v>
      </c>
      <c r="D23" s="489" t="s">
        <v>1</v>
      </c>
      <c r="E23" s="11" t="s">
        <v>16</v>
      </c>
      <c r="F23" s="162" t="s">
        <v>116</v>
      </c>
      <c r="G23" s="34">
        <v>1</v>
      </c>
      <c r="H23" s="34"/>
      <c r="I23" s="34">
        <f>전기!H55-I24</f>
        <v>9000000</v>
      </c>
      <c r="J23" s="20"/>
    </row>
    <row r="24" spans="2:10" ht="19.5" customHeight="1">
      <c r="B24" s="472"/>
      <c r="C24" s="485"/>
      <c r="D24" s="490"/>
      <c r="E24" s="235" t="s">
        <v>153</v>
      </c>
      <c r="F24" s="260" t="s">
        <v>148</v>
      </c>
      <c r="G24" s="237">
        <v>1</v>
      </c>
      <c r="H24" s="237"/>
      <c r="I24" s="237">
        <f>전기!H16</f>
        <v>0</v>
      </c>
      <c r="J24" s="250" t="s">
        <v>154</v>
      </c>
    </row>
    <row r="25" spans="2:10" ht="19.5" customHeight="1">
      <c r="B25" s="472"/>
      <c r="C25" s="486"/>
      <c r="D25" s="493" t="s">
        <v>3</v>
      </c>
      <c r="E25" s="258" t="s">
        <v>94</v>
      </c>
      <c r="F25" s="256" t="s">
        <v>115</v>
      </c>
      <c r="G25" s="259">
        <f>전기!F56</f>
        <v>0</v>
      </c>
      <c r="H25" s="236" t="str">
        <f>IF(전기!G56&gt;0,전기!G56,"")</f>
        <v/>
      </c>
      <c r="I25" s="259">
        <f>전기!H56</f>
        <v>0</v>
      </c>
      <c r="J25" s="16"/>
    </row>
    <row r="26" spans="2:10" ht="19.5" customHeight="1">
      <c r="B26" s="472"/>
      <c r="C26" s="486"/>
      <c r="D26" s="487"/>
      <c r="E26" s="12" t="s">
        <v>73</v>
      </c>
      <c r="F26" s="161" t="s">
        <v>115</v>
      </c>
      <c r="G26" s="35">
        <f>전기!F57</f>
        <v>12</v>
      </c>
      <c r="H26" s="35">
        <f>IF(전기!G57&gt;0,전기!G57,"")</f>
        <v>800000</v>
      </c>
      <c r="I26" s="35">
        <f>전기!H57</f>
        <v>9600000</v>
      </c>
      <c r="J26" s="13"/>
    </row>
    <row r="27" spans="2:10" ht="19.5" customHeight="1">
      <c r="B27" s="472"/>
      <c r="C27" s="486"/>
      <c r="D27" s="487"/>
      <c r="E27" s="12" t="s">
        <v>5</v>
      </c>
      <c r="F27" s="161" t="s">
        <v>115</v>
      </c>
      <c r="G27" s="35">
        <f>전기!F58</f>
        <v>0</v>
      </c>
      <c r="H27" s="35" t="str">
        <f>IF(전기!G58&gt;0,전기!G58,"")</f>
        <v/>
      </c>
      <c r="I27" s="35">
        <f>전기!H58</f>
        <v>0</v>
      </c>
      <c r="J27" s="13"/>
    </row>
    <row r="28" spans="2:10" ht="19.5" customHeight="1">
      <c r="B28" s="472"/>
      <c r="C28" s="486"/>
      <c r="D28" s="487"/>
      <c r="E28" s="12" t="s">
        <v>100</v>
      </c>
      <c r="F28" s="161" t="s">
        <v>115</v>
      </c>
      <c r="G28" s="35">
        <f>전기!F59</f>
        <v>0</v>
      </c>
      <c r="H28" s="35" t="str">
        <f>IF(전기!G59&gt;0,전기!G59,"")</f>
        <v/>
      </c>
      <c r="I28" s="35">
        <f>전기!H59</f>
        <v>0</v>
      </c>
      <c r="J28" s="13"/>
    </row>
    <row r="29" spans="2:10" ht="19.5" customHeight="1">
      <c r="B29" s="472"/>
      <c r="C29" s="486"/>
      <c r="D29" s="487"/>
      <c r="E29" s="261" t="s">
        <v>99</v>
      </c>
      <c r="F29" s="256" t="s">
        <v>115</v>
      </c>
      <c r="G29" s="236">
        <f>전기!F60</f>
        <v>2</v>
      </c>
      <c r="H29" s="236">
        <f>IF(전기!G60&gt;0,전기!G60,"")</f>
        <v>1400000</v>
      </c>
      <c r="I29" s="236">
        <f>전기!H60</f>
        <v>2800000</v>
      </c>
      <c r="J29" s="13"/>
    </row>
    <row r="30" spans="2:10" ht="19.5" customHeight="1">
      <c r="B30" s="472"/>
      <c r="C30" s="486"/>
      <c r="D30" s="487"/>
      <c r="E30" s="261" t="s">
        <v>8</v>
      </c>
      <c r="F30" s="256" t="s">
        <v>115</v>
      </c>
      <c r="G30" s="236">
        <f>전기!F61</f>
        <v>6</v>
      </c>
      <c r="H30" s="236">
        <f>IF(전기!G61&gt;0,전기!G61,"")</f>
        <v>1400000</v>
      </c>
      <c r="I30" s="236">
        <f>전기!H61</f>
        <v>8400000</v>
      </c>
      <c r="J30" s="13"/>
    </row>
    <row r="31" spans="2:10" ht="19.5" customHeight="1">
      <c r="B31" s="472"/>
      <c r="C31" s="486"/>
      <c r="D31" s="487"/>
      <c r="E31" s="12" t="s">
        <v>9</v>
      </c>
      <c r="F31" s="161" t="s">
        <v>115</v>
      </c>
      <c r="G31" s="35">
        <f>전기!F62</f>
        <v>8</v>
      </c>
      <c r="H31" s="35">
        <f>IF(전기!G62&gt;0,전기!G62,"")</f>
        <v>1400000</v>
      </c>
      <c r="I31" s="35">
        <f>전기!H62</f>
        <v>11200000</v>
      </c>
      <c r="J31" s="13"/>
    </row>
    <row r="32" spans="2:10" ht="19.5" customHeight="1">
      <c r="B32" s="472"/>
      <c r="C32" s="486"/>
      <c r="D32" s="492"/>
      <c r="E32" s="14" t="s">
        <v>68</v>
      </c>
      <c r="F32" s="454"/>
      <c r="G32" s="455"/>
      <c r="H32" s="456"/>
      <c r="I32" s="47">
        <f>SUM(I25:I31)</f>
        <v>32000000</v>
      </c>
      <c r="J32" s="13"/>
    </row>
    <row r="33" spans="2:13" ht="19.5" customHeight="1">
      <c r="B33" s="472"/>
      <c r="C33" s="487"/>
      <c r="D33" s="132" t="s">
        <v>76</v>
      </c>
      <c r="E33" s="125"/>
      <c r="F33" s="451"/>
      <c r="G33" s="452"/>
      <c r="H33" s="453"/>
      <c r="I33" s="50">
        <f>전기!H65+전기!H66</f>
        <v>6150000</v>
      </c>
      <c r="J33" s="86"/>
    </row>
    <row r="34" spans="2:13" ht="19.5" customHeight="1">
      <c r="B34" s="473"/>
      <c r="C34" s="488"/>
      <c r="D34" s="17"/>
      <c r="E34" s="18" t="s">
        <v>69</v>
      </c>
      <c r="F34" s="457"/>
      <c r="G34" s="458"/>
      <c r="H34" s="459"/>
      <c r="I34" s="48">
        <f>I32+I23+I33+I24</f>
        <v>47150000</v>
      </c>
      <c r="J34" s="19"/>
    </row>
    <row r="35" spans="2:13" ht="19.5" customHeight="1">
      <c r="B35" s="481">
        <v>3</v>
      </c>
      <c r="C35" s="460" t="s">
        <v>57</v>
      </c>
      <c r="D35" s="461"/>
      <c r="E35" s="462"/>
      <c r="F35" s="460"/>
      <c r="G35" s="461"/>
      <c r="H35" s="462"/>
      <c r="I35" s="49">
        <f>I23+I11+I24</f>
        <v>9000000</v>
      </c>
      <c r="J35" s="20"/>
    </row>
    <row r="36" spans="2:13" ht="19.5" customHeight="1">
      <c r="B36" s="482"/>
      <c r="C36" s="451" t="s">
        <v>58</v>
      </c>
      <c r="D36" s="452"/>
      <c r="E36" s="453"/>
      <c r="F36" s="451"/>
      <c r="G36" s="452"/>
      <c r="H36" s="453"/>
      <c r="I36" s="47">
        <f>I32+I20</f>
        <v>54400000</v>
      </c>
      <c r="J36" s="13"/>
    </row>
    <row r="37" spans="2:13" ht="19.5" customHeight="1" thickBot="1">
      <c r="B37" s="483"/>
      <c r="C37" s="464" t="s">
        <v>59</v>
      </c>
      <c r="D37" s="464"/>
      <c r="E37" s="465"/>
      <c r="F37" s="463"/>
      <c r="G37" s="464"/>
      <c r="H37" s="465"/>
      <c r="I37" s="57">
        <f>I36+I35</f>
        <v>63400000</v>
      </c>
      <c r="J37" s="58"/>
    </row>
    <row r="38" spans="2:13" ht="20.25" customHeight="1">
      <c r="B38" s="21">
        <v>4</v>
      </c>
      <c r="C38" s="492" t="s">
        <v>87</v>
      </c>
      <c r="D38" s="509"/>
      <c r="E38" s="510"/>
      <c r="F38" s="466"/>
      <c r="G38" s="467"/>
      <c r="H38" s="468"/>
      <c r="I38" s="142">
        <f>25743000+847000</f>
        <v>26590000</v>
      </c>
      <c r="J38" s="109"/>
    </row>
    <row r="39" spans="2:13" ht="22.5" customHeight="1">
      <c r="B39" s="23">
        <v>5</v>
      </c>
      <c r="C39" s="451" t="s">
        <v>0</v>
      </c>
      <c r="D39" s="452"/>
      <c r="E39" s="453"/>
      <c r="F39" s="469" t="s">
        <v>167</v>
      </c>
      <c r="G39" s="470"/>
      <c r="H39" s="471"/>
      <c r="I39" s="110"/>
      <c r="J39" s="262">
        <f>I30+I29+I25+I24+I17+I16+I12+I10</f>
        <v>22400000</v>
      </c>
      <c r="K39" s="164"/>
      <c r="M39" s="164"/>
    </row>
    <row r="40" spans="2:13" ht="20.25" customHeight="1">
      <c r="B40" s="23">
        <v>6</v>
      </c>
      <c r="C40" s="451" t="s">
        <v>25</v>
      </c>
      <c r="D40" s="452"/>
      <c r="E40" s="453"/>
      <c r="F40" s="511"/>
      <c r="G40" s="512"/>
      <c r="H40" s="513"/>
      <c r="I40" s="47">
        <f>전기!H65+단위장비1!H52+단위장비2!H67+단위장비3!H67+단위장비5!H66+단위장비4!H67+단위장비6!H67+단위장비7!H67+단위장비8!H67+단위장비9!H67+단위장비10!H67</f>
        <v>3170000</v>
      </c>
      <c r="J40" s="13"/>
    </row>
    <row r="41" spans="2:13" ht="20.25" customHeight="1">
      <c r="B41" s="24">
        <v>7</v>
      </c>
      <c r="C41" s="457" t="s">
        <v>17</v>
      </c>
      <c r="D41" s="458"/>
      <c r="E41" s="459"/>
      <c r="F41" s="505"/>
      <c r="G41" s="506"/>
      <c r="H41" s="507"/>
      <c r="I41" s="50">
        <f>전기!H66+단위장비1!H53+단위장비2!H68+단위장비3!H68+단위장비5!H67+단위장비4!H68+단위장비6!H68+단위장비7!H68+단위장비8!H68+단위장비9!H68+단위장비10!H68</f>
        <v>6340000</v>
      </c>
      <c r="J41" s="86"/>
      <c r="K41" s="7"/>
    </row>
    <row r="42" spans="2:13" ht="28.5" customHeight="1" thickBot="1">
      <c r="B42" s="59"/>
      <c r="C42" s="508" t="s">
        <v>18</v>
      </c>
      <c r="D42" s="508"/>
      <c r="E42" s="508"/>
      <c r="F42" s="502" t="s">
        <v>63</v>
      </c>
      <c r="G42" s="503"/>
      <c r="H42" s="504"/>
      <c r="I42" s="60">
        <f>I22+I34+I38+I39</f>
        <v>99500000</v>
      </c>
      <c r="J42" s="87"/>
      <c r="K42" s="7"/>
    </row>
    <row r="43" spans="2:13" ht="19.5" customHeight="1">
      <c r="B43" s="238" t="s">
        <v>149</v>
      </c>
      <c r="C43" s="8"/>
      <c r="D43" s="8"/>
      <c r="E43" s="8"/>
    </row>
    <row r="44" spans="2:13" ht="19.5" customHeight="1">
      <c r="B44" s="7" t="s">
        <v>64</v>
      </c>
      <c r="C44" s="8"/>
      <c r="D44" s="8"/>
      <c r="E44" s="8"/>
    </row>
    <row r="45" spans="2:13" ht="19.5" customHeight="1">
      <c r="C45" s="8"/>
      <c r="D45" s="8"/>
      <c r="E45" s="8"/>
    </row>
    <row r="46" spans="2:13" ht="19.5" customHeight="1">
      <c r="C46" s="8"/>
      <c r="D46" s="8"/>
      <c r="E46" s="499" t="s">
        <v>172</v>
      </c>
      <c r="F46" s="496" t="s">
        <v>162</v>
      </c>
      <c r="G46" s="497"/>
      <c r="H46" s="498"/>
      <c r="I46" s="252" t="s">
        <v>164</v>
      </c>
      <c r="J46" s="254" t="s">
        <v>161</v>
      </c>
      <c r="K46" s="255" t="s">
        <v>165</v>
      </c>
    </row>
    <row r="47" spans="2:13" ht="19.5" customHeight="1">
      <c r="C47" s="8"/>
      <c r="D47" s="8"/>
      <c r="E47" s="500"/>
      <c r="F47" s="494" t="s">
        <v>157</v>
      </c>
      <c r="G47" s="495"/>
      <c r="H47" s="495"/>
      <c r="I47" s="47">
        <f>IF(J47&lt;500000000,J47*0.0315,1)+IF(J47&gt;500000000,J47*0.0199+5499000)*IF(J47&gt;5000000000,0,1)+IF(J47&gt;5000000000,J47*0.021,0)</f>
        <v>2834685</v>
      </c>
      <c r="J47" s="253">
        <f>SUM(I7:I10,I12:I19,I23:I31,I38)</f>
        <v>89990000</v>
      </c>
      <c r="K47" s="253" t="s">
        <v>159</v>
      </c>
    </row>
    <row r="48" spans="2:13" ht="19.5" customHeight="1">
      <c r="E48" s="501"/>
      <c r="F48" s="494" t="s">
        <v>158</v>
      </c>
      <c r="G48" s="495"/>
      <c r="H48" s="495"/>
      <c r="I48" s="47">
        <f>(IF(J48&lt;500000000,J48*0.0315,1)+IF(J48&gt;500000000,J48*0.0199+5499000)*IF(J48&gt;5000000000,0,1)+IF(J48&gt;5000000000,J48*0.021,0))*1.2</f>
        <v>846720</v>
      </c>
      <c r="J48" s="263">
        <f>SUM(I10,I24,I12,I16:I17,I25,I29:I30)</f>
        <v>22400000</v>
      </c>
      <c r="K48" s="253" t="s">
        <v>160</v>
      </c>
    </row>
    <row r="49" spans="7:7" ht="19.5" customHeight="1">
      <c r="G49" s="251" t="s">
        <v>163</v>
      </c>
    </row>
  </sheetData>
  <mergeCells count="38">
    <mergeCell ref="C40:E40"/>
    <mergeCell ref="C41:E41"/>
    <mergeCell ref="C42:E42"/>
    <mergeCell ref="C38:E38"/>
    <mergeCell ref="F47:H47"/>
    <mergeCell ref="F40:H40"/>
    <mergeCell ref="C39:E39"/>
    <mergeCell ref="F48:H48"/>
    <mergeCell ref="F46:H46"/>
    <mergeCell ref="E46:E48"/>
    <mergeCell ref="F42:H42"/>
    <mergeCell ref="F41:H41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F35:H35"/>
    <mergeCell ref="F36:H36"/>
    <mergeCell ref="F37:H37"/>
    <mergeCell ref="F38:H38"/>
    <mergeCell ref="F39:H39"/>
    <mergeCell ref="F11:H11"/>
    <mergeCell ref="F32:H32"/>
    <mergeCell ref="F33:H33"/>
    <mergeCell ref="F34:H34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verticalDpi="120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A921-AEBD-4F34-954C-A5DEC4C5AF2F}">
  <sheetPr codeName="Sheet4">
    <pageSetUpPr fitToPage="1"/>
  </sheetPr>
  <dimension ref="A2:P22"/>
  <sheetViews>
    <sheetView zoomScale="74" zoomScaleNormal="74" workbookViewId="0">
      <selection activeCell="G7" sqref="G7"/>
    </sheetView>
  </sheetViews>
  <sheetFormatPr defaultColWidth="9" defaultRowHeight="17.25" customHeight="1"/>
  <cols>
    <col min="1" max="1" width="5" style="28" customWidth="1"/>
    <col min="2" max="2" width="20.125" style="28" customWidth="1"/>
    <col min="3" max="3" width="6.25" style="28" customWidth="1"/>
    <col min="4" max="8" width="11.875" style="28" customWidth="1"/>
    <col min="9" max="9" width="13" style="28" customWidth="1"/>
    <col min="10" max="11" width="13.875" style="28" customWidth="1"/>
    <col min="12" max="12" width="12.5" style="28" bestFit="1" customWidth="1"/>
    <col min="13" max="13" width="15" style="28" bestFit="1" customWidth="1"/>
    <col min="14" max="14" width="13.875" style="28" customWidth="1"/>
    <col min="15" max="15" width="9.625" style="28" customWidth="1"/>
    <col min="16" max="16" width="12.625" style="28" hidden="1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9" customFormat="1" ht="8.25" customHeight="1">
      <c r="A4" s="32"/>
      <c r="B4" s="32"/>
      <c r="C4" s="32"/>
      <c r="D4" s="517"/>
      <c r="E4" s="518"/>
      <c r="F4" s="518"/>
      <c r="G4" s="518"/>
      <c r="H4" s="518"/>
      <c r="I4" s="518"/>
      <c r="J4" s="519"/>
      <c r="K4" s="127"/>
      <c r="L4" s="127"/>
      <c r="M4" s="128"/>
      <c r="N4" s="63"/>
      <c r="O4" s="51"/>
    </row>
    <row r="5" spans="1:16" s="29" customFormat="1" ht="25.5" customHeight="1">
      <c r="A5" s="66"/>
      <c r="B5" s="66"/>
      <c r="C5" s="66"/>
      <c r="D5" s="210"/>
      <c r="E5" s="211"/>
      <c r="F5" s="211"/>
      <c r="G5" s="211"/>
      <c r="H5" s="211"/>
      <c r="I5" s="212" t="s">
        <v>85</v>
      </c>
      <c r="J5" s="195"/>
      <c r="K5" s="191"/>
      <c r="L5" s="191" t="s">
        <v>74</v>
      </c>
      <c r="M5" s="192" t="s">
        <v>56</v>
      </c>
      <c r="N5" s="193"/>
      <c r="O5" s="194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13" t="s">
        <v>24</v>
      </c>
      <c r="E6" s="214" t="s">
        <v>60</v>
      </c>
      <c r="F6" s="214" t="s">
        <v>61</v>
      </c>
      <c r="G6" s="214" t="s">
        <v>54</v>
      </c>
      <c r="H6" s="214" t="s">
        <v>55</v>
      </c>
      <c r="I6" s="215" t="s">
        <v>86</v>
      </c>
      <c r="J6" s="196" t="s">
        <v>138</v>
      </c>
      <c r="K6" s="126" t="s">
        <v>139</v>
      </c>
      <c r="L6" s="126" t="s">
        <v>75</v>
      </c>
      <c r="M6" s="129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43">
        <f>IF(B7&gt;0,1,"")</f>
        <v>1</v>
      </c>
      <c r="B7" s="144" t="str">
        <f>단위장비1!C$1</f>
        <v>고주파열처리기 개조</v>
      </c>
      <c r="C7" s="143" t="s">
        <v>141</v>
      </c>
      <c r="D7" s="216">
        <f>단위장비1!H41</f>
        <v>0</v>
      </c>
      <c r="E7" s="217">
        <f>단위장비1!H42</f>
        <v>0</v>
      </c>
      <c r="F7" s="217">
        <f>단위장비1!H43+단위장비1!H44+단위장비1!H45+단위장비1!H49</f>
        <v>0</v>
      </c>
      <c r="G7" s="217">
        <f>단위장비1!H46+단위장비1!H47</f>
        <v>11200000</v>
      </c>
      <c r="H7" s="217">
        <f>단위장비1!H48</f>
        <v>11200000</v>
      </c>
      <c r="I7" s="218">
        <f>IF($B7&gt;0,'원가항목별(집계)'!I$38*$P7/$P$17,0)</f>
        <v>26590000</v>
      </c>
      <c r="J7" s="197">
        <f>SUM(D7:I7)</f>
        <v>48990000</v>
      </c>
      <c r="K7" s="145">
        <f>'원가항목별(집계)'!I34</f>
        <v>47150000</v>
      </c>
      <c r="L7" s="145">
        <f>IF($B7&gt;0,'원가항목별(집계)'!I$39*$P7/$P$17,0)</f>
        <v>0</v>
      </c>
      <c r="M7" s="146">
        <f>'원가항목별(집계)'!I40+'원가항목별(집계)'!I41</f>
        <v>9510000</v>
      </c>
      <c r="N7" s="147">
        <f>SUM(J7:M7)</f>
        <v>105650000</v>
      </c>
      <c r="O7" s="148"/>
      <c r="P7" s="31">
        <f>D7+E7+F7+G7+H7+M7</f>
        <v>31910000</v>
      </c>
    </row>
    <row r="8" spans="1:16" s="31" customFormat="1" ht="25.5" customHeight="1">
      <c r="A8" s="149" t="str">
        <f t="shared" ref="A8:A16" si="0">IF(B8&gt;0,A7+1,"")</f>
        <v/>
      </c>
      <c r="B8" s="150">
        <f>단위장비2!C$1</f>
        <v>0</v>
      </c>
      <c r="C8" s="149" t="s">
        <v>142</v>
      </c>
      <c r="D8" s="219">
        <f>단위장비2!H56</f>
        <v>0</v>
      </c>
      <c r="E8" s="220">
        <f>단위장비2!H57</f>
        <v>0</v>
      </c>
      <c r="F8" s="220">
        <f>단위장비2!H58+단위장비2!H59+단위장비2!H60+단위장비2!H64</f>
        <v>0</v>
      </c>
      <c r="G8" s="220">
        <f>단위장비2!H61+단위장비2!H62</f>
        <v>0</v>
      </c>
      <c r="H8" s="220">
        <f>단위장비2!H63</f>
        <v>0</v>
      </c>
      <c r="I8" s="221">
        <f>IF($B8&gt;0,'원가항목별(집계)'!I$38*$P8/$P$17,0)</f>
        <v>0</v>
      </c>
      <c r="J8" s="198">
        <f>SUM(D8:I8)</f>
        <v>0</v>
      </c>
      <c r="K8" s="151">
        <f>IF(B8&gt;0,'원가항목별(집계)'!I$34*P8/P$17,0)</f>
        <v>0</v>
      </c>
      <c r="L8" s="151">
        <f>IF($B8&gt;0,'원가항목별(집계)'!I$39*$P8/$P$17,0)</f>
        <v>0</v>
      </c>
      <c r="M8" s="152">
        <f>단위장비2!H67+단위장비2!H68</f>
        <v>0</v>
      </c>
      <c r="N8" s="153">
        <f t="shared" ref="N8:N16" si="1">SUM(J8:M8)</f>
        <v>0</v>
      </c>
      <c r="O8" s="99"/>
      <c r="P8" s="31">
        <f t="shared" ref="P8:P16" si="2">D8+E8+F8+G8+H8+M8</f>
        <v>0</v>
      </c>
    </row>
    <row r="9" spans="1:16" s="31" customFormat="1" ht="25.5" customHeight="1">
      <c r="A9" s="149" t="str">
        <f t="shared" si="0"/>
        <v/>
      </c>
      <c r="B9" s="150">
        <f>단위장비3!C$1</f>
        <v>0</v>
      </c>
      <c r="C9" s="149" t="s">
        <v>140</v>
      </c>
      <c r="D9" s="219">
        <f>단위장비3!H56</f>
        <v>0</v>
      </c>
      <c r="E9" s="220">
        <f>단위장비3!H57</f>
        <v>0</v>
      </c>
      <c r="F9" s="220">
        <f>단위장비3!H58+단위장비3!H59+단위장비3!H60+단위장비3!H64</f>
        <v>0</v>
      </c>
      <c r="G9" s="220">
        <f>단위장비3!H61+단위장비3!H62</f>
        <v>0</v>
      </c>
      <c r="H9" s="220">
        <f>단위장비3!H63</f>
        <v>0</v>
      </c>
      <c r="I9" s="221">
        <f>IF($B9&gt;0,'원가항목별(집계)'!I$38*$P9/$P$17,0)</f>
        <v>0</v>
      </c>
      <c r="J9" s="198">
        <f t="shared" ref="J9:J17" si="3">SUM(D9:I9)</f>
        <v>0</v>
      </c>
      <c r="K9" s="151">
        <f>IF(B9&gt;0,'원가항목별(집계)'!I$34*P9/P$17,0)</f>
        <v>0</v>
      </c>
      <c r="L9" s="151">
        <f>IF($B9&gt;0,'원가항목별(집계)'!I$39*$P9/$P$17,0)</f>
        <v>0</v>
      </c>
      <c r="M9" s="152">
        <f>단위장비3!H67+단위장비3!H68</f>
        <v>0</v>
      </c>
      <c r="N9" s="153">
        <f t="shared" si="1"/>
        <v>0</v>
      </c>
      <c r="O9" s="99"/>
      <c r="P9" s="31">
        <f t="shared" si="2"/>
        <v>0</v>
      </c>
    </row>
    <row r="10" spans="1:16" s="31" customFormat="1" ht="25.5" customHeight="1">
      <c r="A10" s="149" t="str">
        <f t="shared" si="0"/>
        <v/>
      </c>
      <c r="B10" s="150">
        <f>단위장비4!C1</f>
        <v>0</v>
      </c>
      <c r="C10" s="149" t="s">
        <v>140</v>
      </c>
      <c r="D10" s="219">
        <f>단위장비4!H56</f>
        <v>0</v>
      </c>
      <c r="E10" s="220">
        <f>단위장비4!H57</f>
        <v>0</v>
      </c>
      <c r="F10" s="220">
        <f>단위장비4!H58+단위장비4!H59+단위장비4!H60+단위장비4!H64</f>
        <v>0</v>
      </c>
      <c r="G10" s="220">
        <f>단위장비4!H61+단위장비4!H62</f>
        <v>0</v>
      </c>
      <c r="H10" s="220">
        <f>단위장비4!H63</f>
        <v>0</v>
      </c>
      <c r="I10" s="221">
        <f>IF($B10&gt;0,'원가항목별(집계)'!I$38*$P10/$P$17,0)</f>
        <v>0</v>
      </c>
      <c r="J10" s="198">
        <f t="shared" si="3"/>
        <v>0</v>
      </c>
      <c r="K10" s="151">
        <f>IF(B10&gt;0,'원가항목별(집계)'!I$34*P10/P$17,0)</f>
        <v>0</v>
      </c>
      <c r="L10" s="151">
        <f>IF($B10&gt;0,'원가항목별(집계)'!I$39*$P10/$P$17,0)</f>
        <v>0</v>
      </c>
      <c r="M10" s="152">
        <f>단위장비4!H67+단위장비4!H68</f>
        <v>0</v>
      </c>
      <c r="N10" s="153">
        <f t="shared" si="1"/>
        <v>0</v>
      </c>
      <c r="O10" s="99"/>
      <c r="P10" s="31">
        <f t="shared" si="2"/>
        <v>0</v>
      </c>
    </row>
    <row r="11" spans="1:16" s="31" customFormat="1" ht="25.5" customHeight="1">
      <c r="A11" s="149" t="str">
        <f t="shared" si="0"/>
        <v/>
      </c>
      <c r="B11" s="150">
        <f>단위장비5!C1</f>
        <v>0</v>
      </c>
      <c r="C11" s="149" t="s">
        <v>140</v>
      </c>
      <c r="D11" s="219">
        <f>단위장비5!H55</f>
        <v>0</v>
      </c>
      <c r="E11" s="220">
        <f>단위장비5!H56</f>
        <v>0</v>
      </c>
      <c r="F11" s="220">
        <f>단위장비5!H57+단위장비5!H58+단위장비5!H59+단위장비5!H63</f>
        <v>0</v>
      </c>
      <c r="G11" s="220">
        <f>단위장비5!H60+단위장비5!H61</f>
        <v>0</v>
      </c>
      <c r="H11" s="220">
        <f>단위장비5!H62</f>
        <v>0</v>
      </c>
      <c r="I11" s="221">
        <f>IF($B11&gt;0,'원가항목별(집계)'!I$38*$P11/$P$17,0)</f>
        <v>0</v>
      </c>
      <c r="J11" s="198">
        <f t="shared" si="3"/>
        <v>0</v>
      </c>
      <c r="K11" s="151">
        <f>IF(B11&gt;0,'원가항목별(집계)'!I$34*P11/P$17,0)</f>
        <v>0</v>
      </c>
      <c r="L11" s="151">
        <f>IF($B11&gt;0,'원가항목별(집계)'!I$39*$P11/$P$17,0)</f>
        <v>0</v>
      </c>
      <c r="M11" s="152">
        <f>단위장비5!H66+단위장비5!H67</f>
        <v>0</v>
      </c>
      <c r="N11" s="153">
        <f t="shared" si="1"/>
        <v>0</v>
      </c>
      <c r="O11" s="99"/>
      <c r="P11" s="31">
        <f t="shared" si="2"/>
        <v>0</v>
      </c>
    </row>
    <row r="12" spans="1:16" s="31" customFormat="1" ht="25.5" customHeight="1">
      <c r="A12" s="149" t="str">
        <f t="shared" si="0"/>
        <v/>
      </c>
      <c r="B12" s="150">
        <f>단위장비6!C$1</f>
        <v>0</v>
      </c>
      <c r="C12" s="149" t="s">
        <v>140</v>
      </c>
      <c r="D12" s="219">
        <f>단위장비6!H56</f>
        <v>0</v>
      </c>
      <c r="E12" s="220">
        <f>단위장비6!H57</f>
        <v>0</v>
      </c>
      <c r="F12" s="220">
        <f>단위장비6!H58+단위장비6!H59+단위장비6!H60+단위장비6!H64</f>
        <v>0</v>
      </c>
      <c r="G12" s="220">
        <f>단위장비6!H61+단위장비6!H62</f>
        <v>0</v>
      </c>
      <c r="H12" s="220">
        <f>단위장비6!H63</f>
        <v>0</v>
      </c>
      <c r="I12" s="221">
        <f>IF($B12&gt;0,'원가항목별(집계)'!I$38*$P12/$P$17,0)</f>
        <v>0</v>
      </c>
      <c r="J12" s="198">
        <f t="shared" si="3"/>
        <v>0</v>
      </c>
      <c r="K12" s="151">
        <f>IF(B12&gt;0,'원가항목별(집계)'!I$34*P12/P$17,0)</f>
        <v>0</v>
      </c>
      <c r="L12" s="151">
        <f>IF($B12&gt;0,'원가항목별(집계)'!I$39*$P12/$P$17,0)</f>
        <v>0</v>
      </c>
      <c r="M12" s="152">
        <f>단위장비6!H67+단위장비6!H68</f>
        <v>0</v>
      </c>
      <c r="N12" s="153">
        <f t="shared" si="1"/>
        <v>0</v>
      </c>
      <c r="O12" s="99"/>
      <c r="P12" s="31">
        <f t="shared" si="2"/>
        <v>0</v>
      </c>
    </row>
    <row r="13" spans="1:16" s="31" customFormat="1" ht="25.5" customHeight="1">
      <c r="A13" s="149" t="str">
        <f t="shared" si="0"/>
        <v/>
      </c>
      <c r="B13" s="150">
        <f>단위장비7!C$1</f>
        <v>0</v>
      </c>
      <c r="C13" s="149" t="s">
        <v>140</v>
      </c>
      <c r="D13" s="219">
        <f>단위장비7!H56</f>
        <v>0</v>
      </c>
      <c r="E13" s="220">
        <f>단위장비7!H57</f>
        <v>0</v>
      </c>
      <c r="F13" s="220">
        <f>단위장비7!H58+단위장비7!H59+단위장비7!H60+단위장비7!H64</f>
        <v>0</v>
      </c>
      <c r="G13" s="220">
        <f>단위장비7!H61+단위장비7!H62</f>
        <v>0</v>
      </c>
      <c r="H13" s="220">
        <f>단위장비7!H63</f>
        <v>0</v>
      </c>
      <c r="I13" s="221">
        <f>IF($B13&gt;0,'원가항목별(집계)'!I$38*$P13/$P$17,0)</f>
        <v>0</v>
      </c>
      <c r="J13" s="198">
        <f t="shared" si="3"/>
        <v>0</v>
      </c>
      <c r="K13" s="151">
        <f>IF(B13&gt;0,'원가항목별(집계)'!I$34*P13/P$17,0)</f>
        <v>0</v>
      </c>
      <c r="L13" s="151">
        <f>IF($B13&gt;0,'원가항목별(집계)'!I$39*$P13/$P$17,0)</f>
        <v>0</v>
      </c>
      <c r="M13" s="152">
        <f>단위장비7!H67+단위장비7!H68</f>
        <v>0</v>
      </c>
      <c r="N13" s="153">
        <f t="shared" si="1"/>
        <v>0</v>
      </c>
      <c r="O13" s="99"/>
      <c r="P13" s="31">
        <f t="shared" si="2"/>
        <v>0</v>
      </c>
    </row>
    <row r="14" spans="1:16" s="31" customFormat="1" ht="25.5" customHeight="1">
      <c r="A14" s="149" t="str">
        <f t="shared" si="0"/>
        <v/>
      </c>
      <c r="B14" s="150">
        <f>단위장비8!C$1</f>
        <v>0</v>
      </c>
      <c r="C14" s="149" t="s">
        <v>140</v>
      </c>
      <c r="D14" s="219">
        <f>단위장비8!H56</f>
        <v>0</v>
      </c>
      <c r="E14" s="220">
        <f>단위장비8!H57</f>
        <v>0</v>
      </c>
      <c r="F14" s="220">
        <f>단위장비8!H58+단위장비8!H59+단위장비8!H60+단위장비8!H64</f>
        <v>0</v>
      </c>
      <c r="G14" s="220">
        <f>단위장비8!H61+단위장비8!H62</f>
        <v>0</v>
      </c>
      <c r="H14" s="220">
        <f>단위장비8!H63</f>
        <v>0</v>
      </c>
      <c r="I14" s="221">
        <f>IF($B14&gt;0,'원가항목별(집계)'!I$38*$P14/$P$17,0)</f>
        <v>0</v>
      </c>
      <c r="J14" s="198">
        <f t="shared" si="3"/>
        <v>0</v>
      </c>
      <c r="K14" s="151">
        <f>IF(B14&gt;0,'원가항목별(집계)'!I$34*P14/P$17,0)</f>
        <v>0</v>
      </c>
      <c r="L14" s="151">
        <f>IF($B14&gt;0,'원가항목별(집계)'!I$39*$P14/$P$17,0)</f>
        <v>0</v>
      </c>
      <c r="M14" s="152">
        <f>단위장비8!H67+단위장비8!H68</f>
        <v>0</v>
      </c>
      <c r="N14" s="153">
        <f t="shared" si="1"/>
        <v>0</v>
      </c>
      <c r="O14" s="99"/>
      <c r="P14" s="31">
        <f t="shared" si="2"/>
        <v>0</v>
      </c>
    </row>
    <row r="15" spans="1:16" s="31" customFormat="1" ht="25.5" customHeight="1">
      <c r="A15" s="149" t="str">
        <f t="shared" si="0"/>
        <v/>
      </c>
      <c r="B15" s="150">
        <f>단위장비9!C$1</f>
        <v>0</v>
      </c>
      <c r="C15" s="149" t="s">
        <v>140</v>
      </c>
      <c r="D15" s="219">
        <f>단위장비9!H57</f>
        <v>0</v>
      </c>
      <c r="E15" s="220">
        <f>단위장비9!H58</f>
        <v>0</v>
      </c>
      <c r="F15" s="220">
        <f>단위장비9!H59+단위장비9!H60+단위장비9!H61+단위장비9!H65</f>
        <v>0</v>
      </c>
      <c r="G15" s="220">
        <f>단위장비9!H62+단위장비9!H63</f>
        <v>0</v>
      </c>
      <c r="H15" s="220">
        <f>단위장비9!H64</f>
        <v>0</v>
      </c>
      <c r="I15" s="221">
        <f>IF($B15&gt;0,'원가항목별(집계)'!I$38*$P15/$P$17,0)</f>
        <v>0</v>
      </c>
      <c r="J15" s="198">
        <f t="shared" si="3"/>
        <v>0</v>
      </c>
      <c r="K15" s="151">
        <f>IF(B15&gt;0,'원가항목별(집계)'!I$34*P15/P$17,0)</f>
        <v>0</v>
      </c>
      <c r="L15" s="151">
        <f>IF($B15&gt;0,'원가항목별(집계)'!I$39*$P15/$P$17,0)</f>
        <v>0</v>
      </c>
      <c r="M15" s="152">
        <f>단위장비9!H68+단위장비9!H69</f>
        <v>0</v>
      </c>
      <c r="N15" s="153">
        <f t="shared" si="1"/>
        <v>0</v>
      </c>
      <c r="O15" s="99"/>
      <c r="P15" s="31">
        <f t="shared" si="2"/>
        <v>0</v>
      </c>
    </row>
    <row r="16" spans="1:16" s="31" customFormat="1" ht="25.5" customHeight="1">
      <c r="A16" s="154" t="str">
        <f t="shared" si="0"/>
        <v/>
      </c>
      <c r="B16" s="155">
        <f>단위장비10!C$1</f>
        <v>0</v>
      </c>
      <c r="C16" s="154" t="s">
        <v>140</v>
      </c>
      <c r="D16" s="222">
        <f>단위장비10!H58</f>
        <v>0</v>
      </c>
      <c r="E16" s="223">
        <f>단위장비10!H59</f>
        <v>0</v>
      </c>
      <c r="F16" s="223">
        <f>단위장비10!H60+단위장비10!H61+단위장비10!H62+단위장비10!H66</f>
        <v>0</v>
      </c>
      <c r="G16" s="223">
        <f>단위장비10!H63+단위장비10!H64</f>
        <v>0</v>
      </c>
      <c r="H16" s="223">
        <f>단위장비10!H65</f>
        <v>0</v>
      </c>
      <c r="I16" s="224">
        <f>IF($B16&gt;0,'원가항목별(집계)'!I$38*$P16/$P$17,0)</f>
        <v>0</v>
      </c>
      <c r="J16" s="199">
        <f t="shared" si="3"/>
        <v>0</v>
      </c>
      <c r="K16" s="156">
        <f>IF(B16&gt;0,'원가항목별(집계)'!I$34*P16/P$17,0)</f>
        <v>0</v>
      </c>
      <c r="L16" s="156">
        <f>IF($B16&gt;0,'원가항목별(집계)'!I$39*$P16/$P$17,0)</f>
        <v>0</v>
      </c>
      <c r="M16" s="157">
        <f>단위장비10!H69+단위장비10!H70</f>
        <v>0</v>
      </c>
      <c r="N16" s="158">
        <f t="shared" si="1"/>
        <v>0</v>
      </c>
      <c r="O16" s="104"/>
      <c r="P16" s="31">
        <f t="shared" si="2"/>
        <v>0</v>
      </c>
    </row>
    <row r="17" spans="1:16" s="31" customFormat="1" ht="33" customHeight="1">
      <c r="A17" s="514" t="s">
        <v>145</v>
      </c>
      <c r="B17" s="515"/>
      <c r="C17" s="516"/>
      <c r="D17" s="225">
        <f t="shared" ref="D17:M17" si="4">SUM(D7:D16)</f>
        <v>0</v>
      </c>
      <c r="E17" s="226">
        <f t="shared" si="4"/>
        <v>0</v>
      </c>
      <c r="F17" s="226">
        <f t="shared" si="4"/>
        <v>0</v>
      </c>
      <c r="G17" s="226">
        <f t="shared" si="4"/>
        <v>11200000</v>
      </c>
      <c r="H17" s="226">
        <f t="shared" si="4"/>
        <v>11200000</v>
      </c>
      <c r="I17" s="227">
        <f t="shared" si="4"/>
        <v>26590000</v>
      </c>
      <c r="J17" s="231">
        <f t="shared" si="3"/>
        <v>48990000</v>
      </c>
      <c r="K17" s="232">
        <f>SUM(K7:K16)</f>
        <v>47150000</v>
      </c>
      <c r="L17" s="232">
        <f t="shared" si="4"/>
        <v>0</v>
      </c>
      <c r="M17" s="233">
        <f t="shared" si="4"/>
        <v>9510000</v>
      </c>
      <c r="N17" s="234">
        <f>SUM(N7:N14)</f>
        <v>105650000</v>
      </c>
      <c r="O17" s="62"/>
      <c r="P17" s="31">
        <f>SUM(P7:P16)</f>
        <v>31910000</v>
      </c>
    </row>
    <row r="18" spans="1:16" s="209" customFormat="1" ht="18.75" customHeight="1">
      <c r="A18" s="200"/>
      <c r="B18" s="201"/>
      <c r="C18" s="202"/>
      <c r="D18" s="228" t="str">
        <f t="shared" ref="D18:N18" si="5">IF(D17=0,"",D17/$N17)</f>
        <v/>
      </c>
      <c r="E18" s="229" t="str">
        <f t="shared" si="5"/>
        <v/>
      </c>
      <c r="F18" s="229" t="str">
        <f t="shared" si="5"/>
        <v/>
      </c>
      <c r="G18" s="229">
        <f t="shared" si="5"/>
        <v>0.10601041173686701</v>
      </c>
      <c r="H18" s="229">
        <f t="shared" si="5"/>
        <v>0.10601041173686701</v>
      </c>
      <c r="I18" s="230">
        <f t="shared" si="5"/>
        <v>0.25168007572172268</v>
      </c>
      <c r="J18" s="204">
        <f t="shared" si="5"/>
        <v>0.46370089919545671</v>
      </c>
      <c r="K18" s="205">
        <f t="shared" si="5"/>
        <v>0.44628490298154283</v>
      </c>
      <c r="L18" s="203" t="str">
        <f t="shared" si="5"/>
        <v/>
      </c>
      <c r="M18" s="206">
        <f t="shared" si="5"/>
        <v>9.0014197823000477E-2</v>
      </c>
      <c r="N18" s="207">
        <f t="shared" si="5"/>
        <v>1</v>
      </c>
      <c r="O18" s="208"/>
    </row>
    <row r="19" spans="1:16" ht="28.5" customHeight="1">
      <c r="A19" s="28" t="s">
        <v>101</v>
      </c>
      <c r="H19" s="133"/>
      <c r="I19" s="133"/>
      <c r="J19" s="133"/>
      <c r="K19" s="133"/>
      <c r="L19" s="133"/>
    </row>
    <row r="20" spans="1:16" ht="17.25" customHeight="1">
      <c r="H20" s="130"/>
      <c r="I20" s="130"/>
      <c r="J20" s="130"/>
      <c r="K20" s="130"/>
      <c r="L20" s="130"/>
      <c r="M20" s="124"/>
      <c r="N20" s="138"/>
    </row>
    <row r="21" spans="1:16" ht="17.25" customHeight="1">
      <c r="H21" s="131"/>
      <c r="I21" s="131"/>
      <c r="J21" s="131"/>
      <c r="K21" s="131"/>
      <c r="L21" s="131"/>
      <c r="N21" s="131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1775-9C0F-4E9D-9461-964DBE858D7C}">
  <sheetPr codeName="Sheet5">
    <tabColor rgb="FF00B050"/>
    <pageSetUpPr fitToPage="1"/>
  </sheetPr>
  <dimension ref="A1:K68"/>
  <sheetViews>
    <sheetView zoomScale="85" workbookViewId="0">
      <pane xSplit="3" ySplit="2" topLeftCell="D3" activePane="bottomRight" state="frozen"/>
      <selection activeCell="U21" sqref="U21:U23"/>
      <selection pane="topRight" activeCell="U21" sqref="U21:U23"/>
      <selection pane="bottomLeft" activeCell="U21" sqref="U21:U23"/>
      <selection pane="bottomRight" activeCell="D40" sqref="D40"/>
    </sheetView>
  </sheetViews>
  <sheetFormatPr defaultColWidth="9"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77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97" t="s">
        <v>83</v>
      </c>
      <c r="C1" s="137"/>
      <c r="F1" s="267"/>
      <c r="I1" s="28" t="s">
        <v>84</v>
      </c>
    </row>
    <row r="2" spans="1:9" s="29" customFormat="1" ht="16.5" customHeight="1">
      <c r="A2" s="395" t="s">
        <v>31</v>
      </c>
      <c r="B2" s="520"/>
      <c r="C2" s="120" t="s">
        <v>44</v>
      </c>
      <c r="D2" s="121" t="s">
        <v>32</v>
      </c>
      <c r="E2" s="121" t="s">
        <v>33</v>
      </c>
      <c r="F2" s="54" t="s">
        <v>34</v>
      </c>
      <c r="G2" s="54" t="s">
        <v>35</v>
      </c>
      <c r="H2" s="54" t="s">
        <v>36</v>
      </c>
      <c r="I2" s="121" t="s">
        <v>46</v>
      </c>
    </row>
    <row r="3" spans="1:9" ht="15.95" customHeight="1">
      <c r="A3" s="523" t="s">
        <v>77</v>
      </c>
      <c r="B3" s="98" t="s">
        <v>37</v>
      </c>
      <c r="C3" s="116" t="s">
        <v>196</v>
      </c>
      <c r="D3" s="116" t="s">
        <v>197</v>
      </c>
      <c r="E3" s="278">
        <v>1</v>
      </c>
      <c r="F3" s="268">
        <v>1</v>
      </c>
      <c r="G3" s="117">
        <v>500000</v>
      </c>
      <c r="H3" s="118">
        <f t="shared" ref="H3:H8" si="0">IF(F3=0,G3,G3*F3)</f>
        <v>500000</v>
      </c>
      <c r="I3" s="119" t="s">
        <v>200</v>
      </c>
    </row>
    <row r="4" spans="1:9" ht="15.95" customHeight="1">
      <c r="A4" s="524"/>
      <c r="B4" s="98"/>
      <c r="C4" s="68" t="s">
        <v>198</v>
      </c>
      <c r="D4" s="116" t="s">
        <v>199</v>
      </c>
      <c r="E4" s="278">
        <v>1</v>
      </c>
      <c r="F4" s="268">
        <v>1</v>
      </c>
      <c r="G4" s="117">
        <v>1000000</v>
      </c>
      <c r="H4" s="99">
        <f t="shared" si="0"/>
        <v>1000000</v>
      </c>
      <c r="I4" s="70" t="s">
        <v>200</v>
      </c>
    </row>
    <row r="5" spans="1:9" ht="15.95" customHeight="1">
      <c r="A5" s="524"/>
      <c r="B5" s="98"/>
      <c r="C5" s="68"/>
      <c r="D5" s="116"/>
      <c r="E5" s="278"/>
      <c r="F5" s="268"/>
      <c r="G5" s="117"/>
      <c r="H5" s="99">
        <f t="shared" si="0"/>
        <v>0</v>
      </c>
      <c r="I5" s="70"/>
    </row>
    <row r="6" spans="1:9" ht="15.95" customHeight="1">
      <c r="A6" s="524"/>
      <c r="B6" s="98"/>
      <c r="C6" s="68"/>
      <c r="D6" s="116"/>
      <c r="E6" s="278"/>
      <c r="F6" s="268"/>
      <c r="G6" s="117"/>
      <c r="H6" s="99">
        <f t="shared" si="0"/>
        <v>0</v>
      </c>
      <c r="I6" s="70"/>
    </row>
    <row r="7" spans="1:9" ht="15.95" customHeight="1">
      <c r="A7" s="524"/>
      <c r="B7" s="98"/>
      <c r="C7" s="68"/>
      <c r="D7" s="68"/>
      <c r="E7" s="279"/>
      <c r="F7" s="269"/>
      <c r="G7" s="69"/>
      <c r="H7" s="99">
        <f t="shared" si="0"/>
        <v>0</v>
      </c>
      <c r="I7" s="70"/>
    </row>
    <row r="8" spans="1:9" ht="15.95" customHeight="1">
      <c r="A8" s="524"/>
      <c r="B8" s="98"/>
      <c r="C8" s="113"/>
      <c r="D8" s="113"/>
      <c r="E8" s="280"/>
      <c r="F8" s="270"/>
      <c r="G8" s="114"/>
      <c r="H8" s="99">
        <f t="shared" si="0"/>
        <v>0</v>
      </c>
      <c r="I8" s="71"/>
    </row>
    <row r="9" spans="1:9" ht="15.95" customHeight="1">
      <c r="A9" s="524"/>
      <c r="B9" s="72"/>
      <c r="C9" s="101"/>
      <c r="D9" s="91"/>
      <c r="E9" s="120"/>
      <c r="F9" s="271"/>
      <c r="G9" s="40"/>
      <c r="H9" s="30">
        <f>SUM(H3:H8)</f>
        <v>1500000</v>
      </c>
      <c r="I9" s="74"/>
    </row>
    <row r="10" spans="1:9" ht="15.95" customHeight="1">
      <c r="A10" s="524"/>
      <c r="B10" s="248" t="s">
        <v>151</v>
      </c>
      <c r="C10" s="111"/>
      <c r="D10" s="111"/>
      <c r="E10" s="276"/>
      <c r="F10" s="272"/>
      <c r="G10" s="112"/>
      <c r="H10" s="103">
        <f t="shared" ref="H10:H21" si="1">IF(F10=0,G10,G10*F10)</f>
        <v>0</v>
      </c>
      <c r="I10" s="75"/>
    </row>
    <row r="11" spans="1:9" ht="15.95" customHeight="1">
      <c r="A11" s="524"/>
      <c r="B11" s="249" t="s">
        <v>152</v>
      </c>
      <c r="C11" s="68"/>
      <c r="D11" s="68"/>
      <c r="E11" s="279"/>
      <c r="F11" s="269"/>
      <c r="G11" s="69"/>
      <c r="H11" s="99">
        <f t="shared" si="1"/>
        <v>0</v>
      </c>
      <c r="I11" s="70"/>
    </row>
    <row r="12" spans="1:9" ht="15.95" customHeight="1">
      <c r="A12" s="524"/>
      <c r="B12" s="249" t="s">
        <v>150</v>
      </c>
      <c r="C12" s="68"/>
      <c r="D12" s="68"/>
      <c r="E12" s="279"/>
      <c r="F12" s="269"/>
      <c r="G12" s="69"/>
      <c r="H12" s="99">
        <f t="shared" si="1"/>
        <v>0</v>
      </c>
      <c r="I12" s="70"/>
    </row>
    <row r="13" spans="1:9" ht="15.95" customHeight="1">
      <c r="A13" s="524"/>
      <c r="B13" s="98"/>
      <c r="C13" s="68"/>
      <c r="D13" s="68"/>
      <c r="E13" s="279"/>
      <c r="F13" s="269"/>
      <c r="G13" s="69"/>
      <c r="H13" s="99">
        <f t="shared" si="1"/>
        <v>0</v>
      </c>
      <c r="I13" s="70"/>
    </row>
    <row r="14" spans="1:9" ht="15.95" customHeight="1">
      <c r="A14" s="524"/>
      <c r="B14" s="98"/>
      <c r="C14" s="68"/>
      <c r="D14" s="68"/>
      <c r="E14" s="279"/>
      <c r="F14" s="269"/>
      <c r="G14" s="69"/>
      <c r="H14" s="99">
        <f t="shared" si="1"/>
        <v>0</v>
      </c>
      <c r="I14" s="70"/>
    </row>
    <row r="15" spans="1:9" ht="15.95" customHeight="1">
      <c r="A15" s="524"/>
      <c r="B15" s="98"/>
      <c r="C15" s="113" t="s">
        <v>47</v>
      </c>
      <c r="D15" s="239"/>
      <c r="E15" s="280" t="s">
        <v>173</v>
      </c>
      <c r="F15" s="273"/>
      <c r="G15" s="240"/>
      <c r="H15" s="241">
        <f t="shared" si="1"/>
        <v>0</v>
      </c>
      <c r="I15" s="242"/>
    </row>
    <row r="16" spans="1:9" ht="15.95" customHeight="1">
      <c r="A16" s="524"/>
      <c r="B16" s="98"/>
      <c r="C16" s="243"/>
      <c r="D16" s="244"/>
      <c r="E16" s="281"/>
      <c r="F16" s="274"/>
      <c r="G16" s="246"/>
      <c r="H16" s="247">
        <f>SUM(H10:H15)</f>
        <v>0</v>
      </c>
      <c r="I16" s="245"/>
    </row>
    <row r="17" spans="1:9" ht="15.95" customHeight="1">
      <c r="A17" s="524"/>
      <c r="B17" s="102" t="s">
        <v>40</v>
      </c>
      <c r="C17" s="287" t="s">
        <v>193</v>
      </c>
      <c r="D17" s="287" t="s">
        <v>194</v>
      </c>
      <c r="E17" s="288">
        <v>1</v>
      </c>
      <c r="F17" s="289">
        <v>1</v>
      </c>
      <c r="G17" s="290">
        <v>7500000</v>
      </c>
      <c r="H17" s="103">
        <f>IF(F17=0,G17,G17*F17)</f>
        <v>7500000</v>
      </c>
      <c r="I17" s="75" t="s">
        <v>195</v>
      </c>
    </row>
    <row r="18" spans="1:9" ht="15.95" customHeight="1">
      <c r="A18" s="524"/>
      <c r="B18" s="98"/>
      <c r="C18" s="291"/>
      <c r="D18" s="291"/>
      <c r="E18" s="292"/>
      <c r="F18" s="293"/>
      <c r="G18" s="294"/>
      <c r="H18" s="99">
        <f t="shared" si="1"/>
        <v>0</v>
      </c>
      <c r="I18" s="70"/>
    </row>
    <row r="19" spans="1:9" ht="15.95" customHeight="1">
      <c r="A19" s="524"/>
      <c r="B19" s="98"/>
      <c r="C19" s="291"/>
      <c r="D19" s="291"/>
      <c r="E19" s="292"/>
      <c r="F19" s="293"/>
      <c r="G19" s="294"/>
      <c r="H19" s="99">
        <f t="shared" si="1"/>
        <v>0</v>
      </c>
      <c r="I19" s="70"/>
    </row>
    <row r="20" spans="1:9" ht="15.95" customHeight="1">
      <c r="A20" s="524"/>
      <c r="B20" s="98"/>
      <c r="C20" s="291"/>
      <c r="D20" s="291"/>
      <c r="E20" s="292"/>
      <c r="F20" s="293"/>
      <c r="G20" s="294"/>
      <c r="H20" s="99">
        <f t="shared" si="1"/>
        <v>0</v>
      </c>
      <c r="I20" s="70"/>
    </row>
    <row r="21" spans="1:9" ht="15.95" customHeight="1">
      <c r="A21" s="524"/>
      <c r="B21" s="98"/>
      <c r="C21" s="291"/>
      <c r="D21" s="291"/>
      <c r="E21" s="292"/>
      <c r="F21" s="293"/>
      <c r="G21" s="294"/>
      <c r="H21" s="99">
        <f t="shared" si="1"/>
        <v>0</v>
      </c>
      <c r="I21" s="70"/>
    </row>
    <row r="22" spans="1:9" ht="15.95" customHeight="1">
      <c r="A22" s="524"/>
      <c r="B22" s="98"/>
      <c r="C22" s="291"/>
      <c r="D22" s="291"/>
      <c r="E22" s="292"/>
      <c r="F22" s="293"/>
      <c r="G22" s="294"/>
      <c r="H22" s="99">
        <f t="shared" ref="H22:H30" si="2">IF(F22=0,G22,G22*F22)</f>
        <v>0</v>
      </c>
      <c r="I22" s="70"/>
    </row>
    <row r="23" spans="1:9" ht="15.95" customHeight="1">
      <c r="A23" s="524"/>
      <c r="B23" s="98"/>
      <c r="C23" s="291"/>
      <c r="D23" s="291"/>
      <c r="E23" s="292"/>
      <c r="F23" s="293"/>
      <c r="G23" s="294"/>
      <c r="H23" s="99">
        <f t="shared" si="2"/>
        <v>0</v>
      </c>
      <c r="I23" s="70"/>
    </row>
    <row r="24" spans="1:9" ht="15.95" customHeight="1">
      <c r="A24" s="524"/>
      <c r="B24" s="98"/>
      <c r="C24" s="295"/>
      <c r="D24" s="295"/>
      <c r="E24" s="296"/>
      <c r="F24" s="297"/>
      <c r="G24" s="298"/>
      <c r="H24" s="99">
        <f t="shared" si="2"/>
        <v>0</v>
      </c>
      <c r="I24" s="70"/>
    </row>
    <row r="25" spans="1:9" ht="15.95" customHeight="1">
      <c r="A25" s="524"/>
      <c r="B25" s="98"/>
      <c r="C25" s="299"/>
      <c r="D25" s="299"/>
      <c r="E25" s="292"/>
      <c r="F25" s="300"/>
      <c r="G25" s="301"/>
      <c r="H25" s="99">
        <f t="shared" si="2"/>
        <v>0</v>
      </c>
      <c r="I25" s="70"/>
    </row>
    <row r="26" spans="1:9" ht="15.95" customHeight="1">
      <c r="A26" s="524"/>
      <c r="B26" s="98"/>
      <c r="C26" s="299"/>
      <c r="D26" s="299"/>
      <c r="E26" s="292"/>
      <c r="F26" s="300"/>
      <c r="G26" s="301"/>
      <c r="H26" s="99">
        <f t="shared" si="2"/>
        <v>0</v>
      </c>
      <c r="I26" s="70"/>
    </row>
    <row r="27" spans="1:9" ht="15.95" customHeight="1">
      <c r="A27" s="524"/>
      <c r="B27" s="98"/>
      <c r="C27" s="291"/>
      <c r="D27" s="299"/>
      <c r="E27" s="292"/>
      <c r="F27" s="300"/>
      <c r="G27" s="301"/>
      <c r="H27" s="99">
        <f t="shared" si="2"/>
        <v>0</v>
      </c>
      <c r="I27" s="70"/>
    </row>
    <row r="28" spans="1:9" ht="15.95" customHeight="1">
      <c r="A28" s="524"/>
      <c r="B28" s="98"/>
      <c r="C28" s="295"/>
      <c r="D28" s="299"/>
      <c r="E28" s="296"/>
      <c r="F28" s="302"/>
      <c r="G28" s="303"/>
      <c r="H28" s="99">
        <f t="shared" si="2"/>
        <v>0</v>
      </c>
      <c r="I28" s="70"/>
    </row>
    <row r="29" spans="1:9" ht="15.95" customHeight="1">
      <c r="A29" s="524"/>
      <c r="B29" s="98"/>
      <c r="C29" s="295"/>
      <c r="D29" s="299"/>
      <c r="E29" s="296"/>
      <c r="F29" s="302"/>
      <c r="G29" s="303"/>
      <c r="H29" s="99">
        <f t="shared" si="2"/>
        <v>0</v>
      </c>
      <c r="I29" s="70"/>
    </row>
    <row r="30" spans="1:9" ht="15.95" customHeight="1">
      <c r="A30" s="524"/>
      <c r="B30" s="98"/>
      <c r="C30" s="295"/>
      <c r="D30" s="299"/>
      <c r="E30" s="296"/>
      <c r="F30" s="302"/>
      <c r="G30" s="303"/>
      <c r="H30" s="99">
        <f t="shared" si="2"/>
        <v>0</v>
      </c>
      <c r="I30" s="70"/>
    </row>
    <row r="31" spans="1:9" ht="15.95" customHeight="1">
      <c r="A31" s="524"/>
      <c r="B31" s="98"/>
      <c r="C31" s="295"/>
      <c r="D31" s="299"/>
      <c r="E31" s="296"/>
      <c r="F31" s="302"/>
      <c r="G31" s="303"/>
      <c r="H31" s="99">
        <f t="shared" ref="H31:H41" si="3">IF(F31=0,G31,G31*F31)</f>
        <v>0</v>
      </c>
      <c r="I31" s="70"/>
    </row>
    <row r="32" spans="1:9" ht="15.95" customHeight="1">
      <c r="A32" s="524"/>
      <c r="B32" s="98"/>
      <c r="C32" s="299"/>
      <c r="D32" s="299"/>
      <c r="E32" s="292"/>
      <c r="F32" s="300"/>
      <c r="G32" s="301"/>
      <c r="H32" s="99">
        <f t="shared" si="3"/>
        <v>0</v>
      </c>
      <c r="I32" s="70"/>
    </row>
    <row r="33" spans="1:9" ht="15.95" customHeight="1">
      <c r="A33" s="524"/>
      <c r="B33" s="98"/>
      <c r="C33" s="299"/>
      <c r="D33" s="299"/>
      <c r="E33" s="292"/>
      <c r="F33" s="300"/>
      <c r="G33" s="301"/>
      <c r="H33" s="99">
        <f t="shared" si="3"/>
        <v>0</v>
      </c>
      <c r="I33" s="70"/>
    </row>
    <row r="34" spans="1:9" ht="15.95" customHeight="1">
      <c r="A34" s="524"/>
      <c r="B34" s="98"/>
      <c r="C34" s="299"/>
      <c r="D34" s="299"/>
      <c r="E34" s="292"/>
      <c r="F34" s="300"/>
      <c r="G34" s="301"/>
      <c r="H34" s="99">
        <f t="shared" si="3"/>
        <v>0</v>
      </c>
      <c r="I34" s="70"/>
    </row>
    <row r="35" spans="1:9" ht="15.95" customHeight="1">
      <c r="A35" s="524"/>
      <c r="B35" s="98"/>
      <c r="C35" s="291"/>
      <c r="D35" s="291"/>
      <c r="E35" s="292"/>
      <c r="F35" s="293"/>
      <c r="G35" s="294"/>
      <c r="H35" s="99">
        <f t="shared" si="3"/>
        <v>0</v>
      </c>
      <c r="I35" s="70"/>
    </row>
    <row r="36" spans="1:9" ht="15.95" customHeight="1">
      <c r="A36" s="524"/>
      <c r="B36" s="98"/>
      <c r="C36" s="291"/>
      <c r="D36" s="291"/>
      <c r="E36" s="292"/>
      <c r="F36" s="304"/>
      <c r="G36" s="305"/>
      <c r="H36" s="99">
        <f t="shared" si="3"/>
        <v>0</v>
      </c>
      <c r="I36" s="70"/>
    </row>
    <row r="37" spans="1:9" ht="15.95" customHeight="1">
      <c r="A37" s="524"/>
      <c r="B37" s="98"/>
      <c r="C37" s="68"/>
      <c r="D37" s="68"/>
      <c r="E37" s="279"/>
      <c r="F37" s="269"/>
      <c r="G37" s="69"/>
      <c r="H37" s="99">
        <f t="shared" si="3"/>
        <v>0</v>
      </c>
      <c r="I37" s="70"/>
    </row>
    <row r="38" spans="1:9" ht="15.95" customHeight="1">
      <c r="A38" s="524"/>
      <c r="B38" s="98"/>
      <c r="C38" s="68"/>
      <c r="D38" s="68"/>
      <c r="E38" s="279"/>
      <c r="F38" s="269"/>
      <c r="G38" s="69"/>
      <c r="H38" s="99">
        <f t="shared" si="3"/>
        <v>0</v>
      </c>
      <c r="I38" s="70"/>
    </row>
    <row r="39" spans="1:9" ht="15.95" customHeight="1">
      <c r="A39" s="524"/>
      <c r="B39" s="98"/>
      <c r="C39" s="68"/>
      <c r="D39" s="68"/>
      <c r="E39" s="279"/>
      <c r="F39" s="269"/>
      <c r="G39" s="69"/>
      <c r="H39" s="99">
        <f t="shared" si="3"/>
        <v>0</v>
      </c>
      <c r="I39" s="70"/>
    </row>
    <row r="40" spans="1:9" ht="15.95" customHeight="1">
      <c r="A40" s="524"/>
      <c r="B40" s="98"/>
      <c r="C40" s="68"/>
      <c r="D40" s="68"/>
      <c r="E40" s="279"/>
      <c r="F40" s="269"/>
      <c r="G40" s="69"/>
      <c r="H40" s="99">
        <f t="shared" si="3"/>
        <v>0</v>
      </c>
      <c r="I40" s="70"/>
    </row>
    <row r="41" spans="1:9" ht="15.95" customHeight="1">
      <c r="A41" s="524"/>
      <c r="B41" s="98"/>
      <c r="C41" s="68"/>
      <c r="D41" s="68"/>
      <c r="E41" s="279"/>
      <c r="F41" s="269"/>
      <c r="G41" s="69"/>
      <c r="H41" s="99">
        <f t="shared" si="3"/>
        <v>0</v>
      </c>
      <c r="I41" s="70"/>
    </row>
    <row r="42" spans="1:9" ht="15.95" customHeight="1">
      <c r="A42" s="524"/>
      <c r="B42" s="98"/>
      <c r="C42" s="68"/>
      <c r="D42" s="68"/>
      <c r="E42" s="279"/>
      <c r="F42" s="269"/>
      <c r="G42" s="69"/>
      <c r="H42" s="99">
        <f t="shared" ref="H42:H53" si="4">IF(F42=0,G42,G42*F42)</f>
        <v>0</v>
      </c>
      <c r="I42" s="70"/>
    </row>
    <row r="43" spans="1:9" ht="15.95" customHeight="1">
      <c r="A43" s="524"/>
      <c r="B43" s="98"/>
      <c r="C43" s="68"/>
      <c r="D43" s="68"/>
      <c r="E43" s="279"/>
      <c r="F43" s="269"/>
      <c r="G43" s="69"/>
      <c r="H43" s="99">
        <f t="shared" si="4"/>
        <v>0</v>
      </c>
      <c r="I43" s="70"/>
    </row>
    <row r="44" spans="1:9" ht="15.95" customHeight="1">
      <c r="A44" s="524"/>
      <c r="B44" s="98"/>
      <c r="C44" s="68"/>
      <c r="D44" s="68"/>
      <c r="E44" s="279"/>
      <c r="F44" s="269"/>
      <c r="G44" s="69"/>
      <c r="H44" s="99">
        <f t="shared" si="4"/>
        <v>0</v>
      </c>
      <c r="I44" s="70"/>
    </row>
    <row r="45" spans="1:9" ht="15.95" customHeight="1">
      <c r="A45" s="524"/>
      <c r="B45" s="98"/>
      <c r="C45" s="68"/>
      <c r="D45" s="68"/>
      <c r="E45" s="279"/>
      <c r="F45" s="269"/>
      <c r="G45" s="69"/>
      <c r="H45" s="99">
        <f t="shared" si="4"/>
        <v>0</v>
      </c>
      <c r="I45" s="70"/>
    </row>
    <row r="46" spans="1:9" ht="15.95" customHeight="1">
      <c r="A46" s="524"/>
      <c r="B46" s="98"/>
      <c r="C46" s="68"/>
      <c r="D46" s="68"/>
      <c r="E46" s="279"/>
      <c r="F46" s="269"/>
      <c r="G46" s="69"/>
      <c r="H46" s="99">
        <f t="shared" si="4"/>
        <v>0</v>
      </c>
      <c r="I46" s="70"/>
    </row>
    <row r="47" spans="1:9" ht="15.95" customHeight="1">
      <c r="A47" s="524"/>
      <c r="B47" s="98"/>
      <c r="C47" s="68"/>
      <c r="D47" s="68"/>
      <c r="E47" s="279"/>
      <c r="F47" s="269"/>
      <c r="G47" s="69"/>
      <c r="H47" s="99">
        <f t="shared" si="4"/>
        <v>0</v>
      </c>
      <c r="I47" s="70"/>
    </row>
    <row r="48" spans="1:9" ht="15.95" customHeight="1">
      <c r="A48" s="524"/>
      <c r="B48" s="98"/>
      <c r="C48" s="68"/>
      <c r="D48" s="68"/>
      <c r="E48" s="279"/>
      <c r="F48" s="269"/>
      <c r="G48" s="69"/>
      <c r="H48" s="99">
        <f t="shared" si="4"/>
        <v>0</v>
      </c>
      <c r="I48" s="70"/>
    </row>
    <row r="49" spans="1:9" ht="15.95" customHeight="1">
      <c r="A49" s="524"/>
      <c r="B49" s="98"/>
      <c r="C49" s="68"/>
      <c r="D49" s="68"/>
      <c r="E49" s="279"/>
      <c r="F49" s="269"/>
      <c r="G49" s="69"/>
      <c r="H49" s="99">
        <f t="shared" si="4"/>
        <v>0</v>
      </c>
      <c r="I49" s="70"/>
    </row>
    <row r="50" spans="1:9" ht="15.95" customHeight="1">
      <c r="A50" s="524"/>
      <c r="B50" s="98"/>
      <c r="C50" s="68"/>
      <c r="D50" s="68"/>
      <c r="E50" s="279"/>
      <c r="F50" s="269"/>
      <c r="G50" s="69"/>
      <c r="H50" s="99">
        <f t="shared" si="4"/>
        <v>0</v>
      </c>
      <c r="I50" s="70"/>
    </row>
    <row r="51" spans="1:9" ht="15.95" customHeight="1">
      <c r="A51" s="524"/>
      <c r="B51" s="98"/>
      <c r="C51" s="68"/>
      <c r="D51" s="68"/>
      <c r="E51" s="279"/>
      <c r="F51" s="269"/>
      <c r="G51" s="69"/>
      <c r="H51" s="99">
        <f t="shared" si="4"/>
        <v>0</v>
      </c>
      <c r="I51" s="70"/>
    </row>
    <row r="52" spans="1:9" ht="15.95" customHeight="1">
      <c r="A52" s="524"/>
      <c r="B52" s="98"/>
      <c r="C52" s="68"/>
      <c r="D52" s="68"/>
      <c r="E52" s="279"/>
      <c r="F52" s="269"/>
      <c r="G52" s="69"/>
      <c r="H52" s="99">
        <f t="shared" si="4"/>
        <v>0</v>
      </c>
      <c r="I52" s="70"/>
    </row>
    <row r="53" spans="1:9" ht="15.95" customHeight="1">
      <c r="A53" s="524"/>
      <c r="B53" s="98"/>
      <c r="C53" s="113"/>
      <c r="D53" s="113"/>
      <c r="E53" s="280"/>
      <c r="F53" s="270"/>
      <c r="G53" s="114"/>
      <c r="H53" s="104">
        <f t="shared" si="4"/>
        <v>0</v>
      </c>
      <c r="I53" s="71"/>
    </row>
    <row r="54" spans="1:9" ht="15.95" customHeight="1">
      <c r="A54" s="524"/>
      <c r="B54" s="72"/>
      <c r="C54" s="101"/>
      <c r="D54" s="91"/>
      <c r="E54" s="120"/>
      <c r="F54" s="271"/>
      <c r="G54" s="40"/>
      <c r="H54" s="30">
        <f>SUM(H17:H53)</f>
        <v>7500000</v>
      </c>
      <c r="I54" s="74"/>
    </row>
    <row r="55" spans="1:9" ht="15.95" customHeight="1">
      <c r="A55" s="76"/>
      <c r="B55" s="96" t="s">
        <v>42</v>
      </c>
      <c r="C55" s="73"/>
      <c r="D55" s="74"/>
      <c r="E55" s="121"/>
      <c r="F55" s="100"/>
      <c r="G55" s="56"/>
      <c r="H55" s="30">
        <f>SUM(H54,H9,H16)</f>
        <v>9000000</v>
      </c>
      <c r="I55" s="74"/>
    </row>
    <row r="56" spans="1:9" ht="15.95" customHeight="1">
      <c r="A56" s="521" t="s">
        <v>72</v>
      </c>
      <c r="B56" s="105" t="s">
        <v>70</v>
      </c>
      <c r="C56" s="73"/>
      <c r="D56" s="74"/>
      <c r="E56" s="52" t="s">
        <v>51</v>
      </c>
      <c r="F56" s="275"/>
      <c r="G56" s="265"/>
      <c r="H56" s="53">
        <f t="shared" ref="H56:H62" si="5">F56*G56</f>
        <v>0</v>
      </c>
      <c r="I56" s="74"/>
    </row>
    <row r="57" spans="1:9" ht="15.95" customHeight="1">
      <c r="A57" s="522"/>
      <c r="B57" s="106" t="s">
        <v>176</v>
      </c>
      <c r="C57" s="134"/>
      <c r="D57" s="75"/>
      <c r="E57" s="282" t="s">
        <v>50</v>
      </c>
      <c r="F57" s="276">
        <v>12</v>
      </c>
      <c r="G57" s="112">
        <v>800000</v>
      </c>
      <c r="H57" s="103">
        <f t="shared" si="5"/>
        <v>9600000</v>
      </c>
      <c r="I57" s="75"/>
    </row>
    <row r="58" spans="1:9" ht="15.95" customHeight="1">
      <c r="A58" s="522"/>
      <c r="B58" s="107" t="s">
        <v>102</v>
      </c>
      <c r="C58" s="135"/>
      <c r="D58" s="70"/>
      <c r="E58" s="283" t="s">
        <v>50</v>
      </c>
      <c r="F58" s="268"/>
      <c r="G58" s="69"/>
      <c r="H58" s="99">
        <f t="shared" si="5"/>
        <v>0</v>
      </c>
      <c r="I58" s="70"/>
    </row>
    <row r="59" spans="1:9" ht="15.95" customHeight="1">
      <c r="A59" s="522"/>
      <c r="B59" s="107" t="s">
        <v>103</v>
      </c>
      <c r="C59" s="135"/>
      <c r="D59" s="70"/>
      <c r="E59" s="283" t="s">
        <v>50</v>
      </c>
      <c r="F59" s="269"/>
      <c r="G59" s="69"/>
      <c r="H59" s="99">
        <f>F59*G59</f>
        <v>0</v>
      </c>
      <c r="I59" s="70"/>
    </row>
    <row r="60" spans="1:9" ht="15.95" customHeight="1">
      <c r="A60" s="522"/>
      <c r="B60" s="107" t="s">
        <v>104</v>
      </c>
      <c r="C60" s="135"/>
      <c r="D60" s="70"/>
      <c r="E60" s="283" t="s">
        <v>50</v>
      </c>
      <c r="F60" s="269">
        <v>2</v>
      </c>
      <c r="G60" s="69">
        <v>1400000</v>
      </c>
      <c r="H60" s="99">
        <f t="shared" si="5"/>
        <v>2800000</v>
      </c>
      <c r="I60" s="70"/>
    </row>
    <row r="61" spans="1:9" ht="15.95" customHeight="1">
      <c r="A61" s="522"/>
      <c r="B61" s="107" t="s">
        <v>105</v>
      </c>
      <c r="C61" s="135"/>
      <c r="D61" s="70"/>
      <c r="E61" s="283" t="s">
        <v>50</v>
      </c>
      <c r="F61" s="273">
        <v>6</v>
      </c>
      <c r="G61" s="240">
        <v>1400000</v>
      </c>
      <c r="H61" s="99">
        <f t="shared" si="5"/>
        <v>8400000</v>
      </c>
      <c r="I61" s="70"/>
    </row>
    <row r="62" spans="1:9" ht="15.95" customHeight="1">
      <c r="A62" s="522"/>
      <c r="B62" s="108" t="s">
        <v>106</v>
      </c>
      <c r="C62" s="136"/>
      <c r="D62" s="71"/>
      <c r="E62" s="284" t="s">
        <v>50</v>
      </c>
      <c r="F62" s="270">
        <v>8</v>
      </c>
      <c r="G62" s="114">
        <v>1400000</v>
      </c>
      <c r="H62" s="104">
        <f t="shared" si="5"/>
        <v>11200000</v>
      </c>
      <c r="I62" s="71"/>
    </row>
    <row r="63" spans="1:9" ht="15.95" customHeight="1">
      <c r="A63" s="76"/>
      <c r="B63" s="95" t="s">
        <v>41</v>
      </c>
      <c r="C63" s="73"/>
      <c r="D63" s="74"/>
      <c r="E63" s="121"/>
      <c r="F63" s="271"/>
      <c r="G63" s="40"/>
      <c r="H63" s="30">
        <f>SUM(H56:H62)</f>
        <v>32000000</v>
      </c>
      <c r="I63" s="74"/>
    </row>
    <row r="64" spans="1:9" ht="15.95" customHeight="1">
      <c r="A64" s="52"/>
      <c r="B64" s="95" t="s">
        <v>48</v>
      </c>
      <c r="C64" s="73"/>
      <c r="D64" s="74"/>
      <c r="E64" s="121"/>
      <c r="F64" s="54"/>
      <c r="G64" s="139" t="s">
        <v>78</v>
      </c>
      <c r="H64" s="56">
        <v>0</v>
      </c>
      <c r="I64" s="74"/>
    </row>
    <row r="65" spans="1:11" ht="15.95" customHeight="1">
      <c r="A65" s="52"/>
      <c r="B65" s="95" t="s">
        <v>25</v>
      </c>
      <c r="C65" s="73"/>
      <c r="D65" s="74"/>
      <c r="E65" s="121"/>
      <c r="F65" s="54"/>
      <c r="G65" s="55"/>
      <c r="H65" s="115">
        <f>(H63+H55)*0.05</f>
        <v>2050000</v>
      </c>
      <c r="I65" s="73"/>
    </row>
    <row r="66" spans="1:11" ht="15.95" customHeight="1">
      <c r="A66" s="52"/>
      <c r="B66" s="95" t="s">
        <v>146</v>
      </c>
      <c r="C66" s="73"/>
      <c r="D66" s="74"/>
      <c r="E66" s="121"/>
      <c r="F66" s="54"/>
      <c r="G66" s="55"/>
      <c r="H66" s="115">
        <f>(H63+H55)*0.1</f>
        <v>4100000</v>
      </c>
      <c r="I66" s="73"/>
    </row>
    <row r="67" spans="1:11" ht="15.95" customHeight="1">
      <c r="A67" s="52"/>
      <c r="B67" s="95" t="s">
        <v>147</v>
      </c>
      <c r="C67" s="73"/>
      <c r="D67" s="74"/>
      <c r="E67" s="121"/>
      <c r="F67" s="54"/>
      <c r="G67" s="30"/>
      <c r="H67" s="40">
        <f>H55+H63+H64+H65+H66</f>
        <v>47150000</v>
      </c>
      <c r="I67" s="74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EE3-822B-4153-9552-E30B634D4620}">
  <sheetPr codeName="Sheet6">
    <tabColor rgb="FF00B050"/>
    <pageSetUpPr fitToPage="1"/>
  </sheetPr>
  <dimension ref="A1:K55"/>
  <sheetViews>
    <sheetView zoomScale="85" zoomScaleNormal="85" workbookViewId="0">
      <pane xSplit="2" ySplit="2" topLeftCell="C23" activePane="bottomRight" state="frozen"/>
      <selection activeCell="U21" sqref="U21:U23"/>
      <selection pane="topRight" activeCell="U21" sqref="U21:U23"/>
      <selection pane="bottomLeft" activeCell="U21" sqref="U21:U23"/>
      <selection pane="bottomRight" activeCell="C2" sqref="C2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97" t="s">
        <v>79</v>
      </c>
      <c r="C1" s="140" t="s">
        <v>211</v>
      </c>
      <c r="F1" s="65"/>
      <c r="I1" s="28" t="s">
        <v>82</v>
      </c>
      <c r="K1" s="122"/>
    </row>
    <row r="2" spans="1:11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23" t="s">
        <v>81</v>
      </c>
      <c r="B3" s="98" t="s">
        <v>37</v>
      </c>
      <c r="C3" s="68"/>
      <c r="D3" s="309"/>
      <c r="E3" s="279"/>
      <c r="F3" s="269"/>
      <c r="G3" s="69"/>
      <c r="H3" s="99">
        <f>IF(F3=0,G3,G3*F3)</f>
        <v>0</v>
      </c>
      <c r="I3" s="306"/>
    </row>
    <row r="4" spans="1:11" ht="15.95" customHeight="1">
      <c r="A4" s="525"/>
      <c r="B4" s="98"/>
      <c r="C4" s="364"/>
      <c r="D4" s="364"/>
      <c r="E4" s="367"/>
      <c r="F4" s="368"/>
      <c r="G4" s="365"/>
      <c r="H4" s="99">
        <f>F4*G4</f>
        <v>0</v>
      </c>
      <c r="I4" s="70"/>
    </row>
    <row r="5" spans="1:11" ht="15.95" customHeight="1">
      <c r="A5" s="525"/>
      <c r="B5" s="98"/>
      <c r="C5" s="311"/>
      <c r="D5" s="311"/>
      <c r="E5" s="309"/>
      <c r="F5" s="310"/>
      <c r="G5" s="335"/>
      <c r="H5" s="99">
        <f>F5*G5</f>
        <v>0</v>
      </c>
      <c r="I5" s="119"/>
    </row>
    <row r="6" spans="1:11" ht="15.95" customHeight="1">
      <c r="A6" s="525"/>
      <c r="B6" s="98"/>
      <c r="C6" s="311"/>
      <c r="D6" s="311"/>
      <c r="E6" s="309"/>
      <c r="F6" s="310"/>
      <c r="G6" s="335"/>
      <c r="H6" s="99">
        <f>F6*G6</f>
        <v>0</v>
      </c>
      <c r="I6" s="70"/>
    </row>
    <row r="7" spans="1:11" ht="15.95" customHeight="1">
      <c r="A7" s="525"/>
      <c r="B7" s="98"/>
      <c r="C7" s="311"/>
      <c r="D7" s="311"/>
      <c r="E7" s="309"/>
      <c r="F7" s="310"/>
      <c r="G7" s="335"/>
      <c r="H7" s="99">
        <f>F7*G7</f>
        <v>0</v>
      </c>
      <c r="I7" s="70"/>
    </row>
    <row r="8" spans="1:11" ht="15.95" customHeight="1">
      <c r="A8" s="525"/>
      <c r="B8" s="98"/>
      <c r="C8" s="68"/>
      <c r="D8" s="68"/>
      <c r="E8" s="68"/>
      <c r="F8" s="69"/>
      <c r="G8" s="69"/>
      <c r="H8" s="99">
        <f t="shared" ref="H8:H39" si="0">IF(F8=0,G8,G8*F8)</f>
        <v>0</v>
      </c>
      <c r="I8" s="70"/>
    </row>
    <row r="9" spans="1:11" ht="15.95" customHeight="1">
      <c r="A9" s="525"/>
      <c r="B9" s="98"/>
      <c r="C9" s="113"/>
      <c r="D9" s="280"/>
      <c r="E9" s="280"/>
      <c r="F9" s="270"/>
      <c r="G9" s="114"/>
      <c r="H9" s="241">
        <f t="shared" si="0"/>
        <v>0</v>
      </c>
      <c r="I9" s="242"/>
    </row>
    <row r="10" spans="1:11" ht="15.95" customHeight="1">
      <c r="A10" s="525"/>
      <c r="B10" s="72"/>
      <c r="C10" s="245"/>
      <c r="D10" s="245"/>
      <c r="E10" s="245"/>
      <c r="F10" s="246"/>
      <c r="G10" s="246"/>
      <c r="H10" s="247">
        <f>SUM(H3:H9)</f>
        <v>0</v>
      </c>
      <c r="I10" s="245"/>
    </row>
    <row r="11" spans="1:11" ht="15.95" customHeight="1">
      <c r="A11" s="525"/>
      <c r="B11" s="98" t="s">
        <v>155</v>
      </c>
      <c r="C11" s="116"/>
      <c r="D11" s="116"/>
      <c r="E11" s="278"/>
      <c r="F11" s="268"/>
      <c r="G11" s="117"/>
      <c r="H11" s="118">
        <f t="shared" si="0"/>
        <v>0</v>
      </c>
      <c r="I11" s="119"/>
    </row>
    <row r="12" spans="1:11" ht="15.95" customHeight="1">
      <c r="A12" s="525"/>
      <c r="B12" s="98" t="s">
        <v>156</v>
      </c>
      <c r="C12" s="68"/>
      <c r="D12" s="68"/>
      <c r="E12" s="68"/>
      <c r="F12" s="269"/>
      <c r="G12" s="69"/>
      <c r="H12" s="99">
        <f t="shared" si="0"/>
        <v>0</v>
      </c>
      <c r="I12" s="70"/>
    </row>
    <row r="13" spans="1:11" ht="15.95" customHeight="1">
      <c r="A13" s="525"/>
      <c r="B13" s="98"/>
      <c r="C13" s="68"/>
      <c r="D13" s="68"/>
      <c r="E13" s="68"/>
      <c r="F13" s="269"/>
      <c r="G13" s="69"/>
      <c r="H13" s="99">
        <f t="shared" si="0"/>
        <v>0</v>
      </c>
      <c r="I13" s="70"/>
    </row>
    <row r="14" spans="1:11" ht="15.95" customHeight="1">
      <c r="A14" s="525"/>
      <c r="B14" s="98"/>
      <c r="C14" s="68"/>
      <c r="D14" s="68"/>
      <c r="E14" s="68"/>
      <c r="F14" s="269"/>
      <c r="G14" s="69"/>
      <c r="H14" s="99">
        <f t="shared" si="0"/>
        <v>0</v>
      </c>
      <c r="I14" s="70"/>
    </row>
    <row r="15" spans="1:11" ht="15.95" customHeight="1">
      <c r="A15" s="525"/>
      <c r="B15" s="98"/>
      <c r="C15" s="113"/>
      <c r="D15" s="113"/>
      <c r="E15" s="280"/>
      <c r="F15" s="270"/>
      <c r="G15" s="114"/>
      <c r="H15" s="99">
        <f t="shared" si="0"/>
        <v>0</v>
      </c>
      <c r="I15" s="71"/>
    </row>
    <row r="16" spans="1:11" ht="15.95" customHeight="1">
      <c r="A16" s="525"/>
      <c r="B16" s="72"/>
      <c r="C16" s="101"/>
      <c r="D16" s="91"/>
      <c r="E16" s="91"/>
      <c r="F16" s="141"/>
      <c r="G16" s="40"/>
      <c r="H16" s="30">
        <f>SUM(H11:H15)</f>
        <v>0</v>
      </c>
      <c r="I16" s="74"/>
    </row>
    <row r="17" spans="1:9" ht="15.95" customHeight="1">
      <c r="A17" s="525"/>
      <c r="B17" s="102" t="s">
        <v>38</v>
      </c>
      <c r="C17" s="311"/>
      <c r="D17" s="311"/>
      <c r="E17" s="309"/>
      <c r="F17" s="369"/>
      <c r="G17" s="335"/>
      <c r="H17" s="62">
        <f t="shared" si="0"/>
        <v>0</v>
      </c>
      <c r="I17" s="75"/>
    </row>
    <row r="18" spans="1:9" ht="15.95" customHeight="1">
      <c r="A18" s="525"/>
      <c r="B18" s="98" t="s">
        <v>45</v>
      </c>
      <c r="C18" s="311"/>
      <c r="D18" s="311"/>
      <c r="E18" s="309"/>
      <c r="F18" s="369"/>
      <c r="G18" s="335"/>
      <c r="H18" s="99">
        <f t="shared" si="0"/>
        <v>0</v>
      </c>
      <c r="I18" s="331"/>
    </row>
    <row r="19" spans="1:9" ht="15.95" customHeight="1">
      <c r="A19" s="525"/>
      <c r="B19" s="98" t="s">
        <v>201</v>
      </c>
      <c r="C19" s="311"/>
      <c r="D19" s="311"/>
      <c r="E19" s="309"/>
      <c r="F19" s="369"/>
      <c r="G19" s="335"/>
      <c r="H19" s="99">
        <f t="shared" si="0"/>
        <v>0</v>
      </c>
      <c r="I19" s="331"/>
    </row>
    <row r="20" spans="1:9" ht="15.95" customHeight="1">
      <c r="A20" s="525"/>
      <c r="B20" s="98"/>
      <c r="C20" s="311"/>
      <c r="D20" s="311"/>
      <c r="E20" s="309"/>
      <c r="F20" s="369"/>
      <c r="G20" s="335"/>
      <c r="H20" s="99">
        <f t="shared" si="0"/>
        <v>0</v>
      </c>
      <c r="I20" s="331"/>
    </row>
    <row r="21" spans="1:9" ht="15.95" customHeight="1">
      <c r="A21" s="525"/>
      <c r="B21" s="98"/>
      <c r="C21" s="311"/>
      <c r="D21" s="311"/>
      <c r="E21" s="309"/>
      <c r="F21" s="369"/>
      <c r="G21" s="335"/>
      <c r="H21" s="99">
        <f t="shared" si="0"/>
        <v>0</v>
      </c>
      <c r="I21" s="331"/>
    </row>
    <row r="22" spans="1:9" ht="15.95" customHeight="1">
      <c r="A22" s="525"/>
      <c r="B22" s="98"/>
      <c r="C22" s="311"/>
      <c r="D22" s="311"/>
      <c r="E22" s="309"/>
      <c r="F22" s="369"/>
      <c r="G22" s="335"/>
      <c r="H22" s="99">
        <f t="shared" si="0"/>
        <v>0</v>
      </c>
      <c r="I22" s="331"/>
    </row>
    <row r="23" spans="1:9" ht="15.95" customHeight="1">
      <c r="A23" s="525"/>
      <c r="B23" s="98"/>
      <c r="C23" s="68"/>
      <c r="D23" s="311"/>
      <c r="E23" s="309"/>
      <c r="F23" s="310"/>
      <c r="G23" s="69"/>
      <c r="H23" s="99">
        <f t="shared" si="0"/>
        <v>0</v>
      </c>
      <c r="I23" s="70"/>
    </row>
    <row r="24" spans="1:9" ht="15.95" customHeight="1">
      <c r="A24" s="525"/>
      <c r="B24" s="98"/>
      <c r="C24" s="68"/>
      <c r="D24" s="311"/>
      <c r="E24" s="309"/>
      <c r="F24" s="310"/>
      <c r="G24" s="69"/>
      <c r="H24" s="99">
        <f t="shared" si="0"/>
        <v>0</v>
      </c>
      <c r="I24" s="70"/>
    </row>
    <row r="25" spans="1:9" ht="15.95" customHeight="1">
      <c r="A25" s="525"/>
      <c r="B25" s="98"/>
      <c r="C25" s="68"/>
      <c r="D25" s="311"/>
      <c r="E25" s="309"/>
      <c r="F25" s="310"/>
      <c r="G25" s="69"/>
      <c r="H25" s="99">
        <f t="shared" si="0"/>
        <v>0</v>
      </c>
      <c r="I25" s="70"/>
    </row>
    <row r="26" spans="1:9" ht="15.95" customHeight="1">
      <c r="A26" s="525"/>
      <c r="B26" s="98"/>
      <c r="C26" s="68"/>
      <c r="D26" s="311"/>
      <c r="E26" s="309"/>
      <c r="F26" s="310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311"/>
      <c r="E27" s="309"/>
      <c r="F27" s="310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311"/>
      <c r="E28" s="309"/>
      <c r="F28" s="310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68"/>
      <c r="D29" s="311"/>
      <c r="E29" s="309"/>
      <c r="F29" s="310"/>
      <c r="G29" s="69"/>
      <c r="H29" s="99">
        <f t="shared" si="0"/>
        <v>0</v>
      </c>
      <c r="I29" s="70"/>
    </row>
    <row r="30" spans="1:9" ht="15.95" customHeight="1">
      <c r="A30" s="525"/>
      <c r="B30" s="98"/>
      <c r="C30" s="68"/>
      <c r="D30" s="311"/>
      <c r="E30" s="309"/>
      <c r="F30" s="310"/>
      <c r="G30" s="69"/>
      <c r="H30" s="99">
        <f t="shared" si="0"/>
        <v>0</v>
      </c>
      <c r="I30" s="70"/>
    </row>
    <row r="31" spans="1:9" ht="15.95" customHeight="1">
      <c r="A31" s="525"/>
      <c r="B31" s="98"/>
      <c r="C31" s="113"/>
      <c r="D31" s="113"/>
      <c r="E31" s="280"/>
      <c r="F31" s="270"/>
      <c r="G31" s="114"/>
      <c r="H31" s="241">
        <f t="shared" si="0"/>
        <v>0</v>
      </c>
      <c r="I31" s="242"/>
    </row>
    <row r="32" spans="1:9" ht="15.95" customHeight="1">
      <c r="A32" s="525"/>
      <c r="B32" s="72"/>
      <c r="C32" s="73"/>
      <c r="D32" s="74"/>
      <c r="E32" s="74"/>
      <c r="F32" s="30"/>
      <c r="G32" s="30"/>
      <c r="H32" s="30">
        <f>SUM(H17:H31)</f>
        <v>0</v>
      </c>
      <c r="I32" s="74"/>
    </row>
    <row r="33" spans="1:9" ht="15.95" customHeight="1">
      <c r="A33" s="525"/>
      <c r="B33" s="102" t="s">
        <v>39</v>
      </c>
      <c r="C33" s="68"/>
      <c r="D33" s="309"/>
      <c r="E33" s="309"/>
      <c r="F33" s="310"/>
      <c r="G33" s="69"/>
      <c r="H33" s="99">
        <f t="shared" si="0"/>
        <v>0</v>
      </c>
      <c r="I33" s="75"/>
    </row>
    <row r="34" spans="1:9" ht="15.95" customHeight="1">
      <c r="A34" s="525"/>
      <c r="B34" s="98"/>
      <c r="C34" s="68"/>
      <c r="D34" s="309"/>
      <c r="E34" s="309"/>
      <c r="F34" s="310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279"/>
      <c r="F35" s="2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279"/>
      <c r="F36" s="2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309"/>
      <c r="E37" s="309"/>
      <c r="F37" s="310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309"/>
      <c r="E38" s="309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113"/>
      <c r="D39" s="113"/>
      <c r="E39" s="113"/>
      <c r="F39" s="114"/>
      <c r="G39" s="114"/>
      <c r="H39" s="104">
        <f t="shared" si="0"/>
        <v>0</v>
      </c>
      <c r="I39" s="71"/>
    </row>
    <row r="40" spans="1:9" ht="15.95" customHeight="1">
      <c r="A40" s="525"/>
      <c r="B40" s="72"/>
      <c r="C40" s="101"/>
      <c r="D40" s="91"/>
      <c r="E40" s="91"/>
      <c r="F40" s="40"/>
      <c r="G40" s="40"/>
      <c r="H40" s="30">
        <f>SUM(H33:H39)</f>
        <v>0</v>
      </c>
      <c r="I40" s="74"/>
    </row>
    <row r="41" spans="1:9" ht="15.95" customHeight="1">
      <c r="A41" s="76"/>
      <c r="B41" s="96" t="s">
        <v>42</v>
      </c>
      <c r="C41" s="73"/>
      <c r="D41" s="74"/>
      <c r="E41" s="74"/>
      <c r="F41" s="56"/>
      <c r="G41" s="56"/>
      <c r="H41" s="30">
        <f>SUM(H40,H32,H16,H10)</f>
        <v>0</v>
      </c>
      <c r="I41" s="74"/>
    </row>
    <row r="42" spans="1:9" ht="15.95" customHeight="1">
      <c r="A42" s="523" t="s">
        <v>72</v>
      </c>
      <c r="B42" s="105" t="s">
        <v>70</v>
      </c>
      <c r="C42" s="73"/>
      <c r="D42" s="74"/>
      <c r="E42" s="105" t="s">
        <v>51</v>
      </c>
      <c r="F42" s="366"/>
      <c r="G42" s="265"/>
      <c r="H42" s="53">
        <f>F42*G42</f>
        <v>0</v>
      </c>
      <c r="I42" s="74"/>
    </row>
    <row r="43" spans="1:9" ht="15.95" customHeight="1">
      <c r="A43" s="525"/>
      <c r="B43" s="106" t="s">
        <v>107</v>
      </c>
      <c r="C43" s="134"/>
      <c r="D43" s="75"/>
      <c r="E43" s="106" t="s">
        <v>50</v>
      </c>
      <c r="F43" s="358"/>
      <c r="G43" s="112"/>
      <c r="H43" s="103">
        <f t="shared" ref="H43:H49" si="1">F43*G43</f>
        <v>0</v>
      </c>
      <c r="I43" s="75"/>
    </row>
    <row r="44" spans="1:9" ht="15.95" customHeight="1">
      <c r="A44" s="525"/>
      <c r="B44" s="107" t="s">
        <v>108</v>
      </c>
      <c r="C44" s="135"/>
      <c r="D44" s="70"/>
      <c r="E44" s="107" t="s">
        <v>50</v>
      </c>
      <c r="F44" s="359"/>
      <c r="G44" s="69"/>
      <c r="H44" s="99">
        <f t="shared" si="1"/>
        <v>0</v>
      </c>
      <c r="I44" s="70"/>
    </row>
    <row r="45" spans="1:9" ht="15.95" customHeight="1">
      <c r="A45" s="525"/>
      <c r="B45" s="107" t="s">
        <v>109</v>
      </c>
      <c r="C45" s="135"/>
      <c r="D45" s="70"/>
      <c r="E45" s="107" t="s">
        <v>50</v>
      </c>
      <c r="F45" s="359"/>
      <c r="G45" s="69"/>
      <c r="H45" s="99">
        <f t="shared" si="1"/>
        <v>0</v>
      </c>
      <c r="I45" s="70"/>
    </row>
    <row r="46" spans="1:9" ht="15.95" customHeight="1">
      <c r="A46" s="525"/>
      <c r="B46" s="107" t="s">
        <v>110</v>
      </c>
      <c r="C46" s="135"/>
      <c r="D46" s="70"/>
      <c r="E46" s="107" t="s">
        <v>50</v>
      </c>
      <c r="F46" s="359">
        <v>2</v>
      </c>
      <c r="G46" s="69">
        <v>1400000</v>
      </c>
      <c r="H46" s="99">
        <f t="shared" si="1"/>
        <v>2800000</v>
      </c>
      <c r="I46" s="70"/>
    </row>
    <row r="47" spans="1:9" ht="15.95" customHeight="1">
      <c r="A47" s="525"/>
      <c r="B47" s="107" t="s">
        <v>111</v>
      </c>
      <c r="C47" s="135"/>
      <c r="D47" s="70"/>
      <c r="E47" s="107" t="s">
        <v>50</v>
      </c>
      <c r="F47" s="359">
        <v>6</v>
      </c>
      <c r="G47" s="69">
        <v>1400000</v>
      </c>
      <c r="H47" s="99">
        <f t="shared" si="1"/>
        <v>8400000</v>
      </c>
      <c r="I47" s="70"/>
    </row>
    <row r="48" spans="1:9" ht="15.95" customHeight="1">
      <c r="A48" s="525"/>
      <c r="B48" s="107" t="s">
        <v>112</v>
      </c>
      <c r="C48" s="135"/>
      <c r="D48" s="70"/>
      <c r="E48" s="107" t="s">
        <v>50</v>
      </c>
      <c r="F48" s="359">
        <v>8</v>
      </c>
      <c r="G48" s="69">
        <v>1400000</v>
      </c>
      <c r="H48" s="99">
        <f t="shared" si="1"/>
        <v>11200000</v>
      </c>
      <c r="I48" s="70"/>
    </row>
    <row r="49" spans="1:9" ht="15.95" customHeight="1">
      <c r="A49" s="525"/>
      <c r="B49" s="354" t="s">
        <v>184</v>
      </c>
      <c r="C49" s="136"/>
      <c r="D49" s="71"/>
      <c r="E49" s="108" t="s">
        <v>185</v>
      </c>
      <c r="F49" s="363"/>
      <c r="G49" s="114"/>
      <c r="H49" s="104">
        <f t="shared" si="1"/>
        <v>0</v>
      </c>
      <c r="I49" s="71"/>
    </row>
    <row r="50" spans="1:9" ht="15.95" customHeight="1">
      <c r="A50" s="76"/>
      <c r="B50" s="95" t="s">
        <v>41</v>
      </c>
      <c r="C50" s="73"/>
      <c r="D50" s="74"/>
      <c r="E50" s="74"/>
      <c r="F50" s="30"/>
      <c r="G50" s="30"/>
      <c r="H50" s="30">
        <f>SUM(H42:H49)</f>
        <v>22400000</v>
      </c>
      <c r="I50" s="91"/>
    </row>
    <row r="51" spans="1:9" ht="15.95" customHeight="1">
      <c r="A51" s="52"/>
      <c r="B51" s="95" t="s">
        <v>166</v>
      </c>
      <c r="C51" s="73"/>
      <c r="D51" s="74"/>
      <c r="E51" s="121"/>
      <c r="F51" s="30"/>
      <c r="G51" s="30"/>
      <c r="H51" s="56">
        <f>'원가항목별(집계)'!I38</f>
        <v>26590000</v>
      </c>
      <c r="I51" s="74"/>
    </row>
    <row r="52" spans="1:9" ht="15.95" customHeight="1">
      <c r="A52" s="52"/>
      <c r="B52" s="95" t="s">
        <v>25</v>
      </c>
      <c r="C52" s="73"/>
      <c r="D52" s="74"/>
      <c r="E52" s="121"/>
      <c r="F52" s="30"/>
      <c r="G52" s="55"/>
      <c r="H52" s="115">
        <f>(H50+H41)*0.05</f>
        <v>1120000</v>
      </c>
      <c r="I52" s="73"/>
    </row>
    <row r="53" spans="1:9" ht="15.95" customHeight="1">
      <c r="A53" s="52"/>
      <c r="B53" s="95" t="s">
        <v>146</v>
      </c>
      <c r="C53" s="73"/>
      <c r="D53" s="74"/>
      <c r="E53" s="121"/>
      <c r="F53" s="30"/>
      <c r="G53" s="55"/>
      <c r="H53" s="115">
        <f>(H50+H41)*0.1</f>
        <v>2240000</v>
      </c>
      <c r="I53" s="73"/>
    </row>
    <row r="54" spans="1:9" ht="15.95" customHeight="1">
      <c r="A54" s="52"/>
      <c r="B54" s="95" t="s">
        <v>147</v>
      </c>
      <c r="C54" s="73"/>
      <c r="D54" s="74"/>
      <c r="E54" s="74"/>
      <c r="F54" s="30"/>
      <c r="G54" s="30"/>
      <c r="H54" s="40">
        <f>H41+H50+H51+H52+H53</f>
        <v>52350000</v>
      </c>
      <c r="I54" s="74"/>
    </row>
    <row r="55" spans="1:9">
      <c r="A55" s="29"/>
    </row>
  </sheetData>
  <mergeCells count="3">
    <mergeCell ref="A2:B2"/>
    <mergeCell ref="A42:A49"/>
    <mergeCell ref="A3:A4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7FE4-E2E4-4C83-906F-9D020B183AF8}">
  <sheetPr codeName="Sheet7">
    <tabColor rgb="FF00B050"/>
    <pageSetUpPr fitToPage="1"/>
  </sheetPr>
  <dimension ref="A1:I70"/>
  <sheetViews>
    <sheetView zoomScale="85" workbookViewId="0">
      <pane xSplit="2" ySplit="2" topLeftCell="C38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68"/>
      <c r="D3" s="309"/>
      <c r="E3" s="279"/>
      <c r="F3" s="269"/>
      <c r="G3" s="69"/>
      <c r="H3" s="99">
        <f>IF(F3=0,G3,G3*F3)</f>
        <v>0</v>
      </c>
      <c r="I3" s="306"/>
    </row>
    <row r="4" spans="1:9" ht="15.95" customHeight="1">
      <c r="A4" s="525"/>
      <c r="B4" s="98"/>
      <c r="C4" s="311"/>
      <c r="D4" s="308"/>
      <c r="E4" s="309"/>
      <c r="F4" s="362"/>
      <c r="G4" s="335"/>
      <c r="H4" s="99">
        <f>F4*G4</f>
        <v>0</v>
      </c>
      <c r="I4" s="70"/>
    </row>
    <row r="5" spans="1:9" ht="15.95" customHeight="1">
      <c r="A5" s="525"/>
      <c r="B5" s="98"/>
      <c r="C5" s="311"/>
      <c r="D5" s="308"/>
      <c r="E5" s="309"/>
      <c r="F5" s="361"/>
      <c r="G5" s="335"/>
      <c r="H5" s="99">
        <f>F5*G5</f>
        <v>0</v>
      </c>
      <c r="I5" s="70"/>
    </row>
    <row r="6" spans="1:9" ht="15.95" customHeight="1">
      <c r="A6" s="525"/>
      <c r="B6" s="98"/>
      <c r="C6" s="311"/>
      <c r="D6" s="311"/>
      <c r="E6" s="309"/>
      <c r="F6" s="361"/>
      <c r="G6" s="335"/>
      <c r="H6" s="99">
        <f>F6*G6</f>
        <v>0</v>
      </c>
      <c r="I6" s="70"/>
    </row>
    <row r="7" spans="1:9" ht="15.95" customHeight="1">
      <c r="A7" s="525"/>
      <c r="B7" s="98"/>
      <c r="C7" s="311"/>
      <c r="D7" s="311"/>
      <c r="E7" s="309"/>
      <c r="F7" s="361"/>
      <c r="G7" s="335"/>
      <c r="H7" s="99">
        <f>F7*G7</f>
        <v>0</v>
      </c>
      <c r="I7" s="70"/>
    </row>
    <row r="8" spans="1:9" ht="15.95" customHeight="1">
      <c r="A8" s="525"/>
      <c r="B8" s="98"/>
      <c r="C8" s="311"/>
      <c r="D8" s="311"/>
      <c r="E8" s="309"/>
      <c r="F8" s="335"/>
      <c r="G8" s="335"/>
      <c r="H8" s="99">
        <f t="shared" ref="H8:H54" si="0">IF(F8=0,G8,G8*F8)</f>
        <v>0</v>
      </c>
      <c r="I8" s="70"/>
    </row>
    <row r="9" spans="1:9" ht="15.95" customHeight="1">
      <c r="A9" s="525"/>
      <c r="B9" s="98"/>
      <c r="C9" s="311"/>
      <c r="D9" s="311"/>
      <c r="E9" s="311"/>
      <c r="F9" s="335"/>
      <c r="G9" s="335"/>
      <c r="H9" s="99">
        <f t="shared" si="0"/>
        <v>0</v>
      </c>
      <c r="I9" s="70"/>
    </row>
    <row r="10" spans="1:9" ht="15.95" customHeight="1">
      <c r="A10" s="525"/>
      <c r="B10" s="98"/>
      <c r="C10" s="311"/>
      <c r="D10" s="311"/>
      <c r="E10" s="311"/>
      <c r="F10" s="335"/>
      <c r="G10" s="335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/>
      <c r="D23" s="280"/>
      <c r="E23" s="280"/>
      <c r="F23" s="270"/>
      <c r="G23" s="114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278"/>
      <c r="F25" s="268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311"/>
      <c r="D31" s="311"/>
      <c r="E31" s="309"/>
      <c r="F31" s="361"/>
      <c r="G31" s="335"/>
      <c r="H31" s="62">
        <f t="shared" ref="H31:H38" si="1">IF(F31=0,G31,G31*F31)</f>
        <v>0</v>
      </c>
      <c r="I31" s="75"/>
    </row>
    <row r="32" spans="1:9" ht="15.95" customHeight="1">
      <c r="A32" s="525"/>
      <c r="B32" s="98" t="s">
        <v>45</v>
      </c>
      <c r="C32" s="311"/>
      <c r="D32" s="311"/>
      <c r="E32" s="309"/>
      <c r="F32" s="361"/>
      <c r="G32" s="335"/>
      <c r="H32" s="99">
        <f t="shared" si="1"/>
        <v>0</v>
      </c>
      <c r="I32" s="70"/>
    </row>
    <row r="33" spans="1:9" ht="15.95" customHeight="1">
      <c r="A33" s="525"/>
      <c r="B33" s="98"/>
      <c r="C33" s="311"/>
      <c r="D33" s="311"/>
      <c r="E33" s="309"/>
      <c r="F33" s="361"/>
      <c r="G33" s="335"/>
      <c r="H33" s="99">
        <f t="shared" si="1"/>
        <v>0</v>
      </c>
      <c r="I33" s="70"/>
    </row>
    <row r="34" spans="1:9" ht="15.95" customHeight="1">
      <c r="A34" s="525"/>
      <c r="B34" s="98"/>
      <c r="C34" s="311"/>
      <c r="D34" s="311"/>
      <c r="E34" s="309"/>
      <c r="F34" s="361"/>
      <c r="G34" s="335"/>
      <c r="H34" s="99">
        <f t="shared" si="1"/>
        <v>0</v>
      </c>
      <c r="I34" s="70"/>
    </row>
    <row r="35" spans="1:9" ht="15.95" customHeight="1">
      <c r="A35" s="525"/>
      <c r="B35" s="98"/>
      <c r="C35" s="311"/>
      <c r="D35" s="311"/>
      <c r="E35" s="309"/>
      <c r="F35" s="361"/>
      <c r="G35" s="335"/>
      <c r="H35" s="99">
        <f t="shared" si="1"/>
        <v>0</v>
      </c>
      <c r="I35" s="70"/>
    </row>
    <row r="36" spans="1:9" ht="15.95" customHeight="1">
      <c r="A36" s="525"/>
      <c r="B36" s="98"/>
      <c r="C36" s="311"/>
      <c r="D36" s="311"/>
      <c r="E36" s="309"/>
      <c r="F36" s="361"/>
      <c r="G36" s="335"/>
      <c r="H36" s="99">
        <f t="shared" si="1"/>
        <v>0</v>
      </c>
      <c r="I36" s="70"/>
    </row>
    <row r="37" spans="1:9" ht="15.95" customHeight="1">
      <c r="A37" s="525"/>
      <c r="B37" s="98"/>
      <c r="C37" s="311"/>
      <c r="D37" s="311"/>
      <c r="E37" s="309"/>
      <c r="F37" s="361"/>
      <c r="G37" s="335"/>
      <c r="H37" s="99">
        <f t="shared" si="1"/>
        <v>0</v>
      </c>
      <c r="I37" s="70"/>
    </row>
    <row r="38" spans="1:9" ht="15.95" customHeight="1">
      <c r="A38" s="525"/>
      <c r="B38" s="98"/>
      <c r="C38" s="311"/>
      <c r="D38" s="311"/>
      <c r="E38" s="309"/>
      <c r="F38" s="361"/>
      <c r="G38" s="335"/>
      <c r="H38" s="99">
        <f t="shared" si="1"/>
        <v>0</v>
      </c>
      <c r="I38" s="70"/>
    </row>
    <row r="39" spans="1:9" ht="15.95" customHeight="1">
      <c r="A39" s="525"/>
      <c r="B39" s="98"/>
      <c r="C39" s="311"/>
      <c r="D39" s="311"/>
      <c r="E39" s="311"/>
      <c r="F39" s="335"/>
      <c r="G39" s="335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336"/>
      <c r="D45" s="336"/>
      <c r="E45" s="311"/>
      <c r="F45" s="337"/>
      <c r="G45" s="337"/>
      <c r="H45" s="99">
        <f t="shared" si="0"/>
        <v>0</v>
      </c>
      <c r="I45" s="70"/>
    </row>
    <row r="46" spans="1:9" ht="15.95" customHeight="1">
      <c r="A46" s="525"/>
      <c r="B46" s="98"/>
      <c r="C46" s="113"/>
      <c r="D46" s="113"/>
      <c r="E46" s="280"/>
      <c r="F46" s="270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68"/>
      <c r="D48" s="309"/>
      <c r="E48" s="309"/>
      <c r="F48" s="310"/>
      <c r="G48" s="69"/>
      <c r="H48" s="103"/>
      <c r="I48" s="75"/>
    </row>
    <row r="49" spans="1:9" ht="15.95" customHeight="1">
      <c r="A49" s="525"/>
      <c r="B49" s="98"/>
      <c r="C49" s="68"/>
      <c r="D49" s="309"/>
      <c r="E49" s="309"/>
      <c r="F49" s="310"/>
      <c r="G49" s="69"/>
      <c r="H49" s="99">
        <f>IF(F49=0,G49,G49*F49)</f>
        <v>0</v>
      </c>
      <c r="I49" s="70"/>
    </row>
    <row r="50" spans="1:9" ht="15.95" customHeight="1">
      <c r="A50" s="525"/>
      <c r="B50" s="98"/>
      <c r="C50" s="68"/>
      <c r="D50" s="68"/>
      <c r="E50" s="279"/>
      <c r="F50" s="2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279"/>
      <c r="F51" s="2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309"/>
      <c r="E52" s="309"/>
      <c r="F52" s="310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279"/>
      <c r="F53" s="2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386" t="s">
        <v>42</v>
      </c>
      <c r="C56" s="387"/>
      <c r="D56" s="306"/>
      <c r="E56" s="306"/>
      <c r="F56" s="56"/>
      <c r="G56" s="56"/>
      <c r="H56" s="56">
        <f>SUM(H55,H47,H30,H24)</f>
        <v>0</v>
      </c>
      <c r="I56" s="306"/>
    </row>
    <row r="57" spans="1:9" ht="15.95" customHeight="1">
      <c r="A57" s="526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25"/>
      <c r="B58" s="107" t="s">
        <v>107</v>
      </c>
      <c r="C58" s="135"/>
      <c r="D58" s="70"/>
      <c r="E58" s="107" t="s">
        <v>50</v>
      </c>
      <c r="F58" s="359"/>
      <c r="G58" s="69"/>
      <c r="H58" s="99">
        <f t="shared" ref="H58:H64" si="2">F58*G58</f>
        <v>0</v>
      </c>
      <c r="I58" s="70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359"/>
      <c r="G59" s="69"/>
      <c r="H59" s="99">
        <f t="shared" si="2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359"/>
      <c r="G60" s="69"/>
      <c r="H60" s="99">
        <f t="shared" si="2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359"/>
      <c r="G61" s="69"/>
      <c r="H61" s="99">
        <f t="shared" si="2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359"/>
      <c r="G62" s="69"/>
      <c r="H62" s="99">
        <f t="shared" si="2"/>
        <v>0</v>
      </c>
      <c r="I62" s="70"/>
    </row>
    <row r="63" spans="1:9" ht="15.95" customHeight="1">
      <c r="A63" s="525"/>
      <c r="B63" s="352" t="s">
        <v>187</v>
      </c>
      <c r="C63" s="135"/>
      <c r="D63" s="70"/>
      <c r="E63" s="107" t="s">
        <v>50</v>
      </c>
      <c r="F63" s="359"/>
      <c r="G63" s="69"/>
      <c r="H63" s="99">
        <f t="shared" si="2"/>
        <v>0</v>
      </c>
      <c r="I63" s="70"/>
    </row>
    <row r="64" spans="1:9" ht="15.95" customHeight="1">
      <c r="A64" s="525"/>
      <c r="B64" s="388" t="s">
        <v>186</v>
      </c>
      <c r="C64" s="389"/>
      <c r="D64" s="242"/>
      <c r="E64" s="390" t="s">
        <v>50</v>
      </c>
      <c r="F64" s="360"/>
      <c r="G64" s="240"/>
      <c r="H64" s="241">
        <f t="shared" si="2"/>
        <v>0</v>
      </c>
      <c r="I64" s="242"/>
    </row>
    <row r="65" spans="1:9" ht="15.95" customHeight="1">
      <c r="A65" s="76"/>
      <c r="B65" s="95" t="s">
        <v>41</v>
      </c>
      <c r="C65" s="73"/>
      <c r="D65" s="74"/>
      <c r="E65" s="74"/>
      <c r="F65" s="30"/>
      <c r="G65" s="30"/>
      <c r="H65" s="30">
        <f>SUM(H57:H64)</f>
        <v>0</v>
      </c>
      <c r="I65" s="74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'단위공사별(집계)'!L8+'단위공사별(집계)'!I8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B261-56E3-4EE2-BF4F-6EFF044B1589}">
  <sheetPr codeName="Sheet8">
    <tabColor rgb="FF00B050"/>
    <pageSetUpPr fitToPage="1"/>
  </sheetPr>
  <dimension ref="A1:I70"/>
  <sheetViews>
    <sheetView zoomScale="85" workbookViewId="0">
      <pane xSplit="2" ySplit="2" topLeftCell="C67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68"/>
      <c r="D3" s="309"/>
      <c r="E3" s="279"/>
      <c r="F3" s="269"/>
      <c r="G3" s="69"/>
      <c r="H3" s="99"/>
      <c r="I3" s="70" t="s">
        <v>177</v>
      </c>
    </row>
    <row r="4" spans="1:9" ht="15.95" customHeight="1">
      <c r="A4" s="525"/>
      <c r="B4" s="98"/>
      <c r="C4" s="68"/>
      <c r="D4" s="309"/>
      <c r="E4" s="279"/>
      <c r="F4" s="2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/>
      <c r="D23" s="280"/>
      <c r="E23" s="280"/>
      <c r="F23" s="270"/>
      <c r="G23" s="114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278"/>
      <c r="F25" s="268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329"/>
      <c r="D31" s="329"/>
      <c r="E31" s="330"/>
      <c r="F31" s="275"/>
      <c r="G31" s="265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239"/>
      <c r="D32" s="68"/>
      <c r="E32" s="279"/>
      <c r="F32" s="269"/>
      <c r="G32" s="69"/>
      <c r="H32" s="99">
        <f t="shared" si="0"/>
        <v>0</v>
      </c>
      <c r="I32" s="331"/>
    </row>
    <row r="33" spans="1:9" ht="15.95" customHeight="1">
      <c r="A33" s="525"/>
      <c r="B33" s="98"/>
      <c r="C33" s="68"/>
      <c r="D33" s="68"/>
      <c r="E33" s="279"/>
      <c r="F33" s="269"/>
      <c r="G33" s="69"/>
      <c r="H33" s="99">
        <f t="shared" si="0"/>
        <v>0</v>
      </c>
      <c r="I33" s="331"/>
    </row>
    <row r="34" spans="1:9" ht="15.95" customHeight="1">
      <c r="A34" s="525"/>
      <c r="B34" s="98"/>
      <c r="C34" s="68"/>
      <c r="D34" s="311"/>
      <c r="E34" s="279"/>
      <c r="F34" s="310"/>
      <c r="G34" s="69"/>
      <c r="H34" s="99">
        <f t="shared" si="0"/>
        <v>0</v>
      </c>
      <c r="I34" s="331"/>
    </row>
    <row r="35" spans="1:9" ht="15.95" customHeight="1">
      <c r="A35" s="525"/>
      <c r="B35" s="98"/>
      <c r="C35" s="68"/>
      <c r="D35" s="311"/>
      <c r="E35" s="279"/>
      <c r="F35" s="310"/>
      <c r="G35" s="69"/>
      <c r="H35" s="99">
        <f t="shared" si="0"/>
        <v>0</v>
      </c>
      <c r="I35" s="331"/>
    </row>
    <row r="36" spans="1:9" ht="15.95" customHeight="1">
      <c r="A36" s="525"/>
      <c r="B36" s="98"/>
      <c r="C36" s="68"/>
      <c r="D36" s="311"/>
      <c r="E36" s="279"/>
      <c r="F36" s="310"/>
      <c r="G36" s="69"/>
      <c r="H36" s="99">
        <f t="shared" si="0"/>
        <v>0</v>
      </c>
      <c r="I36" s="331"/>
    </row>
    <row r="37" spans="1:9" ht="15.95" customHeight="1">
      <c r="A37" s="525"/>
      <c r="B37" s="98"/>
      <c r="C37" s="68"/>
      <c r="D37" s="311"/>
      <c r="E37" s="279"/>
      <c r="F37" s="310"/>
      <c r="G37" s="69"/>
      <c r="H37" s="99">
        <f t="shared" si="0"/>
        <v>0</v>
      </c>
      <c r="I37" s="331"/>
    </row>
    <row r="38" spans="1:9" ht="15.95" customHeight="1">
      <c r="A38" s="525"/>
      <c r="B38" s="98"/>
      <c r="C38" s="239"/>
      <c r="D38" s="239"/>
      <c r="E38" s="68"/>
      <c r="F38" s="240"/>
      <c r="G38" s="240"/>
      <c r="H38" s="99">
        <f t="shared" si="0"/>
        <v>0</v>
      </c>
      <c r="I38" s="331"/>
    </row>
    <row r="39" spans="1:9" ht="15.95" customHeight="1">
      <c r="A39" s="525"/>
      <c r="B39" s="98"/>
      <c r="C39" s="239"/>
      <c r="D39" s="239"/>
      <c r="E39" s="68"/>
      <c r="F39" s="240"/>
      <c r="G39" s="240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279"/>
      <c r="F40" s="2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311"/>
      <c r="E41" s="279"/>
      <c r="F41" s="310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311"/>
      <c r="E42" s="279"/>
      <c r="F42" s="310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311"/>
      <c r="E43" s="279"/>
      <c r="F43" s="310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239"/>
      <c r="D45" s="239"/>
      <c r="E45" s="68"/>
      <c r="F45" s="240"/>
      <c r="G45" s="240"/>
      <c r="H45" s="99">
        <f t="shared" si="0"/>
        <v>0</v>
      </c>
      <c r="I45" s="70"/>
    </row>
    <row r="46" spans="1:9" ht="15.95" customHeight="1">
      <c r="A46" s="525"/>
      <c r="B46" s="98"/>
      <c r="C46" s="113"/>
      <c r="D46" s="113"/>
      <c r="E46" s="280"/>
      <c r="F46" s="270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68"/>
      <c r="D48" s="309"/>
      <c r="E48" s="309"/>
      <c r="F48" s="310"/>
      <c r="G48" s="69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309"/>
      <c r="E49" s="309"/>
      <c r="F49" s="310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279"/>
      <c r="F50" s="2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279"/>
      <c r="F51" s="2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309"/>
      <c r="E52" s="309"/>
      <c r="F52" s="310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279"/>
      <c r="F53" s="2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349"/>
      <c r="D58" s="333"/>
      <c r="E58" s="350" t="s">
        <v>50</v>
      </c>
      <c r="F58" s="358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351"/>
      <c r="D59" s="311"/>
      <c r="E59" s="352" t="s">
        <v>50</v>
      </c>
      <c r="F59" s="35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351"/>
      <c r="D60" s="311"/>
      <c r="E60" s="352" t="s">
        <v>50</v>
      </c>
      <c r="F60" s="359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351"/>
      <c r="D61" s="311"/>
      <c r="E61" s="352" t="s">
        <v>50</v>
      </c>
      <c r="F61" s="35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351"/>
      <c r="D62" s="311"/>
      <c r="E62" s="352" t="s">
        <v>50</v>
      </c>
      <c r="F62" s="35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351"/>
      <c r="D63" s="311"/>
      <c r="E63" s="352" t="s">
        <v>50</v>
      </c>
      <c r="F63" s="371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353"/>
      <c r="D64" s="338"/>
      <c r="E64" s="354" t="s">
        <v>50</v>
      </c>
      <c r="F64" s="372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'단위공사별(집계)'!L9+'단위공사별(집계)'!I9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8106-FF45-41B3-90DB-F1D4BF3F0775}">
  <sheetPr codeName="Sheet10">
    <tabColor rgb="FF00B050"/>
    <pageSetUpPr fitToPage="1"/>
  </sheetPr>
  <dimension ref="A1:I70"/>
  <sheetViews>
    <sheetView zoomScale="85" workbookViewId="0">
      <pane xSplit="2" ySplit="2" topLeftCell="C6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68"/>
      <c r="D3" s="308"/>
      <c r="E3" s="279"/>
      <c r="F3" s="269"/>
      <c r="G3" s="69"/>
      <c r="H3" s="103">
        <f>IF(F3=0,G3,G3*F3)</f>
        <v>0</v>
      </c>
      <c r="I3" s="75"/>
    </row>
    <row r="4" spans="1:9" ht="15.95" customHeight="1">
      <c r="A4" s="525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/>
      <c r="D23" s="280"/>
      <c r="E23" s="280"/>
      <c r="F23" s="270"/>
      <c r="G23" s="114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276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279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279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279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279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279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334"/>
      <c r="E37" s="279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340"/>
      <c r="D38" s="311"/>
      <c r="E38" s="279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239"/>
      <c r="D39" s="239"/>
      <c r="E39" s="68"/>
      <c r="F39" s="240"/>
      <c r="G39" s="240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279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279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279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279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279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279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/>
      <c r="D46" s="113"/>
      <c r="E46" s="280"/>
      <c r="F46" s="270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68"/>
      <c r="D48" s="309"/>
      <c r="E48" s="309"/>
      <c r="F48" s="310"/>
      <c r="G48" s="69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309"/>
      <c r="E49" s="309"/>
      <c r="F49" s="310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/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307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307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'단위공사별(집계)'!I11+'단위공사별(집계)'!L11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727D-DA4C-48BD-B3CB-8B3EC6C6BD0B}">
  <sheetPr codeName="Sheet9">
    <tabColor rgb="FF00B050"/>
    <pageSetUpPr fitToPage="1"/>
  </sheetPr>
  <dimension ref="A1:K69"/>
  <sheetViews>
    <sheetView zoomScale="85" zoomScaleNormal="85" workbookViewId="0">
      <pane xSplit="2" ySplit="2" topLeftCell="C35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97" t="s">
        <v>80</v>
      </c>
      <c r="C1" s="140"/>
      <c r="F1" s="65"/>
      <c r="I1" s="28" t="s">
        <v>82</v>
      </c>
    </row>
    <row r="2" spans="1:11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23" t="s">
        <v>81</v>
      </c>
      <c r="B3" s="98" t="s">
        <v>37</v>
      </c>
      <c r="C3" s="352"/>
      <c r="D3" s="342"/>
      <c r="E3" s="343"/>
      <c r="F3" s="344"/>
      <c r="G3" s="344"/>
      <c r="H3" s="103">
        <f>IF(F3=0,G3,G3*F3)</f>
        <v>0</v>
      </c>
      <c r="I3" s="75"/>
    </row>
    <row r="4" spans="1:11" ht="15.95" customHeight="1">
      <c r="A4" s="525"/>
      <c r="B4" s="98"/>
      <c r="C4" s="352"/>
      <c r="D4" s="342"/>
      <c r="E4" s="343"/>
      <c r="F4" s="344"/>
      <c r="G4" s="344"/>
      <c r="H4" s="99">
        <f>IF(F4=0,G4,G4*F4)</f>
        <v>0</v>
      </c>
      <c r="I4" s="70"/>
    </row>
    <row r="5" spans="1:11" ht="15.95" customHeight="1">
      <c r="A5" s="525"/>
      <c r="B5" s="98"/>
      <c r="C5" s="352"/>
      <c r="D5" s="342"/>
      <c r="E5" s="343"/>
      <c r="F5" s="344"/>
      <c r="G5" s="344"/>
      <c r="H5" s="99">
        <f t="shared" ref="H5:H53" si="0">IF(F5=0,G5,G5*F5)</f>
        <v>0</v>
      </c>
      <c r="I5" s="70"/>
    </row>
    <row r="6" spans="1:11" ht="15.95" customHeight="1">
      <c r="A6" s="525"/>
      <c r="B6" s="98"/>
      <c r="C6" s="352"/>
      <c r="D6" s="342"/>
      <c r="E6" s="343"/>
      <c r="F6" s="344"/>
      <c r="G6" s="344"/>
      <c r="H6" s="99">
        <f t="shared" si="0"/>
        <v>0</v>
      </c>
      <c r="I6" s="70"/>
    </row>
    <row r="7" spans="1:11" ht="15.95" customHeight="1">
      <c r="A7" s="525"/>
      <c r="B7" s="98"/>
      <c r="C7" s="352"/>
      <c r="D7" s="342"/>
      <c r="E7" s="343"/>
      <c r="F7" s="344"/>
      <c r="G7" s="344"/>
      <c r="H7" s="99">
        <f t="shared" si="0"/>
        <v>0</v>
      </c>
      <c r="I7" s="70"/>
    </row>
    <row r="8" spans="1:11" ht="15.95" customHeight="1">
      <c r="A8" s="525"/>
      <c r="B8" s="98"/>
      <c r="C8" s="352"/>
      <c r="D8" s="342"/>
      <c r="E8" s="343"/>
      <c r="F8" s="344"/>
      <c r="G8" s="344"/>
      <c r="H8" s="99">
        <f t="shared" si="0"/>
        <v>0</v>
      </c>
      <c r="I8" s="70"/>
    </row>
    <row r="9" spans="1:11" ht="15.95" customHeight="1">
      <c r="A9" s="525"/>
      <c r="B9" s="98"/>
      <c r="C9" s="352"/>
      <c r="D9" s="342"/>
      <c r="E9" s="343"/>
      <c r="F9" s="344"/>
      <c r="G9" s="344"/>
      <c r="H9" s="99">
        <f t="shared" si="0"/>
        <v>0</v>
      </c>
      <c r="I9" s="70"/>
    </row>
    <row r="10" spans="1:11" ht="15.95" customHeight="1">
      <c r="A10" s="525"/>
      <c r="B10" s="98"/>
      <c r="C10" s="352"/>
      <c r="D10" s="311"/>
      <c r="E10" s="311"/>
      <c r="F10" s="69"/>
      <c r="G10" s="69"/>
      <c r="H10" s="99">
        <f t="shared" si="0"/>
        <v>0</v>
      </c>
      <c r="I10" s="70"/>
    </row>
    <row r="11" spans="1:11" ht="15.95" customHeight="1">
      <c r="A11" s="525"/>
      <c r="B11" s="98"/>
      <c r="C11" s="311"/>
      <c r="D11" s="311"/>
      <c r="E11" s="311"/>
      <c r="F11" s="69"/>
      <c r="G11" s="69"/>
      <c r="H11" s="99">
        <f t="shared" si="0"/>
        <v>0</v>
      </c>
      <c r="I11" s="70"/>
    </row>
    <row r="12" spans="1:11" ht="15.95" customHeight="1">
      <c r="A12" s="525"/>
      <c r="B12" s="98"/>
      <c r="C12" s="311"/>
      <c r="D12" s="311"/>
      <c r="E12" s="311"/>
      <c r="F12" s="69"/>
      <c r="G12" s="69"/>
      <c r="H12" s="99">
        <f t="shared" si="0"/>
        <v>0</v>
      </c>
      <c r="I12" s="70"/>
    </row>
    <row r="13" spans="1:11" ht="15.95" customHeight="1">
      <c r="A13" s="525"/>
      <c r="B13" s="98"/>
      <c r="C13" s="311"/>
      <c r="D13" s="311"/>
      <c r="E13" s="311"/>
      <c r="F13" s="69"/>
      <c r="G13" s="69"/>
      <c r="H13" s="99">
        <f t="shared" si="0"/>
        <v>0</v>
      </c>
      <c r="I13" s="70"/>
    </row>
    <row r="14" spans="1:11" ht="15.95" customHeight="1">
      <c r="A14" s="525"/>
      <c r="B14" s="98"/>
      <c r="C14" s="311"/>
      <c r="D14" s="311"/>
      <c r="E14" s="311"/>
      <c r="F14" s="69"/>
      <c r="G14" s="69"/>
      <c r="H14" s="99">
        <f t="shared" si="0"/>
        <v>0</v>
      </c>
      <c r="I14" s="70"/>
      <c r="K14" s="346"/>
    </row>
    <row r="15" spans="1:11" ht="15.95" customHeight="1">
      <c r="A15" s="525"/>
      <c r="B15" s="98"/>
      <c r="C15" s="311"/>
      <c r="D15" s="311"/>
      <c r="E15" s="311"/>
      <c r="F15" s="69"/>
      <c r="G15" s="69"/>
      <c r="H15" s="99">
        <f t="shared" si="0"/>
        <v>0</v>
      </c>
      <c r="I15" s="70"/>
    </row>
    <row r="16" spans="1:11" ht="15.95" customHeight="1">
      <c r="A16" s="525"/>
      <c r="B16" s="98"/>
      <c r="C16" s="311"/>
      <c r="D16" s="311"/>
      <c r="E16" s="311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311"/>
      <c r="D17" s="311"/>
      <c r="E17" s="311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311"/>
      <c r="D18" s="311"/>
      <c r="E18" s="311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311"/>
      <c r="D19" s="311"/>
      <c r="E19" s="311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113"/>
      <c r="D22" s="280"/>
      <c r="E22" s="280"/>
      <c r="F22" s="270"/>
      <c r="G22" s="114"/>
      <c r="H22" s="241">
        <f t="shared" si="0"/>
        <v>0</v>
      </c>
      <c r="I22" s="242"/>
    </row>
    <row r="23" spans="1:9" ht="15.95" customHeight="1">
      <c r="A23" s="525"/>
      <c r="B23" s="72"/>
      <c r="C23" s="245"/>
      <c r="D23" s="245"/>
      <c r="E23" s="245"/>
      <c r="F23" s="246"/>
      <c r="G23" s="246"/>
      <c r="H23" s="247">
        <f>SUM(H3:H22)</f>
        <v>0</v>
      </c>
      <c r="I23" s="245"/>
    </row>
    <row r="24" spans="1:9" ht="15.95" customHeight="1">
      <c r="A24" s="525"/>
      <c r="B24" s="98" t="s">
        <v>155</v>
      </c>
      <c r="C24" s="116"/>
      <c r="D24" s="116"/>
      <c r="E24" s="116"/>
      <c r="F24" s="117"/>
      <c r="G24" s="117"/>
      <c r="H24" s="118">
        <f t="shared" si="0"/>
        <v>0</v>
      </c>
      <c r="I24" s="119"/>
    </row>
    <row r="25" spans="1:9" ht="15.95" customHeight="1">
      <c r="A25" s="525"/>
      <c r="B25" s="98" t="s">
        <v>156</v>
      </c>
      <c r="C25" s="68"/>
      <c r="D25" s="68"/>
      <c r="E25" s="68"/>
      <c r="F25" s="69"/>
      <c r="G25" s="69"/>
      <c r="H25" s="99">
        <f t="shared" si="0"/>
        <v>0</v>
      </c>
      <c r="I25" s="70"/>
    </row>
    <row r="26" spans="1:9" ht="15.95" customHeight="1">
      <c r="A26" s="525"/>
      <c r="B26" s="98"/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113"/>
      <c r="D28" s="113"/>
      <c r="E28" s="113"/>
      <c r="F28" s="114"/>
      <c r="G28" s="114"/>
      <c r="H28" s="99">
        <f t="shared" si="0"/>
        <v>0</v>
      </c>
      <c r="I28" s="71"/>
    </row>
    <row r="29" spans="1:9" ht="15.95" customHeight="1">
      <c r="A29" s="525"/>
      <c r="B29" s="72"/>
      <c r="C29" s="101"/>
      <c r="D29" s="91"/>
      <c r="E29" s="91"/>
      <c r="F29" s="141"/>
      <c r="G29" s="40"/>
      <c r="H29" s="30">
        <f>SUM(H24:H28)</f>
        <v>0</v>
      </c>
      <c r="I29" s="74"/>
    </row>
    <row r="30" spans="1:9" ht="15.95" customHeight="1">
      <c r="A30" s="525"/>
      <c r="B30" s="102" t="s">
        <v>38</v>
      </c>
      <c r="C30" s="341"/>
      <c r="D30" s="342"/>
      <c r="E30" s="343"/>
      <c r="F30" s="344"/>
      <c r="G30" s="344"/>
      <c r="H30" s="103">
        <f t="shared" si="0"/>
        <v>0</v>
      </c>
      <c r="I30" s="75"/>
    </row>
    <row r="31" spans="1:9" ht="15.95" customHeight="1">
      <c r="A31" s="525"/>
      <c r="B31" s="98" t="s">
        <v>45</v>
      </c>
      <c r="C31" s="68"/>
      <c r="D31" s="68"/>
      <c r="E31" s="279"/>
      <c r="F31" s="69"/>
      <c r="G31" s="69"/>
      <c r="H31" s="99">
        <f t="shared" si="0"/>
        <v>0</v>
      </c>
      <c r="I31" s="70"/>
    </row>
    <row r="32" spans="1:9" ht="15.95" customHeight="1">
      <c r="A32" s="525"/>
      <c r="B32" s="98"/>
      <c r="C32" s="68"/>
      <c r="D32" s="68"/>
      <c r="E32" s="279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279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279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279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279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279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279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279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279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279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279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279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279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113"/>
      <c r="D45" s="280"/>
      <c r="E45" s="280"/>
      <c r="F45" s="270"/>
      <c r="G45" s="114"/>
      <c r="H45" s="104">
        <f t="shared" si="0"/>
        <v>0</v>
      </c>
      <c r="I45" s="71"/>
    </row>
    <row r="46" spans="1:9" ht="15.95" customHeight="1">
      <c r="A46" s="525"/>
      <c r="B46" s="72"/>
      <c r="C46" s="101"/>
      <c r="D46" s="91"/>
      <c r="E46" s="91"/>
      <c r="F46" s="40"/>
      <c r="G46" s="40"/>
      <c r="H46" s="30">
        <f>SUM(H30:H45)</f>
        <v>0</v>
      </c>
      <c r="I46" s="74"/>
    </row>
    <row r="47" spans="1:9" ht="15.95" customHeight="1">
      <c r="A47" s="525"/>
      <c r="B47" s="102" t="s">
        <v>39</v>
      </c>
      <c r="C47" s="68"/>
      <c r="D47" s="309"/>
      <c r="E47" s="309"/>
      <c r="F47" s="310"/>
      <c r="G47" s="69"/>
      <c r="H47" s="103">
        <f t="shared" si="0"/>
        <v>0</v>
      </c>
      <c r="I47" s="75"/>
    </row>
    <row r="48" spans="1:9" ht="15.95" customHeight="1">
      <c r="A48" s="525"/>
      <c r="B48" s="98"/>
      <c r="C48" s="68"/>
      <c r="D48" s="345"/>
      <c r="E48" s="309"/>
      <c r="F48" s="310"/>
      <c r="G48" s="69"/>
      <c r="H48" s="99">
        <f t="shared" si="0"/>
        <v>0</v>
      </c>
      <c r="I48" s="70"/>
    </row>
    <row r="49" spans="1:9" ht="15.95" customHeight="1">
      <c r="A49" s="525"/>
      <c r="B49" s="98"/>
      <c r="C49" s="68"/>
      <c r="D49" s="309"/>
      <c r="E49" s="309"/>
      <c r="F49" s="310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113"/>
      <c r="D53" s="113"/>
      <c r="E53" s="113"/>
      <c r="F53" s="114"/>
      <c r="G53" s="114"/>
      <c r="H53" s="104">
        <f t="shared" si="0"/>
        <v>0</v>
      </c>
      <c r="I53" s="71"/>
    </row>
    <row r="54" spans="1:9" ht="15.95" customHeight="1">
      <c r="A54" s="525"/>
      <c r="B54" s="72"/>
      <c r="C54" s="101"/>
      <c r="D54" s="91"/>
      <c r="E54" s="91"/>
      <c r="F54" s="40"/>
      <c r="G54" s="40"/>
      <c r="H54" s="30">
        <f>SUM(H47:H53)</f>
        <v>0</v>
      </c>
      <c r="I54" s="74"/>
    </row>
    <row r="55" spans="1:9" ht="15.95" customHeight="1">
      <c r="A55" s="76"/>
      <c r="B55" s="96" t="s">
        <v>42</v>
      </c>
      <c r="C55" s="73"/>
      <c r="D55" s="74"/>
      <c r="E55" s="74"/>
      <c r="F55" s="56"/>
      <c r="G55" s="56"/>
      <c r="H55" s="30">
        <f>SUM(H54,H46,H29,H23)</f>
        <v>0</v>
      </c>
      <c r="I55" s="74"/>
    </row>
    <row r="56" spans="1:9" ht="15.95" customHeight="1">
      <c r="A56" s="526" t="s">
        <v>72</v>
      </c>
      <c r="B56" s="105" t="s">
        <v>70</v>
      </c>
      <c r="C56" s="73"/>
      <c r="D56" s="74"/>
      <c r="E56" s="105" t="s">
        <v>51</v>
      </c>
      <c r="F56" s="115"/>
      <c r="G56" s="265"/>
      <c r="H56" s="53">
        <f>F56*G56</f>
        <v>0</v>
      </c>
      <c r="I56" s="74"/>
    </row>
    <row r="57" spans="1:9" ht="15.95" customHeight="1">
      <c r="A57" s="525"/>
      <c r="B57" s="106" t="s">
        <v>107</v>
      </c>
      <c r="C57" s="134"/>
      <c r="D57" s="75"/>
      <c r="E57" s="106" t="s">
        <v>50</v>
      </c>
      <c r="F57" s="112"/>
      <c r="G57" s="112"/>
      <c r="H57" s="103">
        <f t="shared" ref="H57:H63" si="1">F57*G57</f>
        <v>0</v>
      </c>
      <c r="I57" s="75"/>
    </row>
    <row r="58" spans="1:9" ht="15.95" customHeight="1">
      <c r="A58" s="525"/>
      <c r="B58" s="159" t="s">
        <v>108</v>
      </c>
      <c r="C58" s="135"/>
      <c r="D58" s="70"/>
      <c r="E58" s="107" t="s">
        <v>50</v>
      </c>
      <c r="F58" s="355"/>
      <c r="G58" s="69"/>
      <c r="H58" s="99">
        <f t="shared" si="1"/>
        <v>0</v>
      </c>
      <c r="I58" s="70"/>
    </row>
    <row r="59" spans="1:9" ht="15.95" customHeight="1">
      <c r="A59" s="525"/>
      <c r="B59" s="107" t="s">
        <v>109</v>
      </c>
      <c r="C59" s="135"/>
      <c r="D59" s="70"/>
      <c r="E59" s="107" t="s">
        <v>50</v>
      </c>
      <c r="F59" s="355"/>
      <c r="G59" s="69"/>
      <c r="H59" s="99">
        <f t="shared" si="1"/>
        <v>0</v>
      </c>
      <c r="I59" s="70"/>
    </row>
    <row r="60" spans="1:9" ht="15.95" customHeight="1">
      <c r="A60" s="525"/>
      <c r="B60" s="107" t="s">
        <v>110</v>
      </c>
      <c r="C60" s="135"/>
      <c r="D60" s="70"/>
      <c r="E60" s="107" t="s">
        <v>50</v>
      </c>
      <c r="F60" s="355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111</v>
      </c>
      <c r="C61" s="135"/>
      <c r="D61" s="70"/>
      <c r="E61" s="107" t="s">
        <v>50</v>
      </c>
      <c r="F61" s="355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112</v>
      </c>
      <c r="C62" s="135"/>
      <c r="D62" s="70"/>
      <c r="E62" s="107" t="s">
        <v>50</v>
      </c>
      <c r="F62" s="355"/>
      <c r="G62" s="69"/>
      <c r="H62" s="99">
        <f t="shared" si="1"/>
        <v>0</v>
      </c>
      <c r="I62" s="70"/>
    </row>
    <row r="63" spans="1:9" ht="15.95" customHeight="1">
      <c r="A63" s="525"/>
      <c r="B63" s="108" t="s">
        <v>178</v>
      </c>
      <c r="C63" s="136" t="s">
        <v>179</v>
      </c>
      <c r="D63" s="71"/>
      <c r="E63" s="108" t="s">
        <v>50</v>
      </c>
      <c r="F63" s="356"/>
      <c r="G63" s="114"/>
      <c r="H63" s="104">
        <f t="shared" si="1"/>
        <v>0</v>
      </c>
      <c r="I63" s="71"/>
    </row>
    <row r="64" spans="1:9" ht="15.95" customHeight="1">
      <c r="A64" s="76"/>
      <c r="B64" s="95" t="s">
        <v>41</v>
      </c>
      <c r="C64" s="73"/>
      <c r="D64" s="74"/>
      <c r="E64" s="74"/>
      <c r="F64" s="40"/>
      <c r="G64" s="40"/>
      <c r="H64" s="40">
        <f>SUM(H56:H63)</f>
        <v>0</v>
      </c>
      <c r="I64" s="91"/>
    </row>
    <row r="65" spans="1:9" ht="15.95" customHeight="1">
      <c r="A65" s="52"/>
      <c r="B65" s="95" t="s">
        <v>166</v>
      </c>
      <c r="C65" s="73"/>
      <c r="D65" s="74"/>
      <c r="E65" s="74"/>
      <c r="F65" s="30"/>
      <c r="G65" s="30"/>
      <c r="H65" s="56">
        <f>'단위공사별(집계)'!L10+'단위공사별(집계)'!I10</f>
        <v>0</v>
      </c>
      <c r="I65" s="74"/>
    </row>
    <row r="66" spans="1:9" ht="15.95" customHeight="1">
      <c r="A66" s="52"/>
      <c r="B66" s="95" t="s">
        <v>25</v>
      </c>
      <c r="C66" s="73"/>
      <c r="D66" s="74"/>
      <c r="E66" s="74"/>
      <c r="F66" s="30"/>
      <c r="G66" s="55"/>
      <c r="H66" s="115">
        <f>(H64+H55)*0.05</f>
        <v>0</v>
      </c>
      <c r="I66" s="73"/>
    </row>
    <row r="67" spans="1:9" ht="15.95" customHeight="1">
      <c r="A67" s="52"/>
      <c r="B67" s="95" t="s">
        <v>146</v>
      </c>
      <c r="C67" s="73"/>
      <c r="D67" s="74"/>
      <c r="E67" s="74"/>
      <c r="F67" s="30"/>
      <c r="G67" s="55"/>
      <c r="H67" s="115">
        <f>(H64+H55)*0.1</f>
        <v>0</v>
      </c>
      <c r="I67" s="73"/>
    </row>
    <row r="68" spans="1:9" ht="15.95" customHeight="1">
      <c r="A68" s="52"/>
      <c r="B68" s="95" t="s">
        <v>147</v>
      </c>
      <c r="C68" s="73"/>
      <c r="D68" s="74"/>
      <c r="E68" s="74"/>
      <c r="F68" s="30"/>
      <c r="G68" s="30"/>
      <c r="H68" s="40">
        <f>H55+H64+H65+H66+H67</f>
        <v>0</v>
      </c>
      <c r="I68" s="74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5466-FB65-4208-94DA-218319A9B3FD}">
  <sheetPr codeName="Sheet11">
    <tabColor rgb="FF00B050"/>
    <pageSetUpPr fitToPage="1"/>
  </sheetPr>
  <dimension ref="A1:I70"/>
  <sheetViews>
    <sheetView zoomScale="85" workbookViewId="0">
      <pane xSplit="2" ySplit="2" topLeftCell="C38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111"/>
      <c r="D3" s="111"/>
      <c r="E3" s="276"/>
      <c r="F3" s="112"/>
      <c r="G3" s="112"/>
      <c r="H3" s="103">
        <f>IF(F3=0,G3,G3*F3)</f>
        <v>0</v>
      </c>
      <c r="I3" s="75"/>
    </row>
    <row r="4" spans="1:9" ht="15.95" customHeight="1">
      <c r="A4" s="525"/>
      <c r="B4" s="98"/>
      <c r="C4" s="341"/>
      <c r="D4" s="348"/>
      <c r="E4" s="343"/>
      <c r="F4" s="344"/>
      <c r="G4" s="344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279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279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279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279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279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279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279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279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279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279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279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279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279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279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279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279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 t="s">
        <v>47</v>
      </c>
      <c r="D23" s="239"/>
      <c r="E23" s="239"/>
      <c r="F23" s="240"/>
      <c r="G23" s="240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276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279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279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279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279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279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279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279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279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279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279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279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279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279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279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 t="s">
        <v>47</v>
      </c>
      <c r="D46" s="280"/>
      <c r="E46" s="280" t="s">
        <v>173</v>
      </c>
      <c r="F46" s="270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68"/>
      <c r="D48" s="309"/>
      <c r="E48" s="309"/>
      <c r="F48" s="310"/>
      <c r="G48" s="69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345"/>
      <c r="E49" s="309"/>
      <c r="F49" s="310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309"/>
      <c r="E50" s="309"/>
      <c r="F50" s="310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309"/>
      <c r="F51" s="2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309"/>
      <c r="F52" s="2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309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/>
      <c r="D54" s="113"/>
      <c r="E54" s="339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178</v>
      </c>
      <c r="C64" s="136" t="s">
        <v>179</v>
      </c>
      <c r="D64" s="71"/>
      <c r="E64" s="108" t="s">
        <v>50</v>
      </c>
      <c r="F64" s="347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'단위공사별(집계)'!L12+'단위공사별(집계)'!I12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CD76-504B-4AF3-8B26-2AD092344FED}">
  <sheetPr codeName="Sheet12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111"/>
      <c r="D3" s="111"/>
      <c r="E3" s="276"/>
      <c r="F3" s="112"/>
      <c r="G3" s="112"/>
      <c r="H3" s="103">
        <f>IF(F3=0,G3,G3*F3)</f>
        <v>0</v>
      </c>
      <c r="I3" s="75"/>
    </row>
    <row r="4" spans="1:9" ht="15.95" customHeight="1">
      <c r="A4" s="525"/>
      <c r="B4" s="98"/>
      <c r="C4" s="68"/>
      <c r="D4" s="68"/>
      <c r="E4" s="279"/>
      <c r="F4" s="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279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279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279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279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279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279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279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279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279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279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279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279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279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279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279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279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279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 t="s">
        <v>47</v>
      </c>
      <c r="D23" s="280"/>
      <c r="E23" s="280" t="s">
        <v>173</v>
      </c>
      <c r="F23" s="270"/>
      <c r="G23" s="114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 t="s">
        <v>47</v>
      </c>
      <c r="D46" s="280"/>
      <c r="E46" s="280" t="s">
        <v>173</v>
      </c>
      <c r="F46" s="270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68"/>
      <c r="D48" s="309"/>
      <c r="E48" s="309"/>
      <c r="F48" s="310"/>
      <c r="G48" s="69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309"/>
      <c r="E49" s="309"/>
      <c r="F49" s="310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309"/>
      <c r="E50" s="309"/>
      <c r="F50" s="310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 t="s">
        <v>47</v>
      </c>
      <c r="D54" s="113"/>
      <c r="E54" s="280" t="s">
        <v>173</v>
      </c>
      <c r="F54" s="270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307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'단위공사별(집계)'!L13+'단위공사별(집계)'!I13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6BF3-5FEB-4195-945D-AB1E10FEEE12}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25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 t="s">
        <v>47</v>
      </c>
      <c r="D23" s="239"/>
      <c r="E23" s="239"/>
      <c r="F23" s="240"/>
      <c r="G23" s="240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E683-3710-412F-ACDF-3939E3465AE3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25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 t="s">
        <v>47</v>
      </c>
      <c r="D23" s="239"/>
      <c r="E23" s="239"/>
      <c r="F23" s="240"/>
      <c r="G23" s="240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DD4-209A-4580-889B-F199A49B8CDB}">
  <sheetPr>
    <tabColor rgb="FF00B050"/>
    <pageSetUpPr fitToPage="1"/>
  </sheetPr>
  <dimension ref="A1:I70"/>
  <sheetViews>
    <sheetView zoomScale="85" workbookViewId="0">
      <pane xSplit="2" ySplit="2" topLeftCell="C42" activePane="bottomRight" state="frozen"/>
      <selection activeCell="C1" sqref="C1"/>
      <selection pane="topRight" activeCell="C1" sqref="C1"/>
      <selection pane="bottomLeft" activeCell="C1" sqref="C1"/>
      <selection pane="bottomRight" activeCell="C1" sqref="C1"/>
    </sheetView>
  </sheetViews>
  <sheetFormatPr defaultColWidth="9"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5" t="s">
        <v>31</v>
      </c>
      <c r="B2" s="520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23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25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25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25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25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25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25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25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25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25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25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25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25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25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25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25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25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25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25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25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25"/>
      <c r="B23" s="98"/>
      <c r="C23" s="113" t="s">
        <v>47</v>
      </c>
      <c r="D23" s="239"/>
      <c r="E23" s="239"/>
      <c r="F23" s="240"/>
      <c r="G23" s="240"/>
      <c r="H23" s="241">
        <f t="shared" si="0"/>
        <v>0</v>
      </c>
      <c r="I23" s="242"/>
    </row>
    <row r="24" spans="1:9" ht="15.95" customHeight="1">
      <c r="A24" s="525"/>
      <c r="B24" s="72"/>
      <c r="C24" s="245"/>
      <c r="D24" s="245"/>
      <c r="E24" s="245"/>
      <c r="F24" s="246"/>
      <c r="G24" s="246"/>
      <c r="H24" s="247">
        <f>SUM(H3:H23)</f>
        <v>0</v>
      </c>
      <c r="I24" s="245"/>
    </row>
    <row r="25" spans="1:9" ht="15.95" customHeight="1">
      <c r="A25" s="525"/>
      <c r="B25" s="98" t="s">
        <v>155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25"/>
      <c r="B26" s="98" t="s">
        <v>156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25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25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25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25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25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25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25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25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25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25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25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25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25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25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25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25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25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25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25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25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25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25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25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25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25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25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25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25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25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26" t="s">
        <v>72</v>
      </c>
      <c r="B57" s="105" t="s">
        <v>70</v>
      </c>
      <c r="C57" s="73"/>
      <c r="D57" s="74"/>
      <c r="E57" s="105" t="s">
        <v>51</v>
      </c>
      <c r="F57" s="115"/>
      <c r="G57" s="265"/>
      <c r="H57" s="53">
        <f>F57*G57</f>
        <v>0</v>
      </c>
      <c r="I57" s="74"/>
    </row>
    <row r="58" spans="1:9" ht="15.95" customHeight="1">
      <c r="A58" s="525"/>
      <c r="B58" s="106" t="s">
        <v>107</v>
      </c>
      <c r="C58" s="134"/>
      <c r="D58" s="75"/>
      <c r="E58" s="106" t="s">
        <v>50</v>
      </c>
      <c r="F58" s="112"/>
      <c r="G58" s="112"/>
      <c r="H58" s="103">
        <f t="shared" ref="H58:H64" si="1">F58*G58</f>
        <v>0</v>
      </c>
      <c r="I58" s="75"/>
    </row>
    <row r="59" spans="1:9" ht="15.95" customHeight="1">
      <c r="A59" s="525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25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25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25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25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25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166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0CB4-F93D-4135-88C7-4AAFA5CC72C3}">
  <sheetPr codeName="Sheet2">
    <pageSetUpPr fitToPage="1"/>
  </sheetPr>
  <dimension ref="A1:D36"/>
  <sheetViews>
    <sheetView zoomScale="85" workbookViewId="0">
      <selection activeCell="K31" sqref="K31"/>
    </sheetView>
  </sheetViews>
  <sheetFormatPr defaultColWidth="9"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88" t="s">
        <v>96</v>
      </c>
    </row>
    <row r="4" spans="1:4" ht="11.25" customHeight="1"/>
    <row r="5" spans="1:4" s="90" customFormat="1" ht="21" customHeight="1" thickBot="1">
      <c r="A5" s="89" t="s">
        <v>62</v>
      </c>
      <c r="B5" s="89" t="s">
        <v>52</v>
      </c>
      <c r="C5" s="89" t="s">
        <v>53</v>
      </c>
      <c r="D5" s="89" t="s">
        <v>27</v>
      </c>
    </row>
    <row r="6" spans="1:4" ht="17.25" customHeight="1" thickTop="1">
      <c r="A6" s="67"/>
      <c r="B6" s="67"/>
      <c r="C6" s="67"/>
      <c r="D6" s="67"/>
    </row>
    <row r="7" spans="1:4" ht="17.25" customHeight="1">
      <c r="A7" s="67"/>
      <c r="B7" s="67"/>
      <c r="C7" s="67"/>
      <c r="D7" s="67"/>
    </row>
    <row r="8" spans="1:4" ht="17.25" customHeight="1">
      <c r="A8" s="67"/>
      <c r="B8" s="67"/>
      <c r="C8" s="67"/>
      <c r="D8" s="67"/>
    </row>
    <row r="9" spans="1:4" ht="17.25" customHeight="1">
      <c r="A9" s="67"/>
      <c r="B9" s="67"/>
      <c r="C9" s="67"/>
      <c r="D9" s="67"/>
    </row>
    <row r="10" spans="1:4" ht="17.25" customHeight="1">
      <c r="A10" s="67"/>
      <c r="B10" s="67"/>
      <c r="C10" s="67"/>
      <c r="D10" s="67"/>
    </row>
    <row r="11" spans="1:4" ht="17.25" customHeight="1">
      <c r="A11" s="67"/>
      <c r="B11" s="67"/>
      <c r="C11" s="67"/>
      <c r="D11" s="67"/>
    </row>
    <row r="12" spans="1:4" ht="17.25" customHeight="1">
      <c r="A12" s="67"/>
      <c r="B12" s="67"/>
      <c r="C12" s="67"/>
      <c r="D12" s="67"/>
    </row>
    <row r="13" spans="1:4" ht="17.25" customHeight="1">
      <c r="A13" s="67"/>
      <c r="B13" s="67"/>
      <c r="C13" s="67"/>
      <c r="D13" s="67"/>
    </row>
    <row r="14" spans="1:4" ht="17.25" customHeight="1">
      <c r="A14" s="67"/>
      <c r="B14" s="67"/>
      <c r="C14" s="67"/>
      <c r="D14" s="67"/>
    </row>
    <row r="15" spans="1:4" ht="17.25" customHeight="1">
      <c r="A15" s="67"/>
      <c r="B15" s="67"/>
      <c r="C15" s="67"/>
      <c r="D15" s="67"/>
    </row>
    <row r="16" spans="1:4" ht="17.25" customHeight="1">
      <c r="A16" s="67"/>
      <c r="B16" s="67"/>
      <c r="C16" s="67"/>
      <c r="D16" s="67"/>
    </row>
    <row r="17" spans="1:4" ht="17.25" customHeight="1">
      <c r="A17" s="67"/>
      <c r="B17" s="67"/>
      <c r="C17" s="67"/>
      <c r="D17" s="67"/>
    </row>
    <row r="18" spans="1:4" ht="17.25" customHeight="1">
      <c r="A18" s="67"/>
      <c r="B18" s="67"/>
      <c r="C18" s="67"/>
      <c r="D18" s="67"/>
    </row>
    <row r="19" spans="1:4" ht="17.25" customHeight="1">
      <c r="A19" s="67"/>
      <c r="B19" s="67"/>
      <c r="C19" s="67"/>
      <c r="D19" s="67"/>
    </row>
    <row r="20" spans="1:4" ht="17.25" customHeight="1">
      <c r="A20" s="67"/>
      <c r="B20" s="67"/>
      <c r="C20" s="67"/>
      <c r="D20" s="67"/>
    </row>
    <row r="21" spans="1:4" ht="17.25" customHeight="1">
      <c r="A21" s="67"/>
      <c r="B21" s="67"/>
      <c r="C21" s="67"/>
      <c r="D21" s="67"/>
    </row>
    <row r="22" spans="1:4" ht="17.25" customHeight="1">
      <c r="A22" s="67"/>
      <c r="B22" s="67"/>
      <c r="C22" s="67"/>
      <c r="D22" s="67"/>
    </row>
    <row r="23" spans="1:4" ht="17.25" customHeight="1">
      <c r="A23" s="67"/>
      <c r="B23" s="67"/>
      <c r="C23" s="67"/>
      <c r="D23" s="67"/>
    </row>
    <row r="24" spans="1:4" ht="17.25" customHeight="1">
      <c r="A24" s="67"/>
      <c r="B24" s="67"/>
      <c r="C24" s="67"/>
      <c r="D24" s="67"/>
    </row>
    <row r="25" spans="1:4" ht="17.25" customHeight="1">
      <c r="A25" s="67"/>
      <c r="B25" s="67"/>
      <c r="C25" s="67"/>
      <c r="D25" s="67"/>
    </row>
    <row r="26" spans="1:4" ht="17.25" customHeight="1">
      <c r="A26" s="67"/>
      <c r="B26" s="67"/>
      <c r="C26" s="67"/>
      <c r="D26" s="67"/>
    </row>
    <row r="27" spans="1:4" ht="17.25" customHeight="1">
      <c r="A27" s="67"/>
      <c r="B27" s="67"/>
      <c r="C27" s="67"/>
      <c r="D27" s="67"/>
    </row>
    <row r="28" spans="1:4" ht="17.25" customHeight="1">
      <c r="A28" s="67"/>
      <c r="B28" s="67"/>
      <c r="C28" s="67"/>
      <c r="D28" s="67"/>
    </row>
    <row r="29" spans="1:4" ht="17.25" customHeight="1">
      <c r="A29" s="67"/>
      <c r="B29" s="67"/>
      <c r="C29" s="67"/>
      <c r="D29" s="67"/>
    </row>
    <row r="30" spans="1:4" ht="17.25" customHeight="1">
      <c r="A30" s="67"/>
      <c r="B30" s="67"/>
      <c r="C30" s="67"/>
      <c r="D30" s="67"/>
    </row>
    <row r="31" spans="1:4" ht="17.25" customHeight="1">
      <c r="A31" s="67"/>
      <c r="B31" s="67"/>
      <c r="C31" s="67"/>
      <c r="D31" s="67"/>
    </row>
    <row r="32" spans="1:4" ht="17.25" customHeight="1">
      <c r="A32" s="67"/>
      <c r="B32" s="67"/>
      <c r="C32" s="67"/>
      <c r="D32" s="67"/>
    </row>
    <row r="33" spans="1:4" ht="17.25" customHeight="1">
      <c r="A33" s="67"/>
      <c r="B33" s="67"/>
      <c r="C33" s="67"/>
      <c r="D33" s="67"/>
    </row>
    <row r="34" spans="1:4" ht="17.25" customHeight="1">
      <c r="A34" s="67"/>
      <c r="B34" s="67"/>
      <c r="C34" s="67"/>
      <c r="D34" s="67"/>
    </row>
    <row r="35" spans="1:4" ht="17.25" customHeight="1">
      <c r="A35" s="67"/>
      <c r="B35" s="67"/>
      <c r="C35" s="67"/>
      <c r="D35" s="67"/>
    </row>
    <row r="36" spans="1:4" ht="17.25" customHeight="1">
      <c r="A36" s="91"/>
      <c r="B36" s="91"/>
      <c r="C36" s="91"/>
      <c r="D36" s="9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김문석 매니저 설비구매팀 gims39@hyundai-wia.com 2025-03-31T10:03:01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6" ma:contentTypeDescription="새 문서를 만듭니다." ma:contentTypeScope="" ma:versionID="ccbe71d1ab45bc61f16c7d15aa274796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f5ec291ce9e0b58a589e4b3c5382946d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49bf42b-411b-4a43-be10-7977e258c6d3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80375D-B7D6-4893-A637-B43722C9D9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E0E3DC-38FF-4E4A-A77B-AAD9FBE73F79}">
  <ds:schemaRefs>
    <ds:schemaRef ds:uri="83072e89-4523-4537-ba2a-0afc19ac2fb1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c81bacf-79d0-4aea-837c-13076957425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0ADCBA5-9CD9-48CC-B996-E19656621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정희진 매니저 설비구매팀</cp:lastModifiedBy>
  <cp:lastPrinted>2023-03-09T00:35:26Z</cp:lastPrinted>
  <dcterms:created xsi:type="dcterms:W3CDTF">2001-06-04T06:04:44Z</dcterms:created>
  <dcterms:modified xsi:type="dcterms:W3CDTF">2025-06-12T10:18:47Z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0b7ea8-af32-4d42-808e-39e0d049cfcf_SiteId">
    <vt:lpwstr>9682717c-e5aa-4e3f-ae88-3507a84b4611</vt:lpwstr>
  </property>
  <property fmtid="{D5CDD505-2E9C-101B-9397-08002B2CF9AE}" pid="3" name="MSIP_Label_2d0b7ea8-af32-4d42-808e-39e0d049cfcf_SetDate">
    <vt:lpwstr>2025-03-28T05:14:59Z</vt:lpwstr>
  </property>
  <property fmtid="{D5CDD505-2E9C-101B-9397-08002B2CF9AE}" pid="4" name="MSIP_Label_2d0b7ea8-af32-4d42-808e-39e0d049cfcf_Name">
    <vt:lpwstr>대외비(Restricted)</vt:lpwstr>
  </property>
  <property fmtid="{D5CDD505-2E9C-101B-9397-08002B2CF9AE}" pid="5" name="MSIP_Label_2d0b7ea8-af32-4d42-808e-39e0d049cfcf_Method">
    <vt:lpwstr>Standard</vt:lpwstr>
  </property>
  <property fmtid="{D5CDD505-2E9C-101B-9397-08002B2CF9AE}" pid="6" name="MSIP_Label_2d0b7ea8-af32-4d42-808e-39e0d049cfcf_Enabled">
    <vt:lpwstr>true</vt:lpwstr>
  </property>
  <property fmtid="{D5CDD505-2E9C-101B-9397-08002B2CF9AE}" pid="7" name="MSIP_Label_2d0b7ea8-af32-4d42-808e-39e0d049cfcf_ContentBits">
    <vt:lpwstr>8</vt:lpwstr>
  </property>
  <property fmtid="{D5CDD505-2E9C-101B-9397-08002B2CF9AE}" pid="8" name="MSIP_Label_2d0b7ea8-af32-4d42-808e-39e0d049cfcf_ActionId">
    <vt:lpwstr>5cf2e5b9-5f35-4152-9c92-335433bd4f56</vt:lpwstr>
  </property>
</Properties>
</file>