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$ 2019 영업검토 업무\$현대위아\멕시코 법인 CVJ 세척기 검토20201021 (라진영)\견적서 작성\"/>
    </mc:Choice>
  </mc:AlternateContent>
  <bookViews>
    <workbookView xWindow="0" yWindow="0" windowWidth="28800" windowHeight="11625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세척기" sheetId="5" r:id="rId5"/>
    <sheet name="첨부(견적조건차이내역)" sheetId="15" r:id="rId6"/>
  </sheets>
  <externalReferences>
    <externalReference r:id="rId7"/>
  </externalReferences>
  <definedNames>
    <definedName name="_xlnm._FilterDatabase" localSheetId="4" hidden="1">세척기!$A$2:$I$89</definedName>
    <definedName name="_xlnm._FilterDatabase" localSheetId="3" hidden="1">전기!$A$2:$I$66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'원가항목별(집계)'!$A$1:$J$44</definedName>
    <definedName name="_xlnm.Print_Area" localSheetId="3">전기!$A:$I</definedName>
    <definedName name="_xlnm.Print_Area" localSheetId="5">'첨부(견적조건차이내역)'!$A$1:$D$36</definedName>
    <definedName name="_xlnm.Print_Titles" localSheetId="3">전기!$1:$2</definedName>
  </definedNames>
  <calcPr calcId="162913"/>
</workbook>
</file>

<file path=xl/calcChain.xml><?xml version="1.0" encoding="utf-8"?>
<calcChain xmlns="http://schemas.openxmlformats.org/spreadsheetml/2006/main">
  <c r="H19" i="1" l="1"/>
  <c r="H21" i="1"/>
  <c r="H20" i="1"/>
  <c r="E7" i="3"/>
  <c r="G7" i="3"/>
  <c r="G19" i="2"/>
  <c r="G18" i="2"/>
  <c r="G17" i="2"/>
  <c r="I17" i="2"/>
  <c r="I16" i="2"/>
  <c r="G16" i="2"/>
  <c r="G15" i="2"/>
  <c r="I14" i="2"/>
  <c r="G14" i="2"/>
  <c r="G13" i="2"/>
  <c r="G12" i="2"/>
  <c r="I12" i="2"/>
  <c r="I10" i="2"/>
  <c r="G31" i="2"/>
  <c r="H34" i="5"/>
  <c r="H39" i="5"/>
  <c r="H38" i="5"/>
  <c r="H37" i="5"/>
  <c r="H33" i="5"/>
  <c r="H32" i="5"/>
  <c r="H31" i="5"/>
  <c r="H30" i="5"/>
  <c r="H63" i="5"/>
  <c r="H62" i="5"/>
  <c r="H61" i="5"/>
  <c r="H60" i="5"/>
  <c r="H29" i="5"/>
  <c r="H28" i="5"/>
  <c r="H27" i="5"/>
  <c r="H26" i="5"/>
  <c r="H25" i="5"/>
  <c r="H24" i="5"/>
  <c r="H23" i="5"/>
  <c r="H22" i="5"/>
  <c r="F60" i="4"/>
  <c r="H25" i="2"/>
  <c r="H84" i="5" l="1"/>
  <c r="H83" i="5"/>
  <c r="H82" i="5"/>
  <c r="H81" i="5"/>
  <c r="H80" i="5"/>
  <c r="I15" i="2" s="1"/>
  <c r="H79" i="5"/>
  <c r="H78" i="5"/>
  <c r="H77" i="5"/>
  <c r="H74" i="5"/>
  <c r="H73" i="5"/>
  <c r="H72" i="5"/>
  <c r="H71" i="5"/>
  <c r="H70" i="5"/>
  <c r="H69" i="5"/>
  <c r="H68" i="5"/>
  <c r="H67" i="5"/>
  <c r="H66" i="5"/>
  <c r="H65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5" i="5"/>
  <c r="H44" i="5"/>
  <c r="H43" i="5"/>
  <c r="H42" i="5"/>
  <c r="H41" i="5"/>
  <c r="H36" i="5"/>
  <c r="H35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61" i="4"/>
  <c r="I31" i="2" s="1"/>
  <c r="H60" i="4"/>
  <c r="I30" i="2" s="1"/>
  <c r="H59" i="4"/>
  <c r="I29" i="2" s="1"/>
  <c r="H58" i="4"/>
  <c r="I28" i="2" s="1"/>
  <c r="H57" i="4"/>
  <c r="I27" i="2" s="1"/>
  <c r="H56" i="4"/>
  <c r="I26" i="2" s="1"/>
  <c r="H55" i="4"/>
  <c r="H52" i="4"/>
  <c r="H51" i="4"/>
  <c r="H50" i="4"/>
  <c r="H49" i="4"/>
  <c r="H48" i="4"/>
  <c r="H47" i="4"/>
  <c r="H46" i="4"/>
  <c r="H45" i="4"/>
  <c r="H44" i="4"/>
  <c r="H43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5" i="4"/>
  <c r="H14" i="4"/>
  <c r="H13" i="4"/>
  <c r="H12" i="4"/>
  <c r="H11" i="4"/>
  <c r="H16" i="4" s="1"/>
  <c r="I24" i="2" s="1"/>
  <c r="H10" i="4"/>
  <c r="H8" i="4"/>
  <c r="H7" i="4"/>
  <c r="H6" i="4"/>
  <c r="H5" i="4"/>
  <c r="H4" i="4"/>
  <c r="H3" i="4"/>
  <c r="K16" i="3"/>
  <c r="I15" i="3"/>
  <c r="K15" i="3"/>
  <c r="A15" i="3"/>
  <c r="L14" i="3"/>
  <c r="K13" i="3"/>
  <c r="A13" i="3"/>
  <c r="L12" i="3"/>
  <c r="I11" i="3"/>
  <c r="K11" i="3"/>
  <c r="A11" i="3"/>
  <c r="L10" i="3"/>
  <c r="A7" i="3"/>
  <c r="A8" i="3" s="1"/>
  <c r="A9" i="3" s="1"/>
  <c r="H31" i="2"/>
  <c r="H30" i="2"/>
  <c r="G30" i="2"/>
  <c r="H29" i="2"/>
  <c r="G29" i="2"/>
  <c r="H28" i="2"/>
  <c r="G28" i="2"/>
  <c r="H27" i="2"/>
  <c r="G27" i="2"/>
  <c r="H26" i="2"/>
  <c r="G26" i="2"/>
  <c r="G25" i="2"/>
  <c r="H19" i="2"/>
  <c r="H18" i="2"/>
  <c r="H17" i="2"/>
  <c r="H16" i="2"/>
  <c r="H15" i="2"/>
  <c r="H14" i="2"/>
  <c r="H13" i="2"/>
  <c r="H12" i="2"/>
  <c r="H42" i="4" l="1"/>
  <c r="H9" i="4"/>
  <c r="I19" i="2"/>
  <c r="I18" i="2"/>
  <c r="H7" i="3"/>
  <c r="H17" i="3" s="1"/>
  <c r="F7" i="3"/>
  <c r="I13" i="2"/>
  <c r="H40" i="5"/>
  <c r="H64" i="5"/>
  <c r="I8" i="2" s="1"/>
  <c r="E17" i="3"/>
  <c r="H85" i="5"/>
  <c r="I32" i="2"/>
  <c r="K14" i="3"/>
  <c r="I13" i="3"/>
  <c r="H75" i="5"/>
  <c r="I9" i="2" s="1"/>
  <c r="H46" i="5"/>
  <c r="I10" i="3"/>
  <c r="A10" i="3"/>
  <c r="K10" i="3"/>
  <c r="I12" i="3"/>
  <c r="A12" i="3"/>
  <c r="K12" i="3"/>
  <c r="I25" i="2"/>
  <c r="H62" i="4"/>
  <c r="H53" i="4"/>
  <c r="J48" i="2"/>
  <c r="I48" i="2" s="1"/>
  <c r="I14" i="3"/>
  <c r="A14" i="3"/>
  <c r="I16" i="3"/>
  <c r="A16" i="3"/>
  <c r="L16" i="3"/>
  <c r="L11" i="3"/>
  <c r="L13" i="3"/>
  <c r="L15" i="3"/>
  <c r="I7" i="2" l="1"/>
  <c r="H76" i="5"/>
  <c r="H54" i="4"/>
  <c r="I20" i="2"/>
  <c r="I36" i="2" s="1"/>
  <c r="G17" i="3"/>
  <c r="F17" i="3"/>
  <c r="J15" i="3"/>
  <c r="P15" i="3"/>
  <c r="I41" i="2" l="1"/>
  <c r="D7" i="3"/>
  <c r="I23" i="2"/>
  <c r="J47" i="2" s="1"/>
  <c r="I47" i="2" s="1"/>
  <c r="P16" i="3"/>
  <c r="P8" i="3"/>
  <c r="I11" i="2"/>
  <c r="J12" i="3"/>
  <c r="N12" i="3" s="1"/>
  <c r="P12" i="3"/>
  <c r="J10" i="3"/>
  <c r="N15" i="3"/>
  <c r="J16" i="3"/>
  <c r="P10" i="3"/>
  <c r="P13" i="3"/>
  <c r="J13" i="3"/>
  <c r="N13" i="3" s="1"/>
  <c r="J14" i="3"/>
  <c r="N14" i="3" s="1"/>
  <c r="P14" i="3"/>
  <c r="I21" i="2" l="1"/>
  <c r="I22" i="2" s="1"/>
  <c r="I40" i="2"/>
  <c r="I35" i="2"/>
  <c r="I37" i="2" s="1"/>
  <c r="N10" i="3"/>
  <c r="P9" i="3"/>
  <c r="N16" i="3"/>
  <c r="H66" i="4"/>
  <c r="I33" i="2"/>
  <c r="I34" i="2" s="1"/>
  <c r="P11" i="3"/>
  <c r="J11" i="3"/>
  <c r="N11" i="3" s="1"/>
  <c r="D17" i="3"/>
  <c r="M7" i="3"/>
  <c r="M17" i="3" s="1"/>
  <c r="I42" i="2" l="1"/>
  <c r="P7" i="3"/>
  <c r="P17" i="3"/>
  <c r="L7" i="3" l="1"/>
  <c r="K7" i="3"/>
  <c r="I9" i="3"/>
  <c r="J9" i="3" s="1"/>
  <c r="L9" i="3"/>
  <c r="I8" i="3"/>
  <c r="J8" i="3" s="1"/>
  <c r="K9" i="3"/>
  <c r="L8" i="3"/>
  <c r="K8" i="3"/>
  <c r="I7" i="3"/>
  <c r="H86" i="5" l="1"/>
  <c r="H89" i="5" s="1"/>
  <c r="J7" i="3"/>
  <c r="N7" i="3" s="1"/>
  <c r="K17" i="3"/>
  <c r="N9" i="3"/>
  <c r="L17" i="3"/>
  <c r="I17" i="3"/>
  <c r="N8" i="3"/>
  <c r="J17" i="3" l="1"/>
  <c r="H18" i="1"/>
  <c r="H28" i="1" s="1"/>
  <c r="N17" i="3"/>
  <c r="I18" i="3" s="1"/>
  <c r="E18" i="1"/>
  <c r="E28" i="1" s="1"/>
  <c r="G18" i="1"/>
  <c r="G28" i="1" s="1"/>
  <c r="F18" i="1"/>
  <c r="F28" i="1" s="1"/>
  <c r="L18" i="3" l="1"/>
  <c r="N18" i="3"/>
  <c r="G18" i="3"/>
  <c r="H18" i="3"/>
  <c r="E18" i="3"/>
  <c r="F18" i="3"/>
  <c r="M18" i="3"/>
  <c r="D18" i="3"/>
  <c r="K18" i="3"/>
  <c r="J18" i="3"/>
</calcChain>
</file>

<file path=xl/sharedStrings.xml><?xml version="1.0" encoding="utf-8"?>
<sst xmlns="http://schemas.openxmlformats.org/spreadsheetml/2006/main" count="403" uniqueCount="331">
  <si>
    <t>(현대/기아차 설비협력업체 견적통일양식)</t>
    <phoneticPr fontId="2" type="noConversion"/>
  </si>
  <si>
    <t xml:space="preserve">見  積  書   </t>
    <phoneticPr fontId="2" type="noConversion"/>
  </si>
  <si>
    <t>현대위아(주) 貴下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</si>
  <si>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</si>
  <si>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</si>
  <si>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</si>
  <si>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</si>
  <si>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</si>
  <si>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</si>
  <si>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r>
      <t>견적일로부터3</t>
    </r>
    <r>
      <rPr>
        <sz val="11"/>
        <rFont val="굴림"/>
        <family val="3"/>
        <charset val="129"/>
      </rPr>
      <t>0일</t>
    </r>
    <phoneticPr fontId="2" type="noConversion"/>
  </si>
  <si>
    <t>인도장소</t>
    <phoneticPr fontId="2" type="noConversion"/>
  </si>
  <si>
    <t>담 당 자</t>
    <phoneticPr fontId="2" type="noConversion"/>
  </si>
  <si>
    <t>공 사 명:</t>
    <phoneticPr fontId="2" type="noConversion"/>
  </si>
  <si>
    <t>최종견적금액:</t>
    <phoneticPr fontId="2" type="noConversion"/>
  </si>
  <si>
    <t>번호</t>
    <phoneticPr fontId="2" type="noConversion"/>
  </si>
  <si>
    <t>상세품목내역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</si>
  <si>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</si>
  <si>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>비  고</t>
    <phoneticPr fontId="2" type="noConversion"/>
  </si>
  <si>
    <t>기계부문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</si>
  <si>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</si>
  <si>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</si>
  <si>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</si>
  <si>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</si>
  <si>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</si>
  <si>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</si>
  <si>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</si>
  <si>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</si>
  <si>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</si>
  <si>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</si>
  <si>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</si>
  <si>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</si>
  <si>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</si>
  <si>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</si>
  <si>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</si>
  <si>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</si>
  <si>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</si>
  <si>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</si>
  <si>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</si>
  <si>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</si>
  <si>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</si>
  <si>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</si>
  <si>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</si>
  <si>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</si>
  <si>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</si>
  <si>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일반구매품</t>
    <phoneticPr fontId="2" type="noConversion"/>
  </si>
  <si>
    <t>식</t>
    <phoneticPr fontId="2" type="noConversion"/>
  </si>
  <si>
    <t>외주제작품</t>
    <phoneticPr fontId="2" type="noConversion"/>
  </si>
  <si>
    <t>식</t>
    <phoneticPr fontId="2" type="noConversion"/>
  </si>
  <si>
    <t>설치/해체 공사 자재</t>
    <phoneticPr fontId="2" type="noConversion"/>
  </si>
  <si>
    <t>식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</si>
  <si>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</si>
  <si>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</si>
  <si>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</si>
  <si>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</si>
  <si>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</si>
  <si>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</si>
  <si>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</si>
  <si>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</si>
  <si>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</si>
  <si>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</si>
  <si>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</si>
  <si>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</si>
  <si>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</si>
  <si>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</si>
  <si>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자재비</t>
    <phoneticPr fontId="2" type="noConversion"/>
  </si>
  <si>
    <t>기계/전기자재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</si>
  <si>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</si>
  <si>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</si>
  <si>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철거(개조시)</t>
    <phoneticPr fontId="2" type="noConversion"/>
  </si>
  <si>
    <t>설계,프로그램</t>
    <phoneticPr fontId="2" type="noConversion"/>
  </si>
  <si>
    <t>M/D</t>
    <phoneticPr fontId="2" type="noConversion"/>
  </si>
  <si>
    <t>제작</t>
    <phoneticPr fontId="2" type="noConversion"/>
  </si>
  <si>
    <t>M/D</t>
    <phoneticPr fontId="2" type="noConversion"/>
  </si>
  <si>
    <t>설치</t>
    <phoneticPr fontId="2" type="noConversion"/>
  </si>
  <si>
    <t>M/D</t>
    <phoneticPr fontId="2" type="noConversion"/>
  </si>
  <si>
    <t>시운전</t>
    <phoneticPr fontId="2" type="noConversion"/>
  </si>
  <si>
    <t>M/D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</si>
  <si>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</si>
  <si>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</si>
  <si>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</si>
  <si>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</si>
  <si>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</si>
  <si>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</si>
  <si>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</si>
  <si>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</si>
  <si>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</si>
  <si>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</si>
  <si>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</si>
  <si>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</si>
  <si>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</si>
  <si>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</si>
  <si>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</si>
  <si>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</si>
  <si>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</si>
  <si>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</si>
  <si>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</si>
  <si>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</si>
  <si>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</si>
  <si>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</si>
  <si>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</si>
  <si>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</si>
  <si>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</si>
  <si>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</si>
  <si>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</si>
  <si>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</si>
  <si>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순번</t>
    <phoneticPr fontId="2" type="noConversion"/>
  </si>
  <si>
    <t>단위장비명</t>
    <phoneticPr fontId="2" type="noConversion"/>
  </si>
  <si>
    <t>수량</t>
    <phoneticPr fontId="2" type="noConversion"/>
  </si>
  <si>
    <t>자재비</t>
    <phoneticPr fontId="2" type="noConversion"/>
  </si>
  <si>
    <t>철거</t>
    <phoneticPr fontId="2" type="noConversion"/>
  </si>
  <si>
    <t>제작</t>
    <phoneticPr fontId="2" type="noConversion"/>
  </si>
  <si>
    <t>설치/시운전</t>
    <phoneticPr fontId="2" type="noConversion"/>
  </si>
  <si>
    <t>양산대응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</si>
  <si>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</si>
  <si>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</si>
  <si>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</si>
  <si>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</si>
  <si>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</si>
  <si>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</si>
  <si>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</si>
  <si>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</si>
  <si>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</si>
  <si>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</si>
  <si>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</si>
  <si>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</si>
  <si>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</si>
  <si>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</si>
  <si>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</si>
  <si>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</si>
  <si>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</si>
  <si>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</si>
  <si>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</si>
  <si>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</si>
  <si>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</si>
  <si>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</si>
  <si>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</si>
  <si>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</si>
  <si>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</si>
  <si>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`</t>
    <phoneticPr fontId="2" type="noConversion"/>
  </si>
  <si>
    <t>기타자재</t>
    <phoneticPr fontId="2" type="noConversion"/>
  </si>
  <si>
    <t>전기자재</t>
    <phoneticPr fontId="2" type="noConversion"/>
  </si>
  <si>
    <t>프로그램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</si>
  <si>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</si>
  <si>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</si>
  <si>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</si>
  <si>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</si>
  <si>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</si>
  <si>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전기 설계/프로그램</t>
    <phoneticPr fontId="2" type="noConversion"/>
  </si>
  <si>
    <t>전기 제작</t>
    <phoneticPr fontId="2" type="noConversion"/>
  </si>
  <si>
    <t>전기 조립</t>
    <phoneticPr fontId="2" type="noConversion"/>
  </si>
  <si>
    <t>M/D</t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</si>
  <si>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</si>
  <si>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</si>
  <si>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</si>
  <si>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</si>
  <si>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</si>
  <si>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</si>
  <si>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</si>
  <si>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</si>
  <si>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</si>
  <si>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</si>
  <si>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</si>
  <si>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</si>
  <si>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</si>
  <si>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</si>
  <si>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</si>
  <si>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</si>
  <si>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</si>
  <si>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</si>
  <si>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</si>
  <si>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</si>
  <si>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</si>
  <si>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식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</si>
  <si>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</si>
  <si>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</si>
  <si>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</si>
  <si>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</si>
  <si>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SET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</si>
  <si>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</si>
  <si>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</si>
  <si>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</si>
  <si>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</si>
  <si>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</si>
  <si>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</si>
  <si>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</si>
  <si>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</si>
  <si>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</si>
  <si>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</si>
  <si>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</si>
  <si>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</si>
  <si>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</si>
  <si>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</si>
  <si>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</si>
  <si>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</si>
  <si>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</si>
  <si>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</si>
  <si>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</si>
  <si>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</si>
  <si>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</si>
  <si>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</si>
  <si>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</si>
  <si>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비  고</t>
    <phoneticPr fontId="2" type="noConversion"/>
  </si>
  <si>
    <t>SM2023032701</t>
    <phoneticPr fontId="2" type="noConversion"/>
  </si>
  <si>
    <r>
      <t>부산항(</t>
    </r>
    <r>
      <rPr>
        <sz val="11"/>
        <rFont val="굴림"/>
        <family val="3"/>
        <charset val="129"/>
      </rPr>
      <t>FOB)</t>
    </r>
    <phoneticPr fontId="2" type="noConversion"/>
  </si>
  <si>
    <t>차량부품생산기술팀/라진영 책임매니저 님</t>
    <phoneticPr fontId="2" type="noConversion"/>
  </si>
  <si>
    <t>㈜에스엠이노베이션</t>
    <phoneticPr fontId="2" type="noConversion"/>
  </si>
  <si>
    <t>대표 : 박 종 근 (인)</t>
    <phoneticPr fontId="2" type="noConversion"/>
  </si>
  <si>
    <t>주소 : 경북칠곡군 왜관읍 아곡7길 16-11</t>
    <phoneticPr fontId="2" type="noConversion"/>
  </si>
  <si>
    <t>전화: 054-976-3842~3</t>
    <phoneticPr fontId="2" type="noConversion"/>
  </si>
  <si>
    <t>Fax: 054-971-3843</t>
    <phoneticPr fontId="2" type="noConversion"/>
  </si>
  <si>
    <t xml:space="preserve">E-mail:smibiz@smiwbw.com </t>
    <phoneticPr fontId="2" type="noConversion"/>
  </si>
  <si>
    <t xml:space="preserve">    견적담당: 강 규 태 상무</t>
    <phoneticPr fontId="2" type="noConversion"/>
  </si>
  <si>
    <t>멕시코 볼보 SPA2 전기차 CVJ 세척기</t>
    <phoneticPr fontId="2" type="noConversion"/>
  </si>
  <si>
    <t>전기부문</t>
    <phoneticPr fontId="2" type="noConversion"/>
  </si>
  <si>
    <t>PLC UNIT , TOUCH</t>
    <phoneticPr fontId="2" type="noConversion"/>
  </si>
  <si>
    <t>SIEMENS</t>
    <phoneticPr fontId="2" type="noConversion"/>
  </si>
  <si>
    <r>
      <t>S</t>
    </r>
    <r>
      <rPr>
        <sz val="11"/>
        <rFont val="굴림"/>
        <family val="3"/>
        <charset val="129"/>
      </rPr>
      <t>ET</t>
    </r>
    <phoneticPr fontId="2" type="noConversion"/>
  </si>
  <si>
    <t>MAIN PANNEL</t>
    <phoneticPr fontId="2" type="noConversion"/>
  </si>
  <si>
    <t>RITTAL</t>
    <phoneticPr fontId="2" type="noConversion"/>
  </si>
  <si>
    <t>SET</t>
    <phoneticPr fontId="2" type="noConversion"/>
  </si>
  <si>
    <r>
      <t>S</t>
    </r>
    <r>
      <rPr>
        <sz val="11"/>
        <rFont val="굴림"/>
        <family val="3"/>
        <charset val="129"/>
      </rPr>
      <t>ENSOR UNIT</t>
    </r>
    <phoneticPr fontId="2" type="noConversion"/>
  </si>
  <si>
    <t>SET</t>
    <phoneticPr fontId="2" type="noConversion"/>
  </si>
  <si>
    <r>
      <t>L</t>
    </r>
    <r>
      <rPr>
        <sz val="11"/>
        <rFont val="굴림"/>
        <family val="3"/>
        <charset val="129"/>
      </rPr>
      <t>OCAL CABLE, 커넥터</t>
    </r>
    <phoneticPr fontId="2" type="noConversion"/>
  </si>
  <si>
    <t>SET</t>
    <phoneticPr fontId="2" type="noConversion"/>
  </si>
  <si>
    <t>TB BOX</t>
    <phoneticPr fontId="2" type="noConversion"/>
  </si>
  <si>
    <t>SET</t>
    <phoneticPr fontId="2" type="noConversion"/>
  </si>
  <si>
    <t>CVJ 세척기</t>
    <phoneticPr fontId="2" type="noConversion"/>
  </si>
  <si>
    <t>ROOM CHAMBER &amp;  FRAME</t>
    <phoneticPr fontId="2" type="noConversion"/>
  </si>
  <si>
    <t>SS41/ SUS</t>
    <phoneticPr fontId="2" type="noConversion"/>
  </si>
  <si>
    <t>SET</t>
    <phoneticPr fontId="2" type="noConversion"/>
  </si>
  <si>
    <t>입출구 AUTO DOOR</t>
    <phoneticPr fontId="2" type="noConversion"/>
  </si>
  <si>
    <t>공정 AUTO DOOR</t>
    <phoneticPr fontId="2" type="noConversion"/>
  </si>
  <si>
    <t>공정 하부 AUTO DOOR</t>
    <phoneticPr fontId="2" type="noConversion"/>
  </si>
  <si>
    <t>점검창</t>
    <phoneticPr fontId="2" type="noConversion"/>
  </si>
  <si>
    <t>후면 COVER</t>
    <phoneticPr fontId="2" type="noConversion"/>
  </si>
  <si>
    <t>WASH`G TANK</t>
    <phoneticPr fontId="2" type="noConversion"/>
  </si>
  <si>
    <t>흡음 COVER</t>
    <phoneticPr fontId="2" type="noConversion"/>
  </si>
  <si>
    <t>배관재</t>
    <phoneticPr fontId="2" type="noConversion"/>
  </si>
  <si>
    <t>C/T:400L , D/T : 600L</t>
    <phoneticPr fontId="2" type="noConversion"/>
  </si>
  <si>
    <t>SUS타공판</t>
    <phoneticPr fontId="2" type="noConversion"/>
  </si>
  <si>
    <t>방청유 &amp; AIR</t>
    <phoneticPr fontId="2" type="noConversion"/>
  </si>
  <si>
    <t>식</t>
    <phoneticPr fontId="2" type="noConversion"/>
  </si>
  <si>
    <t>INDEX 구동부 UNIT</t>
    <phoneticPr fontId="2" type="noConversion"/>
  </si>
  <si>
    <t>INDEX SHAFT UNIT</t>
    <phoneticPr fontId="2" type="noConversion"/>
  </si>
  <si>
    <t>INDEX TABLE UNIT</t>
    <phoneticPr fontId="2" type="noConversion"/>
  </si>
  <si>
    <t>INDEX JIG</t>
    <phoneticPr fontId="2" type="noConversion"/>
  </si>
  <si>
    <t>JIG SUB TABLE 및 WORK JIG</t>
    <phoneticPr fontId="2" type="noConversion"/>
  </si>
  <si>
    <t>작업자 발판</t>
    <phoneticPr fontId="2" type="noConversion"/>
  </si>
  <si>
    <t>안전펜스</t>
    <phoneticPr fontId="2" type="noConversion"/>
  </si>
  <si>
    <t>F.L+600mm</t>
    <phoneticPr fontId="2" type="noConversion"/>
  </si>
  <si>
    <t>SUS</t>
    <phoneticPr fontId="2" type="noConversion"/>
  </si>
  <si>
    <t>W/NOZZLE</t>
    <phoneticPr fontId="2" type="noConversion"/>
  </si>
  <si>
    <t>W/NOZZLE CHAMBER</t>
    <phoneticPr fontId="2" type="noConversion"/>
  </si>
  <si>
    <t>W/NOZZLE TURNING UNIT</t>
    <phoneticPr fontId="2" type="noConversion"/>
  </si>
  <si>
    <t>A/NOZZLE</t>
    <phoneticPr fontId="2" type="noConversion"/>
  </si>
  <si>
    <t>A/NOZZLE CHAMBER</t>
    <phoneticPr fontId="2" type="noConversion"/>
  </si>
  <si>
    <t>A/NOZZLE TURNING UNIT</t>
    <phoneticPr fontId="2" type="noConversion"/>
  </si>
  <si>
    <t xml:space="preserve">WASH'G  PUMP </t>
    <phoneticPr fontId="2" type="noConversion"/>
  </si>
  <si>
    <t>FILTER`G PUMP</t>
    <phoneticPr fontId="2" type="noConversion"/>
  </si>
  <si>
    <t>PALL FILTER</t>
    <phoneticPr fontId="2" type="noConversion"/>
  </si>
  <si>
    <t>BAG FILTER</t>
    <phoneticPr fontId="2" type="noConversion"/>
  </si>
  <si>
    <t>DRAIN PUMP</t>
    <phoneticPr fontId="2" type="noConversion"/>
  </si>
  <si>
    <t>OIL SKIMER</t>
    <phoneticPr fontId="2" type="noConversion"/>
  </si>
  <si>
    <t>MESH BASKET</t>
    <phoneticPr fontId="2" type="noConversion"/>
  </si>
  <si>
    <t>FLOAT S/W</t>
    <phoneticPr fontId="2" type="noConversion"/>
  </si>
  <si>
    <t>200L-50u</t>
    <phoneticPr fontId="2" type="noConversion"/>
  </si>
  <si>
    <t>SUS #40</t>
    <phoneticPr fontId="2" type="noConversion"/>
  </si>
  <si>
    <t>SET</t>
    <phoneticPr fontId="2" type="noConversion"/>
  </si>
  <si>
    <t>10kg/㎠ , 100L/min</t>
    <phoneticPr fontId="2" type="noConversion"/>
  </si>
  <si>
    <t>150L/min , 3kg/㎠</t>
    <phoneticPr fontId="2" type="noConversion"/>
  </si>
  <si>
    <t>200L-20u</t>
    <phoneticPr fontId="2" type="noConversion"/>
  </si>
  <si>
    <t>일화 마그네트</t>
    <phoneticPr fontId="2" type="noConversion"/>
  </si>
  <si>
    <t>밸브류 GEMU</t>
    <phoneticPr fontId="2" type="noConversion"/>
  </si>
  <si>
    <t>480V  7KW</t>
    <phoneticPr fontId="2" type="noConversion"/>
  </si>
  <si>
    <t>EA</t>
    <phoneticPr fontId="2" type="noConversion"/>
  </si>
  <si>
    <t>AIR CIRCUIT</t>
    <phoneticPr fontId="2" type="noConversion"/>
  </si>
  <si>
    <t>MIST COLLECTOR</t>
    <phoneticPr fontId="2" type="noConversion"/>
  </si>
  <si>
    <t>레벤</t>
    <phoneticPr fontId="2" type="noConversion"/>
  </si>
  <si>
    <t>식</t>
    <phoneticPr fontId="2" type="noConversion"/>
  </si>
  <si>
    <t>식</t>
    <phoneticPr fontId="2" type="noConversion"/>
  </si>
  <si>
    <t>HOT BLOW UNIT</t>
    <phoneticPr fontId="2" type="noConversion"/>
  </si>
  <si>
    <t>KINFE NOZZLE</t>
    <phoneticPr fontId="2" type="noConversion"/>
  </si>
  <si>
    <t>SET</t>
    <phoneticPr fontId="2" type="noConversion"/>
  </si>
  <si>
    <t>단열 작업</t>
    <phoneticPr fontId="2" type="noConversion"/>
  </si>
  <si>
    <t>SET</t>
    <phoneticPr fontId="2" type="noConversion"/>
  </si>
  <si>
    <t>과열 방지 회로구성</t>
    <phoneticPr fontId="2" type="noConversion"/>
  </si>
  <si>
    <t>방청 PUMP</t>
    <phoneticPr fontId="2" type="noConversion"/>
  </si>
  <si>
    <t>방청 NOZZLE</t>
    <phoneticPr fontId="2" type="noConversion"/>
  </si>
  <si>
    <t>MESH BASCKET(방청)</t>
    <phoneticPr fontId="2" type="noConversion"/>
  </si>
  <si>
    <t>FLOAT S/W(방청)</t>
    <phoneticPr fontId="2" type="noConversion"/>
  </si>
  <si>
    <t>방청 CIRCUIT</t>
    <phoneticPr fontId="2" type="noConversion"/>
  </si>
  <si>
    <t>PALL FILTER(방청)</t>
    <phoneticPr fontId="2" type="noConversion"/>
  </si>
  <si>
    <t>방청 TANK</t>
    <phoneticPr fontId="2" type="noConversion"/>
  </si>
  <si>
    <t>방청전용 MIST COLLECTOR</t>
    <phoneticPr fontId="2" type="noConversion"/>
  </si>
  <si>
    <t>GRACO HUSYK 1050</t>
    <phoneticPr fontId="2" type="noConversion"/>
  </si>
  <si>
    <t>고정식</t>
    <phoneticPr fontId="2" type="noConversion"/>
  </si>
  <si>
    <t>200L-10u</t>
    <phoneticPr fontId="2" type="noConversion"/>
  </si>
  <si>
    <t>200L/min</t>
    <phoneticPr fontId="2" type="noConversion"/>
  </si>
  <si>
    <t>레벤</t>
    <phoneticPr fontId="2" type="noConversion"/>
  </si>
  <si>
    <t>SET</t>
    <phoneticPr fontId="2" type="noConversion"/>
  </si>
  <si>
    <t>식</t>
    <phoneticPr fontId="2" type="noConversion"/>
  </si>
  <si>
    <t>전기 DUCT</t>
    <phoneticPr fontId="2" type="noConversion"/>
  </si>
  <si>
    <t>AIR TANK</t>
    <phoneticPr fontId="2" type="noConversion"/>
  </si>
  <si>
    <t>범용 트롤리</t>
    <phoneticPr fontId="2" type="noConversion"/>
  </si>
  <si>
    <t>페수처리 TANK</t>
    <phoneticPr fontId="2" type="noConversion"/>
  </si>
  <si>
    <t>JIG 보관함</t>
    <phoneticPr fontId="2" type="noConversion"/>
  </si>
  <si>
    <t>생산 SPARE</t>
    <phoneticPr fontId="2" type="noConversion"/>
  </si>
  <si>
    <t>ATACO 수동농도계</t>
    <phoneticPr fontId="2" type="noConversion"/>
  </si>
  <si>
    <t>STEEL, 경첩 TYPE</t>
    <phoneticPr fontId="2" type="noConversion"/>
  </si>
  <si>
    <t>식</t>
    <phoneticPr fontId="2" type="noConversion"/>
  </si>
  <si>
    <t>SRT</t>
    <phoneticPr fontId="2" type="noConversion"/>
  </si>
  <si>
    <t>500L,CE인증</t>
    <phoneticPr fontId="2" type="noConversion"/>
  </si>
  <si>
    <t>EA</t>
    <phoneticPr fontId="2" type="noConversion"/>
  </si>
  <si>
    <t>보전 SPARE 제외</t>
    <phoneticPr fontId="2" type="noConversion"/>
  </si>
  <si>
    <t>매뉴얼&amp;교육자료</t>
    <phoneticPr fontId="2" type="noConversion"/>
  </si>
  <si>
    <t>통역사 비용</t>
  </si>
  <si>
    <t>매뉴얼(영어),교육자료(현지어)</t>
    <phoneticPr fontId="2" type="noConversion"/>
  </si>
  <si>
    <t>현지어</t>
    <phoneticPr fontId="2" type="noConversion"/>
  </si>
  <si>
    <t>식</t>
    <phoneticPr fontId="2" type="noConversion"/>
  </si>
  <si>
    <t>CVJ 세척기</t>
    <phoneticPr fontId="2" type="noConversion"/>
  </si>
  <si>
    <t>CVJ 세척기</t>
    <phoneticPr fontId="2" type="noConversion"/>
  </si>
  <si>
    <t xml:space="preserve"> - UL 인증비</t>
    <phoneticPr fontId="2" type="noConversion"/>
  </si>
  <si>
    <r>
      <t xml:space="preserve"> </t>
    </r>
    <r>
      <rPr>
        <sz val="11"/>
        <rFont val="굴림"/>
        <family val="3"/>
        <charset val="129"/>
      </rPr>
      <t>- 항공권 外이동경비</t>
    </r>
    <phoneticPr fontId="2" type="noConversion"/>
  </si>
  <si>
    <t>WASH'G CIRCUIT</t>
    <phoneticPr fontId="2" type="noConversion"/>
  </si>
  <si>
    <t>액츄에이트 V/V</t>
    <phoneticPr fontId="2" type="noConversion"/>
  </si>
  <si>
    <t>전기 HEATER</t>
    <phoneticPr fontId="2" type="noConversion"/>
  </si>
  <si>
    <t xml:space="preserve"> 一金삼억육천만원整(\360,000,000) VAT.별도</t>
    <phoneticPr fontId="2" type="noConversion"/>
  </si>
  <si>
    <t xml:space="preserve"> - 현지 경비(2인x30일)</t>
    <phoneticPr fontId="2" type="noConversion"/>
  </si>
  <si>
    <t xml:space="preserve">   (2인X1회)</t>
    <phoneticPr fontId="2" type="noConversion"/>
  </si>
  <si>
    <t xml:space="preserve">    연 락 처 : 010-2525-5112</t>
    <phoneticPr fontId="2" type="noConversion"/>
  </si>
  <si>
    <t>발주 후 6개월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</si>
</sst>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27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i/>
      <sz val="11"/>
      <name val="굴림"/>
      <family val="3"/>
      <charset val="129"/>
    </font>
    <font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b/>
      <sz val="10"/>
      <name val="굴림"/>
      <family val="3"/>
      <charset val="129"/>
    </font>
    <font>
      <sz val="14"/>
      <name val="HY헤드라인M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7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4" fontId="0" fillId="2" borderId="6" xfId="0" applyNumberFormat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left" vertical="center"/>
    </xf>
    <xf numFmtId="0" fontId="0" fillId="2" borderId="9" xfId="0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9" xfId="0" applyFont="1" applyFill="1" applyBorder="1" applyAlignment="1">
      <alignment horizontal="center" vertical="center"/>
    </xf>
    <xf numFmtId="176" fontId="1" fillId="0" borderId="22" xfId="0" applyNumberFormat="1" applyFont="1" applyFill="1" applyBorder="1" applyAlignment="1">
      <alignment horizontal="right" vertical="center"/>
    </xf>
    <xf numFmtId="176" fontId="1" fillId="0" borderId="23" xfId="0" applyNumberFormat="1" applyFont="1" applyFill="1" applyBorder="1" applyAlignment="1">
      <alignment horizontal="right" vertical="center"/>
    </xf>
    <xf numFmtId="176" fontId="1" fillId="0" borderId="21" xfId="0" applyNumberFormat="1" applyFont="1" applyFill="1" applyBorder="1" applyAlignment="1">
      <alignment horizontal="right" vertical="center"/>
    </xf>
    <xf numFmtId="0" fontId="1" fillId="0" borderId="19" xfId="0" applyFont="1" applyFill="1" applyBorder="1" applyAlignment="1">
      <alignment vertical="center"/>
    </xf>
    <xf numFmtId="0" fontId="1" fillId="0" borderId="24" xfId="0" applyFont="1" applyFill="1" applyBorder="1" applyAlignment="1">
      <alignment horizontal="center" vertical="center"/>
    </xf>
    <xf numFmtId="176" fontId="1" fillId="0" borderId="27" xfId="0" applyNumberFormat="1" applyFont="1" applyFill="1" applyBorder="1" applyAlignment="1">
      <alignment horizontal="right" vertical="center"/>
    </xf>
    <xf numFmtId="176" fontId="1" fillId="0" borderId="6" xfId="0" applyNumberFormat="1" applyFont="1" applyFill="1" applyBorder="1" applyAlignment="1">
      <alignment horizontal="right" vertical="center"/>
    </xf>
    <xf numFmtId="176" fontId="1" fillId="0" borderId="26" xfId="0" applyNumberFormat="1" applyFont="1" applyFill="1" applyBorder="1" applyAlignment="1">
      <alignment horizontal="right" vertical="center"/>
    </xf>
    <xf numFmtId="0" fontId="1" fillId="0" borderId="24" xfId="0" applyFont="1" applyFill="1" applyBorder="1" applyAlignment="1">
      <alignment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176" fontId="1" fillId="0" borderId="31" xfId="0" applyNumberFormat="1" applyFont="1" applyFill="1" applyBorder="1" applyAlignment="1">
      <alignment horizontal="right" vertical="center"/>
    </xf>
    <xf numFmtId="176" fontId="1" fillId="0" borderId="33" xfId="0" applyNumberFormat="1" applyFont="1" applyFill="1" applyBorder="1" applyAlignment="1">
      <alignment horizontal="right" vertical="center"/>
    </xf>
    <xf numFmtId="176" fontId="1" fillId="0" borderId="30" xfId="0" applyNumberFormat="1" applyFont="1" applyFill="1" applyBorder="1" applyAlignment="1">
      <alignment horizontal="right" vertical="center"/>
    </xf>
    <xf numFmtId="0" fontId="1" fillId="0" borderId="34" xfId="0" applyFont="1" applyFill="1" applyBorder="1" applyAlignment="1">
      <alignment vertical="center"/>
    </xf>
    <xf numFmtId="176" fontId="1" fillId="0" borderId="38" xfId="0" applyNumberFormat="1" applyFont="1" applyBorder="1" applyAlignment="1">
      <alignment vertical="center"/>
    </xf>
    <xf numFmtId="176" fontId="1" fillId="0" borderId="39" xfId="0" applyNumberFormat="1" applyFont="1" applyBorder="1" applyAlignment="1">
      <alignment vertical="center"/>
    </xf>
    <xf numFmtId="176" fontId="5" fillId="3" borderId="37" xfId="0" applyNumberFormat="1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3" fontId="14" fillId="0" borderId="0" xfId="0" applyNumberFormat="1" applyFont="1" applyFill="1" applyAlignment="1">
      <alignment vertical="center"/>
    </xf>
    <xf numFmtId="3" fontId="15" fillId="0" borderId="0" xfId="0" applyNumberFormat="1" applyFont="1" applyFill="1" applyAlignment="1">
      <alignment vertical="center"/>
    </xf>
    <xf numFmtId="3" fontId="17" fillId="0" borderId="0" xfId="0" applyNumberFormat="1" applyFont="1" applyFill="1" applyAlignment="1">
      <alignment vertical="center"/>
    </xf>
    <xf numFmtId="3" fontId="17" fillId="0" borderId="0" xfId="0" applyNumberFormat="1" applyFont="1" applyFill="1" applyAlignment="1">
      <alignment horizontal="center" vertical="center"/>
    </xf>
    <xf numFmtId="179" fontId="17" fillId="0" borderId="0" xfId="0" applyNumberFormat="1" applyFont="1" applyFill="1" applyAlignment="1">
      <alignment horizontal="center" vertical="center"/>
    </xf>
    <xf numFmtId="179" fontId="17" fillId="0" borderId="0" xfId="0" applyNumberFormat="1" applyFont="1" applyFill="1" applyAlignment="1">
      <alignment vertical="center"/>
    </xf>
    <xf numFmtId="4" fontId="1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179" fontId="1" fillId="0" borderId="51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179" fontId="1" fillId="0" borderId="57" xfId="0" applyNumberFormat="1" applyFont="1" applyFill="1" applyBorder="1" applyAlignment="1">
      <alignment horizontal="center" vertical="center"/>
    </xf>
    <xf numFmtId="3" fontId="1" fillId="0" borderId="58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3" fillId="0" borderId="61" xfId="0" applyNumberFormat="1" applyFont="1" applyFill="1" applyBorder="1" applyAlignment="1">
      <alignment horizontal="center" vertical="center"/>
    </xf>
    <xf numFmtId="179" fontId="1" fillId="0" borderId="61" xfId="0" applyNumberFormat="1" applyFont="1" applyFill="1" applyBorder="1" applyAlignment="1">
      <alignment horizontal="right" vertical="center"/>
    </xf>
    <xf numFmtId="179" fontId="1" fillId="0" borderId="61" xfId="0" applyNumberFormat="1" applyFont="1" applyFill="1" applyBorder="1" applyAlignment="1">
      <alignment vertical="center"/>
    </xf>
    <xf numFmtId="3" fontId="1" fillId="0" borderId="62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center" vertical="center"/>
    </xf>
    <xf numFmtId="3" fontId="13" fillId="0" borderId="6" xfId="0" applyNumberFormat="1" applyFont="1" applyFill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0" applyNumberFormat="1" applyFont="1" applyFill="1" applyBorder="1" applyAlignment="1">
      <alignment vertical="center"/>
    </xf>
    <xf numFmtId="3" fontId="1" fillId="0" borderId="63" xfId="0" applyNumberFormat="1" applyFont="1" applyFill="1" applyBorder="1" applyAlignment="1">
      <alignment vertical="center"/>
    </xf>
    <xf numFmtId="179" fontId="1" fillId="0" borderId="6" xfId="0" applyNumberFormat="1" applyFont="1" applyFill="1" applyBorder="1" applyAlignment="1">
      <alignment horizontal="right" vertical="center"/>
    </xf>
    <xf numFmtId="3" fontId="0" fillId="4" borderId="6" xfId="0" applyNumberFormat="1" applyFill="1" applyBorder="1" applyAlignment="1">
      <alignment horizontal="center" vertical="center"/>
    </xf>
    <xf numFmtId="179" fontId="1" fillId="4" borderId="6" xfId="0" applyNumberFormat="1" applyFont="1" applyFill="1" applyBorder="1" applyAlignment="1">
      <alignment vertical="center"/>
    </xf>
    <xf numFmtId="3" fontId="0" fillId="0" borderId="63" xfId="0" applyNumberFormat="1" applyFill="1" applyBorder="1" applyAlignment="1">
      <alignment vertical="center"/>
    </xf>
    <xf numFmtId="3" fontId="1" fillId="0" borderId="65" xfId="0" applyNumberFormat="1" applyFont="1" applyFill="1" applyBorder="1" applyAlignment="1">
      <alignment horizontal="center" vertical="center"/>
    </xf>
    <xf numFmtId="179" fontId="5" fillId="0" borderId="6" xfId="0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horizontal="left" vertical="center"/>
    </xf>
    <xf numFmtId="3" fontId="1" fillId="0" borderId="67" xfId="0" applyNumberFormat="1" applyFont="1" applyFill="1" applyBorder="1" applyAlignment="1">
      <alignment horizontal="center" vertical="center"/>
    </xf>
    <xf numFmtId="179" fontId="5" fillId="0" borderId="68" xfId="0" applyNumberFormat="1" applyFont="1" applyFill="1" applyBorder="1" applyAlignment="1">
      <alignment vertical="center"/>
    </xf>
    <xf numFmtId="3" fontId="1" fillId="0" borderId="69" xfId="0" applyNumberFormat="1" applyFont="1" applyFill="1" applyBorder="1" applyAlignment="1">
      <alignment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72" xfId="0" applyNumberFormat="1" applyFont="1" applyFill="1" applyBorder="1" applyAlignment="1">
      <alignment horizontal="center" vertical="center"/>
    </xf>
    <xf numFmtId="179" fontId="5" fillId="0" borderId="33" xfId="0" applyNumberFormat="1" applyFont="1" applyFill="1" applyBorder="1" applyAlignment="1">
      <alignment vertical="center"/>
    </xf>
    <xf numFmtId="3" fontId="1" fillId="0" borderId="73" xfId="0" applyNumberFormat="1" applyFont="1" applyFill="1" applyBorder="1" applyAlignment="1">
      <alignment vertical="center"/>
    </xf>
    <xf numFmtId="3" fontId="1" fillId="0" borderId="74" xfId="0" applyNumberFormat="1" applyFont="1" applyFill="1" applyBorder="1" applyAlignment="1">
      <alignment horizontal="center" vertical="center"/>
    </xf>
    <xf numFmtId="3" fontId="13" fillId="0" borderId="74" xfId="0" applyNumberFormat="1" applyFont="1" applyFill="1" applyBorder="1" applyAlignment="1">
      <alignment horizontal="center" vertical="center"/>
    </xf>
    <xf numFmtId="179" fontId="1" fillId="0" borderId="74" xfId="0" applyNumberFormat="1" applyFont="1" applyFill="1" applyBorder="1" applyAlignment="1">
      <alignment vertical="center"/>
    </xf>
    <xf numFmtId="3" fontId="1" fillId="0" borderId="75" xfId="0" applyNumberFormat="1" applyFont="1" applyFill="1" applyBorder="1" applyAlignment="1">
      <alignment vertical="center"/>
    </xf>
    <xf numFmtId="179" fontId="1" fillId="4" borderId="61" xfId="0" applyNumberFormat="1" applyFont="1" applyFill="1" applyBorder="1" applyAlignment="1">
      <alignment vertical="center"/>
    </xf>
    <xf numFmtId="179" fontId="5" fillId="0" borderId="74" xfId="0" applyNumberFormat="1" applyFont="1" applyFill="1" applyBorder="1" applyAlignment="1">
      <alignment vertical="center"/>
    </xf>
    <xf numFmtId="179" fontId="5" fillId="0" borderId="18" xfId="0" applyNumberFormat="1" applyFont="1" applyFill="1" applyBorder="1" applyAlignment="1">
      <alignment vertical="center"/>
    </xf>
    <xf numFmtId="3" fontId="1" fillId="0" borderId="80" xfId="0" applyNumberFormat="1" applyFont="1" applyFill="1" applyBorder="1" applyAlignment="1">
      <alignment vertical="center"/>
    </xf>
    <xf numFmtId="3" fontId="1" fillId="0" borderId="81" xfId="0" applyNumberFormat="1" applyFont="1" applyFill="1" applyBorder="1" applyAlignment="1">
      <alignment horizontal="center" vertical="center"/>
    </xf>
    <xf numFmtId="179" fontId="5" fillId="3" borderId="86" xfId="0" applyNumberFormat="1" applyFont="1" applyFill="1" applyBorder="1" applyAlignment="1">
      <alignment vertical="center"/>
    </xf>
    <xf numFmtId="3" fontId="1" fillId="0" borderId="87" xfId="0" applyNumberFormat="1" applyFont="1" applyFill="1" applyBorder="1" applyAlignment="1">
      <alignment vertical="center"/>
    </xf>
    <xf numFmtId="3" fontId="1" fillId="0" borderId="27" xfId="0" applyNumberFormat="1" applyFont="1" applyFill="1" applyBorder="1" applyAlignment="1">
      <alignment horizontal="center" vertical="center"/>
    </xf>
    <xf numFmtId="179" fontId="5" fillId="0" borderId="61" xfId="0" applyNumberFormat="1" applyFont="1" applyFill="1" applyBorder="1" applyAlignment="1">
      <alignment vertical="center"/>
    </xf>
    <xf numFmtId="3" fontId="13" fillId="0" borderId="63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88" xfId="0" applyNumberFormat="1" applyFont="1" applyFill="1" applyBorder="1" applyAlignment="1">
      <alignment horizontal="center" vertical="center"/>
    </xf>
    <xf numFmtId="3" fontId="1" fillId="0" borderId="89" xfId="0" applyNumberFormat="1" applyFont="1" applyFill="1" applyBorder="1" applyAlignment="1">
      <alignment horizontal="left" vertical="center"/>
    </xf>
    <xf numFmtId="179" fontId="5" fillId="0" borderId="91" xfId="0" applyNumberFormat="1" applyFont="1" applyFill="1" applyBorder="1" applyAlignment="1">
      <alignment vertical="center"/>
    </xf>
    <xf numFmtId="3" fontId="1" fillId="0" borderId="93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4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176" fontId="0" fillId="0" borderId="103" xfId="0" applyNumberFormat="1" applyBorder="1" applyAlignment="1">
      <alignment horizontal="center" vertical="center"/>
    </xf>
    <xf numFmtId="176" fontId="0" fillId="0" borderId="103" xfId="0" applyNumberFormat="1" applyFill="1" applyBorder="1" applyAlignment="1">
      <alignment horizontal="left" vertical="center"/>
    </xf>
    <xf numFmtId="176" fontId="0" fillId="0" borderId="103" xfId="0" applyNumberFormat="1" applyFill="1" applyBorder="1" applyAlignment="1">
      <alignment horizontal="center" vertical="center"/>
    </xf>
    <xf numFmtId="176" fontId="20" fillId="0" borderId="104" xfId="0" applyNumberFormat="1" applyFont="1" applyFill="1" applyBorder="1" applyAlignment="1">
      <alignment vertical="center"/>
    </xf>
    <xf numFmtId="176" fontId="20" fillId="0" borderId="105" xfId="0" applyNumberFormat="1" applyFont="1" applyFill="1" applyBorder="1" applyAlignment="1">
      <alignment vertical="center"/>
    </xf>
    <xf numFmtId="176" fontId="20" fillId="0" borderId="106" xfId="0" applyNumberFormat="1" applyFont="1" applyFill="1" applyBorder="1" applyAlignment="1">
      <alignment vertical="center"/>
    </xf>
    <xf numFmtId="176" fontId="1" fillId="0" borderId="107" xfId="0" applyNumberFormat="1" applyFont="1" applyFill="1" applyBorder="1" applyAlignment="1">
      <alignment vertical="center"/>
    </xf>
    <xf numFmtId="176" fontId="1" fillId="0" borderId="105" xfId="0" applyNumberFormat="1" applyFont="1" applyFill="1" applyBorder="1" applyAlignment="1">
      <alignment vertical="center"/>
    </xf>
    <xf numFmtId="176" fontId="0" fillId="0" borderId="108" xfId="0" applyNumberFormat="1" applyFill="1" applyBorder="1" applyAlignment="1">
      <alignment vertical="center"/>
    </xf>
    <xf numFmtId="176" fontId="0" fillId="0" borderId="109" xfId="0" applyNumberFormat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4" xfId="0" applyNumberFormat="1" applyFill="1" applyBorder="1" applyAlignment="1">
      <alignment horizontal="left" vertical="center"/>
    </xf>
    <xf numFmtId="176" fontId="0" fillId="0" borderId="24" xfId="0" applyNumberFormat="1" applyFill="1" applyBorder="1" applyAlignment="1">
      <alignment horizontal="center" vertical="center"/>
    </xf>
    <xf numFmtId="176" fontId="20" fillId="0" borderId="27" xfId="0" applyNumberFormat="1" applyFont="1" applyFill="1" applyBorder="1" applyAlignment="1">
      <alignment vertical="center"/>
    </xf>
    <xf numFmtId="176" fontId="20" fillId="0" borderId="6" xfId="0" applyNumberFormat="1" applyFont="1" applyFill="1" applyBorder="1" applyAlignment="1">
      <alignment vertical="center"/>
    </xf>
    <xf numFmtId="176" fontId="20" fillId="0" borderId="63" xfId="0" applyNumberFormat="1" applyFont="1" applyFill="1" applyBorder="1" applyAlignment="1">
      <alignment vertical="center"/>
    </xf>
    <xf numFmtId="176" fontId="1" fillId="0" borderId="65" xfId="0" applyNumberFormat="1" applyFont="1" applyFill="1" applyBorder="1" applyAlignment="1">
      <alignment vertical="center"/>
    </xf>
    <xf numFmtId="176" fontId="1" fillId="0" borderId="6" xfId="0" applyNumberFormat="1" applyFont="1" applyFill="1" applyBorder="1" applyAlignment="1">
      <alignment vertical="center"/>
    </xf>
    <xf numFmtId="176" fontId="0" fillId="0" borderId="111" xfId="0" applyNumberFormat="1" applyFill="1" applyBorder="1" applyAlignment="1">
      <alignment vertical="center"/>
    </xf>
    <xf numFmtId="176" fontId="0" fillId="0" borderId="112" xfId="0" applyNumberFormat="1" applyBorder="1" applyAlignment="1">
      <alignment vertical="center"/>
    </xf>
    <xf numFmtId="176" fontId="0" fillId="0" borderId="26" xfId="0" applyNumberFormat="1" applyBorder="1" applyAlignment="1">
      <alignment vertical="center"/>
    </xf>
    <xf numFmtId="176" fontId="0" fillId="0" borderId="112" xfId="0" applyNumberFormat="1" applyFill="1" applyBorder="1" applyAlignment="1">
      <alignment vertical="center"/>
    </xf>
    <xf numFmtId="176" fontId="0" fillId="0" borderId="26" xfId="0" applyNumberForma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34" xfId="0" applyNumberFormat="1" applyFill="1" applyBorder="1" applyAlignment="1">
      <alignment horizontal="center" vertical="center"/>
    </xf>
    <xf numFmtId="176" fontId="0" fillId="0" borderId="34" xfId="0" applyNumberFormat="1" applyFill="1" applyBorder="1" applyAlignment="1">
      <alignment horizontal="left" vertical="center"/>
    </xf>
    <xf numFmtId="176" fontId="20" fillId="0" borderId="31" xfId="0" applyNumberFormat="1" applyFont="1" applyFill="1" applyBorder="1" applyAlignment="1">
      <alignment vertical="center"/>
    </xf>
    <xf numFmtId="176" fontId="20" fillId="0" borderId="33" xfId="0" applyNumberFormat="1" applyFont="1" applyFill="1" applyBorder="1" applyAlignment="1">
      <alignment vertical="center"/>
    </xf>
    <xf numFmtId="176" fontId="20" fillId="0" borderId="73" xfId="0" applyNumberFormat="1" applyFont="1" applyFill="1" applyBorder="1" applyAlignment="1">
      <alignment vertical="center"/>
    </xf>
    <xf numFmtId="176" fontId="1" fillId="0" borderId="72" xfId="0" applyNumberFormat="1" applyFont="1" applyFill="1" applyBorder="1" applyAlignment="1">
      <alignment vertical="center"/>
    </xf>
    <xf numFmtId="176" fontId="1" fillId="0" borderId="33" xfId="0" applyNumberFormat="1" applyFont="1" applyFill="1" applyBorder="1" applyAlignment="1">
      <alignment vertical="center"/>
    </xf>
    <xf numFmtId="176" fontId="0" fillId="0" borderId="113" xfId="0" applyNumberFormat="1" applyFill="1" applyBorder="1" applyAlignment="1">
      <alignment vertical="center"/>
    </xf>
    <xf numFmtId="176" fontId="0" fillId="0" borderId="114" xfId="0" applyNumberFormat="1" applyFill="1" applyBorder="1" applyAlignment="1">
      <alignment vertical="center"/>
    </xf>
    <xf numFmtId="176" fontId="0" fillId="0" borderId="30" xfId="0" applyNumberFormat="1" applyFill="1" applyBorder="1" applyAlignment="1">
      <alignment vertical="center"/>
    </xf>
    <xf numFmtId="176" fontId="20" fillId="0" borderId="48" xfId="0" applyNumberFormat="1" applyFont="1" applyBorder="1" applyAlignment="1">
      <alignment vertical="center"/>
    </xf>
    <xf numFmtId="176" fontId="20" fillId="0" borderId="51" xfId="0" applyNumberFormat="1" applyFont="1" applyBorder="1" applyAlignment="1">
      <alignment vertical="center"/>
    </xf>
    <xf numFmtId="176" fontId="20" fillId="0" borderId="52" xfId="0" applyNumberFormat="1" applyFont="1" applyBorder="1" applyAlignment="1">
      <alignment vertical="center"/>
    </xf>
    <xf numFmtId="176" fontId="5" fillId="0" borderId="50" xfId="0" applyNumberFormat="1" applyFont="1" applyBorder="1" applyAlignment="1">
      <alignment vertical="center"/>
    </xf>
    <xf numFmtId="176" fontId="5" fillId="0" borderId="51" xfId="0" applyNumberFormat="1" applyFont="1" applyFill="1" applyBorder="1" applyAlignment="1">
      <alignment vertical="center"/>
    </xf>
    <xf numFmtId="176" fontId="5" fillId="0" borderId="51" xfId="0" applyNumberFormat="1" applyFont="1" applyBorder="1" applyAlignment="1">
      <alignment vertical="center"/>
    </xf>
    <xf numFmtId="176" fontId="5" fillId="0" borderId="94" xfId="0" applyNumberFormat="1" applyFont="1" applyBorder="1" applyAlignment="1">
      <alignment vertical="center"/>
    </xf>
    <xf numFmtId="176" fontId="5" fillId="0" borderId="115" xfId="0" applyNumberFormat="1" applyFon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13" fillId="0" borderId="9" xfId="0" applyNumberFormat="1" applyFont="1" applyBorder="1" applyAlignment="1">
      <alignment horizontal="center" vertical="center"/>
    </xf>
    <xf numFmtId="176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9" fontId="21" fillId="0" borderId="70" xfId="2" applyFont="1" applyBorder="1" applyAlignment="1">
      <alignment vertical="center"/>
    </xf>
    <xf numFmtId="9" fontId="21" fillId="0" borderId="32" xfId="2" applyFont="1" applyBorder="1" applyAlignment="1">
      <alignment vertical="center"/>
    </xf>
    <xf numFmtId="9" fontId="21" fillId="0" borderId="116" xfId="2" applyFont="1" applyBorder="1" applyAlignment="1">
      <alignment vertical="center"/>
    </xf>
    <xf numFmtId="9" fontId="13" fillId="0" borderId="117" xfId="2" applyFont="1" applyBorder="1" applyAlignment="1">
      <alignment vertical="center"/>
    </xf>
    <xf numFmtId="9" fontId="13" fillId="0" borderId="32" xfId="2" applyFont="1" applyFill="1" applyBorder="1" applyAlignment="1">
      <alignment vertical="center"/>
    </xf>
    <xf numFmtId="9" fontId="13" fillId="0" borderId="32" xfId="2" applyFont="1" applyBorder="1" applyAlignment="1">
      <alignment vertical="center"/>
    </xf>
    <xf numFmtId="9" fontId="13" fillId="0" borderId="118" xfId="2" applyFont="1" applyBorder="1" applyAlignment="1">
      <alignment vertical="center"/>
    </xf>
    <xf numFmtId="9" fontId="13" fillId="0" borderId="119" xfId="2" applyFont="1" applyBorder="1" applyAlignment="1">
      <alignment vertical="center"/>
    </xf>
    <xf numFmtId="176" fontId="13" fillId="0" borderId="11" xfId="0" applyNumberFormat="1" applyFont="1" applyBorder="1" applyAlignment="1">
      <alignment vertical="center"/>
    </xf>
    <xf numFmtId="176" fontId="13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2" fillId="0" borderId="0" xfId="0" applyFont="1" applyAlignment="1">
      <alignment vertical="center"/>
    </xf>
    <xf numFmtId="41" fontId="22" fillId="0" borderId="0" xfId="1" applyFont="1" applyAlignment="1">
      <alignment vertical="center"/>
    </xf>
    <xf numFmtId="179" fontId="23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4" fillId="0" borderId="1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23" fillId="0" borderId="0" xfId="0" applyNumberFormat="1" applyFont="1" applyFill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5" borderId="24" xfId="0" applyFill="1" applyBorder="1" applyAlignment="1">
      <alignment vertical="center"/>
    </xf>
    <xf numFmtId="0" fontId="0" fillId="5" borderId="120" xfId="0" applyFill="1" applyBorder="1" applyAlignment="1">
      <alignment vertical="center"/>
    </xf>
    <xf numFmtId="0" fontId="0" fillId="5" borderId="120" xfId="0" applyFill="1" applyBorder="1" applyAlignment="1">
      <alignment horizontal="center" vertical="center"/>
    </xf>
    <xf numFmtId="176" fontId="0" fillId="5" borderId="120" xfId="0" applyNumberFormat="1" applyFill="1" applyBorder="1" applyAlignment="1">
      <alignment vertical="center"/>
    </xf>
    <xf numFmtId="176" fontId="0" fillId="0" borderId="87" xfId="0" applyNumberFormat="1" applyBorder="1" applyAlignment="1">
      <alignment vertical="center"/>
    </xf>
    <xf numFmtId="0" fontId="0" fillId="0" borderId="120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2" borderId="120" xfId="0" applyFill="1" applyBorder="1" applyAlignment="1">
      <alignment vertical="center"/>
    </xf>
    <xf numFmtId="0" fontId="0" fillId="2" borderId="120" xfId="0" applyFill="1" applyBorder="1" applyAlignment="1">
      <alignment horizontal="center" vertical="center"/>
    </xf>
    <xf numFmtId="176" fontId="0" fillId="2" borderId="120" xfId="0" applyNumberFormat="1" applyFill="1" applyBorder="1" applyAlignment="1">
      <alignment horizontal="right" vertical="center"/>
    </xf>
    <xf numFmtId="176" fontId="0" fillId="2" borderId="120" xfId="0" applyNumberFormat="1" applyFill="1" applyBorder="1" applyAlignment="1">
      <alignment vertical="center"/>
    </xf>
    <xf numFmtId="0" fontId="0" fillId="2" borderId="24" xfId="0" applyFill="1" applyBorder="1" applyAlignment="1">
      <alignment horizontal="center" vertical="center"/>
    </xf>
    <xf numFmtId="176" fontId="0" fillId="2" borderId="24" xfId="0" applyNumberFormat="1" applyFill="1" applyBorder="1" applyAlignment="1">
      <alignment horizontal="center" vertical="center"/>
    </xf>
    <xf numFmtId="176" fontId="0" fillId="2" borderId="24" xfId="0" applyNumberFormat="1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34" xfId="0" applyFill="1" applyBorder="1" applyAlignment="1">
      <alignment horizontal="center" vertical="center"/>
    </xf>
    <xf numFmtId="176" fontId="0" fillId="2" borderId="34" xfId="0" applyNumberFormat="1" applyFill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5" xfId="0" applyBorder="1" applyAlignment="1">
      <alignment vertical="center"/>
    </xf>
    <xf numFmtId="176" fontId="0" fillId="0" borderId="45" xfId="0" applyNumberFormat="1" applyBorder="1" applyAlignment="1">
      <alignment horizontal="center" vertical="center"/>
    </xf>
    <xf numFmtId="176" fontId="0" fillId="0" borderId="45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21" xfId="0" applyFill="1" applyBorder="1" applyAlignment="1">
      <alignment vertical="center"/>
    </xf>
    <xf numFmtId="0" fontId="0" fillId="2" borderId="121" xfId="0" applyFill="1" applyBorder="1" applyAlignment="1">
      <alignment horizontal="center" vertical="center"/>
    </xf>
    <xf numFmtId="176" fontId="0" fillId="2" borderId="121" xfId="0" applyNumberFormat="1" applyFill="1" applyBorder="1" applyAlignment="1">
      <alignment horizontal="center" vertical="center"/>
    </xf>
    <xf numFmtId="176" fontId="0" fillId="2" borderId="121" xfId="0" applyNumberFormat="1" applyFill="1" applyBorder="1" applyAlignment="1">
      <alignment vertical="center"/>
    </xf>
    <xf numFmtId="176" fontId="0" fillId="0" borderId="44" xfId="0" applyNumberFormat="1" applyBorder="1" applyAlignment="1">
      <alignment vertical="center"/>
    </xf>
    <xf numFmtId="0" fontId="0" fillId="0" borderId="121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2" borderId="122" xfId="0" applyFill="1" applyBorder="1" applyAlignment="1">
      <alignment vertical="center"/>
    </xf>
    <xf numFmtId="0" fontId="0" fillId="2" borderId="122" xfId="0" applyFill="1" applyBorder="1" applyAlignment="1">
      <alignment horizontal="center" vertical="center"/>
    </xf>
    <xf numFmtId="176" fontId="0" fillId="2" borderId="122" xfId="0" applyNumberFormat="1" applyFill="1" applyBorder="1" applyAlignment="1">
      <alignment horizontal="center" vertical="center"/>
    </xf>
    <xf numFmtId="176" fontId="0" fillId="2" borderId="122" xfId="0" applyNumberFormat="1" applyFill="1" applyBorder="1" applyAlignment="1">
      <alignment vertical="center"/>
    </xf>
    <xf numFmtId="176" fontId="0" fillId="0" borderId="123" xfId="0" applyNumberFormat="1" applyBorder="1" applyAlignment="1">
      <alignment vertical="center"/>
    </xf>
    <xf numFmtId="0" fontId="0" fillId="0" borderId="122" xfId="0" applyBorder="1" applyAlignment="1">
      <alignment vertical="center"/>
    </xf>
    <xf numFmtId="0" fontId="0" fillId="6" borderId="37" xfId="0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0" fontId="0" fillId="6" borderId="12" xfId="0" applyFill="1" applyBorder="1" applyAlignment="1">
      <alignment horizontal="center" vertical="center"/>
    </xf>
    <xf numFmtId="176" fontId="0" fillId="6" borderId="12" xfId="0" applyNumberFormat="1" applyFill="1" applyBorder="1" applyAlignment="1">
      <alignment horizontal="center" vertical="center"/>
    </xf>
    <xf numFmtId="176" fontId="0" fillId="6" borderId="12" xfId="0" applyNumberFormat="1" applyFill="1" applyBorder="1" applyAlignment="1">
      <alignment vertical="center"/>
    </xf>
    <xf numFmtId="176" fontId="0" fillId="6" borderId="37" xfId="0" applyNumberFormat="1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5" borderId="24" xfId="1" applyNumberFormat="1" applyFont="1" applyFill="1" applyBorder="1" applyAlignment="1">
      <alignment horizontal="left" vertical="center"/>
    </xf>
    <xf numFmtId="0" fontId="0" fillId="5" borderId="13" xfId="0" applyFill="1" applyBorder="1" applyAlignment="1">
      <alignment vertical="center" wrapText="1"/>
    </xf>
    <xf numFmtId="41" fontId="1" fillId="5" borderId="24" xfId="1" applyFont="1" applyFill="1" applyBorder="1" applyAlignment="1">
      <alignment horizontal="center" vertical="center"/>
    </xf>
    <xf numFmtId="41" fontId="1" fillId="5" borderId="24" xfId="1" applyFont="1" applyFill="1" applyBorder="1" applyAlignment="1">
      <alignment vertical="center"/>
    </xf>
    <xf numFmtId="41" fontId="1" fillId="5" borderId="24" xfId="1" applyFont="1" applyFill="1" applyBorder="1" applyAlignment="1">
      <alignment horizontal="right" vertical="center"/>
    </xf>
    <xf numFmtId="41" fontId="1" fillId="5" borderId="24" xfId="1" applyNumberFormat="1" applyFont="1" applyFill="1" applyBorder="1" applyAlignment="1">
      <alignment horizontal="right" vertical="center"/>
    </xf>
    <xf numFmtId="0" fontId="1" fillId="2" borderId="24" xfId="1" applyNumberFormat="1" applyFont="1" applyFill="1" applyBorder="1" applyAlignment="1">
      <alignment horizontal="left" vertical="center"/>
    </xf>
    <xf numFmtId="41" fontId="1" fillId="2" borderId="24" xfId="1" applyNumberFormat="1" applyFont="1" applyFill="1" applyBorder="1" applyAlignment="1">
      <alignment horizontal="right" vertical="center"/>
    </xf>
    <xf numFmtId="41" fontId="1" fillId="2" borderId="24" xfId="1" applyFont="1" applyFill="1" applyBorder="1" applyAlignment="1">
      <alignment horizontal="right" vertical="center"/>
    </xf>
    <xf numFmtId="0" fontId="0" fillId="5" borderId="24" xfId="0" applyFill="1" applyBorder="1" applyAlignment="1">
      <alignment horizontal="center" vertical="center"/>
    </xf>
    <xf numFmtId="176" fontId="0" fillId="5" borderId="24" xfId="0" applyNumberFormat="1" applyFill="1" applyBorder="1" applyAlignment="1">
      <alignment vertical="center"/>
    </xf>
    <xf numFmtId="41" fontId="1" fillId="2" borderId="24" xfId="1" applyFont="1" applyFill="1" applyBorder="1" applyAlignment="1">
      <alignment horizontal="center" vertical="center" shrinkToFit="1"/>
    </xf>
    <xf numFmtId="176" fontId="0" fillId="0" borderId="30" xfId="0" applyNumberFormat="1" applyBorder="1" applyAlignment="1">
      <alignment vertical="center"/>
    </xf>
    <xf numFmtId="0" fontId="0" fillId="2" borderId="11" xfId="0" applyFill="1" applyBorder="1" applyAlignment="1">
      <alignment vertical="center"/>
    </xf>
    <xf numFmtId="176" fontId="0" fillId="2" borderId="120" xfId="0" applyNumberFormat="1" applyFill="1" applyBorder="1" applyAlignment="1">
      <alignment horizontal="center" vertical="center"/>
    </xf>
    <xf numFmtId="176" fontId="0" fillId="0" borderId="8" xfId="0" applyNumberFormat="1" applyBorder="1" applyAlignment="1">
      <alignment vertical="center"/>
    </xf>
    <xf numFmtId="0" fontId="0" fillId="0" borderId="40" xfId="0" applyBorder="1" applyAlignment="1">
      <alignment vertical="center"/>
    </xf>
    <xf numFmtId="0" fontId="0" fillId="2" borderId="13" xfId="0" applyFill="1" applyBorder="1" applyAlignment="1">
      <alignment vertical="center"/>
    </xf>
    <xf numFmtId="176" fontId="0" fillId="0" borderId="121" xfId="0" applyNumberFormat="1" applyBorder="1" applyAlignment="1">
      <alignment vertical="center"/>
    </xf>
    <xf numFmtId="176" fontId="0" fillId="2" borderId="34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3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6" borderId="35" xfId="0" applyFill="1" applyBorder="1" applyAlignment="1">
      <alignment vertical="center"/>
    </xf>
    <xf numFmtId="176" fontId="0" fillId="5" borderId="12" xfId="0" applyNumberFormat="1" applyFill="1" applyBorder="1" applyAlignment="1">
      <alignment vertical="center"/>
    </xf>
    <xf numFmtId="176" fontId="0" fillId="2" borderId="12" xfId="0" applyNumberFormat="1" applyFill="1" applyBorder="1" applyAlignment="1">
      <alignment vertical="center"/>
    </xf>
    <xf numFmtId="176" fontId="0" fillId="0" borderId="37" xfId="0" applyNumberFormat="1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21" xfId="0" applyFill="1" applyBorder="1" applyAlignment="1">
      <alignment vertical="center"/>
    </xf>
    <xf numFmtId="0" fontId="0" fillId="6" borderId="25" xfId="0" applyFill="1" applyBorder="1" applyAlignment="1">
      <alignment vertical="center"/>
    </xf>
    <xf numFmtId="176" fontId="0" fillId="5" borderId="121" xfId="0" applyNumberFormat="1" applyFill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4" xfId="0" applyFill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4" xfId="0" applyFill="1" applyBorder="1" applyAlignment="1">
      <alignment vertical="center"/>
    </xf>
    <xf numFmtId="0" fontId="0" fillId="6" borderId="29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176" fontId="0" fillId="0" borderId="35" xfId="0" applyNumberFormat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10" xfId="0" applyNumberFormat="1" applyFont="1" applyFill="1" applyBorder="1" applyAlignment="1">
      <alignment vertical="center"/>
    </xf>
    <xf numFmtId="176" fontId="23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0" fontId="0" fillId="2" borderId="24" xfId="0" applyFill="1" applyBorder="1" applyAlignment="1">
      <alignment horizontal="left" vertical="center"/>
    </xf>
    <xf numFmtId="181" fontId="0" fillId="0" borderId="45" xfId="0" applyNumberFormat="1" applyBorder="1" applyAlignment="1">
      <alignment vertical="center"/>
    </xf>
    <xf numFmtId="0" fontId="0" fillId="2" borderId="24" xfId="0" applyFont="1" applyFill="1" applyBorder="1" applyAlignment="1">
      <alignment horizontal="left" vertical="center"/>
    </xf>
    <xf numFmtId="0" fontId="0" fillId="0" borderId="35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176" fontId="0" fillId="6" borderId="26" xfId="0" applyNumberFormat="1" applyFill="1" applyBorder="1" applyAlignment="1">
      <alignment vertical="center"/>
    </xf>
    <xf numFmtId="0" fontId="0" fillId="0" borderId="29" xfId="0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5" fillId="0" borderId="1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6" xfId="0" applyFont="1" applyFill="1" applyBorder="1" applyAlignment="1">
      <alignment horizontal="left" vertical="center"/>
    </xf>
    <xf numFmtId="0" fontId="0" fillId="0" borderId="18" xfId="0" applyFont="1" applyBorder="1" applyAlignment="1">
      <alignment horizontal="center" vertical="center"/>
    </xf>
    <xf numFmtId="0" fontId="0" fillId="5" borderId="24" xfId="1" applyNumberFormat="1" applyFont="1" applyFill="1" applyBorder="1" applyAlignment="1">
      <alignment horizontal="left" vertical="center"/>
    </xf>
    <xf numFmtId="41" fontId="0" fillId="5" borderId="24" xfId="1" applyFont="1" applyFill="1" applyBorder="1" applyAlignment="1">
      <alignment horizontal="center" vertical="center"/>
    </xf>
    <xf numFmtId="0" fontId="0" fillId="2" borderId="24" xfId="1" applyNumberFormat="1" applyFont="1" applyFill="1" applyBorder="1" applyAlignment="1">
      <alignment horizontal="left" vertical="center"/>
    </xf>
    <xf numFmtId="41" fontId="0" fillId="2" borderId="24" xfId="1" applyFont="1" applyFill="1" applyBorder="1" applyAlignment="1">
      <alignment horizontal="center" vertical="center"/>
    </xf>
    <xf numFmtId="41" fontId="1" fillId="2" borderId="122" xfId="1" applyNumberFormat="1" applyFont="1" applyFill="1" applyBorder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176" fontId="1" fillId="0" borderId="35" xfId="0" applyNumberFormat="1" applyFont="1" applyBorder="1" applyAlignment="1">
      <alignment horizontal="center" vertical="center" wrapText="1"/>
    </xf>
    <xf numFmtId="176" fontId="1" fillId="0" borderId="37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textRotation="255"/>
    </xf>
    <xf numFmtId="0" fontId="1" fillId="0" borderId="40" xfId="0" applyFont="1" applyBorder="1" applyAlignment="1">
      <alignment horizontal="center" vertical="center" textRotation="255"/>
    </xf>
    <xf numFmtId="0" fontId="1" fillId="0" borderId="45" xfId="0" applyFont="1" applyBorder="1" applyAlignment="1">
      <alignment horizontal="center" vertical="center" textRotation="255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177" fontId="1" fillId="2" borderId="7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Border="1" applyAlignment="1">
      <alignment horizontal="left" vertical="center"/>
    </xf>
    <xf numFmtId="177" fontId="1" fillId="2" borderId="8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178" fontId="1" fillId="2" borderId="7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8" fontId="1" fillId="2" borderId="8" xfId="0" applyNumberFormat="1" applyFont="1" applyFill="1" applyBorder="1" applyAlignment="1">
      <alignment vertical="center"/>
    </xf>
    <xf numFmtId="176" fontId="1" fillId="0" borderId="35" xfId="0" applyNumberFormat="1" applyFont="1" applyBorder="1" applyAlignment="1">
      <alignment horizontal="center" vertical="center"/>
    </xf>
    <xf numFmtId="176" fontId="1" fillId="0" borderId="36" xfId="0" applyNumberFormat="1" applyFont="1" applyBorder="1" applyAlignment="1">
      <alignment horizontal="center" vertical="center"/>
    </xf>
    <xf numFmtId="176" fontId="1" fillId="0" borderId="37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20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0" fillId="0" borderId="25" xfId="0" applyFont="1" applyFill="1" applyBorder="1" applyAlignment="1">
      <alignment horizontal="left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Fill="1" applyBorder="1" applyAlignment="1">
      <alignment horizontal="left" vertical="center"/>
    </xf>
    <xf numFmtId="0" fontId="1" fillId="0" borderId="29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/>
    </xf>
    <xf numFmtId="3" fontId="1" fillId="0" borderId="46" xfId="0" applyNumberFormat="1" applyFont="1" applyFill="1" applyBorder="1" applyAlignment="1">
      <alignment horizontal="center"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72" xfId="0" applyNumberFormat="1" applyFont="1" applyFill="1" applyBorder="1" applyAlignment="1">
      <alignment horizontal="center" vertical="center"/>
    </xf>
    <xf numFmtId="3" fontId="0" fillId="0" borderId="46" xfId="0" quotePrefix="1" applyNumberFormat="1" applyFill="1" applyBorder="1" applyAlignment="1">
      <alignment horizontal="left" vertical="center"/>
    </xf>
    <xf numFmtId="3" fontId="0" fillId="0" borderId="47" xfId="0" quotePrefix="1" applyNumberFormat="1" applyFill="1" applyBorder="1" applyAlignment="1">
      <alignment horizontal="left" vertical="center"/>
    </xf>
    <xf numFmtId="3" fontId="0" fillId="0" borderId="72" xfId="0" quotePrefix="1" applyNumberFormat="1" applyFill="1" applyBorder="1" applyAlignment="1">
      <alignment horizontal="left" vertical="center"/>
    </xf>
    <xf numFmtId="3" fontId="1" fillId="0" borderId="90" xfId="0" applyNumberFormat="1" applyFont="1" applyFill="1" applyBorder="1" applyAlignment="1">
      <alignment horizontal="center" vertical="center"/>
    </xf>
    <xf numFmtId="3" fontId="13" fillId="0" borderId="91" xfId="0" quotePrefix="1" applyNumberFormat="1" applyFont="1" applyFill="1" applyBorder="1" applyAlignment="1">
      <alignment horizontal="left" vertical="center"/>
    </xf>
    <xf numFmtId="3" fontId="13" fillId="0" borderId="90" xfId="0" quotePrefix="1" applyNumberFormat="1" applyFont="1" applyFill="1" applyBorder="1" applyAlignment="1">
      <alignment horizontal="left" vertical="center"/>
    </xf>
    <xf numFmtId="3" fontId="13" fillId="0" borderId="92" xfId="0" quotePrefix="1" applyNumberFormat="1" applyFont="1" applyFill="1" applyBorder="1" applyAlignment="1">
      <alignment horizontal="left" vertical="center"/>
    </xf>
    <xf numFmtId="3" fontId="0" fillId="0" borderId="68" xfId="0" applyNumberFormat="1" applyFont="1" applyFill="1" applyBorder="1" applyAlignment="1">
      <alignment horizontal="center" vertical="center" wrapText="1"/>
    </xf>
    <xf numFmtId="3" fontId="0" fillId="0" borderId="28" xfId="0" applyNumberFormat="1" applyFont="1" applyFill="1" applyBorder="1" applyAlignment="1">
      <alignment horizontal="center" vertical="center"/>
    </xf>
    <xf numFmtId="3" fontId="0" fillId="0" borderId="61" xfId="0" applyNumberFormat="1" applyFont="1" applyFill="1" applyBorder="1" applyAlignment="1">
      <alignment horizontal="center" vertical="center"/>
    </xf>
    <xf numFmtId="179" fontId="0" fillId="0" borderId="4" xfId="0" applyNumberFormat="1" applyFont="1" applyFill="1" applyBorder="1" applyAlignment="1">
      <alignment horizontal="center" vertical="center"/>
    </xf>
    <xf numFmtId="179" fontId="0" fillId="0" borderId="5" xfId="0" applyNumberFormat="1" applyFont="1" applyFill="1" applyBorder="1" applyAlignment="1">
      <alignment horizontal="center" vertical="center"/>
    </xf>
    <xf numFmtId="179" fontId="0" fillId="0" borderId="65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3" fontId="1" fillId="0" borderId="6" xfId="0" applyNumberFormat="1" applyFont="1" applyFill="1" applyBorder="1" applyAlignment="1">
      <alignment horizontal="center" vertical="center"/>
    </xf>
    <xf numFmtId="3" fontId="1" fillId="0" borderId="64" xfId="0" applyNumberFormat="1" applyFont="1" applyFill="1" applyBorder="1" applyAlignment="1">
      <alignment horizontal="center" vertical="center"/>
    </xf>
    <xf numFmtId="3" fontId="1" fillId="0" borderId="82" xfId="0" applyNumberFormat="1" applyFont="1" applyFill="1" applyBorder="1" applyAlignment="1">
      <alignment horizontal="center" vertical="center"/>
    </xf>
    <xf numFmtId="3" fontId="1" fillId="0" borderId="83" xfId="0" applyNumberFormat="1" applyFont="1" applyFill="1" applyBorder="1" applyAlignment="1">
      <alignment horizontal="center" vertical="center"/>
    </xf>
    <xf numFmtId="3" fontId="1" fillId="0" borderId="84" xfId="0" applyNumberFormat="1" applyFont="1" applyFill="1" applyBorder="1" applyAlignment="1">
      <alignment horizontal="center" vertical="center"/>
    </xf>
    <xf numFmtId="3" fontId="1" fillId="0" borderId="85" xfId="0" applyNumberFormat="1" applyFont="1" applyFill="1" applyBorder="1" applyAlignment="1">
      <alignment horizontal="center" vertical="center"/>
    </xf>
    <xf numFmtId="3" fontId="1" fillId="0" borderId="21" xfId="0" applyNumberFormat="1" applyFont="1" applyFill="1" applyBorder="1" applyAlignment="1">
      <alignment horizontal="center" vertical="center"/>
    </xf>
    <xf numFmtId="3" fontId="1" fillId="0" borderId="4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65" xfId="0" applyNumberFormat="1" applyFont="1" applyFill="1" applyBorder="1" applyAlignment="1">
      <alignment horizontal="center" vertical="center"/>
    </xf>
    <xf numFmtId="3" fontId="13" fillId="4" borderId="4" xfId="0" applyNumberFormat="1" applyFont="1" applyFill="1" applyBorder="1" applyAlignment="1">
      <alignment horizontal="left" vertical="center"/>
    </xf>
    <xf numFmtId="3" fontId="13" fillId="4" borderId="5" xfId="0" applyNumberFormat="1" applyFont="1" applyFill="1" applyBorder="1" applyAlignment="1">
      <alignment horizontal="left" vertical="center"/>
    </xf>
    <xf numFmtId="3" fontId="13" fillId="4" borderId="65" xfId="0" applyNumberFormat="1" applyFont="1" applyFill="1" applyBorder="1" applyAlignment="1">
      <alignment horizontal="left" vertical="center"/>
    </xf>
    <xf numFmtId="3" fontId="13" fillId="0" borderId="4" xfId="0" applyNumberFormat="1" applyFont="1" applyFill="1" applyBorder="1" applyAlignment="1">
      <alignment horizontal="left" vertical="center"/>
    </xf>
    <xf numFmtId="3" fontId="13" fillId="0" borderId="5" xfId="0" applyNumberFormat="1" applyFont="1" applyFill="1" applyBorder="1" applyAlignment="1">
      <alignment horizontal="left" vertical="center"/>
    </xf>
    <xf numFmtId="3" fontId="13" fillId="0" borderId="65" xfId="0" applyNumberFormat="1" applyFont="1" applyFill="1" applyBorder="1" applyAlignment="1">
      <alignment horizontal="left" vertical="center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7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42" xfId="0" applyNumberFormat="1" applyFont="1" applyFill="1" applyBorder="1" applyAlignment="1">
      <alignment horizontal="center" vertical="center"/>
    </xf>
    <xf numFmtId="3" fontId="1" fillId="0" borderId="43" xfId="0" applyNumberFormat="1" applyFont="1" applyFill="1" applyBorder="1" applyAlignment="1">
      <alignment horizontal="center" vertical="center"/>
    </xf>
    <xf numFmtId="3" fontId="1" fillId="0" borderId="76" xfId="0" applyNumberFormat="1" applyFont="1" applyFill="1" applyBorder="1" applyAlignment="1">
      <alignment horizontal="center" vertical="center"/>
    </xf>
    <xf numFmtId="3" fontId="1" fillId="0" borderId="77" xfId="0" applyNumberFormat="1" applyFont="1" applyFill="1" applyBorder="1" applyAlignment="1">
      <alignment horizontal="center" vertical="center"/>
    </xf>
    <xf numFmtId="3" fontId="1" fillId="0" borderId="78" xfId="0" applyNumberFormat="1" applyFont="1" applyFill="1" applyBorder="1" applyAlignment="1">
      <alignment horizontal="center" vertical="center"/>
    </xf>
    <xf numFmtId="3" fontId="1" fillId="0" borderId="79" xfId="0" applyNumberFormat="1" applyFont="1" applyFill="1" applyBorder="1" applyAlignment="1">
      <alignment horizontal="center"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/>
    </xf>
    <xf numFmtId="3" fontId="1" fillId="0" borderId="70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 wrapText="1"/>
    </xf>
    <xf numFmtId="3" fontId="1" fillId="0" borderId="28" xfId="0" applyNumberFormat="1" applyFont="1" applyFill="1" applyBorder="1" applyAlignment="1">
      <alignment horizontal="center" vertical="center" wrapText="1"/>
    </xf>
    <xf numFmtId="3" fontId="1" fillId="0" borderId="28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" fillId="0" borderId="71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" fillId="0" borderId="66" xfId="0" applyNumberFormat="1" applyFont="1" applyFill="1" applyBorder="1" applyAlignment="1">
      <alignment horizontal="center"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/>
    </xf>
    <xf numFmtId="3" fontId="1" fillId="0" borderId="55" xfId="0" applyNumberFormat="1" applyFont="1" applyFill="1" applyBorder="1" applyAlignment="1">
      <alignment horizontal="center" vertical="center"/>
    </xf>
    <xf numFmtId="3" fontId="1" fillId="0" borderId="56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 shrinkToFit="1"/>
    </xf>
    <xf numFmtId="0" fontId="0" fillId="0" borderId="40" xfId="0" applyBorder="1" applyAlignment="1">
      <alignment horizontal="center" vertical="top" wrapText="1" shrinkToFit="1"/>
    </xf>
    <xf numFmtId="0" fontId="0" fillId="0" borderId="40" xfId="0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0" fillId="0" borderId="33" xfId="0" applyFill="1" applyBorder="1" applyAlignme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156883</xdr:colOff>
      <xdr:row>3</xdr:row>
      <xdr:rowOff>291353</xdr:rowOff>
    </xdr:from>
    <xdr:to>
      <xdr:col>7</xdr:col>
      <xdr:colOff>437030</xdr:colOff>
      <xdr:row>5</xdr:row>
      <xdr:rowOff>14615</xdr:rowOff>
    </xdr:to>
    <xdr:pic>
      <xdr:nvPicPr>
        <xdr:cNvPr id="3" name="Picture 1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4996120" y="1122292"/>
          <a:ext cx="305968" cy="280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6</xdr:col>
      <xdr:colOff>295275</xdr:colOff>
      <xdr:row>0</xdr:row>
      <xdr:rowOff>276398</xdr:rowOff>
    </xdr:to>
    <xdr:sp macro="[1]!값이있는행만출력하시오" textlink="">
      <xdr:nvSpPr>
        <xdr:cNvPr id="3" name="AutoShape 22"/>
        <xdr:cNvSpPr>
          <a:spLocks noChangeArrowheads="1"/>
        </xdr:cNvSpPr>
      </xdr:nvSpPr>
      <xdr:spPr bwMode="auto">
        <a:xfrm>
          <a:off x="3371850" y="11430"/>
          <a:ext cx="24003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0</xdr:row>
      <xdr:rowOff>0</xdr:rowOff>
    </xdr:from>
    <xdr:to>
      <xdr:col>9</xdr:col>
      <xdr:colOff>3403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383530" y="0"/>
          <a:ext cx="3554323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3</xdr:col>
      <xdr:colOff>1228725</xdr:colOff>
      <xdr:row>0</xdr:row>
      <xdr:rowOff>276398</xdr:rowOff>
    </xdr:to>
    <xdr:sp macro="[1]!값이있는행만출력하시오" textlink="">
      <xdr:nvSpPr>
        <xdr:cNvPr id="3" name="AutoShape 5"/>
        <xdr:cNvSpPr>
          <a:spLocks noChangeArrowheads="1"/>
        </xdr:cNvSpPr>
      </xdr:nvSpPr>
      <xdr:spPr bwMode="auto">
        <a:xfrm>
          <a:off x="37433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75</xdr:row>
      <xdr:rowOff>0</xdr:rowOff>
    </xdr:from>
    <xdr:to>
      <xdr:col>9</xdr:col>
      <xdr:colOff>2</xdr:colOff>
      <xdr:row>75</xdr:row>
      <xdr:rowOff>0</xdr:rowOff>
    </xdr:to>
    <xdr:sp macro="" textlink="">
      <xdr:nvSpPr>
        <xdr:cNvPr id="4" name="Rectangle 15"/>
        <xdr:cNvSpPr>
          <a:spLocks noChangeArrowheads="1"/>
        </xdr:cNvSpPr>
      </xdr:nvSpPr>
      <xdr:spPr bwMode="auto">
        <a:xfrm>
          <a:off x="1744980" y="1149667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T\Downloads\4.%20&#50724;&#45720;&#54624;&#51068;(7.09)\1.%20&#50629;&#47924;\8.%20&#50577;&#49885;\&#50577;&#49885;_&#50948;&#50500;%20&#54364;&#51456;&#44204;&#51201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양식_위아 표준견적서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6"/>
  <sheetViews>
    <sheetView showGridLines="0" tabSelected="1" topLeftCell="A13" zoomScale="130" zoomScaleNormal="130" workbookViewId="0">
      <selection activeCell="L24" sqref="L24"/>
    </sheetView>
  </sheetViews>
  <sheetFormatPr defaultRowHeight="13.5" x14ac:dyDescent="0.15"/>
  <cols>
    <col min="1" max="1" width="2" style="1" customWidth="1"/>
    <col min="2" max="2" width="4.875" style="1" customWidth="1"/>
    <col min="3" max="3" width="8.5" style="1" customWidth="1"/>
    <col min="4" max="4" width="14.75" style="1" customWidth="1"/>
    <col min="5" max="7" width="11.125" style="1" customWidth="1"/>
    <col min="8" max="8" width="12.25" style="1" customWidth="1"/>
    <col min="9" max="9" width="8.5" style="1" customWidth="1"/>
    <col min="10" max="10" width="1.375" style="1" customWidth="1"/>
    <col min="11" max="11" width="9" style="1"/>
    <col min="12" max="12" width="33.25" style="1" customWidth="1"/>
    <col min="13" max="16384" width="9" style="1"/>
  </cols>
  <sheetData>
    <row r="1" spans="2:10" x14ac:dyDescent="0.15">
      <c r="B1" s="1" t="s">
        <v>0</v>
      </c>
    </row>
    <row r="2" spans="2:10" ht="38.25" x14ac:dyDescent="0.15">
      <c r="B2" s="410" t="s">
        <v>1</v>
      </c>
      <c r="C2" s="410"/>
      <c r="D2" s="410"/>
      <c r="E2" s="410"/>
      <c r="F2" s="410"/>
      <c r="G2" s="410"/>
      <c r="H2" s="410"/>
      <c r="I2" s="410"/>
    </row>
    <row r="4" spans="2:10" s="6" customFormat="1" ht="24" customHeight="1" x14ac:dyDescent="0.15">
      <c r="B4" s="411" t="s">
        <v>2</v>
      </c>
      <c r="C4" s="411"/>
      <c r="D4" s="411"/>
      <c r="E4" s="2"/>
      <c r="F4" s="2"/>
      <c r="G4" s="3" t="s">
        <v>205</v>
      </c>
      <c r="H4" s="4"/>
      <c r="I4" s="5"/>
    </row>
    <row r="5" spans="2:10" s="6" customFormat="1" ht="21.75" customHeight="1" x14ac:dyDescent="0.15">
      <c r="B5" s="401" t="s">
        <v>3</v>
      </c>
      <c r="C5" s="402"/>
      <c r="D5" s="7">
        <v>45012</v>
      </c>
      <c r="E5" s="8"/>
      <c r="F5" s="2"/>
      <c r="G5" s="9" t="s">
        <v>206</v>
      </c>
      <c r="H5" s="10"/>
      <c r="I5" s="11"/>
    </row>
    <row r="6" spans="2:10" s="6" customFormat="1" ht="21.75" customHeight="1" x14ac:dyDescent="0.15">
      <c r="B6" s="401" t="s">
        <v>4</v>
      </c>
      <c r="C6" s="402"/>
      <c r="D6" s="12" t="s">
        <v>202</v>
      </c>
      <c r="E6" s="8"/>
      <c r="F6" s="2"/>
      <c r="G6" s="9" t="s">
        <v>207</v>
      </c>
      <c r="H6" s="13"/>
      <c r="I6" s="14"/>
      <c r="J6" s="1"/>
    </row>
    <row r="7" spans="2:10" s="6" customFormat="1" ht="21.75" customHeight="1" x14ac:dyDescent="0.15">
      <c r="B7" s="412" t="s">
        <v>5</v>
      </c>
      <c r="C7" s="15" t="s">
        <v>6</v>
      </c>
      <c r="D7" s="349" t="s">
        <v>330</v>
      </c>
      <c r="E7" s="8"/>
      <c r="F7" s="2"/>
      <c r="G7" s="17" t="s">
        <v>208</v>
      </c>
      <c r="H7" s="13"/>
      <c r="I7" s="14"/>
      <c r="J7" s="1"/>
    </row>
    <row r="8" spans="2:10" s="6" customFormat="1" ht="21.75" customHeight="1" x14ac:dyDescent="0.15">
      <c r="B8" s="412"/>
      <c r="C8" s="15" t="s">
        <v>7</v>
      </c>
      <c r="D8" s="16"/>
      <c r="E8" s="8"/>
      <c r="F8" s="2"/>
      <c r="G8" s="18" t="s">
        <v>209</v>
      </c>
      <c r="H8" s="13"/>
      <c r="I8" s="14"/>
      <c r="J8" s="1"/>
    </row>
    <row r="9" spans="2:10" s="6" customFormat="1" ht="21.75" customHeight="1" x14ac:dyDescent="0.15">
      <c r="B9" s="401" t="s">
        <v>8</v>
      </c>
      <c r="C9" s="402"/>
      <c r="D9" s="16" t="s">
        <v>9</v>
      </c>
      <c r="E9" s="8"/>
      <c r="F9" s="2"/>
      <c r="G9" s="9" t="s">
        <v>210</v>
      </c>
      <c r="H9" s="13"/>
      <c r="I9" s="14"/>
      <c r="J9" s="1"/>
    </row>
    <row r="10" spans="2:10" s="6" customFormat="1" ht="21.75" customHeight="1" x14ac:dyDescent="0.15">
      <c r="B10" s="401" t="s">
        <v>10</v>
      </c>
      <c r="C10" s="402"/>
      <c r="D10" s="349" t="s">
        <v>203</v>
      </c>
      <c r="E10" s="8"/>
      <c r="G10" s="18" t="s">
        <v>211</v>
      </c>
      <c r="H10" s="19"/>
      <c r="I10" s="20"/>
    </row>
    <row r="11" spans="2:10" s="6" customFormat="1" ht="21.75" customHeight="1" x14ac:dyDescent="0.15">
      <c r="B11" s="403" t="s">
        <v>11</v>
      </c>
      <c r="C11" s="402"/>
      <c r="D11" s="12" t="s">
        <v>204</v>
      </c>
      <c r="E11" s="8"/>
      <c r="G11" s="21" t="s">
        <v>329</v>
      </c>
      <c r="H11" s="22"/>
      <c r="I11" s="23"/>
    </row>
    <row r="12" spans="2:10" s="25" customFormat="1" ht="10.5" customHeight="1" x14ac:dyDescent="0.15">
      <c r="B12" s="24"/>
      <c r="I12" s="26"/>
    </row>
    <row r="13" spans="2:10" s="30" customFormat="1" ht="24.95" customHeight="1" x14ac:dyDescent="0.15">
      <c r="B13" s="27" t="s">
        <v>12</v>
      </c>
      <c r="C13" s="27"/>
      <c r="D13" s="28" t="s">
        <v>212</v>
      </c>
      <c r="E13" s="28"/>
      <c r="F13" s="28"/>
      <c r="G13" s="28"/>
      <c r="H13" s="29"/>
    </row>
    <row r="14" spans="2:10" s="30" customFormat="1" ht="24.95" customHeight="1" x14ac:dyDescent="0.15">
      <c r="B14" s="404" t="s">
        <v>13</v>
      </c>
      <c r="C14" s="405"/>
      <c r="D14" s="28" t="s">
        <v>326</v>
      </c>
      <c r="E14" s="28"/>
      <c r="F14" s="28"/>
      <c r="G14" s="28"/>
      <c r="H14" s="29"/>
    </row>
    <row r="15" spans="2:10" s="6" customFormat="1" ht="8.25" customHeight="1" x14ac:dyDescent="0.15"/>
    <row r="16" spans="2:10" s="31" customFormat="1" ht="24.95" customHeight="1" x14ac:dyDescent="0.15">
      <c r="B16" s="391" t="s">
        <v>14</v>
      </c>
      <c r="C16" s="406" t="s">
        <v>15</v>
      </c>
      <c r="D16" s="407"/>
      <c r="E16" s="397" t="s">
        <v>16</v>
      </c>
      <c r="F16" s="397"/>
      <c r="G16" s="397"/>
      <c r="H16" s="397"/>
      <c r="I16" s="391" t="s">
        <v>17</v>
      </c>
    </row>
    <row r="17" spans="1:10" s="31" customFormat="1" ht="29.25" customHeight="1" thickBot="1" x14ac:dyDescent="0.2">
      <c r="B17" s="392"/>
      <c r="C17" s="408"/>
      <c r="D17" s="409"/>
      <c r="E17" s="32" t="s">
        <v>18</v>
      </c>
      <c r="F17" s="350" t="s">
        <v>213</v>
      </c>
      <c r="G17" s="33" t="s">
        <v>19</v>
      </c>
      <c r="H17" s="34" t="s">
        <v>20</v>
      </c>
      <c r="I17" s="392"/>
    </row>
    <row r="18" spans="1:10" s="35" customFormat="1" ht="24.95" customHeight="1" x14ac:dyDescent="0.15">
      <c r="B18" s="36">
        <v>1</v>
      </c>
      <c r="C18" s="393" t="s">
        <v>320</v>
      </c>
      <c r="D18" s="394"/>
      <c r="E18" s="37">
        <f>IF('단위공사별(집계)'!N7&gt;1,('단위공사별(집계)'!D7+'단위공사별(집계)'!E7+'단위공사별(집계)'!F7+'단위공사별(집계)'!G7+'단위공사별(집계)'!H7+'단위공사별(집계)'!I7)/1000," ")</f>
        <v>253750</v>
      </c>
      <c r="F18" s="38">
        <f>IF('단위공사별(집계)'!N7&gt;0,'단위공사별(집계)'!K17/1000,"")</f>
        <v>57450</v>
      </c>
      <c r="G18" s="38">
        <f>IF('단위공사별(집계)'!N7&gt;0,('단위공사별(집계)'!L7+'단위공사별(집계)'!M7)/1000,"")</f>
        <v>27800</v>
      </c>
      <c r="H18" s="39">
        <f>IF('단위공사별(집계)'!N7&gt;0,'단위공사별(집계)'!N7/1000,"")</f>
        <v>339000</v>
      </c>
      <c r="I18" s="40"/>
    </row>
    <row r="19" spans="1:10" s="35" customFormat="1" ht="24.95" customHeight="1" x14ac:dyDescent="0.15">
      <c r="B19" s="41">
        <v>2</v>
      </c>
      <c r="C19" s="395" t="s">
        <v>321</v>
      </c>
      <c r="D19" s="396"/>
      <c r="E19" s="42">
        <v>0</v>
      </c>
      <c r="F19" s="485">
        <v>0</v>
      </c>
      <c r="G19" s="43">
        <v>0</v>
      </c>
      <c r="H19" s="44">
        <f>SUM(E19:G19)</f>
        <v>0</v>
      </c>
      <c r="I19" s="45"/>
    </row>
    <row r="20" spans="1:10" s="35" customFormat="1" ht="24.95" customHeight="1" x14ac:dyDescent="0.15">
      <c r="B20" s="41">
        <v>3</v>
      </c>
      <c r="C20" s="395" t="s">
        <v>327</v>
      </c>
      <c r="D20" s="396"/>
      <c r="E20" s="42">
        <v>6000</v>
      </c>
      <c r="F20" s="485">
        <v>6000</v>
      </c>
      <c r="G20" s="43">
        <v>0</v>
      </c>
      <c r="H20" s="44">
        <f>SUM(E20:G20)</f>
        <v>12000</v>
      </c>
      <c r="I20" s="45"/>
    </row>
    <row r="21" spans="1:10" s="35" customFormat="1" ht="24.95" customHeight="1" x14ac:dyDescent="0.15">
      <c r="B21" s="41">
        <v>4</v>
      </c>
      <c r="C21" s="395" t="s">
        <v>322</v>
      </c>
      <c r="D21" s="396"/>
      <c r="E21" s="42">
        <v>4500</v>
      </c>
      <c r="F21" s="485">
        <v>4500</v>
      </c>
      <c r="G21" s="43">
        <v>0</v>
      </c>
      <c r="H21" s="44">
        <f>SUM(E21:G21)</f>
        <v>9000</v>
      </c>
      <c r="I21" s="45"/>
    </row>
    <row r="22" spans="1:10" s="35" customFormat="1" ht="24.95" customHeight="1" x14ac:dyDescent="0.15">
      <c r="B22" s="41">
        <v>5</v>
      </c>
      <c r="C22" s="395" t="s">
        <v>328</v>
      </c>
      <c r="D22" s="396"/>
      <c r="E22" s="42"/>
      <c r="F22" s="485"/>
      <c r="G22" s="43"/>
      <c r="H22" s="44"/>
      <c r="I22" s="45"/>
    </row>
    <row r="23" spans="1:10" s="35" customFormat="1" ht="24.95" customHeight="1" x14ac:dyDescent="0.15">
      <c r="B23" s="41">
        <v>6</v>
      </c>
      <c r="C23" s="398"/>
      <c r="D23" s="396"/>
      <c r="E23" s="42"/>
      <c r="F23" s="485"/>
      <c r="G23" s="43"/>
      <c r="H23" s="44"/>
      <c r="I23" s="45"/>
    </row>
    <row r="24" spans="1:10" s="35" customFormat="1" ht="24.95" customHeight="1" x14ac:dyDescent="0.15">
      <c r="B24" s="41">
        <v>7</v>
      </c>
      <c r="C24" s="398"/>
      <c r="D24" s="396"/>
      <c r="E24" s="42"/>
      <c r="F24" s="485"/>
      <c r="G24" s="43"/>
      <c r="H24" s="44"/>
      <c r="I24" s="45"/>
    </row>
    <row r="25" spans="1:10" s="35" customFormat="1" ht="24.95" customHeight="1" x14ac:dyDescent="0.15">
      <c r="B25" s="46">
        <v>8</v>
      </c>
      <c r="C25" s="398"/>
      <c r="D25" s="396"/>
      <c r="E25" s="42"/>
      <c r="F25" s="485"/>
      <c r="G25" s="43"/>
      <c r="H25" s="44"/>
      <c r="I25" s="45"/>
    </row>
    <row r="26" spans="1:10" s="35" customFormat="1" ht="24.95" customHeight="1" x14ac:dyDescent="0.15">
      <c r="B26" s="46">
        <v>9</v>
      </c>
      <c r="C26" s="398"/>
      <c r="D26" s="396"/>
      <c r="E26" s="42"/>
      <c r="F26" s="485"/>
      <c r="G26" s="43"/>
      <c r="H26" s="44"/>
      <c r="I26" s="45"/>
    </row>
    <row r="27" spans="1:10" s="35" customFormat="1" ht="24.95" customHeight="1" x14ac:dyDescent="0.15">
      <c r="B27" s="47">
        <v>10</v>
      </c>
      <c r="C27" s="399"/>
      <c r="D27" s="400"/>
      <c r="E27" s="48"/>
      <c r="F27" s="486"/>
      <c r="G27" s="49"/>
      <c r="H27" s="50"/>
      <c r="I27" s="51"/>
    </row>
    <row r="28" spans="1:10" ht="24.95" customHeight="1" x14ac:dyDescent="0.15">
      <c r="B28" s="388" t="s">
        <v>21</v>
      </c>
      <c r="C28" s="389"/>
      <c r="D28" s="390"/>
      <c r="E28" s="52">
        <f>SUM(E18:E27)</f>
        <v>264250</v>
      </c>
      <c r="F28" s="53">
        <f>SUM(F18:F24)</f>
        <v>67950</v>
      </c>
      <c r="G28" s="53">
        <f>SUM(G18:G24)</f>
        <v>27800</v>
      </c>
      <c r="H28" s="54">
        <f>SUM(H18:H27)</f>
        <v>360000</v>
      </c>
      <c r="I28" s="55"/>
      <c r="J28" s="56"/>
    </row>
    <row r="29" spans="1:10" ht="4.5" customHeight="1" x14ac:dyDescent="0.15">
      <c r="A29" s="57"/>
      <c r="B29" s="58"/>
      <c r="C29" s="59"/>
      <c r="D29" s="59"/>
      <c r="E29" s="60"/>
      <c r="F29" s="60"/>
      <c r="G29" s="60"/>
      <c r="H29" s="60"/>
      <c r="I29" s="57"/>
    </row>
    <row r="30" spans="1:10" ht="24" customHeight="1" x14ac:dyDescent="0.15">
      <c r="A30" s="57"/>
      <c r="B30" s="59"/>
      <c r="C30" s="59"/>
      <c r="D30" s="59"/>
      <c r="E30" s="60"/>
      <c r="F30" s="362" t="s">
        <v>22</v>
      </c>
      <c r="G30" s="363"/>
      <c r="H30" s="61"/>
      <c r="I30" s="57"/>
    </row>
    <row r="31" spans="1:10" ht="15" customHeight="1" x14ac:dyDescent="0.15">
      <c r="A31" s="57"/>
      <c r="B31" s="59"/>
      <c r="C31" s="59"/>
      <c r="D31" s="59"/>
      <c r="E31" s="60"/>
      <c r="F31" s="60"/>
      <c r="G31" s="60"/>
      <c r="H31" s="60"/>
      <c r="I31" s="57"/>
    </row>
    <row r="32" spans="1:10" ht="22.5" customHeight="1" x14ac:dyDescent="0.15">
      <c r="B32" s="364" t="s">
        <v>23</v>
      </c>
      <c r="C32" s="367" t="s">
        <v>24</v>
      </c>
      <c r="D32" s="368"/>
      <c r="E32" s="369"/>
      <c r="F32" s="370" t="s">
        <v>25</v>
      </c>
      <c r="G32" s="371"/>
      <c r="H32" s="371"/>
      <c r="I32" s="372"/>
    </row>
    <row r="33" spans="2:9" ht="22.5" customHeight="1" x14ac:dyDescent="0.15">
      <c r="B33" s="365"/>
      <c r="C33" s="373" t="s">
        <v>26</v>
      </c>
      <c r="D33" s="374"/>
      <c r="E33" s="375"/>
      <c r="F33" s="62" t="s">
        <v>27</v>
      </c>
      <c r="G33" s="376"/>
      <c r="H33" s="377"/>
      <c r="I33" s="378"/>
    </row>
    <row r="34" spans="2:9" ht="22.5" customHeight="1" x14ac:dyDescent="0.15">
      <c r="B34" s="365"/>
      <c r="C34" s="379"/>
      <c r="D34" s="380"/>
      <c r="E34" s="381"/>
      <c r="F34" s="63" t="s">
        <v>28</v>
      </c>
      <c r="G34" s="382"/>
      <c r="H34" s="383"/>
      <c r="I34" s="384"/>
    </row>
    <row r="35" spans="2:9" ht="22.5" customHeight="1" x14ac:dyDescent="0.15">
      <c r="B35" s="365"/>
      <c r="C35" s="385"/>
      <c r="D35" s="386"/>
      <c r="E35" s="387"/>
      <c r="F35" s="63" t="s">
        <v>29</v>
      </c>
      <c r="G35" s="382"/>
      <c r="H35" s="383"/>
      <c r="I35" s="384"/>
    </row>
    <row r="36" spans="2:9" ht="22.5" customHeight="1" x14ac:dyDescent="0.15">
      <c r="B36" s="366"/>
      <c r="C36" s="356"/>
      <c r="D36" s="357"/>
      <c r="E36" s="358"/>
      <c r="F36" s="64" t="s">
        <v>30</v>
      </c>
      <c r="G36" s="359"/>
      <c r="H36" s="360"/>
      <c r="I36" s="361"/>
    </row>
  </sheetData>
  <mergeCells count="36">
    <mergeCell ref="B9:C9"/>
    <mergeCell ref="B2:I2"/>
    <mergeCell ref="B4:D4"/>
    <mergeCell ref="B5:C5"/>
    <mergeCell ref="B6:C6"/>
    <mergeCell ref="B7:B8"/>
    <mergeCell ref="B10:C10"/>
    <mergeCell ref="B11:C11"/>
    <mergeCell ref="B14:C14"/>
    <mergeCell ref="B16:B17"/>
    <mergeCell ref="C16:D17"/>
    <mergeCell ref="B28:D28"/>
    <mergeCell ref="I16:I17"/>
    <mergeCell ref="C18:D18"/>
    <mergeCell ref="C19:D19"/>
    <mergeCell ref="C20:D20"/>
    <mergeCell ref="C21:D21"/>
    <mergeCell ref="C22:D22"/>
    <mergeCell ref="E16:H16"/>
    <mergeCell ref="C23:D23"/>
    <mergeCell ref="C24:D24"/>
    <mergeCell ref="C25:D25"/>
    <mergeCell ref="C26:D26"/>
    <mergeCell ref="C27:D27"/>
    <mergeCell ref="C36:E36"/>
    <mergeCell ref="G36:I36"/>
    <mergeCell ref="F30:G30"/>
    <mergeCell ref="B32:B36"/>
    <mergeCell ref="C32:E32"/>
    <mergeCell ref="F32:I32"/>
    <mergeCell ref="C33:E33"/>
    <mergeCell ref="G33:I33"/>
    <mergeCell ref="C34:E34"/>
    <mergeCell ref="G34:I34"/>
    <mergeCell ref="C35:E35"/>
    <mergeCell ref="G35:I35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6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K49"/>
  <sheetViews>
    <sheetView showGridLines="0" zoomScale="115" zoomScaleNormal="115" workbookViewId="0">
      <pane ySplit="6" topLeftCell="A37" activePane="bottomLeft" state="frozen"/>
      <selection activeCell="L14" sqref="L14"/>
      <selection pane="bottomLeft" activeCell="I40" sqref="I40"/>
    </sheetView>
  </sheetViews>
  <sheetFormatPr defaultRowHeight="19.5" customHeight="1" x14ac:dyDescent="0.15"/>
  <cols>
    <col min="1" max="1" width="0.5" style="74" customWidth="1"/>
    <col min="2" max="2" width="5.25" style="74" bestFit="1" customWidth="1"/>
    <col min="3" max="3" width="7.375" style="74" customWidth="1"/>
    <col min="4" max="4" width="8.875" style="74" customWidth="1"/>
    <col min="5" max="5" width="17.75" style="74" customWidth="1"/>
    <col min="6" max="6" width="6.375" style="76" customWidth="1"/>
    <col min="7" max="7" width="8.875" style="77" customWidth="1"/>
    <col min="8" max="8" width="9.75" style="78" customWidth="1"/>
    <col min="9" max="9" width="17.5" style="78" bestFit="1" customWidth="1"/>
    <col min="10" max="10" width="15.625" style="74" customWidth="1"/>
    <col min="11" max="11" width="13.75" style="79" bestFit="1" customWidth="1"/>
    <col min="12" max="16384" width="9" style="74"/>
  </cols>
  <sheetData>
    <row r="2" spans="2:11" s="72" customFormat="1" ht="26.25" customHeight="1" x14ac:dyDescent="0.15">
      <c r="B2" s="65"/>
      <c r="C2" s="66" t="s">
        <v>31</v>
      </c>
      <c r="D2" s="67"/>
      <c r="E2" s="67"/>
      <c r="F2" s="68"/>
      <c r="G2" s="69"/>
      <c r="H2" s="70"/>
      <c r="I2" s="70"/>
      <c r="J2" s="67"/>
      <c r="K2" s="71"/>
    </row>
    <row r="3" spans="2:11" s="72" customFormat="1" ht="19.5" customHeight="1" x14ac:dyDescent="0.15">
      <c r="B3" s="65"/>
      <c r="C3" s="66"/>
      <c r="D3" s="67"/>
      <c r="E3" s="67"/>
      <c r="F3" s="68"/>
      <c r="G3" s="69"/>
      <c r="H3" s="70"/>
      <c r="I3" s="70"/>
      <c r="J3" s="67"/>
      <c r="K3" s="71"/>
    </row>
    <row r="4" spans="2:11" ht="30" customHeight="1" x14ac:dyDescent="0.15">
      <c r="B4" s="73" t="s">
        <v>32</v>
      </c>
      <c r="D4" s="75"/>
      <c r="J4" s="76"/>
    </row>
    <row r="5" spans="2:11" s="76" customFormat="1" ht="8.25" customHeight="1" x14ac:dyDescent="0.15">
      <c r="B5" s="80"/>
      <c r="C5" s="466"/>
      <c r="D5" s="467"/>
      <c r="E5" s="468"/>
      <c r="F5" s="81"/>
      <c r="G5" s="82"/>
      <c r="H5" s="82"/>
      <c r="I5" s="82"/>
      <c r="J5" s="83"/>
      <c r="K5" s="84"/>
    </row>
    <row r="6" spans="2:11" s="76" customFormat="1" ht="22.5" customHeight="1" thickBot="1" x14ac:dyDescent="0.2">
      <c r="B6" s="85" t="s">
        <v>33</v>
      </c>
      <c r="C6" s="469" t="s">
        <v>34</v>
      </c>
      <c r="D6" s="470"/>
      <c r="E6" s="471"/>
      <c r="F6" s="86" t="s">
        <v>35</v>
      </c>
      <c r="G6" s="87" t="s">
        <v>36</v>
      </c>
      <c r="H6" s="87" t="s">
        <v>37</v>
      </c>
      <c r="I6" s="87" t="s">
        <v>38</v>
      </c>
      <c r="J6" s="88" t="s">
        <v>39</v>
      </c>
      <c r="K6" s="84"/>
    </row>
    <row r="7" spans="2:11" ht="19.5" customHeight="1" thickTop="1" x14ac:dyDescent="0.15">
      <c r="B7" s="456">
        <v>1</v>
      </c>
      <c r="C7" s="472" t="s">
        <v>40</v>
      </c>
      <c r="D7" s="461" t="s">
        <v>41</v>
      </c>
      <c r="E7" s="89" t="s">
        <v>42</v>
      </c>
      <c r="F7" s="90" t="s">
        <v>43</v>
      </c>
      <c r="G7" s="91">
        <v>1</v>
      </c>
      <c r="H7" s="92"/>
      <c r="I7" s="92">
        <f>세척기!H40</f>
        <v>107300000</v>
      </c>
      <c r="J7" s="93"/>
    </row>
    <row r="8" spans="2:11" ht="19.5" customHeight="1" x14ac:dyDescent="0.15">
      <c r="B8" s="456"/>
      <c r="C8" s="461"/>
      <c r="D8" s="461"/>
      <c r="E8" s="94" t="s">
        <v>44</v>
      </c>
      <c r="F8" s="95" t="s">
        <v>45</v>
      </c>
      <c r="G8" s="96">
        <v>1</v>
      </c>
      <c r="H8" s="97"/>
      <c r="I8" s="97">
        <f>세척기!H64</f>
        <v>61200000</v>
      </c>
      <c r="J8" s="98"/>
    </row>
    <row r="9" spans="2:11" ht="19.5" customHeight="1" x14ac:dyDescent="0.15">
      <c r="B9" s="456"/>
      <c r="C9" s="461"/>
      <c r="D9" s="461"/>
      <c r="E9" s="94" t="s">
        <v>46</v>
      </c>
      <c r="F9" s="95" t="s">
        <v>47</v>
      </c>
      <c r="G9" s="99">
        <v>1</v>
      </c>
      <c r="H9" s="97"/>
      <c r="I9" s="97">
        <f>세척기!H75</f>
        <v>2500000</v>
      </c>
      <c r="J9" s="98"/>
    </row>
    <row r="10" spans="2:11" ht="19.5" customHeight="1" x14ac:dyDescent="0.15">
      <c r="B10" s="456"/>
      <c r="C10" s="461"/>
      <c r="D10" s="461"/>
      <c r="E10" s="100" t="s">
        <v>48</v>
      </c>
      <c r="F10" s="95" t="s">
        <v>49</v>
      </c>
      <c r="G10" s="99">
        <v>1</v>
      </c>
      <c r="H10" s="97"/>
      <c r="I10" s="101">
        <f>세척기!H46</f>
        <v>0</v>
      </c>
      <c r="J10" s="102"/>
    </row>
    <row r="11" spans="2:11" ht="19.5" customHeight="1" x14ac:dyDescent="0.15">
      <c r="B11" s="456"/>
      <c r="C11" s="461"/>
      <c r="D11" s="431"/>
      <c r="E11" s="103" t="s">
        <v>50</v>
      </c>
      <c r="F11" s="437"/>
      <c r="G11" s="438"/>
      <c r="H11" s="439"/>
      <c r="I11" s="104">
        <f>SUM(I7:I10)</f>
        <v>171000000</v>
      </c>
      <c r="J11" s="98"/>
    </row>
    <row r="12" spans="2:11" ht="19.5" customHeight="1" x14ac:dyDescent="0.15">
      <c r="B12" s="456"/>
      <c r="C12" s="461"/>
      <c r="D12" s="465" t="s">
        <v>51</v>
      </c>
      <c r="E12" s="94" t="s">
        <v>52</v>
      </c>
      <c r="F12" s="95" t="s">
        <v>53</v>
      </c>
      <c r="G12" s="97">
        <f>세척기!F77</f>
        <v>0</v>
      </c>
      <c r="H12" s="97" t="str">
        <f>IF(세척기!G77&gt;0,세척기!G77,"")</f>
        <v/>
      </c>
      <c r="I12" s="97">
        <f>세척기!H77</f>
        <v>0</v>
      </c>
      <c r="J12" s="98"/>
    </row>
    <row r="13" spans="2:11" ht="19.5" customHeight="1" x14ac:dyDescent="0.15">
      <c r="B13" s="456"/>
      <c r="C13" s="461"/>
      <c r="D13" s="461"/>
      <c r="E13" s="94" t="s">
        <v>54</v>
      </c>
      <c r="F13" s="95" t="s">
        <v>53</v>
      </c>
      <c r="G13" s="97">
        <f>세척기!F78</f>
        <v>50</v>
      </c>
      <c r="H13" s="97">
        <f>IF(세척기!G78&gt;0,세척기!G78,"")</f>
        <v>300000</v>
      </c>
      <c r="I13" s="97">
        <f>세척기!H78</f>
        <v>15000000</v>
      </c>
      <c r="J13" s="98"/>
    </row>
    <row r="14" spans="2:11" ht="19.5" customHeight="1" x14ac:dyDescent="0.15">
      <c r="B14" s="456"/>
      <c r="C14" s="461"/>
      <c r="D14" s="461"/>
      <c r="E14" s="94" t="s">
        <v>55</v>
      </c>
      <c r="F14" s="95" t="s">
        <v>53</v>
      </c>
      <c r="G14" s="97">
        <f>세척기!F79</f>
        <v>0</v>
      </c>
      <c r="H14" s="97" t="str">
        <f>IF(세척기!G79&gt;0,세척기!G79,"")</f>
        <v/>
      </c>
      <c r="I14" s="97">
        <f>세척기!H79</f>
        <v>0</v>
      </c>
      <c r="J14" s="98"/>
    </row>
    <row r="15" spans="2:11" ht="19.5" customHeight="1" x14ac:dyDescent="0.15">
      <c r="B15" s="456"/>
      <c r="C15" s="461"/>
      <c r="D15" s="461"/>
      <c r="E15" s="94" t="s">
        <v>56</v>
      </c>
      <c r="F15" s="95" t="s">
        <v>53</v>
      </c>
      <c r="G15" s="97">
        <f>세척기!F80</f>
        <v>125</v>
      </c>
      <c r="H15" s="97">
        <f>IF(세척기!G80&gt;0,세척기!G80,"")</f>
        <v>300000</v>
      </c>
      <c r="I15" s="97">
        <f>세척기!H80</f>
        <v>37500000</v>
      </c>
      <c r="J15" s="98"/>
    </row>
    <row r="16" spans="2:11" ht="19.5" customHeight="1" x14ac:dyDescent="0.15">
      <c r="B16" s="456"/>
      <c r="C16" s="461"/>
      <c r="D16" s="461"/>
      <c r="E16" s="94" t="s">
        <v>57</v>
      </c>
      <c r="F16" s="95" t="s">
        <v>53</v>
      </c>
      <c r="G16" s="97">
        <f>세척기!F81</f>
        <v>3</v>
      </c>
      <c r="H16" s="97">
        <f>IF(세척기!G81&gt;0,세척기!G81,"")</f>
        <v>450000</v>
      </c>
      <c r="I16" s="97">
        <f>세척기!H81</f>
        <v>1350000</v>
      </c>
      <c r="J16" s="98"/>
    </row>
    <row r="17" spans="2:10" ht="19.5" customHeight="1" x14ac:dyDescent="0.15">
      <c r="B17" s="456"/>
      <c r="C17" s="461"/>
      <c r="D17" s="461"/>
      <c r="E17" s="94" t="s">
        <v>58</v>
      </c>
      <c r="F17" s="95" t="s">
        <v>53</v>
      </c>
      <c r="G17" s="97">
        <f>세척기!F82</f>
        <v>15</v>
      </c>
      <c r="H17" s="97">
        <f>IF(세척기!G82&gt;0,세척기!G82,"")</f>
        <v>450000</v>
      </c>
      <c r="I17" s="97">
        <f>세척기!H82</f>
        <v>6750000</v>
      </c>
      <c r="J17" s="98"/>
    </row>
    <row r="18" spans="2:10" ht="19.5" customHeight="1" x14ac:dyDescent="0.15">
      <c r="B18" s="456"/>
      <c r="C18" s="461"/>
      <c r="D18" s="461"/>
      <c r="E18" s="94" t="s">
        <v>59</v>
      </c>
      <c r="F18" s="95" t="s">
        <v>53</v>
      </c>
      <c r="G18" s="97">
        <f>세척기!F83</f>
        <v>7</v>
      </c>
      <c r="H18" s="97">
        <f>IF(세척기!G83&gt;0,세척기!G83,"")</f>
        <v>450000</v>
      </c>
      <c r="I18" s="97">
        <f>세척기!H83</f>
        <v>3150000</v>
      </c>
      <c r="J18" s="98"/>
    </row>
    <row r="19" spans="2:10" ht="19.5" customHeight="1" x14ac:dyDescent="0.15">
      <c r="B19" s="456"/>
      <c r="C19" s="461"/>
      <c r="D19" s="461"/>
      <c r="E19" s="94" t="s">
        <v>60</v>
      </c>
      <c r="F19" s="95" t="s">
        <v>53</v>
      </c>
      <c r="G19" s="97">
        <f>세척기!F84</f>
        <v>1</v>
      </c>
      <c r="H19" s="97">
        <f>IF(세척기!G84&gt;0,세척기!G84,"")</f>
        <v>3000000</v>
      </c>
      <c r="I19" s="97">
        <f>세척기!H84</f>
        <v>3000000</v>
      </c>
      <c r="J19" s="98"/>
    </row>
    <row r="20" spans="2:10" ht="19.5" customHeight="1" x14ac:dyDescent="0.15">
      <c r="B20" s="456"/>
      <c r="C20" s="461"/>
      <c r="D20" s="431"/>
      <c r="E20" s="103" t="s">
        <v>50</v>
      </c>
      <c r="F20" s="437"/>
      <c r="G20" s="438"/>
      <c r="H20" s="439"/>
      <c r="I20" s="104">
        <f>SUM(I12:I19)</f>
        <v>66750000</v>
      </c>
      <c r="J20" s="98"/>
    </row>
    <row r="21" spans="2:10" ht="19.5" customHeight="1" x14ac:dyDescent="0.15">
      <c r="B21" s="456"/>
      <c r="C21" s="461"/>
      <c r="D21" s="105" t="s">
        <v>61</v>
      </c>
      <c r="E21" s="106"/>
      <c r="F21" s="437"/>
      <c r="G21" s="438"/>
      <c r="H21" s="439"/>
      <c r="I21" s="107">
        <f>세척기!H87+세척기!H88</f>
        <v>27800000</v>
      </c>
      <c r="J21" s="108"/>
    </row>
    <row r="22" spans="2:10" ht="19.5" customHeight="1" x14ac:dyDescent="0.15">
      <c r="B22" s="457"/>
      <c r="C22" s="462"/>
      <c r="D22" s="109"/>
      <c r="E22" s="110" t="s">
        <v>62</v>
      </c>
      <c r="F22" s="413"/>
      <c r="G22" s="414"/>
      <c r="H22" s="415"/>
      <c r="I22" s="111">
        <f>I20+I11+I21</f>
        <v>265550000</v>
      </c>
      <c r="J22" s="112"/>
    </row>
    <row r="23" spans="2:10" ht="19.5" customHeight="1" x14ac:dyDescent="0.15">
      <c r="B23" s="455">
        <v>2</v>
      </c>
      <c r="C23" s="458" t="s">
        <v>63</v>
      </c>
      <c r="D23" s="463" t="s">
        <v>64</v>
      </c>
      <c r="E23" s="113" t="s">
        <v>65</v>
      </c>
      <c r="F23" s="114" t="s">
        <v>49</v>
      </c>
      <c r="G23" s="115">
        <v>1</v>
      </c>
      <c r="H23" s="115"/>
      <c r="I23" s="115">
        <f>전기!H54-I24</f>
        <v>26900000</v>
      </c>
      <c r="J23" s="116"/>
    </row>
    <row r="24" spans="2:10" ht="19.5" customHeight="1" x14ac:dyDescent="0.15">
      <c r="B24" s="456"/>
      <c r="C24" s="459"/>
      <c r="D24" s="464"/>
      <c r="E24" s="100" t="s">
        <v>66</v>
      </c>
      <c r="F24" s="90" t="s">
        <v>45</v>
      </c>
      <c r="G24" s="92">
        <v>1</v>
      </c>
      <c r="H24" s="92"/>
      <c r="I24" s="117">
        <f>전기!H16</f>
        <v>0</v>
      </c>
      <c r="J24" s="102" t="s">
        <v>67</v>
      </c>
    </row>
    <row r="25" spans="2:10" ht="19.5" customHeight="1" x14ac:dyDescent="0.15">
      <c r="B25" s="456"/>
      <c r="C25" s="460"/>
      <c r="D25" s="465" t="s">
        <v>51</v>
      </c>
      <c r="E25" s="94" t="s">
        <v>68</v>
      </c>
      <c r="F25" s="95" t="s">
        <v>53</v>
      </c>
      <c r="G25" s="97">
        <f>전기!F55</f>
        <v>0</v>
      </c>
      <c r="H25" s="97" t="str">
        <f>IF(전기!G55&gt;0,전기!G55,"")</f>
        <v/>
      </c>
      <c r="I25" s="97">
        <f>전기!H55</f>
        <v>0</v>
      </c>
      <c r="J25" s="98"/>
    </row>
    <row r="26" spans="2:10" ht="19.5" customHeight="1" x14ac:dyDescent="0.15">
      <c r="B26" s="456"/>
      <c r="C26" s="460"/>
      <c r="D26" s="461"/>
      <c r="E26" s="94" t="s">
        <v>69</v>
      </c>
      <c r="F26" s="95" t="s">
        <v>70</v>
      </c>
      <c r="G26" s="97">
        <f>전기!F56</f>
        <v>10</v>
      </c>
      <c r="H26" s="97">
        <f>IF(전기!G56&gt;0,전기!G56,"")</f>
        <v>300000</v>
      </c>
      <c r="I26" s="97">
        <f>전기!H56</f>
        <v>3000000</v>
      </c>
      <c r="J26" s="98"/>
    </row>
    <row r="27" spans="2:10" ht="19.5" customHeight="1" x14ac:dyDescent="0.15">
      <c r="B27" s="456"/>
      <c r="C27" s="460"/>
      <c r="D27" s="461"/>
      <c r="E27" s="94" t="s">
        <v>71</v>
      </c>
      <c r="F27" s="95" t="s">
        <v>72</v>
      </c>
      <c r="G27" s="97">
        <f>전기!F57</f>
        <v>10</v>
      </c>
      <c r="H27" s="97">
        <f>IF(전기!G57&gt;0,전기!G57,"")</f>
        <v>300000</v>
      </c>
      <c r="I27" s="97">
        <f>전기!H57</f>
        <v>3000000</v>
      </c>
      <c r="J27" s="98"/>
    </row>
    <row r="28" spans="2:10" ht="19.5" customHeight="1" x14ac:dyDescent="0.15">
      <c r="B28" s="456"/>
      <c r="C28" s="460"/>
      <c r="D28" s="461"/>
      <c r="E28" s="94" t="s">
        <v>56</v>
      </c>
      <c r="F28" s="95" t="s">
        <v>53</v>
      </c>
      <c r="G28" s="97">
        <f>전기!F58</f>
        <v>35</v>
      </c>
      <c r="H28" s="97">
        <f>IF(전기!G58&gt;0,전기!G58,"")</f>
        <v>300000</v>
      </c>
      <c r="I28" s="97">
        <f>전기!H58</f>
        <v>10500000</v>
      </c>
      <c r="J28" s="98"/>
    </row>
    <row r="29" spans="2:10" ht="19.5" customHeight="1" x14ac:dyDescent="0.15">
      <c r="B29" s="456"/>
      <c r="C29" s="460"/>
      <c r="D29" s="461"/>
      <c r="E29" s="94" t="s">
        <v>73</v>
      </c>
      <c r="F29" s="95" t="s">
        <v>74</v>
      </c>
      <c r="G29" s="97">
        <f>전기!F59</f>
        <v>0</v>
      </c>
      <c r="H29" s="97">
        <f>IF(전기!G59&gt;0,전기!G59,"")</f>
        <v>300000</v>
      </c>
      <c r="I29" s="97">
        <f>전기!H59</f>
        <v>0</v>
      </c>
      <c r="J29" s="98"/>
    </row>
    <row r="30" spans="2:10" ht="19.5" customHeight="1" x14ac:dyDescent="0.15">
      <c r="B30" s="456"/>
      <c r="C30" s="460"/>
      <c r="D30" s="461"/>
      <c r="E30" s="94" t="s">
        <v>75</v>
      </c>
      <c r="F30" s="95" t="s">
        <v>76</v>
      </c>
      <c r="G30" s="97">
        <f>전기!F60</f>
        <v>18</v>
      </c>
      <c r="H30" s="97">
        <f>IF(전기!G60&gt;0,전기!G60,"")</f>
        <v>450000</v>
      </c>
      <c r="I30" s="97">
        <f>전기!H60</f>
        <v>8100000</v>
      </c>
      <c r="J30" s="98"/>
    </row>
    <row r="31" spans="2:10" ht="19.5" customHeight="1" x14ac:dyDescent="0.15">
      <c r="B31" s="456"/>
      <c r="C31" s="460"/>
      <c r="D31" s="461"/>
      <c r="E31" s="94" t="s">
        <v>59</v>
      </c>
      <c r="F31" s="95" t="s">
        <v>53</v>
      </c>
      <c r="G31" s="97">
        <f>전기!F61</f>
        <v>7</v>
      </c>
      <c r="H31" s="97">
        <f>IF(전기!G61&gt;0,전기!G61,"")</f>
        <v>450000</v>
      </c>
      <c r="I31" s="97">
        <f>전기!H61</f>
        <v>3150000</v>
      </c>
      <c r="J31" s="98"/>
    </row>
    <row r="32" spans="2:10" ht="19.5" customHeight="1" x14ac:dyDescent="0.15">
      <c r="B32" s="456"/>
      <c r="C32" s="460"/>
      <c r="D32" s="431"/>
      <c r="E32" s="103" t="s">
        <v>77</v>
      </c>
      <c r="F32" s="437"/>
      <c r="G32" s="438"/>
      <c r="H32" s="439"/>
      <c r="I32" s="104">
        <f>SUM(I25:I31)</f>
        <v>27750000</v>
      </c>
      <c r="J32" s="98"/>
    </row>
    <row r="33" spans="2:11" ht="19.5" customHeight="1" x14ac:dyDescent="0.15">
      <c r="B33" s="456"/>
      <c r="C33" s="461"/>
      <c r="D33" s="105" t="s">
        <v>61</v>
      </c>
      <c r="E33" s="106"/>
      <c r="F33" s="437"/>
      <c r="G33" s="438"/>
      <c r="H33" s="439"/>
      <c r="I33" s="107">
        <f>전기!H64+전기!H65</f>
        <v>2800000</v>
      </c>
      <c r="J33" s="108"/>
    </row>
    <row r="34" spans="2:11" ht="19.5" customHeight="1" x14ac:dyDescent="0.15">
      <c r="B34" s="457"/>
      <c r="C34" s="462"/>
      <c r="D34" s="109"/>
      <c r="E34" s="110" t="s">
        <v>78</v>
      </c>
      <c r="F34" s="413"/>
      <c r="G34" s="414"/>
      <c r="H34" s="415"/>
      <c r="I34" s="111">
        <f>I32+I23+I33+I24</f>
        <v>57450000</v>
      </c>
      <c r="J34" s="112"/>
    </row>
    <row r="35" spans="2:11" ht="19.5" customHeight="1" x14ac:dyDescent="0.15">
      <c r="B35" s="446">
        <v>3</v>
      </c>
      <c r="C35" s="449" t="s">
        <v>79</v>
      </c>
      <c r="D35" s="450"/>
      <c r="E35" s="451"/>
      <c r="F35" s="449"/>
      <c r="G35" s="450"/>
      <c r="H35" s="451"/>
      <c r="I35" s="118">
        <f>I23+I11+I24</f>
        <v>197900000</v>
      </c>
      <c r="J35" s="116"/>
    </row>
    <row r="36" spans="2:11" ht="19.5" customHeight="1" x14ac:dyDescent="0.15">
      <c r="B36" s="447"/>
      <c r="C36" s="437" t="s">
        <v>80</v>
      </c>
      <c r="D36" s="438"/>
      <c r="E36" s="439"/>
      <c r="F36" s="437"/>
      <c r="G36" s="438"/>
      <c r="H36" s="439"/>
      <c r="I36" s="104">
        <f>I32+I20</f>
        <v>94500000</v>
      </c>
      <c r="J36" s="98"/>
    </row>
    <row r="37" spans="2:11" ht="19.5" customHeight="1" thickBot="1" x14ac:dyDescent="0.2">
      <c r="B37" s="448"/>
      <c r="C37" s="452" t="s">
        <v>81</v>
      </c>
      <c r="D37" s="452"/>
      <c r="E37" s="453"/>
      <c r="F37" s="454"/>
      <c r="G37" s="452"/>
      <c r="H37" s="453"/>
      <c r="I37" s="119">
        <f>I36+I35</f>
        <v>292400000</v>
      </c>
      <c r="J37" s="120"/>
    </row>
    <row r="38" spans="2:11" ht="20.25" customHeight="1" x14ac:dyDescent="0.15">
      <c r="B38" s="121">
        <v>4</v>
      </c>
      <c r="C38" s="431" t="s">
        <v>82</v>
      </c>
      <c r="D38" s="432"/>
      <c r="E38" s="433"/>
      <c r="F38" s="434"/>
      <c r="G38" s="435"/>
      <c r="H38" s="436"/>
      <c r="I38" s="122">
        <v>16000000</v>
      </c>
      <c r="J38" s="123"/>
    </row>
    <row r="39" spans="2:11" ht="22.5" customHeight="1" x14ac:dyDescent="0.15">
      <c r="B39" s="124">
        <v>5</v>
      </c>
      <c r="C39" s="437" t="s">
        <v>83</v>
      </c>
      <c r="D39" s="438"/>
      <c r="E39" s="439"/>
      <c r="F39" s="440" t="s">
        <v>84</v>
      </c>
      <c r="G39" s="441"/>
      <c r="H39" s="442"/>
      <c r="I39" s="125">
        <v>0</v>
      </c>
      <c r="J39" s="126"/>
      <c r="K39" s="127"/>
    </row>
    <row r="40" spans="2:11" ht="20.25" customHeight="1" x14ac:dyDescent="0.15">
      <c r="B40" s="124">
        <v>6</v>
      </c>
      <c r="C40" s="437" t="s">
        <v>85</v>
      </c>
      <c r="D40" s="438"/>
      <c r="E40" s="439"/>
      <c r="F40" s="443"/>
      <c r="G40" s="444"/>
      <c r="H40" s="445"/>
      <c r="I40" s="104">
        <f>전기!H64+세척기!H87</f>
        <v>15300000</v>
      </c>
      <c r="J40" s="98"/>
    </row>
    <row r="41" spans="2:11" ht="20.25" customHeight="1" x14ac:dyDescent="0.15">
      <c r="B41" s="128">
        <v>7</v>
      </c>
      <c r="C41" s="413" t="s">
        <v>86</v>
      </c>
      <c r="D41" s="414"/>
      <c r="E41" s="415"/>
      <c r="F41" s="416"/>
      <c r="G41" s="417"/>
      <c r="H41" s="418"/>
      <c r="I41" s="107">
        <f>전기!H65+세척기!H88</f>
        <v>15300000</v>
      </c>
      <c r="J41" s="108"/>
      <c r="K41" s="74"/>
    </row>
    <row r="42" spans="2:11" ht="28.5" customHeight="1" thickBot="1" x14ac:dyDescent="0.2">
      <c r="B42" s="129"/>
      <c r="C42" s="419" t="s">
        <v>87</v>
      </c>
      <c r="D42" s="419"/>
      <c r="E42" s="419"/>
      <c r="F42" s="420" t="s">
        <v>88</v>
      </c>
      <c r="G42" s="421"/>
      <c r="H42" s="422"/>
      <c r="I42" s="130">
        <f>I22+I34+I38+I39</f>
        <v>339000000</v>
      </c>
      <c r="J42" s="131"/>
      <c r="K42" s="74"/>
    </row>
    <row r="43" spans="2:11" ht="19.5" customHeight="1" x14ac:dyDescent="0.15">
      <c r="B43" s="132" t="s">
        <v>89</v>
      </c>
      <c r="C43" s="76"/>
      <c r="D43" s="76"/>
      <c r="E43" s="76"/>
    </row>
    <row r="44" spans="2:11" ht="19.5" customHeight="1" x14ac:dyDescent="0.15">
      <c r="B44" s="74" t="s">
        <v>90</v>
      </c>
      <c r="C44" s="76"/>
      <c r="D44" s="76"/>
      <c r="E44" s="76"/>
    </row>
    <row r="45" spans="2:11" ht="19.5" customHeight="1" x14ac:dyDescent="0.15">
      <c r="C45" s="76"/>
      <c r="D45" s="76"/>
      <c r="E45" s="76"/>
    </row>
    <row r="46" spans="2:11" ht="19.5" customHeight="1" x14ac:dyDescent="0.15">
      <c r="C46" s="76"/>
      <c r="D46" s="76"/>
      <c r="E46" s="423" t="s">
        <v>91</v>
      </c>
      <c r="F46" s="426" t="s">
        <v>92</v>
      </c>
      <c r="G46" s="427"/>
      <c r="H46" s="428"/>
      <c r="I46" s="133" t="s">
        <v>93</v>
      </c>
      <c r="J46" s="134" t="s">
        <v>94</v>
      </c>
      <c r="K46" s="135" t="s">
        <v>95</v>
      </c>
    </row>
    <row r="47" spans="2:11" ht="19.5" customHeight="1" x14ac:dyDescent="0.15">
      <c r="C47" s="76"/>
      <c r="D47" s="76"/>
      <c r="E47" s="424"/>
      <c r="F47" s="429" t="s">
        <v>96</v>
      </c>
      <c r="G47" s="430"/>
      <c r="H47" s="430"/>
      <c r="I47" s="104">
        <f>IF(J47&lt;500000000,J47*0.0309,1)+IF(J47&gt;500000000,J47*0.0199+5499000)*IF(J47&gt;5000000000,0,1)+IF(J47&gt;5000000000,J47*0.021,0)</f>
        <v>9334890</v>
      </c>
      <c r="J47" s="136">
        <f>SUM(I7:I10,I12:I17,I23:I30,I38,I19)</f>
        <v>302100000</v>
      </c>
      <c r="K47" s="136" t="s">
        <v>97</v>
      </c>
    </row>
    <row r="48" spans="2:11" ht="19.5" customHeight="1" x14ac:dyDescent="0.15">
      <c r="E48" s="425"/>
      <c r="F48" s="429" t="s">
        <v>98</v>
      </c>
      <c r="G48" s="430"/>
      <c r="H48" s="430"/>
      <c r="I48" s="104">
        <f>(IF(J48&lt;500000000,J48*0.0309,1)+IF(J48&gt;500000000,J48*0.0199+5499000)*IF(J48&gt;5000000000,0,1)+IF(J48&gt;5000000000,J48*0.021,0))*1.2</f>
        <v>600696</v>
      </c>
      <c r="J48" s="136">
        <f>SUM(I10,I24,I12,I16:I17,I25,I29:I30)</f>
        <v>16200000</v>
      </c>
      <c r="K48" s="136" t="s">
        <v>99</v>
      </c>
    </row>
    <row r="49" spans="7:7" ht="19.5" customHeight="1" x14ac:dyDescent="0.15">
      <c r="G49" s="137" t="s">
        <v>100</v>
      </c>
    </row>
  </sheetData>
  <mergeCells count="38">
    <mergeCell ref="F11:H11"/>
    <mergeCell ref="D12:D20"/>
    <mergeCell ref="F20:H20"/>
    <mergeCell ref="F21:H21"/>
    <mergeCell ref="F22:H22"/>
    <mergeCell ref="C5:E5"/>
    <mergeCell ref="C6:E6"/>
    <mergeCell ref="B7:B22"/>
    <mergeCell ref="C7:C22"/>
    <mergeCell ref="D7:D11"/>
    <mergeCell ref="B23:B34"/>
    <mergeCell ref="C23:C34"/>
    <mergeCell ref="D23:D24"/>
    <mergeCell ref="D25:D32"/>
    <mergeCell ref="F32:H32"/>
    <mergeCell ref="F33:H33"/>
    <mergeCell ref="F34:H34"/>
    <mergeCell ref="B35:B37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E46:E48"/>
    <mergeCell ref="F46:H46"/>
    <mergeCell ref="F47:H47"/>
    <mergeCell ref="F48:H48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horizontalDpi="4294967292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2:P22"/>
  <sheetViews>
    <sheetView zoomScale="80" workbookViewId="0">
      <selection activeCell="I17" sqref="I17"/>
    </sheetView>
  </sheetViews>
  <sheetFormatPr defaultRowHeight="17.25" customHeight="1" x14ac:dyDescent="0.15"/>
  <cols>
    <col min="1" max="1" width="5" style="138" customWidth="1"/>
    <col min="2" max="2" width="20.125" style="138" customWidth="1"/>
    <col min="3" max="3" width="6.25" style="138" customWidth="1"/>
    <col min="4" max="8" width="11.875" style="138" customWidth="1"/>
    <col min="9" max="9" width="13" style="138" customWidth="1"/>
    <col min="10" max="11" width="13.875" style="138" customWidth="1"/>
    <col min="12" max="12" width="12.5" style="138" bestFit="1" customWidth="1"/>
    <col min="13" max="13" width="15" style="138" bestFit="1" customWidth="1"/>
    <col min="14" max="14" width="13.875" style="138" customWidth="1"/>
    <col min="15" max="15" width="9.625" style="138" customWidth="1"/>
    <col min="16" max="16" width="11.5" style="138" hidden="1" customWidth="1"/>
    <col min="17" max="17" width="10" style="138" customWidth="1"/>
    <col min="18" max="16384" width="9" style="138"/>
  </cols>
  <sheetData>
    <row r="2" spans="1:16" ht="31.5" customHeight="1" x14ac:dyDescent="0.15">
      <c r="A2" s="66" t="s">
        <v>101</v>
      </c>
    </row>
    <row r="3" spans="1:16" ht="17.25" customHeight="1" thickBot="1" x14ac:dyDescent="0.2">
      <c r="N3" s="138" t="s">
        <v>102</v>
      </c>
    </row>
    <row r="4" spans="1:16" s="145" customFormat="1" ht="8.25" customHeight="1" x14ac:dyDescent="0.15">
      <c r="A4" s="139"/>
      <c r="B4" s="139"/>
      <c r="C4" s="139"/>
      <c r="D4" s="473"/>
      <c r="E4" s="474"/>
      <c r="F4" s="474"/>
      <c r="G4" s="474"/>
      <c r="H4" s="474"/>
      <c r="I4" s="474"/>
      <c r="J4" s="475"/>
      <c r="K4" s="140"/>
      <c r="L4" s="141"/>
      <c r="M4" s="142"/>
      <c r="N4" s="143"/>
      <c r="O4" s="144"/>
    </row>
    <row r="5" spans="1:16" s="156" customFormat="1" ht="25.5" customHeight="1" x14ac:dyDescent="0.15">
      <c r="A5" s="146"/>
      <c r="B5" s="146"/>
      <c r="C5" s="146"/>
      <c r="D5" s="147"/>
      <c r="E5" s="148"/>
      <c r="F5" s="148"/>
      <c r="G5" s="148"/>
      <c r="H5" s="148"/>
      <c r="I5" s="149" t="s">
        <v>103</v>
      </c>
      <c r="J5" s="150"/>
      <c r="K5" s="151"/>
      <c r="L5" s="152" t="s">
        <v>104</v>
      </c>
      <c r="M5" s="153" t="s">
        <v>85</v>
      </c>
      <c r="N5" s="154"/>
      <c r="O5" s="155"/>
    </row>
    <row r="6" spans="1:16" s="156" customFormat="1" ht="25.5" customHeight="1" thickBot="1" x14ac:dyDescent="0.2">
      <c r="A6" s="157" t="s">
        <v>105</v>
      </c>
      <c r="B6" s="157" t="s">
        <v>106</v>
      </c>
      <c r="C6" s="157" t="s">
        <v>107</v>
      </c>
      <c r="D6" s="158" t="s">
        <v>108</v>
      </c>
      <c r="E6" s="159" t="s">
        <v>109</v>
      </c>
      <c r="F6" s="159" t="s">
        <v>110</v>
      </c>
      <c r="G6" s="159" t="s">
        <v>111</v>
      </c>
      <c r="H6" s="159" t="s">
        <v>112</v>
      </c>
      <c r="I6" s="160" t="s">
        <v>113</v>
      </c>
      <c r="J6" s="161" t="s">
        <v>114</v>
      </c>
      <c r="K6" s="162" t="s">
        <v>115</v>
      </c>
      <c r="L6" s="163" t="s">
        <v>116</v>
      </c>
      <c r="M6" s="164" t="s">
        <v>117</v>
      </c>
      <c r="N6" s="165" t="s">
        <v>118</v>
      </c>
      <c r="O6" s="166" t="s">
        <v>17</v>
      </c>
    </row>
    <row r="7" spans="1:16" s="178" customFormat="1" ht="25.5" customHeight="1" thickTop="1" x14ac:dyDescent="0.15">
      <c r="A7" s="167">
        <f>IF(B7&gt;0,1,"")</f>
        <v>1</v>
      </c>
      <c r="B7" s="168" t="s">
        <v>319</v>
      </c>
      <c r="C7" s="169" t="s">
        <v>119</v>
      </c>
      <c r="D7" s="170">
        <f>세척기!H76</f>
        <v>171000000</v>
      </c>
      <c r="E7" s="171">
        <f>세척기!H77</f>
        <v>0</v>
      </c>
      <c r="F7" s="171">
        <f>세척기!H78+세척기!H79+세척기!H80+세척기!H84</f>
        <v>55500000</v>
      </c>
      <c r="G7" s="171">
        <f>세척기!H81+세척기!H82</f>
        <v>8100000</v>
      </c>
      <c r="H7" s="171">
        <f>세척기!H83</f>
        <v>3150000</v>
      </c>
      <c r="I7" s="172">
        <f>IF($B7&gt;0,'원가항목별(집계)'!I$38*$P7/$P$17,0)</f>
        <v>16000000</v>
      </c>
      <c r="J7" s="173">
        <f>SUM(D7:I7)</f>
        <v>253750000</v>
      </c>
      <c r="K7" s="174">
        <f>IF(B7&gt;0,'원가항목별(집계)'!I$34*P7/P$17,0)</f>
        <v>57450000</v>
      </c>
      <c r="L7" s="174">
        <f>IF($B7&gt;0,'원가항목별(집계)'!I$39*$P7/$P$17,0)</f>
        <v>0</v>
      </c>
      <c r="M7" s="175">
        <f>세척기!H87+세척기!H88</f>
        <v>27800000</v>
      </c>
      <c r="N7" s="176">
        <f>SUM(J7:M7)</f>
        <v>339000000</v>
      </c>
      <c r="O7" s="177"/>
      <c r="P7" s="178">
        <f t="shared" ref="P7:P17" si="0">D7+E7+F7+G7+H7+M7</f>
        <v>265550000</v>
      </c>
    </row>
    <row r="8" spans="1:16" s="178" customFormat="1" ht="25.5" customHeight="1" x14ac:dyDescent="0.15">
      <c r="A8" s="179" t="str">
        <f>IF(B8&gt;0,A7+1,"")</f>
        <v/>
      </c>
      <c r="B8" s="180"/>
      <c r="C8" s="181"/>
      <c r="D8" s="182"/>
      <c r="E8" s="183"/>
      <c r="F8" s="183"/>
      <c r="G8" s="183"/>
      <c r="H8" s="183"/>
      <c r="I8" s="184">
        <f>IF($B8&gt;0,'원가항목별(집계)'!I$38*$P8/$P$17,0)</f>
        <v>0</v>
      </c>
      <c r="J8" s="185">
        <f>SUM(D8:I8)</f>
        <v>0</v>
      </c>
      <c r="K8" s="186">
        <f>IF(B8&gt;0,'원가항목별(집계)'!I$34*P8/P$17,0)</f>
        <v>0</v>
      </c>
      <c r="L8" s="186">
        <f>IF($B8&gt;0,'원가항목별(집계)'!I$39*$P8/$P$17,0)</f>
        <v>0</v>
      </c>
      <c r="M8" s="187"/>
      <c r="N8" s="188">
        <f t="shared" ref="N8:N16" si="1">SUM(J8:M8)</f>
        <v>0</v>
      </c>
      <c r="O8" s="189"/>
      <c r="P8" s="178">
        <f t="shared" si="0"/>
        <v>0</v>
      </c>
    </row>
    <row r="9" spans="1:16" s="178" customFormat="1" ht="25.5" customHeight="1" x14ac:dyDescent="0.15">
      <c r="A9" s="179" t="str">
        <f>IF(B9&gt;0,A8+1,"")</f>
        <v/>
      </c>
      <c r="B9" s="180"/>
      <c r="C9" s="181"/>
      <c r="D9" s="182"/>
      <c r="E9" s="183"/>
      <c r="F9" s="183"/>
      <c r="G9" s="183"/>
      <c r="H9" s="183"/>
      <c r="I9" s="184">
        <f>IF($B9&gt;0,'원가항목별(집계)'!I$38*$P9/$P$17,0)</f>
        <v>0</v>
      </c>
      <c r="J9" s="185">
        <f t="shared" ref="J9:J17" si="2">SUM(D9:I9)</f>
        <v>0</v>
      </c>
      <c r="K9" s="186">
        <f>IF(B9&gt;0,'원가항목별(집계)'!I$34*P9/P$17,0)</f>
        <v>0</v>
      </c>
      <c r="L9" s="186">
        <f>IF($B9&gt;0,'원가항목별(집계)'!I$39*$P9/$P$17,0)</f>
        <v>0</v>
      </c>
      <c r="M9" s="187"/>
      <c r="N9" s="188">
        <f t="shared" si="1"/>
        <v>0</v>
      </c>
      <c r="O9" s="189"/>
      <c r="P9" s="178">
        <f t="shared" si="0"/>
        <v>0</v>
      </c>
    </row>
    <row r="10" spans="1:16" s="178" customFormat="1" ht="25.5" customHeight="1" x14ac:dyDescent="0.15">
      <c r="A10" s="179" t="str">
        <f>IF(B10&gt;0,A9+1,"")</f>
        <v/>
      </c>
      <c r="B10" s="180"/>
      <c r="C10" s="181"/>
      <c r="D10" s="182"/>
      <c r="E10" s="183"/>
      <c r="F10" s="183"/>
      <c r="G10" s="183"/>
      <c r="H10" s="183"/>
      <c r="I10" s="184">
        <f>IF($B10&gt;0,'원가항목별(집계)'!I$38*$P10/$P$17,0)</f>
        <v>0</v>
      </c>
      <c r="J10" s="185">
        <f t="shared" si="2"/>
        <v>0</v>
      </c>
      <c r="K10" s="186">
        <f>IF(B10&gt;0,'원가항목별(집계)'!I$34*P10/P$17,0)</f>
        <v>0</v>
      </c>
      <c r="L10" s="186">
        <f>IF($B10&gt;0,'원가항목별(집계)'!I$39*$P10/$P$17,0)</f>
        <v>0</v>
      </c>
      <c r="M10" s="187"/>
      <c r="N10" s="188">
        <f t="shared" si="1"/>
        <v>0</v>
      </c>
      <c r="O10" s="189"/>
      <c r="P10" s="178">
        <f t="shared" si="0"/>
        <v>0</v>
      </c>
    </row>
    <row r="11" spans="1:16" s="178" customFormat="1" ht="25.5" customHeight="1" x14ac:dyDescent="0.15">
      <c r="A11" s="179" t="str">
        <f>IF(B11&gt;0,A10+1,"")</f>
        <v/>
      </c>
      <c r="B11" s="180"/>
      <c r="C11" s="181"/>
      <c r="D11" s="182"/>
      <c r="E11" s="183"/>
      <c r="F11" s="183"/>
      <c r="G11" s="183"/>
      <c r="H11" s="183"/>
      <c r="I11" s="184">
        <f>IF($B11&gt;0,'원가항목별(집계)'!I$38*$P11/$P$17,0)</f>
        <v>0</v>
      </c>
      <c r="J11" s="185">
        <f t="shared" si="2"/>
        <v>0</v>
      </c>
      <c r="K11" s="186">
        <f>IF(B11&gt;0,'원가항목별(집계)'!I$34*P11/P$17,0)</f>
        <v>0</v>
      </c>
      <c r="L11" s="186">
        <f>IF($B11&gt;0,'원가항목별(집계)'!I$39*$P11/$P$17,0)</f>
        <v>0</v>
      </c>
      <c r="M11" s="187"/>
      <c r="N11" s="188">
        <f t="shared" si="1"/>
        <v>0</v>
      </c>
      <c r="O11" s="189"/>
      <c r="P11" s="178">
        <f t="shared" si="0"/>
        <v>0</v>
      </c>
    </row>
    <row r="12" spans="1:16" s="178" customFormat="1" ht="25.5" customHeight="1" x14ac:dyDescent="0.15">
      <c r="A12" s="179" t="str">
        <f>IF(B12&gt;0,A11+1,"")</f>
        <v/>
      </c>
      <c r="B12" s="180"/>
      <c r="C12" s="181"/>
      <c r="D12" s="182"/>
      <c r="E12" s="183"/>
      <c r="F12" s="183"/>
      <c r="G12" s="183"/>
      <c r="H12" s="183"/>
      <c r="I12" s="184">
        <f>IF($B12&gt;0,'원가항목별(집계)'!I$38*$P12/$P$17,0)</f>
        <v>0</v>
      </c>
      <c r="J12" s="185">
        <f t="shared" si="2"/>
        <v>0</v>
      </c>
      <c r="K12" s="186">
        <f>IF(B12&gt;0,'원가항목별(집계)'!I$34*P12/P$17,0)</f>
        <v>0</v>
      </c>
      <c r="L12" s="186">
        <f>IF($B12&gt;0,'원가항목별(집계)'!I$39*$P12/$P$17,0)</f>
        <v>0</v>
      </c>
      <c r="M12" s="187"/>
      <c r="N12" s="188">
        <f t="shared" si="1"/>
        <v>0</v>
      </c>
      <c r="O12" s="189"/>
      <c r="P12" s="178">
        <f t="shared" si="0"/>
        <v>0</v>
      </c>
    </row>
    <row r="13" spans="1:16" s="178" customFormat="1" ht="25.5" customHeight="1" x14ac:dyDescent="0.15">
      <c r="A13" s="179" t="str">
        <f>IF(B13&gt;0,A8+1,"")</f>
        <v/>
      </c>
      <c r="B13" s="180"/>
      <c r="C13" s="181"/>
      <c r="D13" s="182"/>
      <c r="E13" s="183"/>
      <c r="F13" s="183"/>
      <c r="G13" s="183"/>
      <c r="H13" s="183"/>
      <c r="I13" s="184">
        <f>IF($B13&gt;0,'원가항목별(집계)'!I$38*$P13/$P$17,0)</f>
        <v>0</v>
      </c>
      <c r="J13" s="185">
        <f t="shared" si="2"/>
        <v>0</v>
      </c>
      <c r="K13" s="186">
        <f>IF(B13&gt;0,'원가항목별(집계)'!I$34*P13/P$17,0)</f>
        <v>0</v>
      </c>
      <c r="L13" s="186">
        <f>IF($B13&gt;0,'원가항목별(집계)'!I$39*$P13/$P$17,0)</f>
        <v>0</v>
      </c>
      <c r="M13" s="187"/>
      <c r="N13" s="188">
        <f t="shared" si="1"/>
        <v>0</v>
      </c>
      <c r="O13" s="189"/>
      <c r="P13" s="178">
        <f t="shared" si="0"/>
        <v>0</v>
      </c>
    </row>
    <row r="14" spans="1:16" s="178" customFormat="1" ht="25.5" customHeight="1" x14ac:dyDescent="0.15">
      <c r="A14" s="179" t="str">
        <f>IF(B14&gt;0,A13+1,"")</f>
        <v/>
      </c>
      <c r="B14" s="180"/>
      <c r="C14" s="181"/>
      <c r="D14" s="182"/>
      <c r="E14" s="183"/>
      <c r="F14" s="183"/>
      <c r="G14" s="183"/>
      <c r="H14" s="183"/>
      <c r="I14" s="184">
        <f>IF($B14&gt;0,'원가항목별(집계)'!I$38*$P14/$P$17,0)</f>
        <v>0</v>
      </c>
      <c r="J14" s="185">
        <f t="shared" si="2"/>
        <v>0</v>
      </c>
      <c r="K14" s="186">
        <f>IF(B14&gt;0,'원가항목별(집계)'!I$34*P14/P$17,0)</f>
        <v>0</v>
      </c>
      <c r="L14" s="186">
        <f>IF($B14&gt;0,'원가항목별(집계)'!I$39*$P14/$P$17,0)</f>
        <v>0</v>
      </c>
      <c r="M14" s="187"/>
      <c r="N14" s="188">
        <f t="shared" si="1"/>
        <v>0</v>
      </c>
      <c r="O14" s="189"/>
      <c r="P14" s="178">
        <f t="shared" si="0"/>
        <v>0</v>
      </c>
    </row>
    <row r="15" spans="1:16" s="192" customFormat="1" ht="25.5" customHeight="1" x14ac:dyDescent="0.15">
      <c r="A15" s="181" t="str">
        <f>IF(B15&gt;0,A14+1,"")</f>
        <v/>
      </c>
      <c r="B15" s="180"/>
      <c r="C15" s="181"/>
      <c r="D15" s="182"/>
      <c r="E15" s="183"/>
      <c r="F15" s="183"/>
      <c r="G15" s="183"/>
      <c r="H15" s="183"/>
      <c r="I15" s="184">
        <f>IF($B15&gt;0,'원가항목별(집계)'!I$38*$P15/$P$17,0)</f>
        <v>0</v>
      </c>
      <c r="J15" s="185">
        <f t="shared" si="2"/>
        <v>0</v>
      </c>
      <c r="K15" s="186">
        <f>IF(B15&gt;0,'원가항목별(집계)'!I$34*P15/P$17,0)</f>
        <v>0</v>
      </c>
      <c r="L15" s="186">
        <f>IF($B15&gt;0,'원가항목별(집계)'!I$39*$P15/$P$17,0)</f>
        <v>0</v>
      </c>
      <c r="M15" s="187"/>
      <c r="N15" s="190">
        <f t="shared" si="1"/>
        <v>0</v>
      </c>
      <c r="O15" s="191"/>
      <c r="P15" s="178">
        <f t="shared" si="0"/>
        <v>0</v>
      </c>
    </row>
    <row r="16" spans="1:16" s="192" customFormat="1" ht="25.5" customHeight="1" x14ac:dyDescent="0.15">
      <c r="A16" s="193" t="str">
        <f>IF(B16&gt;0,A15+1,"")</f>
        <v/>
      </c>
      <c r="B16" s="194"/>
      <c r="C16" s="193"/>
      <c r="D16" s="195"/>
      <c r="E16" s="196"/>
      <c r="F16" s="196"/>
      <c r="G16" s="196"/>
      <c r="H16" s="196"/>
      <c r="I16" s="197">
        <f>IF($B16&gt;0,'원가항목별(집계)'!I$38*$P16/$P$17,0)</f>
        <v>0</v>
      </c>
      <c r="J16" s="198">
        <f t="shared" si="2"/>
        <v>0</v>
      </c>
      <c r="K16" s="199">
        <f>IF(B16&gt;0,'원가항목별(집계)'!I$34*P16/P$17,0)</f>
        <v>0</v>
      </c>
      <c r="L16" s="199">
        <f>IF($B16&gt;0,'원가항목별(집계)'!I$39*$P16/$P$17,0)</f>
        <v>0</v>
      </c>
      <c r="M16" s="200"/>
      <c r="N16" s="201">
        <f t="shared" si="1"/>
        <v>0</v>
      </c>
      <c r="O16" s="202"/>
      <c r="P16" s="178">
        <f t="shared" si="0"/>
        <v>0</v>
      </c>
    </row>
    <row r="17" spans="1:16" s="178" customFormat="1" ht="33" customHeight="1" x14ac:dyDescent="0.15">
      <c r="A17" s="476" t="s">
        <v>120</v>
      </c>
      <c r="B17" s="477"/>
      <c r="C17" s="478"/>
      <c r="D17" s="203">
        <f t="shared" ref="D17:M17" si="3">SUM(D7:D16)</f>
        <v>171000000</v>
      </c>
      <c r="E17" s="204">
        <f t="shared" si="3"/>
        <v>0</v>
      </c>
      <c r="F17" s="204">
        <f t="shared" si="3"/>
        <v>55500000</v>
      </c>
      <c r="G17" s="204">
        <f t="shared" si="3"/>
        <v>8100000</v>
      </c>
      <c r="H17" s="204">
        <f t="shared" si="3"/>
        <v>3150000</v>
      </c>
      <c r="I17" s="205">
        <f t="shared" si="3"/>
        <v>16000000</v>
      </c>
      <c r="J17" s="206">
        <f t="shared" si="2"/>
        <v>253750000</v>
      </c>
      <c r="K17" s="207">
        <f>SUM(K7:K16)</f>
        <v>57450000</v>
      </c>
      <c r="L17" s="208">
        <f t="shared" si="3"/>
        <v>0</v>
      </c>
      <c r="M17" s="209">
        <f t="shared" si="3"/>
        <v>27800000</v>
      </c>
      <c r="N17" s="210">
        <f>SUM(N7:N14)</f>
        <v>339000000</v>
      </c>
      <c r="O17" s="211"/>
      <c r="P17" s="178">
        <f t="shared" si="0"/>
        <v>265550000</v>
      </c>
    </row>
    <row r="18" spans="1:16" s="224" customFormat="1" ht="18.75" customHeight="1" x14ac:dyDescent="0.15">
      <c r="A18" s="212"/>
      <c r="B18" s="213"/>
      <c r="C18" s="214"/>
      <c r="D18" s="215">
        <f t="shared" ref="D18:N18" si="4">IF(D17=0,"",D17/$N17)</f>
        <v>0.50442477876106195</v>
      </c>
      <c r="E18" s="216" t="str">
        <f t="shared" si="4"/>
        <v/>
      </c>
      <c r="F18" s="216">
        <f t="shared" si="4"/>
        <v>0.16371681415929204</v>
      </c>
      <c r="G18" s="216">
        <f t="shared" si="4"/>
        <v>2.3893805309734513E-2</v>
      </c>
      <c r="H18" s="216">
        <f t="shared" si="4"/>
        <v>9.2920353982300884E-3</v>
      </c>
      <c r="I18" s="217">
        <f t="shared" si="4"/>
        <v>4.71976401179941E-2</v>
      </c>
      <c r="J18" s="218">
        <f t="shared" si="4"/>
        <v>0.74852507374631272</v>
      </c>
      <c r="K18" s="219">
        <f t="shared" si="4"/>
        <v>0.16946902654867257</v>
      </c>
      <c r="L18" s="220" t="str">
        <f t="shared" si="4"/>
        <v/>
      </c>
      <c r="M18" s="221">
        <f t="shared" si="4"/>
        <v>8.2005899705014748E-2</v>
      </c>
      <c r="N18" s="222">
        <f t="shared" si="4"/>
        <v>1</v>
      </c>
      <c r="O18" s="223"/>
    </row>
    <row r="19" spans="1:16" ht="28.5" customHeight="1" x14ac:dyDescent="0.15">
      <c r="A19" s="138" t="s">
        <v>121</v>
      </c>
      <c r="H19" s="225"/>
      <c r="I19" s="225"/>
      <c r="J19" s="225"/>
      <c r="K19" s="225"/>
      <c r="L19" s="225"/>
    </row>
    <row r="20" spans="1:16" ht="17.25" customHeight="1" x14ac:dyDescent="0.15">
      <c r="H20" s="226"/>
      <c r="I20" s="226"/>
      <c r="J20" s="226"/>
      <c r="K20" s="226"/>
      <c r="L20" s="226"/>
      <c r="M20" s="227"/>
      <c r="N20" s="228"/>
    </row>
    <row r="21" spans="1:16" ht="17.25" customHeight="1" x14ac:dyDescent="0.15">
      <c r="H21" s="229"/>
      <c r="I21" s="229"/>
      <c r="J21" s="229"/>
      <c r="K21" s="229"/>
      <c r="L21" s="229"/>
      <c r="N21" s="229"/>
    </row>
    <row r="22" spans="1:16" ht="17.25" customHeight="1" x14ac:dyDescent="0.15">
      <c r="H22" s="178"/>
      <c r="I22" s="178"/>
      <c r="J22" s="178"/>
      <c r="L22" s="178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  <pageSetUpPr fitToPage="1"/>
  </sheetPr>
  <dimension ref="A1:I67"/>
  <sheetViews>
    <sheetView zoomScale="85" workbookViewId="0">
      <pane xSplit="3" ySplit="2" topLeftCell="D33" activePane="bottomRight" state="frozen"/>
      <selection activeCell="L14" sqref="L14"/>
      <selection pane="topRight" activeCell="L14" sqref="L14"/>
      <selection pane="bottomLeft" activeCell="L14" sqref="L14"/>
      <selection pane="bottomRight" activeCell="H65" sqref="H65"/>
    </sheetView>
  </sheetViews>
  <sheetFormatPr defaultRowHeight="13.5" x14ac:dyDescent="0.15"/>
  <cols>
    <col min="1" max="1" width="5" style="138" customWidth="1"/>
    <col min="2" max="2" width="13" style="138" customWidth="1"/>
    <col min="3" max="3" width="23.625" style="138" customWidth="1"/>
    <col min="4" max="4" width="18.25" style="138" customWidth="1"/>
    <col min="5" max="5" width="5.25" style="156" bestFit="1" customWidth="1"/>
    <col min="6" max="6" width="6.75" style="334" customWidth="1"/>
    <col min="7" max="7" width="11.875" style="178" customWidth="1"/>
    <col min="8" max="8" width="13.625" style="178" customWidth="1"/>
    <col min="9" max="9" width="12.75" style="138" customWidth="1"/>
    <col min="10" max="10" width="9.25" style="138" customWidth="1"/>
    <col min="11" max="16384" width="9" style="138"/>
  </cols>
  <sheetData>
    <row r="1" spans="1:9" ht="22.5" customHeight="1" x14ac:dyDescent="0.15">
      <c r="B1" s="230" t="s">
        <v>122</v>
      </c>
      <c r="C1" s="231" t="s">
        <v>123</v>
      </c>
      <c r="D1" s="232"/>
      <c r="E1" s="233"/>
      <c r="F1" s="234"/>
      <c r="G1" s="192"/>
      <c r="I1" s="138" t="s">
        <v>124</v>
      </c>
    </row>
    <row r="2" spans="1:9" s="156" customFormat="1" ht="16.5" customHeight="1" x14ac:dyDescent="0.15">
      <c r="A2" s="370" t="s">
        <v>125</v>
      </c>
      <c r="B2" s="479"/>
      <c r="C2" s="235" t="s">
        <v>126</v>
      </c>
      <c r="D2" s="236" t="s">
        <v>127</v>
      </c>
      <c r="E2" s="236" t="s">
        <v>128</v>
      </c>
      <c r="F2" s="237" t="s">
        <v>129</v>
      </c>
      <c r="G2" s="237" t="s">
        <v>130</v>
      </c>
      <c r="H2" s="237" t="s">
        <v>131</v>
      </c>
      <c r="I2" s="236" t="s">
        <v>132</v>
      </c>
    </row>
    <row r="3" spans="1:9" ht="15.95" customHeight="1" x14ac:dyDescent="0.15">
      <c r="A3" s="480" t="s">
        <v>133</v>
      </c>
      <c r="B3" s="238" t="s">
        <v>134</v>
      </c>
      <c r="C3" s="239" t="s">
        <v>224</v>
      </c>
      <c r="D3" s="240"/>
      <c r="E3" s="241" t="s">
        <v>225</v>
      </c>
      <c r="F3" s="242">
        <v>1</v>
      </c>
      <c r="G3" s="242">
        <v>1600000</v>
      </c>
      <c r="H3" s="243">
        <f t="shared" ref="H3:H8" si="0">IF(F3=0,G3,G3*F3)</f>
        <v>1600000</v>
      </c>
      <c r="I3" s="244"/>
    </row>
    <row r="4" spans="1:9" ht="15.95" customHeight="1" x14ac:dyDescent="0.15">
      <c r="A4" s="481"/>
      <c r="B4" s="238"/>
      <c r="C4" s="239" t="s">
        <v>285</v>
      </c>
      <c r="D4" s="240"/>
      <c r="E4" s="241" t="s">
        <v>221</v>
      </c>
      <c r="F4" s="242">
        <v>1</v>
      </c>
      <c r="G4" s="242">
        <v>300000</v>
      </c>
      <c r="H4" s="189">
        <f t="shared" si="0"/>
        <v>300000</v>
      </c>
      <c r="I4" s="245"/>
    </row>
    <row r="5" spans="1:9" ht="15.95" customHeight="1" x14ac:dyDescent="0.15">
      <c r="A5" s="481"/>
      <c r="B5" s="238"/>
      <c r="C5" s="246"/>
      <c r="D5" s="247"/>
      <c r="E5" s="248"/>
      <c r="F5" s="249"/>
      <c r="G5" s="250"/>
      <c r="H5" s="189">
        <f t="shared" si="0"/>
        <v>0</v>
      </c>
      <c r="I5" s="245"/>
    </row>
    <row r="6" spans="1:9" ht="15.95" customHeight="1" x14ac:dyDescent="0.15">
      <c r="A6" s="481"/>
      <c r="B6" s="238"/>
      <c r="C6" s="246"/>
      <c r="D6" s="247"/>
      <c r="E6" s="248"/>
      <c r="F6" s="249"/>
      <c r="G6" s="250"/>
      <c r="H6" s="189">
        <f t="shared" si="0"/>
        <v>0</v>
      </c>
      <c r="I6" s="245"/>
    </row>
    <row r="7" spans="1:9" ht="15.95" customHeight="1" x14ac:dyDescent="0.15">
      <c r="A7" s="481"/>
      <c r="B7" s="238"/>
      <c r="C7" s="246"/>
      <c r="D7" s="246"/>
      <c r="E7" s="251"/>
      <c r="F7" s="252"/>
      <c r="G7" s="253"/>
      <c r="H7" s="189">
        <f t="shared" si="0"/>
        <v>0</v>
      </c>
      <c r="I7" s="245"/>
    </row>
    <row r="8" spans="1:9" ht="15.95" customHeight="1" x14ac:dyDescent="0.15">
      <c r="A8" s="481"/>
      <c r="B8" s="238"/>
      <c r="C8" s="254"/>
      <c r="D8" s="254"/>
      <c r="E8" s="255"/>
      <c r="F8" s="256"/>
      <c r="G8" s="256"/>
      <c r="H8" s="189">
        <f t="shared" si="0"/>
        <v>0</v>
      </c>
      <c r="I8" s="257"/>
    </row>
    <row r="9" spans="1:9" ht="15.95" customHeight="1" x14ac:dyDescent="0.15">
      <c r="A9" s="481"/>
      <c r="B9" s="258"/>
      <c r="C9" s="259"/>
      <c r="D9" s="260"/>
      <c r="E9" s="235"/>
      <c r="F9" s="261"/>
      <c r="G9" s="262"/>
      <c r="H9" s="263">
        <f>SUM(H3:H8)</f>
        <v>1900000</v>
      </c>
      <c r="I9" s="264"/>
    </row>
    <row r="10" spans="1:9" ht="15.95" customHeight="1" x14ac:dyDescent="0.15">
      <c r="A10" s="481"/>
      <c r="B10" s="265" t="s">
        <v>135</v>
      </c>
      <c r="C10" s="266"/>
      <c r="D10" s="266"/>
      <c r="E10" s="267"/>
      <c r="F10" s="268"/>
      <c r="G10" s="269"/>
      <c r="H10" s="270">
        <f t="shared" ref="H10:H52" si="1">IF(F10=0,G10,G10*F10)</f>
        <v>0</v>
      </c>
      <c r="I10" s="271"/>
    </row>
    <row r="11" spans="1:9" ht="15.95" customHeight="1" x14ac:dyDescent="0.15">
      <c r="A11" s="481"/>
      <c r="B11" s="272" t="s">
        <v>136</v>
      </c>
      <c r="C11" s="246"/>
      <c r="D11" s="246"/>
      <c r="E11" s="251"/>
      <c r="F11" s="252"/>
      <c r="G11" s="253"/>
      <c r="H11" s="189">
        <f t="shared" si="1"/>
        <v>0</v>
      </c>
      <c r="I11" s="245"/>
    </row>
    <row r="12" spans="1:9" ht="15.95" customHeight="1" x14ac:dyDescent="0.15">
      <c r="A12" s="481"/>
      <c r="B12" s="272" t="s">
        <v>137</v>
      </c>
      <c r="C12" s="246"/>
      <c r="D12" s="246"/>
      <c r="E12" s="251"/>
      <c r="F12" s="252"/>
      <c r="G12" s="253"/>
      <c r="H12" s="189">
        <f t="shared" si="1"/>
        <v>0</v>
      </c>
      <c r="I12" s="245"/>
    </row>
    <row r="13" spans="1:9" ht="15.95" customHeight="1" x14ac:dyDescent="0.15">
      <c r="A13" s="481"/>
      <c r="B13" s="238"/>
      <c r="C13" s="246"/>
      <c r="D13" s="246"/>
      <c r="E13" s="251"/>
      <c r="F13" s="252"/>
      <c r="G13" s="253"/>
      <c r="H13" s="189">
        <f t="shared" si="1"/>
        <v>0</v>
      </c>
      <c r="I13" s="245"/>
    </row>
    <row r="14" spans="1:9" ht="15.95" customHeight="1" x14ac:dyDescent="0.15">
      <c r="A14" s="481"/>
      <c r="B14" s="238"/>
      <c r="C14" s="246"/>
      <c r="D14" s="246"/>
      <c r="E14" s="251"/>
      <c r="F14" s="252"/>
      <c r="G14" s="253"/>
      <c r="H14" s="189">
        <f t="shared" si="1"/>
        <v>0</v>
      </c>
      <c r="I14" s="245"/>
    </row>
    <row r="15" spans="1:9" ht="15.95" customHeight="1" x14ac:dyDescent="0.15">
      <c r="A15" s="481"/>
      <c r="B15" s="238" t="s">
        <v>138</v>
      </c>
      <c r="C15" s="254" t="s">
        <v>139</v>
      </c>
      <c r="D15" s="273"/>
      <c r="E15" s="274"/>
      <c r="F15" s="275"/>
      <c r="G15" s="276"/>
      <c r="H15" s="277">
        <f t="shared" si="1"/>
        <v>0</v>
      </c>
      <c r="I15" s="278"/>
    </row>
    <row r="16" spans="1:9" ht="15.95" customHeight="1" x14ac:dyDescent="0.15">
      <c r="A16" s="481"/>
      <c r="B16" s="238"/>
      <c r="C16" s="279"/>
      <c r="D16" s="280"/>
      <c r="E16" s="281"/>
      <c r="F16" s="282"/>
      <c r="G16" s="283"/>
      <c r="H16" s="284">
        <f>SUM(H10:H15)</f>
        <v>0</v>
      </c>
      <c r="I16" s="285"/>
    </row>
    <row r="17" spans="1:9" ht="15.95" customHeight="1" x14ac:dyDescent="0.15">
      <c r="A17" s="481"/>
      <c r="B17" s="286" t="s">
        <v>140</v>
      </c>
      <c r="C17" s="351" t="s">
        <v>214</v>
      </c>
      <c r="D17" s="288" t="s">
        <v>215</v>
      </c>
      <c r="E17" s="352" t="s">
        <v>216</v>
      </c>
      <c r="F17" s="290">
        <v>1</v>
      </c>
      <c r="G17" s="291">
        <v>8000000</v>
      </c>
      <c r="H17" s="270">
        <f>IF(F17=0,G17,G17*F17)</f>
        <v>8000000</v>
      </c>
      <c r="I17" s="271"/>
    </row>
    <row r="18" spans="1:9" ht="15.95" customHeight="1" x14ac:dyDescent="0.15">
      <c r="A18" s="481"/>
      <c r="B18" s="238"/>
      <c r="C18" s="351" t="s">
        <v>217</v>
      </c>
      <c r="D18" s="239" t="s">
        <v>218</v>
      </c>
      <c r="E18" s="352" t="s">
        <v>219</v>
      </c>
      <c r="F18" s="292">
        <v>1</v>
      </c>
      <c r="G18" s="291">
        <v>10000000</v>
      </c>
      <c r="H18" s="189">
        <f t="shared" si="1"/>
        <v>10000000</v>
      </c>
      <c r="I18" s="245"/>
    </row>
    <row r="19" spans="1:9" ht="15.95" customHeight="1" x14ac:dyDescent="0.15">
      <c r="A19" s="481"/>
      <c r="B19" s="238"/>
      <c r="C19" s="353" t="s">
        <v>220</v>
      </c>
      <c r="D19" s="239"/>
      <c r="E19" s="352" t="s">
        <v>221</v>
      </c>
      <c r="F19" s="294">
        <v>1</v>
      </c>
      <c r="G19" s="295">
        <v>4000000</v>
      </c>
      <c r="H19" s="189">
        <f t="shared" si="1"/>
        <v>4000000</v>
      </c>
      <c r="I19" s="245"/>
    </row>
    <row r="20" spans="1:9" ht="15.95" customHeight="1" x14ac:dyDescent="0.15">
      <c r="A20" s="481"/>
      <c r="B20" s="238"/>
      <c r="C20" s="353" t="s">
        <v>222</v>
      </c>
      <c r="D20" s="246"/>
      <c r="E20" s="354" t="s">
        <v>223</v>
      </c>
      <c r="F20" s="294">
        <v>1</v>
      </c>
      <c r="G20" s="295">
        <v>3000000</v>
      </c>
      <c r="H20" s="189">
        <f t="shared" si="1"/>
        <v>3000000</v>
      </c>
      <c r="I20" s="245"/>
    </row>
    <row r="21" spans="1:9" ht="15.95" customHeight="1" x14ac:dyDescent="0.15">
      <c r="A21" s="481"/>
      <c r="B21" s="238"/>
      <c r="C21" s="287"/>
      <c r="D21" s="239"/>
      <c r="E21" s="289"/>
      <c r="F21" s="292"/>
      <c r="G21" s="291"/>
      <c r="H21" s="189">
        <f t="shared" si="1"/>
        <v>0</v>
      </c>
      <c r="I21" s="245"/>
    </row>
    <row r="22" spans="1:9" ht="15.95" customHeight="1" x14ac:dyDescent="0.15">
      <c r="A22" s="481"/>
      <c r="B22" s="238"/>
      <c r="C22" s="287"/>
      <c r="D22" s="239"/>
      <c r="E22" s="289"/>
      <c r="F22" s="292"/>
      <c r="G22" s="291"/>
      <c r="H22" s="189">
        <f t="shared" si="1"/>
        <v>0</v>
      </c>
      <c r="I22" s="245"/>
    </row>
    <row r="23" spans="1:9" ht="15.95" customHeight="1" x14ac:dyDescent="0.15">
      <c r="A23" s="481"/>
      <c r="B23" s="238"/>
      <c r="C23" s="287"/>
      <c r="D23" s="239"/>
      <c r="E23" s="289"/>
      <c r="F23" s="292"/>
      <c r="G23" s="291"/>
      <c r="H23" s="189">
        <f t="shared" si="1"/>
        <v>0</v>
      </c>
      <c r="I23" s="245"/>
    </row>
    <row r="24" spans="1:9" ht="15.95" customHeight="1" x14ac:dyDescent="0.15">
      <c r="A24" s="481"/>
      <c r="B24" s="238"/>
      <c r="C24" s="239"/>
      <c r="D24" s="239"/>
      <c r="E24" s="296"/>
      <c r="F24" s="292"/>
      <c r="G24" s="297"/>
      <c r="H24" s="189">
        <f t="shared" si="1"/>
        <v>0</v>
      </c>
      <c r="I24" s="245"/>
    </row>
    <row r="25" spans="1:9" ht="15.95" customHeight="1" x14ac:dyDescent="0.15">
      <c r="A25" s="481"/>
      <c r="B25" s="238"/>
      <c r="C25" s="239"/>
      <c r="D25" s="239"/>
      <c r="E25" s="296"/>
      <c r="F25" s="292"/>
      <c r="G25" s="297"/>
      <c r="H25" s="189">
        <f t="shared" si="1"/>
        <v>0</v>
      </c>
      <c r="I25" s="245"/>
    </row>
    <row r="26" spans="1:9" ht="15.95" customHeight="1" x14ac:dyDescent="0.15">
      <c r="A26" s="481"/>
      <c r="B26" s="238"/>
      <c r="C26" s="239"/>
      <c r="D26" s="239"/>
      <c r="E26" s="296"/>
      <c r="F26" s="297"/>
      <c r="G26" s="297"/>
      <c r="H26" s="189">
        <f t="shared" si="1"/>
        <v>0</v>
      </c>
      <c r="I26" s="245"/>
    </row>
    <row r="27" spans="1:9" ht="15.95" customHeight="1" x14ac:dyDescent="0.15">
      <c r="A27" s="481"/>
      <c r="B27" s="238"/>
      <c r="C27" s="293"/>
      <c r="D27" s="246"/>
      <c r="E27" s="298"/>
      <c r="F27" s="294"/>
      <c r="G27" s="295"/>
      <c r="H27" s="189">
        <f t="shared" si="1"/>
        <v>0</v>
      </c>
      <c r="I27" s="245"/>
    </row>
    <row r="28" spans="1:9" ht="15.95" customHeight="1" x14ac:dyDescent="0.15">
      <c r="A28" s="481"/>
      <c r="B28" s="238"/>
      <c r="C28" s="246"/>
      <c r="D28" s="246"/>
      <c r="E28" s="251"/>
      <c r="F28" s="253"/>
      <c r="G28" s="253"/>
      <c r="H28" s="189">
        <f t="shared" si="1"/>
        <v>0</v>
      </c>
      <c r="I28" s="245"/>
    </row>
    <row r="29" spans="1:9" ht="15.95" customHeight="1" x14ac:dyDescent="0.15">
      <c r="A29" s="481"/>
      <c r="B29" s="238"/>
      <c r="C29" s="246"/>
      <c r="D29" s="246"/>
      <c r="E29" s="251"/>
      <c r="F29" s="253"/>
      <c r="G29" s="253"/>
      <c r="H29" s="189">
        <f t="shared" si="1"/>
        <v>0</v>
      </c>
      <c r="I29" s="245"/>
    </row>
    <row r="30" spans="1:9" ht="15.95" customHeight="1" x14ac:dyDescent="0.15">
      <c r="A30" s="481"/>
      <c r="B30" s="238"/>
      <c r="C30" s="246"/>
      <c r="D30" s="246"/>
      <c r="E30" s="251"/>
      <c r="F30" s="252"/>
      <c r="G30" s="253"/>
      <c r="H30" s="189">
        <f t="shared" si="1"/>
        <v>0</v>
      </c>
      <c r="I30" s="245"/>
    </row>
    <row r="31" spans="1:9" ht="15.95" customHeight="1" x14ac:dyDescent="0.15">
      <c r="A31" s="481"/>
      <c r="B31" s="238"/>
      <c r="C31" s="246"/>
      <c r="D31" s="246"/>
      <c r="E31" s="251"/>
      <c r="F31" s="252"/>
      <c r="G31" s="253"/>
      <c r="H31" s="189">
        <f t="shared" si="1"/>
        <v>0</v>
      </c>
      <c r="I31" s="245"/>
    </row>
    <row r="32" spans="1:9" ht="15.95" customHeight="1" x14ac:dyDescent="0.15">
      <c r="A32" s="481"/>
      <c r="B32" s="238"/>
      <c r="C32" s="246"/>
      <c r="D32" s="246"/>
      <c r="E32" s="251"/>
      <c r="F32" s="252"/>
      <c r="G32" s="253"/>
      <c r="H32" s="189">
        <f t="shared" si="1"/>
        <v>0</v>
      </c>
      <c r="I32" s="245"/>
    </row>
    <row r="33" spans="1:9" ht="15.95" customHeight="1" x14ac:dyDescent="0.15">
      <c r="A33" s="481"/>
      <c r="B33" s="238"/>
      <c r="C33" s="246"/>
      <c r="D33" s="246"/>
      <c r="E33" s="251"/>
      <c r="F33" s="252"/>
      <c r="G33" s="253"/>
      <c r="H33" s="189">
        <f t="shared" si="1"/>
        <v>0</v>
      </c>
      <c r="I33" s="245"/>
    </row>
    <row r="34" spans="1:9" ht="15.95" customHeight="1" x14ac:dyDescent="0.15">
      <c r="A34" s="481"/>
      <c r="B34" s="238"/>
      <c r="C34" s="246"/>
      <c r="D34" s="246"/>
      <c r="E34" s="251"/>
      <c r="F34" s="252"/>
      <c r="G34" s="253"/>
      <c r="H34" s="189">
        <f t="shared" si="1"/>
        <v>0</v>
      </c>
      <c r="I34" s="245"/>
    </row>
    <row r="35" spans="1:9" ht="15.95" customHeight="1" x14ac:dyDescent="0.15">
      <c r="A35" s="481"/>
      <c r="B35" s="238"/>
      <c r="C35" s="246"/>
      <c r="D35" s="246"/>
      <c r="E35" s="251"/>
      <c r="F35" s="252"/>
      <c r="G35" s="253"/>
      <c r="H35" s="189">
        <f t="shared" si="1"/>
        <v>0</v>
      </c>
      <c r="I35" s="245"/>
    </row>
    <row r="36" spans="1:9" ht="15.95" customHeight="1" x14ac:dyDescent="0.15">
      <c r="A36" s="481"/>
      <c r="B36" s="238"/>
      <c r="C36" s="246"/>
      <c r="D36" s="246"/>
      <c r="E36" s="251"/>
      <c r="F36" s="252"/>
      <c r="G36" s="253"/>
      <c r="H36" s="189">
        <f t="shared" si="1"/>
        <v>0</v>
      </c>
      <c r="I36" s="245"/>
    </row>
    <row r="37" spans="1:9" ht="15.95" customHeight="1" x14ac:dyDescent="0.15">
      <c r="A37" s="481"/>
      <c r="B37" s="238"/>
      <c r="C37" s="246"/>
      <c r="D37" s="246"/>
      <c r="E37" s="251"/>
      <c r="F37" s="252"/>
      <c r="G37" s="253"/>
      <c r="H37" s="189">
        <f t="shared" si="1"/>
        <v>0</v>
      </c>
      <c r="I37" s="245"/>
    </row>
    <row r="38" spans="1:9" ht="15.95" customHeight="1" x14ac:dyDescent="0.15">
      <c r="A38" s="481"/>
      <c r="B38" s="238"/>
      <c r="C38" s="246"/>
      <c r="D38" s="246"/>
      <c r="E38" s="251"/>
      <c r="F38" s="252"/>
      <c r="G38" s="253"/>
      <c r="H38" s="189">
        <f t="shared" si="1"/>
        <v>0</v>
      </c>
      <c r="I38" s="245"/>
    </row>
    <row r="39" spans="1:9" ht="15.95" customHeight="1" x14ac:dyDescent="0.15">
      <c r="A39" s="481"/>
      <c r="B39" s="238"/>
      <c r="C39" s="246"/>
      <c r="D39" s="246"/>
      <c r="E39" s="251"/>
      <c r="F39" s="252"/>
      <c r="G39" s="253"/>
      <c r="H39" s="189">
        <f t="shared" si="1"/>
        <v>0</v>
      </c>
      <c r="I39" s="245"/>
    </row>
    <row r="40" spans="1:9" ht="15.95" customHeight="1" x14ac:dyDescent="0.15">
      <c r="A40" s="481"/>
      <c r="B40" s="238"/>
      <c r="C40" s="246"/>
      <c r="D40" s="246"/>
      <c r="E40" s="248"/>
      <c r="F40" s="253"/>
      <c r="G40" s="253"/>
      <c r="H40" s="189">
        <f t="shared" si="1"/>
        <v>0</v>
      </c>
      <c r="I40" s="245"/>
    </row>
    <row r="41" spans="1:9" ht="15.95" customHeight="1" x14ac:dyDescent="0.15">
      <c r="A41" s="481"/>
      <c r="B41" s="238"/>
      <c r="C41" s="254"/>
      <c r="D41" s="254"/>
      <c r="E41" s="255"/>
      <c r="F41" s="256"/>
      <c r="G41" s="256"/>
      <c r="H41" s="299">
        <f t="shared" si="1"/>
        <v>0</v>
      </c>
      <c r="I41" s="257"/>
    </row>
    <row r="42" spans="1:9" ht="15.95" customHeight="1" x14ac:dyDescent="0.15">
      <c r="A42" s="481"/>
      <c r="B42" s="238"/>
      <c r="C42" s="300"/>
      <c r="D42" s="247"/>
      <c r="E42" s="248"/>
      <c r="F42" s="301"/>
      <c r="G42" s="250"/>
      <c r="H42" s="302">
        <f>SUM(H17:H41)</f>
        <v>25000000</v>
      </c>
      <c r="I42" s="303"/>
    </row>
    <row r="43" spans="1:9" ht="15.95" customHeight="1" x14ac:dyDescent="0.15">
      <c r="A43" s="481"/>
      <c r="B43" s="286" t="s">
        <v>141</v>
      </c>
      <c r="C43" s="304"/>
      <c r="D43" s="266"/>
      <c r="E43" s="267"/>
      <c r="F43" s="268"/>
      <c r="G43" s="269"/>
      <c r="H43" s="305">
        <f t="shared" si="1"/>
        <v>0</v>
      </c>
      <c r="I43" s="271"/>
    </row>
    <row r="44" spans="1:9" ht="15.95" customHeight="1" x14ac:dyDescent="0.15">
      <c r="A44" s="481"/>
      <c r="B44" s="238"/>
      <c r="C44" s="246"/>
      <c r="D44" s="246"/>
      <c r="E44" s="251"/>
      <c r="F44" s="252"/>
      <c r="G44" s="253"/>
      <c r="H44" s="189">
        <f t="shared" si="1"/>
        <v>0</v>
      </c>
      <c r="I44" s="245"/>
    </row>
    <row r="45" spans="1:9" ht="15.95" customHeight="1" x14ac:dyDescent="0.15">
      <c r="A45" s="481"/>
      <c r="B45" s="238"/>
      <c r="C45" s="246"/>
      <c r="D45" s="246"/>
      <c r="E45" s="251"/>
      <c r="F45" s="252"/>
      <c r="G45" s="253"/>
      <c r="H45" s="189">
        <f t="shared" si="1"/>
        <v>0</v>
      </c>
      <c r="I45" s="245"/>
    </row>
    <row r="46" spans="1:9" ht="15.95" customHeight="1" x14ac:dyDescent="0.15">
      <c r="A46" s="481"/>
      <c r="B46" s="238"/>
      <c r="C46" s="246"/>
      <c r="D46" s="246"/>
      <c r="E46" s="251"/>
      <c r="F46" s="252"/>
      <c r="G46" s="253"/>
      <c r="H46" s="189">
        <f t="shared" si="1"/>
        <v>0</v>
      </c>
      <c r="I46" s="245"/>
    </row>
    <row r="47" spans="1:9" ht="15.95" customHeight="1" x14ac:dyDescent="0.15">
      <c r="A47" s="481"/>
      <c r="B47" s="238"/>
      <c r="C47" s="246"/>
      <c r="D47" s="246"/>
      <c r="E47" s="251"/>
      <c r="F47" s="252"/>
      <c r="G47" s="253"/>
      <c r="H47" s="189">
        <f t="shared" si="1"/>
        <v>0</v>
      </c>
      <c r="I47" s="245"/>
    </row>
    <row r="48" spans="1:9" ht="15.95" customHeight="1" x14ac:dyDescent="0.15">
      <c r="A48" s="481"/>
      <c r="B48" s="238"/>
      <c r="C48" s="246"/>
      <c r="D48" s="246"/>
      <c r="E48" s="251"/>
      <c r="F48" s="252"/>
      <c r="G48" s="253"/>
      <c r="H48" s="189">
        <f t="shared" si="1"/>
        <v>0</v>
      </c>
      <c r="I48" s="245"/>
    </row>
    <row r="49" spans="1:9" ht="15.95" customHeight="1" x14ac:dyDescent="0.15">
      <c r="A49" s="481"/>
      <c r="B49" s="238"/>
      <c r="C49" s="246"/>
      <c r="D49" s="246"/>
      <c r="E49" s="251"/>
      <c r="F49" s="252"/>
      <c r="G49" s="253"/>
      <c r="H49" s="189">
        <f t="shared" si="1"/>
        <v>0</v>
      </c>
      <c r="I49" s="245"/>
    </row>
    <row r="50" spans="1:9" ht="15.95" customHeight="1" x14ac:dyDescent="0.15">
      <c r="A50" s="481"/>
      <c r="B50" s="238"/>
      <c r="C50" s="246"/>
      <c r="D50" s="246"/>
      <c r="E50" s="251"/>
      <c r="F50" s="252"/>
      <c r="G50" s="253"/>
      <c r="H50" s="189">
        <f t="shared" si="1"/>
        <v>0</v>
      </c>
      <c r="I50" s="245"/>
    </row>
    <row r="51" spans="1:9" ht="15.95" customHeight="1" x14ac:dyDescent="0.15">
      <c r="A51" s="481"/>
      <c r="B51" s="238"/>
      <c r="C51" s="246"/>
      <c r="D51" s="246"/>
      <c r="E51" s="251"/>
      <c r="F51" s="252"/>
      <c r="G51" s="253"/>
      <c r="H51" s="189">
        <f t="shared" si="1"/>
        <v>0</v>
      </c>
      <c r="I51" s="245"/>
    </row>
    <row r="52" spans="1:9" ht="15.95" customHeight="1" x14ac:dyDescent="0.15">
      <c r="A52" s="481"/>
      <c r="B52" s="238"/>
      <c r="C52" s="254" t="s">
        <v>142</v>
      </c>
      <c r="D52" s="254"/>
      <c r="E52" s="255"/>
      <c r="F52" s="306"/>
      <c r="G52" s="256"/>
      <c r="H52" s="299">
        <f t="shared" si="1"/>
        <v>0</v>
      </c>
      <c r="I52" s="257"/>
    </row>
    <row r="53" spans="1:9" ht="15.95" customHeight="1" x14ac:dyDescent="0.15">
      <c r="A53" s="481"/>
      <c r="B53" s="258"/>
      <c r="C53" s="259"/>
      <c r="D53" s="260"/>
      <c r="E53" s="235"/>
      <c r="F53" s="261"/>
      <c r="G53" s="262"/>
      <c r="H53" s="263">
        <f>SUM(H43:H52)</f>
        <v>0</v>
      </c>
      <c r="I53" s="264"/>
    </row>
    <row r="54" spans="1:9" ht="15.95" customHeight="1" x14ac:dyDescent="0.15">
      <c r="A54" s="307"/>
      <c r="B54" s="308" t="s">
        <v>143</v>
      </c>
      <c r="C54" s="309"/>
      <c r="D54" s="264"/>
      <c r="E54" s="236"/>
      <c r="F54" s="310"/>
      <c r="G54" s="311"/>
      <c r="H54" s="263">
        <f>SUM(H53,H9,H42)</f>
        <v>26900000</v>
      </c>
      <c r="I54" s="264"/>
    </row>
    <row r="55" spans="1:9" ht="15.95" customHeight="1" x14ac:dyDescent="0.15">
      <c r="A55" s="482" t="s">
        <v>144</v>
      </c>
      <c r="B55" s="312" t="s">
        <v>145</v>
      </c>
      <c r="C55" s="309"/>
      <c r="D55" s="313"/>
      <c r="E55" s="314" t="s">
        <v>146</v>
      </c>
      <c r="F55" s="315"/>
      <c r="G55" s="316">
        <v>0</v>
      </c>
      <c r="H55" s="317">
        <f t="shared" ref="H55:H61" si="2">F55*G55</f>
        <v>0</v>
      </c>
      <c r="I55" s="264"/>
    </row>
    <row r="56" spans="1:9" ht="15.95" customHeight="1" x14ac:dyDescent="0.15">
      <c r="A56" s="483"/>
      <c r="B56" s="318" t="s">
        <v>147</v>
      </c>
      <c r="C56" s="319"/>
      <c r="D56" s="320"/>
      <c r="E56" s="321" t="s">
        <v>146</v>
      </c>
      <c r="F56" s="322">
        <v>10</v>
      </c>
      <c r="G56" s="269">
        <v>300000</v>
      </c>
      <c r="H56" s="270">
        <f t="shared" si="2"/>
        <v>3000000</v>
      </c>
      <c r="I56" s="271"/>
    </row>
    <row r="57" spans="1:9" ht="15.95" customHeight="1" x14ac:dyDescent="0.15">
      <c r="A57" s="483"/>
      <c r="B57" s="323" t="s">
        <v>148</v>
      </c>
      <c r="C57" s="324"/>
      <c r="D57" s="325"/>
      <c r="E57" s="321" t="s">
        <v>146</v>
      </c>
      <c r="F57" s="297">
        <v>10</v>
      </c>
      <c r="G57" s="253">
        <v>300000</v>
      </c>
      <c r="H57" s="189">
        <f t="shared" si="2"/>
        <v>3000000</v>
      </c>
      <c r="I57" s="245"/>
    </row>
    <row r="58" spans="1:9" ht="15.95" customHeight="1" x14ac:dyDescent="0.15">
      <c r="A58" s="483"/>
      <c r="B58" s="323" t="s">
        <v>149</v>
      </c>
      <c r="C58" s="324"/>
      <c r="D58" s="325"/>
      <c r="E58" s="321" t="s">
        <v>150</v>
      </c>
      <c r="F58" s="297">
        <v>35</v>
      </c>
      <c r="G58" s="253">
        <v>300000</v>
      </c>
      <c r="H58" s="189">
        <f>F58*G58</f>
        <v>10500000</v>
      </c>
      <c r="I58" s="245"/>
    </row>
    <row r="59" spans="1:9" ht="15.95" customHeight="1" x14ac:dyDescent="0.15">
      <c r="A59" s="483"/>
      <c r="B59" s="323" t="s">
        <v>151</v>
      </c>
      <c r="C59" s="324"/>
      <c r="D59" s="325"/>
      <c r="E59" s="321" t="s">
        <v>150</v>
      </c>
      <c r="F59" s="297"/>
      <c r="G59" s="253">
        <v>300000</v>
      </c>
      <c r="H59" s="189">
        <f t="shared" si="2"/>
        <v>0</v>
      </c>
      <c r="I59" s="245"/>
    </row>
    <row r="60" spans="1:9" ht="15.95" customHeight="1" x14ac:dyDescent="0.15">
      <c r="A60" s="483"/>
      <c r="B60" s="323" t="s">
        <v>152</v>
      </c>
      <c r="C60" s="324"/>
      <c r="D60" s="325"/>
      <c r="E60" s="321" t="s">
        <v>150</v>
      </c>
      <c r="F60" s="253">
        <f>14+4</f>
        <v>18</v>
      </c>
      <c r="G60" s="253">
        <v>450000</v>
      </c>
      <c r="H60" s="189">
        <f t="shared" si="2"/>
        <v>8100000</v>
      </c>
      <c r="I60" s="245"/>
    </row>
    <row r="61" spans="1:9" ht="15.95" customHeight="1" x14ac:dyDescent="0.15">
      <c r="A61" s="483"/>
      <c r="B61" s="326" t="s">
        <v>153</v>
      </c>
      <c r="C61" s="327"/>
      <c r="D61" s="328"/>
      <c r="E61" s="329" t="s">
        <v>150</v>
      </c>
      <c r="F61" s="256">
        <v>7</v>
      </c>
      <c r="G61" s="256">
        <v>450000</v>
      </c>
      <c r="H61" s="299">
        <f t="shared" si="2"/>
        <v>3150000</v>
      </c>
      <c r="I61" s="257"/>
    </row>
    <row r="62" spans="1:9" ht="15.95" customHeight="1" x14ac:dyDescent="0.15">
      <c r="A62" s="307"/>
      <c r="B62" s="330" t="s">
        <v>154</v>
      </c>
      <c r="C62" s="309"/>
      <c r="D62" s="264"/>
      <c r="E62" s="236"/>
      <c r="F62" s="261"/>
      <c r="G62" s="262"/>
      <c r="H62" s="263">
        <f>SUM(H55:H61)</f>
        <v>27750000</v>
      </c>
      <c r="I62" s="264"/>
    </row>
    <row r="63" spans="1:9" ht="15.95" customHeight="1" x14ac:dyDescent="0.15">
      <c r="A63" s="331"/>
      <c r="B63" s="330" t="s">
        <v>155</v>
      </c>
      <c r="C63" s="309"/>
      <c r="D63" s="264"/>
      <c r="E63" s="236"/>
      <c r="F63" s="237"/>
      <c r="G63" s="332" t="s">
        <v>156</v>
      </c>
      <c r="H63" s="311">
        <v>0</v>
      </c>
      <c r="I63" s="264"/>
    </row>
    <row r="64" spans="1:9" ht="15.95" customHeight="1" x14ac:dyDescent="0.15">
      <c r="A64" s="331"/>
      <c r="B64" s="330" t="s">
        <v>157</v>
      </c>
      <c r="C64" s="309"/>
      <c r="D64" s="264"/>
      <c r="E64" s="236"/>
      <c r="F64" s="237"/>
      <c r="G64" s="333"/>
      <c r="H64" s="316">
        <v>1400000</v>
      </c>
      <c r="I64" s="309"/>
    </row>
    <row r="65" spans="1:9" ht="15.95" customHeight="1" x14ac:dyDescent="0.15">
      <c r="A65" s="331"/>
      <c r="B65" s="330" t="s">
        <v>158</v>
      </c>
      <c r="C65" s="309"/>
      <c r="D65" s="264"/>
      <c r="E65" s="236"/>
      <c r="F65" s="237"/>
      <c r="G65" s="333"/>
      <c r="H65" s="316">
        <v>1400000</v>
      </c>
      <c r="I65" s="309"/>
    </row>
    <row r="66" spans="1:9" ht="15.95" customHeight="1" x14ac:dyDescent="0.15">
      <c r="A66" s="331"/>
      <c r="B66" s="330" t="s">
        <v>159</v>
      </c>
      <c r="C66" s="309"/>
      <c r="D66" s="264"/>
      <c r="E66" s="236"/>
      <c r="F66" s="237"/>
      <c r="G66" s="263"/>
      <c r="H66" s="262">
        <f>H54+H62+H63+H64+H65</f>
        <v>57450000</v>
      </c>
      <c r="I66" s="264"/>
    </row>
    <row r="67" spans="1:9" x14ac:dyDescent="0.15">
      <c r="A67" s="156"/>
    </row>
  </sheetData>
  <mergeCells count="3">
    <mergeCell ref="A2:B2"/>
    <mergeCell ref="A3:A53"/>
    <mergeCell ref="A55:A61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1" orientation="portrait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  <pageSetUpPr fitToPage="1"/>
  </sheetPr>
  <dimension ref="A1:K90"/>
  <sheetViews>
    <sheetView zoomScale="85" workbookViewId="0">
      <pane xSplit="2" ySplit="2" topLeftCell="C66" activePane="bottomRight" state="frozen"/>
      <selection activeCell="L14" sqref="L14"/>
      <selection pane="topRight" activeCell="L14" sqref="L14"/>
      <selection pane="bottomLeft" activeCell="L14" sqref="L14"/>
      <selection pane="bottomRight" activeCell="H89" sqref="H89"/>
    </sheetView>
  </sheetViews>
  <sheetFormatPr defaultRowHeight="13.5" x14ac:dyDescent="0.15"/>
  <cols>
    <col min="1" max="1" width="5" style="138" customWidth="1"/>
    <col min="2" max="2" width="17.875" style="138" bestFit="1" customWidth="1"/>
    <col min="3" max="3" width="23.625" style="138" customWidth="1"/>
    <col min="4" max="4" width="18.25" style="138" customWidth="1"/>
    <col min="5" max="5" width="5.25" style="156" bestFit="1" customWidth="1"/>
    <col min="6" max="6" width="9" style="178"/>
    <col min="7" max="7" width="11.875" style="178" customWidth="1"/>
    <col min="8" max="8" width="13.625" style="178" customWidth="1"/>
    <col min="9" max="9" width="12.75" style="138" customWidth="1"/>
    <col min="10" max="10" width="9" style="138"/>
    <col min="11" max="11" width="10" style="138" bestFit="1" customWidth="1"/>
    <col min="12" max="16384" width="9" style="138"/>
  </cols>
  <sheetData>
    <row r="1" spans="1:11" ht="22.5" customHeight="1" x14ac:dyDescent="0.15">
      <c r="B1" s="230" t="s">
        <v>160</v>
      </c>
      <c r="C1" s="335" t="s">
        <v>226</v>
      </c>
      <c r="D1" s="232"/>
      <c r="E1" s="233"/>
      <c r="F1" s="336"/>
      <c r="G1" s="192"/>
      <c r="I1" s="138" t="s">
        <v>161</v>
      </c>
      <c r="K1" s="337"/>
    </row>
    <row r="2" spans="1:11" s="156" customFormat="1" ht="16.5" customHeight="1" x14ac:dyDescent="0.15">
      <c r="A2" s="370" t="s">
        <v>162</v>
      </c>
      <c r="B2" s="479"/>
      <c r="C2" s="146" t="s">
        <v>163</v>
      </c>
      <c r="D2" s="139" t="s">
        <v>164</v>
      </c>
      <c r="E2" s="139" t="s">
        <v>165</v>
      </c>
      <c r="F2" s="310" t="s">
        <v>166</v>
      </c>
      <c r="G2" s="310" t="s">
        <v>167</v>
      </c>
      <c r="H2" s="310" t="s">
        <v>168</v>
      </c>
      <c r="I2" s="139" t="s">
        <v>169</v>
      </c>
    </row>
    <row r="3" spans="1:11" ht="15.95" customHeight="1" x14ac:dyDescent="0.15">
      <c r="A3" s="480" t="s">
        <v>170</v>
      </c>
      <c r="B3" s="238" t="s">
        <v>171</v>
      </c>
      <c r="C3" s="246" t="s">
        <v>227</v>
      </c>
      <c r="D3" s="338" t="s">
        <v>228</v>
      </c>
      <c r="E3" s="251" t="s">
        <v>229</v>
      </c>
      <c r="F3" s="253">
        <v>1</v>
      </c>
      <c r="G3" s="253">
        <v>15000000</v>
      </c>
      <c r="H3" s="270">
        <f>IF(F3=0,G3,G3*F3)</f>
        <v>15000000</v>
      </c>
      <c r="I3" s="271"/>
    </row>
    <row r="4" spans="1:11" ht="15.95" customHeight="1" x14ac:dyDescent="0.15">
      <c r="A4" s="484"/>
      <c r="B4" s="238"/>
      <c r="C4" s="246" t="s">
        <v>230</v>
      </c>
      <c r="D4" s="251"/>
      <c r="E4" s="251" t="s">
        <v>229</v>
      </c>
      <c r="F4" s="253">
        <v>2</v>
      </c>
      <c r="G4" s="253">
        <v>700000</v>
      </c>
      <c r="H4" s="189">
        <f>IF(F4=0,G4,G4*F4)</f>
        <v>1400000</v>
      </c>
      <c r="I4" s="245"/>
    </row>
    <row r="5" spans="1:11" ht="15.95" customHeight="1" x14ac:dyDescent="0.15">
      <c r="A5" s="484"/>
      <c r="B5" s="238"/>
      <c r="C5" s="246" t="s">
        <v>231</v>
      </c>
      <c r="D5" s="251"/>
      <c r="E5" s="251" t="s">
        <v>229</v>
      </c>
      <c r="F5" s="253">
        <v>3</v>
      </c>
      <c r="G5" s="253">
        <v>600000</v>
      </c>
      <c r="H5" s="189">
        <f t="shared" ref="H5:H74" si="0">IF(F5=0,G5,G5*F5)</f>
        <v>1800000</v>
      </c>
      <c r="I5" s="245"/>
    </row>
    <row r="6" spans="1:11" ht="15.95" customHeight="1" x14ac:dyDescent="0.15">
      <c r="A6" s="484"/>
      <c r="B6" s="238"/>
      <c r="C6" s="246" t="s">
        <v>232</v>
      </c>
      <c r="D6" s="251"/>
      <c r="E6" s="251" t="s">
        <v>229</v>
      </c>
      <c r="F6" s="253">
        <v>3</v>
      </c>
      <c r="G6" s="253">
        <v>600000</v>
      </c>
      <c r="H6" s="189">
        <f t="shared" si="0"/>
        <v>1800000</v>
      </c>
      <c r="I6" s="245"/>
    </row>
    <row r="7" spans="1:11" ht="15.95" customHeight="1" x14ac:dyDescent="0.15">
      <c r="A7" s="484"/>
      <c r="B7" s="238"/>
      <c r="C7" s="246" t="s">
        <v>233</v>
      </c>
      <c r="D7" s="251"/>
      <c r="E7" s="251" t="s">
        <v>229</v>
      </c>
      <c r="F7" s="253">
        <v>4</v>
      </c>
      <c r="G7" s="253">
        <v>550000</v>
      </c>
      <c r="H7" s="189">
        <f t="shared" si="0"/>
        <v>2200000</v>
      </c>
      <c r="I7" s="245"/>
    </row>
    <row r="8" spans="1:11" ht="15.95" customHeight="1" x14ac:dyDescent="0.15">
      <c r="A8" s="484"/>
      <c r="B8" s="238"/>
      <c r="C8" s="246" t="s">
        <v>234</v>
      </c>
      <c r="D8" s="246"/>
      <c r="E8" s="251" t="s">
        <v>229</v>
      </c>
      <c r="F8" s="253">
        <v>1</v>
      </c>
      <c r="G8" s="253">
        <v>4000000</v>
      </c>
      <c r="H8" s="189">
        <f t="shared" si="0"/>
        <v>4000000</v>
      </c>
      <c r="I8" s="245"/>
    </row>
    <row r="9" spans="1:11" ht="15.95" customHeight="1" x14ac:dyDescent="0.15">
      <c r="A9" s="484"/>
      <c r="B9" s="238"/>
      <c r="C9" s="246" t="s">
        <v>235</v>
      </c>
      <c r="D9" s="246" t="s">
        <v>238</v>
      </c>
      <c r="E9" s="251" t="s">
        <v>229</v>
      </c>
      <c r="F9" s="253">
        <v>1</v>
      </c>
      <c r="G9" s="253">
        <v>6000000</v>
      </c>
      <c r="H9" s="189">
        <f t="shared" si="0"/>
        <v>6000000</v>
      </c>
      <c r="I9" s="245"/>
    </row>
    <row r="10" spans="1:11" ht="15.95" customHeight="1" x14ac:dyDescent="0.15">
      <c r="A10" s="484"/>
      <c r="B10" s="238"/>
      <c r="C10" s="246" t="s">
        <v>236</v>
      </c>
      <c r="D10" s="246" t="s">
        <v>239</v>
      </c>
      <c r="E10" s="251" t="s">
        <v>229</v>
      </c>
      <c r="F10" s="253">
        <v>1</v>
      </c>
      <c r="G10" s="253">
        <v>400000</v>
      </c>
      <c r="H10" s="189">
        <f t="shared" si="0"/>
        <v>400000</v>
      </c>
      <c r="I10" s="245"/>
    </row>
    <row r="11" spans="1:11" ht="15.95" customHeight="1" x14ac:dyDescent="0.15">
      <c r="A11" s="484"/>
      <c r="B11" s="238"/>
      <c r="C11" s="246" t="s">
        <v>237</v>
      </c>
      <c r="D11" s="246" t="s">
        <v>240</v>
      </c>
      <c r="E11" s="251" t="s">
        <v>241</v>
      </c>
      <c r="F11" s="253">
        <v>1</v>
      </c>
      <c r="G11" s="253">
        <v>2500000</v>
      </c>
      <c r="H11" s="189">
        <f t="shared" si="0"/>
        <v>2500000</v>
      </c>
      <c r="I11" s="245"/>
    </row>
    <row r="12" spans="1:11" ht="15.95" customHeight="1" x14ac:dyDescent="0.15">
      <c r="A12" s="484"/>
      <c r="B12" s="238"/>
      <c r="C12" s="246" t="s">
        <v>242</v>
      </c>
      <c r="D12" s="246"/>
      <c r="E12" s="251" t="s">
        <v>229</v>
      </c>
      <c r="F12" s="253">
        <v>1</v>
      </c>
      <c r="G12" s="253">
        <v>4000000</v>
      </c>
      <c r="H12" s="189">
        <f t="shared" si="0"/>
        <v>4000000</v>
      </c>
      <c r="I12" s="245"/>
    </row>
    <row r="13" spans="1:11" ht="15.95" customHeight="1" x14ac:dyDescent="0.15">
      <c r="A13" s="484"/>
      <c r="B13" s="238"/>
      <c r="C13" s="246" t="s">
        <v>243</v>
      </c>
      <c r="D13" s="246"/>
      <c r="E13" s="251" t="s">
        <v>229</v>
      </c>
      <c r="F13" s="253">
        <v>1</v>
      </c>
      <c r="G13" s="253">
        <v>3500000</v>
      </c>
      <c r="H13" s="189">
        <f t="shared" si="0"/>
        <v>3500000</v>
      </c>
      <c r="I13" s="245"/>
    </row>
    <row r="14" spans="1:11" ht="15.95" customHeight="1" x14ac:dyDescent="0.15">
      <c r="A14" s="484"/>
      <c r="B14" s="238"/>
      <c r="C14" s="246" t="s">
        <v>244</v>
      </c>
      <c r="D14" s="246"/>
      <c r="E14" s="251" t="s">
        <v>229</v>
      </c>
      <c r="F14" s="253">
        <v>1</v>
      </c>
      <c r="G14" s="253">
        <v>4000000</v>
      </c>
      <c r="H14" s="189">
        <f t="shared" si="0"/>
        <v>4000000</v>
      </c>
      <c r="I14" s="245"/>
    </row>
    <row r="15" spans="1:11" ht="15.95" customHeight="1" x14ac:dyDescent="0.15">
      <c r="A15" s="484"/>
      <c r="B15" s="238"/>
      <c r="C15" s="246" t="s">
        <v>245</v>
      </c>
      <c r="D15" s="246"/>
      <c r="E15" s="251" t="s">
        <v>229</v>
      </c>
      <c r="F15" s="253">
        <v>5</v>
      </c>
      <c r="G15" s="253">
        <v>1000000</v>
      </c>
      <c r="H15" s="189">
        <f t="shared" si="0"/>
        <v>5000000</v>
      </c>
      <c r="I15" s="245"/>
    </row>
    <row r="16" spans="1:11" ht="15.95" customHeight="1" x14ac:dyDescent="0.15">
      <c r="A16" s="484"/>
      <c r="B16" s="238"/>
      <c r="C16" s="246" t="s">
        <v>246</v>
      </c>
      <c r="D16" s="246"/>
      <c r="E16" s="251" t="s">
        <v>229</v>
      </c>
      <c r="F16" s="253">
        <v>5</v>
      </c>
      <c r="G16" s="253">
        <v>2500000</v>
      </c>
      <c r="H16" s="189">
        <f t="shared" si="0"/>
        <v>12500000</v>
      </c>
      <c r="I16" s="245"/>
    </row>
    <row r="17" spans="1:9" ht="15.95" customHeight="1" x14ac:dyDescent="0.15">
      <c r="A17" s="484"/>
      <c r="B17" s="238"/>
      <c r="C17" s="246" t="s">
        <v>247</v>
      </c>
      <c r="D17" s="246" t="s">
        <v>249</v>
      </c>
      <c r="E17" s="251" t="s">
        <v>229</v>
      </c>
      <c r="F17" s="253">
        <v>1</v>
      </c>
      <c r="G17" s="253">
        <v>2000000</v>
      </c>
      <c r="H17" s="189">
        <f t="shared" si="0"/>
        <v>2000000</v>
      </c>
      <c r="I17" s="245"/>
    </row>
    <row r="18" spans="1:9" ht="15.95" customHeight="1" x14ac:dyDescent="0.15">
      <c r="A18" s="484"/>
      <c r="B18" s="238"/>
      <c r="C18" s="246" t="s">
        <v>248</v>
      </c>
      <c r="D18" s="246"/>
      <c r="E18" s="251" t="s">
        <v>229</v>
      </c>
      <c r="F18" s="253">
        <v>1</v>
      </c>
      <c r="G18" s="253">
        <v>1000000</v>
      </c>
      <c r="H18" s="189">
        <f t="shared" si="0"/>
        <v>1000000</v>
      </c>
      <c r="I18" s="245"/>
    </row>
    <row r="19" spans="1:9" ht="15.95" customHeight="1" x14ac:dyDescent="0.15">
      <c r="A19" s="484"/>
      <c r="B19" s="238"/>
      <c r="C19" s="246" t="s">
        <v>251</v>
      </c>
      <c r="D19" s="246" t="s">
        <v>250</v>
      </c>
      <c r="E19" s="251" t="s">
        <v>229</v>
      </c>
      <c r="F19" s="253">
        <v>20</v>
      </c>
      <c r="G19" s="253">
        <v>5000</v>
      </c>
      <c r="H19" s="189">
        <f t="shared" si="0"/>
        <v>100000</v>
      </c>
      <c r="I19" s="245"/>
    </row>
    <row r="20" spans="1:9" ht="15.95" customHeight="1" x14ac:dyDescent="0.15">
      <c r="A20" s="484"/>
      <c r="B20" s="238"/>
      <c r="C20" s="246" t="s">
        <v>252</v>
      </c>
      <c r="D20" s="246"/>
      <c r="E20" s="251" t="s">
        <v>229</v>
      </c>
      <c r="F20" s="253">
        <v>1</v>
      </c>
      <c r="G20" s="253">
        <v>2000000</v>
      </c>
      <c r="H20" s="189">
        <f t="shared" si="0"/>
        <v>2000000</v>
      </c>
      <c r="I20" s="245"/>
    </row>
    <row r="21" spans="1:9" ht="15.95" customHeight="1" x14ac:dyDescent="0.15">
      <c r="A21" s="484"/>
      <c r="B21" s="238"/>
      <c r="C21" s="246" t="s">
        <v>253</v>
      </c>
      <c r="D21" s="246"/>
      <c r="E21" s="251" t="s">
        <v>229</v>
      </c>
      <c r="F21" s="253">
        <v>1</v>
      </c>
      <c r="G21" s="253">
        <v>2500000</v>
      </c>
      <c r="H21" s="189">
        <f t="shared" si="0"/>
        <v>2500000</v>
      </c>
      <c r="I21" s="245"/>
    </row>
    <row r="22" spans="1:9" ht="15.95" customHeight="1" x14ac:dyDescent="0.15">
      <c r="A22" s="484"/>
      <c r="B22" s="238"/>
      <c r="C22" s="246" t="s">
        <v>254</v>
      </c>
      <c r="D22" s="246" t="s">
        <v>250</v>
      </c>
      <c r="E22" s="251" t="s">
        <v>229</v>
      </c>
      <c r="F22" s="253">
        <v>50</v>
      </c>
      <c r="G22" s="253">
        <v>60000</v>
      </c>
      <c r="H22" s="189">
        <f t="shared" si="0"/>
        <v>3000000</v>
      </c>
      <c r="I22" s="245"/>
    </row>
    <row r="23" spans="1:9" ht="15.95" customHeight="1" x14ac:dyDescent="0.15">
      <c r="A23" s="484"/>
      <c r="B23" s="238"/>
      <c r="C23" s="246" t="s">
        <v>255</v>
      </c>
      <c r="D23" s="246"/>
      <c r="E23" s="251" t="s">
        <v>229</v>
      </c>
      <c r="F23" s="253">
        <v>1</v>
      </c>
      <c r="G23" s="253">
        <v>2000000</v>
      </c>
      <c r="H23" s="189">
        <f t="shared" si="0"/>
        <v>2000000</v>
      </c>
      <c r="I23" s="245"/>
    </row>
    <row r="24" spans="1:9" ht="15.95" customHeight="1" x14ac:dyDescent="0.15">
      <c r="A24" s="484"/>
      <c r="B24" s="238"/>
      <c r="C24" s="246" t="s">
        <v>256</v>
      </c>
      <c r="D24" s="246"/>
      <c r="E24" s="251" t="s">
        <v>229</v>
      </c>
      <c r="F24" s="253">
        <v>1</v>
      </c>
      <c r="G24" s="253">
        <v>2500000</v>
      </c>
      <c r="H24" s="189">
        <f t="shared" si="0"/>
        <v>2500000</v>
      </c>
      <c r="I24" s="245"/>
    </row>
    <row r="25" spans="1:9" ht="15.95" customHeight="1" x14ac:dyDescent="0.15">
      <c r="A25" s="484"/>
      <c r="B25" s="238"/>
      <c r="C25" s="246" t="s">
        <v>260</v>
      </c>
      <c r="D25" s="246" t="s">
        <v>265</v>
      </c>
      <c r="E25" s="251" t="s">
        <v>229</v>
      </c>
      <c r="F25" s="253">
        <v>2</v>
      </c>
      <c r="G25" s="253">
        <v>2000000</v>
      </c>
      <c r="H25" s="189">
        <f t="shared" si="0"/>
        <v>4000000</v>
      </c>
      <c r="I25" s="245"/>
    </row>
    <row r="26" spans="1:9" ht="15.95" customHeight="1" x14ac:dyDescent="0.15">
      <c r="A26" s="484"/>
      <c r="B26" s="238"/>
      <c r="C26" s="246" t="s">
        <v>263</v>
      </c>
      <c r="D26" s="246" t="s">
        <v>266</v>
      </c>
      <c r="E26" s="251" t="s">
        <v>229</v>
      </c>
      <c r="F26" s="253">
        <v>1</v>
      </c>
      <c r="G26" s="253">
        <v>600000</v>
      </c>
      <c r="H26" s="189">
        <f t="shared" si="0"/>
        <v>600000</v>
      </c>
      <c r="I26" s="245"/>
    </row>
    <row r="27" spans="1:9" ht="15.95" customHeight="1" x14ac:dyDescent="0.15">
      <c r="A27" s="484"/>
      <c r="B27" s="238"/>
      <c r="C27" s="246" t="s">
        <v>264</v>
      </c>
      <c r="D27" s="246"/>
      <c r="E27" s="251" t="s">
        <v>267</v>
      </c>
      <c r="F27" s="253">
        <v>2</v>
      </c>
      <c r="G27" s="253">
        <v>200000</v>
      </c>
      <c r="H27" s="189">
        <f t="shared" si="0"/>
        <v>400000</v>
      </c>
      <c r="I27" s="245"/>
    </row>
    <row r="28" spans="1:9" ht="15.95" customHeight="1" x14ac:dyDescent="0.15">
      <c r="A28" s="484"/>
      <c r="B28" s="238"/>
      <c r="C28" s="246" t="s">
        <v>281</v>
      </c>
      <c r="D28" s="246"/>
      <c r="E28" s="251" t="s">
        <v>282</v>
      </c>
      <c r="F28" s="253">
        <v>1</v>
      </c>
      <c r="G28" s="253">
        <v>2000000</v>
      </c>
      <c r="H28" s="189">
        <f t="shared" si="0"/>
        <v>2000000</v>
      </c>
      <c r="I28" s="245"/>
    </row>
    <row r="29" spans="1:9" ht="15.95" customHeight="1" x14ac:dyDescent="0.15">
      <c r="A29" s="484"/>
      <c r="B29" s="238"/>
      <c r="C29" s="246" t="s">
        <v>283</v>
      </c>
      <c r="D29" s="246"/>
      <c r="E29" s="251" t="s">
        <v>284</v>
      </c>
      <c r="F29" s="253">
        <v>1</v>
      </c>
      <c r="G29" s="253">
        <v>300000</v>
      </c>
      <c r="H29" s="189">
        <f t="shared" si="0"/>
        <v>300000</v>
      </c>
      <c r="I29" s="245"/>
    </row>
    <row r="30" spans="1:9" ht="15.95" customHeight="1" x14ac:dyDescent="0.15">
      <c r="A30" s="484"/>
      <c r="B30" s="238"/>
      <c r="C30" s="246" t="s">
        <v>287</v>
      </c>
      <c r="D30" s="246" t="s">
        <v>295</v>
      </c>
      <c r="E30" s="251" t="s">
        <v>279</v>
      </c>
      <c r="F30" s="253">
        <v>9</v>
      </c>
      <c r="G30" s="253">
        <v>400000</v>
      </c>
      <c r="H30" s="189">
        <f t="shared" si="0"/>
        <v>3600000</v>
      </c>
      <c r="I30" s="245"/>
    </row>
    <row r="31" spans="1:9" ht="15.95" customHeight="1" x14ac:dyDescent="0.15">
      <c r="A31" s="484"/>
      <c r="B31" s="238"/>
      <c r="C31" s="246" t="s">
        <v>288</v>
      </c>
      <c r="D31" s="246"/>
      <c r="E31" s="251" t="s">
        <v>299</v>
      </c>
      <c r="F31" s="253">
        <v>1</v>
      </c>
      <c r="G31" s="253">
        <v>500000</v>
      </c>
      <c r="H31" s="189">
        <f t="shared" si="0"/>
        <v>500000</v>
      </c>
      <c r="I31" s="245"/>
    </row>
    <row r="32" spans="1:9" ht="15.95" customHeight="1" x14ac:dyDescent="0.15">
      <c r="A32" s="484"/>
      <c r="B32" s="238"/>
      <c r="C32" s="246" t="s">
        <v>289</v>
      </c>
      <c r="D32" s="246"/>
      <c r="E32" s="251" t="s">
        <v>229</v>
      </c>
      <c r="F32" s="253">
        <v>1</v>
      </c>
      <c r="G32" s="253">
        <v>200000</v>
      </c>
      <c r="H32" s="189">
        <f t="shared" si="0"/>
        <v>200000</v>
      </c>
      <c r="I32" s="245"/>
    </row>
    <row r="33" spans="1:9" ht="15.95" customHeight="1" x14ac:dyDescent="0.15">
      <c r="A33" s="484"/>
      <c r="B33" s="238"/>
      <c r="C33" s="246" t="s">
        <v>292</v>
      </c>
      <c r="D33" s="246" t="s">
        <v>297</v>
      </c>
      <c r="E33" s="251" t="s">
        <v>282</v>
      </c>
      <c r="F33" s="253">
        <v>1</v>
      </c>
      <c r="G33" s="253">
        <v>3000000</v>
      </c>
      <c r="H33" s="189">
        <f t="shared" si="0"/>
        <v>3000000</v>
      </c>
      <c r="I33" s="245"/>
    </row>
    <row r="34" spans="1:9" ht="15.95" customHeight="1" x14ac:dyDescent="0.15">
      <c r="A34" s="484"/>
      <c r="B34" s="238"/>
      <c r="C34" s="246" t="s">
        <v>301</v>
      </c>
      <c r="D34" s="246" t="s">
        <v>308</v>
      </c>
      <c r="E34" s="251" t="s">
        <v>267</v>
      </c>
      <c r="F34" s="253">
        <v>1</v>
      </c>
      <c r="G34" s="253">
        <v>2000000</v>
      </c>
      <c r="H34" s="189">
        <f t="shared" si="0"/>
        <v>2000000</v>
      </c>
      <c r="I34" s="245"/>
    </row>
    <row r="35" spans="1:9" ht="15.95" customHeight="1" x14ac:dyDescent="0.15">
      <c r="A35" s="484"/>
      <c r="B35" s="238"/>
      <c r="C35" s="246" t="s">
        <v>303</v>
      </c>
      <c r="D35" s="246"/>
      <c r="E35" s="251" t="s">
        <v>310</v>
      </c>
      <c r="F35" s="253">
        <v>1</v>
      </c>
      <c r="G35" s="253">
        <v>3000000</v>
      </c>
      <c r="H35" s="189">
        <f t="shared" si="0"/>
        <v>3000000</v>
      </c>
      <c r="I35" s="245"/>
    </row>
    <row r="36" spans="1:9" ht="15.95" customHeight="1" x14ac:dyDescent="0.15">
      <c r="A36" s="484"/>
      <c r="B36" s="238"/>
      <c r="C36" s="246" t="s">
        <v>304</v>
      </c>
      <c r="D36" s="246"/>
      <c r="E36" s="251" t="s">
        <v>309</v>
      </c>
      <c r="F36" s="253">
        <v>2</v>
      </c>
      <c r="G36" s="253">
        <v>2000000</v>
      </c>
      <c r="H36" s="277">
        <f t="shared" si="0"/>
        <v>4000000</v>
      </c>
      <c r="I36" s="278"/>
    </row>
    <row r="37" spans="1:9" ht="15.95" customHeight="1" x14ac:dyDescent="0.15">
      <c r="A37" s="484"/>
      <c r="B37" s="238"/>
      <c r="C37" s="247" t="s">
        <v>305</v>
      </c>
      <c r="D37" s="247"/>
      <c r="E37" s="251" t="s">
        <v>309</v>
      </c>
      <c r="F37" s="250">
        <v>1</v>
      </c>
      <c r="G37" s="250">
        <v>1000000</v>
      </c>
      <c r="H37" s="189">
        <f t="shared" ref="H37:H39" si="1">IF(F37=0,G37,G37*F37)</f>
        <v>1000000</v>
      </c>
      <c r="I37" s="245"/>
    </row>
    <row r="38" spans="1:9" ht="15.95" customHeight="1" x14ac:dyDescent="0.15">
      <c r="A38" s="484"/>
      <c r="B38" s="238"/>
      <c r="C38" s="246" t="s">
        <v>306</v>
      </c>
      <c r="D38" s="246" t="s">
        <v>313</v>
      </c>
      <c r="E38" s="251" t="s">
        <v>309</v>
      </c>
      <c r="F38" s="253">
        <v>1</v>
      </c>
      <c r="G38" s="253">
        <v>1500000</v>
      </c>
      <c r="H38" s="189">
        <f t="shared" si="1"/>
        <v>1500000</v>
      </c>
      <c r="I38" s="245"/>
    </row>
    <row r="39" spans="1:9" ht="15.95" customHeight="1" x14ac:dyDescent="0.15">
      <c r="A39" s="484"/>
      <c r="B39" s="238"/>
      <c r="C39" s="246" t="s">
        <v>314</v>
      </c>
      <c r="D39" s="246" t="s">
        <v>316</v>
      </c>
      <c r="E39" s="251" t="s">
        <v>309</v>
      </c>
      <c r="F39" s="253">
        <v>1</v>
      </c>
      <c r="G39" s="253">
        <v>2000000</v>
      </c>
      <c r="H39" s="189">
        <f t="shared" si="1"/>
        <v>2000000</v>
      </c>
      <c r="I39" s="245"/>
    </row>
    <row r="40" spans="1:9" ht="15.95" customHeight="1" x14ac:dyDescent="0.15">
      <c r="A40" s="484"/>
      <c r="B40" s="258"/>
      <c r="C40" s="285"/>
      <c r="D40" s="285"/>
      <c r="E40" s="281"/>
      <c r="F40" s="283"/>
      <c r="G40" s="283"/>
      <c r="H40" s="284">
        <f>SUM(H3:H39)</f>
        <v>107300000</v>
      </c>
      <c r="I40" s="285"/>
    </row>
    <row r="41" spans="1:9" ht="15.95" customHeight="1" x14ac:dyDescent="0.15">
      <c r="A41" s="484"/>
      <c r="B41" s="238" t="s">
        <v>173</v>
      </c>
      <c r="C41" s="247"/>
      <c r="D41" s="247"/>
      <c r="E41" s="248"/>
      <c r="F41" s="250"/>
      <c r="G41" s="250"/>
      <c r="H41" s="243">
        <f t="shared" si="0"/>
        <v>0</v>
      </c>
      <c r="I41" s="244"/>
    </row>
    <row r="42" spans="1:9" ht="15.95" customHeight="1" x14ac:dyDescent="0.15">
      <c r="A42" s="484"/>
      <c r="B42" s="238" t="s">
        <v>174</v>
      </c>
      <c r="C42" s="246"/>
      <c r="D42" s="246"/>
      <c r="E42" s="251"/>
      <c r="F42" s="253"/>
      <c r="G42" s="253"/>
      <c r="H42" s="189">
        <f t="shared" si="0"/>
        <v>0</v>
      </c>
      <c r="I42" s="245"/>
    </row>
    <row r="43" spans="1:9" ht="15.95" customHeight="1" x14ac:dyDescent="0.15">
      <c r="A43" s="484"/>
      <c r="B43" s="238"/>
      <c r="C43" s="246"/>
      <c r="D43" s="246"/>
      <c r="E43" s="251"/>
      <c r="F43" s="253"/>
      <c r="G43" s="253"/>
      <c r="H43" s="189">
        <f t="shared" si="0"/>
        <v>0</v>
      </c>
      <c r="I43" s="245"/>
    </row>
    <row r="44" spans="1:9" ht="15.95" customHeight="1" x14ac:dyDescent="0.15">
      <c r="A44" s="484"/>
      <c r="B44" s="238"/>
      <c r="C44" s="246"/>
      <c r="D44" s="246"/>
      <c r="E44" s="251"/>
      <c r="F44" s="253"/>
      <c r="G44" s="253"/>
      <c r="H44" s="189">
        <f t="shared" si="0"/>
        <v>0</v>
      </c>
      <c r="I44" s="245"/>
    </row>
    <row r="45" spans="1:9" ht="15.95" customHeight="1" x14ac:dyDescent="0.15">
      <c r="A45" s="484"/>
      <c r="B45" s="238"/>
      <c r="C45" s="254"/>
      <c r="D45" s="254"/>
      <c r="E45" s="255"/>
      <c r="F45" s="256"/>
      <c r="G45" s="256"/>
      <c r="H45" s="189">
        <f t="shared" si="0"/>
        <v>0</v>
      </c>
      <c r="I45" s="257"/>
    </row>
    <row r="46" spans="1:9" ht="15.95" customHeight="1" x14ac:dyDescent="0.15">
      <c r="A46" s="484"/>
      <c r="B46" s="258"/>
      <c r="C46" s="259"/>
      <c r="D46" s="260"/>
      <c r="E46" s="235"/>
      <c r="F46" s="339"/>
      <c r="G46" s="262"/>
      <c r="H46" s="263">
        <f>SUM(H41:H45)</f>
        <v>0</v>
      </c>
      <c r="I46" s="264"/>
    </row>
    <row r="47" spans="1:9" ht="15.95" customHeight="1" x14ac:dyDescent="0.15">
      <c r="A47" s="484"/>
      <c r="B47" s="286" t="s">
        <v>175</v>
      </c>
      <c r="C47" s="353" t="s">
        <v>257</v>
      </c>
      <c r="D47" s="246" t="s">
        <v>268</v>
      </c>
      <c r="E47" s="251" t="s">
        <v>229</v>
      </c>
      <c r="F47" s="294">
        <v>2</v>
      </c>
      <c r="G47" s="295">
        <v>4500000</v>
      </c>
      <c r="H47" s="270">
        <f t="shared" si="0"/>
        <v>9000000</v>
      </c>
      <c r="I47" s="271"/>
    </row>
    <row r="48" spans="1:9" ht="15.95" customHeight="1" x14ac:dyDescent="0.15">
      <c r="A48" s="484"/>
      <c r="B48" s="238" t="s">
        <v>176</v>
      </c>
      <c r="C48" s="353" t="s">
        <v>258</v>
      </c>
      <c r="D48" s="246" t="s">
        <v>269</v>
      </c>
      <c r="E48" s="251" t="s">
        <v>229</v>
      </c>
      <c r="F48" s="294">
        <v>2</v>
      </c>
      <c r="G48" s="295">
        <v>3000000</v>
      </c>
      <c r="H48" s="189">
        <f t="shared" si="0"/>
        <v>6000000</v>
      </c>
      <c r="I48" s="245"/>
    </row>
    <row r="49" spans="1:9" ht="15.95" customHeight="1" x14ac:dyDescent="0.15">
      <c r="A49" s="484"/>
      <c r="B49" s="238"/>
      <c r="C49" s="246" t="s">
        <v>259</v>
      </c>
      <c r="D49" s="246" t="s">
        <v>270</v>
      </c>
      <c r="E49" s="251" t="s">
        <v>229</v>
      </c>
      <c r="F49" s="294">
        <v>2</v>
      </c>
      <c r="G49" s="253">
        <v>2500000</v>
      </c>
      <c r="H49" s="189">
        <f t="shared" si="0"/>
        <v>5000000</v>
      </c>
      <c r="I49" s="245"/>
    </row>
    <row r="50" spans="1:9" ht="15.95" customHeight="1" x14ac:dyDescent="0.15">
      <c r="A50" s="484"/>
      <c r="B50" s="238"/>
      <c r="C50" s="246" t="s">
        <v>261</v>
      </c>
      <c r="D50" s="340"/>
      <c r="E50" s="251" t="s">
        <v>229</v>
      </c>
      <c r="F50" s="294">
        <v>1</v>
      </c>
      <c r="G50" s="253">
        <v>1000000</v>
      </c>
      <c r="H50" s="189">
        <f t="shared" si="0"/>
        <v>1000000</v>
      </c>
      <c r="I50" s="245"/>
    </row>
    <row r="51" spans="1:9" ht="15.95" customHeight="1" x14ac:dyDescent="0.15">
      <c r="A51" s="484"/>
      <c r="B51" s="238"/>
      <c r="C51" s="246" t="s">
        <v>262</v>
      </c>
      <c r="D51" s="340" t="s">
        <v>271</v>
      </c>
      <c r="E51" s="251" t="s">
        <v>229</v>
      </c>
      <c r="F51" s="294">
        <v>1</v>
      </c>
      <c r="G51" s="253">
        <v>1800000</v>
      </c>
      <c r="H51" s="189">
        <f t="shared" si="0"/>
        <v>1800000</v>
      </c>
      <c r="I51" s="245"/>
    </row>
    <row r="52" spans="1:9" ht="15.95" customHeight="1" x14ac:dyDescent="0.15">
      <c r="A52" s="484"/>
      <c r="B52" s="238"/>
      <c r="C52" s="246" t="s">
        <v>323</v>
      </c>
      <c r="D52" s="246" t="s">
        <v>272</v>
      </c>
      <c r="E52" s="251" t="s">
        <v>45</v>
      </c>
      <c r="F52" s="294">
        <v>1</v>
      </c>
      <c r="G52" s="253">
        <v>4500000</v>
      </c>
      <c r="H52" s="189">
        <f t="shared" si="0"/>
        <v>4500000</v>
      </c>
      <c r="I52" s="245"/>
    </row>
    <row r="53" spans="1:9" ht="15.95" customHeight="1" x14ac:dyDescent="0.15">
      <c r="A53" s="484"/>
      <c r="B53" s="238"/>
      <c r="C53" s="246" t="s">
        <v>324</v>
      </c>
      <c r="D53" s="246"/>
      <c r="E53" s="251" t="s">
        <v>229</v>
      </c>
      <c r="F53" s="294">
        <v>2</v>
      </c>
      <c r="G53" s="253">
        <v>1800000</v>
      </c>
      <c r="H53" s="189">
        <f t="shared" si="0"/>
        <v>3600000</v>
      </c>
      <c r="I53" s="245"/>
    </row>
    <row r="54" spans="1:9" ht="15.95" customHeight="1" x14ac:dyDescent="0.15">
      <c r="A54" s="484"/>
      <c r="B54" s="238"/>
      <c r="C54" s="246" t="s">
        <v>325</v>
      </c>
      <c r="D54" s="246" t="s">
        <v>273</v>
      </c>
      <c r="E54" s="251" t="s">
        <v>274</v>
      </c>
      <c r="F54" s="294">
        <v>5</v>
      </c>
      <c r="G54" s="253">
        <v>200000</v>
      </c>
      <c r="H54" s="189">
        <f t="shared" si="0"/>
        <v>1000000</v>
      </c>
      <c r="I54" s="245"/>
    </row>
    <row r="55" spans="1:9" ht="15.95" customHeight="1" x14ac:dyDescent="0.15">
      <c r="A55" s="484"/>
      <c r="B55" s="238"/>
      <c r="C55" s="246" t="s">
        <v>275</v>
      </c>
      <c r="D55" s="246"/>
      <c r="E55" s="251" t="s">
        <v>278</v>
      </c>
      <c r="F55" s="294">
        <v>1</v>
      </c>
      <c r="G55" s="253">
        <v>3500000</v>
      </c>
      <c r="H55" s="189">
        <f t="shared" si="0"/>
        <v>3500000</v>
      </c>
      <c r="I55" s="245"/>
    </row>
    <row r="56" spans="1:9" ht="15.95" customHeight="1" x14ac:dyDescent="0.15">
      <c r="A56" s="484"/>
      <c r="B56" s="238"/>
      <c r="C56" s="246" t="s">
        <v>276</v>
      </c>
      <c r="D56" s="246" t="s">
        <v>277</v>
      </c>
      <c r="E56" s="251" t="s">
        <v>279</v>
      </c>
      <c r="F56" s="294">
        <v>1</v>
      </c>
      <c r="G56" s="253">
        <v>5000000</v>
      </c>
      <c r="H56" s="189">
        <f t="shared" si="0"/>
        <v>5000000</v>
      </c>
      <c r="I56" s="245"/>
    </row>
    <row r="57" spans="1:9" ht="15.95" customHeight="1" x14ac:dyDescent="0.15">
      <c r="A57" s="484"/>
      <c r="B57" s="238"/>
      <c r="C57" s="246" t="s">
        <v>280</v>
      </c>
      <c r="D57" s="246"/>
      <c r="E57" s="251" t="s">
        <v>177</v>
      </c>
      <c r="F57" s="294">
        <v>1</v>
      </c>
      <c r="G57" s="253">
        <v>3000000</v>
      </c>
      <c r="H57" s="189">
        <f t="shared" si="0"/>
        <v>3000000</v>
      </c>
      <c r="I57" s="245"/>
    </row>
    <row r="58" spans="1:9" ht="15.95" customHeight="1" x14ac:dyDescent="0.15">
      <c r="A58" s="484"/>
      <c r="B58" s="238"/>
      <c r="C58" s="246" t="s">
        <v>286</v>
      </c>
      <c r="D58" s="246" t="s">
        <v>294</v>
      </c>
      <c r="E58" s="251" t="s">
        <v>282</v>
      </c>
      <c r="F58" s="294">
        <v>1</v>
      </c>
      <c r="G58" s="253">
        <v>2000000</v>
      </c>
      <c r="H58" s="189">
        <f t="shared" si="0"/>
        <v>2000000</v>
      </c>
      <c r="I58" s="245"/>
    </row>
    <row r="59" spans="1:9" ht="15.95" customHeight="1" x14ac:dyDescent="0.15">
      <c r="A59" s="484"/>
      <c r="B59" s="238"/>
      <c r="C59" s="246" t="s">
        <v>291</v>
      </c>
      <c r="D59" s="246" t="s">
        <v>296</v>
      </c>
      <c r="E59" s="251" t="s">
        <v>284</v>
      </c>
      <c r="F59" s="294">
        <v>1</v>
      </c>
      <c r="G59" s="253">
        <v>2500000</v>
      </c>
      <c r="H59" s="189">
        <f t="shared" si="0"/>
        <v>2500000</v>
      </c>
      <c r="I59" s="245"/>
    </row>
    <row r="60" spans="1:9" ht="15.95" customHeight="1" x14ac:dyDescent="0.15">
      <c r="A60" s="484"/>
      <c r="B60" s="238"/>
      <c r="C60" s="246" t="s">
        <v>290</v>
      </c>
      <c r="D60" s="340"/>
      <c r="E60" s="251" t="s">
        <v>177</v>
      </c>
      <c r="F60" s="294">
        <v>1</v>
      </c>
      <c r="G60" s="253">
        <v>2000000</v>
      </c>
      <c r="H60" s="189">
        <f t="shared" ref="H60:H63" si="2">IF(F60=0,G60,G60*F60)</f>
        <v>2000000</v>
      </c>
      <c r="I60" s="245"/>
    </row>
    <row r="61" spans="1:9" ht="15.95" customHeight="1" x14ac:dyDescent="0.15">
      <c r="A61" s="484"/>
      <c r="B61" s="238"/>
      <c r="C61" s="246" t="s">
        <v>293</v>
      </c>
      <c r="D61" s="340" t="s">
        <v>298</v>
      </c>
      <c r="E61" s="251" t="s">
        <v>300</v>
      </c>
      <c r="F61" s="294">
        <v>1</v>
      </c>
      <c r="G61" s="253">
        <v>5000000</v>
      </c>
      <c r="H61" s="189">
        <f t="shared" si="2"/>
        <v>5000000</v>
      </c>
      <c r="I61" s="245"/>
    </row>
    <row r="62" spans="1:9" ht="15.95" customHeight="1" x14ac:dyDescent="0.15">
      <c r="A62" s="484"/>
      <c r="B62" s="238"/>
      <c r="C62" s="246" t="s">
        <v>302</v>
      </c>
      <c r="D62" s="246" t="s">
        <v>311</v>
      </c>
      <c r="E62" s="251" t="s">
        <v>300</v>
      </c>
      <c r="F62" s="294">
        <v>1</v>
      </c>
      <c r="G62" s="253">
        <v>6000000</v>
      </c>
      <c r="H62" s="189">
        <f t="shared" si="2"/>
        <v>6000000</v>
      </c>
      <c r="I62" s="245"/>
    </row>
    <row r="63" spans="1:9" ht="15.95" customHeight="1" x14ac:dyDescent="0.15">
      <c r="A63" s="484"/>
      <c r="B63" s="238"/>
      <c r="C63" s="273" t="s">
        <v>307</v>
      </c>
      <c r="D63" s="273"/>
      <c r="E63" s="274" t="s">
        <v>312</v>
      </c>
      <c r="F63" s="355">
        <v>1</v>
      </c>
      <c r="G63" s="276">
        <v>300000</v>
      </c>
      <c r="H63" s="277">
        <f t="shared" si="2"/>
        <v>300000</v>
      </c>
      <c r="I63" s="278"/>
    </row>
    <row r="64" spans="1:9" ht="15.95" customHeight="1" x14ac:dyDescent="0.15">
      <c r="A64" s="484"/>
      <c r="B64" s="258"/>
      <c r="C64" s="309"/>
      <c r="D64" s="264"/>
      <c r="E64" s="236"/>
      <c r="F64" s="263"/>
      <c r="G64" s="263"/>
      <c r="H64" s="263">
        <f>SUM(H47:H63)</f>
        <v>61200000</v>
      </c>
      <c r="I64" s="264"/>
    </row>
    <row r="65" spans="1:9" ht="15.95" customHeight="1" x14ac:dyDescent="0.15">
      <c r="A65" s="484"/>
      <c r="B65" s="286" t="s">
        <v>178</v>
      </c>
      <c r="C65" s="246" t="s">
        <v>315</v>
      </c>
      <c r="D65" s="246" t="s">
        <v>317</v>
      </c>
      <c r="E65" s="251" t="s">
        <v>318</v>
      </c>
      <c r="F65" s="252">
        <v>1</v>
      </c>
      <c r="G65" s="253">
        <v>2500000</v>
      </c>
      <c r="H65" s="270">
        <f t="shared" si="0"/>
        <v>2500000</v>
      </c>
      <c r="I65" s="271"/>
    </row>
    <row r="66" spans="1:9" ht="15.95" customHeight="1" x14ac:dyDescent="0.15">
      <c r="A66" s="484"/>
      <c r="B66" s="238"/>
      <c r="C66" s="246"/>
      <c r="D66" s="246"/>
      <c r="E66" s="251"/>
      <c r="F66" s="252"/>
      <c r="G66" s="253"/>
      <c r="H66" s="189">
        <f t="shared" si="0"/>
        <v>0</v>
      </c>
      <c r="I66" s="245"/>
    </row>
    <row r="67" spans="1:9" ht="15.95" customHeight="1" x14ac:dyDescent="0.15">
      <c r="A67" s="484"/>
      <c r="B67" s="238"/>
      <c r="C67" s="246"/>
      <c r="D67" s="246"/>
      <c r="E67" s="251"/>
      <c r="F67" s="252"/>
      <c r="G67" s="253"/>
      <c r="H67" s="189">
        <f>IF(F67=0,G67,G67*F67)</f>
        <v>0</v>
      </c>
      <c r="I67" s="245"/>
    </row>
    <row r="68" spans="1:9" ht="15.95" customHeight="1" x14ac:dyDescent="0.15">
      <c r="A68" s="484"/>
      <c r="B68" s="238"/>
      <c r="C68" s="246"/>
      <c r="D68" s="246"/>
      <c r="E68" s="251"/>
      <c r="F68" s="252"/>
      <c r="G68" s="253"/>
      <c r="H68" s="189">
        <f>IF(F68=0,G68,G68*F68)</f>
        <v>0</v>
      </c>
      <c r="I68" s="245"/>
    </row>
    <row r="69" spans="1:9" ht="15.95" customHeight="1" x14ac:dyDescent="0.15">
      <c r="A69" s="484"/>
      <c r="B69" s="238"/>
      <c r="C69" s="246"/>
      <c r="D69" s="246"/>
      <c r="E69" s="251"/>
      <c r="F69" s="252"/>
      <c r="G69" s="253"/>
      <c r="H69" s="189">
        <f>IF(F69=0,G69,G69*F69)</f>
        <v>0</v>
      </c>
      <c r="I69" s="245"/>
    </row>
    <row r="70" spans="1:9" ht="15.95" customHeight="1" x14ac:dyDescent="0.15">
      <c r="A70" s="484"/>
      <c r="B70" s="238"/>
      <c r="C70" s="246"/>
      <c r="D70" s="246"/>
      <c r="E70" s="251"/>
      <c r="F70" s="252"/>
      <c r="G70" s="253"/>
      <c r="H70" s="189">
        <f t="shared" si="0"/>
        <v>0</v>
      </c>
      <c r="I70" s="245"/>
    </row>
    <row r="71" spans="1:9" ht="15.95" customHeight="1" x14ac:dyDescent="0.15">
      <c r="A71" s="484"/>
      <c r="B71" s="238"/>
      <c r="C71" s="246"/>
      <c r="D71" s="246"/>
      <c r="E71" s="251"/>
      <c r="F71" s="252"/>
      <c r="G71" s="253"/>
      <c r="H71" s="189">
        <f t="shared" si="0"/>
        <v>0</v>
      </c>
      <c r="I71" s="245"/>
    </row>
    <row r="72" spans="1:9" ht="15.95" customHeight="1" x14ac:dyDescent="0.15">
      <c r="A72" s="484"/>
      <c r="B72" s="238"/>
      <c r="C72" s="246"/>
      <c r="D72" s="246"/>
      <c r="E72" s="251"/>
      <c r="F72" s="252"/>
      <c r="G72" s="253"/>
      <c r="H72" s="189">
        <f t="shared" si="0"/>
        <v>0</v>
      </c>
      <c r="I72" s="245"/>
    </row>
    <row r="73" spans="1:9" ht="15.95" customHeight="1" x14ac:dyDescent="0.15">
      <c r="A73" s="484"/>
      <c r="B73" s="238"/>
      <c r="C73" s="246"/>
      <c r="D73" s="246"/>
      <c r="E73" s="251"/>
      <c r="F73" s="253"/>
      <c r="G73" s="253"/>
      <c r="H73" s="189">
        <f t="shared" si="0"/>
        <v>0</v>
      </c>
      <c r="I73" s="245"/>
    </row>
    <row r="74" spans="1:9" ht="15.95" customHeight="1" x14ac:dyDescent="0.15">
      <c r="A74" s="484"/>
      <c r="B74" s="238"/>
      <c r="C74" s="254"/>
      <c r="D74" s="254"/>
      <c r="E74" s="255"/>
      <c r="F74" s="256"/>
      <c r="G74" s="256"/>
      <c r="H74" s="299">
        <f t="shared" si="0"/>
        <v>0</v>
      </c>
      <c r="I74" s="257"/>
    </row>
    <row r="75" spans="1:9" ht="15.95" customHeight="1" x14ac:dyDescent="0.15">
      <c r="A75" s="484"/>
      <c r="B75" s="258"/>
      <c r="C75" s="259"/>
      <c r="D75" s="260"/>
      <c r="E75" s="235"/>
      <c r="F75" s="262"/>
      <c r="G75" s="262"/>
      <c r="H75" s="263">
        <f>SUM(H65:H74)</f>
        <v>2500000</v>
      </c>
      <c r="I75" s="264"/>
    </row>
    <row r="76" spans="1:9" ht="15.95" customHeight="1" x14ac:dyDescent="0.15">
      <c r="A76" s="307"/>
      <c r="B76" s="308" t="s">
        <v>179</v>
      </c>
      <c r="C76" s="309"/>
      <c r="D76" s="264"/>
      <c r="E76" s="236"/>
      <c r="F76" s="311"/>
      <c r="G76" s="311"/>
      <c r="H76" s="263">
        <f>SUM(H75,H64,H46,H40)</f>
        <v>171000000</v>
      </c>
      <c r="I76" s="264"/>
    </row>
    <row r="77" spans="1:9" ht="15.95" customHeight="1" x14ac:dyDescent="0.15">
      <c r="A77" s="480" t="s">
        <v>180</v>
      </c>
      <c r="B77" s="312" t="s">
        <v>181</v>
      </c>
      <c r="C77" s="309"/>
      <c r="D77" s="313"/>
      <c r="E77" s="341" t="s">
        <v>182</v>
      </c>
      <c r="F77" s="315"/>
      <c r="G77" s="316"/>
      <c r="H77" s="317">
        <f>F77*G77</f>
        <v>0</v>
      </c>
      <c r="I77" s="264"/>
    </row>
    <row r="78" spans="1:9" ht="15.95" customHeight="1" x14ac:dyDescent="0.15">
      <c r="A78" s="484"/>
      <c r="B78" s="318" t="s">
        <v>183</v>
      </c>
      <c r="C78" s="319"/>
      <c r="D78" s="320"/>
      <c r="E78" s="342" t="s">
        <v>150</v>
      </c>
      <c r="F78" s="322">
        <v>50</v>
      </c>
      <c r="G78" s="269">
        <v>300000</v>
      </c>
      <c r="H78" s="270">
        <f t="shared" ref="H78:H84" si="3">F78*G78</f>
        <v>15000000</v>
      </c>
      <c r="I78" s="271"/>
    </row>
    <row r="79" spans="1:9" ht="15.95" customHeight="1" x14ac:dyDescent="0.15">
      <c r="A79" s="484"/>
      <c r="B79" s="323" t="s">
        <v>184</v>
      </c>
      <c r="C79" s="324"/>
      <c r="D79" s="325"/>
      <c r="E79" s="343" t="s">
        <v>150</v>
      </c>
      <c r="F79" s="297"/>
      <c r="G79" s="253"/>
      <c r="H79" s="344">
        <f t="shared" si="3"/>
        <v>0</v>
      </c>
      <c r="I79" s="245"/>
    </row>
    <row r="80" spans="1:9" ht="15.95" customHeight="1" x14ac:dyDescent="0.15">
      <c r="A80" s="484"/>
      <c r="B80" s="323" t="s">
        <v>185</v>
      </c>
      <c r="C80" s="324"/>
      <c r="D80" s="325"/>
      <c r="E80" s="343" t="s">
        <v>150</v>
      </c>
      <c r="F80" s="297">
        <v>125</v>
      </c>
      <c r="G80" s="253">
        <v>300000</v>
      </c>
      <c r="H80" s="189">
        <f t="shared" si="3"/>
        <v>37500000</v>
      </c>
      <c r="I80" s="245"/>
    </row>
    <row r="81" spans="1:9" ht="15.95" customHeight="1" x14ac:dyDescent="0.15">
      <c r="A81" s="484"/>
      <c r="B81" s="323" t="s">
        <v>186</v>
      </c>
      <c r="C81" s="324"/>
      <c r="D81" s="325"/>
      <c r="E81" s="343" t="s">
        <v>150</v>
      </c>
      <c r="F81" s="297">
        <v>3</v>
      </c>
      <c r="G81" s="253">
        <v>450000</v>
      </c>
      <c r="H81" s="189">
        <f t="shared" si="3"/>
        <v>1350000</v>
      </c>
      <c r="I81" s="245"/>
    </row>
    <row r="82" spans="1:9" ht="15.95" customHeight="1" x14ac:dyDescent="0.15">
      <c r="A82" s="484"/>
      <c r="B82" s="323" t="s">
        <v>187</v>
      </c>
      <c r="C82" s="324"/>
      <c r="D82" s="325"/>
      <c r="E82" s="343" t="s">
        <v>150</v>
      </c>
      <c r="F82" s="253">
        <v>15</v>
      </c>
      <c r="G82" s="253">
        <v>450000</v>
      </c>
      <c r="H82" s="189">
        <f t="shared" si="3"/>
        <v>6750000</v>
      </c>
      <c r="I82" s="245"/>
    </row>
    <row r="83" spans="1:9" ht="15.95" customHeight="1" x14ac:dyDescent="0.15">
      <c r="A83" s="484"/>
      <c r="B83" s="323" t="s">
        <v>188</v>
      </c>
      <c r="C83" s="324"/>
      <c r="D83" s="325"/>
      <c r="E83" s="343" t="s">
        <v>182</v>
      </c>
      <c r="F83" s="297">
        <v>7</v>
      </c>
      <c r="G83" s="253">
        <v>450000</v>
      </c>
      <c r="H83" s="189">
        <f t="shared" si="3"/>
        <v>3150000</v>
      </c>
      <c r="I83" s="245"/>
    </row>
    <row r="84" spans="1:9" ht="15.95" customHeight="1" x14ac:dyDescent="0.15">
      <c r="A84" s="484"/>
      <c r="B84" s="326" t="s">
        <v>189</v>
      </c>
      <c r="C84" s="327"/>
      <c r="D84" s="328"/>
      <c r="E84" s="345" t="s">
        <v>172</v>
      </c>
      <c r="F84" s="256">
        <v>1</v>
      </c>
      <c r="G84" s="256">
        <v>3000000</v>
      </c>
      <c r="H84" s="299">
        <f t="shared" si="3"/>
        <v>3000000</v>
      </c>
      <c r="I84" s="257"/>
    </row>
    <row r="85" spans="1:9" ht="15.95" customHeight="1" x14ac:dyDescent="0.15">
      <c r="A85" s="307"/>
      <c r="B85" s="330" t="s">
        <v>190</v>
      </c>
      <c r="C85" s="309"/>
      <c r="D85" s="264"/>
      <c r="E85" s="236"/>
      <c r="F85" s="262"/>
      <c r="G85" s="262"/>
      <c r="H85" s="262">
        <f>SUM(H77:H84)</f>
        <v>66750000</v>
      </c>
      <c r="I85" s="260"/>
    </row>
    <row r="86" spans="1:9" ht="15.95" customHeight="1" x14ac:dyDescent="0.15">
      <c r="A86" s="331"/>
      <c r="B86" s="330" t="s">
        <v>191</v>
      </c>
      <c r="C86" s="309"/>
      <c r="D86" s="264"/>
      <c r="E86" s="236"/>
      <c r="F86" s="263"/>
      <c r="G86" s="263"/>
      <c r="H86" s="311">
        <f>'단위공사별(집계)'!I7+'단위공사별(집계)'!L7</f>
        <v>16000000</v>
      </c>
      <c r="I86" s="264"/>
    </row>
    <row r="87" spans="1:9" ht="15.95" customHeight="1" x14ac:dyDescent="0.15">
      <c r="A87" s="331"/>
      <c r="B87" s="330" t="s">
        <v>192</v>
      </c>
      <c r="C87" s="309"/>
      <c r="D87" s="264"/>
      <c r="E87" s="236"/>
      <c r="F87" s="263"/>
      <c r="G87" s="333"/>
      <c r="H87" s="316">
        <v>13900000</v>
      </c>
      <c r="I87" s="309"/>
    </row>
    <row r="88" spans="1:9" ht="15.95" customHeight="1" x14ac:dyDescent="0.15">
      <c r="A88" s="331"/>
      <c r="B88" s="330" t="s">
        <v>193</v>
      </c>
      <c r="C88" s="309"/>
      <c r="D88" s="264"/>
      <c r="E88" s="236"/>
      <c r="F88" s="263"/>
      <c r="G88" s="333"/>
      <c r="H88" s="316">
        <v>13900000</v>
      </c>
      <c r="I88" s="309"/>
    </row>
    <row r="89" spans="1:9" ht="15.95" customHeight="1" x14ac:dyDescent="0.15">
      <c r="A89" s="331"/>
      <c r="B89" s="330" t="s">
        <v>194</v>
      </c>
      <c r="C89" s="309"/>
      <c r="D89" s="264"/>
      <c r="E89" s="236"/>
      <c r="F89" s="263"/>
      <c r="G89" s="263"/>
      <c r="H89" s="262">
        <f>H76+H85+H86+H87+H88</f>
        <v>281550000</v>
      </c>
      <c r="I89" s="264"/>
    </row>
    <row r="90" spans="1:9" x14ac:dyDescent="0.15">
      <c r="A90" s="156"/>
    </row>
  </sheetData>
  <mergeCells count="3">
    <mergeCell ref="A2:B2"/>
    <mergeCell ref="A3:A75"/>
    <mergeCell ref="A77:A8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3" orientation="portrait" horizontalDpi="4294967292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36"/>
  <sheetViews>
    <sheetView zoomScale="85" workbookViewId="0">
      <selection activeCell="C33" sqref="C33"/>
    </sheetView>
  </sheetViews>
  <sheetFormatPr defaultRowHeight="17.25" customHeight="1" x14ac:dyDescent="0.15"/>
  <cols>
    <col min="1" max="1" width="16.5" style="138" customWidth="1"/>
    <col min="2" max="3" width="27.625" style="138" customWidth="1"/>
    <col min="4" max="4" width="11.5" style="138" customWidth="1"/>
    <col min="5" max="16384" width="9" style="138"/>
  </cols>
  <sheetData>
    <row r="1" spans="1:4" ht="17.25" customHeight="1" x14ac:dyDescent="0.15">
      <c r="A1" s="138" t="s">
        <v>195</v>
      </c>
    </row>
    <row r="2" spans="1:4" ht="17.25" customHeight="1" x14ac:dyDescent="0.15">
      <c r="D2" s="156" t="s">
        <v>196</v>
      </c>
    </row>
    <row r="3" spans="1:4" ht="24.75" customHeight="1" x14ac:dyDescent="0.15">
      <c r="A3" s="346" t="s">
        <v>197</v>
      </c>
    </row>
    <row r="4" spans="1:4" ht="11.25" customHeight="1" x14ac:dyDescent="0.15"/>
    <row r="5" spans="1:4" s="348" customFormat="1" ht="21" customHeight="1" thickBot="1" x14ac:dyDescent="0.2">
      <c r="A5" s="347" t="s">
        <v>198</v>
      </c>
      <c r="B5" s="347" t="s">
        <v>199</v>
      </c>
      <c r="C5" s="347" t="s">
        <v>200</v>
      </c>
      <c r="D5" s="347" t="s">
        <v>201</v>
      </c>
    </row>
    <row r="6" spans="1:4" ht="17.25" customHeight="1" thickTop="1" x14ac:dyDescent="0.15">
      <c r="A6" s="303"/>
      <c r="B6" s="303"/>
      <c r="C6" s="303"/>
      <c r="D6" s="303"/>
    </row>
    <row r="7" spans="1:4" ht="17.25" customHeight="1" x14ac:dyDescent="0.15">
      <c r="A7" s="303"/>
      <c r="B7" s="303"/>
      <c r="C7" s="303"/>
      <c r="D7" s="303"/>
    </row>
    <row r="8" spans="1:4" ht="17.25" customHeight="1" x14ac:dyDescent="0.15">
      <c r="A8" s="303"/>
      <c r="B8" s="303"/>
      <c r="C8" s="303"/>
      <c r="D8" s="303"/>
    </row>
    <row r="9" spans="1:4" ht="17.25" customHeight="1" x14ac:dyDescent="0.15">
      <c r="A9" s="303"/>
      <c r="B9" s="303"/>
      <c r="C9" s="303"/>
      <c r="D9" s="303"/>
    </row>
    <row r="10" spans="1:4" ht="17.25" customHeight="1" x14ac:dyDescent="0.15">
      <c r="A10" s="303"/>
      <c r="B10" s="303"/>
      <c r="C10" s="303"/>
      <c r="D10" s="303"/>
    </row>
    <row r="11" spans="1:4" ht="17.25" customHeight="1" x14ac:dyDescent="0.15">
      <c r="A11" s="303"/>
      <c r="B11" s="303"/>
      <c r="C11" s="303"/>
      <c r="D11" s="303"/>
    </row>
    <row r="12" spans="1:4" ht="17.25" customHeight="1" x14ac:dyDescent="0.15">
      <c r="A12" s="303"/>
      <c r="B12" s="303"/>
      <c r="C12" s="303"/>
      <c r="D12" s="303"/>
    </row>
    <row r="13" spans="1:4" ht="17.25" customHeight="1" x14ac:dyDescent="0.15">
      <c r="A13" s="303"/>
      <c r="B13" s="303"/>
      <c r="C13" s="303"/>
      <c r="D13" s="303"/>
    </row>
    <row r="14" spans="1:4" ht="17.25" customHeight="1" x14ac:dyDescent="0.15">
      <c r="A14" s="303"/>
      <c r="B14" s="303"/>
      <c r="C14" s="303"/>
      <c r="D14" s="303"/>
    </row>
    <row r="15" spans="1:4" ht="17.25" customHeight="1" x14ac:dyDescent="0.15">
      <c r="A15" s="303"/>
      <c r="B15" s="303"/>
      <c r="C15" s="303"/>
      <c r="D15" s="303"/>
    </row>
    <row r="16" spans="1:4" ht="17.25" customHeight="1" x14ac:dyDescent="0.15">
      <c r="A16" s="303"/>
      <c r="B16" s="303"/>
      <c r="C16" s="303"/>
      <c r="D16" s="303"/>
    </row>
    <row r="17" spans="1:4" ht="17.25" customHeight="1" x14ac:dyDescent="0.15">
      <c r="A17" s="303"/>
      <c r="B17" s="303"/>
      <c r="C17" s="303"/>
      <c r="D17" s="303"/>
    </row>
    <row r="18" spans="1:4" ht="17.25" customHeight="1" x14ac:dyDescent="0.15">
      <c r="A18" s="303"/>
      <c r="B18" s="303"/>
      <c r="C18" s="303"/>
      <c r="D18" s="303"/>
    </row>
    <row r="19" spans="1:4" ht="17.25" customHeight="1" x14ac:dyDescent="0.15">
      <c r="A19" s="303"/>
      <c r="B19" s="303"/>
      <c r="C19" s="303"/>
      <c r="D19" s="303"/>
    </row>
    <row r="20" spans="1:4" ht="17.25" customHeight="1" x14ac:dyDescent="0.15">
      <c r="A20" s="303"/>
      <c r="B20" s="303"/>
      <c r="C20" s="303"/>
      <c r="D20" s="303"/>
    </row>
    <row r="21" spans="1:4" ht="17.25" customHeight="1" x14ac:dyDescent="0.15">
      <c r="A21" s="303"/>
      <c r="B21" s="303"/>
      <c r="C21" s="303"/>
      <c r="D21" s="303"/>
    </row>
    <row r="22" spans="1:4" ht="17.25" customHeight="1" x14ac:dyDescent="0.15">
      <c r="A22" s="303"/>
      <c r="B22" s="303"/>
      <c r="C22" s="303"/>
      <c r="D22" s="303"/>
    </row>
    <row r="23" spans="1:4" ht="17.25" customHeight="1" x14ac:dyDescent="0.15">
      <c r="A23" s="303"/>
      <c r="B23" s="303"/>
      <c r="C23" s="303"/>
      <c r="D23" s="303"/>
    </row>
    <row r="24" spans="1:4" ht="17.25" customHeight="1" x14ac:dyDescent="0.15">
      <c r="A24" s="303"/>
      <c r="B24" s="303"/>
      <c r="C24" s="303"/>
      <c r="D24" s="303"/>
    </row>
    <row r="25" spans="1:4" ht="17.25" customHeight="1" x14ac:dyDescent="0.15">
      <c r="A25" s="303"/>
      <c r="B25" s="303"/>
      <c r="C25" s="303"/>
      <c r="D25" s="303"/>
    </row>
    <row r="26" spans="1:4" ht="17.25" customHeight="1" x14ac:dyDescent="0.15">
      <c r="A26" s="303"/>
      <c r="B26" s="303"/>
      <c r="C26" s="303"/>
      <c r="D26" s="303"/>
    </row>
    <row r="27" spans="1:4" ht="17.25" customHeight="1" x14ac:dyDescent="0.15">
      <c r="A27" s="303"/>
      <c r="B27" s="303"/>
      <c r="C27" s="303"/>
      <c r="D27" s="303"/>
    </row>
    <row r="28" spans="1:4" ht="17.25" customHeight="1" x14ac:dyDescent="0.15">
      <c r="A28" s="303"/>
      <c r="B28" s="303"/>
      <c r="C28" s="303"/>
      <c r="D28" s="303"/>
    </row>
    <row r="29" spans="1:4" ht="17.25" customHeight="1" x14ac:dyDescent="0.15">
      <c r="A29" s="303"/>
      <c r="B29" s="303"/>
      <c r="C29" s="303"/>
      <c r="D29" s="303"/>
    </row>
    <row r="30" spans="1:4" ht="17.25" customHeight="1" x14ac:dyDescent="0.15">
      <c r="A30" s="303"/>
      <c r="B30" s="303"/>
      <c r="C30" s="303"/>
      <c r="D30" s="303"/>
    </row>
    <row r="31" spans="1:4" ht="17.25" customHeight="1" x14ac:dyDescent="0.15">
      <c r="A31" s="303"/>
      <c r="B31" s="303"/>
      <c r="C31" s="303"/>
      <c r="D31" s="303"/>
    </row>
    <row r="32" spans="1:4" ht="17.25" customHeight="1" x14ac:dyDescent="0.15">
      <c r="A32" s="303"/>
      <c r="B32" s="303"/>
      <c r="C32" s="303"/>
      <c r="D32" s="303"/>
    </row>
    <row r="33" spans="1:4" ht="17.25" customHeight="1" x14ac:dyDescent="0.15">
      <c r="A33" s="303"/>
      <c r="B33" s="303"/>
      <c r="C33" s="303"/>
      <c r="D33" s="303"/>
    </row>
    <row r="34" spans="1:4" ht="17.25" customHeight="1" x14ac:dyDescent="0.15">
      <c r="A34" s="303"/>
      <c r="B34" s="303"/>
      <c r="C34" s="303"/>
      <c r="D34" s="303"/>
    </row>
    <row r="35" spans="1:4" ht="17.25" customHeight="1" x14ac:dyDescent="0.15">
      <c r="A35" s="303"/>
      <c r="B35" s="303"/>
      <c r="C35" s="303"/>
      <c r="D35" s="303"/>
    </row>
    <row r="36" spans="1:4" ht="17.25" customHeight="1" x14ac:dyDescent="0.15">
      <c r="A36" s="260"/>
      <c r="B36" s="260"/>
      <c r="C36" s="260"/>
      <c r="D36" s="260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6</vt:i4>
      </vt:variant>
    </vt:vector>
  </HeadingPairs>
  <TitlesOfParts>
    <vt:vector size="12" baseType="lpstr">
      <vt:lpstr>갑지</vt:lpstr>
      <vt:lpstr>원가항목별(집계)</vt:lpstr>
      <vt:lpstr>단위공사별(집계)</vt:lpstr>
      <vt:lpstr>전기</vt:lpstr>
      <vt:lpstr>세척기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이찬민</dc:creator>
  <cp:lastModifiedBy>KKT</cp:lastModifiedBy>
  <cp:lastPrinted>2023-03-25T02:21:37Z</cp:lastPrinted>
  <dcterms:created xsi:type="dcterms:W3CDTF">2018-07-27T02:42:16Z</dcterms:created>
  <dcterms:modified xsi:type="dcterms:W3CDTF">2023-04-20T05:12:01Z</dcterms:modified>
</cp:coreProperties>
</file>