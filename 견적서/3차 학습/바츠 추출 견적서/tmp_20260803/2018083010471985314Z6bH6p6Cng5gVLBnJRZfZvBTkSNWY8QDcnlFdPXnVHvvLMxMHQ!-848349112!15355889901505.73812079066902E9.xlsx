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3040" windowHeight="9105" tabRatio="663" activeTab="3"/>
  </bookViews>
  <sheets>
    <sheet name="갑지" sheetId="1" r:id="rId1"/>
    <sheet name="원가항목별(집계)" sheetId="2" state="hidden" r:id="rId2"/>
    <sheet name="단위공사별(집계)" sheetId="3" state="hidden" r:id="rId3"/>
    <sheet name="기계" sheetId="5" r:id="rId4"/>
    <sheet name="전기" sheetId="4" r:id="rId5"/>
    <sheet name="첨부(견적조건차이내역)" sheetId="15" state="hidden" r:id="rId6"/>
  </sheets>
  <externalReferences>
    <externalReference r:id="rId7"/>
  </externalReferences>
  <definedNames>
    <definedName name="_xlnm._FilterDatabase" localSheetId="3" hidden="1">기계!$A$2:$I$71</definedName>
    <definedName name="_xlnm._FilterDatabase" localSheetId="4" hidden="1">전기!$A$2:$I$66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4">전기!$A:$I</definedName>
    <definedName name="_xlnm.Print_Area" localSheetId="5">'첨부(견적조건차이내역)'!$A$1:$D$36</definedName>
    <definedName name="_xlnm.Print_Titles" localSheetId="4">전기!$1:$2</definedName>
  </definedNames>
  <calcPr calcId="145621"/>
</workbook>
</file>

<file path=xl/calcChain.xml><?xml version="1.0" encoding="utf-8"?>
<calcChain xmlns="http://schemas.openxmlformats.org/spreadsheetml/2006/main">
  <c r="H65" i="4" l="1"/>
  <c r="H58" i="5" l="1"/>
  <c r="H66" i="4"/>
  <c r="N7" i="3"/>
  <c r="I37" i="2"/>
  <c r="I36" i="2"/>
  <c r="I35" i="2"/>
  <c r="I42" i="2"/>
  <c r="I21" i="2"/>
  <c r="I34" i="2"/>
  <c r="I33" i="2"/>
  <c r="I32" i="2"/>
  <c r="H18" i="1" l="1"/>
  <c r="I24" i="2" l="1"/>
  <c r="I25" i="2"/>
  <c r="I26" i="2"/>
  <c r="I27" i="2"/>
  <c r="I28" i="2"/>
  <c r="I29" i="2"/>
  <c r="I30" i="2"/>
  <c r="I31" i="2"/>
  <c r="I12" i="2"/>
  <c r="I13" i="2"/>
  <c r="I14" i="2"/>
  <c r="I15" i="2"/>
  <c r="I16" i="2"/>
  <c r="I17" i="2"/>
  <c r="I18" i="2"/>
  <c r="H66" i="5" l="1"/>
  <c r="H65" i="5"/>
  <c r="H64" i="5"/>
  <c r="H63" i="5"/>
  <c r="H62" i="5"/>
  <c r="H61" i="5"/>
  <c r="H60" i="5"/>
  <c r="H59" i="5"/>
  <c r="H56" i="5"/>
  <c r="H55" i="5"/>
  <c r="H54" i="5"/>
  <c r="H53" i="5"/>
  <c r="H52" i="5"/>
  <c r="H51" i="5"/>
  <c r="H50" i="5"/>
  <c r="H49" i="5"/>
  <c r="H48" i="5"/>
  <c r="H47" i="5"/>
  <c r="H45" i="5"/>
  <c r="H43" i="5"/>
  <c r="H42" i="5"/>
  <c r="H41" i="5"/>
  <c r="H40" i="5"/>
  <c r="H39" i="5"/>
  <c r="H38" i="5"/>
  <c r="H37" i="5"/>
  <c r="H36" i="5"/>
  <c r="H35" i="5"/>
  <c r="H34" i="5"/>
  <c r="H33" i="5"/>
  <c r="H29" i="5"/>
  <c r="H28" i="5"/>
  <c r="H27" i="5"/>
  <c r="H26" i="5"/>
  <c r="H25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61" i="4"/>
  <c r="H60" i="4"/>
  <c r="H59" i="4"/>
  <c r="H58" i="4"/>
  <c r="H57" i="4"/>
  <c r="H56" i="4"/>
  <c r="H55" i="4"/>
  <c r="H52" i="4"/>
  <c r="H51" i="4"/>
  <c r="H50" i="4"/>
  <c r="H49" i="4"/>
  <c r="H48" i="4"/>
  <c r="H47" i="4"/>
  <c r="H46" i="4"/>
  <c r="H45" i="4"/>
  <c r="H44" i="4"/>
  <c r="H43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5" i="4"/>
  <c r="H14" i="4"/>
  <c r="H13" i="4"/>
  <c r="H12" i="4"/>
  <c r="H11" i="4"/>
  <c r="H10" i="4"/>
  <c r="H8" i="4"/>
  <c r="H7" i="4"/>
  <c r="H6" i="4"/>
  <c r="H5" i="4"/>
  <c r="H4" i="4"/>
  <c r="H3" i="4"/>
  <c r="A8" i="3"/>
  <c r="A9" i="3" s="1"/>
  <c r="H57" i="5" l="1"/>
  <c r="H42" i="4"/>
  <c r="H16" i="4"/>
  <c r="H24" i="5"/>
  <c r="H30" i="5"/>
  <c r="H9" i="4"/>
  <c r="H62" i="4"/>
  <c r="H46" i="5"/>
  <c r="I20" i="2"/>
  <c r="H53" i="4"/>
  <c r="H67" i="5"/>
  <c r="P15" i="3" l="1"/>
  <c r="I11" i="2" l="1"/>
  <c r="I22" i="2" s="1"/>
  <c r="P16" i="3"/>
  <c r="P8" i="3"/>
  <c r="P12" i="3"/>
  <c r="P10" i="3"/>
  <c r="P13" i="3"/>
  <c r="P14" i="3"/>
  <c r="P9" i="3"/>
  <c r="P11" i="3" l="1"/>
  <c r="P7" i="3"/>
  <c r="P17" i="3" l="1"/>
  <c r="H71" i="5" l="1"/>
  <c r="E28" i="1" l="1"/>
  <c r="F28" i="1"/>
  <c r="H28" i="1" l="1"/>
  <c r="G28" i="1"/>
</calcChain>
</file>

<file path=xl/sharedStrings.xml><?xml version="1.0" encoding="utf-8"?>
<sst xmlns="http://schemas.openxmlformats.org/spreadsheetml/2006/main" count="289" uniqueCount="248">
  <si>
    <t>(현대/기아차 설비협력업체 견적통일양식)</t>
    <phoneticPr fontId="2" type="noConversion"/>
  </si>
  <si>
    <t xml:space="preserve">見  積  書   </t>
    <phoneticPr fontId="2" type="noConversion"/>
  </si>
  <si>
    <t>현대위아(주) 貴下</t>
    <phoneticPr fontId="2" type="noConversion"/>
  </si>
  <si>
    <t>견적일자</t>
    <phoneticPr fontId="2" type="noConversion"/>
  </si>
  <si>
    <t>견적번호</t>
    <phoneticPr fontId="2" type="noConversion"/>
  </si>
  <si>
    <t>CL20180212-001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</si>
  <si>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</si>
  <si>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</si>
  <si>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</si>
  <si>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</si>
  <si>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r>
      <t>견적일로부터3</t>
    </r>
    <r>
      <rPr>
        <sz val="11"/>
        <rFont val="굴림"/>
        <family val="3"/>
        <charset val="129"/>
      </rPr>
      <t>0일</t>
    </r>
    <phoneticPr fontId="2" type="noConversion"/>
  </si>
  <si>
    <t>인도장소</t>
    <phoneticPr fontId="2" type="noConversion"/>
  </si>
  <si>
    <t>담 당 자</t>
    <phoneticPr fontId="2" type="noConversion"/>
  </si>
  <si>
    <t>설비구매팀/이찬민 님</t>
    <phoneticPr fontId="2" type="noConversion"/>
  </si>
  <si>
    <t>공 사 명:</t>
    <phoneticPr fontId="2" type="noConversion"/>
  </si>
  <si>
    <t>최종견적금액:</t>
    <phoneticPr fontId="2" type="noConversion"/>
  </si>
  <si>
    <t>번호</t>
    <phoneticPr fontId="2" type="noConversion"/>
  </si>
  <si>
    <t>상세품목내역</t>
    <phoneticPr fontId="2" type="noConversion"/>
  </si>
  <si>
    <t>비  고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</si>
  <si>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</si>
  <si>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</si>
  <si>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</si>
  <si>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</si>
  <si>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</si>
  <si>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</si>
  <si>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</si>
  <si>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</si>
  <si>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</si>
  <si>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</si>
  <si>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</si>
  <si>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</si>
  <si>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</si>
  <si>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</si>
  <si>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</si>
  <si>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</si>
  <si>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</si>
  <si>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</si>
  <si>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</si>
  <si>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</si>
  <si>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</si>
  <si>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</si>
  <si>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</si>
  <si>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</si>
  <si>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</si>
  <si>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</si>
  <si>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</si>
  <si>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일반구매품</t>
    <phoneticPr fontId="2" type="noConversion"/>
  </si>
  <si>
    <t>식</t>
    <phoneticPr fontId="2" type="noConversion"/>
  </si>
  <si>
    <t>외주제작품</t>
    <phoneticPr fontId="2" type="noConversion"/>
  </si>
  <si>
    <t>식</t>
    <phoneticPr fontId="2" type="noConversion"/>
  </si>
  <si>
    <t>설치/해체 공사 자재</t>
    <phoneticPr fontId="2" type="noConversion"/>
  </si>
  <si>
    <t>식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</si>
  <si>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</si>
  <si>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</si>
  <si>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</si>
  <si>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</si>
  <si>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</si>
  <si>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</si>
  <si>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</si>
  <si>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</si>
  <si>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</si>
  <si>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</si>
  <si>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</si>
  <si>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</si>
  <si>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</si>
  <si>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</si>
  <si>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</si>
  <si>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</si>
  <si>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</si>
  <si>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</si>
  <si>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</si>
  <si>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</si>
  <si>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</si>
  <si>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철거(개조시)</t>
    <phoneticPr fontId="2" type="noConversion"/>
  </si>
  <si>
    <t>설계,프로그램</t>
    <phoneticPr fontId="2" type="noConversion"/>
  </si>
  <si>
    <t>M/D</t>
    <phoneticPr fontId="2" type="noConversion"/>
  </si>
  <si>
    <t>제작</t>
    <phoneticPr fontId="2" type="noConversion"/>
  </si>
  <si>
    <t>M/D</t>
    <phoneticPr fontId="2" type="noConversion"/>
  </si>
  <si>
    <t>설치</t>
    <phoneticPr fontId="2" type="noConversion"/>
  </si>
  <si>
    <t>M/D</t>
    <phoneticPr fontId="2" type="noConversion"/>
  </si>
  <si>
    <t>시운전</t>
    <phoneticPr fontId="2" type="noConversion"/>
  </si>
  <si>
    <t>M/D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</si>
  <si>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</si>
  <si>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</si>
  <si>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</si>
  <si>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</si>
  <si>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</si>
  <si>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</si>
  <si>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</si>
  <si>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</si>
  <si>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</si>
  <si>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</si>
  <si>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</si>
  <si>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</si>
  <si>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</si>
  <si>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</si>
  <si>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</si>
  <si>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</si>
  <si>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</si>
  <si>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</si>
  <si>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</si>
  <si>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</si>
  <si>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</si>
  <si>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</si>
  <si>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</si>
  <si>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</si>
  <si>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</si>
  <si>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</si>
  <si>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</si>
  <si>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</si>
  <si>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</si>
  <si>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</si>
  <si>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</si>
  <si>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</si>
  <si>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</si>
  <si>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</si>
  <si>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</si>
  <si>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</si>
  <si>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</si>
  <si>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</si>
  <si>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</si>
  <si>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</si>
  <si>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</si>
  <si>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</si>
  <si>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</si>
  <si>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</si>
  <si>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</si>
  <si>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</si>
  <si>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</si>
  <si>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</si>
  <si>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</si>
  <si>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</si>
  <si>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</si>
  <si>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</si>
  <si>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</si>
  <si>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</si>
  <si>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</si>
  <si>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</si>
  <si>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</si>
  <si>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</si>
  <si>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</si>
  <si>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</si>
  <si>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`</t>
    <phoneticPr fontId="2" type="noConversion"/>
  </si>
  <si>
    <t>기타자재</t>
    <phoneticPr fontId="2" type="noConversion"/>
  </si>
  <si>
    <t>전기자재</t>
    <phoneticPr fontId="2" type="noConversion"/>
  </si>
  <si>
    <t>프로그램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</si>
  <si>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</si>
  <si>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</si>
  <si>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</si>
  <si>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</si>
  <si>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</si>
  <si>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전기 설계/프로그램</t>
    <phoneticPr fontId="2" type="noConversion"/>
  </si>
  <si>
    <t>전기 제작</t>
    <phoneticPr fontId="2" type="noConversion"/>
  </si>
  <si>
    <t>전기 조립</t>
    <phoneticPr fontId="2" type="noConversion"/>
  </si>
  <si>
    <t>M/D</t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</si>
  <si>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</si>
  <si>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</si>
  <si>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</si>
  <si>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</si>
  <si>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</si>
  <si>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</si>
  <si>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</si>
  <si>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</si>
  <si>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</si>
  <si>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</si>
  <si>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 xml:space="preserve"> ㅇㅇㅇㅇㅇㅇ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</si>
  <si>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</si>
  <si>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</si>
  <si>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</si>
  <si>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</si>
  <si>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</si>
  <si>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</si>
  <si>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</si>
  <si>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</si>
  <si>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</si>
  <si>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</si>
  <si>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</si>
  <si>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 xml:space="preserve"> 기타자재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</si>
  <si>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</si>
  <si>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</si>
  <si>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</si>
  <si>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기타자재</t>
    <phoneticPr fontId="2" type="noConversion"/>
  </si>
  <si>
    <t>구매품</t>
    <phoneticPr fontId="2" type="noConversion"/>
  </si>
  <si>
    <t>(유공압품외)</t>
    <phoneticPr fontId="2" type="noConversion"/>
  </si>
  <si>
    <t xml:space="preserve"> 기타잡자재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</si>
  <si>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</si>
  <si>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</si>
  <si>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</si>
  <si>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</si>
  <si>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</si>
  <si>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</si>
  <si>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</si>
  <si>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</si>
  <si>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</si>
  <si>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</si>
  <si>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</si>
  <si>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</si>
  <si>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</si>
  <si>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</si>
  <si>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</si>
  <si>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</si>
  <si>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</si>
  <si>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</si>
  <si>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</si>
  <si>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</si>
  <si>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</si>
  <si>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</si>
  <si>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</si>
  <si>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</si>
  <si>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㈜유 진 테 크</t>
    <phoneticPr fontId="2" type="noConversion"/>
  </si>
  <si>
    <t>대표 : 김 성 윤  (인)</t>
    <phoneticPr fontId="2" type="noConversion"/>
  </si>
  <si>
    <t>주소 : 경기고 화성시 현대기아로 285-39</t>
    <phoneticPr fontId="2" type="noConversion"/>
  </si>
  <si>
    <t>전화: 031-415-8448</t>
    <phoneticPr fontId="2" type="noConversion"/>
  </si>
  <si>
    <t>Fax: 031-416-8448</t>
    <phoneticPr fontId="2" type="noConversion"/>
  </si>
  <si>
    <t xml:space="preserve">E-mail: ujin_kim714@naver.com </t>
    <phoneticPr fontId="2" type="noConversion"/>
  </si>
  <si>
    <t xml:space="preserve">    견적담당: 김혁태 주임</t>
    <phoneticPr fontId="2" type="noConversion"/>
  </si>
  <si>
    <t xml:space="preserve">    연 락 처 : 010-5879-4488</t>
    <phoneticPr fontId="2" type="noConversion"/>
  </si>
  <si>
    <t xml:space="preserve">마찰용접기 레이져 마킹기 추가 </t>
    <phoneticPr fontId="2" type="noConversion"/>
  </si>
  <si>
    <t>기업이윤 20%</t>
    <phoneticPr fontId="2" type="noConversion"/>
  </si>
  <si>
    <t>기업이윤 20%</t>
    <phoneticPr fontId="2" type="noConversion"/>
  </si>
  <si>
    <t>레이져 마킹기 &amp; 자동화장치</t>
    <phoneticPr fontId="2" type="noConversion"/>
  </si>
  <si>
    <t>마찰용접기</t>
    <phoneticPr fontId="2" type="noConversion"/>
  </si>
  <si>
    <t>기계</t>
    <phoneticPr fontId="2" type="noConversion"/>
  </si>
  <si>
    <t>전기</t>
    <phoneticPr fontId="2" type="noConversion"/>
  </si>
  <si>
    <r>
      <t>L</t>
    </r>
    <r>
      <rPr>
        <sz val="11"/>
        <rFont val="굴림"/>
        <family val="3"/>
        <charset val="129"/>
      </rPr>
      <t>ASER MAKING MACHINE</t>
    </r>
    <phoneticPr fontId="2" type="noConversion"/>
  </si>
  <si>
    <t>MD-X1000</t>
    <phoneticPr fontId="2" type="noConversion"/>
  </si>
  <si>
    <r>
      <t>E</t>
    </r>
    <r>
      <rPr>
        <sz val="11"/>
        <rFont val="굴림"/>
        <family val="3"/>
        <charset val="129"/>
      </rPr>
      <t>A</t>
    </r>
    <phoneticPr fontId="2" type="noConversion"/>
  </si>
  <si>
    <t>DOOR</t>
    <phoneticPr fontId="2" type="noConversion"/>
  </si>
  <si>
    <t>설치 다이</t>
    <phoneticPr fontId="2" type="noConversion"/>
  </si>
  <si>
    <t>STOPPER</t>
    <phoneticPr fontId="2" type="noConversion"/>
  </si>
  <si>
    <t>JIG</t>
    <phoneticPr fontId="2" type="noConversion"/>
  </si>
  <si>
    <t>CLAMPING JIG</t>
    <phoneticPr fontId="2" type="noConversion"/>
  </si>
  <si>
    <t>LM BLOCK GUIDE</t>
    <phoneticPr fontId="2" type="noConversion"/>
  </si>
  <si>
    <t>SESOR BRAKET</t>
    <phoneticPr fontId="2" type="noConversion"/>
  </si>
  <si>
    <t>LODING 장치</t>
    <phoneticPr fontId="2" type="noConversion"/>
  </si>
  <si>
    <t>CENTER CYILNDER</t>
    <phoneticPr fontId="2" type="noConversion"/>
  </si>
  <si>
    <t>AIR CHUCK</t>
    <phoneticPr fontId="2" type="noConversion"/>
  </si>
  <si>
    <t>LINEARE GUIDE CYILDER</t>
    <phoneticPr fontId="2" type="noConversion"/>
  </si>
  <si>
    <t>박형 CYILDER</t>
    <phoneticPr fontId="2" type="noConversion"/>
  </si>
  <si>
    <r>
      <t>E</t>
    </r>
    <r>
      <rPr>
        <sz val="11"/>
        <rFont val="굴림"/>
        <family val="3"/>
        <charset val="129"/>
      </rPr>
      <t>A</t>
    </r>
    <phoneticPr fontId="2" type="noConversion"/>
  </si>
  <si>
    <t>EA</t>
    <phoneticPr fontId="2" type="noConversion"/>
  </si>
  <si>
    <t>EA</t>
    <phoneticPr fontId="2" type="noConversion"/>
  </si>
  <si>
    <t>EA</t>
    <phoneticPr fontId="2" type="noConversion"/>
  </si>
  <si>
    <t>소재변경건 관련 신규 지그</t>
    <phoneticPr fontId="2" type="noConversion"/>
  </si>
  <si>
    <t>SET</t>
    <phoneticPr fontId="2" type="noConversion"/>
  </si>
  <si>
    <r>
      <t xml:space="preserve"> 一金일억사백십사만원整(\95,000,000)</t>
    </r>
    <r>
      <rPr>
        <b/>
        <sz val="9"/>
        <rFont val="굴림"/>
        <family val="3"/>
        <charset val="129"/>
      </rPr>
      <t>만단위이하절사</t>
    </r>
    <phoneticPr fontId="2" type="noConversion"/>
  </si>
  <si>
    <t>-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</si>
  <si>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(원)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</si>
</sst>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8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i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9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  <font>
      <sz val="14"/>
      <name val="HY헤드라인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6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4" fontId="0" fillId="2" borderId="6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176" fontId="1" fillId="0" borderId="22" xfId="0" applyNumberFormat="1" applyFont="1" applyFill="1" applyBorder="1" applyAlignment="1">
      <alignment horizontal="right" vertical="center"/>
    </xf>
    <xf numFmtId="176" fontId="1" fillId="0" borderId="23" xfId="0" applyNumberFormat="1" applyFont="1" applyFill="1" applyBorder="1" applyAlignment="1">
      <alignment horizontal="right" vertical="center"/>
    </xf>
    <xf numFmtId="176" fontId="1" fillId="0" borderId="24" xfId="0" applyNumberFormat="1" applyFont="1" applyFill="1" applyBorder="1" applyAlignment="1">
      <alignment horizontal="right" vertical="center"/>
    </xf>
    <xf numFmtId="0" fontId="1" fillId="0" borderId="19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center" vertical="center"/>
    </xf>
    <xf numFmtId="176" fontId="1" fillId="0" borderId="28" xfId="0" applyNumberFormat="1" applyFont="1" applyFill="1" applyBorder="1" applyAlignment="1">
      <alignment horizontal="right" vertical="center"/>
    </xf>
    <xf numFmtId="0" fontId="0" fillId="0" borderId="29" xfId="0" applyFill="1" applyBorder="1" applyAlignment="1">
      <alignment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27" xfId="0" applyNumberFormat="1" applyFont="1" applyFill="1" applyBorder="1" applyAlignment="1">
      <alignment horizontal="right" vertical="center"/>
    </xf>
    <xf numFmtId="0" fontId="1" fillId="0" borderId="25" xfId="0" applyFont="1" applyFill="1" applyBorder="1" applyAlignment="1">
      <alignment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176" fontId="1" fillId="0" borderId="32" xfId="0" applyNumberFormat="1" applyFont="1" applyFill="1" applyBorder="1" applyAlignment="1">
      <alignment horizontal="right" vertical="center"/>
    </xf>
    <xf numFmtId="0" fontId="0" fillId="0" borderId="33" xfId="0" applyFill="1" applyBorder="1" applyAlignment="1">
      <alignment vertical="center"/>
    </xf>
    <xf numFmtId="176" fontId="1" fillId="0" borderId="34" xfId="0" applyNumberFormat="1" applyFont="1" applyFill="1" applyBorder="1" applyAlignment="1">
      <alignment horizontal="right" vertical="center"/>
    </xf>
    <xf numFmtId="176" fontId="1" fillId="0" borderId="31" xfId="0" applyNumberFormat="1" applyFont="1" applyFill="1" applyBorder="1" applyAlignment="1">
      <alignment horizontal="right" vertical="center"/>
    </xf>
    <xf numFmtId="0" fontId="1" fillId="0" borderId="35" xfId="0" applyFont="1" applyFill="1" applyBorder="1" applyAlignment="1">
      <alignment vertical="center"/>
    </xf>
    <xf numFmtId="176" fontId="1" fillId="0" borderId="39" xfId="0" applyNumberFormat="1" applyFont="1" applyBorder="1" applyAlignment="1">
      <alignment vertical="center"/>
    </xf>
    <xf numFmtId="176" fontId="1" fillId="0" borderId="40" xfId="0" applyNumberFormat="1" applyFont="1" applyBorder="1" applyAlignment="1">
      <alignment vertical="center"/>
    </xf>
    <xf numFmtId="176" fontId="5" fillId="3" borderId="38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4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3" fontId="15" fillId="0" borderId="0" xfId="0" applyNumberFormat="1" applyFont="1" applyFill="1" applyAlignment="1">
      <alignment vertical="center"/>
    </xf>
    <xf numFmtId="3" fontId="16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vertical="center"/>
    </xf>
    <xf numFmtId="4" fontId="19" fillId="0" borderId="0" xfId="0" applyNumberFormat="1" applyFont="1" applyFill="1" applyAlignment="1">
      <alignment vertical="center"/>
    </xf>
    <xf numFmtId="3" fontId="19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179" fontId="1" fillId="0" borderId="52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179" fontId="1" fillId="0" borderId="58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62" xfId="0" applyNumberFormat="1" applyFont="1" applyFill="1" applyBorder="1" applyAlignment="1">
      <alignment horizontal="center" vertical="center"/>
    </xf>
    <xf numFmtId="3" fontId="14" fillId="0" borderId="62" xfId="0" applyNumberFormat="1" applyFont="1" applyFill="1" applyBorder="1" applyAlignment="1">
      <alignment horizontal="center" vertical="center"/>
    </xf>
    <xf numFmtId="179" fontId="1" fillId="0" borderId="62" xfId="0" applyNumberFormat="1" applyFont="1" applyFill="1" applyBorder="1" applyAlignment="1">
      <alignment horizontal="right" vertical="center"/>
    </xf>
    <xf numFmtId="179" fontId="1" fillId="0" borderId="62" xfId="0" applyNumberFormat="1" applyFont="1" applyFill="1" applyBorder="1" applyAlignment="1">
      <alignment vertical="center"/>
    </xf>
    <xf numFmtId="3" fontId="1" fillId="0" borderId="63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/>
    </xf>
    <xf numFmtId="3" fontId="14" fillId="0" borderId="6" xfId="0" applyNumberFormat="1" applyFont="1" applyFill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Fill="1" applyBorder="1" applyAlignment="1">
      <alignment vertical="center"/>
    </xf>
    <xf numFmtId="3" fontId="1" fillId="0" borderId="64" xfId="0" applyNumberFormat="1" applyFont="1" applyFill="1" applyBorder="1" applyAlignment="1">
      <alignment vertical="center"/>
    </xf>
    <xf numFmtId="179" fontId="1" fillId="0" borderId="6" xfId="0" applyNumberFormat="1" applyFont="1" applyFill="1" applyBorder="1" applyAlignment="1">
      <alignment horizontal="right" vertical="center"/>
    </xf>
    <xf numFmtId="3" fontId="0" fillId="4" borderId="6" xfId="0" applyNumberFormat="1" applyFill="1" applyBorder="1" applyAlignment="1">
      <alignment horizontal="center" vertical="center"/>
    </xf>
    <xf numFmtId="179" fontId="1" fillId="4" borderId="6" xfId="0" applyNumberFormat="1" applyFont="1" applyFill="1" applyBorder="1" applyAlignment="1">
      <alignment vertical="center"/>
    </xf>
    <xf numFmtId="3" fontId="0" fillId="0" borderId="64" xfId="0" applyNumberFormat="1" applyFill="1" applyBorder="1" applyAlignment="1">
      <alignment vertical="center"/>
    </xf>
    <xf numFmtId="3" fontId="1" fillId="0" borderId="66" xfId="0" applyNumberFormat="1" applyFont="1" applyFill="1" applyBorder="1" applyAlignment="1">
      <alignment horizontal="center" vertical="center"/>
    </xf>
    <xf numFmtId="179" fontId="5" fillId="0" borderId="6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left" vertical="center"/>
    </xf>
    <xf numFmtId="3" fontId="1" fillId="0" borderId="68" xfId="0" applyNumberFormat="1" applyFont="1" applyFill="1" applyBorder="1" applyAlignment="1">
      <alignment horizontal="center" vertical="center"/>
    </xf>
    <xf numFmtId="179" fontId="5" fillId="0" borderId="69" xfId="0" applyNumberFormat="1" applyFont="1" applyFill="1" applyBorder="1" applyAlignment="1">
      <alignment vertical="center"/>
    </xf>
    <xf numFmtId="3" fontId="1" fillId="0" borderId="70" xfId="0" applyNumberFormat="1" applyFont="1" applyFill="1" applyBorder="1" applyAlignment="1">
      <alignment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73" xfId="0" applyNumberFormat="1" applyFont="1" applyFill="1" applyBorder="1" applyAlignment="1">
      <alignment horizontal="center" vertical="center"/>
    </xf>
    <xf numFmtId="3" fontId="1" fillId="0" borderId="74" xfId="0" applyNumberFormat="1" applyFont="1" applyFill="1" applyBorder="1" applyAlignment="1">
      <alignment vertical="center"/>
    </xf>
    <xf numFmtId="3" fontId="1" fillId="0" borderId="75" xfId="0" applyNumberFormat="1" applyFont="1" applyFill="1" applyBorder="1" applyAlignment="1">
      <alignment horizontal="center" vertical="center"/>
    </xf>
    <xf numFmtId="3" fontId="14" fillId="0" borderId="75" xfId="0" applyNumberFormat="1" applyFont="1" applyFill="1" applyBorder="1" applyAlignment="1">
      <alignment horizontal="center" vertical="center"/>
    </xf>
    <xf numFmtId="179" fontId="1" fillId="0" borderId="75" xfId="0" applyNumberFormat="1" applyFont="1" applyFill="1" applyBorder="1" applyAlignment="1">
      <alignment vertical="center"/>
    </xf>
    <xf numFmtId="3" fontId="1" fillId="0" borderId="76" xfId="0" applyNumberFormat="1" applyFont="1" applyFill="1" applyBorder="1" applyAlignment="1">
      <alignment vertical="center"/>
    </xf>
    <xf numFmtId="179" fontId="5" fillId="0" borderId="75" xfId="0" applyNumberFormat="1" applyFont="1" applyFill="1" applyBorder="1" applyAlignment="1">
      <alignment vertical="center"/>
    </xf>
    <xf numFmtId="179" fontId="5" fillId="0" borderId="18" xfId="0" applyNumberFormat="1" applyFont="1" applyFill="1" applyBorder="1" applyAlignment="1">
      <alignment vertical="center"/>
    </xf>
    <xf numFmtId="3" fontId="1" fillId="0" borderId="81" xfId="0" applyNumberFormat="1" applyFont="1" applyFill="1" applyBorder="1" applyAlignment="1">
      <alignment vertical="center"/>
    </xf>
    <xf numFmtId="3" fontId="1" fillId="0" borderId="82" xfId="0" applyNumberFormat="1" applyFont="1" applyFill="1" applyBorder="1" applyAlignment="1">
      <alignment horizontal="center" vertical="center"/>
    </xf>
    <xf numFmtId="179" fontId="5" fillId="3" borderId="87" xfId="0" applyNumberFormat="1" applyFont="1" applyFill="1" applyBorder="1" applyAlignment="1">
      <alignment vertical="center"/>
    </xf>
    <xf numFmtId="3" fontId="1" fillId="0" borderId="88" xfId="0" applyNumberFormat="1" applyFont="1" applyFill="1" applyBorder="1" applyAlignment="1">
      <alignment vertical="center"/>
    </xf>
    <xf numFmtId="3" fontId="1" fillId="0" borderId="28" xfId="0" applyNumberFormat="1" applyFont="1" applyFill="1" applyBorder="1" applyAlignment="1">
      <alignment horizontal="center" vertical="center"/>
    </xf>
    <xf numFmtId="179" fontId="5" fillId="0" borderId="62" xfId="0" applyNumberFormat="1" applyFont="1" applyFill="1" applyBorder="1" applyAlignment="1">
      <alignment vertical="center"/>
    </xf>
    <xf numFmtId="3" fontId="14" fillId="0" borderId="64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9" xfId="0" applyNumberFormat="1" applyFont="1" applyFill="1" applyBorder="1" applyAlignment="1">
      <alignment horizontal="center" vertical="center"/>
    </xf>
    <xf numFmtId="3" fontId="1" fillId="0" borderId="90" xfId="0" applyNumberFormat="1" applyFont="1" applyFill="1" applyBorder="1" applyAlignment="1">
      <alignment horizontal="left" vertical="center"/>
    </xf>
    <xf numFmtId="179" fontId="5" fillId="0" borderId="92" xfId="0" applyNumberFormat="1" applyFont="1" applyFill="1" applyBorder="1" applyAlignment="1">
      <alignment vertical="center"/>
    </xf>
    <xf numFmtId="3" fontId="1" fillId="0" borderId="94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Fill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176" fontId="0" fillId="0" borderId="104" xfId="0" applyNumberFormat="1" applyBorder="1" applyAlignment="1">
      <alignment horizontal="center" vertical="center"/>
    </xf>
    <xf numFmtId="176" fontId="0" fillId="0" borderId="104" xfId="0" applyNumberFormat="1" applyFill="1" applyBorder="1" applyAlignment="1">
      <alignment horizontal="left" vertical="center"/>
    </xf>
    <xf numFmtId="176" fontId="0" fillId="0" borderId="104" xfId="0" applyNumberFormat="1" applyFill="1" applyBorder="1" applyAlignment="1">
      <alignment horizontal="center" vertical="center"/>
    </xf>
    <xf numFmtId="176" fontId="21" fillId="0" borderId="105" xfId="0" applyNumberFormat="1" applyFont="1" applyFill="1" applyBorder="1" applyAlignment="1">
      <alignment vertical="center"/>
    </xf>
    <xf numFmtId="176" fontId="21" fillId="0" borderId="106" xfId="0" applyNumberFormat="1" applyFont="1" applyFill="1" applyBorder="1" applyAlignment="1">
      <alignment vertical="center"/>
    </xf>
    <xf numFmtId="176" fontId="21" fillId="0" borderId="107" xfId="0" applyNumberFormat="1" applyFont="1" applyFill="1" applyBorder="1" applyAlignment="1">
      <alignment vertical="center"/>
    </xf>
    <xf numFmtId="176" fontId="1" fillId="0" borderId="108" xfId="0" applyNumberFormat="1" applyFont="1" applyFill="1" applyBorder="1" applyAlignment="1">
      <alignment vertical="center"/>
    </xf>
    <xf numFmtId="176" fontId="1" fillId="0" borderId="106" xfId="0" applyNumberFormat="1" applyFont="1" applyFill="1" applyBorder="1" applyAlignment="1">
      <alignment vertical="center"/>
    </xf>
    <xf numFmtId="176" fontId="0" fillId="0" borderId="109" xfId="0" applyNumberFormat="1" applyFill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111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5" xfId="0" applyNumberFormat="1" applyBorder="1" applyAlignment="1">
      <alignment horizontal="center" vertical="center"/>
    </xf>
    <xf numFmtId="176" fontId="0" fillId="0" borderId="25" xfId="0" applyNumberFormat="1" applyFill="1" applyBorder="1" applyAlignment="1">
      <alignment horizontal="left" vertical="center"/>
    </xf>
    <xf numFmtId="176" fontId="0" fillId="0" borderId="25" xfId="0" applyNumberFormat="1" applyFill="1" applyBorder="1" applyAlignment="1">
      <alignment horizontal="center" vertical="center"/>
    </xf>
    <xf numFmtId="176" fontId="21" fillId="0" borderId="28" xfId="0" applyNumberFormat="1" applyFont="1" applyFill="1" applyBorder="1" applyAlignment="1">
      <alignment vertical="center"/>
    </xf>
    <xf numFmtId="176" fontId="21" fillId="0" borderId="6" xfId="0" applyNumberFormat="1" applyFont="1" applyFill="1" applyBorder="1" applyAlignment="1">
      <alignment vertical="center"/>
    </xf>
    <xf numFmtId="176" fontId="21" fillId="0" borderId="64" xfId="0" applyNumberFormat="1" applyFont="1" applyFill="1" applyBorder="1" applyAlignment="1">
      <alignment vertical="center"/>
    </xf>
    <xf numFmtId="176" fontId="1" fillId="0" borderId="66" xfId="0" applyNumberFormat="1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113" xfId="0" applyNumberFormat="1" applyBorder="1" applyAlignment="1">
      <alignment vertical="center"/>
    </xf>
    <xf numFmtId="176" fontId="0" fillId="0" borderId="27" xfId="0" applyNumberFormat="1" applyBorder="1" applyAlignment="1">
      <alignment vertical="center"/>
    </xf>
    <xf numFmtId="176" fontId="0" fillId="0" borderId="113" xfId="0" applyNumberFormat="1" applyFill="1" applyBorder="1" applyAlignment="1">
      <alignment vertical="center"/>
    </xf>
    <xf numFmtId="176" fontId="0" fillId="0" borderId="27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35" xfId="0" applyNumberFormat="1" applyFill="1" applyBorder="1" applyAlignment="1">
      <alignment horizontal="center" vertical="center"/>
    </xf>
    <xf numFmtId="176" fontId="0" fillId="0" borderId="35" xfId="0" applyNumberFormat="1" applyFill="1" applyBorder="1" applyAlignment="1">
      <alignment horizontal="left" vertical="center"/>
    </xf>
    <xf numFmtId="176" fontId="21" fillId="0" borderId="32" xfId="0" applyNumberFormat="1" applyFont="1" applyFill="1" applyBorder="1" applyAlignment="1">
      <alignment vertical="center"/>
    </xf>
    <xf numFmtId="176" fontId="21" fillId="0" borderId="34" xfId="0" applyNumberFormat="1" applyFont="1" applyFill="1" applyBorder="1" applyAlignment="1">
      <alignment vertical="center"/>
    </xf>
    <xf numFmtId="176" fontId="21" fillId="0" borderId="74" xfId="0" applyNumberFormat="1" applyFont="1" applyFill="1" applyBorder="1" applyAlignment="1">
      <alignment vertical="center"/>
    </xf>
    <xf numFmtId="176" fontId="1" fillId="0" borderId="73" xfId="0" applyNumberFormat="1" applyFont="1" applyFill="1" applyBorder="1" applyAlignment="1">
      <alignment vertical="center"/>
    </xf>
    <xf numFmtId="176" fontId="1" fillId="0" borderId="34" xfId="0" applyNumberFormat="1" applyFont="1" applyFill="1" applyBorder="1" applyAlignment="1">
      <alignment vertical="center"/>
    </xf>
    <xf numFmtId="176" fontId="0" fillId="0" borderId="114" xfId="0" applyNumberFormat="1" applyFill="1" applyBorder="1" applyAlignment="1">
      <alignment vertical="center"/>
    </xf>
    <xf numFmtId="176" fontId="0" fillId="0" borderId="115" xfId="0" applyNumberFormat="1" applyFill="1" applyBorder="1" applyAlignment="1">
      <alignment vertical="center"/>
    </xf>
    <xf numFmtId="176" fontId="0" fillId="0" borderId="31" xfId="0" applyNumberFormat="1" applyFill="1" applyBorder="1" applyAlignment="1">
      <alignment vertical="center"/>
    </xf>
    <xf numFmtId="176" fontId="21" fillId="0" borderId="49" xfId="0" applyNumberFormat="1" applyFont="1" applyBorder="1" applyAlignment="1">
      <alignment vertical="center"/>
    </xf>
    <xf numFmtId="176" fontId="21" fillId="0" borderId="52" xfId="0" applyNumberFormat="1" applyFont="1" applyBorder="1" applyAlignment="1">
      <alignment vertical="center"/>
    </xf>
    <xf numFmtId="176" fontId="21" fillId="0" borderId="53" xfId="0" applyNumberFormat="1" applyFont="1" applyBorder="1" applyAlignment="1">
      <alignment vertical="center"/>
    </xf>
    <xf numFmtId="176" fontId="5" fillId="0" borderId="51" xfId="0" applyNumberFormat="1" applyFont="1" applyBorder="1" applyAlignment="1">
      <alignment vertical="center"/>
    </xf>
    <xf numFmtId="176" fontId="5" fillId="0" borderId="52" xfId="0" applyNumberFormat="1" applyFont="1" applyFill="1" applyBorder="1" applyAlignment="1">
      <alignment vertical="center"/>
    </xf>
    <xf numFmtId="176" fontId="5" fillId="0" borderId="52" xfId="0" applyNumberFormat="1" applyFont="1" applyBorder="1" applyAlignment="1">
      <alignment vertical="center"/>
    </xf>
    <xf numFmtId="176" fontId="5" fillId="0" borderId="95" xfId="0" applyNumberFormat="1" applyFont="1" applyBorder="1" applyAlignment="1">
      <alignment vertical="center"/>
    </xf>
    <xf numFmtId="176" fontId="5" fillId="0" borderId="116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14" fillId="0" borderId="9" xfId="0" applyNumberFormat="1" applyFont="1" applyBorder="1" applyAlignment="1">
      <alignment horizontal="center" vertical="center"/>
    </xf>
    <xf numFmtId="176" fontId="14" fillId="0" borderId="10" xfId="0" applyNumberFormat="1" applyFont="1" applyBorder="1" applyAlignment="1">
      <alignment horizontal="center" vertical="center"/>
    </xf>
    <xf numFmtId="176" fontId="14" fillId="0" borderId="11" xfId="0" applyNumberFormat="1" applyFont="1" applyBorder="1" applyAlignment="1">
      <alignment horizontal="center" vertical="center"/>
    </xf>
    <xf numFmtId="9" fontId="22" fillId="0" borderId="71" xfId="2" applyFont="1" applyBorder="1" applyAlignment="1">
      <alignment vertical="center"/>
    </xf>
    <xf numFmtId="9" fontId="22" fillId="0" borderId="33" xfId="2" applyFont="1" applyBorder="1" applyAlignment="1">
      <alignment vertical="center"/>
    </xf>
    <xf numFmtId="9" fontId="22" fillId="0" borderId="117" xfId="2" applyFont="1" applyBorder="1" applyAlignment="1">
      <alignment vertical="center"/>
    </xf>
    <xf numFmtId="9" fontId="14" fillId="0" borderId="118" xfId="2" applyFont="1" applyBorder="1" applyAlignment="1">
      <alignment vertical="center"/>
    </xf>
    <xf numFmtId="9" fontId="14" fillId="0" borderId="33" xfId="2" applyFont="1" applyFill="1" applyBorder="1" applyAlignment="1">
      <alignment vertical="center"/>
    </xf>
    <xf numFmtId="9" fontId="14" fillId="0" borderId="33" xfId="2" applyFont="1" applyBorder="1" applyAlignment="1">
      <alignment vertical="center"/>
    </xf>
    <xf numFmtId="9" fontId="14" fillId="0" borderId="119" xfId="2" applyFont="1" applyBorder="1" applyAlignment="1">
      <alignment vertical="center"/>
    </xf>
    <xf numFmtId="9" fontId="14" fillId="0" borderId="120" xfId="2" applyFont="1" applyBorder="1" applyAlignment="1">
      <alignment vertical="center"/>
    </xf>
    <xf numFmtId="176" fontId="14" fillId="0" borderId="11" xfId="0" applyNumberFormat="1" applyFont="1" applyBorder="1" applyAlignment="1">
      <alignment vertical="center"/>
    </xf>
    <xf numFmtId="176" fontId="14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5" fillId="0" borderId="1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4" fillId="0" borderId="0" xfId="0" applyNumberFormat="1" applyFont="1" applyFill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5" borderId="25" xfId="0" applyFill="1" applyBorder="1" applyAlignment="1">
      <alignment vertical="center"/>
    </xf>
    <xf numFmtId="0" fontId="0" fillId="5" borderId="121" xfId="0" applyFill="1" applyBorder="1" applyAlignment="1">
      <alignment vertical="center"/>
    </xf>
    <xf numFmtId="0" fontId="0" fillId="5" borderId="121" xfId="0" applyFill="1" applyBorder="1" applyAlignment="1">
      <alignment horizontal="center" vertical="center"/>
    </xf>
    <xf numFmtId="176" fontId="0" fillId="5" borderId="121" xfId="0" applyNumberFormat="1" applyFill="1" applyBorder="1" applyAlignment="1">
      <alignment vertical="center"/>
    </xf>
    <xf numFmtId="176" fontId="0" fillId="0" borderId="88" xfId="0" applyNumberFormat="1" applyBorder="1" applyAlignment="1">
      <alignment vertical="center"/>
    </xf>
    <xf numFmtId="0" fontId="0" fillId="0" borderId="121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121" xfId="0" applyFill="1" applyBorder="1" applyAlignment="1">
      <alignment vertical="center"/>
    </xf>
    <xf numFmtId="0" fontId="0" fillId="2" borderId="121" xfId="0" applyFill="1" applyBorder="1" applyAlignment="1">
      <alignment horizontal="center" vertical="center"/>
    </xf>
    <xf numFmtId="176" fontId="0" fillId="2" borderId="121" xfId="0" applyNumberFormat="1" applyFill="1" applyBorder="1" applyAlignment="1">
      <alignment horizontal="right" vertical="center"/>
    </xf>
    <xf numFmtId="176" fontId="0" fillId="2" borderId="121" xfId="0" applyNumberFormat="1" applyFill="1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176" fontId="0" fillId="2" borderId="35" xfId="0" applyNumberFormat="1" applyFill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6" xfId="0" applyBorder="1" applyAlignment="1">
      <alignment vertical="center"/>
    </xf>
    <xf numFmtId="176" fontId="0" fillId="0" borderId="46" xfId="0" applyNumberFormat="1" applyBorder="1" applyAlignment="1">
      <alignment horizontal="center" vertical="center"/>
    </xf>
    <xf numFmtId="176" fontId="0" fillId="0" borderId="46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22" xfId="0" applyFill="1" applyBorder="1" applyAlignment="1">
      <alignment vertical="center"/>
    </xf>
    <xf numFmtId="0" fontId="0" fillId="2" borderId="122" xfId="0" applyFill="1" applyBorder="1" applyAlignment="1">
      <alignment horizontal="center" vertical="center"/>
    </xf>
    <xf numFmtId="176" fontId="0" fillId="2" borderId="122" xfId="0" applyNumberFormat="1" applyFill="1" applyBorder="1" applyAlignment="1">
      <alignment horizontal="center" vertical="center"/>
    </xf>
    <xf numFmtId="176" fontId="0" fillId="2" borderId="122" xfId="0" applyNumberFormat="1" applyFill="1" applyBorder="1" applyAlignment="1">
      <alignment vertical="center"/>
    </xf>
    <xf numFmtId="176" fontId="0" fillId="0" borderId="45" xfId="0" applyNumberFormat="1" applyBorder="1" applyAlignment="1">
      <alignment vertical="center"/>
    </xf>
    <xf numFmtId="0" fontId="0" fillId="0" borderId="122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2" borderId="123" xfId="0" applyFill="1" applyBorder="1" applyAlignment="1">
      <alignment vertical="center"/>
    </xf>
    <xf numFmtId="0" fontId="0" fillId="2" borderId="123" xfId="0" applyFill="1" applyBorder="1" applyAlignment="1">
      <alignment horizontal="center" vertical="center"/>
    </xf>
    <xf numFmtId="176" fontId="0" fillId="2" borderId="123" xfId="0" applyNumberFormat="1" applyFill="1" applyBorder="1" applyAlignment="1">
      <alignment horizontal="center" vertical="center"/>
    </xf>
    <xf numFmtId="176" fontId="0" fillId="2" borderId="123" xfId="0" applyNumberFormat="1" applyFill="1" applyBorder="1" applyAlignment="1">
      <alignment vertical="center"/>
    </xf>
    <xf numFmtId="176" fontId="0" fillId="0" borderId="124" xfId="0" applyNumberFormat="1" applyBorder="1" applyAlignment="1">
      <alignment vertical="center"/>
    </xf>
    <xf numFmtId="0" fontId="0" fillId="0" borderId="123" xfId="0" applyBorder="1" applyAlignment="1">
      <alignment vertical="center"/>
    </xf>
    <xf numFmtId="0" fontId="0" fillId="6" borderId="38" xfId="0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0" fillId="6" borderId="12" xfId="0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vertical="center"/>
    </xf>
    <xf numFmtId="176" fontId="0" fillId="6" borderId="38" xfId="0" applyNumberForma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5" borderId="25" xfId="1" applyNumberFormat="1" applyFont="1" applyFill="1" applyBorder="1" applyAlignment="1">
      <alignment horizontal="left" vertical="center"/>
    </xf>
    <xf numFmtId="0" fontId="0" fillId="5" borderId="13" xfId="0" applyFill="1" applyBorder="1" applyAlignment="1">
      <alignment vertical="center" wrapText="1"/>
    </xf>
    <xf numFmtId="41" fontId="1" fillId="5" borderId="25" xfId="1" applyFont="1" applyFill="1" applyBorder="1" applyAlignment="1">
      <alignment horizontal="center" vertical="center"/>
    </xf>
    <xf numFmtId="41" fontId="1" fillId="5" borderId="25" xfId="1" applyFont="1" applyFill="1" applyBorder="1" applyAlignment="1">
      <alignment vertical="center"/>
    </xf>
    <xf numFmtId="41" fontId="1" fillId="5" borderId="25" xfId="1" applyFont="1" applyFill="1" applyBorder="1" applyAlignment="1">
      <alignment horizontal="right" vertical="center"/>
    </xf>
    <xf numFmtId="41" fontId="1" fillId="5" borderId="25" xfId="1" applyNumberFormat="1" applyFont="1" applyFill="1" applyBorder="1" applyAlignment="1">
      <alignment horizontal="right" vertical="center"/>
    </xf>
    <xf numFmtId="0" fontId="1" fillId="2" borderId="25" xfId="1" applyNumberFormat="1" applyFont="1" applyFill="1" applyBorder="1" applyAlignment="1">
      <alignment horizontal="left" vertical="center"/>
    </xf>
    <xf numFmtId="41" fontId="1" fillId="2" borderId="25" xfId="1" applyFont="1" applyFill="1" applyBorder="1" applyAlignment="1">
      <alignment horizontal="center" vertical="center"/>
    </xf>
    <xf numFmtId="41" fontId="1" fillId="2" borderId="25" xfId="1" applyNumberFormat="1" applyFont="1" applyFill="1" applyBorder="1" applyAlignment="1">
      <alignment horizontal="right" vertical="center"/>
    </xf>
    <xf numFmtId="41" fontId="1" fillId="2" borderId="25" xfId="1" applyFont="1" applyFill="1" applyBorder="1" applyAlignment="1">
      <alignment horizontal="right" vertical="center"/>
    </xf>
    <xf numFmtId="0" fontId="0" fillId="5" borderId="25" xfId="0" applyFill="1" applyBorder="1" applyAlignment="1">
      <alignment horizontal="center" vertical="center"/>
    </xf>
    <xf numFmtId="176" fontId="0" fillId="5" borderId="25" xfId="0" applyNumberFormat="1" applyFill="1" applyBorder="1" applyAlignment="1">
      <alignment vertical="center"/>
    </xf>
    <xf numFmtId="41" fontId="1" fillId="2" borderId="25" xfId="1" applyFont="1" applyFill="1" applyBorder="1" applyAlignment="1">
      <alignment horizontal="center" vertical="center" shrinkToFit="1"/>
    </xf>
    <xf numFmtId="176" fontId="0" fillId="0" borderId="31" xfId="0" applyNumberFormat="1" applyBorder="1" applyAlignment="1">
      <alignment vertical="center"/>
    </xf>
    <xf numFmtId="0" fontId="0" fillId="2" borderId="11" xfId="0" applyFill="1" applyBorder="1" applyAlignment="1">
      <alignment vertical="center"/>
    </xf>
    <xf numFmtId="176" fontId="0" fillId="2" borderId="121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vertical="center"/>
    </xf>
    <xf numFmtId="0" fontId="0" fillId="0" borderId="41" xfId="0" applyBorder="1" applyAlignment="1">
      <alignment vertical="center"/>
    </xf>
    <xf numFmtId="0" fontId="0" fillId="2" borderId="13" xfId="0" applyFill="1" applyBorder="1" applyAlignment="1">
      <alignment vertical="center"/>
    </xf>
    <xf numFmtId="176" fontId="0" fillId="0" borderId="122" xfId="0" applyNumberFormat="1" applyBorder="1" applyAlignment="1">
      <alignment vertical="center"/>
    </xf>
    <xf numFmtId="176" fontId="0" fillId="2" borderId="35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6" borderId="36" xfId="0" applyFill="1" applyBorder="1" applyAlignment="1">
      <alignment vertical="center"/>
    </xf>
    <xf numFmtId="176" fontId="0" fillId="5" borderId="12" xfId="0" applyNumberFormat="1" applyFill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38" xfId="0" applyNumberFormat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122" xfId="0" applyFill="1" applyBorder="1" applyAlignment="1">
      <alignment vertical="center"/>
    </xf>
    <xf numFmtId="0" fontId="0" fillId="6" borderId="26" xfId="0" applyFill="1" applyBorder="1" applyAlignment="1">
      <alignment vertical="center"/>
    </xf>
    <xf numFmtId="176" fontId="0" fillId="5" borderId="122" xfId="0" applyNumberForma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5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5" xfId="0" applyFill="1" applyBorder="1" applyAlignment="1">
      <alignment vertical="center"/>
    </xf>
    <xf numFmtId="0" fontId="0" fillId="6" borderId="30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6" xfId="0" applyBorder="1" applyAlignment="1">
      <alignment horizontal="center" vertical="center"/>
    </xf>
    <xf numFmtId="176" fontId="0" fillId="0" borderId="36" xfId="0" applyNumberForma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10" xfId="0" applyNumberFormat="1" applyFont="1" applyFill="1" applyBorder="1" applyAlignment="1">
      <alignment vertical="center"/>
    </xf>
    <xf numFmtId="176" fontId="24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0" fontId="0" fillId="2" borderId="25" xfId="0" applyFill="1" applyBorder="1" applyAlignment="1">
      <alignment horizontal="left" vertical="center"/>
    </xf>
    <xf numFmtId="181" fontId="0" fillId="0" borderId="46" xfId="0" applyNumberFormat="1" applyBorder="1" applyAlignment="1">
      <alignment vertical="center"/>
    </xf>
    <xf numFmtId="0" fontId="0" fillId="2" borderId="25" xfId="0" applyFont="1" applyFill="1" applyBorder="1" applyAlignment="1">
      <alignment horizontal="left" vertical="center"/>
    </xf>
    <xf numFmtId="0" fontId="0" fillId="0" borderId="36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176" fontId="0" fillId="6" borderId="27" xfId="0" applyNumberFormat="1" applyFill="1" applyBorder="1" applyAlignment="1">
      <alignment vertical="center"/>
    </xf>
    <xf numFmtId="0" fontId="0" fillId="0" borderId="30" xfId="0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5" fillId="0" borderId="12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0" fillId="0" borderId="64" xfId="0" applyNumberFormat="1" applyFont="1" applyFill="1" applyBorder="1" applyAlignment="1">
      <alignment vertical="center"/>
    </xf>
    <xf numFmtId="0" fontId="0" fillId="2" borderId="25" xfId="1" applyNumberFormat="1" applyFont="1" applyFill="1" applyBorder="1" applyAlignment="1">
      <alignment horizontal="left" vertical="center"/>
    </xf>
    <xf numFmtId="41" fontId="0" fillId="2" borderId="25" xfId="1" applyFon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right" vertical="center"/>
    </xf>
    <xf numFmtId="179" fontId="5" fillId="7" borderId="34" xfId="0" applyNumberFormat="1" applyFont="1" applyFill="1" applyBorder="1" applyAlignment="1">
      <alignment vertical="center"/>
    </xf>
    <xf numFmtId="176" fontId="0" fillId="0" borderId="106" xfId="0" applyNumberFormat="1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0" fontId="0" fillId="0" borderId="4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/>
    </xf>
    <xf numFmtId="0" fontId="1" fillId="0" borderId="27" xfId="0" applyFont="1" applyFill="1" applyBorder="1" applyAlignment="1">
      <alignment horizontal="left" vertical="center"/>
    </xf>
    <xf numFmtId="0" fontId="0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176" fontId="1" fillId="0" borderId="36" xfId="0" applyNumberFormat="1" applyFont="1" applyBorder="1" applyAlignment="1">
      <alignment horizontal="center" vertical="center" wrapText="1"/>
    </xf>
    <xf numFmtId="176" fontId="1" fillId="0" borderId="38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textRotation="255"/>
    </xf>
    <xf numFmtId="0" fontId="1" fillId="0" borderId="41" xfId="0" applyFont="1" applyBorder="1" applyAlignment="1">
      <alignment horizontal="center" vertical="center" textRotation="255"/>
    </xf>
    <xf numFmtId="0" fontId="1" fillId="0" borderId="46" xfId="0" applyFont="1" applyBorder="1" applyAlignment="1">
      <alignment horizontal="center" vertical="center" textRotation="255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177" fontId="1" fillId="2" borderId="7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8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178" fontId="1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8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6" xfId="0" applyNumberFormat="1" applyFont="1" applyFill="1" applyBorder="1" applyAlignment="1">
      <alignment horizontal="center" vertical="center"/>
    </xf>
    <xf numFmtId="3" fontId="1" fillId="0" borderId="67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73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6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 wrapText="1"/>
    </xf>
    <xf numFmtId="3" fontId="1" fillId="0" borderId="72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 wrapText="1"/>
    </xf>
    <xf numFmtId="3" fontId="1" fillId="0" borderId="29" xfId="0" applyNumberFormat="1" applyFont="1" applyFill="1" applyBorder="1" applyAlignment="1">
      <alignment horizontal="center" vertical="center" wrapText="1"/>
    </xf>
    <xf numFmtId="3" fontId="1" fillId="0" borderId="29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3" fontId="1" fillId="0" borderId="62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43" xfId="0" applyNumberFormat="1" applyFont="1" applyFill="1" applyBorder="1" applyAlignment="1">
      <alignment horizontal="center" vertical="center"/>
    </xf>
    <xf numFmtId="3" fontId="1" fillId="0" borderId="44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79" xfId="0" applyNumberFormat="1" applyFont="1" applyFill="1" applyBorder="1" applyAlignment="1">
      <alignment horizontal="center" vertical="center"/>
    </xf>
    <xf numFmtId="3" fontId="1" fillId="0" borderId="80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86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3" fontId="14" fillId="4" borderId="4" xfId="0" applyNumberFormat="1" applyFont="1" applyFill="1" applyBorder="1" applyAlignment="1">
      <alignment horizontal="left" vertical="center"/>
    </xf>
    <xf numFmtId="3" fontId="14" fillId="4" borderId="5" xfId="0" applyNumberFormat="1" applyFont="1" applyFill="1" applyBorder="1" applyAlignment="1">
      <alignment horizontal="left" vertical="center"/>
    </xf>
    <xf numFmtId="3" fontId="14" fillId="4" borderId="66" xfId="0" applyNumberFormat="1" applyFont="1" applyFill="1" applyBorder="1" applyAlignment="1">
      <alignment horizontal="left" vertical="center"/>
    </xf>
    <xf numFmtId="3" fontId="14" fillId="0" borderId="4" xfId="0" applyNumberFormat="1" applyFont="1" applyFill="1" applyBorder="1" applyAlignment="1">
      <alignment horizontal="left" vertical="center"/>
    </xf>
    <xf numFmtId="3" fontId="14" fillId="0" borderId="5" xfId="0" applyNumberFormat="1" applyFont="1" applyFill="1" applyBorder="1" applyAlignment="1">
      <alignment horizontal="left" vertical="center"/>
    </xf>
    <xf numFmtId="3" fontId="14" fillId="0" borderId="66" xfId="0" applyNumberFormat="1" applyFont="1" applyFill="1" applyBorder="1" applyAlignment="1">
      <alignment horizontal="left" vertical="center"/>
    </xf>
    <xf numFmtId="3" fontId="0" fillId="0" borderId="47" xfId="0" quotePrefix="1" applyNumberFormat="1" applyFill="1" applyBorder="1" applyAlignment="1">
      <alignment horizontal="left" vertical="center"/>
    </xf>
    <xf numFmtId="3" fontId="0" fillId="0" borderId="48" xfId="0" quotePrefix="1" applyNumberFormat="1" applyFill="1" applyBorder="1" applyAlignment="1">
      <alignment horizontal="left" vertical="center"/>
    </xf>
    <xf numFmtId="3" fontId="0" fillId="0" borderId="73" xfId="0" quotePrefix="1" applyNumberFormat="1" applyFill="1" applyBorder="1" applyAlignment="1">
      <alignment horizontal="left" vertical="center"/>
    </xf>
    <xf numFmtId="3" fontId="1" fillId="0" borderId="91" xfId="0" applyNumberFormat="1" applyFont="1" applyFill="1" applyBorder="1" applyAlignment="1">
      <alignment horizontal="center" vertical="center"/>
    </xf>
    <xf numFmtId="3" fontId="14" fillId="0" borderId="92" xfId="0" quotePrefix="1" applyNumberFormat="1" applyFont="1" applyFill="1" applyBorder="1" applyAlignment="1">
      <alignment horizontal="left" vertical="center"/>
    </xf>
    <xf numFmtId="3" fontId="14" fillId="0" borderId="91" xfId="0" quotePrefix="1" applyNumberFormat="1" applyFont="1" applyFill="1" applyBorder="1" applyAlignment="1">
      <alignment horizontal="left" vertical="center"/>
    </xf>
    <xf numFmtId="3" fontId="14" fillId="0" borderId="93" xfId="0" quotePrefix="1" applyNumberFormat="1" applyFont="1" applyFill="1" applyBorder="1" applyAlignment="1">
      <alignment horizontal="left" vertical="center"/>
    </xf>
    <xf numFmtId="3" fontId="0" fillId="0" borderId="69" xfId="0" applyNumberFormat="1" applyFont="1" applyFill="1" applyBorder="1" applyAlignment="1">
      <alignment horizontal="center" vertical="center" wrapText="1"/>
    </xf>
    <xf numFmtId="3" fontId="0" fillId="0" borderId="29" xfId="0" applyNumberFormat="1" applyFont="1" applyFill="1" applyBorder="1" applyAlignment="1">
      <alignment horizontal="center" vertical="center"/>
    </xf>
    <xf numFmtId="3" fontId="0" fillId="0" borderId="62" xfId="0" applyNumberFormat="1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179" fontId="0" fillId="0" borderId="5" xfId="0" applyNumberFormat="1" applyFont="1" applyFill="1" applyBorder="1" applyAlignment="1">
      <alignment horizontal="center" vertical="center"/>
    </xf>
    <xf numFmtId="179" fontId="0" fillId="0" borderId="6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 shrinkToFit="1"/>
    </xf>
    <xf numFmtId="0" fontId="0" fillId="0" borderId="41" xfId="0" applyBorder="1" applyAlignment="1">
      <alignment horizontal="center" vertical="top" wrapText="1" shrinkToFi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5383530" y="0"/>
          <a:ext cx="3554323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57</xdr:row>
      <xdr:rowOff>0</xdr:rowOff>
    </xdr:from>
    <xdr:to>
      <xdr:col>9</xdr:col>
      <xdr:colOff>2</xdr:colOff>
      <xdr:row>57</xdr:row>
      <xdr:rowOff>0</xdr:rowOff>
    </xdr:to>
    <xdr:sp macro="" textlink="">
      <xdr:nvSpPr>
        <xdr:cNvPr id="4" name="Rectangle 15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3" name="AutoShape 2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371850" y="11430"/>
          <a:ext cx="24003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/AppData/Local/Packages/Microsoft.MicrosoftEdge_8wekyb3d8bbwe/TempState/Downloads/4.%20&#50724;&#45720;&#54624;&#51068;(7.09)/1.%20&#50629;&#47924;/8.%20&#50577;&#49885;/&#50577;&#49885;_&#50948;&#50500;%20&#54364;&#51456;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양식_위아 표준견적서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showGridLines="0" zoomScale="85" workbookViewId="0">
      <selection activeCell="F28" sqref="F28"/>
    </sheetView>
  </sheetViews>
  <sheetFormatPr defaultColWidth="9"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7" width="11.125" style="1" customWidth="1"/>
    <col min="8" max="8" width="12.25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358" t="s">
        <v>1</v>
      </c>
      <c r="C2" s="358"/>
      <c r="D2" s="358"/>
      <c r="E2" s="358"/>
      <c r="F2" s="358"/>
      <c r="G2" s="358"/>
      <c r="H2" s="358"/>
      <c r="I2" s="358"/>
    </row>
    <row r="4" spans="2:10" s="6" customFormat="1" ht="24" customHeight="1" x14ac:dyDescent="0.15">
      <c r="B4" s="359" t="s">
        <v>2</v>
      </c>
      <c r="C4" s="359"/>
      <c r="D4" s="359"/>
      <c r="E4" s="2"/>
      <c r="F4" s="2"/>
      <c r="G4" s="3" t="s">
        <v>209</v>
      </c>
      <c r="H4" s="4"/>
      <c r="I4" s="5"/>
    </row>
    <row r="5" spans="2:10" s="6" customFormat="1" ht="21.75" customHeight="1" x14ac:dyDescent="0.15">
      <c r="B5" s="356" t="s">
        <v>3</v>
      </c>
      <c r="C5" s="357"/>
      <c r="D5" s="7">
        <v>43322</v>
      </c>
      <c r="E5" s="8"/>
      <c r="F5" s="2"/>
      <c r="G5" s="9" t="s">
        <v>210</v>
      </c>
      <c r="H5" s="10"/>
      <c r="I5" s="11"/>
    </row>
    <row r="6" spans="2:10" s="6" customFormat="1" ht="21.75" customHeight="1" x14ac:dyDescent="0.15">
      <c r="B6" s="356" t="s">
        <v>4</v>
      </c>
      <c r="C6" s="357"/>
      <c r="D6" s="12" t="s">
        <v>5</v>
      </c>
      <c r="E6" s="8"/>
      <c r="F6" s="2"/>
      <c r="G6" s="9" t="s">
        <v>211</v>
      </c>
      <c r="H6" s="13"/>
      <c r="I6" s="14"/>
      <c r="J6" s="1"/>
    </row>
    <row r="7" spans="2:10" s="6" customFormat="1" ht="21.75" customHeight="1" x14ac:dyDescent="0.15">
      <c r="B7" s="360" t="s">
        <v>6</v>
      </c>
      <c r="C7" s="15" t="s">
        <v>7</v>
      </c>
      <c r="D7" s="16"/>
      <c r="E7" s="8"/>
      <c r="F7" s="2"/>
      <c r="G7" s="17" t="s">
        <v>212</v>
      </c>
      <c r="H7" s="13"/>
      <c r="I7" s="14"/>
      <c r="J7" s="1"/>
    </row>
    <row r="8" spans="2:10" s="6" customFormat="1" ht="21.75" customHeight="1" x14ac:dyDescent="0.15">
      <c r="B8" s="360"/>
      <c r="C8" s="15" t="s">
        <v>8</v>
      </c>
      <c r="D8" s="16"/>
      <c r="E8" s="8"/>
      <c r="F8" s="2"/>
      <c r="G8" s="18" t="s">
        <v>213</v>
      </c>
      <c r="H8" s="13"/>
      <c r="I8" s="14"/>
      <c r="J8" s="1"/>
    </row>
    <row r="9" spans="2:10" s="6" customFormat="1" ht="21.75" customHeight="1" x14ac:dyDescent="0.15">
      <c r="B9" s="356" t="s">
        <v>9</v>
      </c>
      <c r="C9" s="357"/>
      <c r="D9" s="16" t="s">
        <v>10</v>
      </c>
      <c r="E9" s="8"/>
      <c r="F9" s="2"/>
      <c r="G9" s="9" t="s">
        <v>214</v>
      </c>
      <c r="H9" s="13"/>
      <c r="I9" s="14"/>
      <c r="J9" s="1"/>
    </row>
    <row r="10" spans="2:10" s="6" customFormat="1" ht="21.75" customHeight="1" x14ac:dyDescent="0.15">
      <c r="B10" s="356" t="s">
        <v>11</v>
      </c>
      <c r="C10" s="357"/>
      <c r="D10" s="16"/>
      <c r="E10" s="8"/>
      <c r="G10" s="18" t="s">
        <v>215</v>
      </c>
      <c r="H10" s="19"/>
      <c r="I10" s="20"/>
    </row>
    <row r="11" spans="2:10" s="6" customFormat="1" ht="21.75" customHeight="1" x14ac:dyDescent="0.15">
      <c r="B11" s="361" t="s">
        <v>12</v>
      </c>
      <c r="C11" s="357"/>
      <c r="D11" s="12" t="s">
        <v>13</v>
      </c>
      <c r="E11" s="8"/>
      <c r="G11" s="21" t="s">
        <v>216</v>
      </c>
      <c r="H11" s="22"/>
      <c r="I11" s="23"/>
    </row>
    <row r="12" spans="2:10" s="25" customFormat="1" ht="10.5" customHeight="1" x14ac:dyDescent="0.15">
      <c r="B12" s="24"/>
      <c r="I12" s="26"/>
    </row>
    <row r="13" spans="2:10" s="30" customFormat="1" ht="24.95" customHeight="1" x14ac:dyDescent="0.15">
      <c r="B13" s="27" t="s">
        <v>14</v>
      </c>
      <c r="C13" s="27"/>
      <c r="D13" s="28" t="s">
        <v>217</v>
      </c>
      <c r="E13" s="28"/>
      <c r="F13" s="28"/>
      <c r="G13" s="28"/>
      <c r="H13" s="29"/>
    </row>
    <row r="14" spans="2:10" s="30" customFormat="1" ht="24.95" customHeight="1" x14ac:dyDescent="0.15">
      <c r="B14" s="362" t="s">
        <v>15</v>
      </c>
      <c r="C14" s="363"/>
      <c r="D14" s="28" t="s">
        <v>245</v>
      </c>
      <c r="E14" s="28"/>
      <c r="F14" s="28"/>
      <c r="G14" s="28"/>
      <c r="H14" s="29"/>
    </row>
    <row r="15" spans="2:10" s="6" customFormat="1" ht="8.25" customHeight="1" x14ac:dyDescent="0.15"/>
    <row r="16" spans="2:10" s="31" customFormat="1" ht="24.95" customHeight="1" x14ac:dyDescent="0.15">
      <c r="B16" s="364" t="s">
        <v>16</v>
      </c>
      <c r="C16" s="366" t="s">
        <v>17</v>
      </c>
      <c r="D16" s="367"/>
      <c r="E16" s="377" t="s">
        <v>247</v>
      </c>
      <c r="F16" s="378"/>
      <c r="G16" s="378"/>
      <c r="H16" s="378"/>
      <c r="I16" s="364" t="s">
        <v>18</v>
      </c>
    </row>
    <row r="17" spans="1:10" s="31" customFormat="1" ht="29.25" customHeight="1" thickBot="1" x14ac:dyDescent="0.2">
      <c r="B17" s="365"/>
      <c r="C17" s="368"/>
      <c r="D17" s="369"/>
      <c r="E17" s="32" t="s">
        <v>19</v>
      </c>
      <c r="F17" s="33" t="s">
        <v>20</v>
      </c>
      <c r="G17" s="34" t="s">
        <v>21</v>
      </c>
      <c r="H17" s="35" t="s">
        <v>22</v>
      </c>
      <c r="I17" s="365"/>
    </row>
    <row r="18" spans="1:10" s="36" customFormat="1" ht="24.95" customHeight="1" x14ac:dyDescent="0.15">
      <c r="B18" s="37">
        <v>1</v>
      </c>
      <c r="C18" s="373" t="s">
        <v>220</v>
      </c>
      <c r="D18" s="374"/>
      <c r="E18" s="38">
        <v>70340000</v>
      </c>
      <c r="F18" s="39">
        <v>19100000</v>
      </c>
      <c r="G18" s="40">
        <v>5560000</v>
      </c>
      <c r="H18" s="38">
        <f>E18+F18+G18</f>
        <v>95000000</v>
      </c>
      <c r="I18" s="41"/>
    </row>
    <row r="19" spans="1:10" s="36" customFormat="1" ht="24.95" customHeight="1" x14ac:dyDescent="0.15">
      <c r="B19" s="42">
        <v>2</v>
      </c>
      <c r="C19" s="375"/>
      <c r="D19" s="376"/>
      <c r="E19" s="43"/>
      <c r="F19" s="44"/>
      <c r="G19" s="45"/>
      <c r="H19" s="43"/>
      <c r="I19" s="47"/>
    </row>
    <row r="20" spans="1:10" s="36" customFormat="1" ht="24.95" customHeight="1" x14ac:dyDescent="0.15">
      <c r="B20" s="42">
        <v>3</v>
      </c>
      <c r="C20" s="375"/>
      <c r="D20" s="376"/>
      <c r="E20" s="43"/>
      <c r="F20" s="44"/>
      <c r="G20" s="45"/>
      <c r="H20" s="43"/>
      <c r="I20" s="47"/>
    </row>
    <row r="21" spans="1:10" s="36" customFormat="1" ht="24.95" customHeight="1" x14ac:dyDescent="0.15">
      <c r="B21" s="42">
        <v>4</v>
      </c>
      <c r="C21" s="375"/>
      <c r="D21" s="376"/>
      <c r="E21" s="43"/>
      <c r="F21" s="44"/>
      <c r="G21" s="45"/>
      <c r="H21" s="43"/>
      <c r="I21" s="47"/>
    </row>
    <row r="22" spans="1:10" s="36" customFormat="1" ht="24.95" customHeight="1" x14ac:dyDescent="0.15">
      <c r="B22" s="42">
        <v>5</v>
      </c>
      <c r="C22" s="375"/>
      <c r="D22" s="376"/>
      <c r="E22" s="43"/>
      <c r="F22" s="44"/>
      <c r="G22" s="45"/>
      <c r="H22" s="43"/>
      <c r="I22" s="47"/>
    </row>
    <row r="23" spans="1:10" s="36" customFormat="1" ht="24.95" customHeight="1" x14ac:dyDescent="0.15">
      <c r="B23" s="42">
        <v>6</v>
      </c>
      <c r="C23" s="379"/>
      <c r="D23" s="376"/>
      <c r="E23" s="43"/>
      <c r="F23" s="44"/>
      <c r="G23" s="45"/>
      <c r="H23" s="46"/>
      <c r="I23" s="47"/>
    </row>
    <row r="24" spans="1:10" s="36" customFormat="1" ht="24.95" customHeight="1" x14ac:dyDescent="0.15">
      <c r="B24" s="42">
        <v>7</v>
      </c>
      <c r="C24" s="379"/>
      <c r="D24" s="376"/>
      <c r="E24" s="43"/>
      <c r="F24" s="44"/>
      <c r="G24" s="45"/>
      <c r="H24" s="46"/>
      <c r="I24" s="47"/>
    </row>
    <row r="25" spans="1:10" s="36" customFormat="1" ht="24.95" customHeight="1" x14ac:dyDescent="0.15">
      <c r="B25" s="48">
        <v>8</v>
      </c>
      <c r="C25" s="379"/>
      <c r="D25" s="376"/>
      <c r="E25" s="43"/>
      <c r="F25" s="44"/>
      <c r="G25" s="45"/>
      <c r="H25" s="46"/>
      <c r="I25" s="47"/>
    </row>
    <row r="26" spans="1:10" s="36" customFormat="1" ht="24.95" customHeight="1" x14ac:dyDescent="0.15">
      <c r="B26" s="48">
        <v>9</v>
      </c>
      <c r="C26" s="379"/>
      <c r="D26" s="376"/>
      <c r="E26" s="43"/>
      <c r="F26" s="44"/>
      <c r="G26" s="45"/>
      <c r="H26" s="46"/>
      <c r="I26" s="47"/>
    </row>
    <row r="27" spans="1:10" s="36" customFormat="1" ht="24.95" customHeight="1" x14ac:dyDescent="0.15">
      <c r="B27" s="49">
        <v>10</v>
      </c>
      <c r="C27" s="380"/>
      <c r="D27" s="381"/>
      <c r="E27" s="50"/>
      <c r="F27" s="51"/>
      <c r="G27" s="52"/>
      <c r="H27" s="53"/>
      <c r="I27" s="54"/>
    </row>
    <row r="28" spans="1:10" ht="24.95" customHeight="1" x14ac:dyDescent="0.15">
      <c r="B28" s="370" t="s">
        <v>23</v>
      </c>
      <c r="C28" s="371"/>
      <c r="D28" s="372"/>
      <c r="E28" s="55">
        <f>SUM(E18:E24)</f>
        <v>70340000</v>
      </c>
      <c r="F28" s="56">
        <f>SUM(F18:F24)</f>
        <v>19100000</v>
      </c>
      <c r="G28" s="56">
        <f>SUM(G18:G24)</f>
        <v>5560000</v>
      </c>
      <c r="H28" s="57">
        <f>SUM(H18:H24)</f>
        <v>95000000</v>
      </c>
      <c r="I28" s="58"/>
      <c r="J28" s="59"/>
    </row>
    <row r="29" spans="1:10" ht="4.5" customHeight="1" x14ac:dyDescent="0.15">
      <c r="A29" s="60"/>
      <c r="B29" s="61"/>
      <c r="C29" s="62"/>
      <c r="D29" s="62"/>
      <c r="E29" s="63"/>
      <c r="F29" s="63"/>
      <c r="G29" s="63"/>
      <c r="H29" s="63"/>
      <c r="I29" s="60"/>
    </row>
    <row r="30" spans="1:10" ht="24" customHeight="1" x14ac:dyDescent="0.15">
      <c r="A30" s="60"/>
      <c r="B30" s="62"/>
      <c r="C30" s="62"/>
      <c r="D30" s="62"/>
      <c r="E30" s="63"/>
      <c r="F30" s="388" t="s">
        <v>24</v>
      </c>
      <c r="G30" s="389"/>
      <c r="H30" s="64"/>
      <c r="I30" s="60"/>
    </row>
    <row r="31" spans="1:10" ht="15" customHeight="1" x14ac:dyDescent="0.15">
      <c r="A31" s="60"/>
      <c r="B31" s="62"/>
      <c r="C31" s="62"/>
      <c r="D31" s="62"/>
      <c r="E31" s="63"/>
      <c r="F31" s="63"/>
      <c r="G31" s="63"/>
      <c r="H31" s="63"/>
      <c r="I31" s="60"/>
    </row>
    <row r="32" spans="1:10" ht="22.5" customHeight="1" x14ac:dyDescent="0.15">
      <c r="B32" s="390" t="s">
        <v>25</v>
      </c>
      <c r="C32" s="393" t="s">
        <v>26</v>
      </c>
      <c r="D32" s="394"/>
      <c r="E32" s="395"/>
      <c r="F32" s="396" t="s">
        <v>27</v>
      </c>
      <c r="G32" s="397"/>
      <c r="H32" s="397"/>
      <c r="I32" s="398"/>
    </row>
    <row r="33" spans="2:9" ht="22.5" customHeight="1" x14ac:dyDescent="0.15">
      <c r="B33" s="391"/>
      <c r="C33" s="399" t="s">
        <v>28</v>
      </c>
      <c r="D33" s="400"/>
      <c r="E33" s="401"/>
      <c r="F33" s="65" t="s">
        <v>29</v>
      </c>
      <c r="G33" s="402"/>
      <c r="H33" s="403"/>
      <c r="I33" s="404"/>
    </row>
    <row r="34" spans="2:9" ht="22.5" customHeight="1" x14ac:dyDescent="0.15">
      <c r="B34" s="391"/>
      <c r="C34" s="405"/>
      <c r="D34" s="406"/>
      <c r="E34" s="407"/>
      <c r="F34" s="66" t="s">
        <v>30</v>
      </c>
      <c r="G34" s="408"/>
      <c r="H34" s="409"/>
      <c r="I34" s="410"/>
    </row>
    <row r="35" spans="2:9" ht="22.5" customHeight="1" x14ac:dyDescent="0.15">
      <c r="B35" s="391"/>
      <c r="C35" s="411"/>
      <c r="D35" s="412"/>
      <c r="E35" s="413"/>
      <c r="F35" s="66" t="s">
        <v>31</v>
      </c>
      <c r="G35" s="408"/>
      <c r="H35" s="409"/>
      <c r="I35" s="410"/>
    </row>
    <row r="36" spans="2:9" ht="22.5" customHeight="1" x14ac:dyDescent="0.15">
      <c r="B36" s="392"/>
      <c r="C36" s="382"/>
      <c r="D36" s="383"/>
      <c r="E36" s="384"/>
      <c r="F36" s="67" t="s">
        <v>32</v>
      </c>
      <c r="G36" s="385"/>
      <c r="H36" s="386"/>
      <c r="I36" s="387"/>
    </row>
  </sheetData>
  <mergeCells count="36">
    <mergeCell ref="C36:E36"/>
    <mergeCell ref="G36:I36"/>
    <mergeCell ref="F30:G30"/>
    <mergeCell ref="B32:B36"/>
    <mergeCell ref="C32:E32"/>
    <mergeCell ref="F32:I32"/>
    <mergeCell ref="C33:E33"/>
    <mergeCell ref="G33:I33"/>
    <mergeCell ref="C34:E34"/>
    <mergeCell ref="G34:I34"/>
    <mergeCell ref="C35:E35"/>
    <mergeCell ref="G35:I35"/>
    <mergeCell ref="B28:D28"/>
    <mergeCell ref="I16:I17"/>
    <mergeCell ref="C18:D18"/>
    <mergeCell ref="C19:D19"/>
    <mergeCell ref="C20:D20"/>
    <mergeCell ref="C21:D21"/>
    <mergeCell ref="C22:D22"/>
    <mergeCell ref="E16:H16"/>
    <mergeCell ref="C23:D23"/>
    <mergeCell ref="C24:D24"/>
    <mergeCell ref="C25:D25"/>
    <mergeCell ref="C26:D26"/>
    <mergeCell ref="C27:D27"/>
    <mergeCell ref="B10:C10"/>
    <mergeCell ref="B11:C11"/>
    <mergeCell ref="B14:C14"/>
    <mergeCell ref="B16:B17"/>
    <mergeCell ref="C16:D17"/>
    <mergeCell ref="B9:C9"/>
    <mergeCell ref="B2:I2"/>
    <mergeCell ref="B4:D4"/>
    <mergeCell ref="B5:C5"/>
    <mergeCell ref="B6:C6"/>
    <mergeCell ref="B7:B8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K49"/>
  <sheetViews>
    <sheetView showGridLines="0" zoomScale="80" workbookViewId="0">
      <pane ySplit="6" topLeftCell="A37" activePane="bottomLeft" state="frozen"/>
      <selection activeCell="L14" sqref="L14"/>
      <selection pane="bottomLeft" activeCell="G8" sqref="G8"/>
    </sheetView>
  </sheetViews>
  <sheetFormatPr defaultColWidth="9" defaultRowHeight="19.5" customHeight="1" x14ac:dyDescent="0.15"/>
  <cols>
    <col min="1" max="1" width="0.5" style="77" customWidth="1"/>
    <col min="2" max="2" width="5.25" style="77" bestFit="1" customWidth="1"/>
    <col min="3" max="3" width="7.375" style="77" customWidth="1"/>
    <col min="4" max="4" width="8.875" style="77" customWidth="1"/>
    <col min="5" max="5" width="17.75" style="77" customWidth="1"/>
    <col min="6" max="6" width="6.375" style="79" customWidth="1"/>
    <col min="7" max="7" width="8.875" style="80" customWidth="1"/>
    <col min="8" max="8" width="9.75" style="81" customWidth="1"/>
    <col min="9" max="9" width="19.75" style="81" customWidth="1"/>
    <col min="10" max="10" width="15.625" style="77" customWidth="1"/>
    <col min="11" max="11" width="13.75" style="82" bestFit="1" customWidth="1"/>
    <col min="12" max="16384" width="9" style="77"/>
  </cols>
  <sheetData>
    <row r="2" spans="2:11" s="75" customFormat="1" ht="26.25" customHeight="1" x14ac:dyDescent="0.15">
      <c r="B2" s="68"/>
      <c r="C2" s="69" t="s">
        <v>33</v>
      </c>
      <c r="D2" s="70"/>
      <c r="E2" s="70"/>
      <c r="F2" s="71"/>
      <c r="G2" s="72"/>
      <c r="H2" s="73"/>
      <c r="I2" s="73"/>
      <c r="J2" s="70"/>
      <c r="K2" s="74"/>
    </row>
    <row r="3" spans="2:11" s="75" customFormat="1" ht="19.5" customHeight="1" x14ac:dyDescent="0.15">
      <c r="B3" s="68"/>
      <c r="C3" s="69"/>
      <c r="D3" s="70"/>
      <c r="E3" s="70"/>
      <c r="F3" s="71"/>
      <c r="G3" s="72"/>
      <c r="H3" s="73"/>
      <c r="I3" s="73"/>
      <c r="J3" s="70"/>
      <c r="K3" s="74"/>
    </row>
    <row r="4" spans="2:11" ht="30" customHeight="1" x14ac:dyDescent="0.15">
      <c r="B4" s="76" t="s">
        <v>34</v>
      </c>
      <c r="D4" s="78"/>
      <c r="J4" s="79"/>
    </row>
    <row r="5" spans="2:11" s="79" customFormat="1" ht="8.25" customHeight="1" x14ac:dyDescent="0.15">
      <c r="B5" s="83"/>
      <c r="C5" s="423"/>
      <c r="D5" s="424"/>
      <c r="E5" s="425"/>
      <c r="F5" s="84"/>
      <c r="G5" s="85"/>
      <c r="H5" s="85"/>
      <c r="I5" s="85"/>
      <c r="J5" s="86"/>
      <c r="K5" s="87"/>
    </row>
    <row r="6" spans="2:11" s="79" customFormat="1" ht="22.5" customHeight="1" thickBot="1" x14ac:dyDescent="0.2">
      <c r="B6" s="88" t="s">
        <v>35</v>
      </c>
      <c r="C6" s="426" t="s">
        <v>36</v>
      </c>
      <c r="D6" s="427"/>
      <c r="E6" s="428"/>
      <c r="F6" s="89" t="s">
        <v>37</v>
      </c>
      <c r="G6" s="90" t="s">
        <v>38</v>
      </c>
      <c r="H6" s="90" t="s">
        <v>39</v>
      </c>
      <c r="I6" s="90" t="s">
        <v>40</v>
      </c>
      <c r="J6" s="91" t="s">
        <v>41</v>
      </c>
      <c r="K6" s="87"/>
    </row>
    <row r="7" spans="2:11" ht="19.5" customHeight="1" thickTop="1" x14ac:dyDescent="0.15">
      <c r="B7" s="429">
        <v>1</v>
      </c>
      <c r="C7" s="431" t="s">
        <v>42</v>
      </c>
      <c r="D7" s="418" t="s">
        <v>43</v>
      </c>
      <c r="E7" s="92" t="s">
        <v>44</v>
      </c>
      <c r="F7" s="93" t="s">
        <v>45</v>
      </c>
      <c r="G7" s="94">
        <v>1</v>
      </c>
      <c r="H7" s="95"/>
      <c r="I7" s="95">
        <v>0</v>
      </c>
      <c r="J7" s="96"/>
    </row>
    <row r="8" spans="2:11" ht="19.5" customHeight="1" x14ac:dyDescent="0.15">
      <c r="B8" s="429"/>
      <c r="C8" s="418"/>
      <c r="D8" s="418"/>
      <c r="E8" s="97" t="s">
        <v>46</v>
      </c>
      <c r="F8" s="98" t="s">
        <v>47</v>
      </c>
      <c r="G8" s="99">
        <v>1</v>
      </c>
      <c r="H8" s="100"/>
      <c r="I8" s="100">
        <v>46540000</v>
      </c>
      <c r="J8" s="350"/>
    </row>
    <row r="9" spans="2:11" ht="19.5" customHeight="1" x14ac:dyDescent="0.15">
      <c r="B9" s="429"/>
      <c r="C9" s="418"/>
      <c r="D9" s="418"/>
      <c r="E9" s="97" t="s">
        <v>48</v>
      </c>
      <c r="F9" s="98" t="s">
        <v>49</v>
      </c>
      <c r="G9" s="102">
        <v>1</v>
      </c>
      <c r="H9" s="100"/>
      <c r="I9" s="100">
        <v>11000000</v>
      </c>
      <c r="J9" s="350" t="s">
        <v>218</v>
      </c>
    </row>
    <row r="10" spans="2:11" ht="19.5" customHeight="1" x14ac:dyDescent="0.15">
      <c r="B10" s="429"/>
      <c r="C10" s="418"/>
      <c r="D10" s="418"/>
      <c r="E10" s="103" t="s">
        <v>50</v>
      </c>
      <c r="F10" s="98" t="s">
        <v>51</v>
      </c>
      <c r="G10" s="102">
        <v>1</v>
      </c>
      <c r="H10" s="100"/>
      <c r="I10" s="104"/>
      <c r="J10" s="105" t="s">
        <v>52</v>
      </c>
    </row>
    <row r="11" spans="2:11" ht="19.5" customHeight="1" x14ac:dyDescent="0.15">
      <c r="B11" s="429"/>
      <c r="C11" s="418"/>
      <c r="D11" s="419"/>
      <c r="E11" s="106" t="s">
        <v>53</v>
      </c>
      <c r="F11" s="414"/>
      <c r="G11" s="415"/>
      <c r="H11" s="416"/>
      <c r="I11" s="107">
        <f>SUM(I7:I10)</f>
        <v>57540000</v>
      </c>
      <c r="J11" s="101"/>
    </row>
    <row r="12" spans="2:11" ht="19.5" customHeight="1" x14ac:dyDescent="0.15">
      <c r="B12" s="429"/>
      <c r="C12" s="418"/>
      <c r="D12" s="417" t="s">
        <v>54</v>
      </c>
      <c r="E12" s="97" t="s">
        <v>55</v>
      </c>
      <c r="F12" s="98" t="s">
        <v>56</v>
      </c>
      <c r="G12" s="100">
        <v>1</v>
      </c>
      <c r="H12" s="100">
        <v>400000</v>
      </c>
      <c r="I12" s="100">
        <f t="shared" ref="I12:I17" si="0">G12*H12</f>
        <v>400000</v>
      </c>
      <c r="J12" s="101" t="s">
        <v>57</v>
      </c>
    </row>
    <row r="13" spans="2:11" ht="19.5" customHeight="1" x14ac:dyDescent="0.15">
      <c r="B13" s="429"/>
      <c r="C13" s="418"/>
      <c r="D13" s="418"/>
      <c r="E13" s="97" t="s">
        <v>58</v>
      </c>
      <c r="F13" s="98" t="s">
        <v>56</v>
      </c>
      <c r="G13" s="100">
        <v>1</v>
      </c>
      <c r="H13" s="100">
        <v>1000000</v>
      </c>
      <c r="I13" s="100">
        <f t="shared" si="0"/>
        <v>1000000</v>
      </c>
      <c r="J13" s="101"/>
    </row>
    <row r="14" spans="2:11" ht="19.5" customHeight="1" x14ac:dyDescent="0.15">
      <c r="B14" s="429"/>
      <c r="C14" s="418"/>
      <c r="D14" s="418"/>
      <c r="E14" s="97" t="s">
        <v>59</v>
      </c>
      <c r="F14" s="98" t="s">
        <v>56</v>
      </c>
      <c r="G14" s="100">
        <v>2</v>
      </c>
      <c r="H14" s="100">
        <v>400000</v>
      </c>
      <c r="I14" s="100">
        <f t="shared" si="0"/>
        <v>800000</v>
      </c>
      <c r="J14" s="101"/>
    </row>
    <row r="15" spans="2:11" ht="19.5" customHeight="1" x14ac:dyDescent="0.15">
      <c r="B15" s="429"/>
      <c r="C15" s="418"/>
      <c r="D15" s="418"/>
      <c r="E15" s="97" t="s">
        <v>60</v>
      </c>
      <c r="F15" s="98" t="s">
        <v>56</v>
      </c>
      <c r="G15" s="100">
        <v>2</v>
      </c>
      <c r="H15" s="100">
        <v>400000</v>
      </c>
      <c r="I15" s="100">
        <f t="shared" si="0"/>
        <v>800000</v>
      </c>
      <c r="J15" s="101" t="s">
        <v>61</v>
      </c>
    </row>
    <row r="16" spans="2:11" ht="19.5" customHeight="1" x14ac:dyDescent="0.15">
      <c r="B16" s="429"/>
      <c r="C16" s="418"/>
      <c r="D16" s="418"/>
      <c r="E16" s="97" t="s">
        <v>62</v>
      </c>
      <c r="F16" s="98" t="s">
        <v>56</v>
      </c>
      <c r="G16" s="100">
        <v>4</v>
      </c>
      <c r="H16" s="100">
        <v>400000</v>
      </c>
      <c r="I16" s="100">
        <f t="shared" si="0"/>
        <v>1600000</v>
      </c>
      <c r="J16" s="101"/>
    </row>
    <row r="17" spans="2:10" ht="19.5" customHeight="1" x14ac:dyDescent="0.15">
      <c r="B17" s="429"/>
      <c r="C17" s="418"/>
      <c r="D17" s="418"/>
      <c r="E17" s="97" t="s">
        <v>63</v>
      </c>
      <c r="F17" s="98" t="s">
        <v>56</v>
      </c>
      <c r="G17" s="100">
        <v>4</v>
      </c>
      <c r="H17" s="100">
        <v>400000</v>
      </c>
      <c r="I17" s="100">
        <f t="shared" si="0"/>
        <v>1600000</v>
      </c>
      <c r="J17" s="101"/>
    </row>
    <row r="18" spans="2:10" ht="19.5" customHeight="1" x14ac:dyDescent="0.15">
      <c r="B18" s="429"/>
      <c r="C18" s="418"/>
      <c r="D18" s="418"/>
      <c r="E18" s="97" t="s">
        <v>64</v>
      </c>
      <c r="F18" s="98" t="s">
        <v>56</v>
      </c>
      <c r="G18" s="100">
        <v>14</v>
      </c>
      <c r="H18" s="100">
        <v>400000</v>
      </c>
      <c r="I18" s="100">
        <f>G18*H18</f>
        <v>5600000</v>
      </c>
      <c r="J18" s="101"/>
    </row>
    <row r="19" spans="2:10" ht="19.5" customHeight="1" x14ac:dyDescent="0.15">
      <c r="B19" s="429"/>
      <c r="C19" s="418"/>
      <c r="D19" s="418"/>
      <c r="E19" s="97" t="s">
        <v>65</v>
      </c>
      <c r="F19" s="98" t="s">
        <v>56</v>
      </c>
      <c r="G19" s="100">
        <v>0</v>
      </c>
      <c r="H19" s="100">
        <v>400000</v>
      </c>
      <c r="I19" s="100">
        <v>0</v>
      </c>
      <c r="J19" s="101"/>
    </row>
    <row r="20" spans="2:10" ht="19.5" customHeight="1" x14ac:dyDescent="0.15">
      <c r="B20" s="429"/>
      <c r="C20" s="418"/>
      <c r="D20" s="419"/>
      <c r="E20" s="106" t="s">
        <v>53</v>
      </c>
      <c r="F20" s="414"/>
      <c r="G20" s="415"/>
      <c r="H20" s="416"/>
      <c r="I20" s="107">
        <f>SUM(I12:I19)</f>
        <v>11800000</v>
      </c>
      <c r="J20" s="350"/>
    </row>
    <row r="21" spans="2:10" ht="19.5" customHeight="1" x14ac:dyDescent="0.15">
      <c r="B21" s="429"/>
      <c r="C21" s="418"/>
      <c r="D21" s="108" t="s">
        <v>66</v>
      </c>
      <c r="E21" s="109"/>
      <c r="F21" s="414"/>
      <c r="G21" s="415"/>
      <c r="H21" s="416"/>
      <c r="I21" s="110">
        <f>I9*0.2</f>
        <v>2200000</v>
      </c>
      <c r="J21" s="111"/>
    </row>
    <row r="22" spans="2:10" ht="19.5" customHeight="1" x14ac:dyDescent="0.15">
      <c r="B22" s="430"/>
      <c r="C22" s="432"/>
      <c r="D22" s="112"/>
      <c r="E22" s="113" t="s">
        <v>67</v>
      </c>
      <c r="F22" s="420"/>
      <c r="G22" s="421"/>
      <c r="H22" s="422"/>
      <c r="I22" s="354">
        <f>I11+I20+I21</f>
        <v>71540000</v>
      </c>
      <c r="J22" s="114"/>
    </row>
    <row r="23" spans="2:10" ht="19.5" customHeight="1" x14ac:dyDescent="0.15">
      <c r="B23" s="433">
        <v>2</v>
      </c>
      <c r="C23" s="434" t="s">
        <v>68</v>
      </c>
      <c r="D23" s="437" t="s">
        <v>69</v>
      </c>
      <c r="E23" s="115" t="s">
        <v>70</v>
      </c>
      <c r="F23" s="116" t="s">
        <v>51</v>
      </c>
      <c r="G23" s="117">
        <v>1</v>
      </c>
      <c r="H23" s="117"/>
      <c r="I23" s="107">
        <v>2800000</v>
      </c>
      <c r="J23" s="350" t="s">
        <v>219</v>
      </c>
    </row>
    <row r="24" spans="2:10" ht="19.5" customHeight="1" x14ac:dyDescent="0.15">
      <c r="B24" s="429"/>
      <c r="C24" s="435"/>
      <c r="D24" s="438"/>
      <c r="E24" s="103" t="s">
        <v>71</v>
      </c>
      <c r="F24" s="93" t="s">
        <v>47</v>
      </c>
      <c r="G24" s="95">
        <v>1</v>
      </c>
      <c r="H24" s="95"/>
      <c r="I24" s="100">
        <f t="shared" ref="I24:I30" si="1">G24*H24</f>
        <v>0</v>
      </c>
      <c r="J24" s="105" t="s">
        <v>72</v>
      </c>
    </row>
    <row r="25" spans="2:10" ht="19.5" customHeight="1" x14ac:dyDescent="0.15">
      <c r="B25" s="429"/>
      <c r="C25" s="436"/>
      <c r="D25" s="417" t="s">
        <v>54</v>
      </c>
      <c r="E25" s="97" t="s">
        <v>73</v>
      </c>
      <c r="F25" s="98" t="s">
        <v>56</v>
      </c>
      <c r="G25" s="100">
        <v>1</v>
      </c>
      <c r="H25" s="100">
        <v>500000</v>
      </c>
      <c r="I25" s="100">
        <f t="shared" si="1"/>
        <v>500000</v>
      </c>
      <c r="J25" s="101"/>
    </row>
    <row r="26" spans="2:10" ht="19.5" customHeight="1" x14ac:dyDescent="0.15">
      <c r="B26" s="429"/>
      <c r="C26" s="436"/>
      <c r="D26" s="418"/>
      <c r="E26" s="97" t="s">
        <v>74</v>
      </c>
      <c r="F26" s="98" t="s">
        <v>75</v>
      </c>
      <c r="G26" s="100">
        <v>8</v>
      </c>
      <c r="H26" s="100">
        <v>700000</v>
      </c>
      <c r="I26" s="100">
        <f t="shared" si="1"/>
        <v>5600000</v>
      </c>
      <c r="J26" s="101"/>
    </row>
    <row r="27" spans="2:10" ht="19.5" customHeight="1" x14ac:dyDescent="0.15">
      <c r="B27" s="429"/>
      <c r="C27" s="436"/>
      <c r="D27" s="418"/>
      <c r="E27" s="97" t="s">
        <v>76</v>
      </c>
      <c r="F27" s="98" t="s">
        <v>77</v>
      </c>
      <c r="G27" s="100">
        <v>2</v>
      </c>
      <c r="H27" s="100">
        <v>500000</v>
      </c>
      <c r="I27" s="100">
        <f t="shared" si="1"/>
        <v>1000000</v>
      </c>
      <c r="J27" s="101"/>
    </row>
    <row r="28" spans="2:10" ht="19.5" customHeight="1" x14ac:dyDescent="0.15">
      <c r="B28" s="429"/>
      <c r="C28" s="436"/>
      <c r="D28" s="418"/>
      <c r="E28" s="97" t="s">
        <v>60</v>
      </c>
      <c r="F28" s="98" t="s">
        <v>56</v>
      </c>
      <c r="G28" s="100">
        <v>2</v>
      </c>
      <c r="H28" s="100">
        <v>500000</v>
      </c>
      <c r="I28" s="100">
        <f t="shared" si="1"/>
        <v>1000000</v>
      </c>
      <c r="J28" s="101"/>
    </row>
    <row r="29" spans="2:10" ht="19.5" customHeight="1" x14ac:dyDescent="0.15">
      <c r="B29" s="429"/>
      <c r="C29" s="436"/>
      <c r="D29" s="418"/>
      <c r="E29" s="97" t="s">
        <v>78</v>
      </c>
      <c r="F29" s="98" t="s">
        <v>79</v>
      </c>
      <c r="G29" s="100">
        <v>4</v>
      </c>
      <c r="H29" s="100">
        <v>500000</v>
      </c>
      <c r="I29" s="100">
        <f t="shared" si="1"/>
        <v>2000000</v>
      </c>
      <c r="J29" s="101"/>
    </row>
    <row r="30" spans="2:10" ht="19.5" customHeight="1" x14ac:dyDescent="0.15">
      <c r="B30" s="429"/>
      <c r="C30" s="436"/>
      <c r="D30" s="418"/>
      <c r="E30" s="97" t="s">
        <v>80</v>
      </c>
      <c r="F30" s="98" t="s">
        <v>81</v>
      </c>
      <c r="G30" s="100">
        <v>4</v>
      </c>
      <c r="H30" s="100">
        <v>500000</v>
      </c>
      <c r="I30" s="100">
        <f t="shared" si="1"/>
        <v>2000000</v>
      </c>
      <c r="J30" s="101"/>
    </row>
    <row r="31" spans="2:10" ht="19.5" customHeight="1" x14ac:dyDescent="0.15">
      <c r="B31" s="429"/>
      <c r="C31" s="436"/>
      <c r="D31" s="418"/>
      <c r="E31" s="97" t="s">
        <v>64</v>
      </c>
      <c r="F31" s="98" t="s">
        <v>56</v>
      </c>
      <c r="G31" s="100">
        <v>14</v>
      </c>
      <c r="H31" s="100">
        <v>500000</v>
      </c>
      <c r="I31" s="100">
        <f>G31*H31</f>
        <v>7000000</v>
      </c>
      <c r="J31" s="101"/>
    </row>
    <row r="32" spans="2:10" ht="19.5" customHeight="1" x14ac:dyDescent="0.15">
      <c r="B32" s="429"/>
      <c r="C32" s="436"/>
      <c r="D32" s="419"/>
      <c r="E32" s="106" t="s">
        <v>82</v>
      </c>
      <c r="F32" s="414"/>
      <c r="G32" s="415"/>
      <c r="H32" s="416"/>
      <c r="I32" s="107">
        <f>SUM(I23:I31)</f>
        <v>21900000</v>
      </c>
      <c r="J32" s="350"/>
    </row>
    <row r="33" spans="2:11" ht="19.5" customHeight="1" x14ac:dyDescent="0.15">
      <c r="B33" s="429"/>
      <c r="C33" s="418"/>
      <c r="D33" s="108" t="s">
        <v>66</v>
      </c>
      <c r="E33" s="109"/>
      <c r="F33" s="414"/>
      <c r="G33" s="415"/>
      <c r="H33" s="416"/>
      <c r="I33" s="110">
        <f>I23*0.2</f>
        <v>560000</v>
      </c>
      <c r="J33" s="111"/>
    </row>
    <row r="34" spans="2:11" ht="19.5" customHeight="1" x14ac:dyDescent="0.15">
      <c r="B34" s="430"/>
      <c r="C34" s="432"/>
      <c r="D34" s="112"/>
      <c r="E34" s="113" t="s">
        <v>83</v>
      </c>
      <c r="F34" s="420"/>
      <c r="G34" s="421"/>
      <c r="H34" s="422"/>
      <c r="I34" s="354">
        <f>I32+I33</f>
        <v>22460000</v>
      </c>
      <c r="J34" s="114"/>
    </row>
    <row r="35" spans="2:11" ht="19.5" customHeight="1" x14ac:dyDescent="0.15">
      <c r="B35" s="439">
        <v>3</v>
      </c>
      <c r="C35" s="442" t="s">
        <v>84</v>
      </c>
      <c r="D35" s="443"/>
      <c r="E35" s="444"/>
      <c r="F35" s="442"/>
      <c r="G35" s="443"/>
      <c r="H35" s="444"/>
      <c r="I35" s="119">
        <f>I11+I23+I24</f>
        <v>60340000</v>
      </c>
      <c r="J35" s="118"/>
    </row>
    <row r="36" spans="2:11" ht="19.5" customHeight="1" x14ac:dyDescent="0.15">
      <c r="B36" s="440"/>
      <c r="C36" s="414" t="s">
        <v>85</v>
      </c>
      <c r="D36" s="415"/>
      <c r="E36" s="416"/>
      <c r="F36" s="414"/>
      <c r="G36" s="415"/>
      <c r="H36" s="416"/>
      <c r="I36" s="107">
        <f>I20+I25+I26+I27+I28+I29+I30+I31</f>
        <v>30900000</v>
      </c>
      <c r="J36" s="101"/>
    </row>
    <row r="37" spans="2:11" ht="19.5" customHeight="1" thickBot="1" x14ac:dyDescent="0.2">
      <c r="B37" s="441"/>
      <c r="C37" s="445" t="s">
        <v>86</v>
      </c>
      <c r="D37" s="445"/>
      <c r="E37" s="446"/>
      <c r="F37" s="447"/>
      <c r="G37" s="445"/>
      <c r="H37" s="446"/>
      <c r="I37" s="120">
        <f>I35+I36</f>
        <v>91240000</v>
      </c>
      <c r="J37" s="121"/>
    </row>
    <row r="38" spans="2:11" ht="20.25" customHeight="1" x14ac:dyDescent="0.15">
      <c r="B38" s="122">
        <v>4</v>
      </c>
      <c r="C38" s="419" t="s">
        <v>87</v>
      </c>
      <c r="D38" s="448"/>
      <c r="E38" s="449"/>
      <c r="F38" s="450"/>
      <c r="G38" s="451"/>
      <c r="H38" s="452"/>
      <c r="I38" s="123">
        <v>1000000</v>
      </c>
      <c r="J38" s="124"/>
    </row>
    <row r="39" spans="2:11" ht="22.5" customHeight="1" x14ac:dyDescent="0.15">
      <c r="B39" s="125">
        <v>5</v>
      </c>
      <c r="C39" s="414" t="s">
        <v>88</v>
      </c>
      <c r="D39" s="415"/>
      <c r="E39" s="416"/>
      <c r="F39" s="453" t="s">
        <v>89</v>
      </c>
      <c r="G39" s="454"/>
      <c r="H39" s="455"/>
      <c r="I39" s="126"/>
      <c r="J39" s="127"/>
      <c r="K39" s="128"/>
    </row>
    <row r="40" spans="2:11" ht="20.25" customHeight="1" x14ac:dyDescent="0.15">
      <c r="B40" s="125">
        <v>6</v>
      </c>
      <c r="C40" s="414" t="s">
        <v>90</v>
      </c>
      <c r="D40" s="415"/>
      <c r="E40" s="416"/>
      <c r="F40" s="456"/>
      <c r="G40" s="457"/>
      <c r="H40" s="458"/>
      <c r="I40" s="107">
        <v>760000</v>
      </c>
      <c r="J40" s="101"/>
    </row>
    <row r="41" spans="2:11" ht="20.25" customHeight="1" x14ac:dyDescent="0.15">
      <c r="B41" s="129">
        <v>7</v>
      </c>
      <c r="C41" s="420" t="s">
        <v>91</v>
      </c>
      <c r="D41" s="421"/>
      <c r="E41" s="422"/>
      <c r="F41" s="459"/>
      <c r="G41" s="460"/>
      <c r="H41" s="461"/>
      <c r="I41" s="110">
        <v>2000000</v>
      </c>
      <c r="J41" s="111"/>
      <c r="K41" s="77"/>
    </row>
    <row r="42" spans="2:11" ht="28.5" customHeight="1" thickBot="1" x14ac:dyDescent="0.2">
      <c r="B42" s="130"/>
      <c r="C42" s="462" t="s">
        <v>92</v>
      </c>
      <c r="D42" s="462"/>
      <c r="E42" s="462"/>
      <c r="F42" s="463" t="s">
        <v>93</v>
      </c>
      <c r="G42" s="464"/>
      <c r="H42" s="465"/>
      <c r="I42" s="131">
        <f>I22+I34+I38</f>
        <v>95000000</v>
      </c>
      <c r="J42" s="132"/>
      <c r="K42" s="77"/>
    </row>
    <row r="43" spans="2:11" ht="19.5" customHeight="1" x14ac:dyDescent="0.15">
      <c r="B43" s="133" t="s">
        <v>94</v>
      </c>
      <c r="C43" s="79"/>
      <c r="D43" s="79"/>
      <c r="E43" s="79"/>
    </row>
    <row r="44" spans="2:11" ht="19.5" customHeight="1" x14ac:dyDescent="0.15">
      <c r="B44" s="77" t="s">
        <v>95</v>
      </c>
      <c r="C44" s="79"/>
      <c r="D44" s="79"/>
      <c r="E44" s="79"/>
    </row>
    <row r="45" spans="2:11" ht="19.5" customHeight="1" x14ac:dyDescent="0.15">
      <c r="C45" s="79"/>
      <c r="D45" s="79"/>
      <c r="E45" s="79"/>
    </row>
    <row r="46" spans="2:11" ht="19.5" customHeight="1" x14ac:dyDescent="0.15">
      <c r="C46" s="79"/>
      <c r="D46" s="79"/>
      <c r="E46" s="466" t="s">
        <v>96</v>
      </c>
      <c r="F46" s="469" t="s">
        <v>97</v>
      </c>
      <c r="G46" s="470"/>
      <c r="H46" s="471"/>
      <c r="I46" s="134" t="s">
        <v>98</v>
      </c>
      <c r="J46" s="135" t="s">
        <v>99</v>
      </c>
      <c r="K46" s="136" t="s">
        <v>100</v>
      </c>
    </row>
    <row r="47" spans="2:11" ht="19.5" customHeight="1" x14ac:dyDescent="0.15">
      <c r="C47" s="79"/>
      <c r="D47" s="79"/>
      <c r="E47" s="467"/>
      <c r="F47" s="472" t="s">
        <v>101</v>
      </c>
      <c r="G47" s="473"/>
      <c r="H47" s="473"/>
      <c r="I47" s="107"/>
      <c r="J47" s="137"/>
      <c r="K47" s="137" t="s">
        <v>102</v>
      </c>
    </row>
    <row r="48" spans="2:11" ht="19.5" customHeight="1" x14ac:dyDescent="0.15">
      <c r="E48" s="468"/>
      <c r="F48" s="472" t="s">
        <v>103</v>
      </c>
      <c r="G48" s="473"/>
      <c r="H48" s="473"/>
      <c r="I48" s="107"/>
      <c r="J48" s="137"/>
      <c r="K48" s="137" t="s">
        <v>104</v>
      </c>
    </row>
    <row r="49" spans="7:7" ht="19.5" customHeight="1" x14ac:dyDescent="0.15">
      <c r="G49" s="138" t="s">
        <v>105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P22"/>
  <sheetViews>
    <sheetView zoomScale="80" workbookViewId="0">
      <selection activeCell="J12" sqref="J12"/>
    </sheetView>
  </sheetViews>
  <sheetFormatPr defaultColWidth="9" defaultRowHeight="17.25" customHeight="1" x14ac:dyDescent="0.15"/>
  <cols>
    <col min="1" max="1" width="5" style="139" customWidth="1"/>
    <col min="2" max="2" width="20.125" style="139" customWidth="1"/>
    <col min="3" max="3" width="6.25" style="139" customWidth="1"/>
    <col min="4" max="8" width="11.875" style="139" customWidth="1"/>
    <col min="9" max="9" width="13" style="139" customWidth="1"/>
    <col min="10" max="11" width="13.875" style="139" customWidth="1"/>
    <col min="12" max="12" width="12.5" style="139" bestFit="1" customWidth="1"/>
    <col min="13" max="13" width="15" style="139" bestFit="1" customWidth="1"/>
    <col min="14" max="14" width="13.875" style="139" customWidth="1"/>
    <col min="15" max="15" width="9.625" style="139" customWidth="1"/>
    <col min="16" max="16" width="11.5" style="139" hidden="1" customWidth="1"/>
    <col min="17" max="17" width="10" style="139" customWidth="1"/>
    <col min="18" max="16384" width="9" style="139"/>
  </cols>
  <sheetData>
    <row r="2" spans="1:16" ht="31.5" customHeight="1" x14ac:dyDescent="0.15">
      <c r="A2" s="69" t="s">
        <v>106</v>
      </c>
    </row>
    <row r="3" spans="1:16" ht="17.25" customHeight="1" thickBot="1" x14ac:dyDescent="0.2">
      <c r="N3" s="139" t="s">
        <v>107</v>
      </c>
    </row>
    <row r="4" spans="1:16" s="146" customFormat="1" ht="8.25" customHeight="1" x14ac:dyDescent="0.15">
      <c r="A4" s="140"/>
      <c r="B4" s="140"/>
      <c r="C4" s="140"/>
      <c r="D4" s="474"/>
      <c r="E4" s="475"/>
      <c r="F4" s="475"/>
      <c r="G4" s="475"/>
      <c r="H4" s="475"/>
      <c r="I4" s="475"/>
      <c r="J4" s="476"/>
      <c r="K4" s="141"/>
      <c r="L4" s="142"/>
      <c r="M4" s="143"/>
      <c r="N4" s="144"/>
      <c r="O4" s="145"/>
    </row>
    <row r="5" spans="1:16" s="157" customFormat="1" ht="25.5" customHeight="1" x14ac:dyDescent="0.15">
      <c r="A5" s="147"/>
      <c r="B5" s="147"/>
      <c r="C5" s="147"/>
      <c r="D5" s="148"/>
      <c r="E5" s="149"/>
      <c r="F5" s="149"/>
      <c r="G5" s="149"/>
      <c r="H5" s="149"/>
      <c r="I5" s="150" t="s">
        <v>108</v>
      </c>
      <c r="J5" s="151"/>
      <c r="K5" s="152"/>
      <c r="L5" s="153" t="s">
        <v>109</v>
      </c>
      <c r="M5" s="154" t="s">
        <v>90</v>
      </c>
      <c r="N5" s="155"/>
      <c r="O5" s="156"/>
    </row>
    <row r="6" spans="1:16" s="157" customFormat="1" ht="25.5" customHeight="1" thickBot="1" x14ac:dyDescent="0.2">
      <c r="A6" s="158" t="s">
        <v>110</v>
      </c>
      <c r="B6" s="158" t="s">
        <v>111</v>
      </c>
      <c r="C6" s="158" t="s">
        <v>112</v>
      </c>
      <c r="D6" s="159" t="s">
        <v>113</v>
      </c>
      <c r="E6" s="160" t="s">
        <v>114</v>
      </c>
      <c r="F6" s="160" t="s">
        <v>115</v>
      </c>
      <c r="G6" s="160" t="s">
        <v>116</v>
      </c>
      <c r="H6" s="160" t="s">
        <v>117</v>
      </c>
      <c r="I6" s="161" t="s">
        <v>118</v>
      </c>
      <c r="J6" s="162" t="s">
        <v>119</v>
      </c>
      <c r="K6" s="163" t="s">
        <v>120</v>
      </c>
      <c r="L6" s="164" t="s">
        <v>121</v>
      </c>
      <c r="M6" s="165" t="s">
        <v>122</v>
      </c>
      <c r="N6" s="166" t="s">
        <v>123</v>
      </c>
      <c r="O6" s="167" t="s">
        <v>18</v>
      </c>
    </row>
    <row r="7" spans="1:16" s="179" customFormat="1" ht="25.5" customHeight="1" thickTop="1" x14ac:dyDescent="0.15">
      <c r="A7" s="168">
        <v>1</v>
      </c>
      <c r="B7" s="169" t="s">
        <v>221</v>
      </c>
      <c r="C7" s="170" t="s">
        <v>124</v>
      </c>
      <c r="D7" s="171">
        <v>60340000</v>
      </c>
      <c r="E7" s="172">
        <v>900000</v>
      </c>
      <c r="F7" s="172">
        <v>10200000</v>
      </c>
      <c r="G7" s="172">
        <v>7200000</v>
      </c>
      <c r="H7" s="172">
        <v>12600000</v>
      </c>
      <c r="I7" s="173">
        <v>1000000</v>
      </c>
      <c r="J7" s="174">
        <v>71540000</v>
      </c>
      <c r="K7" s="175">
        <v>22460000</v>
      </c>
      <c r="L7" s="355" t="s">
        <v>246</v>
      </c>
      <c r="M7" s="176">
        <v>2760000</v>
      </c>
      <c r="N7" s="177">
        <f>I7+J7+K7</f>
        <v>95000000</v>
      </c>
      <c r="O7" s="178"/>
      <c r="P7" s="179">
        <f t="shared" ref="P7:P17" si="0">D7+E7+F7+G7+H7+M7</f>
        <v>94000000</v>
      </c>
    </row>
    <row r="8" spans="1:16" s="179" customFormat="1" ht="25.5" customHeight="1" x14ac:dyDescent="0.15">
      <c r="A8" s="180" t="str">
        <f>IF(B8&gt;0,A7+1,"")</f>
        <v/>
      </c>
      <c r="B8" s="181"/>
      <c r="C8" s="182"/>
      <c r="D8" s="183"/>
      <c r="E8" s="184"/>
      <c r="F8" s="184"/>
      <c r="G8" s="184"/>
      <c r="H8" s="184"/>
      <c r="I8" s="185"/>
      <c r="J8" s="186"/>
      <c r="K8" s="187"/>
      <c r="L8" s="187"/>
      <c r="M8" s="188"/>
      <c r="N8" s="189"/>
      <c r="O8" s="190"/>
      <c r="P8" s="179">
        <f t="shared" si="0"/>
        <v>0</v>
      </c>
    </row>
    <row r="9" spans="1:16" s="179" customFormat="1" ht="25.5" customHeight="1" x14ac:dyDescent="0.15">
      <c r="A9" s="180" t="str">
        <f>IF(B9&gt;0,A8+1,"")</f>
        <v/>
      </c>
      <c r="B9" s="181"/>
      <c r="C9" s="182"/>
      <c r="D9" s="183"/>
      <c r="E9" s="184"/>
      <c r="F9" s="184"/>
      <c r="G9" s="184"/>
      <c r="H9" s="184"/>
      <c r="I9" s="185"/>
      <c r="J9" s="186"/>
      <c r="K9" s="187"/>
      <c r="L9" s="187"/>
      <c r="M9" s="188"/>
      <c r="N9" s="189"/>
      <c r="O9" s="190"/>
      <c r="P9" s="179">
        <f t="shared" si="0"/>
        <v>0</v>
      </c>
    </row>
    <row r="10" spans="1:16" s="179" customFormat="1" ht="25.5" customHeight="1" x14ac:dyDescent="0.15">
      <c r="A10" s="180"/>
      <c r="B10" s="181"/>
      <c r="C10" s="182"/>
      <c r="D10" s="183"/>
      <c r="E10" s="184"/>
      <c r="F10" s="184"/>
      <c r="G10" s="184"/>
      <c r="H10" s="184"/>
      <c r="I10" s="185"/>
      <c r="J10" s="186"/>
      <c r="K10" s="187"/>
      <c r="L10" s="187"/>
      <c r="M10" s="188"/>
      <c r="N10" s="189"/>
      <c r="O10" s="190"/>
      <c r="P10" s="179">
        <f t="shared" si="0"/>
        <v>0</v>
      </c>
    </row>
    <row r="11" spans="1:16" s="179" customFormat="1" ht="25.5" customHeight="1" x14ac:dyDescent="0.15">
      <c r="A11" s="180"/>
      <c r="B11" s="181"/>
      <c r="C11" s="182"/>
      <c r="D11" s="183"/>
      <c r="E11" s="184"/>
      <c r="F11" s="184"/>
      <c r="G11" s="184"/>
      <c r="H11" s="184"/>
      <c r="I11" s="185"/>
      <c r="J11" s="186"/>
      <c r="K11" s="187"/>
      <c r="L11" s="187"/>
      <c r="M11" s="188"/>
      <c r="N11" s="189"/>
      <c r="O11" s="190"/>
      <c r="P11" s="179">
        <f t="shared" si="0"/>
        <v>0</v>
      </c>
    </row>
    <row r="12" spans="1:16" s="179" customFormat="1" ht="25.5" customHeight="1" x14ac:dyDescent="0.15">
      <c r="A12" s="180"/>
      <c r="B12" s="181"/>
      <c r="C12" s="182"/>
      <c r="D12" s="183"/>
      <c r="E12" s="184"/>
      <c r="F12" s="184"/>
      <c r="G12" s="184"/>
      <c r="H12" s="184"/>
      <c r="I12" s="185"/>
      <c r="J12" s="186"/>
      <c r="K12" s="187"/>
      <c r="L12" s="187"/>
      <c r="M12" s="188"/>
      <c r="N12" s="189"/>
      <c r="O12" s="190"/>
      <c r="P12" s="179">
        <f t="shared" si="0"/>
        <v>0</v>
      </c>
    </row>
    <row r="13" spans="1:16" s="179" customFormat="1" ht="25.5" customHeight="1" x14ac:dyDescent="0.15">
      <c r="A13" s="180"/>
      <c r="B13" s="181"/>
      <c r="C13" s="182"/>
      <c r="D13" s="183"/>
      <c r="E13" s="184"/>
      <c r="F13" s="184"/>
      <c r="G13" s="184"/>
      <c r="H13" s="184"/>
      <c r="I13" s="185"/>
      <c r="J13" s="186"/>
      <c r="K13" s="187"/>
      <c r="L13" s="187"/>
      <c r="M13" s="188"/>
      <c r="N13" s="189"/>
      <c r="O13" s="190"/>
      <c r="P13" s="179">
        <f t="shared" si="0"/>
        <v>0</v>
      </c>
    </row>
    <row r="14" spans="1:16" s="179" customFormat="1" ht="25.5" customHeight="1" x14ac:dyDescent="0.15">
      <c r="A14" s="180"/>
      <c r="B14" s="181"/>
      <c r="C14" s="182"/>
      <c r="D14" s="183"/>
      <c r="E14" s="184"/>
      <c r="F14" s="184"/>
      <c r="G14" s="184"/>
      <c r="H14" s="184"/>
      <c r="I14" s="185"/>
      <c r="J14" s="186"/>
      <c r="K14" s="187"/>
      <c r="L14" s="187"/>
      <c r="M14" s="188"/>
      <c r="N14" s="189"/>
      <c r="O14" s="190"/>
      <c r="P14" s="179">
        <f t="shared" si="0"/>
        <v>0</v>
      </c>
    </row>
    <row r="15" spans="1:16" s="193" customFormat="1" ht="25.5" customHeight="1" x14ac:dyDescent="0.15">
      <c r="A15" s="182"/>
      <c r="B15" s="181"/>
      <c r="C15" s="182"/>
      <c r="D15" s="183"/>
      <c r="E15" s="184"/>
      <c r="F15" s="184"/>
      <c r="G15" s="184"/>
      <c r="H15" s="184"/>
      <c r="I15" s="185"/>
      <c r="J15" s="186"/>
      <c r="K15" s="187"/>
      <c r="L15" s="187"/>
      <c r="M15" s="188"/>
      <c r="N15" s="191"/>
      <c r="O15" s="192"/>
      <c r="P15" s="179">
        <f t="shared" si="0"/>
        <v>0</v>
      </c>
    </row>
    <row r="16" spans="1:16" s="193" customFormat="1" ht="25.5" customHeight="1" x14ac:dyDescent="0.15">
      <c r="A16" s="194"/>
      <c r="B16" s="195"/>
      <c r="C16" s="194"/>
      <c r="D16" s="196"/>
      <c r="E16" s="197"/>
      <c r="F16" s="197"/>
      <c r="G16" s="197"/>
      <c r="H16" s="197"/>
      <c r="I16" s="198"/>
      <c r="J16" s="199"/>
      <c r="K16" s="200"/>
      <c r="L16" s="200"/>
      <c r="M16" s="201"/>
      <c r="N16" s="202"/>
      <c r="O16" s="203"/>
      <c r="P16" s="179">
        <f t="shared" si="0"/>
        <v>0</v>
      </c>
    </row>
    <row r="17" spans="1:16" s="179" customFormat="1" ht="33" customHeight="1" x14ac:dyDescent="0.15">
      <c r="A17" s="477"/>
      <c r="B17" s="478"/>
      <c r="C17" s="479"/>
      <c r="D17" s="204"/>
      <c r="E17" s="205"/>
      <c r="F17" s="205"/>
      <c r="G17" s="205"/>
      <c r="H17" s="205"/>
      <c r="I17" s="206"/>
      <c r="J17" s="207"/>
      <c r="K17" s="208"/>
      <c r="L17" s="209"/>
      <c r="M17" s="210"/>
      <c r="N17" s="211"/>
      <c r="O17" s="212"/>
      <c r="P17" s="179">
        <f t="shared" si="0"/>
        <v>0</v>
      </c>
    </row>
    <row r="18" spans="1:16" s="225" customFormat="1" ht="18.75" customHeight="1" x14ac:dyDescent="0.15">
      <c r="A18" s="213"/>
      <c r="B18" s="214"/>
      <c r="C18" s="215"/>
      <c r="D18" s="216"/>
      <c r="E18" s="217"/>
      <c r="F18" s="217"/>
      <c r="G18" s="217"/>
      <c r="H18" s="217"/>
      <c r="I18" s="218"/>
      <c r="J18" s="219"/>
      <c r="K18" s="220"/>
      <c r="L18" s="221"/>
      <c r="M18" s="222"/>
      <c r="N18" s="223"/>
      <c r="O18" s="224"/>
    </row>
    <row r="19" spans="1:16" ht="28.5" customHeight="1" x14ac:dyDescent="0.15">
      <c r="A19" s="139" t="s">
        <v>125</v>
      </c>
      <c r="H19" s="226"/>
      <c r="I19" s="226"/>
      <c r="J19" s="226"/>
      <c r="K19" s="226"/>
      <c r="L19" s="226"/>
    </row>
    <row r="20" spans="1:16" ht="17.25" customHeight="1" x14ac:dyDescent="0.15">
      <c r="H20" s="227"/>
      <c r="I20" s="227"/>
      <c r="J20" s="227"/>
      <c r="K20" s="227"/>
      <c r="L20" s="227"/>
      <c r="M20" s="228"/>
      <c r="N20" s="229"/>
    </row>
    <row r="21" spans="1:16" ht="17.25" customHeight="1" x14ac:dyDescent="0.15">
      <c r="H21" s="230"/>
      <c r="I21" s="230"/>
      <c r="J21" s="230"/>
      <c r="K21" s="230"/>
      <c r="L21" s="230"/>
      <c r="N21" s="230"/>
    </row>
    <row r="22" spans="1:16" ht="17.25" customHeight="1" x14ac:dyDescent="0.15">
      <c r="H22" s="179"/>
      <c r="I22" s="179"/>
      <c r="J22" s="179"/>
      <c r="L22" s="179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  <pageSetUpPr fitToPage="1"/>
  </sheetPr>
  <dimension ref="A1:K72"/>
  <sheetViews>
    <sheetView tabSelected="1" view="pageBreakPreview" zoomScale="85" zoomScaleNormal="85" zoomScaleSheetLayoutView="85" workbookViewId="0">
      <pane xSplit="2" ySplit="2" topLeftCell="C3" activePane="bottomRight" state="frozen"/>
      <selection activeCell="L14" sqref="L14"/>
      <selection pane="topRight" activeCell="L14" sqref="L14"/>
      <selection pane="bottomLeft" activeCell="L14" sqref="L14"/>
      <selection pane="bottomRight" activeCell="G31" sqref="G31"/>
    </sheetView>
  </sheetViews>
  <sheetFormatPr defaultColWidth="9" defaultRowHeight="13.5" x14ac:dyDescent="0.15"/>
  <cols>
    <col min="1" max="1" width="5" style="139" customWidth="1"/>
    <col min="2" max="2" width="17.875" style="139" bestFit="1" customWidth="1"/>
    <col min="3" max="3" width="23.625" style="139" customWidth="1"/>
    <col min="4" max="4" width="18.25" style="139" customWidth="1"/>
    <col min="5" max="5" width="5.25" style="157" bestFit="1" customWidth="1"/>
    <col min="6" max="6" width="9" style="179"/>
    <col min="7" max="7" width="14.625" style="179" customWidth="1"/>
    <col min="8" max="8" width="13.625" style="179" customWidth="1"/>
    <col min="9" max="9" width="12.75" style="139" customWidth="1"/>
    <col min="10" max="10" width="9" style="139"/>
    <col min="11" max="11" width="10" style="139" bestFit="1" customWidth="1"/>
    <col min="12" max="16384" width="9" style="139"/>
  </cols>
  <sheetData>
    <row r="1" spans="1:11" ht="22.5" customHeight="1" x14ac:dyDescent="0.15">
      <c r="B1" s="231" t="s">
        <v>164</v>
      </c>
      <c r="C1" s="336" t="s">
        <v>165</v>
      </c>
      <c r="D1" s="233"/>
      <c r="E1" s="234"/>
      <c r="F1" s="337"/>
      <c r="G1" s="193"/>
      <c r="I1" s="139" t="s">
        <v>166</v>
      </c>
      <c r="K1" s="338"/>
    </row>
    <row r="2" spans="1:11" s="157" customFormat="1" ht="16.5" customHeight="1" x14ac:dyDescent="0.15">
      <c r="A2" s="396" t="s">
        <v>167</v>
      </c>
      <c r="B2" s="480"/>
      <c r="C2" s="147" t="s">
        <v>168</v>
      </c>
      <c r="D2" s="140" t="s">
        <v>169</v>
      </c>
      <c r="E2" s="140" t="s">
        <v>170</v>
      </c>
      <c r="F2" s="312" t="s">
        <v>171</v>
      </c>
      <c r="G2" s="312" t="s">
        <v>172</v>
      </c>
      <c r="H2" s="312" t="s">
        <v>173</v>
      </c>
      <c r="I2" s="140" t="s">
        <v>174</v>
      </c>
    </row>
    <row r="3" spans="1:11" ht="15.95" customHeight="1" x14ac:dyDescent="0.15">
      <c r="A3" s="481" t="s">
        <v>175</v>
      </c>
      <c r="B3" s="239" t="s">
        <v>176</v>
      </c>
      <c r="C3" s="247"/>
      <c r="D3" s="339"/>
      <c r="E3" s="252"/>
      <c r="F3" s="254"/>
      <c r="G3" s="254"/>
      <c r="H3" s="271">
        <f>IF(F3=0,G3,G3*F3)</f>
        <v>0</v>
      </c>
      <c r="I3" s="272"/>
    </row>
    <row r="4" spans="1:11" ht="15.95" customHeight="1" x14ac:dyDescent="0.15">
      <c r="A4" s="482"/>
      <c r="B4" s="239"/>
      <c r="C4" s="247"/>
      <c r="D4" s="252"/>
      <c r="E4" s="252"/>
      <c r="F4" s="254"/>
      <c r="G4" s="254"/>
      <c r="H4" s="190">
        <f>IF(F4=0,G4,G4*F4)</f>
        <v>0</v>
      </c>
      <c r="I4" s="246"/>
    </row>
    <row r="5" spans="1:11" ht="15.95" customHeight="1" x14ac:dyDescent="0.15">
      <c r="A5" s="482"/>
      <c r="B5" s="239"/>
      <c r="C5" s="247"/>
      <c r="D5" s="252"/>
      <c r="E5" s="252"/>
      <c r="F5" s="254"/>
      <c r="G5" s="254"/>
      <c r="H5" s="190">
        <f t="shared" ref="H5:H56" si="0">IF(F5=0,G5,G5*F5)</f>
        <v>0</v>
      </c>
      <c r="I5" s="246"/>
    </row>
    <row r="6" spans="1:11" ht="15.95" customHeight="1" x14ac:dyDescent="0.15">
      <c r="A6" s="482"/>
      <c r="B6" s="239"/>
      <c r="C6" s="247"/>
      <c r="D6" s="252"/>
      <c r="E6" s="252"/>
      <c r="F6" s="254"/>
      <c r="G6" s="254"/>
      <c r="H6" s="190">
        <f t="shared" si="0"/>
        <v>0</v>
      </c>
      <c r="I6" s="246"/>
    </row>
    <row r="7" spans="1:11" ht="15.95" customHeight="1" x14ac:dyDescent="0.15">
      <c r="A7" s="482"/>
      <c r="B7" s="239"/>
      <c r="C7" s="247"/>
      <c r="D7" s="252"/>
      <c r="E7" s="252"/>
      <c r="F7" s="254"/>
      <c r="G7" s="254"/>
      <c r="H7" s="190">
        <f t="shared" si="0"/>
        <v>0</v>
      </c>
      <c r="I7" s="246"/>
    </row>
    <row r="8" spans="1:11" ht="15.95" customHeight="1" x14ac:dyDescent="0.15">
      <c r="A8" s="482"/>
      <c r="B8" s="239"/>
      <c r="C8" s="247"/>
      <c r="D8" s="247"/>
      <c r="E8" s="252"/>
      <c r="F8" s="254"/>
      <c r="G8" s="254"/>
      <c r="H8" s="190">
        <f t="shared" si="0"/>
        <v>0</v>
      </c>
      <c r="I8" s="246"/>
    </row>
    <row r="9" spans="1:11" ht="15.95" customHeight="1" x14ac:dyDescent="0.15">
      <c r="A9" s="482"/>
      <c r="B9" s="239"/>
      <c r="C9" s="247"/>
      <c r="D9" s="247"/>
      <c r="E9" s="252"/>
      <c r="F9" s="254"/>
      <c r="G9" s="254"/>
      <c r="H9" s="190">
        <f t="shared" si="0"/>
        <v>0</v>
      </c>
      <c r="I9" s="246"/>
    </row>
    <row r="10" spans="1:11" ht="15.95" customHeight="1" x14ac:dyDescent="0.15">
      <c r="A10" s="482"/>
      <c r="B10" s="239"/>
      <c r="C10" s="247"/>
      <c r="D10" s="247"/>
      <c r="E10" s="252"/>
      <c r="F10" s="254"/>
      <c r="G10" s="254"/>
      <c r="H10" s="190">
        <f t="shared" si="0"/>
        <v>0</v>
      </c>
      <c r="I10" s="246"/>
    </row>
    <row r="11" spans="1:11" ht="15.95" customHeight="1" x14ac:dyDescent="0.15">
      <c r="A11" s="482"/>
      <c r="B11" s="239"/>
      <c r="C11" s="247"/>
      <c r="D11" s="247"/>
      <c r="E11" s="252"/>
      <c r="F11" s="254"/>
      <c r="G11" s="254"/>
      <c r="H11" s="190">
        <f t="shared" si="0"/>
        <v>0</v>
      </c>
      <c r="I11" s="246"/>
    </row>
    <row r="12" spans="1:11" ht="15.95" customHeight="1" x14ac:dyDescent="0.15">
      <c r="A12" s="482"/>
      <c r="B12" s="239"/>
      <c r="C12" s="247"/>
      <c r="D12" s="247"/>
      <c r="E12" s="252"/>
      <c r="F12" s="254"/>
      <c r="G12" s="254"/>
      <c r="H12" s="190">
        <f t="shared" si="0"/>
        <v>0</v>
      </c>
      <c r="I12" s="246"/>
    </row>
    <row r="13" spans="1:11" ht="15.95" customHeight="1" x14ac:dyDescent="0.15">
      <c r="A13" s="482"/>
      <c r="B13" s="239"/>
      <c r="C13" s="247"/>
      <c r="D13" s="247"/>
      <c r="E13" s="252"/>
      <c r="F13" s="254"/>
      <c r="G13" s="254"/>
      <c r="H13" s="190">
        <f t="shared" si="0"/>
        <v>0</v>
      </c>
      <c r="I13" s="246"/>
    </row>
    <row r="14" spans="1:11" ht="15.95" customHeight="1" x14ac:dyDescent="0.15">
      <c r="A14" s="482"/>
      <c r="B14" s="239"/>
      <c r="C14" s="247"/>
      <c r="D14" s="247"/>
      <c r="E14" s="252"/>
      <c r="F14" s="254"/>
      <c r="G14" s="254"/>
      <c r="H14" s="190">
        <f t="shared" si="0"/>
        <v>0</v>
      </c>
      <c r="I14" s="246"/>
    </row>
    <row r="15" spans="1:11" ht="15.95" customHeight="1" x14ac:dyDescent="0.15">
      <c r="A15" s="482"/>
      <c r="B15" s="239"/>
      <c r="C15" s="247"/>
      <c r="D15" s="247"/>
      <c r="E15" s="252"/>
      <c r="F15" s="254"/>
      <c r="G15" s="254"/>
      <c r="H15" s="190">
        <f t="shared" si="0"/>
        <v>0</v>
      </c>
      <c r="I15" s="246"/>
    </row>
    <row r="16" spans="1:11" ht="15.95" customHeight="1" x14ac:dyDescent="0.15">
      <c r="A16" s="482"/>
      <c r="B16" s="239"/>
      <c r="C16" s="247"/>
      <c r="D16" s="247"/>
      <c r="E16" s="252"/>
      <c r="F16" s="254"/>
      <c r="G16" s="254"/>
      <c r="H16" s="190">
        <f t="shared" si="0"/>
        <v>0</v>
      </c>
      <c r="I16" s="246"/>
    </row>
    <row r="17" spans="1:9" ht="15.95" customHeight="1" x14ac:dyDescent="0.15">
      <c r="A17" s="482"/>
      <c r="B17" s="239"/>
      <c r="C17" s="247"/>
      <c r="D17" s="247"/>
      <c r="E17" s="252"/>
      <c r="F17" s="254"/>
      <c r="G17" s="254"/>
      <c r="H17" s="190">
        <f t="shared" si="0"/>
        <v>0</v>
      </c>
      <c r="I17" s="246"/>
    </row>
    <row r="18" spans="1:9" ht="15.95" customHeight="1" x14ac:dyDescent="0.15">
      <c r="A18" s="482"/>
      <c r="B18" s="239"/>
      <c r="C18" s="247"/>
      <c r="D18" s="247"/>
      <c r="E18" s="252"/>
      <c r="F18" s="254"/>
      <c r="G18" s="254"/>
      <c r="H18" s="190">
        <f t="shared" si="0"/>
        <v>0</v>
      </c>
      <c r="I18" s="246"/>
    </row>
    <row r="19" spans="1:9" ht="15.95" customHeight="1" x14ac:dyDescent="0.15">
      <c r="A19" s="482"/>
      <c r="B19" s="239"/>
      <c r="C19" s="247"/>
      <c r="D19" s="247"/>
      <c r="E19" s="252"/>
      <c r="F19" s="254"/>
      <c r="G19" s="254"/>
      <c r="H19" s="190">
        <f t="shared" si="0"/>
        <v>0</v>
      </c>
      <c r="I19" s="246"/>
    </row>
    <row r="20" spans="1:9" ht="15.95" customHeight="1" x14ac:dyDescent="0.15">
      <c r="A20" s="482"/>
      <c r="B20" s="239"/>
      <c r="C20" s="247"/>
      <c r="D20" s="247"/>
      <c r="E20" s="252"/>
      <c r="F20" s="254"/>
      <c r="G20" s="254"/>
      <c r="H20" s="190">
        <f t="shared" si="0"/>
        <v>0</v>
      </c>
      <c r="I20" s="246"/>
    </row>
    <row r="21" spans="1:9" ht="15.95" customHeight="1" x14ac:dyDescent="0.15">
      <c r="A21" s="482"/>
      <c r="B21" s="239"/>
      <c r="C21" s="247"/>
      <c r="D21" s="247"/>
      <c r="E21" s="252"/>
      <c r="F21" s="254"/>
      <c r="G21" s="254"/>
      <c r="H21" s="190">
        <f t="shared" si="0"/>
        <v>0</v>
      </c>
      <c r="I21" s="246"/>
    </row>
    <row r="22" spans="1:9" ht="15.95" customHeight="1" x14ac:dyDescent="0.15">
      <c r="A22" s="482"/>
      <c r="B22" s="239"/>
      <c r="C22" s="247"/>
      <c r="D22" s="247"/>
      <c r="E22" s="252"/>
      <c r="F22" s="254"/>
      <c r="G22" s="254"/>
      <c r="H22" s="190">
        <f t="shared" si="0"/>
        <v>0</v>
      </c>
      <c r="I22" s="246"/>
    </row>
    <row r="23" spans="1:9" ht="15.95" customHeight="1" x14ac:dyDescent="0.15">
      <c r="A23" s="482"/>
      <c r="B23" s="239"/>
      <c r="C23" s="255" t="s">
        <v>177</v>
      </c>
      <c r="D23" s="255"/>
      <c r="E23" s="256" t="s">
        <v>178</v>
      </c>
      <c r="F23" s="257">
        <v>1</v>
      </c>
      <c r="G23" s="257"/>
      <c r="H23" s="278"/>
      <c r="I23" s="279"/>
    </row>
    <row r="24" spans="1:9" ht="15.95" customHeight="1" x14ac:dyDescent="0.15">
      <c r="A24" s="482"/>
      <c r="B24" s="259"/>
      <c r="C24" s="286"/>
      <c r="D24" s="286"/>
      <c r="E24" s="282"/>
      <c r="F24" s="284"/>
      <c r="G24" s="284"/>
      <c r="H24" s="285">
        <f>SUM(H3:H23)</f>
        <v>0</v>
      </c>
      <c r="I24" s="286"/>
    </row>
    <row r="25" spans="1:9" ht="15.95" customHeight="1" x14ac:dyDescent="0.15">
      <c r="A25" s="482"/>
      <c r="B25" s="239" t="s">
        <v>179</v>
      </c>
      <c r="C25" s="248"/>
      <c r="D25" s="248"/>
      <c r="E25" s="249"/>
      <c r="F25" s="251"/>
      <c r="G25" s="251"/>
      <c r="H25" s="244">
        <f t="shared" si="0"/>
        <v>0</v>
      </c>
      <c r="I25" s="245"/>
    </row>
    <row r="26" spans="1:9" ht="15.95" customHeight="1" x14ac:dyDescent="0.15">
      <c r="A26" s="482"/>
      <c r="B26" s="239" t="s">
        <v>180</v>
      </c>
      <c r="C26" s="247"/>
      <c r="D26" s="247"/>
      <c r="E26" s="252"/>
      <c r="F26" s="254"/>
      <c r="G26" s="254"/>
      <c r="H26" s="190">
        <f t="shared" si="0"/>
        <v>0</v>
      </c>
      <c r="I26" s="246"/>
    </row>
    <row r="27" spans="1:9" ht="15.95" customHeight="1" x14ac:dyDescent="0.15">
      <c r="A27" s="482"/>
      <c r="B27" s="239"/>
      <c r="C27" s="247"/>
      <c r="D27" s="247"/>
      <c r="E27" s="252"/>
      <c r="F27" s="254"/>
      <c r="G27" s="254"/>
      <c r="H27" s="190">
        <f t="shared" si="0"/>
        <v>0</v>
      </c>
      <c r="I27" s="246"/>
    </row>
    <row r="28" spans="1:9" ht="15.95" customHeight="1" x14ac:dyDescent="0.15">
      <c r="A28" s="482"/>
      <c r="B28" s="239"/>
      <c r="C28" s="247"/>
      <c r="D28" s="247"/>
      <c r="E28" s="252"/>
      <c r="F28" s="254"/>
      <c r="G28" s="254"/>
      <c r="H28" s="190">
        <f t="shared" si="0"/>
        <v>0</v>
      </c>
      <c r="I28" s="246"/>
    </row>
    <row r="29" spans="1:9" ht="15.95" customHeight="1" x14ac:dyDescent="0.15">
      <c r="A29" s="482"/>
      <c r="B29" s="239"/>
      <c r="C29" s="255" t="s">
        <v>181</v>
      </c>
      <c r="D29" s="255"/>
      <c r="E29" s="256"/>
      <c r="F29" s="257"/>
      <c r="G29" s="257"/>
      <c r="H29" s="190">
        <f t="shared" si="0"/>
        <v>0</v>
      </c>
      <c r="I29" s="258"/>
    </row>
    <row r="30" spans="1:9" ht="15.95" customHeight="1" x14ac:dyDescent="0.15">
      <c r="A30" s="482"/>
      <c r="B30" s="259"/>
      <c r="C30" s="260"/>
      <c r="D30" s="261"/>
      <c r="E30" s="236"/>
      <c r="F30" s="340"/>
      <c r="G30" s="263"/>
      <c r="H30" s="264">
        <f>SUM(H25:H29)</f>
        <v>0</v>
      </c>
      <c r="I30" s="265"/>
    </row>
    <row r="31" spans="1:9" ht="15.95" customHeight="1" x14ac:dyDescent="0.15">
      <c r="A31" s="482"/>
      <c r="B31" s="287" t="s">
        <v>182</v>
      </c>
      <c r="C31" s="351" t="s">
        <v>224</v>
      </c>
      <c r="D31" s="247" t="s">
        <v>225</v>
      </c>
      <c r="E31" s="352" t="s">
        <v>226</v>
      </c>
      <c r="F31" s="296">
        <v>1</v>
      </c>
      <c r="G31" s="297">
        <v>43800000</v>
      </c>
      <c r="H31" s="271">
        <v>43800000</v>
      </c>
      <c r="I31" s="272"/>
    </row>
    <row r="32" spans="1:9" ht="15.95" customHeight="1" x14ac:dyDescent="0.15">
      <c r="A32" s="482"/>
      <c r="B32" s="239" t="s">
        <v>183</v>
      </c>
      <c r="C32" s="351" t="s">
        <v>235</v>
      </c>
      <c r="D32" s="247"/>
      <c r="E32" s="352" t="s">
        <v>239</v>
      </c>
      <c r="F32" s="296">
        <v>2</v>
      </c>
      <c r="G32" s="297">
        <v>600000</v>
      </c>
      <c r="H32" s="190">
        <v>1200000</v>
      </c>
      <c r="I32" s="246"/>
    </row>
    <row r="33" spans="1:9" ht="15.95" customHeight="1" x14ac:dyDescent="0.15">
      <c r="A33" s="482"/>
      <c r="B33" s="239"/>
      <c r="C33" s="247" t="s">
        <v>236</v>
      </c>
      <c r="D33" s="247"/>
      <c r="E33" s="252" t="s">
        <v>240</v>
      </c>
      <c r="F33" s="353">
        <v>1</v>
      </c>
      <c r="G33" s="254">
        <v>490000</v>
      </c>
      <c r="H33" s="190">
        <f t="shared" si="0"/>
        <v>490000</v>
      </c>
      <c r="I33" s="246"/>
    </row>
    <row r="34" spans="1:9" ht="15.95" customHeight="1" x14ac:dyDescent="0.15">
      <c r="A34" s="482"/>
      <c r="B34" s="239"/>
      <c r="C34" s="247" t="s">
        <v>237</v>
      </c>
      <c r="D34" s="341"/>
      <c r="E34" s="252" t="s">
        <v>240</v>
      </c>
      <c r="F34" s="353">
        <v>1</v>
      </c>
      <c r="G34" s="254">
        <v>700000</v>
      </c>
      <c r="H34" s="190">
        <f t="shared" si="0"/>
        <v>700000</v>
      </c>
      <c r="I34" s="246"/>
    </row>
    <row r="35" spans="1:9" ht="15.95" customHeight="1" x14ac:dyDescent="0.15">
      <c r="A35" s="482"/>
      <c r="B35" s="239"/>
      <c r="C35" s="247" t="s">
        <v>238</v>
      </c>
      <c r="D35" s="341"/>
      <c r="E35" s="252" t="s">
        <v>241</v>
      </c>
      <c r="F35" s="353">
        <v>1</v>
      </c>
      <c r="G35" s="254">
        <v>350000</v>
      </c>
      <c r="H35" s="190">
        <f t="shared" si="0"/>
        <v>350000</v>
      </c>
      <c r="I35" s="246"/>
    </row>
    <row r="36" spans="1:9" ht="15.95" customHeight="1" x14ac:dyDescent="0.15">
      <c r="A36" s="482"/>
      <c r="B36" s="239"/>
      <c r="C36" s="247"/>
      <c r="D36" s="247"/>
      <c r="E36" s="252"/>
      <c r="F36" s="254"/>
      <c r="G36" s="254"/>
      <c r="H36" s="190">
        <f t="shared" si="0"/>
        <v>0</v>
      </c>
      <c r="I36" s="246"/>
    </row>
    <row r="37" spans="1:9" ht="15.95" customHeight="1" x14ac:dyDescent="0.15">
      <c r="A37" s="482"/>
      <c r="B37" s="239"/>
      <c r="C37" s="247"/>
      <c r="D37" s="247"/>
      <c r="E37" s="252"/>
      <c r="F37" s="254"/>
      <c r="G37" s="254"/>
      <c r="H37" s="190">
        <f t="shared" si="0"/>
        <v>0</v>
      </c>
      <c r="I37" s="246"/>
    </row>
    <row r="38" spans="1:9" ht="15.95" customHeight="1" x14ac:dyDescent="0.15">
      <c r="A38" s="482"/>
      <c r="B38" s="239"/>
      <c r="C38" s="247"/>
      <c r="D38" s="247"/>
      <c r="E38" s="252"/>
      <c r="F38" s="254"/>
      <c r="G38" s="254"/>
      <c r="H38" s="190">
        <f t="shared" si="0"/>
        <v>0</v>
      </c>
      <c r="I38" s="246"/>
    </row>
    <row r="39" spans="1:9" ht="15.95" customHeight="1" x14ac:dyDescent="0.15">
      <c r="A39" s="482"/>
      <c r="B39" s="239"/>
      <c r="C39" s="247"/>
      <c r="D39" s="247"/>
      <c r="E39" s="252"/>
      <c r="F39" s="254"/>
      <c r="G39" s="254"/>
      <c r="H39" s="190">
        <f t="shared" si="0"/>
        <v>0</v>
      </c>
      <c r="I39" s="246"/>
    </row>
    <row r="40" spans="1:9" ht="15.95" customHeight="1" x14ac:dyDescent="0.15">
      <c r="A40" s="482"/>
      <c r="B40" s="239"/>
      <c r="C40" s="247"/>
      <c r="D40" s="247"/>
      <c r="E40" s="252"/>
      <c r="F40" s="254"/>
      <c r="G40" s="254"/>
      <c r="H40" s="190">
        <f t="shared" si="0"/>
        <v>0</v>
      </c>
      <c r="I40" s="246"/>
    </row>
    <row r="41" spans="1:9" ht="15.95" customHeight="1" x14ac:dyDescent="0.15">
      <c r="A41" s="482"/>
      <c r="B41" s="239"/>
      <c r="C41" s="247"/>
      <c r="D41" s="247"/>
      <c r="E41" s="252"/>
      <c r="F41" s="254"/>
      <c r="G41" s="254"/>
      <c r="H41" s="190">
        <f t="shared" si="0"/>
        <v>0</v>
      </c>
      <c r="I41" s="246"/>
    </row>
    <row r="42" spans="1:9" ht="15.95" customHeight="1" x14ac:dyDescent="0.15">
      <c r="A42" s="482"/>
      <c r="B42" s="239"/>
      <c r="C42" s="247"/>
      <c r="D42" s="247"/>
      <c r="E42" s="252"/>
      <c r="F42" s="254"/>
      <c r="G42" s="254"/>
      <c r="H42" s="190">
        <f t="shared" si="0"/>
        <v>0</v>
      </c>
      <c r="I42" s="246"/>
    </row>
    <row r="43" spans="1:9" ht="15.95" customHeight="1" x14ac:dyDescent="0.15">
      <c r="A43" s="482"/>
      <c r="B43" s="239"/>
      <c r="C43" s="247"/>
      <c r="D43" s="247"/>
      <c r="E43" s="252"/>
      <c r="F43" s="254"/>
      <c r="G43" s="254"/>
      <c r="H43" s="190">
        <f t="shared" si="0"/>
        <v>0</v>
      </c>
      <c r="I43" s="246"/>
    </row>
    <row r="44" spans="1:9" ht="15.95" customHeight="1" x14ac:dyDescent="0.15">
      <c r="A44" s="482"/>
      <c r="B44" s="239"/>
      <c r="C44" s="247"/>
      <c r="D44" s="247"/>
      <c r="E44" s="249"/>
      <c r="F44" s="254"/>
      <c r="G44" s="254"/>
      <c r="H44" s="190"/>
      <c r="I44" s="246"/>
    </row>
    <row r="45" spans="1:9" ht="15.95" customHeight="1" x14ac:dyDescent="0.15">
      <c r="A45" s="482"/>
      <c r="B45" s="239"/>
      <c r="C45" s="255" t="s">
        <v>184</v>
      </c>
      <c r="D45" s="255"/>
      <c r="E45" s="256" t="s">
        <v>178</v>
      </c>
      <c r="F45" s="257"/>
      <c r="G45" s="257"/>
      <c r="H45" s="301">
        <f t="shared" si="0"/>
        <v>0</v>
      </c>
      <c r="I45" s="258"/>
    </row>
    <row r="46" spans="1:9" ht="15.95" customHeight="1" x14ac:dyDescent="0.15">
      <c r="A46" s="482"/>
      <c r="B46" s="259"/>
      <c r="C46" s="260"/>
      <c r="D46" s="261"/>
      <c r="E46" s="236"/>
      <c r="F46" s="263"/>
      <c r="G46" s="263"/>
      <c r="H46" s="264">
        <f>SUM(H31:H45)</f>
        <v>46540000</v>
      </c>
      <c r="I46" s="265"/>
    </row>
    <row r="47" spans="1:9" ht="15.95" customHeight="1" x14ac:dyDescent="0.15">
      <c r="A47" s="482"/>
      <c r="B47" s="287" t="s">
        <v>185</v>
      </c>
      <c r="C47" s="247" t="s">
        <v>227</v>
      </c>
      <c r="D47" s="247"/>
      <c r="E47" s="252" t="s">
        <v>242</v>
      </c>
      <c r="F47" s="353">
        <v>1</v>
      </c>
      <c r="G47" s="254">
        <v>1200000</v>
      </c>
      <c r="H47" s="271">
        <f t="shared" si="0"/>
        <v>1200000</v>
      </c>
      <c r="I47" s="272"/>
    </row>
    <row r="48" spans="1:9" ht="15.95" customHeight="1" x14ac:dyDescent="0.15">
      <c r="A48" s="482"/>
      <c r="B48" s="239"/>
      <c r="C48" s="247" t="s">
        <v>228</v>
      </c>
      <c r="D48" s="247"/>
      <c r="E48" s="252" t="s">
        <v>240</v>
      </c>
      <c r="F48" s="353">
        <v>1</v>
      </c>
      <c r="G48" s="254">
        <v>800000</v>
      </c>
      <c r="H48" s="190">
        <f t="shared" si="0"/>
        <v>800000</v>
      </c>
      <c r="I48" s="246"/>
    </row>
    <row r="49" spans="1:9" ht="15.95" customHeight="1" x14ac:dyDescent="0.15">
      <c r="A49" s="482"/>
      <c r="B49" s="239"/>
      <c r="C49" s="247" t="s">
        <v>230</v>
      </c>
      <c r="D49" s="247"/>
      <c r="E49" s="252" t="s">
        <v>240</v>
      </c>
      <c r="F49" s="353">
        <v>1</v>
      </c>
      <c r="G49" s="254">
        <v>400000</v>
      </c>
      <c r="H49" s="190">
        <f>IF(F49=0,G49,G49*F49)</f>
        <v>400000</v>
      </c>
      <c r="I49" s="246"/>
    </row>
    <row r="50" spans="1:9" ht="15.95" customHeight="1" x14ac:dyDescent="0.15">
      <c r="A50" s="482"/>
      <c r="B50" s="239"/>
      <c r="C50" s="247" t="s">
        <v>229</v>
      </c>
      <c r="D50" s="247"/>
      <c r="E50" s="252" t="s">
        <v>241</v>
      </c>
      <c r="F50" s="353">
        <v>1</v>
      </c>
      <c r="G50" s="254">
        <v>320000</v>
      </c>
      <c r="H50" s="190">
        <f>IF(F50=0,G50,G50*F50)</f>
        <v>320000</v>
      </c>
      <c r="I50" s="246"/>
    </row>
    <row r="51" spans="1:9" ht="15.95" customHeight="1" x14ac:dyDescent="0.15">
      <c r="A51" s="482"/>
      <c r="B51" s="239"/>
      <c r="C51" s="247" t="s">
        <v>231</v>
      </c>
      <c r="D51" s="247"/>
      <c r="E51" s="252" t="s">
        <v>241</v>
      </c>
      <c r="F51" s="353">
        <v>1</v>
      </c>
      <c r="G51" s="254">
        <v>380000</v>
      </c>
      <c r="H51" s="190">
        <f>IF(F51=0,G51,G51*F51)</f>
        <v>380000</v>
      </c>
      <c r="I51" s="246"/>
    </row>
    <row r="52" spans="1:9" ht="15.95" customHeight="1" x14ac:dyDescent="0.15">
      <c r="A52" s="482"/>
      <c r="B52" s="239"/>
      <c r="C52" s="247" t="s">
        <v>232</v>
      </c>
      <c r="D52" s="247"/>
      <c r="E52" s="252" t="s">
        <v>241</v>
      </c>
      <c r="F52" s="353">
        <v>1</v>
      </c>
      <c r="G52" s="254">
        <v>200000</v>
      </c>
      <c r="H52" s="190">
        <f t="shared" si="0"/>
        <v>200000</v>
      </c>
      <c r="I52" s="246"/>
    </row>
    <row r="53" spans="1:9" ht="15.95" customHeight="1" x14ac:dyDescent="0.15">
      <c r="A53" s="482"/>
      <c r="B53" s="239"/>
      <c r="C53" s="247" t="s">
        <v>233</v>
      </c>
      <c r="D53" s="247"/>
      <c r="E53" s="252" t="s">
        <v>241</v>
      </c>
      <c r="F53" s="353">
        <v>1</v>
      </c>
      <c r="G53" s="254">
        <v>80000</v>
      </c>
      <c r="H53" s="190">
        <f t="shared" si="0"/>
        <v>80000</v>
      </c>
      <c r="I53" s="246"/>
    </row>
    <row r="54" spans="1:9" ht="15.95" customHeight="1" x14ac:dyDescent="0.15">
      <c r="A54" s="482"/>
      <c r="B54" s="239"/>
      <c r="C54" s="247" t="s">
        <v>234</v>
      </c>
      <c r="D54" s="247"/>
      <c r="E54" s="252" t="s">
        <v>241</v>
      </c>
      <c r="F54" s="353">
        <v>1</v>
      </c>
      <c r="G54" s="254">
        <v>620000</v>
      </c>
      <c r="H54" s="190">
        <f t="shared" si="0"/>
        <v>620000</v>
      </c>
      <c r="I54" s="246"/>
    </row>
    <row r="55" spans="1:9" ht="15.95" customHeight="1" x14ac:dyDescent="0.15">
      <c r="A55" s="482"/>
      <c r="B55" s="239"/>
      <c r="C55" s="247" t="s">
        <v>243</v>
      </c>
      <c r="D55" s="247"/>
      <c r="E55" s="252" t="s">
        <v>244</v>
      </c>
      <c r="F55" s="254">
        <v>1</v>
      </c>
      <c r="G55" s="254">
        <v>7000000</v>
      </c>
      <c r="H55" s="190">
        <f t="shared" si="0"/>
        <v>7000000</v>
      </c>
      <c r="I55" s="246"/>
    </row>
    <row r="56" spans="1:9" ht="15.95" customHeight="1" x14ac:dyDescent="0.15">
      <c r="A56" s="482"/>
      <c r="B56" s="239"/>
      <c r="C56" s="255" t="s">
        <v>181</v>
      </c>
      <c r="D56" s="255"/>
      <c r="E56" s="256"/>
      <c r="F56" s="257"/>
      <c r="G56" s="257"/>
      <c r="H56" s="301">
        <f t="shared" si="0"/>
        <v>0</v>
      </c>
      <c r="I56" s="258"/>
    </row>
    <row r="57" spans="1:9" ht="15.95" customHeight="1" x14ac:dyDescent="0.15">
      <c r="A57" s="482"/>
      <c r="B57" s="259"/>
      <c r="C57" s="260"/>
      <c r="D57" s="261"/>
      <c r="E57" s="236"/>
      <c r="F57" s="263"/>
      <c r="G57" s="263"/>
      <c r="H57" s="264">
        <f>SUM(H47:H56)</f>
        <v>11000000</v>
      </c>
      <c r="I57" s="265"/>
    </row>
    <row r="58" spans="1:9" ht="15.95" customHeight="1" x14ac:dyDescent="0.15">
      <c r="A58" s="309"/>
      <c r="B58" s="310" t="s">
        <v>186</v>
      </c>
      <c r="C58" s="311"/>
      <c r="D58" s="265"/>
      <c r="E58" s="237"/>
      <c r="F58" s="313"/>
      <c r="G58" s="313"/>
      <c r="H58" s="264">
        <f>H46+H57</f>
        <v>57540000</v>
      </c>
      <c r="I58" s="265"/>
    </row>
    <row r="59" spans="1:9" ht="15.95" customHeight="1" x14ac:dyDescent="0.15">
      <c r="A59" s="481" t="s">
        <v>187</v>
      </c>
      <c r="B59" s="314" t="s">
        <v>188</v>
      </c>
      <c r="C59" s="311"/>
      <c r="D59" s="315"/>
      <c r="E59" s="342" t="s">
        <v>189</v>
      </c>
      <c r="F59" s="317">
        <v>1</v>
      </c>
      <c r="G59" s="318">
        <v>400000</v>
      </c>
      <c r="H59" s="319">
        <f>F59*G59</f>
        <v>400000</v>
      </c>
      <c r="I59" s="265" t="s">
        <v>222</v>
      </c>
    </row>
    <row r="60" spans="1:9" ht="15.95" customHeight="1" x14ac:dyDescent="0.15">
      <c r="A60" s="482"/>
      <c r="B60" s="320" t="s">
        <v>190</v>
      </c>
      <c r="C60" s="321"/>
      <c r="D60" s="322"/>
      <c r="E60" s="343" t="s">
        <v>154</v>
      </c>
      <c r="F60" s="324">
        <v>1</v>
      </c>
      <c r="G60" s="318">
        <v>1000000</v>
      </c>
      <c r="H60" s="271">
        <f t="shared" ref="H60:H66" si="1">F60*G60</f>
        <v>1000000</v>
      </c>
      <c r="I60" s="272"/>
    </row>
    <row r="61" spans="1:9" ht="15.95" customHeight="1" x14ac:dyDescent="0.15">
      <c r="A61" s="482"/>
      <c r="B61" s="325" t="s">
        <v>191</v>
      </c>
      <c r="C61" s="326"/>
      <c r="D61" s="327"/>
      <c r="E61" s="344" t="s">
        <v>154</v>
      </c>
      <c r="F61" s="299">
        <v>2</v>
      </c>
      <c r="G61" s="318">
        <v>400000</v>
      </c>
      <c r="H61" s="345">
        <f t="shared" si="1"/>
        <v>800000</v>
      </c>
      <c r="I61" s="246"/>
    </row>
    <row r="62" spans="1:9" ht="15.95" customHeight="1" x14ac:dyDescent="0.15">
      <c r="A62" s="482"/>
      <c r="B62" s="325" t="s">
        <v>192</v>
      </c>
      <c r="C62" s="326"/>
      <c r="D62" s="327"/>
      <c r="E62" s="344" t="s">
        <v>154</v>
      </c>
      <c r="F62" s="299">
        <v>2</v>
      </c>
      <c r="G62" s="318">
        <v>400000</v>
      </c>
      <c r="H62" s="190">
        <f t="shared" si="1"/>
        <v>800000</v>
      </c>
      <c r="I62" s="246"/>
    </row>
    <row r="63" spans="1:9" ht="15.95" customHeight="1" x14ac:dyDescent="0.15">
      <c r="A63" s="482"/>
      <c r="B63" s="325" t="s">
        <v>193</v>
      </c>
      <c r="C63" s="326"/>
      <c r="D63" s="327"/>
      <c r="E63" s="344" t="s">
        <v>154</v>
      </c>
      <c r="F63" s="299">
        <v>4</v>
      </c>
      <c r="G63" s="318">
        <v>400000</v>
      </c>
      <c r="H63" s="190">
        <f t="shared" si="1"/>
        <v>1600000</v>
      </c>
      <c r="I63" s="246"/>
    </row>
    <row r="64" spans="1:9" ht="15.95" customHeight="1" x14ac:dyDescent="0.15">
      <c r="A64" s="482"/>
      <c r="B64" s="325" t="s">
        <v>194</v>
      </c>
      <c r="C64" s="326"/>
      <c r="D64" s="327"/>
      <c r="E64" s="344" t="s">
        <v>154</v>
      </c>
      <c r="F64" s="254">
        <v>4</v>
      </c>
      <c r="G64" s="318">
        <v>400000</v>
      </c>
      <c r="H64" s="190">
        <f t="shared" si="1"/>
        <v>1600000</v>
      </c>
      <c r="I64" s="246"/>
    </row>
    <row r="65" spans="1:9" ht="15.95" customHeight="1" x14ac:dyDescent="0.15">
      <c r="A65" s="482"/>
      <c r="B65" s="325" t="s">
        <v>195</v>
      </c>
      <c r="C65" s="326"/>
      <c r="D65" s="327"/>
      <c r="E65" s="344" t="s">
        <v>189</v>
      </c>
      <c r="F65" s="299">
        <v>14</v>
      </c>
      <c r="G65" s="318">
        <v>400000</v>
      </c>
      <c r="H65" s="190">
        <f t="shared" si="1"/>
        <v>5600000</v>
      </c>
      <c r="I65" s="246"/>
    </row>
    <row r="66" spans="1:9" ht="15.95" customHeight="1" x14ac:dyDescent="0.15">
      <c r="A66" s="482"/>
      <c r="B66" s="328" t="s">
        <v>196</v>
      </c>
      <c r="C66" s="329"/>
      <c r="D66" s="330"/>
      <c r="E66" s="346" t="s">
        <v>178</v>
      </c>
      <c r="F66" s="257"/>
      <c r="G66" s="318">
        <v>400000</v>
      </c>
      <c r="H66" s="301">
        <f t="shared" si="1"/>
        <v>0</v>
      </c>
      <c r="I66" s="258"/>
    </row>
    <row r="67" spans="1:9" ht="15.95" customHeight="1" x14ac:dyDescent="0.15">
      <c r="A67" s="309"/>
      <c r="B67" s="332" t="s">
        <v>197</v>
      </c>
      <c r="C67" s="311"/>
      <c r="D67" s="265"/>
      <c r="E67" s="237"/>
      <c r="F67" s="263"/>
      <c r="G67" s="263"/>
      <c r="H67" s="263">
        <f>SUM(H59:H66)</f>
        <v>11800000</v>
      </c>
      <c r="I67" s="261"/>
    </row>
    <row r="68" spans="1:9" ht="15.95" customHeight="1" x14ac:dyDescent="0.15">
      <c r="A68" s="333"/>
      <c r="B68" s="332" t="s">
        <v>198</v>
      </c>
      <c r="C68" s="311"/>
      <c r="D68" s="265"/>
      <c r="E68" s="237"/>
      <c r="F68" s="264"/>
      <c r="G68" s="264"/>
      <c r="H68" s="313">
        <v>1000000</v>
      </c>
      <c r="I68" s="265"/>
    </row>
    <row r="69" spans="1:9" ht="15.95" customHeight="1" x14ac:dyDescent="0.15">
      <c r="A69" s="333"/>
      <c r="B69" s="332" t="s">
        <v>199</v>
      </c>
      <c r="C69" s="311"/>
      <c r="D69" s="265"/>
      <c r="E69" s="237"/>
      <c r="F69" s="264"/>
      <c r="G69" s="334"/>
      <c r="H69" s="318">
        <v>1200000</v>
      </c>
      <c r="I69" s="311"/>
    </row>
    <row r="70" spans="1:9" ht="15.95" customHeight="1" x14ac:dyDescent="0.15">
      <c r="A70" s="333"/>
      <c r="B70" s="332" t="s">
        <v>200</v>
      </c>
      <c r="C70" s="311"/>
      <c r="D70" s="265"/>
      <c r="E70" s="237"/>
      <c r="F70" s="264"/>
      <c r="G70" s="334"/>
      <c r="H70" s="318">
        <v>1000000</v>
      </c>
      <c r="I70" s="311"/>
    </row>
    <row r="71" spans="1:9" ht="15.95" customHeight="1" x14ac:dyDescent="0.15">
      <c r="A71" s="333"/>
      <c r="B71" s="332" t="s">
        <v>201</v>
      </c>
      <c r="C71" s="311"/>
      <c r="D71" s="265"/>
      <c r="E71" s="237"/>
      <c r="F71" s="264"/>
      <c r="G71" s="264"/>
      <c r="H71" s="263">
        <f>H58+H67+H68+H69+H70</f>
        <v>72540000</v>
      </c>
      <c r="I71" s="265"/>
    </row>
    <row r="72" spans="1:9" x14ac:dyDescent="0.15">
      <c r="A72" s="157"/>
    </row>
  </sheetData>
  <mergeCells count="3">
    <mergeCell ref="A2:B2"/>
    <mergeCell ref="A3:A57"/>
    <mergeCell ref="A59:A6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7" orientation="portrait" horizontalDpi="4294967292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  <pageSetUpPr fitToPage="1"/>
  </sheetPr>
  <dimension ref="A1:I67"/>
  <sheetViews>
    <sheetView view="pageBreakPreview" zoomScale="60" zoomScaleNormal="85" workbookViewId="0">
      <pane xSplit="3" ySplit="2" topLeftCell="D3" activePane="bottomRight" state="frozen"/>
      <selection activeCell="L14" sqref="L14"/>
      <selection pane="topRight" activeCell="L14" sqref="L14"/>
      <selection pane="bottomLeft" activeCell="L14" sqref="L14"/>
      <selection pane="bottomRight" activeCell="F43" sqref="F43"/>
    </sheetView>
  </sheetViews>
  <sheetFormatPr defaultColWidth="9" defaultRowHeight="13.5" x14ac:dyDescent="0.15"/>
  <cols>
    <col min="1" max="1" width="5" style="139" customWidth="1"/>
    <col min="2" max="2" width="13" style="139" customWidth="1"/>
    <col min="3" max="3" width="23.625" style="139" customWidth="1"/>
    <col min="4" max="4" width="18.25" style="139" customWidth="1"/>
    <col min="5" max="5" width="5.25" style="157" bestFit="1" customWidth="1"/>
    <col min="6" max="6" width="6.75" style="335" customWidth="1"/>
    <col min="7" max="7" width="11.875" style="179" customWidth="1"/>
    <col min="8" max="8" width="13.625" style="179" customWidth="1"/>
    <col min="9" max="9" width="12.75" style="139" customWidth="1"/>
    <col min="10" max="10" width="9.25" style="139" customWidth="1"/>
    <col min="11" max="16384" width="9" style="139"/>
  </cols>
  <sheetData>
    <row r="1" spans="1:9" ht="22.5" customHeight="1" x14ac:dyDescent="0.15">
      <c r="B1" s="231" t="s">
        <v>126</v>
      </c>
      <c r="C1" s="232" t="s">
        <v>127</v>
      </c>
      <c r="D1" s="233"/>
      <c r="E1" s="234"/>
      <c r="F1" s="235"/>
      <c r="G1" s="193"/>
      <c r="I1" s="139" t="s">
        <v>128</v>
      </c>
    </row>
    <row r="2" spans="1:9" s="157" customFormat="1" ht="16.5" customHeight="1" x14ac:dyDescent="0.15">
      <c r="A2" s="396" t="s">
        <v>129</v>
      </c>
      <c r="B2" s="480"/>
      <c r="C2" s="236" t="s">
        <v>130</v>
      </c>
      <c r="D2" s="237" t="s">
        <v>131</v>
      </c>
      <c r="E2" s="237" t="s">
        <v>132</v>
      </c>
      <c r="F2" s="238" t="s">
        <v>133</v>
      </c>
      <c r="G2" s="238" t="s">
        <v>134</v>
      </c>
      <c r="H2" s="238" t="s">
        <v>135</v>
      </c>
      <c r="I2" s="237" t="s">
        <v>136</v>
      </c>
    </row>
    <row r="3" spans="1:9" ht="15.95" customHeight="1" x14ac:dyDescent="0.15">
      <c r="A3" s="481" t="s">
        <v>137</v>
      </c>
      <c r="B3" s="239" t="s">
        <v>138</v>
      </c>
      <c r="C3" s="240"/>
      <c r="D3" s="241"/>
      <c r="E3" s="242"/>
      <c r="F3" s="243"/>
      <c r="G3" s="243"/>
      <c r="H3" s="244">
        <f t="shared" ref="H3:H8" si="0">IF(F3=0,G3,G3*F3)</f>
        <v>0</v>
      </c>
      <c r="I3" s="245"/>
    </row>
    <row r="4" spans="1:9" ht="15.95" customHeight="1" x14ac:dyDescent="0.15">
      <c r="A4" s="483"/>
      <c r="B4" s="239"/>
      <c r="C4" s="240"/>
      <c r="D4" s="241"/>
      <c r="E4" s="242"/>
      <c r="F4" s="243"/>
      <c r="G4" s="243"/>
      <c r="H4" s="190">
        <f t="shared" si="0"/>
        <v>0</v>
      </c>
      <c r="I4" s="246"/>
    </row>
    <row r="5" spans="1:9" ht="15.95" customHeight="1" x14ac:dyDescent="0.15">
      <c r="A5" s="483"/>
      <c r="B5" s="239"/>
      <c r="C5" s="247"/>
      <c r="D5" s="248"/>
      <c r="E5" s="249"/>
      <c r="F5" s="250"/>
      <c r="G5" s="251"/>
      <c r="H5" s="190">
        <f t="shared" si="0"/>
        <v>0</v>
      </c>
      <c r="I5" s="246"/>
    </row>
    <row r="6" spans="1:9" ht="15.95" customHeight="1" x14ac:dyDescent="0.15">
      <c r="A6" s="483"/>
      <c r="B6" s="239"/>
      <c r="C6" s="247"/>
      <c r="D6" s="248"/>
      <c r="E6" s="249"/>
      <c r="F6" s="250"/>
      <c r="G6" s="251"/>
      <c r="H6" s="190">
        <f t="shared" si="0"/>
        <v>0</v>
      </c>
      <c r="I6" s="246"/>
    </row>
    <row r="7" spans="1:9" ht="15.95" customHeight="1" x14ac:dyDescent="0.15">
      <c r="A7" s="483"/>
      <c r="B7" s="239"/>
      <c r="C7" s="247"/>
      <c r="D7" s="247"/>
      <c r="E7" s="252"/>
      <c r="F7" s="253"/>
      <c r="G7" s="254"/>
      <c r="H7" s="190">
        <f t="shared" si="0"/>
        <v>0</v>
      </c>
      <c r="I7" s="246"/>
    </row>
    <row r="8" spans="1:9" ht="15.95" customHeight="1" x14ac:dyDescent="0.15">
      <c r="A8" s="483"/>
      <c r="B8" s="239"/>
      <c r="C8" s="255"/>
      <c r="D8" s="255"/>
      <c r="E8" s="256"/>
      <c r="F8" s="257"/>
      <c r="G8" s="257"/>
      <c r="H8" s="190">
        <f t="shared" si="0"/>
        <v>0</v>
      </c>
      <c r="I8" s="258"/>
    </row>
    <row r="9" spans="1:9" ht="15.95" customHeight="1" x14ac:dyDescent="0.15">
      <c r="A9" s="483"/>
      <c r="B9" s="259"/>
      <c r="C9" s="260"/>
      <c r="D9" s="261"/>
      <c r="E9" s="236"/>
      <c r="F9" s="262"/>
      <c r="G9" s="263"/>
      <c r="H9" s="264">
        <f>SUM(H3:H8)</f>
        <v>0</v>
      </c>
      <c r="I9" s="265"/>
    </row>
    <row r="10" spans="1:9" ht="15.95" customHeight="1" x14ac:dyDescent="0.15">
      <c r="A10" s="483"/>
      <c r="B10" s="266" t="s">
        <v>139</v>
      </c>
      <c r="C10" s="267"/>
      <c r="D10" s="267"/>
      <c r="E10" s="268"/>
      <c r="F10" s="269"/>
      <c r="G10" s="270"/>
      <c r="H10" s="271">
        <f t="shared" ref="H10:H52" si="1">IF(F10=0,G10,G10*F10)</f>
        <v>0</v>
      </c>
      <c r="I10" s="272"/>
    </row>
    <row r="11" spans="1:9" ht="15.95" customHeight="1" x14ac:dyDescent="0.15">
      <c r="A11" s="483"/>
      <c r="B11" s="273" t="s">
        <v>140</v>
      </c>
      <c r="C11" s="247"/>
      <c r="D11" s="247"/>
      <c r="E11" s="252"/>
      <c r="F11" s="253"/>
      <c r="G11" s="254"/>
      <c r="H11" s="190">
        <f t="shared" si="1"/>
        <v>0</v>
      </c>
      <c r="I11" s="246"/>
    </row>
    <row r="12" spans="1:9" ht="15.95" customHeight="1" x14ac:dyDescent="0.15">
      <c r="A12" s="483"/>
      <c r="B12" s="273" t="s">
        <v>141</v>
      </c>
      <c r="C12" s="247"/>
      <c r="D12" s="247"/>
      <c r="E12" s="252"/>
      <c r="F12" s="253"/>
      <c r="G12" s="254"/>
      <c r="H12" s="190">
        <f t="shared" si="1"/>
        <v>0</v>
      </c>
      <c r="I12" s="246"/>
    </row>
    <row r="13" spans="1:9" ht="15.95" customHeight="1" x14ac:dyDescent="0.15">
      <c r="A13" s="483"/>
      <c r="B13" s="239"/>
      <c r="C13" s="247"/>
      <c r="D13" s="247"/>
      <c r="E13" s="252"/>
      <c r="F13" s="253"/>
      <c r="G13" s="254"/>
      <c r="H13" s="190">
        <f t="shared" si="1"/>
        <v>0</v>
      </c>
      <c r="I13" s="246"/>
    </row>
    <row r="14" spans="1:9" ht="15.95" customHeight="1" x14ac:dyDescent="0.15">
      <c r="A14" s="483"/>
      <c r="B14" s="239"/>
      <c r="C14" s="247"/>
      <c r="D14" s="247"/>
      <c r="E14" s="252"/>
      <c r="F14" s="253"/>
      <c r="G14" s="254"/>
      <c r="H14" s="190">
        <f t="shared" si="1"/>
        <v>0</v>
      </c>
      <c r="I14" s="246"/>
    </row>
    <row r="15" spans="1:9" ht="15.95" customHeight="1" x14ac:dyDescent="0.15">
      <c r="A15" s="483"/>
      <c r="B15" s="239" t="s">
        <v>142</v>
      </c>
      <c r="C15" s="255" t="s">
        <v>143</v>
      </c>
      <c r="D15" s="274"/>
      <c r="E15" s="275"/>
      <c r="F15" s="276"/>
      <c r="G15" s="277"/>
      <c r="H15" s="278">
        <f t="shared" si="1"/>
        <v>0</v>
      </c>
      <c r="I15" s="279"/>
    </row>
    <row r="16" spans="1:9" ht="15.95" customHeight="1" x14ac:dyDescent="0.15">
      <c r="A16" s="483"/>
      <c r="B16" s="239"/>
      <c r="C16" s="280"/>
      <c r="D16" s="281"/>
      <c r="E16" s="282"/>
      <c r="F16" s="283"/>
      <c r="G16" s="284"/>
      <c r="H16" s="285">
        <f>SUM(H10:H15)</f>
        <v>0</v>
      </c>
      <c r="I16" s="286"/>
    </row>
    <row r="17" spans="1:9" ht="15.95" customHeight="1" x14ac:dyDescent="0.15">
      <c r="A17" s="483"/>
      <c r="B17" s="287" t="s">
        <v>144</v>
      </c>
      <c r="C17" s="288"/>
      <c r="D17" s="289"/>
      <c r="E17" s="290"/>
      <c r="F17" s="291"/>
      <c r="G17" s="292"/>
      <c r="H17" s="271">
        <f>IF(F17=0,G17,G17*F17)</f>
        <v>0</v>
      </c>
      <c r="I17" s="272"/>
    </row>
    <row r="18" spans="1:9" ht="15.95" customHeight="1" x14ac:dyDescent="0.15">
      <c r="A18" s="483"/>
      <c r="B18" s="239"/>
      <c r="C18" s="288"/>
      <c r="D18" s="240"/>
      <c r="E18" s="290"/>
      <c r="F18" s="293"/>
      <c r="G18" s="292"/>
      <c r="H18" s="190">
        <f t="shared" si="1"/>
        <v>0</v>
      </c>
      <c r="I18" s="246"/>
    </row>
    <row r="19" spans="1:9" ht="15.95" customHeight="1" x14ac:dyDescent="0.15">
      <c r="A19" s="483"/>
      <c r="B19" s="239"/>
      <c r="C19" s="294"/>
      <c r="D19" s="247"/>
      <c r="E19" s="295"/>
      <c r="F19" s="296"/>
      <c r="G19" s="297"/>
      <c r="H19" s="190">
        <f t="shared" si="1"/>
        <v>0</v>
      </c>
      <c r="I19" s="246"/>
    </row>
    <row r="20" spans="1:9" ht="15.95" customHeight="1" x14ac:dyDescent="0.15">
      <c r="A20" s="483"/>
      <c r="B20" s="239"/>
      <c r="C20" s="294"/>
      <c r="D20" s="247"/>
      <c r="E20" s="295"/>
      <c r="F20" s="296"/>
      <c r="G20" s="297"/>
      <c r="H20" s="190">
        <f t="shared" si="1"/>
        <v>0</v>
      </c>
      <c r="I20" s="246"/>
    </row>
    <row r="21" spans="1:9" ht="15.95" customHeight="1" x14ac:dyDescent="0.15">
      <c r="A21" s="483"/>
      <c r="B21" s="239"/>
      <c r="C21" s="288"/>
      <c r="D21" s="240"/>
      <c r="E21" s="290"/>
      <c r="F21" s="293"/>
      <c r="G21" s="292"/>
      <c r="H21" s="190">
        <f t="shared" si="1"/>
        <v>0</v>
      </c>
      <c r="I21" s="246"/>
    </row>
    <row r="22" spans="1:9" ht="15.95" customHeight="1" x14ac:dyDescent="0.15">
      <c r="A22" s="483"/>
      <c r="B22" s="239"/>
      <c r="C22" s="288"/>
      <c r="D22" s="240"/>
      <c r="E22" s="290"/>
      <c r="F22" s="293"/>
      <c r="G22" s="292"/>
      <c r="H22" s="190">
        <f t="shared" si="1"/>
        <v>0</v>
      </c>
      <c r="I22" s="246"/>
    </row>
    <row r="23" spans="1:9" ht="15.95" customHeight="1" x14ac:dyDescent="0.15">
      <c r="A23" s="483"/>
      <c r="B23" s="239"/>
      <c r="C23" s="288"/>
      <c r="D23" s="240"/>
      <c r="E23" s="290"/>
      <c r="F23" s="293"/>
      <c r="G23" s="292"/>
      <c r="H23" s="190">
        <f t="shared" si="1"/>
        <v>0</v>
      </c>
      <c r="I23" s="246"/>
    </row>
    <row r="24" spans="1:9" ht="15.95" customHeight="1" x14ac:dyDescent="0.15">
      <c r="A24" s="483"/>
      <c r="B24" s="239"/>
      <c r="C24" s="240"/>
      <c r="D24" s="240"/>
      <c r="E24" s="298"/>
      <c r="F24" s="293"/>
      <c r="G24" s="299"/>
      <c r="H24" s="190">
        <f t="shared" si="1"/>
        <v>0</v>
      </c>
      <c r="I24" s="246"/>
    </row>
    <row r="25" spans="1:9" ht="15.95" customHeight="1" x14ac:dyDescent="0.15">
      <c r="A25" s="483"/>
      <c r="B25" s="239"/>
      <c r="C25" s="240"/>
      <c r="D25" s="240"/>
      <c r="E25" s="298"/>
      <c r="F25" s="293"/>
      <c r="G25" s="299"/>
      <c r="H25" s="190">
        <f t="shared" si="1"/>
        <v>0</v>
      </c>
      <c r="I25" s="246"/>
    </row>
    <row r="26" spans="1:9" ht="15.95" customHeight="1" x14ac:dyDescent="0.15">
      <c r="A26" s="483"/>
      <c r="B26" s="239"/>
      <c r="C26" s="240"/>
      <c r="D26" s="240"/>
      <c r="E26" s="298"/>
      <c r="F26" s="299"/>
      <c r="G26" s="299"/>
      <c r="H26" s="190">
        <f t="shared" si="1"/>
        <v>0</v>
      </c>
      <c r="I26" s="246"/>
    </row>
    <row r="27" spans="1:9" ht="15.95" customHeight="1" x14ac:dyDescent="0.15">
      <c r="A27" s="483"/>
      <c r="B27" s="239"/>
      <c r="C27" s="294"/>
      <c r="D27" s="247"/>
      <c r="E27" s="300"/>
      <c r="F27" s="296"/>
      <c r="G27" s="297"/>
      <c r="H27" s="190">
        <f t="shared" si="1"/>
        <v>0</v>
      </c>
      <c r="I27" s="246"/>
    </row>
    <row r="28" spans="1:9" ht="15.95" customHeight="1" x14ac:dyDescent="0.15">
      <c r="A28" s="483"/>
      <c r="B28" s="239"/>
      <c r="C28" s="247"/>
      <c r="D28" s="247"/>
      <c r="E28" s="252"/>
      <c r="F28" s="254"/>
      <c r="G28" s="254"/>
      <c r="H28" s="190">
        <f t="shared" si="1"/>
        <v>0</v>
      </c>
      <c r="I28" s="246"/>
    </row>
    <row r="29" spans="1:9" ht="15.95" customHeight="1" x14ac:dyDescent="0.15">
      <c r="A29" s="483"/>
      <c r="B29" s="239"/>
      <c r="C29" s="247"/>
      <c r="D29" s="247"/>
      <c r="E29" s="252"/>
      <c r="F29" s="254"/>
      <c r="G29" s="254"/>
      <c r="H29" s="190">
        <f t="shared" si="1"/>
        <v>0</v>
      </c>
      <c r="I29" s="246"/>
    </row>
    <row r="30" spans="1:9" ht="15.95" customHeight="1" x14ac:dyDescent="0.15">
      <c r="A30" s="483"/>
      <c r="B30" s="239"/>
      <c r="C30" s="247"/>
      <c r="D30" s="247"/>
      <c r="E30" s="252"/>
      <c r="F30" s="253"/>
      <c r="G30" s="254"/>
      <c r="H30" s="190">
        <f t="shared" si="1"/>
        <v>0</v>
      </c>
      <c r="I30" s="246"/>
    </row>
    <row r="31" spans="1:9" ht="15.95" customHeight="1" x14ac:dyDescent="0.15">
      <c r="A31" s="483"/>
      <c r="B31" s="239"/>
      <c r="C31" s="247"/>
      <c r="D31" s="247"/>
      <c r="E31" s="252"/>
      <c r="F31" s="253"/>
      <c r="G31" s="254"/>
      <c r="H31" s="190">
        <f t="shared" si="1"/>
        <v>0</v>
      </c>
      <c r="I31" s="246"/>
    </row>
    <row r="32" spans="1:9" ht="15.95" customHeight="1" x14ac:dyDescent="0.15">
      <c r="A32" s="483"/>
      <c r="B32" s="239"/>
      <c r="C32" s="247"/>
      <c r="D32" s="247"/>
      <c r="E32" s="252"/>
      <c r="F32" s="253"/>
      <c r="G32" s="254"/>
      <c r="H32" s="190">
        <f t="shared" si="1"/>
        <v>0</v>
      </c>
      <c r="I32" s="246"/>
    </row>
    <row r="33" spans="1:9" ht="15.95" customHeight="1" x14ac:dyDescent="0.15">
      <c r="A33" s="483"/>
      <c r="B33" s="239"/>
      <c r="C33" s="247"/>
      <c r="D33" s="247"/>
      <c r="E33" s="252"/>
      <c r="F33" s="253"/>
      <c r="G33" s="254"/>
      <c r="H33" s="190">
        <f t="shared" si="1"/>
        <v>0</v>
      </c>
      <c r="I33" s="246"/>
    </row>
    <row r="34" spans="1:9" ht="15.95" customHeight="1" x14ac:dyDescent="0.15">
      <c r="A34" s="483"/>
      <c r="B34" s="239"/>
      <c r="C34" s="247"/>
      <c r="D34" s="247"/>
      <c r="E34" s="252"/>
      <c r="F34" s="253"/>
      <c r="G34" s="254"/>
      <c r="H34" s="190">
        <f t="shared" si="1"/>
        <v>0</v>
      </c>
      <c r="I34" s="246"/>
    </row>
    <row r="35" spans="1:9" ht="15.95" customHeight="1" x14ac:dyDescent="0.15">
      <c r="A35" s="483"/>
      <c r="B35" s="239"/>
      <c r="C35" s="247"/>
      <c r="D35" s="247"/>
      <c r="E35" s="252"/>
      <c r="F35" s="253"/>
      <c r="G35" s="254"/>
      <c r="H35" s="190">
        <f t="shared" si="1"/>
        <v>0</v>
      </c>
      <c r="I35" s="246"/>
    </row>
    <row r="36" spans="1:9" ht="15.95" customHeight="1" x14ac:dyDescent="0.15">
      <c r="A36" s="483"/>
      <c r="B36" s="239"/>
      <c r="C36" s="247"/>
      <c r="D36" s="247"/>
      <c r="E36" s="252"/>
      <c r="F36" s="253"/>
      <c r="G36" s="254"/>
      <c r="H36" s="190">
        <f t="shared" si="1"/>
        <v>0</v>
      </c>
      <c r="I36" s="246"/>
    </row>
    <row r="37" spans="1:9" ht="15.95" customHeight="1" x14ac:dyDescent="0.15">
      <c r="A37" s="483"/>
      <c r="B37" s="239"/>
      <c r="C37" s="247"/>
      <c r="D37" s="247"/>
      <c r="E37" s="252"/>
      <c r="F37" s="253"/>
      <c r="G37" s="254"/>
      <c r="H37" s="190">
        <f t="shared" si="1"/>
        <v>0</v>
      </c>
      <c r="I37" s="246"/>
    </row>
    <row r="38" spans="1:9" ht="15.95" customHeight="1" x14ac:dyDescent="0.15">
      <c r="A38" s="483"/>
      <c r="B38" s="239"/>
      <c r="C38" s="247"/>
      <c r="D38" s="247"/>
      <c r="E38" s="252"/>
      <c r="F38" s="253"/>
      <c r="G38" s="254"/>
      <c r="H38" s="190">
        <f t="shared" si="1"/>
        <v>0</v>
      </c>
      <c r="I38" s="246"/>
    </row>
    <row r="39" spans="1:9" ht="15.95" customHeight="1" x14ac:dyDescent="0.15">
      <c r="A39" s="483"/>
      <c r="B39" s="239"/>
      <c r="C39" s="247"/>
      <c r="D39" s="247"/>
      <c r="E39" s="252"/>
      <c r="F39" s="253"/>
      <c r="G39" s="254"/>
      <c r="H39" s="190">
        <f t="shared" si="1"/>
        <v>0</v>
      </c>
      <c r="I39" s="246"/>
    </row>
    <row r="40" spans="1:9" ht="15.95" customHeight="1" x14ac:dyDescent="0.15">
      <c r="A40" s="483"/>
      <c r="B40" s="239"/>
      <c r="C40" s="247"/>
      <c r="D40" s="247"/>
      <c r="E40" s="249"/>
      <c r="F40" s="254"/>
      <c r="G40" s="254"/>
      <c r="H40" s="190">
        <f t="shared" si="1"/>
        <v>0</v>
      </c>
      <c r="I40" s="246"/>
    </row>
    <row r="41" spans="1:9" ht="15.95" customHeight="1" x14ac:dyDescent="0.15">
      <c r="A41" s="483"/>
      <c r="B41" s="239"/>
      <c r="C41" s="255"/>
      <c r="D41" s="255"/>
      <c r="E41" s="256"/>
      <c r="F41" s="257"/>
      <c r="G41" s="257"/>
      <c r="H41" s="301">
        <f t="shared" si="1"/>
        <v>0</v>
      </c>
      <c r="I41" s="258"/>
    </row>
    <row r="42" spans="1:9" ht="15.95" customHeight="1" x14ac:dyDescent="0.15">
      <c r="A42" s="483"/>
      <c r="B42" s="239"/>
      <c r="C42" s="302"/>
      <c r="D42" s="248"/>
      <c r="E42" s="249"/>
      <c r="F42" s="303"/>
      <c r="G42" s="251"/>
      <c r="H42" s="304">
        <f>SUM(H17:H41)</f>
        <v>0</v>
      </c>
      <c r="I42" s="305"/>
    </row>
    <row r="43" spans="1:9" ht="15.95" customHeight="1" x14ac:dyDescent="0.15">
      <c r="A43" s="483"/>
      <c r="B43" s="287" t="s">
        <v>145</v>
      </c>
      <c r="C43" s="306"/>
      <c r="D43" s="267"/>
      <c r="E43" s="268"/>
      <c r="F43" s="269"/>
      <c r="G43" s="270"/>
      <c r="H43" s="307">
        <f t="shared" si="1"/>
        <v>0</v>
      </c>
      <c r="I43" s="272"/>
    </row>
    <row r="44" spans="1:9" ht="15.95" customHeight="1" x14ac:dyDescent="0.15">
      <c r="A44" s="483"/>
      <c r="B44" s="239"/>
      <c r="C44" s="247"/>
      <c r="D44" s="247"/>
      <c r="E44" s="252"/>
      <c r="F44" s="253"/>
      <c r="G44" s="254"/>
      <c r="H44" s="190">
        <f t="shared" si="1"/>
        <v>0</v>
      </c>
      <c r="I44" s="246"/>
    </row>
    <row r="45" spans="1:9" ht="15.95" customHeight="1" x14ac:dyDescent="0.15">
      <c r="A45" s="483"/>
      <c r="B45" s="239"/>
      <c r="C45" s="247"/>
      <c r="D45" s="247"/>
      <c r="E45" s="252"/>
      <c r="F45" s="253"/>
      <c r="G45" s="254"/>
      <c r="H45" s="190">
        <f t="shared" si="1"/>
        <v>0</v>
      </c>
      <c r="I45" s="246"/>
    </row>
    <row r="46" spans="1:9" ht="15.95" customHeight="1" x14ac:dyDescent="0.15">
      <c r="A46" s="483"/>
      <c r="B46" s="239"/>
      <c r="C46" s="247"/>
      <c r="D46" s="247"/>
      <c r="E46" s="252"/>
      <c r="F46" s="253"/>
      <c r="G46" s="254"/>
      <c r="H46" s="190">
        <f t="shared" si="1"/>
        <v>0</v>
      </c>
      <c r="I46" s="246"/>
    </row>
    <row r="47" spans="1:9" ht="15.95" customHeight="1" x14ac:dyDescent="0.15">
      <c r="A47" s="483"/>
      <c r="B47" s="239"/>
      <c r="C47" s="247"/>
      <c r="D47" s="247"/>
      <c r="E47" s="252"/>
      <c r="F47" s="253"/>
      <c r="G47" s="254"/>
      <c r="H47" s="190">
        <f t="shared" si="1"/>
        <v>0</v>
      </c>
      <c r="I47" s="246"/>
    </row>
    <row r="48" spans="1:9" ht="15.95" customHeight="1" x14ac:dyDescent="0.15">
      <c r="A48" s="483"/>
      <c r="B48" s="239"/>
      <c r="C48" s="247"/>
      <c r="D48" s="247"/>
      <c r="E48" s="252"/>
      <c r="F48" s="253"/>
      <c r="G48" s="254"/>
      <c r="H48" s="190">
        <f t="shared" si="1"/>
        <v>0</v>
      </c>
      <c r="I48" s="246"/>
    </row>
    <row r="49" spans="1:9" ht="15.95" customHeight="1" x14ac:dyDescent="0.15">
      <c r="A49" s="483"/>
      <c r="B49" s="239"/>
      <c r="C49" s="247"/>
      <c r="D49" s="247"/>
      <c r="E49" s="252"/>
      <c r="F49" s="253"/>
      <c r="G49" s="254"/>
      <c r="H49" s="190">
        <f t="shared" si="1"/>
        <v>0</v>
      </c>
      <c r="I49" s="246"/>
    </row>
    <row r="50" spans="1:9" ht="15.95" customHeight="1" x14ac:dyDescent="0.15">
      <c r="A50" s="483"/>
      <c r="B50" s="239"/>
      <c r="C50" s="247"/>
      <c r="D50" s="247"/>
      <c r="E50" s="252"/>
      <c r="F50" s="253"/>
      <c r="G50" s="254"/>
      <c r="H50" s="190">
        <f t="shared" si="1"/>
        <v>0</v>
      </c>
      <c r="I50" s="246"/>
    </row>
    <row r="51" spans="1:9" ht="15.95" customHeight="1" x14ac:dyDescent="0.15">
      <c r="A51" s="483"/>
      <c r="B51" s="239"/>
      <c r="C51" s="247"/>
      <c r="D51" s="247"/>
      <c r="E51" s="252"/>
      <c r="F51" s="253"/>
      <c r="G51" s="254"/>
      <c r="H51" s="190">
        <f t="shared" si="1"/>
        <v>0</v>
      </c>
      <c r="I51" s="246"/>
    </row>
    <row r="52" spans="1:9" ht="15.95" customHeight="1" x14ac:dyDescent="0.15">
      <c r="A52" s="483"/>
      <c r="B52" s="239"/>
      <c r="C52" s="255" t="s">
        <v>146</v>
      </c>
      <c r="D52" s="255"/>
      <c r="E52" s="256"/>
      <c r="F52" s="308"/>
      <c r="G52" s="257"/>
      <c r="H52" s="301">
        <f t="shared" si="1"/>
        <v>0</v>
      </c>
      <c r="I52" s="258"/>
    </row>
    <row r="53" spans="1:9" ht="15.95" customHeight="1" x14ac:dyDescent="0.15">
      <c r="A53" s="483"/>
      <c r="B53" s="259"/>
      <c r="C53" s="260"/>
      <c r="D53" s="261"/>
      <c r="E53" s="236"/>
      <c r="F53" s="262"/>
      <c r="G53" s="263"/>
      <c r="H53" s="264">
        <f>SUM(H43:H52)</f>
        <v>0</v>
      </c>
      <c r="I53" s="265"/>
    </row>
    <row r="54" spans="1:9" ht="15.95" customHeight="1" x14ac:dyDescent="0.15">
      <c r="A54" s="309"/>
      <c r="B54" s="310" t="s">
        <v>147</v>
      </c>
      <c r="C54" s="311"/>
      <c r="D54" s="265"/>
      <c r="E54" s="237"/>
      <c r="F54" s="312"/>
      <c r="G54" s="313"/>
      <c r="H54" s="264"/>
      <c r="I54" s="265"/>
    </row>
    <row r="55" spans="1:9" ht="15.95" customHeight="1" x14ac:dyDescent="0.15">
      <c r="A55" s="484" t="s">
        <v>148</v>
      </c>
      <c r="B55" s="314" t="s">
        <v>149</v>
      </c>
      <c r="C55" s="311"/>
      <c r="D55" s="315"/>
      <c r="E55" s="316" t="s">
        <v>150</v>
      </c>
      <c r="F55" s="317">
        <v>1</v>
      </c>
      <c r="G55" s="318">
        <v>500000</v>
      </c>
      <c r="H55" s="319">
        <f t="shared" ref="H55:H61" si="2">F55*G55</f>
        <v>500000</v>
      </c>
      <c r="I55" s="265" t="s">
        <v>223</v>
      </c>
    </row>
    <row r="56" spans="1:9" ht="15.95" customHeight="1" x14ac:dyDescent="0.15">
      <c r="A56" s="485"/>
      <c r="B56" s="320" t="s">
        <v>151</v>
      </c>
      <c r="C56" s="321"/>
      <c r="D56" s="322"/>
      <c r="E56" s="323" t="s">
        <v>150</v>
      </c>
      <c r="F56" s="324">
        <v>8</v>
      </c>
      <c r="G56" s="318">
        <v>700000</v>
      </c>
      <c r="H56" s="271">
        <f t="shared" si="2"/>
        <v>5600000</v>
      </c>
      <c r="I56" s="272"/>
    </row>
    <row r="57" spans="1:9" ht="15.95" customHeight="1" x14ac:dyDescent="0.15">
      <c r="A57" s="485"/>
      <c r="B57" s="325" t="s">
        <v>152</v>
      </c>
      <c r="C57" s="326"/>
      <c r="D57" s="327"/>
      <c r="E57" s="323" t="s">
        <v>150</v>
      </c>
      <c r="F57" s="299">
        <v>2</v>
      </c>
      <c r="G57" s="318">
        <v>500000</v>
      </c>
      <c r="H57" s="190">
        <f t="shared" si="2"/>
        <v>1000000</v>
      </c>
      <c r="I57" s="246"/>
    </row>
    <row r="58" spans="1:9" ht="15.95" customHeight="1" x14ac:dyDescent="0.15">
      <c r="A58" s="485"/>
      <c r="B58" s="325" t="s">
        <v>153</v>
      </c>
      <c r="C58" s="326"/>
      <c r="D58" s="327"/>
      <c r="E58" s="323" t="s">
        <v>154</v>
      </c>
      <c r="F58" s="299">
        <v>2</v>
      </c>
      <c r="G58" s="318">
        <v>500000</v>
      </c>
      <c r="H58" s="190">
        <f>F58*G58</f>
        <v>1000000</v>
      </c>
      <c r="I58" s="246"/>
    </row>
    <row r="59" spans="1:9" ht="15.95" customHeight="1" x14ac:dyDescent="0.15">
      <c r="A59" s="485"/>
      <c r="B59" s="325" t="s">
        <v>155</v>
      </c>
      <c r="C59" s="326"/>
      <c r="D59" s="327"/>
      <c r="E59" s="323" t="s">
        <v>154</v>
      </c>
      <c r="F59" s="299">
        <v>4</v>
      </c>
      <c r="G59" s="318">
        <v>500000</v>
      </c>
      <c r="H59" s="190">
        <f t="shared" si="2"/>
        <v>2000000</v>
      </c>
      <c r="I59" s="246"/>
    </row>
    <row r="60" spans="1:9" ht="15.95" customHeight="1" x14ac:dyDescent="0.15">
      <c r="A60" s="485"/>
      <c r="B60" s="325" t="s">
        <v>156</v>
      </c>
      <c r="C60" s="326"/>
      <c r="D60" s="327"/>
      <c r="E60" s="323" t="s">
        <v>154</v>
      </c>
      <c r="F60" s="254">
        <v>4</v>
      </c>
      <c r="G60" s="318">
        <v>500000</v>
      </c>
      <c r="H60" s="190">
        <f t="shared" si="2"/>
        <v>2000000</v>
      </c>
      <c r="I60" s="246"/>
    </row>
    <row r="61" spans="1:9" ht="15.95" customHeight="1" x14ac:dyDescent="0.15">
      <c r="A61" s="485"/>
      <c r="B61" s="328" t="s">
        <v>157</v>
      </c>
      <c r="C61" s="329"/>
      <c r="D61" s="330"/>
      <c r="E61" s="331" t="s">
        <v>154</v>
      </c>
      <c r="F61" s="257">
        <v>14</v>
      </c>
      <c r="G61" s="318">
        <v>500000</v>
      </c>
      <c r="H61" s="301">
        <f t="shared" si="2"/>
        <v>7000000</v>
      </c>
      <c r="I61" s="258"/>
    </row>
    <row r="62" spans="1:9" ht="15.95" customHeight="1" x14ac:dyDescent="0.15">
      <c r="A62" s="309"/>
      <c r="B62" s="332" t="s">
        <v>158</v>
      </c>
      <c r="C62" s="311"/>
      <c r="D62" s="265"/>
      <c r="E62" s="237"/>
      <c r="F62" s="262"/>
      <c r="G62" s="263"/>
      <c r="H62" s="264">
        <f>SUM(H55:H61)</f>
        <v>19100000</v>
      </c>
      <c r="I62" s="265"/>
    </row>
    <row r="63" spans="1:9" ht="15.95" customHeight="1" x14ac:dyDescent="0.15">
      <c r="A63" s="333"/>
      <c r="B63" s="332" t="s">
        <v>159</v>
      </c>
      <c r="C63" s="311"/>
      <c r="D63" s="265"/>
      <c r="E63" s="237"/>
      <c r="F63" s="238"/>
      <c r="G63" s="396" t="s">
        <v>160</v>
      </c>
      <c r="H63" s="480"/>
      <c r="I63" s="265"/>
    </row>
    <row r="64" spans="1:9" ht="15.95" customHeight="1" x14ac:dyDescent="0.15">
      <c r="A64" s="333"/>
      <c r="B64" s="332" t="s">
        <v>161</v>
      </c>
      <c r="C64" s="311"/>
      <c r="D64" s="265"/>
      <c r="E64" s="237"/>
      <c r="F64" s="238"/>
      <c r="G64" s="334"/>
      <c r="H64" s="318">
        <v>300000</v>
      </c>
      <c r="I64" s="311"/>
    </row>
    <row r="65" spans="1:9" ht="15.95" customHeight="1" x14ac:dyDescent="0.15">
      <c r="A65" s="333"/>
      <c r="B65" s="332" t="s">
        <v>162</v>
      </c>
      <c r="C65" s="311"/>
      <c r="D65" s="265"/>
      <c r="E65" s="237"/>
      <c r="F65" s="238"/>
      <c r="G65" s="334"/>
      <c r="H65" s="318">
        <f>260000+2800000</f>
        <v>3060000</v>
      </c>
      <c r="I65" s="311"/>
    </row>
    <row r="66" spans="1:9" ht="15.95" customHeight="1" x14ac:dyDescent="0.15">
      <c r="A66" s="333"/>
      <c r="B66" s="332" t="s">
        <v>163</v>
      </c>
      <c r="C66" s="311"/>
      <c r="D66" s="265"/>
      <c r="E66" s="237"/>
      <c r="F66" s="238"/>
      <c r="G66" s="264"/>
      <c r="H66" s="263">
        <f>H54+H62+H64+H65</f>
        <v>22460000</v>
      </c>
      <c r="I66" s="265"/>
    </row>
    <row r="67" spans="1:9" x14ac:dyDescent="0.15">
      <c r="A67" s="157"/>
    </row>
  </sheetData>
  <mergeCells count="4">
    <mergeCell ref="A2:B2"/>
    <mergeCell ref="A3:A53"/>
    <mergeCell ref="A55:A61"/>
    <mergeCell ref="G63:H63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1" orientation="portrait" horizontalDpi="4294967292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36"/>
  <sheetViews>
    <sheetView zoomScale="85" workbookViewId="0">
      <selection activeCell="L14" sqref="L14"/>
    </sheetView>
  </sheetViews>
  <sheetFormatPr defaultColWidth="9" defaultRowHeight="17.25" customHeight="1" x14ac:dyDescent="0.15"/>
  <cols>
    <col min="1" max="1" width="16.5" style="139" customWidth="1"/>
    <col min="2" max="3" width="27.625" style="139" customWidth="1"/>
    <col min="4" max="4" width="11.5" style="139" customWidth="1"/>
    <col min="5" max="16384" width="9" style="139"/>
  </cols>
  <sheetData>
    <row r="1" spans="1:4" ht="17.25" customHeight="1" x14ac:dyDescent="0.15">
      <c r="A1" s="139" t="s">
        <v>202</v>
      </c>
    </row>
    <row r="2" spans="1:4" ht="17.25" customHeight="1" x14ac:dyDescent="0.15">
      <c r="D2" s="157" t="s">
        <v>203</v>
      </c>
    </row>
    <row r="3" spans="1:4" ht="24.75" customHeight="1" x14ac:dyDescent="0.15">
      <c r="A3" s="347" t="s">
        <v>204</v>
      </c>
    </row>
    <row r="4" spans="1:4" ht="11.25" customHeight="1" x14ac:dyDescent="0.15"/>
    <row r="5" spans="1:4" s="349" customFormat="1" ht="21" customHeight="1" thickBot="1" x14ac:dyDescent="0.2">
      <c r="A5" s="348" t="s">
        <v>205</v>
      </c>
      <c r="B5" s="348" t="s">
        <v>206</v>
      </c>
      <c r="C5" s="348" t="s">
        <v>207</v>
      </c>
      <c r="D5" s="348" t="s">
        <v>208</v>
      </c>
    </row>
    <row r="6" spans="1:4" ht="17.25" customHeight="1" thickTop="1" x14ac:dyDescent="0.15">
      <c r="A6" s="305"/>
      <c r="B6" s="305"/>
      <c r="C6" s="305"/>
      <c r="D6" s="305"/>
    </row>
    <row r="7" spans="1:4" ht="17.25" customHeight="1" x14ac:dyDescent="0.15">
      <c r="A7" s="305"/>
      <c r="B7" s="305"/>
      <c r="C7" s="305"/>
      <c r="D7" s="305"/>
    </row>
    <row r="8" spans="1:4" ht="17.25" customHeight="1" x14ac:dyDescent="0.15">
      <c r="A8" s="305"/>
      <c r="B8" s="305"/>
      <c r="C8" s="305"/>
      <c r="D8" s="305"/>
    </row>
    <row r="9" spans="1:4" ht="17.25" customHeight="1" x14ac:dyDescent="0.15">
      <c r="A9" s="305"/>
      <c r="B9" s="305"/>
      <c r="C9" s="305"/>
      <c r="D9" s="305"/>
    </row>
    <row r="10" spans="1:4" ht="17.25" customHeight="1" x14ac:dyDescent="0.15">
      <c r="A10" s="305"/>
      <c r="B10" s="305"/>
      <c r="C10" s="305"/>
      <c r="D10" s="305"/>
    </row>
    <row r="11" spans="1:4" ht="17.25" customHeight="1" x14ac:dyDescent="0.15">
      <c r="A11" s="305"/>
      <c r="B11" s="305"/>
      <c r="C11" s="305"/>
      <c r="D11" s="305"/>
    </row>
    <row r="12" spans="1:4" ht="17.25" customHeight="1" x14ac:dyDescent="0.15">
      <c r="A12" s="305"/>
      <c r="B12" s="305"/>
      <c r="C12" s="305"/>
      <c r="D12" s="305"/>
    </row>
    <row r="13" spans="1:4" ht="17.25" customHeight="1" x14ac:dyDescent="0.15">
      <c r="A13" s="305"/>
      <c r="B13" s="305"/>
      <c r="C13" s="305"/>
      <c r="D13" s="305"/>
    </row>
    <row r="14" spans="1:4" ht="17.25" customHeight="1" x14ac:dyDescent="0.15">
      <c r="A14" s="305"/>
      <c r="B14" s="305"/>
      <c r="C14" s="305"/>
      <c r="D14" s="305"/>
    </row>
    <row r="15" spans="1:4" ht="17.25" customHeight="1" x14ac:dyDescent="0.15">
      <c r="A15" s="305"/>
      <c r="B15" s="305"/>
      <c r="C15" s="305"/>
      <c r="D15" s="305"/>
    </row>
    <row r="16" spans="1:4" ht="17.25" customHeight="1" x14ac:dyDescent="0.15">
      <c r="A16" s="305"/>
      <c r="B16" s="305"/>
      <c r="C16" s="305"/>
      <c r="D16" s="305"/>
    </row>
    <row r="17" spans="1:4" ht="17.25" customHeight="1" x14ac:dyDescent="0.15">
      <c r="A17" s="305"/>
      <c r="B17" s="305"/>
      <c r="C17" s="305"/>
      <c r="D17" s="305"/>
    </row>
    <row r="18" spans="1:4" ht="17.25" customHeight="1" x14ac:dyDescent="0.15">
      <c r="A18" s="305"/>
      <c r="B18" s="305"/>
      <c r="C18" s="305"/>
      <c r="D18" s="305"/>
    </row>
    <row r="19" spans="1:4" ht="17.25" customHeight="1" x14ac:dyDescent="0.15">
      <c r="A19" s="305"/>
      <c r="B19" s="305"/>
      <c r="C19" s="305"/>
      <c r="D19" s="305"/>
    </row>
    <row r="20" spans="1:4" ht="17.25" customHeight="1" x14ac:dyDescent="0.15">
      <c r="A20" s="305"/>
      <c r="B20" s="305"/>
      <c r="C20" s="305"/>
      <c r="D20" s="305"/>
    </row>
    <row r="21" spans="1:4" ht="17.25" customHeight="1" x14ac:dyDescent="0.15">
      <c r="A21" s="305"/>
      <c r="B21" s="305"/>
      <c r="C21" s="305"/>
      <c r="D21" s="305"/>
    </row>
    <row r="22" spans="1:4" ht="17.25" customHeight="1" x14ac:dyDescent="0.15">
      <c r="A22" s="305"/>
      <c r="B22" s="305"/>
      <c r="C22" s="305"/>
      <c r="D22" s="305"/>
    </row>
    <row r="23" spans="1:4" ht="17.25" customHeight="1" x14ac:dyDescent="0.15">
      <c r="A23" s="305"/>
      <c r="B23" s="305"/>
      <c r="C23" s="305"/>
      <c r="D23" s="305"/>
    </row>
    <row r="24" spans="1:4" ht="17.25" customHeight="1" x14ac:dyDescent="0.15">
      <c r="A24" s="305"/>
      <c r="B24" s="305"/>
      <c r="C24" s="305"/>
      <c r="D24" s="305"/>
    </row>
    <row r="25" spans="1:4" ht="17.25" customHeight="1" x14ac:dyDescent="0.15">
      <c r="A25" s="305"/>
      <c r="B25" s="305"/>
      <c r="C25" s="305"/>
      <c r="D25" s="305"/>
    </row>
    <row r="26" spans="1:4" ht="17.25" customHeight="1" x14ac:dyDescent="0.15">
      <c r="A26" s="305"/>
      <c r="B26" s="305"/>
      <c r="C26" s="305"/>
      <c r="D26" s="305"/>
    </row>
    <row r="27" spans="1:4" ht="17.25" customHeight="1" x14ac:dyDescent="0.15">
      <c r="A27" s="305"/>
      <c r="B27" s="305"/>
      <c r="C27" s="305"/>
      <c r="D27" s="305"/>
    </row>
    <row r="28" spans="1:4" ht="17.25" customHeight="1" x14ac:dyDescent="0.15">
      <c r="A28" s="305"/>
      <c r="B28" s="305"/>
      <c r="C28" s="305"/>
      <c r="D28" s="305"/>
    </row>
    <row r="29" spans="1:4" ht="17.25" customHeight="1" x14ac:dyDescent="0.15">
      <c r="A29" s="305"/>
      <c r="B29" s="305"/>
      <c r="C29" s="305"/>
      <c r="D29" s="305"/>
    </row>
    <row r="30" spans="1:4" ht="17.25" customHeight="1" x14ac:dyDescent="0.15">
      <c r="A30" s="305"/>
      <c r="B30" s="305"/>
      <c r="C30" s="305"/>
      <c r="D30" s="305"/>
    </row>
    <row r="31" spans="1:4" ht="17.25" customHeight="1" x14ac:dyDescent="0.15">
      <c r="A31" s="305"/>
      <c r="B31" s="305"/>
      <c r="C31" s="305"/>
      <c r="D31" s="305"/>
    </row>
    <row r="32" spans="1:4" ht="17.25" customHeight="1" x14ac:dyDescent="0.15">
      <c r="A32" s="305"/>
      <c r="B32" s="305"/>
      <c r="C32" s="305"/>
      <c r="D32" s="305"/>
    </row>
    <row r="33" spans="1:4" ht="17.25" customHeight="1" x14ac:dyDescent="0.15">
      <c r="A33" s="305"/>
      <c r="B33" s="305"/>
      <c r="C33" s="305"/>
      <c r="D33" s="305"/>
    </row>
    <row r="34" spans="1:4" ht="17.25" customHeight="1" x14ac:dyDescent="0.15">
      <c r="A34" s="305"/>
      <c r="B34" s="305"/>
      <c r="C34" s="305"/>
      <c r="D34" s="305"/>
    </row>
    <row r="35" spans="1:4" ht="17.25" customHeight="1" x14ac:dyDescent="0.15">
      <c r="A35" s="305"/>
      <c r="B35" s="305"/>
      <c r="C35" s="305"/>
      <c r="D35" s="305"/>
    </row>
    <row r="36" spans="1:4" ht="17.25" customHeight="1" x14ac:dyDescent="0.15">
      <c r="A36" s="261"/>
      <c r="B36" s="261"/>
      <c r="C36" s="261"/>
      <c r="D36" s="26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6</vt:i4>
      </vt:variant>
    </vt:vector>
  </HeadingPairs>
  <TitlesOfParts>
    <vt:vector size="12" baseType="lpstr">
      <vt:lpstr>갑지</vt:lpstr>
      <vt:lpstr>원가항목별(집계)</vt:lpstr>
      <vt:lpstr>단위공사별(집계)</vt:lpstr>
      <vt:lpstr>기계</vt:lpstr>
      <vt:lpstr>전기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이찬민</dc:creator>
  <cp:lastModifiedBy>WIA</cp:lastModifiedBy>
  <dcterms:created xsi:type="dcterms:W3CDTF">2018-07-27T02:42:16Z</dcterms:created>
  <dcterms:modified xsi:type="dcterms:W3CDTF">2018-08-29T08:04:36Z</dcterms:modified>
</cp:coreProperties>
</file>