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 tabRatio="1000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9" l="1"/>
  <c r="H52" i="9"/>
  <c r="H51" i="9"/>
  <c r="H50" i="9"/>
  <c r="H3" i="9"/>
  <c r="H55" i="10"/>
  <c r="H54" i="10"/>
  <c r="H53" i="10"/>
  <c r="H52" i="10"/>
  <c r="H51" i="10"/>
  <c r="H50" i="10"/>
  <c r="H49" i="10"/>
  <c r="H48" i="10"/>
  <c r="H62" i="10"/>
  <c r="H61" i="10"/>
  <c r="H60" i="10"/>
  <c r="H59" i="10"/>
  <c r="H58" i="10"/>
  <c r="H57" i="10"/>
  <c r="H56" i="10"/>
  <c r="H31" i="10"/>
  <c r="H48" i="11"/>
  <c r="H47" i="11"/>
  <c r="H46" i="11"/>
  <c r="H45" i="11"/>
  <c r="H44" i="11"/>
  <c r="H43" i="11"/>
  <c r="H42" i="11"/>
  <c r="H41" i="11"/>
  <c r="H40" i="11"/>
  <c r="H39" i="11"/>
  <c r="H38" i="11"/>
  <c r="B9" i="2" l="1"/>
  <c r="B8" i="2"/>
  <c r="B7" i="2"/>
  <c r="C27" i="16"/>
  <c r="C26" i="16"/>
  <c r="C25" i="16"/>
  <c r="C24" i="16"/>
  <c r="C23" i="16"/>
  <c r="C22" i="16"/>
  <c r="C21" i="16"/>
  <c r="C20" i="16"/>
  <c r="C19" i="16"/>
  <c r="H62" i="9"/>
  <c r="H63" i="9"/>
  <c r="H64" i="9"/>
  <c r="H65" i="9"/>
  <c r="H66" i="9"/>
  <c r="H3" i="11"/>
  <c r="H3" i="10"/>
  <c r="H17" i="11"/>
  <c r="H18" i="11"/>
  <c r="H5" i="11"/>
  <c r="H33" i="11"/>
  <c r="H38" i="10"/>
  <c r="H37" i="10"/>
  <c r="H47" i="10" s="1"/>
  <c r="H36" i="10"/>
  <c r="H35" i="10"/>
  <c r="H34" i="10"/>
  <c r="H33" i="10"/>
  <c r="H32" i="10"/>
  <c r="H7" i="10"/>
  <c r="H6" i="10"/>
  <c r="H5" i="10"/>
  <c r="H4" i="10"/>
  <c r="H7" i="11"/>
  <c r="H6" i="11"/>
  <c r="H4" i="11"/>
  <c r="C18" i="16"/>
  <c r="B11" i="2"/>
  <c r="K11" i="2" s="1"/>
  <c r="H3" i="8"/>
  <c r="H4" i="8"/>
  <c r="H5" i="8"/>
  <c r="H6" i="8"/>
  <c r="H7" i="8"/>
  <c r="H8" i="8"/>
  <c r="H9" i="8"/>
  <c r="B10" i="2"/>
  <c r="A10" i="2" s="1"/>
  <c r="H21" i="11"/>
  <c r="H31" i="11"/>
  <c r="H3" i="14"/>
  <c r="H4" i="14"/>
  <c r="H2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30" i="14"/>
  <c r="H26" i="14"/>
  <c r="H27" i="14"/>
  <c r="H28" i="14"/>
  <c r="H29" i="14"/>
  <c r="H31" i="14"/>
  <c r="H47" i="14" s="1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5" i="14" s="1"/>
  <c r="H56" i="14" s="1"/>
  <c r="H50" i="14"/>
  <c r="H51" i="14"/>
  <c r="H52" i="14"/>
  <c r="H53" i="14"/>
  <c r="H54" i="14"/>
  <c r="H57" i="14"/>
  <c r="H65" i="14" s="1"/>
  <c r="H16" i="2" s="1"/>
  <c r="H58" i="14"/>
  <c r="D16" i="2"/>
  <c r="H59" i="14"/>
  <c r="E16" i="2" s="1"/>
  <c r="H60" i="14"/>
  <c r="H61" i="14"/>
  <c r="H62" i="14"/>
  <c r="H63" i="14"/>
  <c r="H64" i="14"/>
  <c r="G16" i="2" s="1"/>
  <c r="H3" i="15"/>
  <c r="H24" i="15" s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26" i="15"/>
  <c r="H30" i="15" s="1"/>
  <c r="H27" i="15"/>
  <c r="H28" i="15"/>
  <c r="H29" i="15"/>
  <c r="H31" i="15"/>
  <c r="H32" i="15"/>
  <c r="H47" i="15" s="1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5" i="15" s="1"/>
  <c r="H56" i="15" s="1"/>
  <c r="H50" i="15"/>
  <c r="H51" i="15"/>
  <c r="H52" i="15"/>
  <c r="H53" i="15"/>
  <c r="H54" i="15"/>
  <c r="H57" i="15"/>
  <c r="D15" i="2" s="1"/>
  <c r="H58" i="15"/>
  <c r="E15" i="2" s="1"/>
  <c r="H59" i="15"/>
  <c r="H60" i="15"/>
  <c r="H65" i="15" s="1"/>
  <c r="H61" i="15"/>
  <c r="H62" i="15"/>
  <c r="H63" i="15"/>
  <c r="G15" i="2" s="1"/>
  <c r="H64" i="15"/>
  <c r="H15" i="2"/>
  <c r="H3" i="4"/>
  <c r="H24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30" i="4" s="1"/>
  <c r="H26" i="4"/>
  <c r="H27" i="4"/>
  <c r="H28" i="4"/>
  <c r="H29" i="4"/>
  <c r="H31" i="4"/>
  <c r="H32" i="4"/>
  <c r="H47" i="4" s="1"/>
  <c r="H56" i="4" s="1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55" i="4"/>
  <c r="H49" i="4"/>
  <c r="H50" i="4"/>
  <c r="H51" i="4"/>
  <c r="H52" i="4"/>
  <c r="H53" i="4"/>
  <c r="H54" i="4"/>
  <c r="H57" i="4"/>
  <c r="D14" i="2" s="1"/>
  <c r="H58" i="4"/>
  <c r="H59" i="4"/>
  <c r="H65" i="4" s="1"/>
  <c r="H60" i="4"/>
  <c r="H61" i="4"/>
  <c r="H62" i="4"/>
  <c r="H63" i="4"/>
  <c r="H14" i="2" s="1"/>
  <c r="H64" i="4"/>
  <c r="H3" i="5"/>
  <c r="H24" i="5" s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30" i="5"/>
  <c r="H29" i="5"/>
  <c r="H31" i="5"/>
  <c r="H32" i="5"/>
  <c r="H47" i="5" s="1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55" i="5" s="1"/>
  <c r="H56" i="5" s="1"/>
  <c r="H49" i="5"/>
  <c r="H50" i="5"/>
  <c r="H51" i="5"/>
  <c r="H52" i="5"/>
  <c r="H53" i="5"/>
  <c r="H54" i="5"/>
  <c r="H57" i="5"/>
  <c r="E13" i="2"/>
  <c r="H58" i="5"/>
  <c r="H59" i="5"/>
  <c r="H60" i="5"/>
  <c r="H61" i="5"/>
  <c r="G13" i="2"/>
  <c r="H62" i="5"/>
  <c r="H63" i="5"/>
  <c r="H13" i="2"/>
  <c r="H64" i="5"/>
  <c r="H65" i="5" s="1"/>
  <c r="H3" i="6"/>
  <c r="H24" i="6" s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30" i="6" s="1"/>
  <c r="H26" i="6"/>
  <c r="H27" i="6"/>
  <c r="H28" i="6"/>
  <c r="H29" i="6"/>
  <c r="H31" i="6"/>
  <c r="H32" i="6"/>
  <c r="H47" i="6" s="1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55" i="6" s="1"/>
  <c r="H56" i="6" s="1"/>
  <c r="H49" i="6"/>
  <c r="H50" i="6"/>
  <c r="H51" i="6"/>
  <c r="H52" i="6"/>
  <c r="H53" i="6"/>
  <c r="H54" i="6"/>
  <c r="H57" i="6"/>
  <c r="H58" i="6"/>
  <c r="H59" i="6"/>
  <c r="H60" i="6"/>
  <c r="H61" i="6"/>
  <c r="H62" i="6"/>
  <c r="H63" i="6"/>
  <c r="H12" i="2" s="1"/>
  <c r="H64" i="6"/>
  <c r="H3" i="7"/>
  <c r="H24" i="7" s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30" i="7"/>
  <c r="H26" i="7"/>
  <c r="H27" i="7"/>
  <c r="H28" i="7"/>
  <c r="H29" i="7"/>
  <c r="H31" i="7"/>
  <c r="H32" i="7"/>
  <c r="H33" i="7"/>
  <c r="H34" i="7"/>
  <c r="H47" i="7" s="1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5" i="7" s="1"/>
  <c r="H50" i="7"/>
  <c r="H51" i="7"/>
  <c r="H52" i="7"/>
  <c r="H53" i="7"/>
  <c r="H54" i="7"/>
  <c r="H57" i="7"/>
  <c r="H58" i="7"/>
  <c r="H59" i="7"/>
  <c r="H60" i="7"/>
  <c r="H61" i="7"/>
  <c r="G10" i="2" s="1"/>
  <c r="H62" i="7"/>
  <c r="H63" i="7"/>
  <c r="H10" i="2" s="1"/>
  <c r="H64" i="7"/>
  <c r="H10" i="8"/>
  <c r="H23" i="8" s="1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5" i="8"/>
  <c r="H29" i="8" s="1"/>
  <c r="H26" i="8"/>
  <c r="H27" i="8"/>
  <c r="H28" i="8"/>
  <c r="H30" i="8"/>
  <c r="H31" i="8"/>
  <c r="H32" i="8"/>
  <c r="H33" i="8"/>
  <c r="H34" i="8"/>
  <c r="H35" i="8"/>
  <c r="H36" i="8"/>
  <c r="H37" i="8"/>
  <c r="H38" i="8"/>
  <c r="H39" i="8"/>
  <c r="H40" i="8"/>
  <c r="H41" i="8"/>
  <c r="H46" i="8" s="1"/>
  <c r="H42" i="8"/>
  <c r="H43" i="8"/>
  <c r="H44" i="8"/>
  <c r="H45" i="8"/>
  <c r="H47" i="8"/>
  <c r="H54" i="8" s="1"/>
  <c r="H48" i="8"/>
  <c r="H49" i="8"/>
  <c r="H50" i="8"/>
  <c r="H51" i="8"/>
  <c r="H52" i="8"/>
  <c r="H53" i="8"/>
  <c r="H56" i="8"/>
  <c r="H57" i="8"/>
  <c r="H58" i="8"/>
  <c r="H59" i="8"/>
  <c r="H60" i="8"/>
  <c r="G11" i="2" s="1"/>
  <c r="H61" i="8"/>
  <c r="H62" i="8"/>
  <c r="H11" i="2" s="1"/>
  <c r="H63" i="8"/>
  <c r="H4" i="9"/>
  <c r="H5" i="9"/>
  <c r="H6" i="9"/>
  <c r="H7" i="9"/>
  <c r="H8" i="9"/>
  <c r="H24" i="9" s="1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5" i="9"/>
  <c r="H26" i="9"/>
  <c r="H30" i="9" s="1"/>
  <c r="H27" i="9"/>
  <c r="H28" i="9"/>
  <c r="H29" i="9"/>
  <c r="H31" i="9"/>
  <c r="H47" i="9" s="1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4" i="9"/>
  <c r="H55" i="9"/>
  <c r="H56" i="9"/>
  <c r="H57" i="9"/>
  <c r="H58" i="9"/>
  <c r="H61" i="9"/>
  <c r="E9" i="2" s="1"/>
  <c r="G9" i="2"/>
  <c r="H67" i="9"/>
  <c r="H68" i="9"/>
  <c r="H8" i="10"/>
  <c r="H24" i="10" s="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30" i="10" s="1"/>
  <c r="H26" i="10"/>
  <c r="H27" i="10"/>
  <c r="H28" i="10"/>
  <c r="H29" i="10"/>
  <c r="H39" i="10"/>
  <c r="H40" i="10"/>
  <c r="H41" i="10"/>
  <c r="H42" i="10"/>
  <c r="H43" i="10"/>
  <c r="H44" i="10"/>
  <c r="H45" i="10"/>
  <c r="H46" i="10"/>
  <c r="H63" i="10"/>
  <c r="H65" i="10"/>
  <c r="H66" i="10"/>
  <c r="H67" i="10"/>
  <c r="H68" i="10"/>
  <c r="H69" i="10"/>
  <c r="H70" i="10"/>
  <c r="H71" i="10"/>
  <c r="H8" i="2" s="1"/>
  <c r="H72" i="10"/>
  <c r="F8" i="2" s="1"/>
  <c r="H8" i="11"/>
  <c r="H9" i="11"/>
  <c r="H11" i="11"/>
  <c r="H12" i="1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H34" i="11"/>
  <c r="H35" i="11"/>
  <c r="H36" i="11"/>
  <c r="H37" i="11"/>
  <c r="H51" i="11"/>
  <c r="E7" i="2"/>
  <c r="H52" i="11"/>
  <c r="H53" i="11"/>
  <c r="H54" i="11"/>
  <c r="H55" i="11"/>
  <c r="G7" i="2" s="1"/>
  <c r="H56" i="11"/>
  <c r="H57" i="11"/>
  <c r="I18" i="1" s="1"/>
  <c r="H58" i="11"/>
  <c r="I19" i="1" s="1"/>
  <c r="H3" i="3"/>
  <c r="H4" i="3"/>
  <c r="H5" i="3"/>
  <c r="H6" i="3"/>
  <c r="H7" i="3"/>
  <c r="H8" i="3"/>
  <c r="H10" i="3"/>
  <c r="H16" i="3" s="1"/>
  <c r="I24" i="1" s="1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 s="1"/>
  <c r="H58" i="3"/>
  <c r="I27" i="1" s="1"/>
  <c r="H59" i="3"/>
  <c r="I28" i="1" s="1"/>
  <c r="H60" i="3"/>
  <c r="I29" i="1"/>
  <c r="H61" i="3"/>
  <c r="I30" i="1" s="1"/>
  <c r="H62" i="3"/>
  <c r="I31" i="1" s="1"/>
  <c r="B12" i="2"/>
  <c r="A12" i="2" s="1"/>
  <c r="B13" i="2"/>
  <c r="I13" i="2"/>
  <c r="B14" i="2"/>
  <c r="L14" i="2"/>
  <c r="M14" i="2"/>
  <c r="B15" i="2"/>
  <c r="A15" i="2" s="1"/>
  <c r="I15" i="2"/>
  <c r="L15" i="2"/>
  <c r="B16" i="2"/>
  <c r="I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L16" i="2"/>
  <c r="E12" i="2"/>
  <c r="E11" i="2"/>
  <c r="A14" i="2"/>
  <c r="L13" i="2"/>
  <c r="K16" i="2"/>
  <c r="F12" i="2"/>
  <c r="I14" i="2"/>
  <c r="K14" i="2"/>
  <c r="G8" i="2"/>
  <c r="E8" i="2"/>
  <c r="G12" i="2"/>
  <c r="F10" i="2"/>
  <c r="H65" i="7"/>
  <c r="I12" i="1"/>
  <c r="L12" i="2"/>
  <c r="H9" i="2"/>
  <c r="E10" i="2"/>
  <c r="I12" i="2"/>
  <c r="K13" i="2"/>
  <c r="A13" i="2"/>
  <c r="K10" i="2"/>
  <c r="A7" i="2"/>
  <c r="A8" i="2"/>
  <c r="A9" i="2" s="1"/>
  <c r="H63" i="3" l="1"/>
  <c r="H54" i="3"/>
  <c r="H9" i="3"/>
  <c r="F9" i="2"/>
  <c r="I15" i="1"/>
  <c r="H59" i="9"/>
  <c r="H60" i="9" s="1"/>
  <c r="D9" i="2" s="1"/>
  <c r="H64" i="10"/>
  <c r="D8" i="2" s="1"/>
  <c r="H66" i="5"/>
  <c r="H69" i="5" s="1"/>
  <c r="H7" i="2"/>
  <c r="I14" i="1"/>
  <c r="H59" i="11"/>
  <c r="H16" i="11"/>
  <c r="I10" i="1" s="1"/>
  <c r="H32" i="11"/>
  <c r="H10" i="11"/>
  <c r="I17" i="1"/>
  <c r="H66" i="6"/>
  <c r="H49" i="11"/>
  <c r="H50" i="11" s="1"/>
  <c r="H66" i="14"/>
  <c r="H69" i="14" s="1"/>
  <c r="M16" i="2" s="1"/>
  <c r="I32" i="1"/>
  <c r="J14" i="2"/>
  <c r="N14" i="2" s="1"/>
  <c r="D13" i="2"/>
  <c r="D12" i="2"/>
  <c r="E17" i="2"/>
  <c r="E18" i="2" s="1"/>
  <c r="H55" i="8"/>
  <c r="H56" i="7"/>
  <c r="I8" i="1"/>
  <c r="H55" i="3"/>
  <c r="I7" i="1"/>
  <c r="H17" i="2"/>
  <c r="G17" i="2"/>
  <c r="H68" i="5"/>
  <c r="H67" i="5"/>
  <c r="M13" i="2" s="1"/>
  <c r="F11" i="2"/>
  <c r="L10" i="2"/>
  <c r="H73" i="10"/>
  <c r="H65" i="6"/>
  <c r="A16" i="2"/>
  <c r="H66" i="15"/>
  <c r="H69" i="15" s="1"/>
  <c r="M15" i="2" s="1"/>
  <c r="H67" i="7"/>
  <c r="I11" i="2"/>
  <c r="I10" i="2"/>
  <c r="H64" i="8"/>
  <c r="H66" i="4"/>
  <c r="H69" i="4" s="1"/>
  <c r="F14" i="2"/>
  <c r="H69" i="9"/>
  <c r="F13" i="2"/>
  <c r="E14" i="2"/>
  <c r="P14" i="2" s="1"/>
  <c r="I16" i="1"/>
  <c r="A11" i="2"/>
  <c r="F7" i="2"/>
  <c r="L11" i="2"/>
  <c r="K12" i="2"/>
  <c r="F15" i="2"/>
  <c r="K15" i="2"/>
  <c r="I13" i="1"/>
  <c r="J39" i="1" l="1"/>
  <c r="F16" i="2"/>
  <c r="J16" i="2" s="1"/>
  <c r="N16" i="2" s="1"/>
  <c r="I9" i="1"/>
  <c r="I20" i="1"/>
  <c r="I36" i="1" s="1"/>
  <c r="P15" i="2"/>
  <c r="J12" i="2"/>
  <c r="H67" i="6"/>
  <c r="H68" i="6"/>
  <c r="D11" i="2"/>
  <c r="P13" i="2"/>
  <c r="J13" i="2"/>
  <c r="N13" i="2" s="1"/>
  <c r="I23" i="1"/>
  <c r="H67" i="3"/>
  <c r="E25" i="16"/>
  <c r="H25" i="16"/>
  <c r="G25" i="16"/>
  <c r="J49" i="1"/>
  <c r="I49" i="1" s="1"/>
  <c r="D7" i="2"/>
  <c r="D10" i="2"/>
  <c r="J15" i="2"/>
  <c r="N15" i="2" s="1"/>
  <c r="H65" i="8"/>
  <c r="H68" i="7"/>
  <c r="M10" i="2" s="1"/>
  <c r="H67" i="8"/>
  <c r="H66" i="8"/>
  <c r="M11" i="2" s="1"/>
  <c r="H66" i="7"/>
  <c r="H69" i="7" s="1"/>
  <c r="F17" i="2" l="1"/>
  <c r="P16" i="2"/>
  <c r="J48" i="1"/>
  <c r="I48" i="1" s="1"/>
  <c r="C34" i="16" s="1"/>
  <c r="M9" i="2"/>
  <c r="P9" i="2" s="1"/>
  <c r="M8" i="2"/>
  <c r="P8" i="2" s="1"/>
  <c r="I11" i="1"/>
  <c r="E27" i="16"/>
  <c r="H27" i="16"/>
  <c r="G13" i="16" s="1"/>
  <c r="G27" i="16"/>
  <c r="I35" i="1"/>
  <c r="I37" i="1" s="1"/>
  <c r="G24" i="16"/>
  <c r="E24" i="16"/>
  <c r="H24" i="16"/>
  <c r="E26" i="16"/>
  <c r="H26" i="16"/>
  <c r="G26" i="16"/>
  <c r="H68" i="8"/>
  <c r="J10" i="2"/>
  <c r="N10" i="2" s="1"/>
  <c r="P10" i="2"/>
  <c r="M12" i="2"/>
  <c r="P12" i="2" s="1"/>
  <c r="P11" i="2"/>
  <c r="J11" i="2"/>
  <c r="N11" i="2" s="1"/>
  <c r="I21" i="1"/>
  <c r="I22" i="1" s="1"/>
  <c r="M7" i="2"/>
  <c r="P7" i="2" s="1"/>
  <c r="I41" i="1"/>
  <c r="D17" i="2"/>
  <c r="I40" i="1"/>
  <c r="I33" i="1"/>
  <c r="I34" i="1" s="1"/>
  <c r="H69" i="6"/>
  <c r="I42" i="1" l="1"/>
  <c r="P17" i="2"/>
  <c r="E21" i="16"/>
  <c r="H21" i="16"/>
  <c r="G21" i="16"/>
  <c r="N12" i="2"/>
  <c r="H22" i="16"/>
  <c r="G22" i="16"/>
  <c r="E22" i="16"/>
  <c r="M17" i="2"/>
  <c r="K8" i="2" l="1"/>
  <c r="I8" i="2"/>
  <c r="J8" i="2" s="1"/>
  <c r="K9" i="2"/>
  <c r="I9" i="2"/>
  <c r="L9" i="2"/>
  <c r="L8" i="2"/>
  <c r="L7" i="2"/>
  <c r="I7" i="2"/>
  <c r="K7" i="2"/>
  <c r="H23" i="16"/>
  <c r="E23" i="16"/>
  <c r="G23" i="16"/>
  <c r="K17" i="2" l="1"/>
  <c r="H74" i="10"/>
  <c r="H77" i="10" s="1"/>
  <c r="N8" i="2"/>
  <c r="H19" i="16" s="1"/>
  <c r="H60" i="11"/>
  <c r="H63" i="11" s="1"/>
  <c r="L17" i="2"/>
  <c r="I17" i="2"/>
  <c r="J7" i="2"/>
  <c r="N7" i="2" s="1"/>
  <c r="E19" i="16"/>
  <c r="G19" i="16"/>
  <c r="H70" i="9"/>
  <c r="H73" i="9" s="1"/>
  <c r="J9" i="2"/>
  <c r="N9" i="2" s="1"/>
  <c r="G18" i="16" l="1"/>
  <c r="F18" i="16"/>
  <c r="F28" i="16" s="1"/>
  <c r="H18" i="16"/>
  <c r="E18" i="16"/>
  <c r="N17" i="2"/>
  <c r="H18" i="2" s="1"/>
  <c r="G20" i="16"/>
  <c r="E20" i="16"/>
  <c r="H20" i="16"/>
  <c r="I18" i="2"/>
  <c r="J17" i="2"/>
  <c r="J18" i="2" s="1"/>
  <c r="K45" i="16"/>
  <c r="F18" i="2" l="1"/>
  <c r="G18" i="2"/>
  <c r="L18" i="2"/>
  <c r="K18" i="2"/>
  <c r="E28" i="16"/>
  <c r="D18" i="2"/>
  <c r="M18" i="2"/>
  <c r="H28" i="16"/>
  <c r="H14" i="16" s="1"/>
  <c r="D14" i="16" s="1"/>
  <c r="G28" i="16"/>
  <c r="N18" i="2"/>
  <c r="N20" i="2"/>
</calcChain>
</file>

<file path=xl/sharedStrings.xml><?xml version="1.0" encoding="utf-8"?>
<sst xmlns="http://schemas.openxmlformats.org/spreadsheetml/2006/main" count="767" uniqueCount="273">
  <si>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</si>
  <si>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</si>
  <si>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</si>
  <si>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</si>
  <si>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</si>
  <si>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</si>
  <si>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</si>
  <si>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</si>
  <si>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</si>
  <si>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</si>
  <si>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</si>
  <si>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</si>
  <si>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</si>
  <si>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</si>
  <si>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</si>
  <si>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</si>
  <si>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</si>
  <si>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</si>
  <si>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</si>
  <si>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</si>
  <si>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</si>
  <si>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</si>
  <si>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</si>
  <si>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</si>
  <si>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</si>
  <si>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</si>
  <si>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</si>
  <si>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</si>
  <si>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</si>
  <si>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</si>
  <si>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</si>
  <si>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</si>
  <si>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</si>
  <si>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</si>
  <si>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</si>
  <si>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</si>
  <si>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</si>
  <si>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</si>
  <si>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</si>
  <si>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</si>
  <si>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</si>
  <si>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</si>
  <si>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</si>
  <si>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</si>
  <si>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</si>
  <si>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</si>
  <si>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</si>
  <si>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</si>
  <si>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</si>
  <si>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</si>
  <si>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</si>
  <si>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</si>
  <si>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</si>
  <si>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</si>
  <si>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</si>
  <si>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</si>
  <si>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</si>
  <si>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</si>
  <si>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</si>
  <si>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</si>
  <si>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</si>
  <si>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</si>
  <si>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</si>
  <si>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</si>
  <si>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</si>
  <si>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</si>
  <si>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</si>
  <si>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</si>
  <si>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</si>
  <si>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</si>
  <si>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</si>
  <si>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</si>
  <si>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</si>
  <si>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</si>
  <si>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</si>
  <si>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</si>
  <si>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</si>
  <si>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</si>
  <si>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</si>
  <si>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</si>
  <si>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</si>
  <si>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</si>
  <si>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</si>
  <si>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</si>
  <si>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</si>
  <si>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</si>
  <si>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</si>
  <si>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</si>
  <si>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</si>
  <si>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</si>
  <si>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</si>
  <si>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</si>
  <si>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</si>
  <si>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</si>
  <si>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</si>
  <si>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</si>
  <si>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</si>
  <si>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</si>
  <si>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</si>
  <si>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</si>
  <si>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</si>
  <si>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</si>
  <si>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</si>
  <si>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</si>
  <si>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</si>
  <si>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</si>
  <si>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</si>
  <si>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</si>
  <si>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</si>
  <si>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</si>
  <si>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</si>
  <si>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</si>
  <si>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</si>
  <si>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</si>
  <si>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</si>
  <si>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</si>
  <si>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</si>
  <si>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</si>
  <si>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</si>
  <si>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</si>
  <si>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</si>
  <si>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</si>
  <si>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</si>
  <si>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</si>
  <si>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</si>
  <si>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</si>
  <si>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</si>
  <si>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</si>
  <si>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</si>
  <si>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</si>
  <si>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</si>
  <si>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</si>
  <si>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</si>
  <si>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</si>
  <si>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</si>
  <si>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</si>
  <si>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</si>
  <si>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</si>
  <si>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</si>
  <si>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</si>
  <si>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</si>
  <si>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</si>
  <si>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</si>
  <si>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</si>
  <si>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</si>
  <si>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</si>
  <si>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</si>
  <si>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</si>
  <si>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</si>
  <si>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</si>
  <si>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</si>
  <si>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</si>
  <si>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</si>
  <si>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</si>
  <si>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</si>
  <si>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</si>
  <si>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</si>
  <si>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</si>
  <si>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</si>
  <si>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</si>
  <si>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</si>
  <si>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</si>
  <si>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</si>
  <si>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</si>
  <si>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</si>
  <si>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</si>
  <si>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</si>
  <si>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</si>
  <si>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</si>
  <si>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</si>
  <si>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</si>
  <si>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</si>
  <si>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</si>
  <si>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</si>
  <si>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</si>
  <si>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</si>
  <si>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</si>
  <si>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</si>
  <si>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</si>
  <si>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</si>
  <si>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</si>
  <si>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견적담당:</t>
  </si>
  <si>
    <t>연 락 처 :</t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</si>
  <si>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</si>
  <si>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</si>
  <si>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</si>
  <si>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</si>
  <si>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</si>
  <si>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</si>
  <si>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</si>
  <si>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整(\</t>
    <phoneticPr fontId="2" type="noConversion"/>
  </si>
  <si>
    <t>WIA-25-30</t>
    <phoneticPr fontId="2" type="noConversion"/>
  </si>
  <si>
    <t>㈜에스피시스템스</t>
    <phoneticPr fontId="2" type="noConversion"/>
  </si>
  <si>
    <t>대표 : 심상균, 심효준</t>
    <phoneticPr fontId="2" type="noConversion"/>
  </si>
  <si>
    <t>주소 : 경남 양산시 어곡공단로 123</t>
    <phoneticPr fontId="2" type="noConversion"/>
  </si>
  <si>
    <t>전화: 055-371-5600</t>
    <phoneticPr fontId="2" type="noConversion"/>
  </si>
  <si>
    <t>Fax: 055-371-5606</t>
    <phoneticPr fontId="2" type="noConversion"/>
  </si>
  <si>
    <t>차순임 부장</t>
    <phoneticPr fontId="2" type="noConversion"/>
  </si>
  <si>
    <t>055-371-5660</t>
    <phoneticPr fontId="2" type="noConversion"/>
  </si>
  <si>
    <t>인도 푸네공장 CVJ 가공라인 자동화</t>
    <phoneticPr fontId="2" type="noConversion"/>
  </si>
  <si>
    <t>O/RACE LINE</t>
    <phoneticPr fontId="2" type="noConversion"/>
  </si>
  <si>
    <t>T/HSG LINE</t>
    <phoneticPr fontId="2" type="noConversion"/>
  </si>
  <si>
    <t>I/RACE LINE</t>
    <phoneticPr fontId="2" type="noConversion"/>
  </si>
  <si>
    <t>푸네 CVJ 1단계</t>
    <phoneticPr fontId="2" type="noConversion"/>
  </si>
  <si>
    <t>FENCE &amp; DUCT</t>
    <phoneticPr fontId="2" type="noConversion"/>
  </si>
  <si>
    <t>SET</t>
    <phoneticPr fontId="2" type="noConversion"/>
  </si>
  <si>
    <t>2D READER UNIT</t>
    <phoneticPr fontId="2" type="noConversion"/>
  </si>
  <si>
    <t>SR-X300W</t>
    <phoneticPr fontId="2" type="noConversion"/>
  </si>
  <si>
    <t>KEYENCE</t>
    <phoneticPr fontId="2" type="noConversion"/>
  </si>
  <si>
    <t>STOCKER</t>
    <phoneticPr fontId="2" type="noConversion"/>
  </si>
  <si>
    <t>200EA</t>
    <phoneticPr fontId="2" type="noConversion"/>
  </si>
  <si>
    <t>COOLING STOCKER</t>
    <phoneticPr fontId="2" type="noConversion"/>
  </si>
  <si>
    <t>300EA</t>
    <phoneticPr fontId="2" type="noConversion"/>
  </si>
  <si>
    <t>CONVEYOR</t>
    <phoneticPr fontId="2" type="noConversion"/>
  </si>
  <si>
    <t>CONVEYOR</t>
    <phoneticPr fontId="2" type="noConversion"/>
  </si>
  <si>
    <t>2M</t>
    <phoneticPr fontId="2" type="noConversion"/>
  </si>
  <si>
    <t>3M</t>
    <phoneticPr fontId="2" type="noConversion"/>
  </si>
  <si>
    <t>4M</t>
    <phoneticPr fontId="2" type="noConversion"/>
  </si>
  <si>
    <t>ESCAPER</t>
    <phoneticPr fontId="2" type="noConversion"/>
  </si>
  <si>
    <t>WORK PUSHER UNIT</t>
    <phoneticPr fontId="2" type="noConversion"/>
  </si>
  <si>
    <t>SET</t>
    <phoneticPr fontId="2" type="noConversion"/>
  </si>
  <si>
    <t>NG SLIDER</t>
    <phoneticPr fontId="2" type="noConversion"/>
  </si>
  <si>
    <t>SET</t>
    <phoneticPr fontId="2" type="noConversion"/>
  </si>
  <si>
    <t>TELECENTRIC SYSTEM UNIT</t>
    <phoneticPr fontId="2" type="noConversion"/>
  </si>
  <si>
    <t>INC.POP-UP UNIT</t>
    <phoneticPr fontId="2" type="noConversion"/>
  </si>
  <si>
    <t>ORIENTATION &amp; TILTING UNIT</t>
    <phoneticPr fontId="2" type="noConversion"/>
  </si>
  <si>
    <t>INC.3AXIS LINEAR</t>
    <phoneticPr fontId="2" type="noConversion"/>
  </si>
  <si>
    <t>AIR BLOW UNIT</t>
    <phoneticPr fontId="2" type="noConversion"/>
  </si>
  <si>
    <t>AIR BLOW UNIT</t>
    <phoneticPr fontId="2" type="noConversion"/>
  </si>
  <si>
    <t>INC.PP LOADER</t>
    <phoneticPr fontId="2" type="noConversion"/>
  </si>
  <si>
    <t>OUT DIA CHECK UNIT</t>
    <phoneticPr fontId="2" type="noConversion"/>
  </si>
  <si>
    <t>PP LOADER</t>
    <phoneticPr fontId="2" type="noConversion"/>
  </si>
  <si>
    <t>SET</t>
    <phoneticPr fontId="2" type="noConversion"/>
  </si>
  <si>
    <t>ANTI RUST UNIT</t>
    <phoneticPr fontId="2" type="noConversion"/>
  </si>
  <si>
    <t>FENCE &amp; DUCT</t>
    <phoneticPr fontId="2" type="noConversion"/>
  </si>
  <si>
    <t>200EA</t>
    <phoneticPr fontId="2" type="noConversion"/>
  </si>
  <si>
    <t>FENCE &amp; DUCT</t>
    <phoneticPr fontId="2" type="noConversion"/>
  </si>
  <si>
    <t>IN STOCKER</t>
    <phoneticPr fontId="2" type="noConversion"/>
  </si>
  <si>
    <t>FEEDER TYPE</t>
    <phoneticPr fontId="2" type="noConversion"/>
  </si>
  <si>
    <t>TRANS CONVEYOR</t>
    <phoneticPr fontId="2" type="noConversion"/>
  </si>
  <si>
    <t>ORIENTATION UNIT</t>
    <phoneticPr fontId="2" type="noConversion"/>
  </si>
  <si>
    <t>CONVEYOR</t>
    <phoneticPr fontId="2" type="noConversion"/>
  </si>
  <si>
    <t>INC.PP LOADER</t>
    <phoneticPr fontId="2" type="noConversion"/>
  </si>
  <si>
    <t>ANTI RUST UNIT</t>
    <phoneticPr fontId="2" type="noConversion"/>
  </si>
  <si>
    <t>DIPPING TYPE</t>
    <phoneticPr fontId="2" type="noConversion"/>
  </si>
  <si>
    <t>OUT STOCKER</t>
    <phoneticPr fontId="2" type="noConversion"/>
  </si>
  <si>
    <t>SET</t>
    <phoneticPr fontId="2" type="noConversion"/>
  </si>
  <si>
    <t>WASHING ROOM UNIT</t>
    <phoneticPr fontId="2" type="noConversion"/>
  </si>
  <si>
    <t>APPLY SUS MAT'</t>
    <phoneticPr fontId="2" type="noConversion"/>
  </si>
  <si>
    <t>INC.AIR BLOW</t>
    <phoneticPr fontId="2" type="noConversion"/>
  </si>
  <si>
    <t>CONTROL PANEL</t>
    <phoneticPr fontId="2" type="noConversion"/>
  </si>
  <si>
    <t>OPERATE PANEL</t>
    <phoneticPr fontId="2" type="noConversion"/>
  </si>
  <si>
    <t>BOX</t>
    <phoneticPr fontId="2" type="noConversion"/>
  </si>
  <si>
    <t>PC RACK</t>
    <phoneticPr fontId="2" type="noConversion"/>
  </si>
  <si>
    <t>CABLE &amp; SENSOR</t>
    <phoneticPr fontId="2" type="noConversion"/>
  </si>
  <si>
    <t>CONTROL MODULE</t>
    <phoneticPr fontId="2" type="noConversion"/>
  </si>
  <si>
    <t>SAFETY PLUG</t>
    <phoneticPr fontId="2" type="noConversion"/>
  </si>
  <si>
    <t>SERVO</t>
    <phoneticPr fontId="2" type="noConversion"/>
  </si>
  <si>
    <t>FOR 3 AXIS</t>
    <phoneticPr fontId="2" type="noConversion"/>
  </si>
  <si>
    <t>측정기 PC</t>
    <phoneticPr fontId="2" type="noConversion"/>
  </si>
  <si>
    <t>LOT</t>
    <phoneticPr fontId="2" type="noConversion"/>
  </si>
  <si>
    <t>LOT</t>
    <phoneticPr fontId="2" type="noConversion"/>
  </si>
  <si>
    <t>전기 설계</t>
    <phoneticPr fontId="2" type="noConversion"/>
  </si>
  <si>
    <t>OLT</t>
    <phoneticPr fontId="2" type="noConversion"/>
  </si>
  <si>
    <t>OLT</t>
    <phoneticPr fontId="2" type="noConversion"/>
  </si>
  <si>
    <t>LOT</t>
    <phoneticPr fontId="2" type="noConversion"/>
  </si>
  <si>
    <t>PLC, PC 포함</t>
    <phoneticPr fontId="2" type="noConversion"/>
  </si>
  <si>
    <t>PC 포함</t>
    <phoneticPr fontId="2" type="noConversion"/>
  </si>
  <si>
    <t>이벤트 대응 포함</t>
    <phoneticPr fontId="2" type="noConversion"/>
  </si>
  <si>
    <t>이벤트 대응 포함</t>
    <phoneticPr fontId="2" type="noConversion"/>
  </si>
  <si>
    <t>M/D</t>
    <phoneticPr fontId="2" type="noConversion"/>
  </si>
  <si>
    <t>해외체류경비 및 기타</t>
    <phoneticPr fontId="2" type="noConversion"/>
  </si>
  <si>
    <t>LOT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</si>
</sst>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4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556">
    <xf numFmtId="0" fontId="0" fillId="0" borderId="0" xfId="0"/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vertical="center"/>
    </xf>
    <xf numFmtId="3" fontId="5" fillId="0" borderId="6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horizontal="center" vertical="center"/>
    </xf>
    <xf numFmtId="3" fontId="5" fillId="0" borderId="12" xfId="0" applyNumberFormat="1" applyFont="1" applyFill="1" applyBorder="1" applyAlignment="1">
      <alignment vertical="center"/>
    </xf>
    <xf numFmtId="3" fontId="5" fillId="0" borderId="13" xfId="0" applyNumberFormat="1" applyFont="1" applyFill="1" applyBorder="1" applyAlignment="1">
      <alignment horizontal="center" vertical="center"/>
    </xf>
    <xf numFmtId="3" fontId="5" fillId="0" borderId="14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Fill="1" applyBorder="1" applyAlignment="1">
      <alignment vertical="center"/>
    </xf>
    <xf numFmtId="177" fontId="5" fillId="0" borderId="3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19" xfId="0" applyNumberFormat="1" applyFont="1" applyFill="1" applyBorder="1" applyAlignment="1">
      <alignment horizontal="center" vertical="center"/>
    </xf>
    <xf numFmtId="177" fontId="5" fillId="0" borderId="17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3" xfId="0" applyNumberFormat="1" applyFont="1" applyFill="1" applyBorder="1" applyAlignment="1">
      <alignment vertical="center"/>
    </xf>
    <xf numFmtId="177" fontId="4" fillId="0" borderId="3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Fill="1" applyBorder="1" applyAlignment="1">
      <alignment vertical="center"/>
    </xf>
    <xf numFmtId="3" fontId="5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horizontal="left" vertical="center"/>
    </xf>
    <xf numFmtId="177" fontId="4" fillId="0" borderId="31" xfId="0" applyNumberFormat="1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4" fontId="1" fillId="0" borderId="0" xfId="0" applyNumberFormat="1" applyFont="1" applyFill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2" xfId="0" applyNumberFormat="1" applyFont="1" applyFill="1" applyBorder="1" applyAlignment="1">
      <alignment horizontal="center" vertical="center"/>
    </xf>
    <xf numFmtId="3" fontId="5" fillId="0" borderId="4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Fill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Fill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0" fillId="0" borderId="51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3" fontId="5" fillId="0" borderId="54" xfId="0" applyNumberFormat="1" applyFont="1" applyFill="1" applyBorder="1" applyAlignment="1">
      <alignment vertical="center"/>
    </xf>
    <xf numFmtId="177" fontId="4" fillId="0" borderId="17" xfId="0" applyNumberFormat="1" applyFon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Fill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Fill="1" applyBorder="1" applyAlignment="1">
      <alignment horizontal="left" vertical="center"/>
    </xf>
    <xf numFmtId="178" fontId="1" fillId="0" borderId="63" xfId="0" applyNumberFormat="1" applyFont="1" applyFill="1" applyBorder="1" applyAlignment="1">
      <alignment vertical="center"/>
    </xf>
    <xf numFmtId="178" fontId="0" fillId="0" borderId="64" xfId="0" applyNumberFormat="1" applyFill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Fill="1" applyBorder="1" applyAlignment="1">
      <alignment horizontal="left" vertical="center"/>
    </xf>
    <xf numFmtId="178" fontId="1" fillId="0" borderId="4" xfId="0" applyNumberFormat="1" applyFont="1" applyFill="1" applyBorder="1" applyAlignment="1">
      <alignment vertical="center"/>
    </xf>
    <xf numFmtId="178" fontId="0" fillId="0" borderId="67" xfId="0" applyNumberFormat="1" applyFill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6" xfId="0" applyNumberFormat="1" applyFill="1" applyBorder="1" applyAlignment="1">
      <alignment horizontal="center" vertical="center"/>
    </xf>
    <xf numFmtId="178" fontId="0" fillId="0" borderId="68" xfId="0" applyNumberFormat="1" applyFill="1" applyBorder="1" applyAlignment="1">
      <alignment vertical="center"/>
    </xf>
    <xf numFmtId="178" fontId="0" fillId="0" borderId="46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23" xfId="0" applyNumberFormat="1" applyFont="1" applyFill="1" applyBorder="1" applyAlignment="1">
      <alignment vertical="center"/>
    </xf>
    <xf numFmtId="178" fontId="0" fillId="0" borderId="69" xfId="0" applyNumberForma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50" xfId="0" applyNumberFormat="1" applyFill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36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right" vertical="center"/>
    </xf>
    <xf numFmtId="0" fontId="1" fillId="0" borderId="36" xfId="0" applyFont="1" applyFill="1" applyBorder="1" applyAlignment="1">
      <alignment vertical="center"/>
    </xf>
    <xf numFmtId="0" fontId="1" fillId="0" borderId="5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Fill="1" applyBorder="1" applyAlignment="1">
      <alignment vertical="center"/>
    </xf>
    <xf numFmtId="178" fontId="1" fillId="0" borderId="6" xfId="0" applyNumberFormat="1" applyFont="1" applyFill="1" applyBorder="1" applyAlignment="1">
      <alignment vertical="center"/>
    </xf>
    <xf numFmtId="178" fontId="1" fillId="0" borderId="8" xfId="0" applyNumberFormat="1" applyFont="1" applyFill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Fill="1" applyBorder="1" applyAlignment="1">
      <alignment vertical="center"/>
    </xf>
    <xf numFmtId="178" fontId="26" fillId="0" borderId="63" xfId="0" applyNumberFormat="1" applyFont="1" applyFill="1" applyBorder="1" applyAlignment="1">
      <alignment vertical="center"/>
    </xf>
    <xf numFmtId="178" fontId="26" fillId="0" borderId="86" xfId="0" applyNumberFormat="1" applyFont="1" applyFill="1" applyBorder="1" applyAlignment="1">
      <alignment vertical="center"/>
    </xf>
    <xf numFmtId="178" fontId="26" fillId="0" borderId="13" xfId="0" applyNumberFormat="1" applyFont="1" applyFill="1" applyBorder="1" applyAlignment="1">
      <alignment vertical="center"/>
    </xf>
    <xf numFmtId="178" fontId="26" fillId="0" borderId="4" xfId="0" applyNumberFormat="1" applyFont="1" applyFill="1" applyBorder="1" applyAlignment="1">
      <alignment vertical="center"/>
    </xf>
    <xf numFmtId="178" fontId="26" fillId="0" borderId="5" xfId="0" applyNumberFormat="1" applyFont="1" applyFill="1" applyBorder="1" applyAlignment="1">
      <alignment vertical="center"/>
    </xf>
    <xf numFmtId="178" fontId="26" fillId="0" borderId="87" xfId="0" applyNumberFormat="1" applyFont="1" applyFill="1" applyBorder="1" applyAlignment="1">
      <alignment vertical="center"/>
    </xf>
    <xf numFmtId="178" fontId="26" fillId="0" borderId="23" xfId="0" applyNumberFormat="1" applyFont="1" applyFill="1" applyBorder="1" applyAlignment="1">
      <alignment vertical="center"/>
    </xf>
    <xf numFmtId="178" fontId="26" fillId="0" borderId="9" xfId="0" applyNumberFormat="1" applyFont="1" applyFill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0" fillId="0" borderId="62" xfId="0" applyNumberFormat="1" applyFill="1" applyBorder="1" applyAlignment="1">
      <alignment horizontal="center"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Fill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center" vertical="center"/>
    </xf>
    <xf numFmtId="4" fontId="0" fillId="0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Fill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78" fontId="0" fillId="7" borderId="39" xfId="0" applyNumberForma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4" fillId="2" borderId="96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vertical="center"/>
    </xf>
    <xf numFmtId="0" fontId="24" fillId="2" borderId="97" xfId="0" applyFont="1" applyFill="1" applyBorder="1" applyAlignment="1">
      <alignment horizontal="right" vertical="center"/>
    </xf>
    <xf numFmtId="0" fontId="25" fillId="2" borderId="98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8" borderId="36" xfId="0" applyFont="1" applyFill="1" applyBorder="1" applyAlignment="1">
      <alignment vertical="center"/>
    </xf>
    <xf numFmtId="0" fontId="29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0" fillId="8" borderId="52" xfId="0" applyFont="1" applyFill="1" applyBorder="1" applyAlignment="1">
      <alignment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183" fontId="30" fillId="8" borderId="36" xfId="0" applyNumberFormat="1" applyFont="1" applyFill="1" applyBorder="1" applyAlignment="1">
      <alignment vertical="center"/>
    </xf>
    <xf numFmtId="178" fontId="0" fillId="0" borderId="49" xfId="0" applyNumberFormat="1" applyFont="1" applyBorder="1" applyAlignment="1">
      <alignment vertical="center"/>
    </xf>
    <xf numFmtId="178" fontId="0" fillId="0" borderId="46" xfId="0" applyNumberFormat="1" applyFont="1" applyBorder="1" applyAlignment="1">
      <alignment vertical="center"/>
    </xf>
    <xf numFmtId="178" fontId="0" fillId="2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30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0" fontId="0" fillId="8" borderId="52" xfId="0" applyFont="1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0" fillId="0" borderId="36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182" fontId="0" fillId="2" borderId="15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right" vertical="center"/>
    </xf>
    <xf numFmtId="178" fontId="1" fillId="0" borderId="10" xfId="0" applyNumberFormat="1" applyFont="1" applyFill="1" applyBorder="1" applyAlignment="1">
      <alignment horizontal="right" vertical="center"/>
    </xf>
    <xf numFmtId="0" fontId="0" fillId="0" borderId="39" xfId="0" applyFill="1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99" xfId="0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178" fontId="0" fillId="0" borderId="100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8" borderId="0" xfId="0" applyNumberFormat="1" applyFont="1" applyFill="1" applyBorder="1" applyAlignment="1">
      <alignment vertical="center"/>
    </xf>
    <xf numFmtId="178" fontId="0" fillId="7" borderId="39" xfId="0" applyNumberFormat="1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center" vertical="center"/>
    </xf>
    <xf numFmtId="0" fontId="1" fillId="7" borderId="92" xfId="0" applyFont="1" applyFill="1" applyBorder="1" applyAlignment="1">
      <alignment horizontal="center" vertical="center"/>
    </xf>
    <xf numFmtId="0" fontId="0" fillId="7" borderId="3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80" fontId="0" fillId="2" borderId="45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left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178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3" fontId="5" fillId="0" borderId="103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98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177" fontId="0" fillId="0" borderId="59" xfId="0" applyNumberFormat="1" applyFont="1" applyFill="1" applyBorder="1" applyAlignment="1">
      <alignment horizontal="center" vertical="center"/>
    </xf>
    <xf numFmtId="177" fontId="0" fillId="0" borderId="102" xfId="0" applyNumberFormat="1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3" fontId="0" fillId="0" borderId="24" xfId="0" applyNumberFormat="1" applyFont="1" applyFill="1" applyBorder="1" applyAlignment="1">
      <alignment horizontal="center" vertical="center" wrapText="1"/>
    </xf>
    <xf numFmtId="3" fontId="0" fillId="0" borderId="74" xfId="0" applyNumberFormat="1" applyFont="1" applyFill="1" applyBorder="1" applyAlignment="1">
      <alignment horizontal="center" vertical="center"/>
    </xf>
    <xf numFmtId="3" fontId="0" fillId="0" borderId="17" xfId="0" applyNumberFormat="1" applyFont="1" applyFill="1" applyBorder="1" applyAlignment="1">
      <alignment horizontal="center" vertical="center"/>
    </xf>
    <xf numFmtId="3" fontId="3" fillId="0" borderId="31" xfId="0" quotePrefix="1" applyNumberFormat="1" applyFont="1" applyFill="1" applyBorder="1" applyAlignment="1">
      <alignment horizontal="left" vertical="center"/>
    </xf>
    <xf numFmtId="3" fontId="3" fillId="0" borderId="119" xfId="0" quotePrefix="1" applyNumberFormat="1" applyFont="1" applyFill="1" applyBorder="1" applyAlignment="1">
      <alignment horizontal="left" vertical="center"/>
    </xf>
    <xf numFmtId="3" fontId="3" fillId="0" borderId="120" xfId="0" quotePrefix="1" applyNumberFormat="1" applyFont="1" applyFill="1" applyBorder="1" applyAlignment="1">
      <alignment horizontal="left" vertical="center"/>
    </xf>
    <xf numFmtId="3" fontId="0" fillId="0" borderId="103" xfId="0" quotePrefix="1" applyNumberFormat="1" applyFill="1" applyBorder="1" applyAlignment="1">
      <alignment horizontal="left" vertical="center"/>
    </xf>
    <xf numFmtId="3" fontId="0" fillId="0" borderId="7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5" fillId="0" borderId="59" xfId="0" applyNumberFormat="1" applyFont="1" applyFill="1" applyBorder="1" applyAlignment="1">
      <alignment horizontal="center" vertical="center"/>
    </xf>
    <xf numFmtId="3" fontId="5" fillId="0" borderId="102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/>
    </xf>
    <xf numFmtId="3" fontId="3" fillId="0" borderId="59" xfId="0" applyNumberFormat="1" applyFont="1" applyFill="1" applyBorder="1" applyAlignment="1">
      <alignment horizontal="left" vertical="center"/>
    </xf>
    <xf numFmtId="3" fontId="3" fillId="0" borderId="102" xfId="0" applyNumberFormat="1" applyFont="1" applyFill="1" applyBorder="1" applyAlignment="1">
      <alignment horizontal="left" vertical="center"/>
    </xf>
    <xf numFmtId="3" fontId="3" fillId="0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71" xfId="0" applyNumberFormat="1" applyFont="1" applyFill="1" applyBorder="1" applyAlignment="1">
      <alignment horizontal="center" vertical="center"/>
    </xf>
    <xf numFmtId="3" fontId="5" fillId="0" borderId="90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5" fillId="0" borderId="116" xfId="0" applyNumberFormat="1" applyFont="1" applyFill="1" applyBorder="1" applyAlignment="1">
      <alignment horizontal="center" vertical="center"/>
    </xf>
    <xf numFmtId="3" fontId="5" fillId="0" borderId="79" xfId="0" applyNumberFormat="1" applyFont="1" applyFill="1" applyBorder="1" applyAlignment="1">
      <alignment horizontal="center" vertical="center"/>
    </xf>
    <xf numFmtId="3" fontId="5" fillId="0" borderId="48" xfId="0" applyNumberFormat="1" applyFont="1" applyFill="1" applyBorder="1" applyAlignment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06" xfId="0" applyNumberFormat="1" applyFont="1" applyFill="1" applyBorder="1" applyAlignment="1">
      <alignment horizontal="center" vertical="center"/>
    </xf>
    <xf numFmtId="3" fontId="5" fillId="0" borderId="10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 wrapText="1"/>
    </xf>
    <xf numFmtId="3" fontId="5" fillId="0" borderId="94" xfId="0" applyNumberFormat="1" applyFont="1" applyFill="1" applyBorder="1" applyAlignment="1">
      <alignment horizontal="center" vertical="center"/>
    </xf>
    <xf numFmtId="3" fontId="5" fillId="0" borderId="107" xfId="0" applyNumberFormat="1" applyFont="1" applyFill="1" applyBorder="1" applyAlignment="1">
      <alignment horizontal="center" vertical="center"/>
    </xf>
    <xf numFmtId="3" fontId="5" fillId="0" borderId="110" xfId="0" applyNumberFormat="1" applyFont="1" applyFill="1" applyBorder="1" applyAlignment="1">
      <alignment horizontal="center" vertical="center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6" fillId="0" borderId="59" xfId="0" applyNumberFormat="1" applyFont="1" applyFill="1" applyBorder="1" applyAlignment="1">
      <alignment horizontal="center" vertical="center"/>
    </xf>
    <xf numFmtId="3" fontId="6" fillId="0" borderId="102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45"/>
  <sheetViews>
    <sheetView tabSelected="1" zoomScale="90" zoomScaleNormal="90" zoomScaleSheetLayoutView="90" workbookViewId="0">
      <selection activeCell="E18" sqref="E18"/>
    </sheetView>
  </sheetViews>
  <sheetFormatPr defaultRowHeight="13.5"/>
  <cols>
    <col min="1" max="1" width="2" style="181" customWidth="1"/>
    <col min="2" max="2" width="4.875" style="181" customWidth="1"/>
    <col min="3" max="3" width="8.5" style="181" customWidth="1"/>
    <col min="4" max="4" width="14.75" style="181" customWidth="1"/>
    <col min="5" max="6" width="11.125" style="181" customWidth="1"/>
    <col min="7" max="7" width="14.125" style="181" customWidth="1"/>
    <col min="8" max="8" width="18" style="181" bestFit="1" customWidth="1"/>
    <col min="9" max="9" width="8.75" style="181" customWidth="1"/>
    <col min="10" max="10" width="9" style="181"/>
    <col min="11" max="11" width="33.25" style="181" customWidth="1"/>
    <col min="12" max="16384" width="9" style="181"/>
  </cols>
  <sheetData>
    <row r="1" spans="2:9">
      <c r="B1" s="181" t="s">
        <v>137</v>
      </c>
    </row>
    <row r="2" spans="2:9" ht="38.25">
      <c r="B2" s="419" t="s">
        <v>132</v>
      </c>
      <c r="C2" s="419"/>
      <c r="D2" s="419"/>
      <c r="E2" s="419"/>
      <c r="F2" s="419"/>
      <c r="G2" s="419"/>
      <c r="H2" s="419"/>
      <c r="I2" s="419"/>
    </row>
    <row r="4" spans="2:9" s="188" customFormat="1" ht="24" customHeight="1">
      <c r="B4" s="420" t="s">
        <v>173</v>
      </c>
      <c r="C4" s="420"/>
      <c r="D4" s="420"/>
      <c r="E4" s="199"/>
      <c r="F4" s="199"/>
      <c r="G4" s="335" t="s">
        <v>192</v>
      </c>
      <c r="H4" s="336"/>
      <c r="I4" s="409"/>
    </row>
    <row r="5" spans="2:9" s="188" customFormat="1" ht="21.75" customHeight="1">
      <c r="B5" s="440" t="s">
        <v>125</v>
      </c>
      <c r="C5" s="441"/>
      <c r="D5" s="389">
        <v>46152</v>
      </c>
      <c r="E5" s="200"/>
      <c r="F5" s="199"/>
      <c r="G5" s="337" t="s">
        <v>193</v>
      </c>
      <c r="H5" s="338"/>
      <c r="I5" s="410"/>
    </row>
    <row r="6" spans="2:9" s="188" customFormat="1" ht="21.75" customHeight="1">
      <c r="B6" s="432" t="s">
        <v>126</v>
      </c>
      <c r="C6" s="433"/>
      <c r="D6" s="287" t="s">
        <v>191</v>
      </c>
      <c r="E6" s="201"/>
      <c r="F6" s="199"/>
      <c r="G6" s="337" t="s">
        <v>194</v>
      </c>
      <c r="H6" s="339"/>
      <c r="I6" s="411"/>
    </row>
    <row r="7" spans="2:9" s="188" customFormat="1" ht="21.75" customHeight="1">
      <c r="B7" s="442" t="s">
        <v>127</v>
      </c>
      <c r="C7" s="207" t="s">
        <v>135</v>
      </c>
      <c r="D7" s="287"/>
      <c r="E7" s="201"/>
      <c r="F7" s="199"/>
      <c r="G7" s="340"/>
      <c r="H7" s="339"/>
      <c r="I7" s="411"/>
    </row>
    <row r="8" spans="2:9" s="188" customFormat="1" ht="21.75" customHeight="1">
      <c r="B8" s="442"/>
      <c r="C8" s="207" t="s">
        <v>136</v>
      </c>
      <c r="D8" s="287"/>
      <c r="E8" s="201"/>
      <c r="F8" s="199"/>
      <c r="G8" s="340" t="s">
        <v>195</v>
      </c>
      <c r="H8" s="339"/>
      <c r="I8" s="411"/>
    </row>
    <row r="9" spans="2:9" s="188" customFormat="1" ht="21.75" customHeight="1">
      <c r="B9" s="432" t="s">
        <v>128</v>
      </c>
      <c r="C9" s="433"/>
      <c r="D9" s="287" t="s">
        <v>183</v>
      </c>
      <c r="E9" s="201"/>
      <c r="F9" s="199"/>
      <c r="G9" s="337" t="s">
        <v>196</v>
      </c>
      <c r="H9" s="339"/>
      <c r="I9" s="411"/>
    </row>
    <row r="10" spans="2:9" s="188" customFormat="1" ht="21.75" customHeight="1">
      <c r="B10" s="432" t="s">
        <v>129</v>
      </c>
      <c r="C10" s="433"/>
      <c r="D10" s="287" t="s">
        <v>179</v>
      </c>
      <c r="E10" s="201"/>
      <c r="G10" s="341" t="s">
        <v>181</v>
      </c>
      <c r="H10" s="342" t="s">
        <v>197</v>
      </c>
      <c r="I10" s="412"/>
    </row>
    <row r="11" spans="2:9" s="188" customFormat="1" ht="21.75" customHeight="1">
      <c r="B11" s="432" t="s">
        <v>130</v>
      </c>
      <c r="C11" s="433"/>
      <c r="D11" s="376" t="s">
        <v>180</v>
      </c>
      <c r="E11" s="201"/>
      <c r="G11" s="343" t="s">
        <v>182</v>
      </c>
      <c r="H11" s="344" t="s">
        <v>198</v>
      </c>
      <c r="I11" s="413"/>
    </row>
    <row r="12" spans="2:9" s="189" customFormat="1" ht="10.5" customHeight="1">
      <c r="B12" s="191"/>
      <c r="I12" s="190"/>
    </row>
    <row r="13" spans="2:9" s="203" customFormat="1" ht="24.95" customHeight="1">
      <c r="B13" s="469" t="s">
        <v>189</v>
      </c>
      <c r="C13" s="469"/>
      <c r="D13" s="476" t="s">
        <v>199</v>
      </c>
      <c r="E13" s="477"/>
      <c r="F13" s="477"/>
      <c r="G13" s="478" t="str">
        <f>H27</f>
        <v/>
      </c>
      <c r="H13" s="479"/>
      <c r="I13" s="375"/>
    </row>
    <row r="14" spans="2:9" s="203" customFormat="1" ht="24.95" customHeight="1">
      <c r="B14" s="469" t="s">
        <v>177</v>
      </c>
      <c r="C14" s="469"/>
      <c r="D14" s="470" t="str">
        <f>"一金"&amp;NUMBERSTRING(H14,1)&amp;"원"</f>
        <v>一金일십칠억사천오백만원</v>
      </c>
      <c r="E14" s="470"/>
      <c r="F14" s="470"/>
      <c r="G14" s="414" t="s">
        <v>190</v>
      </c>
      <c r="H14" s="414">
        <f>H28*1000</f>
        <v>1745000000.0000002</v>
      </c>
      <c r="I14" s="375" t="s">
        <v>178</v>
      </c>
    </row>
    <row r="15" spans="2:9" s="188" customFormat="1" ht="8.25" customHeight="1"/>
    <row r="16" spans="2:9" s="182" customFormat="1" ht="24.95" customHeight="1">
      <c r="B16" s="422" t="s">
        <v>120</v>
      </c>
      <c r="C16" s="434" t="s">
        <v>144</v>
      </c>
      <c r="D16" s="435"/>
      <c r="E16" s="421" t="s">
        <v>131</v>
      </c>
      <c r="F16" s="421"/>
      <c r="G16" s="421"/>
      <c r="H16" s="421"/>
      <c r="I16" s="422" t="s">
        <v>27</v>
      </c>
    </row>
    <row r="17" spans="1:12" s="182" customFormat="1" ht="29.25" customHeight="1">
      <c r="B17" s="421"/>
      <c r="C17" s="436"/>
      <c r="D17" s="437"/>
      <c r="E17" s="393" t="s">
        <v>186</v>
      </c>
      <c r="F17" s="394" t="s">
        <v>187</v>
      </c>
      <c r="G17" s="408" t="s">
        <v>188</v>
      </c>
      <c r="H17" s="392" t="s">
        <v>124</v>
      </c>
      <c r="I17" s="421"/>
    </row>
    <row r="18" spans="1:12" s="192" customFormat="1" ht="24.95" customHeight="1">
      <c r="B18" s="395">
        <v>1</v>
      </c>
      <c r="C18" s="474" t="str">
        <f>단위장비1!C1</f>
        <v>O/RACE LINE</v>
      </c>
      <c r="D18" s="475"/>
      <c r="E18" s="405">
        <f>IF('단위공사별(집계)'!N7&gt;1,('단위공사별(집계)'!D7+'단위공사별(집계)'!E7+'단위공사별(집계)'!F7+'단위공사별(집계)'!G7+'단위공사별(집계)'!H7+'단위공사별(집계)'!I7)/1000," ")</f>
        <v>748667.80715396581</v>
      </c>
      <c r="F18" s="471">
        <f>IF('단위공사별(집계)'!N7&gt;0,'단위공사별(집계)'!K17/1000,"")</f>
        <v>419000</v>
      </c>
      <c r="G18" s="396">
        <f>IF('단위공사별(집계)'!N7&gt;0,('단위공사별(집계)'!L7+'단위공사별(집계)'!M7)/1000,"")</f>
        <v>9400</v>
      </c>
      <c r="H18" s="397">
        <f>IF('단위공사별(집계)'!N7&gt;0,'단위공사별(집계)'!N7/1000,"")</f>
        <v>997608.08709175745</v>
      </c>
      <c r="I18" s="398"/>
      <c r="L18" s="310"/>
    </row>
    <row r="19" spans="1:12" s="192" customFormat="1" ht="24.95" customHeight="1">
      <c r="B19" s="193">
        <v>2</v>
      </c>
      <c r="C19" s="438" t="str">
        <f>단위장비2!C1</f>
        <v>T/HSG LINE</v>
      </c>
      <c r="D19" s="439"/>
      <c r="E19" s="406">
        <f>IF('단위공사별(집계)'!N8&gt;1,('단위공사별(집계)'!D8+'단위공사별(집계)'!E8+'단위공사별(집계)'!F8+'단위공사별(집계)'!G8+'단위공사별(집계)'!H8+'단위공사별(집계)'!I8)/1000," ")</f>
        <v>314280.55987558322</v>
      </c>
      <c r="F19" s="472"/>
      <c r="G19" s="194">
        <f>IF('단위공사별(집계)'!N8&gt;0,('단위공사별(집계)'!L8+'단위공사별(집계)'!M8)/1000,"")</f>
        <v>0</v>
      </c>
      <c r="H19" s="407">
        <f>IF('단위공사별(집계)'!N8&gt;0,'단위공사별(집계)'!N8/1000,"")</f>
        <v>413589.42457231728</v>
      </c>
      <c r="I19" s="374"/>
    </row>
    <row r="20" spans="1:12" s="192" customFormat="1" ht="24.95" customHeight="1">
      <c r="B20" s="193">
        <v>3</v>
      </c>
      <c r="C20" s="438" t="str">
        <f>단위장비3!C1</f>
        <v>I/RACE LINE</v>
      </c>
      <c r="D20" s="439"/>
      <c r="E20" s="406">
        <f>IF('단위공사별(집계)'!N9&gt;1,('단위공사별(집계)'!D9+'단위공사별(집계)'!E9+'단위공사별(집계)'!F9+'단위공사별(집계)'!G9+'단위공사별(집계)'!H9+'단위공사별(집계)'!I9)/1000," ")</f>
        <v>253651.632970451</v>
      </c>
      <c r="F20" s="472"/>
      <c r="G20" s="194">
        <f>IF('단위공사별(집계)'!N9&gt;0,('단위공사별(집계)'!L9+'단위공사별(집계)'!M9)/1000,"")</f>
        <v>0</v>
      </c>
      <c r="H20" s="407">
        <f>IF('단위공사별(집계)'!N9&gt;0,'단위공사별(집계)'!N9/1000,"")</f>
        <v>333802.48833592533</v>
      </c>
      <c r="I20" s="195"/>
    </row>
    <row r="21" spans="1:12" s="192" customFormat="1" ht="24.95" customHeight="1">
      <c r="B21" s="193">
        <v>4</v>
      </c>
      <c r="C21" s="438">
        <f>단위장비4!C1</f>
        <v>0</v>
      </c>
      <c r="D21" s="439"/>
      <c r="E21" s="406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472"/>
      <c r="G21" s="194" t="str">
        <f>IF('단위공사별(집계)'!N10&gt;0,('단위공사별(집계)'!L10+'단위공사별(집계)'!M10)/1000,"")</f>
        <v/>
      </c>
      <c r="H21" s="407" t="str">
        <f>IF('단위공사별(집계)'!N10&gt;0,'단위공사별(집계)'!N10/1000,"")</f>
        <v/>
      </c>
      <c r="I21" s="195"/>
    </row>
    <row r="22" spans="1:12" s="192" customFormat="1" ht="24.95" customHeight="1">
      <c r="B22" s="193">
        <v>5</v>
      </c>
      <c r="C22" s="438">
        <f>단위장비5!C1</f>
        <v>0</v>
      </c>
      <c r="D22" s="439"/>
      <c r="E22" s="406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472"/>
      <c r="G22" s="194" t="str">
        <f>IF('단위공사별(집계)'!N11&gt;0,('단위공사별(집계)'!L11+'단위공사별(집계)'!M11)/1000,"")</f>
        <v/>
      </c>
      <c r="H22" s="407" t="str">
        <f>IF('단위공사별(집계)'!N11&gt;0,'단위공사별(집계)'!N11/1000,"")</f>
        <v/>
      </c>
      <c r="I22" s="195"/>
    </row>
    <row r="23" spans="1:12" s="192" customFormat="1" ht="24.95" customHeight="1">
      <c r="B23" s="193">
        <v>6</v>
      </c>
      <c r="C23" s="438">
        <f>단위장비6!C1</f>
        <v>0</v>
      </c>
      <c r="D23" s="439"/>
      <c r="E23" s="406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472"/>
      <c r="G23" s="194" t="str">
        <f>IF('단위공사별(집계)'!N12&gt;0,('단위공사별(집계)'!L12+'단위공사별(집계)'!M12)/1000,"")</f>
        <v/>
      </c>
      <c r="H23" s="407" t="str">
        <f>IF('단위공사별(집계)'!N12&gt;0,'단위공사별(집계)'!N12/1000,"")</f>
        <v/>
      </c>
      <c r="I23" s="195"/>
    </row>
    <row r="24" spans="1:12" s="192" customFormat="1" ht="24.95" customHeight="1">
      <c r="B24" s="193">
        <v>7</v>
      </c>
      <c r="C24" s="438">
        <f>단위장비7!C1</f>
        <v>0</v>
      </c>
      <c r="D24" s="439"/>
      <c r="E24" s="406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72"/>
      <c r="G24" s="194" t="str">
        <f>IF('단위공사별(집계)'!N13&gt;0,('단위공사별(집계)'!L13+'단위공사별(집계)'!M13)/1000,"")</f>
        <v/>
      </c>
      <c r="H24" s="407" t="str">
        <f>IF('단위공사별(집계)'!N13&gt;0,'단위공사별(집계)'!N13/1000,"")</f>
        <v/>
      </c>
      <c r="I24" s="195"/>
    </row>
    <row r="25" spans="1:12" s="192" customFormat="1" ht="24.95" customHeight="1">
      <c r="B25" s="196">
        <v>8</v>
      </c>
      <c r="C25" s="438">
        <f>단위장비8!C1</f>
        <v>0</v>
      </c>
      <c r="D25" s="439"/>
      <c r="E25" s="406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72"/>
      <c r="G25" s="194" t="str">
        <f>IF('단위공사별(집계)'!N14&gt;0,('단위공사별(집계)'!L14+'단위공사별(집계)'!M14)/1000,"")</f>
        <v/>
      </c>
      <c r="H25" s="407" t="str">
        <f>IF('단위공사별(집계)'!N14&gt;0,'단위공사별(집계)'!N14/1000,"")</f>
        <v/>
      </c>
      <c r="I25" s="195"/>
    </row>
    <row r="26" spans="1:12" s="192" customFormat="1" ht="24.95" customHeight="1">
      <c r="B26" s="196">
        <v>9</v>
      </c>
      <c r="C26" s="438">
        <f>단위장비9!C1</f>
        <v>0</v>
      </c>
      <c r="D26" s="439"/>
      <c r="E26" s="406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72"/>
      <c r="G26" s="194" t="str">
        <f>IF('단위공사별(집계)'!N15&gt;0,('단위공사별(집계)'!L15+'단위공사별(집계)'!M15)/1000,"")</f>
        <v/>
      </c>
      <c r="H26" s="407" t="str">
        <f>IF('단위공사별(집계)'!N15&gt;0,'단위공사별(집계)'!N15/1000,"")</f>
        <v/>
      </c>
      <c r="I26" s="195"/>
    </row>
    <row r="27" spans="1:12" s="192" customFormat="1" ht="24.95" customHeight="1">
      <c r="B27" s="197">
        <v>10</v>
      </c>
      <c r="C27" s="438">
        <f>단위장비10!C1</f>
        <v>0</v>
      </c>
      <c r="D27" s="439"/>
      <c r="E27" s="406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73"/>
      <c r="G27" s="194" t="str">
        <f>IF('단위공사별(집계)'!N16&gt;0,('단위공사별(집계)'!L16+'단위공사별(집계)'!M16)/1000,"")</f>
        <v/>
      </c>
      <c r="H27" s="407" t="str">
        <f>IF('단위공사별(집계)'!N16&gt;0,'단위공사별(집계)'!N16/1000,"")</f>
        <v/>
      </c>
      <c r="I27" s="198"/>
    </row>
    <row r="28" spans="1:12" ht="24.95" customHeight="1">
      <c r="B28" s="426" t="s">
        <v>133</v>
      </c>
      <c r="C28" s="427"/>
      <c r="D28" s="428"/>
      <c r="E28" s="204">
        <f>SUM(E18:E27)</f>
        <v>1316600</v>
      </c>
      <c r="F28" s="205">
        <f>SUM(F18)</f>
        <v>419000</v>
      </c>
      <c r="G28" s="205">
        <f>SUM(G18:G27)</f>
        <v>9400</v>
      </c>
      <c r="H28" s="309">
        <f>SUM(H18:H27)</f>
        <v>1745000.0000000002</v>
      </c>
      <c r="I28" s="206"/>
    </row>
    <row r="29" spans="1:12" ht="4.5" customHeight="1">
      <c r="A29" s="184"/>
      <c r="B29" s="185"/>
      <c r="C29" s="186"/>
      <c r="D29" s="186"/>
      <c r="E29" s="187"/>
      <c r="F29" s="187"/>
      <c r="G29" s="187"/>
      <c r="H29" s="187"/>
      <c r="I29" s="184"/>
    </row>
    <row r="30" spans="1:12" ht="24" customHeight="1">
      <c r="A30" s="184"/>
      <c r="B30" s="186"/>
      <c r="C30" s="186"/>
      <c r="D30" s="186"/>
      <c r="E30" s="187"/>
      <c r="F30" s="461" t="s">
        <v>134</v>
      </c>
      <c r="G30" s="462"/>
      <c r="H30" s="183"/>
      <c r="I30" s="184"/>
    </row>
    <row r="31" spans="1:12" ht="15" customHeight="1">
      <c r="A31" s="184"/>
      <c r="B31" s="186"/>
      <c r="C31" s="186"/>
      <c r="D31" s="186"/>
      <c r="E31" s="187"/>
      <c r="F31" s="187"/>
      <c r="G31" s="187"/>
      <c r="H31" s="187"/>
      <c r="I31" s="184"/>
    </row>
    <row r="32" spans="1:12" ht="22.5" customHeight="1">
      <c r="B32" s="423" t="s">
        <v>123</v>
      </c>
      <c r="C32" s="455" t="s">
        <v>121</v>
      </c>
      <c r="D32" s="456"/>
      <c r="E32" s="457"/>
      <c r="F32" s="463" t="s">
        <v>143</v>
      </c>
      <c r="G32" s="464"/>
      <c r="H32" s="464"/>
      <c r="I32" s="465"/>
    </row>
    <row r="33" spans="2:11" ht="22.5" customHeight="1">
      <c r="B33" s="424"/>
      <c r="C33" s="458" t="s">
        <v>122</v>
      </c>
      <c r="D33" s="459"/>
      <c r="E33" s="460"/>
      <c r="F33" s="202" t="s">
        <v>167</v>
      </c>
      <c r="G33" s="466"/>
      <c r="H33" s="467"/>
      <c r="I33" s="468"/>
    </row>
    <row r="34" spans="2:11" ht="22.5" customHeight="1">
      <c r="B34" s="424"/>
      <c r="C34" s="429">
        <f>'원가항목별(집계)'!I39</f>
        <v>0</v>
      </c>
      <c r="D34" s="430"/>
      <c r="E34" s="431"/>
      <c r="F34" s="208" t="s">
        <v>168</v>
      </c>
      <c r="G34" s="449"/>
      <c r="H34" s="450"/>
      <c r="I34" s="451"/>
    </row>
    <row r="35" spans="2:11" ht="22.5" customHeight="1">
      <c r="B35" s="424"/>
      <c r="C35" s="443"/>
      <c r="D35" s="444"/>
      <c r="E35" s="445"/>
      <c r="F35" s="208" t="s">
        <v>169</v>
      </c>
      <c r="G35" s="449"/>
      <c r="H35" s="450"/>
      <c r="I35" s="451"/>
    </row>
    <row r="36" spans="2:11" ht="22.5" customHeight="1">
      <c r="B36" s="425"/>
      <c r="C36" s="446"/>
      <c r="D36" s="447"/>
      <c r="E36" s="448"/>
      <c r="F36" s="209" t="s">
        <v>170</v>
      </c>
      <c r="G36" s="452"/>
      <c r="H36" s="453"/>
      <c r="I36" s="454"/>
    </row>
    <row r="45" spans="2:11">
      <c r="K45" s="181">
        <f>전기!H67+단위장비1!H63+단위장비2!H77+단위장비3!H73+단위장비5!H68+단위장비4!H69+단위장비6!H69+단위장비7!H69+단위장비8!H69+단위장비9!H69+단위장비10!H69</f>
        <v>1745000000</v>
      </c>
    </row>
  </sheetData>
  <mergeCells count="41"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62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M50"/>
  <sheetViews>
    <sheetView showGridLines="0" zoomScale="80" workbookViewId="0">
      <pane ySplit="6" topLeftCell="A7" activePane="bottomLeft" state="frozen"/>
      <selection activeCell="H28" sqref="H28"/>
      <selection pane="bottomLeft" activeCell="D2" sqref="D2"/>
    </sheetView>
  </sheetViews>
  <sheetFormatPr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12.75" style="44" bestFit="1" customWidth="1"/>
    <col min="9" max="9" width="17.5" style="44" bestFit="1" customWidth="1"/>
    <col min="10" max="10" width="15.625" style="7" customWidth="1"/>
    <col min="11" max="11" width="13.75" style="86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83"/>
    </row>
    <row r="2" spans="2:11" s="85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84"/>
    </row>
    <row r="3" spans="2:11" s="85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84"/>
    </row>
    <row r="4" spans="2:11" ht="30" customHeight="1">
      <c r="B4" s="176" t="s">
        <v>114</v>
      </c>
      <c r="D4" s="129"/>
      <c r="J4" s="8"/>
    </row>
    <row r="5" spans="2:11" s="8" customFormat="1" ht="8.25" customHeight="1">
      <c r="B5" s="9"/>
      <c r="C5" s="510"/>
      <c r="D5" s="511"/>
      <c r="E5" s="512"/>
      <c r="F5" s="10"/>
      <c r="G5" s="87"/>
      <c r="H5" s="87"/>
      <c r="I5" s="87"/>
      <c r="J5" s="88"/>
      <c r="K5" s="89"/>
    </row>
    <row r="6" spans="2:11" s="8" customFormat="1" ht="22.5" customHeight="1" thickBot="1">
      <c r="B6" s="37" t="s">
        <v>10</v>
      </c>
      <c r="C6" s="513" t="s">
        <v>12</v>
      </c>
      <c r="D6" s="514"/>
      <c r="E6" s="515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9"/>
    </row>
    <row r="7" spans="2:11" ht="19.5" customHeight="1" thickTop="1">
      <c r="B7" s="507">
        <v>1</v>
      </c>
      <c r="C7" s="531" t="s">
        <v>90</v>
      </c>
      <c r="D7" s="527" t="s">
        <v>1</v>
      </c>
      <c r="E7" s="36" t="s">
        <v>88</v>
      </c>
      <c r="F7" s="179" t="s">
        <v>117</v>
      </c>
      <c r="G7" s="98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63000000</v>
      </c>
      <c r="J7" s="22" t="s">
        <v>21</v>
      </c>
    </row>
    <row r="8" spans="2:11" ht="19.5" customHeight="1">
      <c r="B8" s="507"/>
      <c r="C8" s="527"/>
      <c r="D8" s="527"/>
      <c r="E8" s="12" t="s">
        <v>119</v>
      </c>
      <c r="F8" s="177" t="s">
        <v>118</v>
      </c>
      <c r="G8" s="99">
        <v>1</v>
      </c>
      <c r="H8" s="35"/>
      <c r="I8" s="35">
        <f>단위장비1!H32+단위장비2!H47+단위장비3!H47+단위장비5!H46+단위장비4!H47+단위장비6!H47+단위장비7!H47+단위장비8!H47+단위장비9!H47+단위장비10!H47</f>
        <v>20000000</v>
      </c>
      <c r="J8" s="13" t="s">
        <v>22</v>
      </c>
    </row>
    <row r="9" spans="2:11" ht="19.5" customHeight="1">
      <c r="B9" s="507"/>
      <c r="C9" s="527"/>
      <c r="D9" s="527"/>
      <c r="E9" s="12" t="s">
        <v>2</v>
      </c>
      <c r="F9" s="177" t="s">
        <v>118</v>
      </c>
      <c r="G9" s="100">
        <v>1</v>
      </c>
      <c r="H9" s="35"/>
      <c r="I9" s="35">
        <f>단위장비1!H49+단위장비2!H63+단위장비3!H59+단위장비5!H54+단위장비4!H55+단위장비6!H55+단위장비7!H55+단위장비8!H55+단위장비9!H55+단위장비10!H55</f>
        <v>926000000</v>
      </c>
      <c r="J9" s="13" t="s">
        <v>30</v>
      </c>
    </row>
    <row r="10" spans="2:11" ht="19.5" customHeight="1">
      <c r="B10" s="507"/>
      <c r="C10" s="527"/>
      <c r="D10" s="527"/>
      <c r="E10" s="258" t="s">
        <v>152</v>
      </c>
      <c r="F10" s="279" t="s">
        <v>148</v>
      </c>
      <c r="G10" s="280">
        <v>1</v>
      </c>
      <c r="H10" s="259"/>
      <c r="I10" s="259">
        <f>단위장비1!H16+단위장비2!H30+단위장비3!H30+단위장비5!H29+단위장비4!H30+단위장비6!H30+단위장비7!H30+단위장비8!H30+단위장비9!H30+단위장비10!H30</f>
        <v>0</v>
      </c>
      <c r="J10" s="273" t="s">
        <v>153</v>
      </c>
    </row>
    <row r="11" spans="2:11" ht="19.5" customHeight="1">
      <c r="B11" s="507"/>
      <c r="C11" s="527"/>
      <c r="D11" s="484"/>
      <c r="E11" s="14" t="s">
        <v>67</v>
      </c>
      <c r="F11" s="501"/>
      <c r="G11" s="502"/>
      <c r="H11" s="503"/>
      <c r="I11" s="47">
        <f>SUM(I7:I10)</f>
        <v>1009000000</v>
      </c>
      <c r="J11" s="13"/>
    </row>
    <row r="12" spans="2:11" ht="19.5" customHeight="1">
      <c r="B12" s="507"/>
      <c r="C12" s="527"/>
      <c r="D12" s="532" t="s">
        <v>3</v>
      </c>
      <c r="E12" s="281" t="s">
        <v>89</v>
      </c>
      <c r="F12" s="279" t="s">
        <v>115</v>
      </c>
      <c r="G12" s="282">
        <f>단위장비1!F51+단위장비2!F65+단위장비3!F61+단위장비5!F56+단위장비4!F57+단위장비6!F57+단위장비7!F57+단위장비8!F57+단위장비9!F57+단위장비10!F57</f>
        <v>0</v>
      </c>
      <c r="H12" s="282" t="str">
        <f>IF(단위장비1!G51&gt;0,단위장비1!G51,"")</f>
        <v/>
      </c>
      <c r="I12" s="282">
        <f>단위장비1!H51+단위장비2!H65+단위장비3!H61+단위장비5!H56+단위장비4!H57+단위장비6!H57+단위장비7!H57+단위장비8!H57+단위장비9!H57+단위장비10!H57</f>
        <v>0</v>
      </c>
      <c r="J12" s="16" t="s">
        <v>66</v>
      </c>
    </row>
    <row r="13" spans="2:11" s="91" customFormat="1" ht="19.5" customHeight="1">
      <c r="B13" s="507"/>
      <c r="C13" s="527"/>
      <c r="D13" s="527"/>
      <c r="E13" s="12" t="s">
        <v>4</v>
      </c>
      <c r="F13" s="177" t="s">
        <v>115</v>
      </c>
      <c r="G13" s="33">
        <f>단위장비1!F52+단위장비2!F66+단위장비3!F62+단위장비5!F57+단위장비4!F58+단위장비6!F58+단위장비7!F58+단위장비8!F58+단위장비9!F58+단위장비10!F58</f>
        <v>80</v>
      </c>
      <c r="H13" s="33">
        <f>IF(단위장비1!G52&gt;0,단위장비1!G52,"")</f>
        <v>300000</v>
      </c>
      <c r="I13" s="33">
        <f>단위장비1!H52+단위장비2!H66+단위장비3!H62+단위장비5!H57+단위장비4!H58+단위장비6!H58+단위장비7!H58+단위장비8!H58+단위장비9!H58+단위장비10!H58</f>
        <v>24000000</v>
      </c>
      <c r="J13" s="16"/>
      <c r="K13" s="90"/>
    </row>
    <row r="14" spans="2:11" s="91" customFormat="1" ht="19.5" customHeight="1">
      <c r="B14" s="507"/>
      <c r="C14" s="527"/>
      <c r="D14" s="527"/>
      <c r="E14" s="15" t="s">
        <v>19</v>
      </c>
      <c r="F14" s="177" t="s">
        <v>115</v>
      </c>
      <c r="G14" s="33"/>
      <c r="H14" s="33">
        <f>IF(단위장비1!G53&gt;0,단위장비1!G53,"")</f>
        <v>300000</v>
      </c>
      <c r="I14" s="33">
        <f>단위장비1!H53+단위장비2!H67+단위장비3!H63+단위장비5!H58+단위장비4!H59+단위장비6!H59+단위장비7!H59+단위장비8!H59+단위장비9!H59+단위장비10!H59</f>
        <v>24000000</v>
      </c>
      <c r="J14" s="16"/>
      <c r="K14" s="90"/>
    </row>
    <row r="15" spans="2:11" s="91" customFormat="1" ht="19.5" customHeight="1">
      <c r="B15" s="507"/>
      <c r="C15" s="527"/>
      <c r="D15" s="527"/>
      <c r="E15" s="15" t="s">
        <v>6</v>
      </c>
      <c r="F15" s="177" t="s">
        <v>115</v>
      </c>
      <c r="G15" s="33">
        <f>단위장비1!F54+단위장비2!F68+단위장비3!F64+단위장비5!F59+단위장비4!F60+단위장비6!F60+단위장비7!F60+단위장비8!F60+단위장비9!F60+단위장비10!F60</f>
        <v>100</v>
      </c>
      <c r="H15" s="33">
        <f>IF(단위장비1!G54&gt;0,단위장비1!G54,"")</f>
        <v>300000</v>
      </c>
      <c r="I15" s="33">
        <f>단위장비1!H54+단위장비2!H68+단위장비3!H64+단위장비5!H59+단위장비4!H60+단위장비6!H60+단위장비7!H60+단위장비8!H60+단위장비9!H60+단위장비10!H60</f>
        <v>30000000</v>
      </c>
      <c r="J15" s="16" t="s">
        <v>65</v>
      </c>
      <c r="K15" s="90"/>
    </row>
    <row r="16" spans="2:11" s="91" customFormat="1" ht="19.5" customHeight="1">
      <c r="B16" s="507"/>
      <c r="C16" s="527"/>
      <c r="D16" s="527"/>
      <c r="E16" s="281" t="s">
        <v>7</v>
      </c>
      <c r="F16" s="279" t="s">
        <v>115</v>
      </c>
      <c r="G16" s="282">
        <f>단위장비1!F55+단위장비2!F69+단위장비3!F65+단위장비5!F60+단위장비4!F61+단위장비6!F61+단위장비7!F61+단위장비8!F61+단위장비9!F61+단위장비10!F61</f>
        <v>100</v>
      </c>
      <c r="H16" s="282">
        <f>IF(단위장비1!G55&gt;0,단위장비1!G55,"")</f>
        <v>400000</v>
      </c>
      <c r="I16" s="282">
        <f>단위장비1!H55+단위장비2!H69+단위장비3!H65+단위장비5!H60+단위장비4!H61+단위장비6!H61+단위장비7!H61+단위장비8!H61+단위장비9!H61+단위장비10!H61</f>
        <v>40000000</v>
      </c>
      <c r="J16" s="16"/>
      <c r="K16" s="90"/>
    </row>
    <row r="17" spans="2:10" ht="19.5" customHeight="1">
      <c r="B17" s="507"/>
      <c r="C17" s="527"/>
      <c r="D17" s="527"/>
      <c r="E17" s="281" t="s">
        <v>8</v>
      </c>
      <c r="F17" s="279" t="s">
        <v>115</v>
      </c>
      <c r="G17" s="282">
        <f>단위장비1!F56+단위장비2!F70+단위장비3!F66+단위장비5!F61+단위장비4!F62+단위장비6!F62+단위장비7!F62+단위장비8!F62+단위장비9!F62+단위장비10!F62</f>
        <v>0</v>
      </c>
      <c r="H17" s="282" t="str">
        <f>IF(단위장비1!G56&gt;0,단위장비1!G56,"")</f>
        <v/>
      </c>
      <c r="I17" s="282">
        <f>단위장비1!H56+단위장비2!H70+단위장비3!H66+단위장비5!H61+단위장비4!H62+단위장비6!H62+단위장비7!H62+단위장비8!H62+단위장비9!H62+단위장비10!H62</f>
        <v>0</v>
      </c>
      <c r="J17" s="13"/>
    </row>
    <row r="18" spans="2:10" ht="19.5" customHeight="1">
      <c r="B18" s="507"/>
      <c r="C18" s="527"/>
      <c r="D18" s="527"/>
      <c r="E18" s="12" t="s">
        <v>9</v>
      </c>
      <c r="F18" s="177" t="s">
        <v>115</v>
      </c>
      <c r="G18" s="33">
        <f>단위장비1!F57+단위장비2!F71+단위장비3!F67+단위장비5!F62+단위장비4!F63+단위장비6!F63+단위장비7!F63+단위장비8!F63+단위장비9!F63+단위장비10!F63</f>
        <v>58</v>
      </c>
      <c r="H18" s="33">
        <f>IF(단위장비1!G57&gt;0,단위장비1!G57,"")</f>
        <v>400000</v>
      </c>
      <c r="I18" s="33">
        <f>단위장비1!H57+단위장비2!H71+단위장비3!H67+단위장비5!H62+단위장비4!H63+단위장비6!H63+단위장비7!H63+단위장비8!H63+단위장비9!H63+단위장비10!H63</f>
        <v>23200000</v>
      </c>
      <c r="J18" s="13"/>
    </row>
    <row r="19" spans="2:10" ht="19.5" customHeight="1">
      <c r="B19" s="507"/>
      <c r="C19" s="527"/>
      <c r="D19" s="527"/>
      <c r="E19" s="12" t="s">
        <v>20</v>
      </c>
      <c r="F19" s="177" t="s">
        <v>115</v>
      </c>
      <c r="G19" s="33">
        <f>단위장비1!F58+단위장비2!F72+단위장비3!F68+단위장비5!F63+단위장비4!F64+단위장비6!F64+단위장비7!F64+단위장비8!F64+단위장비9!F64+단위장비10!F64</f>
        <v>1</v>
      </c>
      <c r="H19" s="33">
        <f>IF(단위장비1!G58&gt;0,단위장비1!G58,"")</f>
        <v>126400000</v>
      </c>
      <c r="I19" s="33">
        <f>단위장비1!H58+단위장비2!H72+단위장비3!H68+단위장비5!H63+단위장비4!H64+단위장비6!H64+단위장비7!H64+단위장비8!H64+단위장비9!H64+단위장비10!H64</f>
        <v>126400000</v>
      </c>
      <c r="J19" s="13"/>
    </row>
    <row r="20" spans="2:10" ht="19.5" customHeight="1">
      <c r="B20" s="507"/>
      <c r="C20" s="527"/>
      <c r="D20" s="484"/>
      <c r="E20" s="14" t="s">
        <v>67</v>
      </c>
      <c r="F20" s="501"/>
      <c r="G20" s="502"/>
      <c r="H20" s="503"/>
      <c r="I20" s="47">
        <f>SUM(I12:I19)</f>
        <v>267600000</v>
      </c>
      <c r="J20" s="13"/>
    </row>
    <row r="21" spans="2:10" ht="19.5" customHeight="1">
      <c r="B21" s="507"/>
      <c r="C21" s="527"/>
      <c r="D21" s="138" t="s">
        <v>76</v>
      </c>
      <c r="E21" s="131"/>
      <c r="F21" s="501"/>
      <c r="G21" s="502"/>
      <c r="H21" s="503"/>
      <c r="I21" s="50">
        <f>단위장비1!H61+단위장비1!H62+단위장비2!H75+단위장비2!H76+단위장비3!H71+단위장비3!H72+단위장비5!H66+단위장비5!H67+단위장비4!H67+단위장비4!H68+단위장비6!H67+단위장비6!H68+단위장비7!H67+단위장비7!H68+단위장비8!H67+단위장비8!H68+단위장비9!H67+단위장비9!H68+단위장비10!H67+단위장비10!H68</f>
        <v>9400000</v>
      </c>
      <c r="J21" s="92"/>
    </row>
    <row r="22" spans="2:10" ht="19.5" customHeight="1">
      <c r="B22" s="508"/>
      <c r="C22" s="528"/>
      <c r="D22" s="17"/>
      <c r="E22" s="18" t="s">
        <v>49</v>
      </c>
      <c r="F22" s="480"/>
      <c r="G22" s="481"/>
      <c r="H22" s="482"/>
      <c r="I22" s="48">
        <f>I20+I11+I21</f>
        <v>1286000000</v>
      </c>
      <c r="J22" s="19"/>
    </row>
    <row r="23" spans="2:10" ht="19.5" customHeight="1">
      <c r="B23" s="509">
        <v>2</v>
      </c>
      <c r="C23" s="524" t="s">
        <v>91</v>
      </c>
      <c r="D23" s="529" t="s">
        <v>1</v>
      </c>
      <c r="E23" s="11" t="s">
        <v>16</v>
      </c>
      <c r="F23" s="178" t="s">
        <v>116</v>
      </c>
      <c r="G23" s="34">
        <v>1</v>
      </c>
      <c r="H23" s="34"/>
      <c r="I23" s="34">
        <f>전기!H55-I24</f>
        <v>187000000</v>
      </c>
      <c r="J23" s="20"/>
    </row>
    <row r="24" spans="2:10" ht="19.5" customHeight="1">
      <c r="B24" s="507"/>
      <c r="C24" s="525"/>
      <c r="D24" s="530"/>
      <c r="E24" s="258" t="s">
        <v>152</v>
      </c>
      <c r="F24" s="283" t="s">
        <v>148</v>
      </c>
      <c r="G24" s="260">
        <v>1</v>
      </c>
      <c r="H24" s="260"/>
      <c r="I24" s="260">
        <f>전기!H16</f>
        <v>0</v>
      </c>
      <c r="J24" s="273" t="s">
        <v>153</v>
      </c>
    </row>
    <row r="25" spans="2:10" ht="19.5" customHeight="1">
      <c r="B25" s="507"/>
      <c r="C25" s="526"/>
      <c r="D25" s="532" t="s">
        <v>3</v>
      </c>
      <c r="E25" s="281" t="s">
        <v>94</v>
      </c>
      <c r="F25" s="279" t="s">
        <v>115</v>
      </c>
      <c r="G25" s="282">
        <f>전기!F56</f>
        <v>80</v>
      </c>
      <c r="H25" s="259">
        <f>IF(전기!G56&gt;0,전기!G56,"")</f>
        <v>300000</v>
      </c>
      <c r="I25" s="282">
        <f>전기!H56</f>
        <v>24000000</v>
      </c>
      <c r="J25" s="16"/>
    </row>
    <row r="26" spans="2:10" ht="19.5" customHeight="1">
      <c r="B26" s="507"/>
      <c r="C26" s="526"/>
      <c r="D26" s="527"/>
      <c r="E26" s="12" t="s">
        <v>73</v>
      </c>
      <c r="F26" s="177" t="s">
        <v>115</v>
      </c>
      <c r="G26" s="35">
        <f>전기!F57</f>
        <v>1</v>
      </c>
      <c r="H26" s="35">
        <f>IF(전기!G57&gt;0,전기!G57,"")</f>
        <v>76000000</v>
      </c>
      <c r="I26" s="35">
        <f>전기!H57</f>
        <v>76000000</v>
      </c>
      <c r="J26" s="13"/>
    </row>
    <row r="27" spans="2:10" ht="19.5" customHeight="1">
      <c r="B27" s="507"/>
      <c r="C27" s="526"/>
      <c r="D27" s="527"/>
      <c r="E27" s="12" t="s">
        <v>5</v>
      </c>
      <c r="F27" s="177" t="s">
        <v>115</v>
      </c>
      <c r="G27" s="35">
        <f>전기!F58</f>
        <v>50</v>
      </c>
      <c r="H27" s="35">
        <f>IF(전기!G58&gt;0,전기!G58,"")</f>
        <v>300000</v>
      </c>
      <c r="I27" s="35">
        <f>전기!H58</f>
        <v>15000000</v>
      </c>
      <c r="J27" s="13"/>
    </row>
    <row r="28" spans="2:10" ht="19.5" customHeight="1">
      <c r="B28" s="507"/>
      <c r="C28" s="526"/>
      <c r="D28" s="527"/>
      <c r="E28" s="12" t="s">
        <v>100</v>
      </c>
      <c r="F28" s="177" t="s">
        <v>115</v>
      </c>
      <c r="G28" s="35">
        <f>전기!F59</f>
        <v>100</v>
      </c>
      <c r="H28" s="35">
        <f>IF(전기!G59&gt;0,전기!G59,"")</f>
        <v>300000</v>
      </c>
      <c r="I28" s="35">
        <f>전기!H59</f>
        <v>30000000</v>
      </c>
      <c r="J28" s="13"/>
    </row>
    <row r="29" spans="2:10" ht="19.5" customHeight="1">
      <c r="B29" s="507"/>
      <c r="C29" s="526"/>
      <c r="D29" s="527"/>
      <c r="E29" s="284" t="s">
        <v>99</v>
      </c>
      <c r="F29" s="279" t="s">
        <v>115</v>
      </c>
      <c r="G29" s="259">
        <f>전기!F60</f>
        <v>50</v>
      </c>
      <c r="H29" s="259">
        <f>IF(전기!G60&gt;0,전기!G60,"")</f>
        <v>400000</v>
      </c>
      <c r="I29" s="259">
        <f>전기!H60</f>
        <v>20000000</v>
      </c>
      <c r="J29" s="13"/>
    </row>
    <row r="30" spans="2:10" ht="19.5" customHeight="1">
      <c r="B30" s="507"/>
      <c r="C30" s="526"/>
      <c r="D30" s="527"/>
      <c r="E30" s="284" t="s">
        <v>8</v>
      </c>
      <c r="F30" s="279" t="s">
        <v>115</v>
      </c>
      <c r="G30" s="259">
        <f>전기!F61</f>
        <v>1</v>
      </c>
      <c r="H30" s="259">
        <f>IF(전기!G61&gt;0,전기!G61,"")</f>
        <v>38000000</v>
      </c>
      <c r="I30" s="259">
        <f>전기!H61</f>
        <v>38000000</v>
      </c>
      <c r="J30" s="13"/>
    </row>
    <row r="31" spans="2:10" ht="19.5" customHeight="1">
      <c r="B31" s="507"/>
      <c r="C31" s="526"/>
      <c r="D31" s="527"/>
      <c r="E31" s="12" t="s">
        <v>9</v>
      </c>
      <c r="F31" s="177" t="s">
        <v>115</v>
      </c>
      <c r="G31" s="35">
        <f>전기!F62</f>
        <v>58</v>
      </c>
      <c r="H31" s="35">
        <f>IF(전기!G62&gt;0,전기!G62,"")</f>
        <v>500000</v>
      </c>
      <c r="I31" s="35">
        <f>전기!H62</f>
        <v>29000000</v>
      </c>
      <c r="J31" s="13"/>
    </row>
    <row r="32" spans="2:10" ht="19.5" customHeight="1">
      <c r="B32" s="507"/>
      <c r="C32" s="526"/>
      <c r="D32" s="484"/>
      <c r="E32" s="14" t="s">
        <v>68</v>
      </c>
      <c r="F32" s="540"/>
      <c r="G32" s="541"/>
      <c r="H32" s="542"/>
      <c r="I32" s="47">
        <f>SUM(I25:I31)</f>
        <v>232000000</v>
      </c>
      <c r="J32" s="13"/>
    </row>
    <row r="33" spans="2:13" ht="19.5" customHeight="1">
      <c r="B33" s="507"/>
      <c r="C33" s="527"/>
      <c r="D33" s="138" t="s">
        <v>76</v>
      </c>
      <c r="E33" s="131"/>
      <c r="F33" s="501"/>
      <c r="G33" s="502"/>
      <c r="H33" s="503"/>
      <c r="I33" s="50">
        <f>전기!H65+전기!H66</f>
        <v>0</v>
      </c>
      <c r="J33" s="92"/>
    </row>
    <row r="34" spans="2:13" ht="19.5" customHeight="1">
      <c r="B34" s="508"/>
      <c r="C34" s="528"/>
      <c r="D34" s="17"/>
      <c r="E34" s="18" t="s">
        <v>69</v>
      </c>
      <c r="F34" s="480"/>
      <c r="G34" s="481"/>
      <c r="H34" s="482"/>
      <c r="I34" s="48">
        <f>I32+I23+I33+I24</f>
        <v>419000000</v>
      </c>
      <c r="J34" s="19"/>
    </row>
    <row r="35" spans="2:13" ht="19.5" customHeight="1">
      <c r="B35" s="516">
        <v>3</v>
      </c>
      <c r="C35" s="519" t="s">
        <v>57</v>
      </c>
      <c r="D35" s="520"/>
      <c r="E35" s="521"/>
      <c r="F35" s="519"/>
      <c r="G35" s="520"/>
      <c r="H35" s="521"/>
      <c r="I35" s="49">
        <f>I23+I11+I24</f>
        <v>1196000000</v>
      </c>
      <c r="J35" s="20"/>
    </row>
    <row r="36" spans="2:13" ht="19.5" customHeight="1">
      <c r="B36" s="517"/>
      <c r="C36" s="501" t="s">
        <v>58</v>
      </c>
      <c r="D36" s="502"/>
      <c r="E36" s="503"/>
      <c r="F36" s="501"/>
      <c r="G36" s="502"/>
      <c r="H36" s="503"/>
      <c r="I36" s="47">
        <f>I32+I20</f>
        <v>499600000</v>
      </c>
      <c r="J36" s="13"/>
    </row>
    <row r="37" spans="2:13" ht="19.5" customHeight="1" thickBot="1">
      <c r="B37" s="518"/>
      <c r="C37" s="522" t="s">
        <v>59</v>
      </c>
      <c r="D37" s="522"/>
      <c r="E37" s="523"/>
      <c r="F37" s="533"/>
      <c r="G37" s="522"/>
      <c r="H37" s="523"/>
      <c r="I37" s="57">
        <f>I36+I35</f>
        <v>1695600000</v>
      </c>
      <c r="J37" s="58"/>
    </row>
    <row r="38" spans="2:13" ht="20.25" customHeight="1">
      <c r="B38" s="21">
        <v>4</v>
      </c>
      <c r="C38" s="484" t="s">
        <v>87</v>
      </c>
      <c r="D38" s="485"/>
      <c r="E38" s="486"/>
      <c r="F38" s="534"/>
      <c r="G38" s="535"/>
      <c r="H38" s="536"/>
      <c r="I38" s="154">
        <v>40000000</v>
      </c>
      <c r="J38" s="115"/>
    </row>
    <row r="39" spans="2:13" ht="22.5" customHeight="1">
      <c r="B39" s="23">
        <v>5</v>
      </c>
      <c r="C39" s="501" t="s">
        <v>0</v>
      </c>
      <c r="D39" s="502"/>
      <c r="E39" s="503"/>
      <c r="F39" s="537" t="s">
        <v>166</v>
      </c>
      <c r="G39" s="538"/>
      <c r="H39" s="539"/>
      <c r="I39" s="116"/>
      <c r="J39" s="285">
        <f>I30+I29+I25+I24+I17+I16+I12+I10</f>
        <v>122000000</v>
      </c>
      <c r="K39" s="180"/>
      <c r="M39" s="180"/>
    </row>
    <row r="40" spans="2:13" ht="20.25" customHeight="1">
      <c r="B40" s="23">
        <v>6</v>
      </c>
      <c r="C40" s="501" t="s">
        <v>25</v>
      </c>
      <c r="D40" s="502"/>
      <c r="E40" s="503"/>
      <c r="F40" s="504"/>
      <c r="G40" s="505"/>
      <c r="H40" s="506"/>
      <c r="I40" s="47">
        <f>전기!H65+단위장비1!H61+단위장비2!H75+단위장비3!H71+단위장비5!H66+단위장비4!H67+단위장비6!H67+단위장비7!H67+단위장비8!H67+단위장비9!H67+단위장비10!H67</f>
        <v>9400000</v>
      </c>
      <c r="J40" s="13"/>
    </row>
    <row r="41" spans="2:13" ht="20.25" customHeight="1">
      <c r="B41" s="24">
        <v>7</v>
      </c>
      <c r="C41" s="480" t="s">
        <v>17</v>
      </c>
      <c r="D41" s="481"/>
      <c r="E41" s="482"/>
      <c r="F41" s="498"/>
      <c r="G41" s="499"/>
      <c r="H41" s="500"/>
      <c r="I41" s="50">
        <f>전기!H66+단위장비1!H62+단위장비2!H76+단위장비3!H72+단위장비5!H67+단위장비4!H68+단위장비6!H68+단위장비7!H68+단위장비8!H68+단위장비9!H68+단위장비10!H68</f>
        <v>0</v>
      </c>
      <c r="J41" s="92"/>
      <c r="K41" s="7"/>
    </row>
    <row r="42" spans="2:13" ht="28.5" customHeight="1" thickBot="1">
      <c r="B42" s="59"/>
      <c r="C42" s="483" t="s">
        <v>18</v>
      </c>
      <c r="D42" s="483"/>
      <c r="E42" s="483"/>
      <c r="F42" s="495" t="s">
        <v>63</v>
      </c>
      <c r="G42" s="496"/>
      <c r="H42" s="497"/>
      <c r="I42" s="60">
        <f>I22+I34+I38+I39</f>
        <v>1745000000</v>
      </c>
      <c r="J42" s="93"/>
      <c r="K42" s="7"/>
    </row>
    <row r="43" spans="2:13" ht="19.5" customHeight="1">
      <c r="B43" s="261" t="s">
        <v>185</v>
      </c>
      <c r="C43" s="8"/>
      <c r="D43" s="8"/>
      <c r="E43" s="8"/>
    </row>
    <row r="44" spans="2:13" ht="19.5" customHeight="1">
      <c r="B44" s="404" t="s">
        <v>184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92" t="s">
        <v>171</v>
      </c>
      <c r="F47" s="489" t="s">
        <v>161</v>
      </c>
      <c r="G47" s="490"/>
      <c r="H47" s="491"/>
      <c r="I47" s="275" t="s">
        <v>163</v>
      </c>
      <c r="J47" s="277" t="s">
        <v>160</v>
      </c>
      <c r="K47" s="278" t="s">
        <v>164</v>
      </c>
    </row>
    <row r="48" spans="2:13" ht="19.5" customHeight="1">
      <c r="C48" s="8"/>
      <c r="D48" s="8"/>
      <c r="E48" s="493"/>
      <c r="F48" s="487" t="s">
        <v>156</v>
      </c>
      <c r="G48" s="488"/>
      <c r="H48" s="488"/>
      <c r="I48" s="47">
        <f>IF(J48&lt;500000000,J48*0.0315,1)+IF(J48&gt;500000000,J48*0.0253+3300000)*IF(J48&gt;5000000000,0,1)+IF(J48&gt;5000000000,J48*0.026,0)</f>
        <v>47210681</v>
      </c>
      <c r="J48" s="276">
        <f>SUM(I7:I10,I12:I19,I23:I31,I38)</f>
        <v>1735600000</v>
      </c>
      <c r="K48" s="276" t="s">
        <v>158</v>
      </c>
    </row>
    <row r="49" spans="5:11" ht="19.5" customHeight="1">
      <c r="E49" s="494"/>
      <c r="F49" s="487" t="s">
        <v>157</v>
      </c>
      <c r="G49" s="488"/>
      <c r="H49" s="488"/>
      <c r="I49" s="47">
        <f>(IF(J49&lt;500000000,J49*0.0315,1)+IF(J49&gt;500000000,J49*0.0253+3300000)*IF(J49&gt;5000000000,0,1)+IF(J49&gt;5000000000,J49*0.026,0))*1.2</f>
        <v>4611600</v>
      </c>
      <c r="J49" s="286">
        <f>SUM(I10,I24,I12,I16:I17,I25,I29:I30)</f>
        <v>122000000</v>
      </c>
      <c r="K49" s="276" t="s">
        <v>159</v>
      </c>
    </row>
    <row r="50" spans="5:11" ht="19.5" customHeight="1">
      <c r="G50" s="274" t="s">
        <v>162</v>
      </c>
    </row>
  </sheetData>
  <mergeCells count="38">
    <mergeCell ref="F11:H11"/>
    <mergeCell ref="F32:H32"/>
    <mergeCell ref="F33:H33"/>
    <mergeCell ref="F34:H34"/>
    <mergeCell ref="F20:H20"/>
    <mergeCell ref="F21:H21"/>
    <mergeCell ref="F22:H22"/>
    <mergeCell ref="F35:H35"/>
    <mergeCell ref="F36:H36"/>
    <mergeCell ref="F37:H37"/>
    <mergeCell ref="F38:H38"/>
    <mergeCell ref="F39:H39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73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P22"/>
  <sheetViews>
    <sheetView zoomScale="74" zoomScaleNormal="74" workbookViewId="0">
      <selection activeCell="E13" sqref="E13"/>
    </sheetView>
  </sheetViews>
  <sheetFormatPr defaultRowHeight="17.25" customHeight="1"/>
  <cols>
    <col min="1" max="1" width="5" style="28" customWidth="1"/>
    <col min="2" max="2" width="20.125" style="28" customWidth="1"/>
    <col min="3" max="3" width="6.25" style="28" customWidth="1"/>
    <col min="4" max="8" width="11.875" style="28" customWidth="1"/>
    <col min="9" max="9" width="13" style="28" customWidth="1"/>
    <col min="10" max="11" width="13.875" style="28" customWidth="1"/>
    <col min="12" max="12" width="12.5" style="28" bestFit="1" customWidth="1"/>
    <col min="13" max="13" width="15" style="28" bestFit="1" customWidth="1"/>
    <col min="14" max="14" width="13.875" style="28" customWidth="1"/>
    <col min="15" max="15" width="9.625" style="28" customWidth="1"/>
    <col min="16" max="16" width="12.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15" customFormat="1" ht="8.25" customHeight="1">
      <c r="A4" s="32"/>
      <c r="B4" s="32"/>
      <c r="C4" s="32"/>
      <c r="D4" s="546"/>
      <c r="E4" s="547"/>
      <c r="F4" s="547"/>
      <c r="G4" s="547"/>
      <c r="H4" s="547"/>
      <c r="I4" s="547"/>
      <c r="J4" s="548"/>
      <c r="K4" s="140"/>
      <c r="L4" s="133"/>
      <c r="M4" s="134"/>
      <c r="N4" s="63"/>
      <c r="O4" s="51"/>
    </row>
    <row r="5" spans="1:16" s="29" customFormat="1" ht="25.5" customHeight="1">
      <c r="A5" s="68"/>
      <c r="B5" s="68"/>
      <c r="C5" s="68"/>
      <c r="D5" s="231"/>
      <c r="E5" s="232"/>
      <c r="F5" s="232"/>
      <c r="G5" s="232"/>
      <c r="H5" s="232"/>
      <c r="I5" s="233" t="s">
        <v>85</v>
      </c>
      <c r="J5" s="216"/>
      <c r="K5" s="211"/>
      <c r="L5" s="210" t="s">
        <v>74</v>
      </c>
      <c r="M5" s="212" t="s">
        <v>56</v>
      </c>
      <c r="N5" s="213"/>
      <c r="O5" s="214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34" t="s">
        <v>24</v>
      </c>
      <c r="E6" s="235" t="s">
        <v>60</v>
      </c>
      <c r="F6" s="235" t="s">
        <v>61</v>
      </c>
      <c r="G6" s="235" t="s">
        <v>54</v>
      </c>
      <c r="H6" s="235" t="s">
        <v>55</v>
      </c>
      <c r="I6" s="236" t="s">
        <v>86</v>
      </c>
      <c r="J6" s="217" t="s">
        <v>138</v>
      </c>
      <c r="K6" s="141" t="s">
        <v>139</v>
      </c>
      <c r="L6" s="132" t="s">
        <v>75</v>
      </c>
      <c r="M6" s="135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55">
        <f>IF(B7&gt;0,1,"")</f>
        <v>1</v>
      </c>
      <c r="B7" s="156" t="str">
        <f>단위장비1!C$1</f>
        <v>O/RACE LINE</v>
      </c>
      <c r="C7" s="252" t="s">
        <v>141</v>
      </c>
      <c r="D7" s="237">
        <f>단위장비1!H50</f>
        <v>491200000</v>
      </c>
      <c r="E7" s="238">
        <f>단위장비1!H51</f>
        <v>0</v>
      </c>
      <c r="F7" s="238">
        <f>단위장비1!H52+단위장비1!H53+단위장비1!H54+단위장비1!H58</f>
        <v>171400000</v>
      </c>
      <c r="G7" s="238">
        <f>단위장비1!H55+단위장비1!H56</f>
        <v>40000000</v>
      </c>
      <c r="H7" s="238">
        <f>단위장비1!H57</f>
        <v>23200000</v>
      </c>
      <c r="I7" s="239">
        <f>IF($B7&gt;0,'원가항목별(집계)'!I$38*$P7/$P$17,0)</f>
        <v>22867807.153965786</v>
      </c>
      <c r="J7" s="218">
        <f>SUM(D7:I7)</f>
        <v>748667807.15396583</v>
      </c>
      <c r="K7" s="157">
        <f>IF(B7&gt;0,'원가항목별(집계)'!I$34*P7/P$17,0)</f>
        <v>239540279.93779162</v>
      </c>
      <c r="L7" s="157">
        <f>IF($B7&gt;0,'원가항목별(집계)'!I$39*$P7/$P$17,0)</f>
        <v>0</v>
      </c>
      <c r="M7" s="158">
        <f>단위장비1!H61+단위장비1!H62</f>
        <v>9400000</v>
      </c>
      <c r="N7" s="159">
        <f>SUM(J7:M7)</f>
        <v>997608087.09175742</v>
      </c>
      <c r="O7" s="160"/>
      <c r="P7" s="31">
        <f>D7+E7+F7+G7+H7+M7</f>
        <v>735200000</v>
      </c>
    </row>
    <row r="8" spans="1:16" s="31" customFormat="1" ht="25.5" customHeight="1">
      <c r="A8" s="161">
        <f t="shared" ref="A8:A16" si="0">IF(B8&gt;0,A7+1,"")</f>
        <v>2</v>
      </c>
      <c r="B8" s="162" t="str">
        <f>단위장비2!C$1</f>
        <v>T/HSG LINE</v>
      </c>
      <c r="C8" s="166" t="s">
        <v>142</v>
      </c>
      <c r="D8" s="240">
        <f>단위장비2!H64</f>
        <v>283800000</v>
      </c>
      <c r="E8" s="241">
        <f>단위장비2!H65</f>
        <v>0</v>
      </c>
      <c r="F8" s="241">
        <f>단위장비2!H66+단위장비2!H67+단위장비2!H68+단위장비2!H72</f>
        <v>21000000</v>
      </c>
      <c r="G8" s="241">
        <f>단위장비2!H69+단위장비2!H70</f>
        <v>0</v>
      </c>
      <c r="H8" s="241">
        <f>단위장비2!H71</f>
        <v>0</v>
      </c>
      <c r="I8" s="242">
        <f>IF($B8&gt;0,'원가항목별(집계)'!I$38*$P8/$P$17,0)</f>
        <v>9480559.8755832035</v>
      </c>
      <c r="J8" s="219">
        <f>SUM(D8:I8)</f>
        <v>314280559.87558323</v>
      </c>
      <c r="K8" s="163">
        <f>IF(B8&gt;0,'원가항목별(집계)'!I$34*P8/P$17,0)</f>
        <v>99308864.696734056</v>
      </c>
      <c r="L8" s="163">
        <f>IF($B8&gt;0,'원가항목별(집계)'!I$39*$P8/$P$17,0)</f>
        <v>0</v>
      </c>
      <c r="M8" s="164">
        <f>단위장비2!H75+단위장비2!H76</f>
        <v>0</v>
      </c>
      <c r="N8" s="165">
        <f t="shared" ref="N8:N16" si="1">SUM(J8:M8)</f>
        <v>413589424.5723173</v>
      </c>
      <c r="O8" s="105"/>
      <c r="P8" s="31">
        <f t="shared" ref="P8:P16" si="2">D8+E8+F8+G8+H8+M8</f>
        <v>304800000</v>
      </c>
    </row>
    <row r="9" spans="1:16" s="31" customFormat="1" ht="25.5" customHeight="1">
      <c r="A9" s="161">
        <f t="shared" si="0"/>
        <v>3</v>
      </c>
      <c r="B9" s="162" t="str">
        <f>단위장비3!C$1</f>
        <v>I/RACE LINE</v>
      </c>
      <c r="C9" s="166" t="s">
        <v>140</v>
      </c>
      <c r="D9" s="240">
        <f>단위장비3!H60</f>
        <v>234000000</v>
      </c>
      <c r="E9" s="241">
        <f>단위장비3!H61</f>
        <v>0</v>
      </c>
      <c r="F9" s="241">
        <f>단위장비3!H62+단위장비3!H63+단위장비3!H64+단위장비3!H68</f>
        <v>12000000</v>
      </c>
      <c r="G9" s="241">
        <f>단위장비3!H65+단위장비3!H66</f>
        <v>0</v>
      </c>
      <c r="H9" s="241">
        <f>단위장비3!H67</f>
        <v>0</v>
      </c>
      <c r="I9" s="242">
        <f>IF($B9&gt;0,'원가항목별(집계)'!I$38*$P9/$P$17,0)</f>
        <v>7651632.9704510113</v>
      </c>
      <c r="J9" s="219">
        <f t="shared" ref="J9:J14" si="3">SUM(D9:I9)</f>
        <v>253651632.970451</v>
      </c>
      <c r="K9" s="163">
        <f>IF(B9&gt;0,'원가항목별(집계)'!I$34*P9/P$17,0)</f>
        <v>80150855.365474343</v>
      </c>
      <c r="L9" s="163">
        <f>IF($B9&gt;0,'원가항목별(집계)'!I$39*$P9/$P$17,0)</f>
        <v>0</v>
      </c>
      <c r="M9" s="164">
        <f>단위장비3!H71+단위장비3!H72</f>
        <v>0</v>
      </c>
      <c r="N9" s="165">
        <f t="shared" si="1"/>
        <v>333802488.33592534</v>
      </c>
      <c r="O9" s="105"/>
      <c r="P9" s="31">
        <f t="shared" si="2"/>
        <v>246000000</v>
      </c>
    </row>
    <row r="10" spans="1:16" s="31" customFormat="1" ht="25.5" customHeight="1">
      <c r="A10" s="161" t="str">
        <f t="shared" si="0"/>
        <v/>
      </c>
      <c r="B10" s="162">
        <f>단위장비4!C1</f>
        <v>0</v>
      </c>
      <c r="C10" s="166" t="s">
        <v>140</v>
      </c>
      <c r="D10" s="240">
        <f>단위장비4!H56</f>
        <v>0</v>
      </c>
      <c r="E10" s="241">
        <f>단위장비4!H57</f>
        <v>0</v>
      </c>
      <c r="F10" s="241">
        <f>단위장비4!H58+단위장비4!H59+단위장비4!H60+단위장비4!H64</f>
        <v>0</v>
      </c>
      <c r="G10" s="241">
        <f>단위장비4!H61+단위장비4!H62</f>
        <v>0</v>
      </c>
      <c r="H10" s="241">
        <f>단위장비4!H63</f>
        <v>0</v>
      </c>
      <c r="I10" s="242">
        <f>IF($B10&gt;0,'원가항목별(집계)'!I$38*$P10/$P$17,0)</f>
        <v>0</v>
      </c>
      <c r="J10" s="219">
        <f t="shared" si="3"/>
        <v>0</v>
      </c>
      <c r="K10" s="163">
        <f>IF(B10&gt;0,'원가항목별(집계)'!I$34*P10/P$17,0)</f>
        <v>0</v>
      </c>
      <c r="L10" s="163">
        <f>IF($B10&gt;0,'원가항목별(집계)'!I$39*$P10/$P$17,0)</f>
        <v>0</v>
      </c>
      <c r="M10" s="164">
        <f>단위장비4!H67+단위장비4!H68</f>
        <v>0</v>
      </c>
      <c r="N10" s="165">
        <f t="shared" si="1"/>
        <v>0</v>
      </c>
      <c r="O10" s="105"/>
      <c r="P10" s="31">
        <f t="shared" si="2"/>
        <v>0</v>
      </c>
    </row>
    <row r="11" spans="1:16" s="31" customFormat="1" ht="25.5" customHeight="1">
      <c r="A11" s="161" t="str">
        <f t="shared" si="0"/>
        <v/>
      </c>
      <c r="B11" s="162">
        <f>단위장비5!C1</f>
        <v>0</v>
      </c>
      <c r="C11" s="166" t="s">
        <v>140</v>
      </c>
      <c r="D11" s="240">
        <f>단위장비5!H55</f>
        <v>0</v>
      </c>
      <c r="E11" s="241">
        <f>단위장비5!H56</f>
        <v>0</v>
      </c>
      <c r="F11" s="241">
        <f>단위장비5!H57+단위장비5!H58+단위장비5!H59+단위장비5!H63</f>
        <v>0</v>
      </c>
      <c r="G11" s="241">
        <f>단위장비5!H60+단위장비5!H61</f>
        <v>0</v>
      </c>
      <c r="H11" s="241">
        <f>단위장비5!H62</f>
        <v>0</v>
      </c>
      <c r="I11" s="242">
        <f>IF($B11&gt;0,'원가항목별(집계)'!I$38*$P11/$P$17,0)</f>
        <v>0</v>
      </c>
      <c r="J11" s="219">
        <f t="shared" si="3"/>
        <v>0</v>
      </c>
      <c r="K11" s="163">
        <f>IF(B11&gt;0,'원가항목별(집계)'!I$34*P11/P$17,0)</f>
        <v>0</v>
      </c>
      <c r="L11" s="163">
        <f>IF($B11&gt;0,'원가항목별(집계)'!I$39*$P11/$P$17,0)</f>
        <v>0</v>
      </c>
      <c r="M11" s="164">
        <f>단위장비5!H66+단위장비5!H67</f>
        <v>0</v>
      </c>
      <c r="N11" s="165">
        <f t="shared" si="1"/>
        <v>0</v>
      </c>
      <c r="O11" s="105"/>
      <c r="P11" s="31">
        <f t="shared" si="2"/>
        <v>0</v>
      </c>
    </row>
    <row r="12" spans="1:16" s="31" customFormat="1" ht="25.5" customHeight="1">
      <c r="A12" s="161" t="str">
        <f t="shared" si="0"/>
        <v/>
      </c>
      <c r="B12" s="162">
        <f>단위장비6!C$1</f>
        <v>0</v>
      </c>
      <c r="C12" s="166" t="s">
        <v>140</v>
      </c>
      <c r="D12" s="240">
        <f>단위장비6!H56</f>
        <v>0</v>
      </c>
      <c r="E12" s="241">
        <f>단위장비6!H57</f>
        <v>0</v>
      </c>
      <c r="F12" s="241">
        <f>단위장비6!H58+단위장비6!H59+단위장비6!H60+단위장비6!H64</f>
        <v>0</v>
      </c>
      <c r="G12" s="241">
        <f>단위장비6!H61+단위장비6!H62</f>
        <v>0</v>
      </c>
      <c r="H12" s="241">
        <f>단위장비6!H63</f>
        <v>0</v>
      </c>
      <c r="I12" s="242">
        <f>IF($B12&gt;0,'원가항목별(집계)'!I$38*$P12/$P$17,0)</f>
        <v>0</v>
      </c>
      <c r="J12" s="219">
        <f t="shared" si="3"/>
        <v>0</v>
      </c>
      <c r="K12" s="163">
        <f>IF(B12&gt;0,'원가항목별(집계)'!I$34*P12/P$17,0)</f>
        <v>0</v>
      </c>
      <c r="L12" s="163">
        <f>IF($B12&gt;0,'원가항목별(집계)'!I$39*$P12/$P$17,0)</f>
        <v>0</v>
      </c>
      <c r="M12" s="164">
        <f>단위장비6!H67+단위장비6!H68</f>
        <v>0</v>
      </c>
      <c r="N12" s="165">
        <f t="shared" si="1"/>
        <v>0</v>
      </c>
      <c r="O12" s="105"/>
      <c r="P12" s="31">
        <f t="shared" si="2"/>
        <v>0</v>
      </c>
    </row>
    <row r="13" spans="1:16" s="31" customFormat="1" ht="25.5" customHeight="1">
      <c r="A13" s="161" t="str">
        <f t="shared" si="0"/>
        <v/>
      </c>
      <c r="B13" s="162">
        <f>단위장비7!C$1</f>
        <v>0</v>
      </c>
      <c r="C13" s="166" t="s">
        <v>140</v>
      </c>
      <c r="D13" s="240">
        <f>단위장비7!H56</f>
        <v>0</v>
      </c>
      <c r="E13" s="241">
        <f>단위장비7!H57</f>
        <v>0</v>
      </c>
      <c r="F13" s="241">
        <f>단위장비7!H58+단위장비7!H59+단위장비7!H60+단위장비7!H64</f>
        <v>0</v>
      </c>
      <c r="G13" s="241">
        <f>단위장비7!H61+단위장비7!H62</f>
        <v>0</v>
      </c>
      <c r="H13" s="241">
        <f>단위장비7!H63</f>
        <v>0</v>
      </c>
      <c r="I13" s="242">
        <f>IF($B13&gt;0,'원가항목별(집계)'!I$38*$P13/$P$17,0)</f>
        <v>0</v>
      </c>
      <c r="J13" s="219">
        <f t="shared" si="3"/>
        <v>0</v>
      </c>
      <c r="K13" s="163">
        <f>IF(B13&gt;0,'원가항목별(집계)'!I$34*P13/P$17,0)</f>
        <v>0</v>
      </c>
      <c r="L13" s="163">
        <f>IF($B13&gt;0,'원가항목별(집계)'!I$39*$P13/$P$17,0)</f>
        <v>0</v>
      </c>
      <c r="M13" s="164">
        <f>단위장비7!H67+단위장비7!H68</f>
        <v>0</v>
      </c>
      <c r="N13" s="165">
        <f t="shared" si="1"/>
        <v>0</v>
      </c>
      <c r="O13" s="105"/>
      <c r="P13" s="31">
        <f t="shared" si="2"/>
        <v>0</v>
      </c>
    </row>
    <row r="14" spans="1:16" s="31" customFormat="1" ht="25.5" customHeight="1">
      <c r="A14" s="161" t="str">
        <f t="shared" si="0"/>
        <v/>
      </c>
      <c r="B14" s="162">
        <f>단위장비8!C$1</f>
        <v>0</v>
      </c>
      <c r="C14" s="166" t="s">
        <v>140</v>
      </c>
      <c r="D14" s="240">
        <f>단위장비8!H57</f>
        <v>0</v>
      </c>
      <c r="E14" s="241">
        <f>단위장비8!H57</f>
        <v>0</v>
      </c>
      <c r="F14" s="241">
        <f>단위장비8!H58+단위장비8!H59+단위장비8!H60+단위장비8!H64</f>
        <v>0</v>
      </c>
      <c r="G14" s="241"/>
      <c r="H14" s="241">
        <f>단위장비8!H63</f>
        <v>0</v>
      </c>
      <c r="I14" s="242">
        <f>IF($B14&gt;0,'원가항목별(집계)'!I$38*$P14/$P$17,0)</f>
        <v>0</v>
      </c>
      <c r="J14" s="219">
        <f t="shared" si="3"/>
        <v>0</v>
      </c>
      <c r="K14" s="163">
        <f>IF(B14&gt;0,'원가항목별(집계)'!I$34*P14/P$17,0)</f>
        <v>0</v>
      </c>
      <c r="L14" s="163">
        <f>IF($B14&gt;0,'원가항목별(집계)'!I$39*$P14/$P$17,0)</f>
        <v>0</v>
      </c>
      <c r="M14" s="164">
        <f>단위장비8!H67+단위장비8!H68</f>
        <v>0</v>
      </c>
      <c r="N14" s="165">
        <f t="shared" si="1"/>
        <v>0</v>
      </c>
      <c r="O14" s="105"/>
      <c r="P14" s="31">
        <f t="shared" si="2"/>
        <v>0</v>
      </c>
    </row>
    <row r="15" spans="1:16" s="67" customFormat="1" ht="25.5" customHeight="1">
      <c r="A15" s="166" t="str">
        <f t="shared" si="0"/>
        <v/>
      </c>
      <c r="B15" s="162">
        <f>단위장비9!C$1</f>
        <v>0</v>
      </c>
      <c r="C15" s="166" t="s">
        <v>140</v>
      </c>
      <c r="D15" s="240">
        <f>단위장비9!H57</f>
        <v>0</v>
      </c>
      <c r="E15" s="241">
        <f>단위장비9!H58</f>
        <v>0</v>
      </c>
      <c r="F15" s="241">
        <f>단위장비9!H59+단위장비9!H60+단위장비9!H61+단위장비9!H65</f>
        <v>0</v>
      </c>
      <c r="G15" s="241">
        <f>단위장비9!H62+단위장비9!H63</f>
        <v>0</v>
      </c>
      <c r="H15" s="241">
        <f>단위장비9!H64</f>
        <v>0</v>
      </c>
      <c r="I15" s="242">
        <f>IF($B15&gt;0,'원가항목별(집계)'!I$38*$P15/$P$17,0)</f>
        <v>0</v>
      </c>
      <c r="J15" s="219">
        <f>SUM(D15:I15)</f>
        <v>0</v>
      </c>
      <c r="K15" s="163">
        <f>IF(B15&gt;0,'원가항목별(집계)'!I$34*P15/P$17,0)</f>
        <v>0</v>
      </c>
      <c r="L15" s="163">
        <f>IF($B15&gt;0,'원가항목별(집계)'!I$39*$P15/$P$17,0)</f>
        <v>0</v>
      </c>
      <c r="M15" s="164">
        <f>단위장비9!H68+단위장비9!H69</f>
        <v>0</v>
      </c>
      <c r="N15" s="167">
        <f t="shared" si="1"/>
        <v>0</v>
      </c>
      <c r="O15" s="168"/>
      <c r="P15" s="67">
        <f t="shared" si="2"/>
        <v>0</v>
      </c>
    </row>
    <row r="16" spans="1:16" s="67" customFormat="1" ht="25.5" customHeight="1">
      <c r="A16" s="169" t="str">
        <f t="shared" si="0"/>
        <v/>
      </c>
      <c r="B16" s="170">
        <f>단위장비10!C$1</f>
        <v>0</v>
      </c>
      <c r="C16" s="169" t="s">
        <v>140</v>
      </c>
      <c r="D16" s="243">
        <f>단위장비10!H58</f>
        <v>0</v>
      </c>
      <c r="E16" s="244">
        <f>단위장비10!H59</f>
        <v>0</v>
      </c>
      <c r="F16" s="244">
        <f>단위장비10!H60+단위장비10!H61+단위장비10!H62+단위장비10!H66</f>
        <v>0</v>
      </c>
      <c r="G16" s="244">
        <f>단위장비10!H63+단위장비10!H64</f>
        <v>0</v>
      </c>
      <c r="H16" s="244">
        <f>단위장비10!H65</f>
        <v>0</v>
      </c>
      <c r="I16" s="245">
        <f>IF($B16&gt;0,'원가항목별(집계)'!I$38*$P16/$P$17,0)</f>
        <v>0</v>
      </c>
      <c r="J16" s="220">
        <f>SUM(D16:I16)</f>
        <v>0</v>
      </c>
      <c r="K16" s="171">
        <f>IF(B16&gt;0,'원가항목별(집계)'!I$34*P16/P$17,0)</f>
        <v>0</v>
      </c>
      <c r="L16" s="171">
        <f>IF($B16&gt;0,'원가항목별(집계)'!I$39*$P16/$P$17,0)</f>
        <v>0</v>
      </c>
      <c r="M16" s="172">
        <f>단위장비10!H69+단위장비10!H70</f>
        <v>0</v>
      </c>
      <c r="N16" s="173">
        <f t="shared" si="1"/>
        <v>0</v>
      </c>
      <c r="O16" s="174"/>
      <c r="P16" s="67">
        <f t="shared" si="2"/>
        <v>0</v>
      </c>
    </row>
    <row r="17" spans="1:16" s="31" customFormat="1" ht="33" customHeight="1">
      <c r="A17" s="543" t="s">
        <v>145</v>
      </c>
      <c r="B17" s="544"/>
      <c r="C17" s="545"/>
      <c r="D17" s="246">
        <f t="shared" ref="D17:I17" si="4">SUM(D7:D16)</f>
        <v>1009000000</v>
      </c>
      <c r="E17" s="247">
        <f t="shared" si="4"/>
        <v>0</v>
      </c>
      <c r="F17" s="247">
        <f t="shared" si="4"/>
        <v>204400000</v>
      </c>
      <c r="G17" s="247">
        <f t="shared" si="4"/>
        <v>40000000</v>
      </c>
      <c r="H17" s="247">
        <f t="shared" si="4"/>
        <v>23200000</v>
      </c>
      <c r="I17" s="248">
        <f t="shared" si="4"/>
        <v>40000000</v>
      </c>
      <c r="J17" s="253">
        <f>SUM(D17:I17)</f>
        <v>1316600000</v>
      </c>
      <c r="K17" s="254">
        <f>SUM(K7:K16)</f>
        <v>419000000</v>
      </c>
      <c r="L17" s="255">
        <f>SUM(L7:L16)</f>
        <v>0</v>
      </c>
      <c r="M17" s="256">
        <f>SUM(M7:M16)</f>
        <v>9400000</v>
      </c>
      <c r="N17" s="257">
        <f>SUM(N7:N16)</f>
        <v>1745000000</v>
      </c>
      <c r="O17" s="62"/>
      <c r="P17" s="31">
        <f>SUM(P7:P16)</f>
        <v>1286000000</v>
      </c>
    </row>
    <row r="18" spans="1:16" s="230" customFormat="1" ht="18.75" customHeight="1">
      <c r="A18" s="221"/>
      <c r="B18" s="222"/>
      <c r="C18" s="223"/>
      <c r="D18" s="249">
        <f t="shared" ref="D18:N18" si="5">IF(D17=0,"",D17/$N17)</f>
        <v>0.57822349570200571</v>
      </c>
      <c r="E18" s="250" t="str">
        <f t="shared" si="5"/>
        <v/>
      </c>
      <c r="F18" s="250">
        <f t="shared" si="5"/>
        <v>0.11713467048710602</v>
      </c>
      <c r="G18" s="250">
        <f t="shared" si="5"/>
        <v>2.2922636103151862E-2</v>
      </c>
      <c r="H18" s="250">
        <f t="shared" si="5"/>
        <v>1.329512893982808E-2</v>
      </c>
      <c r="I18" s="251">
        <f t="shared" si="5"/>
        <v>2.2922636103151862E-2</v>
      </c>
      <c r="J18" s="225">
        <f t="shared" si="5"/>
        <v>0.75449856733524356</v>
      </c>
      <c r="K18" s="226">
        <f t="shared" si="5"/>
        <v>0.24011461318051575</v>
      </c>
      <c r="L18" s="224" t="str">
        <f t="shared" si="5"/>
        <v/>
      </c>
      <c r="M18" s="227">
        <f t="shared" si="5"/>
        <v>5.3868194842406876E-3</v>
      </c>
      <c r="N18" s="228">
        <f t="shared" si="5"/>
        <v>1</v>
      </c>
      <c r="O18" s="229"/>
    </row>
    <row r="19" spans="1:16" ht="28.5" customHeight="1">
      <c r="A19" s="28" t="s">
        <v>101</v>
      </c>
      <c r="H19" s="139"/>
      <c r="I19" s="139"/>
      <c r="J19" s="139"/>
      <c r="K19" s="139"/>
      <c r="L19" s="139"/>
    </row>
    <row r="20" spans="1:16" ht="17.25" customHeight="1">
      <c r="H20" s="136"/>
      <c r="I20" s="136"/>
      <c r="J20" s="136"/>
      <c r="K20" s="136"/>
      <c r="L20" s="136"/>
      <c r="M20" s="130"/>
      <c r="N20" s="150" t="str">
        <f>IF('원가항목별(집계)'!I42='단위공사별(집계)'!N17,"","DATA오류입니다!")</f>
        <v/>
      </c>
    </row>
    <row r="21" spans="1:16" ht="17.25" customHeight="1">
      <c r="H21" s="137"/>
      <c r="I21" s="137"/>
      <c r="J21" s="137"/>
      <c r="K21" s="137"/>
      <c r="L21" s="137"/>
      <c r="N21" s="137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99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103" t="s">
        <v>83</v>
      </c>
      <c r="C1" s="149" t="s">
        <v>203</v>
      </c>
      <c r="D1" s="65"/>
      <c r="E1" s="300"/>
      <c r="F1" s="289"/>
      <c r="G1" s="67"/>
      <c r="I1" s="28" t="s">
        <v>84</v>
      </c>
    </row>
    <row r="2" spans="1:9" s="29" customFormat="1" ht="16.5" customHeight="1">
      <c r="A2" s="463" t="s">
        <v>31</v>
      </c>
      <c r="B2" s="549"/>
      <c r="C2" s="126" t="s">
        <v>44</v>
      </c>
      <c r="D2" s="127" t="s">
        <v>32</v>
      </c>
      <c r="E2" s="127" t="s">
        <v>33</v>
      </c>
      <c r="F2" s="54" t="s">
        <v>34</v>
      </c>
      <c r="G2" s="54" t="s">
        <v>35</v>
      </c>
      <c r="H2" s="54" t="s">
        <v>36</v>
      </c>
      <c r="I2" s="127" t="s">
        <v>46</v>
      </c>
    </row>
    <row r="3" spans="1:9" ht="15.95" customHeight="1">
      <c r="A3" s="552" t="s">
        <v>77</v>
      </c>
      <c r="B3" s="104" t="s">
        <v>37</v>
      </c>
      <c r="C3" s="122" t="s">
        <v>250</v>
      </c>
      <c r="D3" s="122"/>
      <c r="E3" s="301" t="s">
        <v>246</v>
      </c>
      <c r="F3" s="290">
        <v>6</v>
      </c>
      <c r="G3" s="123">
        <v>2500000</v>
      </c>
      <c r="H3" s="124">
        <f t="shared" ref="H3:H8" si="0">IF(F3=0,G3,G3*F3)</f>
        <v>15000000</v>
      </c>
      <c r="I3" s="125"/>
    </row>
    <row r="4" spans="1:9" ht="15.95" customHeight="1">
      <c r="A4" s="553"/>
      <c r="B4" s="104"/>
      <c r="C4" s="70" t="s">
        <v>251</v>
      </c>
      <c r="D4" s="122"/>
      <c r="E4" s="301" t="s">
        <v>246</v>
      </c>
      <c r="F4" s="290">
        <v>17</v>
      </c>
      <c r="G4" s="123">
        <v>500000</v>
      </c>
      <c r="H4" s="105">
        <f t="shared" si="0"/>
        <v>8500000</v>
      </c>
      <c r="I4" s="72"/>
    </row>
    <row r="5" spans="1:9" ht="15.95" customHeight="1">
      <c r="A5" s="553"/>
      <c r="B5" s="104"/>
      <c r="C5" s="70" t="s">
        <v>252</v>
      </c>
      <c r="D5" s="122"/>
      <c r="E5" s="301" t="s">
        <v>246</v>
      </c>
      <c r="F5" s="290">
        <v>28</v>
      </c>
      <c r="G5" s="123">
        <v>500000</v>
      </c>
      <c r="H5" s="105">
        <f t="shared" si="0"/>
        <v>14000000</v>
      </c>
      <c r="I5" s="72"/>
    </row>
    <row r="6" spans="1:9" ht="15.95" customHeight="1">
      <c r="A6" s="553"/>
      <c r="B6" s="104"/>
      <c r="C6" s="70" t="s">
        <v>253</v>
      </c>
      <c r="D6" s="122"/>
      <c r="E6" s="301" t="s">
        <v>246</v>
      </c>
      <c r="F6" s="290">
        <v>3</v>
      </c>
      <c r="G6" s="123">
        <v>2500000</v>
      </c>
      <c r="H6" s="105">
        <f t="shared" si="0"/>
        <v>7500000</v>
      </c>
      <c r="I6" s="72"/>
    </row>
    <row r="7" spans="1:9" ht="15.95" customHeight="1">
      <c r="A7" s="553"/>
      <c r="B7" s="104"/>
      <c r="C7" s="70"/>
      <c r="D7" s="70"/>
      <c r="E7" s="302"/>
      <c r="F7" s="291"/>
      <c r="G7" s="71"/>
      <c r="H7" s="105">
        <f t="shared" si="0"/>
        <v>0</v>
      </c>
      <c r="I7" s="72"/>
    </row>
    <row r="8" spans="1:9" ht="15.95" customHeight="1">
      <c r="A8" s="553"/>
      <c r="B8" s="104"/>
      <c r="C8" s="119"/>
      <c r="D8" s="119"/>
      <c r="E8" s="303"/>
      <c r="F8" s="292"/>
      <c r="G8" s="120"/>
      <c r="H8" s="105">
        <f t="shared" si="0"/>
        <v>0</v>
      </c>
      <c r="I8" s="73"/>
    </row>
    <row r="9" spans="1:9" ht="15.95" customHeight="1">
      <c r="A9" s="553"/>
      <c r="B9" s="74"/>
      <c r="C9" s="107"/>
      <c r="D9" s="97"/>
      <c r="E9" s="126"/>
      <c r="F9" s="293"/>
      <c r="G9" s="40"/>
      <c r="H9" s="30">
        <f>SUM(H3:H8)</f>
        <v>45000000</v>
      </c>
      <c r="I9" s="76"/>
    </row>
    <row r="10" spans="1:9" ht="15.95" customHeight="1">
      <c r="A10" s="553"/>
      <c r="B10" s="271" t="s">
        <v>150</v>
      </c>
      <c r="C10" s="117"/>
      <c r="D10" s="117"/>
      <c r="E10" s="298"/>
      <c r="F10" s="294"/>
      <c r="G10" s="118"/>
      <c r="H10" s="109">
        <f t="shared" ref="H10:H21" si="1">IF(F10=0,G10,G10*F10)</f>
        <v>0</v>
      </c>
      <c r="I10" s="77"/>
    </row>
    <row r="11" spans="1:9" ht="15.95" customHeight="1">
      <c r="A11" s="553"/>
      <c r="B11" s="272" t="s">
        <v>151</v>
      </c>
      <c r="C11" s="70"/>
      <c r="D11" s="70"/>
      <c r="E11" s="302"/>
      <c r="F11" s="291"/>
      <c r="G11" s="71"/>
      <c r="H11" s="105">
        <f t="shared" si="1"/>
        <v>0</v>
      </c>
      <c r="I11" s="72"/>
    </row>
    <row r="12" spans="1:9" ht="15.95" customHeight="1">
      <c r="A12" s="553"/>
      <c r="B12" s="272" t="s">
        <v>149</v>
      </c>
      <c r="C12" s="70"/>
      <c r="D12" s="70"/>
      <c r="E12" s="302"/>
      <c r="F12" s="291"/>
      <c r="G12" s="71"/>
      <c r="H12" s="105">
        <f t="shared" si="1"/>
        <v>0</v>
      </c>
      <c r="I12" s="72"/>
    </row>
    <row r="13" spans="1:9" ht="15.95" customHeight="1">
      <c r="A13" s="553"/>
      <c r="B13" s="104"/>
      <c r="C13" s="70"/>
      <c r="D13" s="70"/>
      <c r="E13" s="302"/>
      <c r="F13" s="291"/>
      <c r="G13" s="71"/>
      <c r="H13" s="105">
        <f t="shared" si="1"/>
        <v>0</v>
      </c>
      <c r="I13" s="72"/>
    </row>
    <row r="14" spans="1:9" ht="15.95" customHeight="1">
      <c r="A14" s="553"/>
      <c r="B14" s="104"/>
      <c r="C14" s="70"/>
      <c r="D14" s="70"/>
      <c r="E14" s="302"/>
      <c r="F14" s="291"/>
      <c r="G14" s="71"/>
      <c r="H14" s="105">
        <f t="shared" si="1"/>
        <v>0</v>
      </c>
      <c r="I14" s="72"/>
    </row>
    <row r="15" spans="1:9" ht="15.95" customHeight="1">
      <c r="A15" s="553"/>
      <c r="B15" s="104"/>
      <c r="C15" s="119" t="s">
        <v>47</v>
      </c>
      <c r="D15" s="262"/>
      <c r="E15" s="303" t="s">
        <v>172</v>
      </c>
      <c r="F15" s="295"/>
      <c r="G15" s="263"/>
      <c r="H15" s="264">
        <f t="shared" si="1"/>
        <v>0</v>
      </c>
      <c r="I15" s="265"/>
    </row>
    <row r="16" spans="1:9" ht="15.95" customHeight="1">
      <c r="A16" s="553"/>
      <c r="B16" s="104"/>
      <c r="C16" s="266"/>
      <c r="D16" s="267"/>
      <c r="E16" s="304"/>
      <c r="F16" s="296"/>
      <c r="G16" s="269"/>
      <c r="H16" s="270">
        <f>SUM(H10:H15)</f>
        <v>0</v>
      </c>
      <c r="I16" s="268"/>
    </row>
    <row r="17" spans="1:9" ht="15.95" customHeight="1">
      <c r="A17" s="553"/>
      <c r="B17" s="108" t="s">
        <v>40</v>
      </c>
      <c r="C17" s="311" t="s">
        <v>254</v>
      </c>
      <c r="D17" s="311"/>
      <c r="E17" s="312" t="s">
        <v>260</v>
      </c>
      <c r="F17" s="415">
        <v>1</v>
      </c>
      <c r="G17" s="313">
        <v>33000000</v>
      </c>
      <c r="H17" s="109">
        <f>IF(F17=0,G17,G17*F17)</f>
        <v>33000000</v>
      </c>
      <c r="I17" s="77"/>
    </row>
    <row r="18" spans="1:9" ht="15.95" customHeight="1">
      <c r="A18" s="553"/>
      <c r="B18" s="104"/>
      <c r="C18" s="314" t="s">
        <v>255</v>
      </c>
      <c r="D18" s="314"/>
      <c r="E18" s="315" t="s">
        <v>261</v>
      </c>
      <c r="F18" s="416">
        <v>1</v>
      </c>
      <c r="G18" s="317">
        <v>76000000</v>
      </c>
      <c r="H18" s="105">
        <f t="shared" si="1"/>
        <v>76000000</v>
      </c>
      <c r="I18" s="72"/>
    </row>
    <row r="19" spans="1:9" ht="15.95" customHeight="1">
      <c r="A19" s="553"/>
      <c r="B19" s="104"/>
      <c r="C19" s="314" t="s">
        <v>256</v>
      </c>
      <c r="D19" s="314"/>
      <c r="E19" s="315" t="s">
        <v>261</v>
      </c>
      <c r="F19" s="416">
        <v>1</v>
      </c>
      <c r="G19" s="317">
        <v>5000000</v>
      </c>
      <c r="H19" s="105">
        <f t="shared" si="1"/>
        <v>5000000</v>
      </c>
      <c r="I19" s="72"/>
    </row>
    <row r="20" spans="1:9" ht="15.95" customHeight="1">
      <c r="A20" s="553"/>
      <c r="B20" s="104"/>
      <c r="C20" s="314" t="s">
        <v>257</v>
      </c>
      <c r="D20" s="318" t="s">
        <v>258</v>
      </c>
      <c r="E20" s="315" t="s">
        <v>220</v>
      </c>
      <c r="F20" s="416">
        <v>2</v>
      </c>
      <c r="G20" s="317">
        <v>7000000</v>
      </c>
      <c r="H20" s="105">
        <f t="shared" si="1"/>
        <v>14000000</v>
      </c>
      <c r="I20" s="72"/>
    </row>
    <row r="21" spans="1:9" ht="15.95" customHeight="1">
      <c r="A21" s="553"/>
      <c r="B21" s="104"/>
      <c r="C21" s="314" t="s">
        <v>259</v>
      </c>
      <c r="D21" s="318"/>
      <c r="E21" s="315" t="s">
        <v>220</v>
      </c>
      <c r="F21" s="416">
        <v>2</v>
      </c>
      <c r="G21" s="317">
        <v>7000000</v>
      </c>
      <c r="H21" s="105">
        <f t="shared" si="1"/>
        <v>14000000</v>
      </c>
      <c r="I21" s="72"/>
    </row>
    <row r="22" spans="1:9" ht="15.95" customHeight="1">
      <c r="A22" s="553"/>
      <c r="B22" s="104"/>
      <c r="C22" s="314"/>
      <c r="D22" s="314"/>
      <c r="E22" s="315"/>
      <c r="F22" s="416"/>
      <c r="G22" s="317"/>
      <c r="H22" s="105">
        <f t="shared" ref="H22:H30" si="2">IF(F22=0,G22,G22*F22)</f>
        <v>0</v>
      </c>
      <c r="I22" s="72"/>
    </row>
    <row r="23" spans="1:9" ht="15.95" customHeight="1">
      <c r="A23" s="553"/>
      <c r="B23" s="104"/>
      <c r="C23" s="314"/>
      <c r="D23" s="314"/>
      <c r="E23" s="315"/>
      <c r="F23" s="416"/>
      <c r="G23" s="317"/>
      <c r="H23" s="105">
        <f t="shared" si="2"/>
        <v>0</v>
      </c>
      <c r="I23" s="72"/>
    </row>
    <row r="24" spans="1:9" ht="15.95" customHeight="1">
      <c r="A24" s="553"/>
      <c r="B24" s="104"/>
      <c r="C24" s="319"/>
      <c r="D24" s="319"/>
      <c r="E24" s="320"/>
      <c r="F24" s="417"/>
      <c r="G24" s="321"/>
      <c r="H24" s="105">
        <f t="shared" si="2"/>
        <v>0</v>
      </c>
      <c r="I24" s="72"/>
    </row>
    <row r="25" spans="1:9" ht="15.95" customHeight="1">
      <c r="A25" s="553"/>
      <c r="B25" s="104"/>
      <c r="C25" s="322"/>
      <c r="D25" s="322"/>
      <c r="E25" s="315"/>
      <c r="F25" s="418"/>
      <c r="G25" s="324"/>
      <c r="H25" s="105">
        <f t="shared" si="2"/>
        <v>0</v>
      </c>
      <c r="I25" s="72"/>
    </row>
    <row r="26" spans="1:9" ht="15.95" customHeight="1">
      <c r="A26" s="553"/>
      <c r="B26" s="104"/>
      <c r="C26" s="322"/>
      <c r="D26" s="322"/>
      <c r="E26" s="315"/>
      <c r="F26" s="418"/>
      <c r="G26" s="324"/>
      <c r="H26" s="105">
        <f t="shared" si="2"/>
        <v>0</v>
      </c>
      <c r="I26" s="72"/>
    </row>
    <row r="27" spans="1:9" ht="15.95" customHeight="1">
      <c r="A27" s="553"/>
      <c r="B27" s="104"/>
      <c r="C27" s="314"/>
      <c r="D27" s="322"/>
      <c r="E27" s="315"/>
      <c r="F27" s="323"/>
      <c r="G27" s="324"/>
      <c r="H27" s="105">
        <f t="shared" si="2"/>
        <v>0</v>
      </c>
      <c r="I27" s="72"/>
    </row>
    <row r="28" spans="1:9" ht="15.95" customHeight="1">
      <c r="A28" s="553"/>
      <c r="B28" s="104"/>
      <c r="C28" s="319"/>
      <c r="D28" s="322"/>
      <c r="E28" s="320"/>
      <c r="F28" s="325"/>
      <c r="G28" s="326"/>
      <c r="H28" s="105">
        <f t="shared" si="2"/>
        <v>0</v>
      </c>
      <c r="I28" s="72"/>
    </row>
    <row r="29" spans="1:9" ht="15.95" customHeight="1">
      <c r="A29" s="553"/>
      <c r="B29" s="104"/>
      <c r="C29" s="319"/>
      <c r="D29" s="322"/>
      <c r="E29" s="320"/>
      <c r="F29" s="325"/>
      <c r="G29" s="326"/>
      <c r="H29" s="105">
        <f t="shared" si="2"/>
        <v>0</v>
      </c>
      <c r="I29" s="72"/>
    </row>
    <row r="30" spans="1:9" ht="15.95" customHeight="1">
      <c r="A30" s="553"/>
      <c r="B30" s="104"/>
      <c r="C30" s="319"/>
      <c r="D30" s="322"/>
      <c r="E30" s="320"/>
      <c r="F30" s="325"/>
      <c r="G30" s="326"/>
      <c r="H30" s="105">
        <f t="shared" si="2"/>
        <v>0</v>
      </c>
      <c r="I30" s="72"/>
    </row>
    <row r="31" spans="1:9" ht="15.95" customHeight="1">
      <c r="A31" s="553"/>
      <c r="B31" s="104"/>
      <c r="C31" s="319"/>
      <c r="D31" s="322"/>
      <c r="E31" s="320"/>
      <c r="F31" s="325"/>
      <c r="G31" s="326"/>
      <c r="H31" s="105">
        <f t="shared" ref="H31:H41" si="3">IF(F31=0,G31,G31*F31)</f>
        <v>0</v>
      </c>
      <c r="I31" s="72"/>
    </row>
    <row r="32" spans="1:9" ht="15.95" customHeight="1">
      <c r="A32" s="553"/>
      <c r="B32" s="104"/>
      <c r="C32" s="322"/>
      <c r="D32" s="322"/>
      <c r="E32" s="315"/>
      <c r="F32" s="323"/>
      <c r="G32" s="324"/>
      <c r="H32" s="105">
        <f t="shared" si="3"/>
        <v>0</v>
      </c>
      <c r="I32" s="72"/>
    </row>
    <row r="33" spans="1:9" ht="15.95" customHeight="1">
      <c r="A33" s="553"/>
      <c r="B33" s="104"/>
      <c r="C33" s="322"/>
      <c r="D33" s="322"/>
      <c r="E33" s="315"/>
      <c r="F33" s="323"/>
      <c r="G33" s="324"/>
      <c r="H33" s="105">
        <f t="shared" si="3"/>
        <v>0</v>
      </c>
      <c r="I33" s="72"/>
    </row>
    <row r="34" spans="1:9" ht="15.95" customHeight="1">
      <c r="A34" s="553"/>
      <c r="B34" s="104"/>
      <c r="C34" s="322"/>
      <c r="D34" s="322"/>
      <c r="E34" s="315"/>
      <c r="F34" s="323"/>
      <c r="G34" s="324"/>
      <c r="H34" s="105">
        <f t="shared" si="3"/>
        <v>0</v>
      </c>
      <c r="I34" s="72"/>
    </row>
    <row r="35" spans="1:9" ht="15.95" customHeight="1">
      <c r="A35" s="553"/>
      <c r="B35" s="104"/>
      <c r="C35" s="314"/>
      <c r="D35" s="314"/>
      <c r="E35" s="315"/>
      <c r="F35" s="316"/>
      <c r="G35" s="317"/>
      <c r="H35" s="105">
        <f t="shared" si="3"/>
        <v>0</v>
      </c>
      <c r="I35" s="72"/>
    </row>
    <row r="36" spans="1:9" ht="15.95" customHeight="1">
      <c r="A36" s="553"/>
      <c r="B36" s="104"/>
      <c r="C36" s="314"/>
      <c r="D36" s="314"/>
      <c r="E36" s="315"/>
      <c r="F36" s="327"/>
      <c r="G36" s="328"/>
      <c r="H36" s="105">
        <f t="shared" si="3"/>
        <v>0</v>
      </c>
      <c r="I36" s="72"/>
    </row>
    <row r="37" spans="1:9" ht="15.95" customHeight="1">
      <c r="A37" s="553"/>
      <c r="B37" s="104"/>
      <c r="C37" s="70"/>
      <c r="D37" s="70"/>
      <c r="E37" s="302"/>
      <c r="F37" s="291"/>
      <c r="G37" s="71"/>
      <c r="H37" s="105">
        <f t="shared" si="3"/>
        <v>0</v>
      </c>
      <c r="I37" s="72"/>
    </row>
    <row r="38" spans="1:9" ht="15.95" customHeight="1">
      <c r="A38" s="553"/>
      <c r="B38" s="104"/>
      <c r="C38" s="70"/>
      <c r="D38" s="70"/>
      <c r="E38" s="302"/>
      <c r="F38" s="291"/>
      <c r="G38" s="71"/>
      <c r="H38" s="105">
        <f t="shared" si="3"/>
        <v>0</v>
      </c>
      <c r="I38" s="72"/>
    </row>
    <row r="39" spans="1:9" ht="15.95" customHeight="1">
      <c r="A39" s="553"/>
      <c r="B39" s="104"/>
      <c r="C39" s="70"/>
      <c r="D39" s="70"/>
      <c r="E39" s="302"/>
      <c r="F39" s="291"/>
      <c r="G39" s="71"/>
      <c r="H39" s="105">
        <f t="shared" si="3"/>
        <v>0</v>
      </c>
      <c r="I39" s="72"/>
    </row>
    <row r="40" spans="1:9" ht="15.95" customHeight="1">
      <c r="A40" s="553"/>
      <c r="B40" s="104"/>
      <c r="C40" s="70"/>
      <c r="D40" s="70"/>
      <c r="E40" s="302"/>
      <c r="F40" s="291"/>
      <c r="G40" s="71"/>
      <c r="H40" s="105">
        <f t="shared" si="3"/>
        <v>0</v>
      </c>
      <c r="I40" s="72"/>
    </row>
    <row r="41" spans="1:9" ht="15.95" customHeight="1">
      <c r="A41" s="553"/>
      <c r="B41" s="104"/>
      <c r="C41" s="70"/>
      <c r="D41" s="70"/>
      <c r="E41" s="302"/>
      <c r="F41" s="291"/>
      <c r="G41" s="71"/>
      <c r="H41" s="105">
        <f t="shared" si="3"/>
        <v>0</v>
      </c>
      <c r="I41" s="72"/>
    </row>
    <row r="42" spans="1:9" ht="15.95" customHeight="1">
      <c r="A42" s="553"/>
      <c r="B42" s="104"/>
      <c r="C42" s="70"/>
      <c r="D42" s="70"/>
      <c r="E42" s="302"/>
      <c r="F42" s="291"/>
      <c r="G42" s="71"/>
      <c r="H42" s="105">
        <f t="shared" ref="H42:H53" si="4">IF(F42=0,G42,G42*F42)</f>
        <v>0</v>
      </c>
      <c r="I42" s="72"/>
    </row>
    <row r="43" spans="1:9" ht="15.95" customHeight="1">
      <c r="A43" s="553"/>
      <c r="B43" s="104"/>
      <c r="C43" s="70"/>
      <c r="D43" s="70"/>
      <c r="E43" s="302"/>
      <c r="F43" s="291"/>
      <c r="G43" s="71"/>
      <c r="H43" s="105">
        <f t="shared" si="4"/>
        <v>0</v>
      </c>
      <c r="I43" s="72"/>
    </row>
    <row r="44" spans="1:9" ht="15.95" customHeight="1">
      <c r="A44" s="553"/>
      <c r="B44" s="104"/>
      <c r="C44" s="70"/>
      <c r="D44" s="70"/>
      <c r="E44" s="302"/>
      <c r="F44" s="291"/>
      <c r="G44" s="71"/>
      <c r="H44" s="105">
        <f t="shared" si="4"/>
        <v>0</v>
      </c>
      <c r="I44" s="72"/>
    </row>
    <row r="45" spans="1:9" ht="15.95" customHeight="1">
      <c r="A45" s="553"/>
      <c r="B45" s="104"/>
      <c r="C45" s="70"/>
      <c r="D45" s="70"/>
      <c r="E45" s="302"/>
      <c r="F45" s="291"/>
      <c r="G45" s="71"/>
      <c r="H45" s="105">
        <f t="shared" si="4"/>
        <v>0</v>
      </c>
      <c r="I45" s="72"/>
    </row>
    <row r="46" spans="1:9" ht="15.95" customHeight="1">
      <c r="A46" s="553"/>
      <c r="B46" s="104"/>
      <c r="C46" s="70"/>
      <c r="D46" s="70"/>
      <c r="E46" s="302"/>
      <c r="F46" s="291"/>
      <c r="G46" s="71"/>
      <c r="H46" s="105">
        <f t="shared" si="4"/>
        <v>0</v>
      </c>
      <c r="I46" s="72"/>
    </row>
    <row r="47" spans="1:9" ht="15.95" customHeight="1">
      <c r="A47" s="553"/>
      <c r="B47" s="104"/>
      <c r="C47" s="70"/>
      <c r="D47" s="70"/>
      <c r="E47" s="302"/>
      <c r="F47" s="291"/>
      <c r="G47" s="71"/>
      <c r="H47" s="105">
        <f t="shared" si="4"/>
        <v>0</v>
      </c>
      <c r="I47" s="72"/>
    </row>
    <row r="48" spans="1:9" ht="15.95" customHeight="1">
      <c r="A48" s="553"/>
      <c r="B48" s="104"/>
      <c r="C48" s="70"/>
      <c r="D48" s="70"/>
      <c r="E48" s="302"/>
      <c r="F48" s="291"/>
      <c r="G48" s="71"/>
      <c r="H48" s="105">
        <f t="shared" si="4"/>
        <v>0</v>
      </c>
      <c r="I48" s="72"/>
    </row>
    <row r="49" spans="1:9" ht="15.95" customHeight="1">
      <c r="A49" s="553"/>
      <c r="B49" s="104"/>
      <c r="C49" s="70"/>
      <c r="D49" s="70"/>
      <c r="E49" s="302"/>
      <c r="F49" s="291"/>
      <c r="G49" s="71"/>
      <c r="H49" s="105">
        <f t="shared" si="4"/>
        <v>0</v>
      </c>
      <c r="I49" s="72"/>
    </row>
    <row r="50" spans="1:9" ht="15.95" customHeight="1">
      <c r="A50" s="553"/>
      <c r="B50" s="104"/>
      <c r="C50" s="70"/>
      <c r="D50" s="70"/>
      <c r="E50" s="302"/>
      <c r="F50" s="291"/>
      <c r="G50" s="71"/>
      <c r="H50" s="105">
        <f t="shared" si="4"/>
        <v>0</v>
      </c>
      <c r="I50" s="72"/>
    </row>
    <row r="51" spans="1:9" ht="15.95" customHeight="1">
      <c r="A51" s="553"/>
      <c r="B51" s="104"/>
      <c r="C51" s="70"/>
      <c r="D51" s="70"/>
      <c r="E51" s="302"/>
      <c r="F51" s="291"/>
      <c r="G51" s="71"/>
      <c r="H51" s="105">
        <f t="shared" si="4"/>
        <v>0</v>
      </c>
      <c r="I51" s="72"/>
    </row>
    <row r="52" spans="1:9" ht="15.95" customHeight="1">
      <c r="A52" s="553"/>
      <c r="B52" s="104"/>
      <c r="C52" s="70"/>
      <c r="D52" s="70"/>
      <c r="E52" s="302"/>
      <c r="F52" s="291"/>
      <c r="G52" s="71"/>
      <c r="H52" s="105">
        <f t="shared" si="4"/>
        <v>0</v>
      </c>
      <c r="I52" s="72"/>
    </row>
    <row r="53" spans="1:9" ht="15.95" customHeight="1">
      <c r="A53" s="553"/>
      <c r="B53" s="104"/>
      <c r="C53" s="119"/>
      <c r="D53" s="119"/>
      <c r="E53" s="303"/>
      <c r="F53" s="292"/>
      <c r="G53" s="120"/>
      <c r="H53" s="110">
        <f t="shared" si="4"/>
        <v>0</v>
      </c>
      <c r="I53" s="73"/>
    </row>
    <row r="54" spans="1:9" ht="15.95" customHeight="1">
      <c r="A54" s="553"/>
      <c r="B54" s="74"/>
      <c r="C54" s="107"/>
      <c r="D54" s="97"/>
      <c r="E54" s="126"/>
      <c r="F54" s="293"/>
      <c r="G54" s="40"/>
      <c r="H54" s="30">
        <f>SUM(H17:H53)</f>
        <v>142000000</v>
      </c>
      <c r="I54" s="76"/>
    </row>
    <row r="55" spans="1:9" ht="15.95" customHeight="1">
      <c r="A55" s="78"/>
      <c r="B55" s="102" t="s">
        <v>42</v>
      </c>
      <c r="C55" s="75"/>
      <c r="D55" s="76"/>
      <c r="E55" s="127"/>
      <c r="F55" s="106"/>
      <c r="G55" s="56"/>
      <c r="H55" s="30">
        <f>SUM(H54,H9,H16)</f>
        <v>187000000</v>
      </c>
      <c r="I55" s="76"/>
    </row>
    <row r="56" spans="1:9" ht="15.95" customHeight="1">
      <c r="A56" s="550" t="s">
        <v>72</v>
      </c>
      <c r="B56" s="142" t="s">
        <v>262</v>
      </c>
      <c r="C56" s="75"/>
      <c r="D56" s="79"/>
      <c r="E56" s="305" t="s">
        <v>51</v>
      </c>
      <c r="F56" s="297">
        <v>80</v>
      </c>
      <c r="G56" s="288">
        <v>300000</v>
      </c>
      <c r="H56" s="53">
        <f t="shared" ref="H56:H62" si="5">F56*G56</f>
        <v>24000000</v>
      </c>
      <c r="I56" s="76"/>
    </row>
    <row r="57" spans="1:9" ht="15.95" customHeight="1">
      <c r="A57" s="551"/>
      <c r="B57" s="143" t="s">
        <v>174</v>
      </c>
      <c r="C57" s="146"/>
      <c r="D57" s="80"/>
      <c r="E57" s="306" t="s">
        <v>260</v>
      </c>
      <c r="F57" s="298">
        <v>1</v>
      </c>
      <c r="G57" s="118">
        <v>76000000</v>
      </c>
      <c r="H57" s="109">
        <f t="shared" si="5"/>
        <v>76000000</v>
      </c>
      <c r="I57" s="77" t="s">
        <v>267</v>
      </c>
    </row>
    <row r="58" spans="1:9" ht="15.95" customHeight="1">
      <c r="A58" s="551"/>
      <c r="B58" s="144" t="s">
        <v>102</v>
      </c>
      <c r="C58" s="147" t="s">
        <v>263</v>
      </c>
      <c r="D58" s="81"/>
      <c r="E58" s="307" t="s">
        <v>50</v>
      </c>
      <c r="F58" s="290">
        <v>50</v>
      </c>
      <c r="G58" s="71">
        <v>300000</v>
      </c>
      <c r="H58" s="105">
        <f t="shared" si="5"/>
        <v>15000000</v>
      </c>
      <c r="I58" s="72"/>
    </row>
    <row r="59" spans="1:9" ht="15.95" customHeight="1">
      <c r="A59" s="551"/>
      <c r="B59" s="144" t="s">
        <v>103</v>
      </c>
      <c r="C59" s="147"/>
      <c r="D59" s="81"/>
      <c r="E59" s="307" t="s">
        <v>50</v>
      </c>
      <c r="F59" s="291">
        <v>100</v>
      </c>
      <c r="G59" s="71">
        <v>300000</v>
      </c>
      <c r="H59" s="105">
        <f>F59*G59</f>
        <v>30000000</v>
      </c>
      <c r="I59" s="72"/>
    </row>
    <row r="60" spans="1:9" ht="15.95" customHeight="1">
      <c r="A60" s="551"/>
      <c r="B60" s="144" t="s">
        <v>104</v>
      </c>
      <c r="C60" s="147"/>
      <c r="D60" s="81"/>
      <c r="E60" s="307" t="s">
        <v>50</v>
      </c>
      <c r="F60" s="291">
        <v>50</v>
      </c>
      <c r="G60" s="71">
        <v>400000</v>
      </c>
      <c r="H60" s="105">
        <f t="shared" si="5"/>
        <v>20000000</v>
      </c>
      <c r="I60" s="72"/>
    </row>
    <row r="61" spans="1:9" ht="15.95" customHeight="1">
      <c r="A61" s="551"/>
      <c r="B61" s="144" t="s">
        <v>105</v>
      </c>
      <c r="C61" s="147" t="s">
        <v>266</v>
      </c>
      <c r="D61" s="81"/>
      <c r="E61" s="307" t="s">
        <v>265</v>
      </c>
      <c r="F61" s="295">
        <v>1</v>
      </c>
      <c r="G61" s="263">
        <v>38000000</v>
      </c>
      <c r="H61" s="105">
        <f t="shared" si="5"/>
        <v>38000000</v>
      </c>
      <c r="I61" s="72"/>
    </row>
    <row r="62" spans="1:9" ht="15.95" customHeight="1">
      <c r="A62" s="551"/>
      <c r="B62" s="145" t="s">
        <v>106</v>
      </c>
      <c r="C62" s="148" t="s">
        <v>268</v>
      </c>
      <c r="D62" s="82"/>
      <c r="E62" s="308" t="s">
        <v>50</v>
      </c>
      <c r="F62" s="292">
        <v>58</v>
      </c>
      <c r="G62" s="120">
        <v>500000</v>
      </c>
      <c r="H62" s="110">
        <f t="shared" si="5"/>
        <v>29000000</v>
      </c>
      <c r="I62" s="73"/>
    </row>
    <row r="63" spans="1:9" ht="15.95" customHeight="1">
      <c r="A63" s="78"/>
      <c r="B63" s="101" t="s">
        <v>41</v>
      </c>
      <c r="C63" s="75"/>
      <c r="D63" s="76"/>
      <c r="E63" s="127"/>
      <c r="F63" s="293"/>
      <c r="G63" s="40"/>
      <c r="H63" s="30">
        <f>SUM(H56:H62)</f>
        <v>232000000</v>
      </c>
      <c r="I63" s="76"/>
    </row>
    <row r="64" spans="1:9" ht="15.95" customHeight="1">
      <c r="A64" s="52"/>
      <c r="B64" s="101" t="s">
        <v>48</v>
      </c>
      <c r="C64" s="75"/>
      <c r="D64" s="76"/>
      <c r="E64" s="127"/>
      <c r="F64" s="54"/>
      <c r="G64" s="151" t="s">
        <v>78</v>
      </c>
      <c r="H64" s="56">
        <v>0</v>
      </c>
      <c r="I64" s="76"/>
    </row>
    <row r="65" spans="1:11" ht="15.95" customHeight="1">
      <c r="A65" s="52"/>
      <c r="B65" s="101" t="s">
        <v>25</v>
      </c>
      <c r="C65" s="75"/>
      <c r="D65" s="76"/>
      <c r="E65" s="127"/>
      <c r="F65" s="54"/>
      <c r="G65" s="55"/>
      <c r="H65" s="121"/>
      <c r="I65" s="75"/>
    </row>
    <row r="66" spans="1:11" ht="15.95" customHeight="1">
      <c r="A66" s="52"/>
      <c r="B66" s="101" t="s">
        <v>146</v>
      </c>
      <c r="C66" s="75"/>
      <c r="D66" s="76"/>
      <c r="E66" s="127"/>
      <c r="F66" s="54"/>
      <c r="G66" s="55"/>
      <c r="H66" s="121"/>
      <c r="I66" s="75"/>
    </row>
    <row r="67" spans="1:11" ht="15.95" customHeight="1">
      <c r="A67" s="52"/>
      <c r="B67" s="101" t="s">
        <v>147</v>
      </c>
      <c r="C67" s="75"/>
      <c r="D67" s="76"/>
      <c r="E67" s="127"/>
      <c r="F67" s="54"/>
      <c r="G67" s="30"/>
      <c r="H67" s="40">
        <f>H55+H63+H64+H65+H66</f>
        <v>419000000</v>
      </c>
      <c r="I67" s="76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  <pageSetUpPr fitToPage="1"/>
  </sheetPr>
  <dimension ref="A1:K64"/>
  <sheetViews>
    <sheetView zoomScale="85" zoomScaleNormal="85" workbookViewId="0">
      <pane xSplit="2" ySplit="2" topLeftCell="C39" activePane="bottomRight" state="frozen"/>
      <selection activeCell="H28" sqref="H28"/>
      <selection pane="topRight" activeCell="H28" sqref="H28"/>
      <selection pane="bottomLeft" activeCell="H28" sqref="H28"/>
      <selection pane="bottomRight" activeCell="H62" sqref="H62"/>
    </sheetView>
  </sheetViews>
  <sheetFormatPr defaultRowHeight="13.5"/>
  <cols>
    <col min="1" max="1" width="5" style="28" customWidth="1"/>
    <col min="2" max="2" width="17.875" style="28" bestFit="1" customWidth="1"/>
    <col min="3" max="3" width="29.625" style="28" bestFit="1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103" t="s">
        <v>79</v>
      </c>
      <c r="C1" s="152" t="s">
        <v>200</v>
      </c>
      <c r="D1" s="65"/>
      <c r="E1" s="65"/>
      <c r="F1" s="66"/>
      <c r="G1" s="67"/>
      <c r="I1" s="28" t="s">
        <v>82</v>
      </c>
      <c r="K1" s="128"/>
    </row>
    <row r="2" spans="1:11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2" t="s">
        <v>81</v>
      </c>
      <c r="B3" s="104" t="s">
        <v>37</v>
      </c>
      <c r="C3" s="70" t="s">
        <v>204</v>
      </c>
      <c r="D3" s="332"/>
      <c r="E3" s="302" t="s">
        <v>205</v>
      </c>
      <c r="F3" s="291">
        <v>1</v>
      </c>
      <c r="G3" s="71">
        <v>32000000</v>
      </c>
      <c r="H3" s="105">
        <f>IF(F3=0,G3,G3*F3)</f>
        <v>32000000</v>
      </c>
      <c r="I3" s="329"/>
    </row>
    <row r="4" spans="1:11" ht="15.95" customHeight="1">
      <c r="A4" s="554"/>
      <c r="B4" s="104"/>
      <c r="C4" s="383"/>
      <c r="D4" s="383"/>
      <c r="E4" s="386"/>
      <c r="F4" s="387"/>
      <c r="G4" s="384"/>
      <c r="H4" s="105">
        <f>F4*G4</f>
        <v>0</v>
      </c>
      <c r="I4" s="72"/>
    </row>
    <row r="5" spans="1:11" ht="15.95" customHeight="1">
      <c r="A5" s="554"/>
      <c r="B5" s="104"/>
      <c r="C5" s="334"/>
      <c r="D5" s="334"/>
      <c r="E5" s="332"/>
      <c r="F5" s="333"/>
      <c r="G5" s="350"/>
      <c r="H5" s="105">
        <f>F5*G5</f>
        <v>0</v>
      </c>
      <c r="I5" s="125"/>
    </row>
    <row r="6" spans="1:11" ht="15.95" customHeight="1">
      <c r="A6" s="554"/>
      <c r="B6" s="104"/>
      <c r="C6" s="334"/>
      <c r="D6" s="334"/>
      <c r="E6" s="332"/>
      <c r="F6" s="333"/>
      <c r="G6" s="350"/>
      <c r="H6" s="105">
        <f>F6*G6</f>
        <v>0</v>
      </c>
      <c r="I6" s="72"/>
    </row>
    <row r="7" spans="1:11" ht="15.95" customHeight="1">
      <c r="A7" s="554"/>
      <c r="B7" s="104"/>
      <c r="C7" s="334"/>
      <c r="D7" s="334"/>
      <c r="E7" s="332"/>
      <c r="F7" s="333"/>
      <c r="G7" s="350"/>
      <c r="H7" s="105">
        <f>F7*G7</f>
        <v>0</v>
      </c>
      <c r="I7" s="72"/>
    </row>
    <row r="8" spans="1:11" ht="15.95" customHeight="1">
      <c r="A8" s="554"/>
      <c r="B8" s="104"/>
      <c r="C8" s="70"/>
      <c r="D8" s="70"/>
      <c r="E8" s="70"/>
      <c r="F8" s="71"/>
      <c r="G8" s="71"/>
      <c r="H8" s="105">
        <f t="shared" ref="H8:H48" si="0">IF(F8=0,G8,G8*F8)</f>
        <v>0</v>
      </c>
      <c r="I8" s="72"/>
    </row>
    <row r="9" spans="1:11" ht="15.95" customHeight="1">
      <c r="A9" s="554"/>
      <c r="B9" s="104"/>
      <c r="C9" s="119"/>
      <c r="D9" s="303"/>
      <c r="E9" s="303"/>
      <c r="F9" s="292"/>
      <c r="G9" s="120"/>
      <c r="H9" s="264">
        <f t="shared" si="0"/>
        <v>0</v>
      </c>
      <c r="I9" s="265"/>
    </row>
    <row r="10" spans="1:11" ht="15.95" customHeight="1">
      <c r="A10" s="554"/>
      <c r="B10" s="74"/>
      <c r="C10" s="268"/>
      <c r="D10" s="268"/>
      <c r="E10" s="268"/>
      <c r="F10" s="269"/>
      <c r="G10" s="269"/>
      <c r="H10" s="270">
        <f>SUM(H3:H9)</f>
        <v>32000000</v>
      </c>
      <c r="I10" s="268"/>
    </row>
    <row r="11" spans="1:11" ht="15.95" customHeight="1">
      <c r="A11" s="554"/>
      <c r="B11" s="104" t="s">
        <v>154</v>
      </c>
      <c r="C11" s="122"/>
      <c r="D11" s="122"/>
      <c r="E11" s="301"/>
      <c r="F11" s="290"/>
      <c r="G11" s="123"/>
      <c r="H11" s="124">
        <f t="shared" si="0"/>
        <v>0</v>
      </c>
      <c r="I11" s="125"/>
    </row>
    <row r="12" spans="1:11" ht="15.95" customHeight="1">
      <c r="A12" s="554"/>
      <c r="B12" s="104" t="s">
        <v>155</v>
      </c>
      <c r="C12" s="70"/>
      <c r="D12" s="70"/>
      <c r="E12" s="70"/>
      <c r="F12" s="291"/>
      <c r="G12" s="71"/>
      <c r="H12" s="105">
        <f t="shared" si="0"/>
        <v>0</v>
      </c>
      <c r="I12" s="72"/>
    </row>
    <row r="13" spans="1:11" ht="15.95" customHeight="1">
      <c r="A13" s="554"/>
      <c r="B13" s="104"/>
      <c r="C13" s="70"/>
      <c r="D13" s="70"/>
      <c r="E13" s="70"/>
      <c r="F13" s="291"/>
      <c r="G13" s="71"/>
      <c r="H13" s="105">
        <f t="shared" si="0"/>
        <v>0</v>
      </c>
      <c r="I13" s="72"/>
    </row>
    <row r="14" spans="1:11" ht="15.95" customHeight="1">
      <c r="A14" s="554"/>
      <c r="B14" s="104"/>
      <c r="C14" s="70"/>
      <c r="D14" s="70"/>
      <c r="E14" s="70"/>
      <c r="F14" s="291"/>
      <c r="G14" s="71"/>
      <c r="H14" s="105">
        <f t="shared" si="0"/>
        <v>0</v>
      </c>
      <c r="I14" s="72"/>
    </row>
    <row r="15" spans="1:11" ht="15.95" customHeight="1">
      <c r="A15" s="554"/>
      <c r="B15" s="104"/>
      <c r="C15" s="119"/>
      <c r="D15" s="119"/>
      <c r="E15" s="303"/>
      <c r="F15" s="292"/>
      <c r="G15" s="120"/>
      <c r="H15" s="105">
        <f t="shared" si="0"/>
        <v>0</v>
      </c>
      <c r="I15" s="73"/>
    </row>
    <row r="16" spans="1:11" ht="15.95" customHeight="1">
      <c r="A16" s="554"/>
      <c r="B16" s="74"/>
      <c r="C16" s="107"/>
      <c r="D16" s="97"/>
      <c r="E16" s="97"/>
      <c r="F16" s="153"/>
      <c r="G16" s="40"/>
      <c r="H16" s="30">
        <f>SUM(H11:H15)</f>
        <v>0</v>
      </c>
      <c r="I16" s="76"/>
    </row>
    <row r="17" spans="1:9" ht="15.95" customHeight="1">
      <c r="A17" s="554"/>
      <c r="B17" s="108" t="s">
        <v>38</v>
      </c>
      <c r="C17" s="334" t="s">
        <v>206</v>
      </c>
      <c r="D17" s="334" t="s">
        <v>207</v>
      </c>
      <c r="E17" s="332" t="s">
        <v>205</v>
      </c>
      <c r="F17" s="388">
        <v>2</v>
      </c>
      <c r="G17" s="350">
        <v>5000000</v>
      </c>
      <c r="H17" s="62">
        <f t="shared" si="0"/>
        <v>10000000</v>
      </c>
      <c r="I17" s="77" t="s">
        <v>208</v>
      </c>
    </row>
    <row r="18" spans="1:9" ht="15.95" customHeight="1">
      <c r="A18" s="554"/>
      <c r="B18" s="104" t="s">
        <v>45</v>
      </c>
      <c r="C18" s="334"/>
      <c r="D18" s="334"/>
      <c r="E18" s="332"/>
      <c r="F18" s="388"/>
      <c r="G18" s="350"/>
      <c r="H18" s="105">
        <f t="shared" si="0"/>
        <v>0</v>
      </c>
      <c r="I18" s="347"/>
    </row>
    <row r="19" spans="1:9" ht="15.95" customHeight="1">
      <c r="A19" s="554"/>
      <c r="B19" s="104"/>
      <c r="C19" s="334"/>
      <c r="D19" s="334"/>
      <c r="E19" s="332"/>
      <c r="F19" s="388"/>
      <c r="G19" s="350"/>
      <c r="H19" s="105">
        <f t="shared" si="0"/>
        <v>0</v>
      </c>
      <c r="I19" s="347"/>
    </row>
    <row r="20" spans="1:9" ht="15.95" customHeight="1">
      <c r="A20" s="554"/>
      <c r="B20" s="104"/>
      <c r="C20" s="334"/>
      <c r="D20" s="334"/>
      <c r="E20" s="332"/>
      <c r="F20" s="388"/>
      <c r="G20" s="350"/>
      <c r="H20" s="105">
        <f t="shared" si="0"/>
        <v>0</v>
      </c>
      <c r="I20" s="347"/>
    </row>
    <row r="21" spans="1:9" ht="15.95" customHeight="1">
      <c r="A21" s="554"/>
      <c r="B21" s="104"/>
      <c r="C21" s="334"/>
      <c r="D21" s="334"/>
      <c r="E21" s="332"/>
      <c r="F21" s="388"/>
      <c r="G21" s="350"/>
      <c r="H21" s="105">
        <f t="shared" si="0"/>
        <v>0</v>
      </c>
      <c r="I21" s="347"/>
    </row>
    <row r="22" spans="1:9" ht="15.95" customHeight="1">
      <c r="A22" s="554"/>
      <c r="B22" s="104"/>
      <c r="C22" s="334"/>
      <c r="D22" s="334"/>
      <c r="E22" s="332"/>
      <c r="F22" s="388"/>
      <c r="G22" s="350"/>
      <c r="H22" s="105">
        <f t="shared" si="0"/>
        <v>0</v>
      </c>
      <c r="I22" s="347"/>
    </row>
    <row r="23" spans="1:9" ht="15.95" customHeight="1">
      <c r="A23" s="554"/>
      <c r="B23" s="104"/>
      <c r="C23" s="70"/>
      <c r="D23" s="334"/>
      <c r="E23" s="332"/>
      <c r="F23" s="333"/>
      <c r="G23" s="71"/>
      <c r="H23" s="105">
        <f t="shared" si="0"/>
        <v>0</v>
      </c>
      <c r="I23" s="72"/>
    </row>
    <row r="24" spans="1:9" ht="15.95" customHeight="1">
      <c r="A24" s="554"/>
      <c r="B24" s="104"/>
      <c r="C24" s="70"/>
      <c r="D24" s="334"/>
      <c r="E24" s="332"/>
      <c r="F24" s="333"/>
      <c r="G24" s="71"/>
      <c r="H24" s="105">
        <f t="shared" si="0"/>
        <v>0</v>
      </c>
      <c r="I24" s="72"/>
    </row>
    <row r="25" spans="1:9" ht="15.95" customHeight="1">
      <c r="A25" s="554"/>
      <c r="B25" s="104"/>
      <c r="C25" s="70"/>
      <c r="D25" s="334"/>
      <c r="E25" s="332"/>
      <c r="F25" s="333"/>
      <c r="G25" s="71"/>
      <c r="H25" s="105">
        <f t="shared" si="0"/>
        <v>0</v>
      </c>
      <c r="I25" s="72"/>
    </row>
    <row r="26" spans="1:9" ht="15.95" customHeight="1">
      <c r="A26" s="554"/>
      <c r="B26" s="104"/>
      <c r="C26" s="70"/>
      <c r="D26" s="334"/>
      <c r="E26" s="332"/>
      <c r="F26" s="333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334"/>
      <c r="E27" s="332"/>
      <c r="F27" s="333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334"/>
      <c r="E28" s="332"/>
      <c r="F28" s="333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70"/>
      <c r="D29" s="334"/>
      <c r="E29" s="332"/>
      <c r="F29" s="333"/>
      <c r="G29" s="71"/>
      <c r="H29" s="105">
        <f t="shared" si="0"/>
        <v>0</v>
      </c>
      <c r="I29" s="72"/>
    </row>
    <row r="30" spans="1:9" ht="15.95" customHeight="1">
      <c r="A30" s="554"/>
      <c r="B30" s="104"/>
      <c r="C30" s="70"/>
      <c r="D30" s="332"/>
      <c r="E30" s="332"/>
      <c r="F30" s="333"/>
      <c r="G30" s="71"/>
      <c r="H30" s="105">
        <f t="shared" si="0"/>
        <v>0</v>
      </c>
      <c r="I30" s="72"/>
    </row>
    <row r="31" spans="1:9" ht="15.95" customHeight="1">
      <c r="A31" s="554"/>
      <c r="B31" s="104"/>
      <c r="C31" s="119"/>
      <c r="D31" s="303"/>
      <c r="E31" s="303"/>
      <c r="F31" s="292"/>
      <c r="G31" s="120"/>
      <c r="H31" s="264">
        <f t="shared" si="0"/>
        <v>0</v>
      </c>
      <c r="I31" s="265"/>
    </row>
    <row r="32" spans="1:9" ht="15.95" customHeight="1">
      <c r="A32" s="554"/>
      <c r="B32" s="74"/>
      <c r="C32" s="75"/>
      <c r="D32" s="127"/>
      <c r="E32" s="76"/>
      <c r="F32" s="30"/>
      <c r="G32" s="30"/>
      <c r="H32" s="30">
        <f>SUM(H17:H31)</f>
        <v>10000000</v>
      </c>
      <c r="I32" s="76"/>
    </row>
    <row r="33" spans="1:9" ht="15.95" customHeight="1">
      <c r="A33" s="554"/>
      <c r="B33" s="108" t="s">
        <v>39</v>
      </c>
      <c r="C33" s="70" t="s">
        <v>209</v>
      </c>
      <c r="D33" s="332" t="s">
        <v>210</v>
      </c>
      <c r="E33" s="332" t="s">
        <v>205</v>
      </c>
      <c r="F33" s="333">
        <v>2</v>
      </c>
      <c r="G33" s="71">
        <v>28500000</v>
      </c>
      <c r="H33" s="105">
        <f t="shared" si="0"/>
        <v>57000000</v>
      </c>
      <c r="I33" s="77"/>
    </row>
    <row r="34" spans="1:9" ht="15.95" customHeight="1">
      <c r="A34" s="554"/>
      <c r="B34" s="104"/>
      <c r="C34" s="70" t="s">
        <v>211</v>
      </c>
      <c r="D34" s="332" t="s">
        <v>212</v>
      </c>
      <c r="E34" s="332" t="s">
        <v>205</v>
      </c>
      <c r="F34" s="333">
        <v>1</v>
      </c>
      <c r="G34" s="71">
        <v>40500000</v>
      </c>
      <c r="H34" s="105">
        <f t="shared" si="0"/>
        <v>40500000</v>
      </c>
      <c r="I34" s="72"/>
    </row>
    <row r="35" spans="1:9" ht="15.95" customHeight="1">
      <c r="A35" s="554"/>
      <c r="B35" s="104"/>
      <c r="C35" s="70" t="s">
        <v>213</v>
      </c>
      <c r="D35" s="302" t="s">
        <v>215</v>
      </c>
      <c r="E35" s="302" t="s">
        <v>205</v>
      </c>
      <c r="F35" s="291">
        <v>1</v>
      </c>
      <c r="G35" s="71">
        <v>10000000</v>
      </c>
      <c r="H35" s="105">
        <f t="shared" si="0"/>
        <v>10000000</v>
      </c>
      <c r="I35" s="72"/>
    </row>
    <row r="36" spans="1:9" ht="15.95" customHeight="1">
      <c r="A36" s="554"/>
      <c r="B36" s="104"/>
      <c r="C36" s="70" t="s">
        <v>213</v>
      </c>
      <c r="D36" s="302" t="s">
        <v>216</v>
      </c>
      <c r="E36" s="302" t="s">
        <v>205</v>
      </c>
      <c r="F36" s="291">
        <v>2</v>
      </c>
      <c r="G36" s="71">
        <v>11800000</v>
      </c>
      <c r="H36" s="105">
        <f t="shared" si="0"/>
        <v>23600000</v>
      </c>
      <c r="I36" s="72"/>
    </row>
    <row r="37" spans="1:9" ht="15.95" customHeight="1">
      <c r="A37" s="554"/>
      <c r="B37" s="104"/>
      <c r="C37" s="70" t="s">
        <v>214</v>
      </c>
      <c r="D37" s="332" t="s">
        <v>217</v>
      </c>
      <c r="E37" s="302" t="s">
        <v>205</v>
      </c>
      <c r="F37" s="333">
        <v>1</v>
      </c>
      <c r="G37" s="71">
        <v>15400000</v>
      </c>
      <c r="H37" s="105">
        <f t="shared" si="0"/>
        <v>15400000</v>
      </c>
      <c r="I37" s="72"/>
    </row>
    <row r="38" spans="1:9" ht="15.95" customHeight="1">
      <c r="A38" s="554"/>
      <c r="B38" s="104"/>
      <c r="C38" s="70" t="s">
        <v>218</v>
      </c>
      <c r="D38" s="332"/>
      <c r="E38" s="332" t="s">
        <v>205</v>
      </c>
      <c r="F38" s="333">
        <v>9</v>
      </c>
      <c r="G38" s="71">
        <v>1300000</v>
      </c>
      <c r="H38" s="105">
        <f t="shared" si="0"/>
        <v>11700000</v>
      </c>
      <c r="I38" s="72"/>
    </row>
    <row r="39" spans="1:9" ht="15.95" customHeight="1">
      <c r="A39" s="554"/>
      <c r="B39" s="104"/>
      <c r="C39" s="70" t="s">
        <v>219</v>
      </c>
      <c r="D39" s="332"/>
      <c r="E39" s="332" t="s">
        <v>220</v>
      </c>
      <c r="F39" s="333">
        <v>4</v>
      </c>
      <c r="G39" s="71">
        <v>1500000</v>
      </c>
      <c r="H39" s="105">
        <f t="shared" si="0"/>
        <v>6000000</v>
      </c>
      <c r="I39" s="72"/>
    </row>
    <row r="40" spans="1:9" ht="15.95" customHeight="1">
      <c r="A40" s="554"/>
      <c r="B40" s="104"/>
      <c r="C40" s="70" t="s">
        <v>221</v>
      </c>
      <c r="D40" s="332"/>
      <c r="E40" s="332" t="s">
        <v>222</v>
      </c>
      <c r="F40" s="333">
        <v>1</v>
      </c>
      <c r="G40" s="71">
        <v>1500000</v>
      </c>
      <c r="H40" s="105">
        <f t="shared" si="0"/>
        <v>1500000</v>
      </c>
      <c r="I40" s="72"/>
    </row>
    <row r="41" spans="1:9" ht="15.95" customHeight="1">
      <c r="A41" s="554"/>
      <c r="B41" s="104"/>
      <c r="C41" s="70" t="s">
        <v>223</v>
      </c>
      <c r="D41" s="332" t="s">
        <v>224</v>
      </c>
      <c r="E41" s="332" t="s">
        <v>205</v>
      </c>
      <c r="F41" s="333">
        <v>1</v>
      </c>
      <c r="G41" s="71">
        <v>48000000</v>
      </c>
      <c r="H41" s="105">
        <f t="shared" si="0"/>
        <v>48000000</v>
      </c>
      <c r="I41" s="72"/>
    </row>
    <row r="42" spans="1:9" ht="15.95" customHeight="1">
      <c r="A42" s="554"/>
      <c r="B42" s="104"/>
      <c r="C42" s="70" t="s">
        <v>225</v>
      </c>
      <c r="D42" s="332" t="s">
        <v>226</v>
      </c>
      <c r="E42" s="332" t="s">
        <v>220</v>
      </c>
      <c r="F42" s="333">
        <v>1</v>
      </c>
      <c r="G42" s="71">
        <v>45000000</v>
      </c>
      <c r="H42" s="105">
        <f t="shared" si="0"/>
        <v>45000000</v>
      </c>
      <c r="I42" s="72"/>
    </row>
    <row r="43" spans="1:9" ht="15.95" customHeight="1">
      <c r="A43" s="554"/>
      <c r="B43" s="104"/>
      <c r="C43" s="70" t="s">
        <v>227</v>
      </c>
      <c r="D43" s="332"/>
      <c r="E43" s="332" t="s">
        <v>205</v>
      </c>
      <c r="F43" s="333">
        <v>1</v>
      </c>
      <c r="G43" s="71">
        <v>28000000</v>
      </c>
      <c r="H43" s="105">
        <f t="shared" si="0"/>
        <v>28000000</v>
      </c>
      <c r="I43" s="72"/>
    </row>
    <row r="44" spans="1:9" ht="15.95" customHeight="1">
      <c r="A44" s="554"/>
      <c r="B44" s="104"/>
      <c r="C44" s="70" t="s">
        <v>228</v>
      </c>
      <c r="D44" s="332" t="s">
        <v>229</v>
      </c>
      <c r="E44" s="332" t="s">
        <v>205</v>
      </c>
      <c r="F44" s="333">
        <v>1</v>
      </c>
      <c r="G44" s="71">
        <v>40700000</v>
      </c>
      <c r="H44" s="105">
        <f t="shared" si="0"/>
        <v>40700000</v>
      </c>
      <c r="I44" s="72"/>
    </row>
    <row r="45" spans="1:9" ht="15.95" customHeight="1">
      <c r="A45" s="554"/>
      <c r="B45" s="104"/>
      <c r="C45" s="70" t="s">
        <v>230</v>
      </c>
      <c r="D45" s="332"/>
      <c r="E45" s="332" t="s">
        <v>205</v>
      </c>
      <c r="F45" s="333">
        <v>1</v>
      </c>
      <c r="G45" s="71">
        <v>85000000</v>
      </c>
      <c r="H45" s="105">
        <f t="shared" si="0"/>
        <v>85000000</v>
      </c>
      <c r="I45" s="72"/>
    </row>
    <row r="46" spans="1:9" ht="15.95" customHeight="1">
      <c r="A46" s="554"/>
      <c r="B46" s="104"/>
      <c r="C46" s="70" t="s">
        <v>231</v>
      </c>
      <c r="D46" s="332"/>
      <c r="E46" s="332" t="s">
        <v>232</v>
      </c>
      <c r="F46" s="333">
        <v>1</v>
      </c>
      <c r="G46" s="71">
        <v>12800000</v>
      </c>
      <c r="H46" s="105">
        <f t="shared" si="0"/>
        <v>12800000</v>
      </c>
      <c r="I46" s="72"/>
    </row>
    <row r="47" spans="1:9" ht="15.95" customHeight="1">
      <c r="A47" s="554"/>
      <c r="B47" s="104"/>
      <c r="C47" s="70" t="s">
        <v>233</v>
      </c>
      <c r="D47" s="332"/>
      <c r="E47" s="332" t="s">
        <v>232</v>
      </c>
      <c r="F47" s="333">
        <v>1</v>
      </c>
      <c r="G47" s="71">
        <v>24000000</v>
      </c>
      <c r="H47" s="105">
        <f t="shared" si="0"/>
        <v>24000000</v>
      </c>
      <c r="I47" s="72"/>
    </row>
    <row r="48" spans="1:9" ht="15.95" customHeight="1">
      <c r="A48" s="554"/>
      <c r="B48" s="104"/>
      <c r="C48" s="119"/>
      <c r="D48" s="303"/>
      <c r="E48" s="303"/>
      <c r="F48" s="292"/>
      <c r="G48" s="120"/>
      <c r="H48" s="110">
        <f t="shared" si="0"/>
        <v>0</v>
      </c>
      <c r="I48" s="73"/>
    </row>
    <row r="49" spans="1:9" ht="15.95" customHeight="1">
      <c r="A49" s="554"/>
      <c r="B49" s="74"/>
      <c r="C49" s="107"/>
      <c r="D49" s="126"/>
      <c r="E49" s="97"/>
      <c r="F49" s="40"/>
      <c r="G49" s="40"/>
      <c r="H49" s="30">
        <f>SUM(H33:H48)</f>
        <v>449200000</v>
      </c>
      <c r="I49" s="76"/>
    </row>
    <row r="50" spans="1:9" ht="15.95" customHeight="1">
      <c r="A50" s="78"/>
      <c r="B50" s="102" t="s">
        <v>42</v>
      </c>
      <c r="C50" s="75"/>
      <c r="D50" s="127"/>
      <c r="E50" s="76"/>
      <c r="F50" s="56"/>
      <c r="G50" s="56"/>
      <c r="H50" s="30">
        <f>SUM(H49,H32,H16,H10)</f>
        <v>491200000</v>
      </c>
      <c r="I50" s="76"/>
    </row>
    <row r="51" spans="1:9" ht="15.95" customHeight="1">
      <c r="A51" s="552" t="s">
        <v>72</v>
      </c>
      <c r="B51" s="142" t="s">
        <v>70</v>
      </c>
      <c r="C51" s="75"/>
      <c r="D51" s="79"/>
      <c r="E51" s="111" t="s">
        <v>51</v>
      </c>
      <c r="F51" s="385"/>
      <c r="G51" s="288"/>
      <c r="H51" s="53">
        <f>F51*G51</f>
        <v>0</v>
      </c>
      <c r="I51" s="76"/>
    </row>
    <row r="52" spans="1:9" ht="15.95" customHeight="1">
      <c r="A52" s="554"/>
      <c r="B52" s="143" t="s">
        <v>107</v>
      </c>
      <c r="C52" s="146"/>
      <c r="D52" s="80"/>
      <c r="E52" s="112" t="s">
        <v>50</v>
      </c>
      <c r="F52" s="377">
        <v>30</v>
      </c>
      <c r="G52" s="118">
        <v>300000</v>
      </c>
      <c r="H52" s="109">
        <f t="shared" ref="H52:H58" si="1">F52*G52</f>
        <v>9000000</v>
      </c>
      <c r="I52" s="77"/>
    </row>
    <row r="53" spans="1:9" ht="15.95" customHeight="1">
      <c r="A53" s="554"/>
      <c r="B53" s="144" t="s">
        <v>108</v>
      </c>
      <c r="C53" s="147" t="s">
        <v>264</v>
      </c>
      <c r="D53" s="81"/>
      <c r="E53" s="113" t="s">
        <v>50</v>
      </c>
      <c r="F53" s="378">
        <v>80</v>
      </c>
      <c r="G53" s="71">
        <v>300000</v>
      </c>
      <c r="H53" s="105">
        <f t="shared" si="1"/>
        <v>24000000</v>
      </c>
      <c r="I53" s="72"/>
    </row>
    <row r="54" spans="1:9" ht="15.95" customHeight="1">
      <c r="A54" s="554"/>
      <c r="B54" s="144" t="s">
        <v>109</v>
      </c>
      <c r="C54" s="147"/>
      <c r="D54" s="81"/>
      <c r="E54" s="113" t="s">
        <v>50</v>
      </c>
      <c r="F54" s="378">
        <v>40</v>
      </c>
      <c r="G54" s="71">
        <v>300000</v>
      </c>
      <c r="H54" s="105">
        <f t="shared" si="1"/>
        <v>12000000</v>
      </c>
      <c r="I54" s="72"/>
    </row>
    <row r="55" spans="1:9" ht="15.95" customHeight="1">
      <c r="A55" s="554"/>
      <c r="B55" s="144" t="s">
        <v>110</v>
      </c>
      <c r="C55" s="147"/>
      <c r="D55" s="81"/>
      <c r="E55" s="113" t="s">
        <v>50</v>
      </c>
      <c r="F55" s="378">
        <v>100</v>
      </c>
      <c r="G55" s="71">
        <v>400000</v>
      </c>
      <c r="H55" s="105">
        <f t="shared" si="1"/>
        <v>40000000</v>
      </c>
      <c r="I55" s="72"/>
    </row>
    <row r="56" spans="1:9" ht="15.95" customHeight="1">
      <c r="A56" s="554"/>
      <c r="B56" s="144" t="s">
        <v>111</v>
      </c>
      <c r="C56" s="147"/>
      <c r="D56" s="81"/>
      <c r="E56" s="113"/>
      <c r="F56" s="378"/>
      <c r="G56" s="71"/>
      <c r="H56" s="105">
        <f t="shared" si="1"/>
        <v>0</v>
      </c>
      <c r="I56" s="72"/>
    </row>
    <row r="57" spans="1:9" ht="15.95" customHeight="1">
      <c r="A57" s="554"/>
      <c r="B57" s="144" t="s">
        <v>112</v>
      </c>
      <c r="C57" s="147" t="s">
        <v>269</v>
      </c>
      <c r="D57" s="81"/>
      <c r="E57" s="113" t="s">
        <v>270</v>
      </c>
      <c r="F57" s="378">
        <v>58</v>
      </c>
      <c r="G57" s="71">
        <v>400000</v>
      </c>
      <c r="H57" s="105">
        <f t="shared" si="1"/>
        <v>23200000</v>
      </c>
      <c r="I57" s="72"/>
    </row>
    <row r="58" spans="1:9" ht="15.95" customHeight="1">
      <c r="A58" s="554"/>
      <c r="B58" s="145" t="s">
        <v>271</v>
      </c>
      <c r="C58" s="148"/>
      <c r="D58" s="82"/>
      <c r="E58" s="114" t="s">
        <v>272</v>
      </c>
      <c r="F58" s="382">
        <v>1</v>
      </c>
      <c r="G58" s="120">
        <v>126400000</v>
      </c>
      <c r="H58" s="110">
        <f t="shared" si="1"/>
        <v>126400000</v>
      </c>
      <c r="I58" s="73"/>
    </row>
    <row r="59" spans="1:9" ht="15.95" customHeight="1">
      <c r="A59" s="78"/>
      <c r="B59" s="101" t="s">
        <v>41</v>
      </c>
      <c r="C59" s="75"/>
      <c r="D59" s="76"/>
      <c r="E59" s="76"/>
      <c r="F59" s="30"/>
      <c r="G59" s="30"/>
      <c r="H59" s="30">
        <f>SUM(H51:H58)</f>
        <v>234600000</v>
      </c>
      <c r="I59" s="97"/>
    </row>
    <row r="60" spans="1:9" ht="15.95" customHeight="1">
      <c r="A60" s="52"/>
      <c r="B60" s="101" t="s">
        <v>165</v>
      </c>
      <c r="C60" s="75"/>
      <c r="D60" s="76"/>
      <c r="E60" s="127" t="s">
        <v>116</v>
      </c>
      <c r="F60" s="30"/>
      <c r="G60" s="30"/>
      <c r="H60" s="56">
        <f>'단위공사별(집계)'!L7+'단위공사별(집계)'!I7</f>
        <v>22867807.153965786</v>
      </c>
      <c r="I60" s="76"/>
    </row>
    <row r="61" spans="1:9" ht="15.95" customHeight="1">
      <c r="A61" s="52"/>
      <c r="B61" s="101" t="s">
        <v>25</v>
      </c>
      <c r="C61" s="75"/>
      <c r="D61" s="76"/>
      <c r="E61" s="127"/>
      <c r="F61" s="30"/>
      <c r="G61" s="55"/>
      <c r="H61" s="121">
        <v>9400000</v>
      </c>
      <c r="I61" s="75"/>
    </row>
    <row r="62" spans="1:9" ht="15.95" customHeight="1">
      <c r="A62" s="52"/>
      <c r="B62" s="101" t="s">
        <v>146</v>
      </c>
      <c r="C62" s="75"/>
      <c r="D62" s="76"/>
      <c r="E62" s="127"/>
      <c r="F62" s="30"/>
      <c r="G62" s="55"/>
      <c r="H62" s="121"/>
      <c r="I62" s="75"/>
    </row>
    <row r="63" spans="1:9" ht="15.95" customHeight="1">
      <c r="A63" s="52"/>
      <c r="B63" s="101" t="s">
        <v>147</v>
      </c>
      <c r="C63" s="75"/>
      <c r="D63" s="76"/>
      <c r="E63" s="76"/>
      <c r="F63" s="30"/>
      <c r="G63" s="30"/>
      <c r="H63" s="40">
        <f>H50+H59+H60+H61+H62</f>
        <v>758067807.15396583</v>
      </c>
      <c r="I63" s="76"/>
    </row>
    <row r="64" spans="1:9">
      <c r="A64" s="29"/>
    </row>
  </sheetData>
  <mergeCells count="3">
    <mergeCell ref="A2:B2"/>
    <mergeCell ref="A51:A58"/>
    <mergeCell ref="A3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I78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 t="s">
        <v>201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70" t="s">
        <v>234</v>
      </c>
      <c r="D3" s="332"/>
      <c r="E3" s="302" t="s">
        <v>220</v>
      </c>
      <c r="F3" s="291">
        <v>1</v>
      </c>
      <c r="G3" s="71">
        <v>13000000</v>
      </c>
      <c r="H3" s="105">
        <f>IF(F3=0,G3,G3*F3)</f>
        <v>13000000</v>
      </c>
      <c r="I3" s="329"/>
    </row>
    <row r="4" spans="1:9" ht="15.95" customHeight="1">
      <c r="A4" s="554"/>
      <c r="B4" s="104"/>
      <c r="C4" s="334"/>
      <c r="D4" s="331"/>
      <c r="E4" s="332"/>
      <c r="F4" s="381"/>
      <c r="G4" s="350"/>
      <c r="H4" s="105">
        <f>F4*G4</f>
        <v>0</v>
      </c>
      <c r="I4" s="72"/>
    </row>
    <row r="5" spans="1:9" ht="15.95" customHeight="1">
      <c r="A5" s="554"/>
      <c r="B5" s="104"/>
      <c r="C5" s="334"/>
      <c r="D5" s="331"/>
      <c r="E5" s="332"/>
      <c r="F5" s="380"/>
      <c r="G5" s="350"/>
      <c r="H5" s="105">
        <f>F5*G5</f>
        <v>0</v>
      </c>
      <c r="I5" s="72"/>
    </row>
    <row r="6" spans="1:9" ht="15.95" customHeight="1">
      <c r="A6" s="554"/>
      <c r="B6" s="104"/>
      <c r="C6" s="334"/>
      <c r="D6" s="334"/>
      <c r="E6" s="332"/>
      <c r="F6" s="380"/>
      <c r="G6" s="350"/>
      <c r="H6" s="105">
        <f>F6*G6</f>
        <v>0</v>
      </c>
      <c r="I6" s="72"/>
    </row>
    <row r="7" spans="1:9" ht="15.95" customHeight="1">
      <c r="A7" s="554"/>
      <c r="B7" s="104"/>
      <c r="C7" s="334"/>
      <c r="D7" s="334"/>
      <c r="E7" s="332"/>
      <c r="F7" s="380"/>
      <c r="G7" s="350"/>
      <c r="H7" s="105">
        <f>F7*G7</f>
        <v>0</v>
      </c>
      <c r="I7" s="72"/>
    </row>
    <row r="8" spans="1:9" ht="15.95" customHeight="1">
      <c r="A8" s="554"/>
      <c r="B8" s="104"/>
      <c r="C8" s="334"/>
      <c r="D8" s="334"/>
      <c r="E8" s="332"/>
      <c r="F8" s="350"/>
      <c r="G8" s="350"/>
      <c r="H8" s="105">
        <f t="shared" ref="H8:H62" si="0">IF(F8=0,G8,G8*F8)</f>
        <v>0</v>
      </c>
      <c r="I8" s="72"/>
    </row>
    <row r="9" spans="1:9" ht="15.95" customHeight="1">
      <c r="A9" s="554"/>
      <c r="B9" s="104"/>
      <c r="C9" s="334"/>
      <c r="D9" s="334"/>
      <c r="E9" s="334"/>
      <c r="F9" s="350"/>
      <c r="G9" s="350"/>
      <c r="H9" s="105">
        <f t="shared" si="0"/>
        <v>0</v>
      </c>
      <c r="I9" s="72"/>
    </row>
    <row r="10" spans="1:9" ht="15.95" customHeight="1">
      <c r="A10" s="554"/>
      <c r="B10" s="104"/>
      <c r="C10" s="334"/>
      <c r="D10" s="334"/>
      <c r="E10" s="334"/>
      <c r="F10" s="350"/>
      <c r="G10" s="350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/>
      <c r="D23" s="303"/>
      <c r="E23" s="303"/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13000000</v>
      </c>
      <c r="I24" s="268"/>
    </row>
    <row r="25" spans="1:9" ht="15.95" customHeight="1">
      <c r="A25" s="554"/>
      <c r="B25" s="104" t="s">
        <v>154</v>
      </c>
      <c r="C25" s="122"/>
      <c r="D25" s="122"/>
      <c r="E25" s="301"/>
      <c r="F25" s="290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/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334" t="s">
        <v>206</v>
      </c>
      <c r="D31" s="334" t="s">
        <v>207</v>
      </c>
      <c r="E31" s="332" t="s">
        <v>205</v>
      </c>
      <c r="F31" s="388">
        <v>2</v>
      </c>
      <c r="G31" s="350">
        <v>5000000</v>
      </c>
      <c r="H31" s="62">
        <f t="shared" ref="H31" si="1">IF(F31=0,G31,G31*F31)</f>
        <v>10000000</v>
      </c>
      <c r="I31" s="77" t="s">
        <v>208</v>
      </c>
    </row>
    <row r="32" spans="1:9" ht="15.95" customHeight="1">
      <c r="A32" s="554"/>
      <c r="B32" s="104" t="s">
        <v>45</v>
      </c>
      <c r="C32" s="334"/>
      <c r="D32" s="334"/>
      <c r="E32" s="332"/>
      <c r="F32" s="380"/>
      <c r="G32" s="350"/>
      <c r="H32" s="105">
        <f t="shared" ref="H32:H38" si="2">IF(F32=0,G32,G32*F32)</f>
        <v>0</v>
      </c>
      <c r="I32" s="72"/>
    </row>
    <row r="33" spans="1:9" ht="15.95" customHeight="1">
      <c r="A33" s="554"/>
      <c r="B33" s="104"/>
      <c r="C33" s="334"/>
      <c r="D33" s="334"/>
      <c r="E33" s="332"/>
      <c r="F33" s="380"/>
      <c r="G33" s="350"/>
      <c r="H33" s="105">
        <f t="shared" si="2"/>
        <v>0</v>
      </c>
      <c r="I33" s="72"/>
    </row>
    <row r="34" spans="1:9" ht="15.95" customHeight="1">
      <c r="A34" s="554"/>
      <c r="B34" s="104"/>
      <c r="C34" s="334"/>
      <c r="D34" s="334"/>
      <c r="E34" s="332"/>
      <c r="F34" s="380"/>
      <c r="G34" s="350"/>
      <c r="H34" s="105">
        <f t="shared" si="2"/>
        <v>0</v>
      </c>
      <c r="I34" s="72"/>
    </row>
    <row r="35" spans="1:9" ht="15.95" customHeight="1">
      <c r="A35" s="554"/>
      <c r="B35" s="104"/>
      <c r="C35" s="334"/>
      <c r="D35" s="334"/>
      <c r="E35" s="332"/>
      <c r="F35" s="380"/>
      <c r="G35" s="350"/>
      <c r="H35" s="105">
        <f t="shared" si="2"/>
        <v>0</v>
      </c>
      <c r="I35" s="72"/>
    </row>
    <row r="36" spans="1:9" ht="15.95" customHeight="1">
      <c r="A36" s="554"/>
      <c r="B36" s="104"/>
      <c r="C36" s="334"/>
      <c r="D36" s="334"/>
      <c r="E36" s="332"/>
      <c r="F36" s="380"/>
      <c r="G36" s="350"/>
      <c r="H36" s="105">
        <f t="shared" si="2"/>
        <v>0</v>
      </c>
      <c r="I36" s="72"/>
    </row>
    <row r="37" spans="1:9" ht="15.95" customHeight="1">
      <c r="A37" s="554"/>
      <c r="B37" s="104"/>
      <c r="C37" s="334"/>
      <c r="D37" s="334"/>
      <c r="E37" s="332"/>
      <c r="F37" s="380"/>
      <c r="G37" s="350"/>
      <c r="H37" s="105">
        <f t="shared" si="2"/>
        <v>0</v>
      </c>
      <c r="I37" s="72"/>
    </row>
    <row r="38" spans="1:9" ht="15.95" customHeight="1">
      <c r="A38" s="554"/>
      <c r="B38" s="104"/>
      <c r="C38" s="334"/>
      <c r="D38" s="334"/>
      <c r="E38" s="332"/>
      <c r="F38" s="380"/>
      <c r="G38" s="350"/>
      <c r="H38" s="105">
        <f t="shared" si="2"/>
        <v>0</v>
      </c>
      <c r="I38" s="72"/>
    </row>
    <row r="39" spans="1:9" ht="15.95" customHeight="1">
      <c r="A39" s="554"/>
      <c r="B39" s="104"/>
      <c r="C39" s="334"/>
      <c r="D39" s="334"/>
      <c r="E39" s="334"/>
      <c r="F39" s="350"/>
      <c r="G39" s="350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351"/>
      <c r="D45" s="351"/>
      <c r="E45" s="334"/>
      <c r="F45" s="352"/>
      <c r="G45" s="352"/>
      <c r="H45" s="105">
        <f t="shared" si="0"/>
        <v>0</v>
      </c>
      <c r="I45" s="72"/>
    </row>
    <row r="46" spans="1:9" ht="15.95" customHeight="1">
      <c r="A46" s="554"/>
      <c r="B46" s="104"/>
      <c r="C46" s="119"/>
      <c r="D46" s="119"/>
      <c r="E46" s="303"/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10000000</v>
      </c>
      <c r="I47" s="76"/>
    </row>
    <row r="48" spans="1:9" ht="15.95" customHeight="1">
      <c r="A48" s="554"/>
      <c r="B48" s="108" t="s">
        <v>39</v>
      </c>
      <c r="C48" s="70" t="s">
        <v>211</v>
      </c>
      <c r="D48" s="332" t="s">
        <v>235</v>
      </c>
      <c r="E48" s="332" t="s">
        <v>205</v>
      </c>
      <c r="F48" s="333">
        <v>1</v>
      </c>
      <c r="G48" s="71">
        <v>37200000</v>
      </c>
      <c r="H48" s="105">
        <f t="shared" ref="H48:H55" si="3">IF(F48=0,G48,G48*F48)</f>
        <v>37200000</v>
      </c>
      <c r="I48" s="77"/>
    </row>
    <row r="49" spans="1:9" ht="15.95" customHeight="1">
      <c r="A49" s="554"/>
      <c r="B49" s="104"/>
      <c r="C49" s="70" t="s">
        <v>214</v>
      </c>
      <c r="D49" s="332" t="s">
        <v>217</v>
      </c>
      <c r="E49" s="302" t="s">
        <v>205</v>
      </c>
      <c r="F49" s="333">
        <v>1</v>
      </c>
      <c r="G49" s="71">
        <v>15400000</v>
      </c>
      <c r="H49" s="105">
        <f t="shared" si="3"/>
        <v>15400000</v>
      </c>
      <c r="I49" s="72"/>
    </row>
    <row r="50" spans="1:9" ht="15.95" customHeight="1">
      <c r="A50" s="554"/>
      <c r="B50" s="104"/>
      <c r="C50" s="70" t="s">
        <v>218</v>
      </c>
      <c r="D50" s="332"/>
      <c r="E50" s="332" t="s">
        <v>205</v>
      </c>
      <c r="F50" s="333">
        <v>5</v>
      </c>
      <c r="G50" s="71">
        <v>1300000</v>
      </c>
      <c r="H50" s="105">
        <f t="shared" si="3"/>
        <v>6500000</v>
      </c>
      <c r="I50" s="72"/>
    </row>
    <row r="51" spans="1:9" ht="15.95" customHeight="1">
      <c r="A51" s="554"/>
      <c r="B51" s="104"/>
      <c r="C51" s="70" t="s">
        <v>219</v>
      </c>
      <c r="D51" s="332"/>
      <c r="E51" s="332" t="s">
        <v>220</v>
      </c>
      <c r="F51" s="333">
        <v>2</v>
      </c>
      <c r="G51" s="71">
        <v>1500000</v>
      </c>
      <c r="H51" s="105">
        <f t="shared" si="3"/>
        <v>3000000</v>
      </c>
      <c r="I51" s="72"/>
    </row>
    <row r="52" spans="1:9" ht="15.95" customHeight="1">
      <c r="A52" s="554"/>
      <c r="B52" s="104"/>
      <c r="C52" s="70" t="s">
        <v>225</v>
      </c>
      <c r="D52" s="332" t="s">
        <v>226</v>
      </c>
      <c r="E52" s="332" t="s">
        <v>220</v>
      </c>
      <c r="F52" s="333">
        <v>1</v>
      </c>
      <c r="G52" s="71">
        <v>45000000</v>
      </c>
      <c r="H52" s="105">
        <f t="shared" si="3"/>
        <v>45000000</v>
      </c>
      <c r="I52" s="72"/>
    </row>
    <row r="53" spans="1:9" ht="15.95" customHeight="1">
      <c r="A53" s="554"/>
      <c r="B53" s="104"/>
      <c r="C53" s="70" t="s">
        <v>227</v>
      </c>
      <c r="D53" s="332"/>
      <c r="E53" s="332" t="s">
        <v>205</v>
      </c>
      <c r="F53" s="333">
        <v>1</v>
      </c>
      <c r="G53" s="71">
        <v>28000000</v>
      </c>
      <c r="H53" s="105">
        <f t="shared" si="3"/>
        <v>28000000</v>
      </c>
      <c r="I53" s="72"/>
    </row>
    <row r="54" spans="1:9" ht="15.95" customHeight="1">
      <c r="A54" s="554"/>
      <c r="B54" s="104"/>
      <c r="C54" s="70" t="s">
        <v>228</v>
      </c>
      <c r="D54" s="332" t="s">
        <v>229</v>
      </c>
      <c r="E54" s="332" t="s">
        <v>205</v>
      </c>
      <c r="F54" s="333">
        <v>1</v>
      </c>
      <c r="G54" s="71">
        <v>40700000</v>
      </c>
      <c r="H54" s="105">
        <f t="shared" si="3"/>
        <v>40700000</v>
      </c>
      <c r="I54" s="72"/>
    </row>
    <row r="55" spans="1:9" ht="15.95" customHeight="1">
      <c r="A55" s="554"/>
      <c r="B55" s="104"/>
      <c r="C55" s="70" t="s">
        <v>230</v>
      </c>
      <c r="D55" s="332"/>
      <c r="E55" s="332" t="s">
        <v>205</v>
      </c>
      <c r="F55" s="333">
        <v>1</v>
      </c>
      <c r="G55" s="71">
        <v>85000000</v>
      </c>
      <c r="H55" s="105">
        <f t="shared" si="3"/>
        <v>85000000</v>
      </c>
      <c r="I55" s="72"/>
    </row>
    <row r="56" spans="1:9" ht="15.95" customHeight="1">
      <c r="A56" s="554"/>
      <c r="B56" s="104"/>
      <c r="C56" s="70"/>
      <c r="D56" s="70"/>
      <c r="E56" s="302"/>
      <c r="F56" s="291"/>
      <c r="G56" s="71"/>
      <c r="H56" s="105">
        <f t="shared" si="0"/>
        <v>0</v>
      </c>
      <c r="I56" s="72"/>
    </row>
    <row r="57" spans="1:9" ht="15.95" customHeight="1">
      <c r="A57" s="554"/>
      <c r="B57" s="104"/>
      <c r="C57" s="70"/>
      <c r="D57" s="70"/>
      <c r="E57" s="302"/>
      <c r="F57" s="291"/>
      <c r="G57" s="71"/>
      <c r="H57" s="105">
        <f t="shared" si="0"/>
        <v>0</v>
      </c>
      <c r="I57" s="72"/>
    </row>
    <row r="58" spans="1:9" ht="15.95" customHeight="1">
      <c r="A58" s="554"/>
      <c r="B58" s="104"/>
      <c r="C58" s="70"/>
      <c r="D58" s="70"/>
      <c r="E58" s="302"/>
      <c r="F58" s="291"/>
      <c r="G58" s="71"/>
      <c r="H58" s="105">
        <f t="shared" si="0"/>
        <v>0</v>
      </c>
      <c r="I58" s="72"/>
    </row>
    <row r="59" spans="1:9" ht="15.95" customHeight="1">
      <c r="A59" s="554"/>
      <c r="B59" s="104"/>
      <c r="C59" s="70"/>
      <c r="D59" s="70"/>
      <c r="E59" s="302"/>
      <c r="F59" s="291"/>
      <c r="G59" s="71"/>
      <c r="H59" s="105">
        <f t="shared" si="0"/>
        <v>0</v>
      </c>
      <c r="I59" s="72"/>
    </row>
    <row r="60" spans="1:9" ht="15.95" customHeight="1">
      <c r="A60" s="554"/>
      <c r="B60" s="104"/>
      <c r="C60" s="70"/>
      <c r="D60" s="332"/>
      <c r="E60" s="332"/>
      <c r="F60" s="333"/>
      <c r="G60" s="71"/>
      <c r="H60" s="105">
        <f t="shared" si="0"/>
        <v>0</v>
      </c>
      <c r="I60" s="72"/>
    </row>
    <row r="61" spans="1:9" ht="15.95" customHeight="1">
      <c r="A61" s="554"/>
      <c r="B61" s="104"/>
      <c r="C61" s="70"/>
      <c r="D61" s="70"/>
      <c r="E61" s="302"/>
      <c r="F61" s="291"/>
      <c r="G61" s="71"/>
      <c r="H61" s="105">
        <f t="shared" si="0"/>
        <v>0</v>
      </c>
      <c r="I61" s="72"/>
    </row>
    <row r="62" spans="1:9" ht="15.95" customHeight="1">
      <c r="A62" s="554"/>
      <c r="B62" s="104"/>
      <c r="C62" s="119"/>
      <c r="D62" s="119"/>
      <c r="E62" s="119"/>
      <c r="F62" s="120"/>
      <c r="G62" s="120"/>
      <c r="H62" s="105">
        <f t="shared" si="0"/>
        <v>0</v>
      </c>
      <c r="I62" s="73"/>
    </row>
    <row r="63" spans="1:9" ht="15.95" customHeight="1">
      <c r="A63" s="554"/>
      <c r="B63" s="74"/>
      <c r="C63" s="107"/>
      <c r="D63" s="97"/>
      <c r="E63" s="97"/>
      <c r="F63" s="40"/>
      <c r="G63" s="40"/>
      <c r="H63" s="30">
        <f>SUM(H48:H62)</f>
        <v>260800000</v>
      </c>
      <c r="I63" s="76"/>
    </row>
    <row r="64" spans="1:9" ht="15.95" customHeight="1">
      <c r="A64" s="78"/>
      <c r="B64" s="399" t="s">
        <v>42</v>
      </c>
      <c r="C64" s="400"/>
      <c r="D64" s="329"/>
      <c r="E64" s="329"/>
      <c r="F64" s="56"/>
      <c r="G64" s="56"/>
      <c r="H64" s="56">
        <f>SUM(H63,H47,H30,H24)</f>
        <v>283800000</v>
      </c>
      <c r="I64" s="329"/>
    </row>
    <row r="65" spans="1:9" ht="15.95" customHeight="1">
      <c r="A65" s="555" t="s">
        <v>72</v>
      </c>
      <c r="B65" s="143" t="s">
        <v>70</v>
      </c>
      <c r="C65" s="146"/>
      <c r="D65" s="80"/>
      <c r="E65" s="112" t="s">
        <v>51</v>
      </c>
      <c r="F65" s="118"/>
      <c r="G65" s="118"/>
      <c r="H65" s="109">
        <f>F65*G65</f>
        <v>0</v>
      </c>
      <c r="I65" s="77"/>
    </row>
    <row r="66" spans="1:9" ht="15.95" customHeight="1">
      <c r="A66" s="554"/>
      <c r="B66" s="144" t="s">
        <v>107</v>
      </c>
      <c r="C66" s="147"/>
      <c r="D66" s="81"/>
      <c r="E66" s="113" t="s">
        <v>50</v>
      </c>
      <c r="F66" s="378">
        <v>30</v>
      </c>
      <c r="G66" s="71">
        <v>300000</v>
      </c>
      <c r="H66" s="105">
        <f t="shared" ref="H66:H72" si="4">F66*G66</f>
        <v>9000000</v>
      </c>
      <c r="I66" s="72"/>
    </row>
    <row r="67" spans="1:9" ht="15.95" customHeight="1">
      <c r="A67" s="554"/>
      <c r="B67" s="175" t="s">
        <v>108</v>
      </c>
      <c r="C67" s="147"/>
      <c r="D67" s="81"/>
      <c r="E67" s="113" t="s">
        <v>50</v>
      </c>
      <c r="F67" s="378"/>
      <c r="G67" s="71"/>
      <c r="H67" s="105">
        <f t="shared" si="4"/>
        <v>0</v>
      </c>
      <c r="I67" s="72"/>
    </row>
    <row r="68" spans="1:9" ht="15.95" customHeight="1">
      <c r="A68" s="554"/>
      <c r="B68" s="144" t="s">
        <v>109</v>
      </c>
      <c r="C68" s="147"/>
      <c r="D68" s="81"/>
      <c r="E68" s="113" t="s">
        <v>50</v>
      </c>
      <c r="F68" s="378">
        <v>40</v>
      </c>
      <c r="G68" s="71">
        <v>300000</v>
      </c>
      <c r="H68" s="105">
        <f t="shared" si="4"/>
        <v>12000000</v>
      </c>
      <c r="I68" s="72"/>
    </row>
    <row r="69" spans="1:9" ht="15.95" customHeight="1">
      <c r="A69" s="554"/>
      <c r="B69" s="144" t="s">
        <v>110</v>
      </c>
      <c r="C69" s="147"/>
      <c r="D69" s="81"/>
      <c r="E69" s="113" t="s">
        <v>50</v>
      </c>
      <c r="F69" s="378"/>
      <c r="G69" s="71"/>
      <c r="H69" s="105">
        <f t="shared" si="4"/>
        <v>0</v>
      </c>
      <c r="I69" s="72"/>
    </row>
    <row r="70" spans="1:9" ht="15.95" customHeight="1">
      <c r="A70" s="554"/>
      <c r="B70" s="144" t="s">
        <v>111</v>
      </c>
      <c r="C70" s="147"/>
      <c r="D70" s="81"/>
      <c r="E70" s="113" t="s">
        <v>50</v>
      </c>
      <c r="F70" s="378"/>
      <c r="G70" s="71"/>
      <c r="H70" s="105">
        <f t="shared" si="4"/>
        <v>0</v>
      </c>
      <c r="I70" s="72"/>
    </row>
    <row r="71" spans="1:9" ht="15.95" customHeight="1">
      <c r="A71" s="554"/>
      <c r="B71" s="144" t="s">
        <v>112</v>
      </c>
      <c r="C71" s="147"/>
      <c r="D71" s="81"/>
      <c r="E71" s="113" t="s">
        <v>50</v>
      </c>
      <c r="F71" s="378"/>
      <c r="G71" s="71"/>
      <c r="H71" s="105">
        <f t="shared" si="4"/>
        <v>0</v>
      </c>
      <c r="I71" s="72"/>
    </row>
    <row r="72" spans="1:9" ht="15.95" customHeight="1">
      <c r="A72" s="554"/>
      <c r="B72" s="145" t="s">
        <v>113</v>
      </c>
      <c r="C72" s="401"/>
      <c r="D72" s="402"/>
      <c r="E72" s="403" t="s">
        <v>50</v>
      </c>
      <c r="F72" s="379"/>
      <c r="G72" s="263"/>
      <c r="H72" s="264">
        <f t="shared" si="4"/>
        <v>0</v>
      </c>
      <c r="I72" s="265"/>
    </row>
    <row r="73" spans="1:9" ht="15.95" customHeight="1">
      <c r="A73" s="78"/>
      <c r="B73" s="101" t="s">
        <v>41</v>
      </c>
      <c r="C73" s="75"/>
      <c r="D73" s="76"/>
      <c r="E73" s="76"/>
      <c r="F73" s="30"/>
      <c r="G73" s="30"/>
      <c r="H73" s="30">
        <f>SUM(H65:H72)</f>
        <v>21000000</v>
      </c>
      <c r="I73" s="76"/>
    </row>
    <row r="74" spans="1:9" ht="15.95" customHeight="1">
      <c r="A74" s="52"/>
      <c r="B74" s="101" t="s">
        <v>165</v>
      </c>
      <c r="C74" s="75"/>
      <c r="D74" s="76"/>
      <c r="E74" s="76"/>
      <c r="F74" s="30"/>
      <c r="G74" s="30"/>
      <c r="H74" s="56">
        <f>'단위공사별(집계)'!L8+'단위공사별(집계)'!I8</f>
        <v>9480559.8755832035</v>
      </c>
      <c r="I74" s="76"/>
    </row>
    <row r="75" spans="1:9" ht="15.95" customHeight="1">
      <c r="A75" s="52"/>
      <c r="B75" s="101" t="s">
        <v>25</v>
      </c>
      <c r="C75" s="75"/>
      <c r="D75" s="76"/>
      <c r="E75" s="76"/>
      <c r="F75" s="30"/>
      <c r="G75" s="55"/>
      <c r="H75" s="121"/>
      <c r="I75" s="75"/>
    </row>
    <row r="76" spans="1:9" ht="15.95" customHeight="1">
      <c r="A76" s="52"/>
      <c r="B76" s="101" t="s">
        <v>146</v>
      </c>
      <c r="C76" s="75"/>
      <c r="D76" s="76"/>
      <c r="E76" s="76"/>
      <c r="F76" s="30"/>
      <c r="G76" s="55"/>
      <c r="H76" s="121"/>
      <c r="I76" s="75"/>
    </row>
    <row r="77" spans="1:9" ht="15.95" customHeight="1">
      <c r="A77" s="52"/>
      <c r="B77" s="101" t="s">
        <v>147</v>
      </c>
      <c r="C77" s="75"/>
      <c r="D77" s="76"/>
      <c r="E77" s="76"/>
      <c r="F77" s="30"/>
      <c r="G77" s="30"/>
      <c r="H77" s="40">
        <f>H64+H73+H74+H75+H76</f>
        <v>314280559.87558323</v>
      </c>
      <c r="I77" s="76"/>
    </row>
    <row r="78" spans="1:9">
      <c r="A78" s="29"/>
    </row>
  </sheetData>
  <mergeCells count="3">
    <mergeCell ref="A2:B2"/>
    <mergeCell ref="A65:A72"/>
    <mergeCell ref="A3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I74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 t="s">
        <v>202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70" t="s">
        <v>236</v>
      </c>
      <c r="D3" s="332"/>
      <c r="E3" s="302" t="s">
        <v>220</v>
      </c>
      <c r="F3" s="291">
        <v>1</v>
      </c>
      <c r="G3" s="71">
        <v>18000000</v>
      </c>
      <c r="H3" s="105">
        <f t="shared" ref="H3:H58" si="0">IF(F3=0,G3,G3*F3)</f>
        <v>18000000</v>
      </c>
      <c r="I3" s="72"/>
    </row>
    <row r="4" spans="1:9" ht="15.95" customHeight="1">
      <c r="A4" s="554"/>
      <c r="B4" s="104"/>
      <c r="C4" s="70"/>
      <c r="D4" s="332"/>
      <c r="E4" s="302"/>
      <c r="F4" s="29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si="0"/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/>
      <c r="D23" s="303"/>
      <c r="E23" s="303"/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18000000</v>
      </c>
      <c r="I24" s="268"/>
    </row>
    <row r="25" spans="1:9" ht="15.95" customHeight="1">
      <c r="A25" s="554"/>
      <c r="B25" s="104" t="s">
        <v>154</v>
      </c>
      <c r="C25" s="122"/>
      <c r="D25" s="122"/>
      <c r="E25" s="301"/>
      <c r="F25" s="290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/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345"/>
      <c r="D31" s="345"/>
      <c r="E31" s="346"/>
      <c r="F31" s="297"/>
      <c r="G31" s="28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262"/>
      <c r="D32" s="70"/>
      <c r="E32" s="302"/>
      <c r="F32" s="291"/>
      <c r="G32" s="71"/>
      <c r="H32" s="105">
        <f t="shared" si="0"/>
        <v>0</v>
      </c>
      <c r="I32" s="347"/>
    </row>
    <row r="33" spans="1:9" ht="15.95" customHeight="1">
      <c r="A33" s="554"/>
      <c r="B33" s="104"/>
      <c r="C33" s="70"/>
      <c r="D33" s="70"/>
      <c r="E33" s="302"/>
      <c r="F33" s="291"/>
      <c r="G33" s="71"/>
      <c r="H33" s="105">
        <f t="shared" si="0"/>
        <v>0</v>
      </c>
      <c r="I33" s="347"/>
    </row>
    <row r="34" spans="1:9" ht="15.95" customHeight="1">
      <c r="A34" s="554"/>
      <c r="B34" s="104"/>
      <c r="C34" s="70"/>
      <c r="D34" s="334"/>
      <c r="E34" s="302"/>
      <c r="F34" s="333"/>
      <c r="G34" s="71"/>
      <c r="H34" s="105">
        <f t="shared" si="0"/>
        <v>0</v>
      </c>
      <c r="I34" s="347"/>
    </row>
    <row r="35" spans="1:9" ht="15.95" customHeight="1">
      <c r="A35" s="554"/>
      <c r="B35" s="104"/>
      <c r="C35" s="70"/>
      <c r="D35" s="334"/>
      <c r="E35" s="302"/>
      <c r="F35" s="333"/>
      <c r="G35" s="71"/>
      <c r="H35" s="105">
        <f t="shared" si="0"/>
        <v>0</v>
      </c>
      <c r="I35" s="347"/>
    </row>
    <row r="36" spans="1:9" ht="15.95" customHeight="1">
      <c r="A36" s="554"/>
      <c r="B36" s="104"/>
      <c r="C36" s="70"/>
      <c r="D36" s="334"/>
      <c r="E36" s="302"/>
      <c r="F36" s="333"/>
      <c r="G36" s="71"/>
      <c r="H36" s="105">
        <f t="shared" si="0"/>
        <v>0</v>
      </c>
      <c r="I36" s="347"/>
    </row>
    <row r="37" spans="1:9" ht="15.95" customHeight="1">
      <c r="A37" s="554"/>
      <c r="B37" s="104"/>
      <c r="C37" s="70"/>
      <c r="D37" s="334"/>
      <c r="E37" s="302"/>
      <c r="F37" s="333"/>
      <c r="G37" s="71"/>
      <c r="H37" s="105">
        <f t="shared" si="0"/>
        <v>0</v>
      </c>
      <c r="I37" s="347"/>
    </row>
    <row r="38" spans="1:9" ht="15.95" customHeight="1">
      <c r="A38" s="554"/>
      <c r="B38" s="104"/>
      <c r="C38" s="262"/>
      <c r="D38" s="262"/>
      <c r="E38" s="70"/>
      <c r="F38" s="263"/>
      <c r="G38" s="263"/>
      <c r="H38" s="105">
        <f t="shared" si="0"/>
        <v>0</v>
      </c>
      <c r="I38" s="347"/>
    </row>
    <row r="39" spans="1:9" ht="15.95" customHeight="1">
      <c r="A39" s="554"/>
      <c r="B39" s="104"/>
      <c r="C39" s="262"/>
      <c r="D39" s="262"/>
      <c r="E39" s="70"/>
      <c r="F39" s="263"/>
      <c r="G39" s="263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29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334"/>
      <c r="E41" s="302"/>
      <c r="F41" s="333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334"/>
      <c r="E42" s="302"/>
      <c r="F42" s="333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334"/>
      <c r="E43" s="302"/>
      <c r="F43" s="333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262"/>
      <c r="D45" s="262"/>
      <c r="E45" s="70"/>
      <c r="F45" s="263"/>
      <c r="G45" s="263"/>
      <c r="H45" s="105">
        <f t="shared" si="0"/>
        <v>0</v>
      </c>
      <c r="I45" s="72"/>
    </row>
    <row r="46" spans="1:9" ht="15.95" customHeight="1">
      <c r="A46" s="554"/>
      <c r="B46" s="104"/>
      <c r="C46" s="119"/>
      <c r="D46" s="119"/>
      <c r="E46" s="303"/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 t="s">
        <v>237</v>
      </c>
      <c r="D48" s="332" t="s">
        <v>238</v>
      </c>
      <c r="E48" s="332" t="s">
        <v>220</v>
      </c>
      <c r="F48" s="333">
        <v>1</v>
      </c>
      <c r="G48" s="71">
        <v>15800000</v>
      </c>
      <c r="H48" s="109">
        <f t="shared" si="0"/>
        <v>15800000</v>
      </c>
      <c r="I48" s="77"/>
    </row>
    <row r="49" spans="1:9" ht="15.95" customHeight="1">
      <c r="A49" s="554"/>
      <c r="B49" s="104"/>
      <c r="C49" s="70" t="s">
        <v>239</v>
      </c>
      <c r="D49" s="332"/>
      <c r="E49" s="332" t="s">
        <v>246</v>
      </c>
      <c r="F49" s="333">
        <v>1</v>
      </c>
      <c r="G49" s="71">
        <v>4600000</v>
      </c>
      <c r="H49" s="105">
        <f t="shared" si="0"/>
        <v>4600000</v>
      </c>
      <c r="I49" s="72"/>
    </row>
    <row r="50" spans="1:9" ht="15.95" customHeight="1">
      <c r="A50" s="554"/>
      <c r="B50" s="104"/>
      <c r="C50" s="70" t="s">
        <v>240</v>
      </c>
      <c r="D50" s="332"/>
      <c r="E50" s="332" t="s">
        <v>246</v>
      </c>
      <c r="F50" s="333">
        <v>1</v>
      </c>
      <c r="G50" s="71">
        <v>23600000</v>
      </c>
      <c r="H50" s="105">
        <f t="shared" si="0"/>
        <v>23600000</v>
      </c>
      <c r="I50" s="72"/>
    </row>
    <row r="51" spans="1:9" ht="15.95" customHeight="1">
      <c r="A51" s="554"/>
      <c r="B51" s="104"/>
      <c r="C51" s="70" t="s">
        <v>241</v>
      </c>
      <c r="D51" s="332"/>
      <c r="E51" s="332" t="s">
        <v>246</v>
      </c>
      <c r="F51" s="333">
        <v>2</v>
      </c>
      <c r="G51" s="71">
        <v>9500000</v>
      </c>
      <c r="H51" s="105">
        <f t="shared" si="0"/>
        <v>19000000</v>
      </c>
      <c r="I51" s="72"/>
    </row>
    <row r="52" spans="1:9" ht="15.95" customHeight="1">
      <c r="A52" s="554"/>
      <c r="B52" s="104"/>
      <c r="C52" s="70" t="s">
        <v>241</v>
      </c>
      <c r="D52" s="332" t="s">
        <v>242</v>
      </c>
      <c r="E52" s="332" t="s">
        <v>246</v>
      </c>
      <c r="F52" s="333">
        <v>1</v>
      </c>
      <c r="G52" s="71">
        <v>10000000</v>
      </c>
      <c r="H52" s="105">
        <f t="shared" si="0"/>
        <v>10000000</v>
      </c>
      <c r="I52" s="72"/>
    </row>
    <row r="53" spans="1:9" ht="15.95" customHeight="1">
      <c r="A53" s="554"/>
      <c r="B53" s="104"/>
      <c r="C53" s="70" t="s">
        <v>243</v>
      </c>
      <c r="D53" s="332" t="s">
        <v>244</v>
      </c>
      <c r="E53" s="332" t="s">
        <v>246</v>
      </c>
      <c r="F53" s="333">
        <v>1</v>
      </c>
      <c r="G53" s="71">
        <v>17200000</v>
      </c>
      <c r="H53" s="105">
        <f t="shared" si="0"/>
        <v>17200000</v>
      </c>
      <c r="I53" s="72"/>
    </row>
    <row r="54" spans="1:9" ht="15.95" customHeight="1">
      <c r="A54" s="554"/>
      <c r="B54" s="104"/>
      <c r="C54" s="70" t="s">
        <v>245</v>
      </c>
      <c r="D54" s="302" t="s">
        <v>248</v>
      </c>
      <c r="E54" s="332" t="s">
        <v>246</v>
      </c>
      <c r="F54" s="291">
        <v>1</v>
      </c>
      <c r="G54" s="71">
        <v>25800000</v>
      </c>
      <c r="H54" s="105">
        <f t="shared" si="0"/>
        <v>25800000</v>
      </c>
      <c r="I54" s="72"/>
    </row>
    <row r="55" spans="1:9" ht="15.95" customHeight="1">
      <c r="A55" s="554"/>
      <c r="B55" s="104"/>
      <c r="C55" s="70" t="s">
        <v>247</v>
      </c>
      <c r="D55" s="302" t="s">
        <v>249</v>
      </c>
      <c r="E55" s="332" t="s">
        <v>246</v>
      </c>
      <c r="F55" s="291">
        <v>1</v>
      </c>
      <c r="G55" s="71">
        <v>100000000</v>
      </c>
      <c r="H55" s="105">
        <f t="shared" si="0"/>
        <v>100000000</v>
      </c>
      <c r="I55" s="72"/>
    </row>
    <row r="56" spans="1:9" ht="15.95" customHeight="1">
      <c r="A56" s="554"/>
      <c r="B56" s="104"/>
      <c r="C56" s="70"/>
      <c r="D56" s="332"/>
      <c r="E56" s="332"/>
      <c r="F56" s="333"/>
      <c r="G56" s="71"/>
      <c r="H56" s="105">
        <f t="shared" si="0"/>
        <v>0</v>
      </c>
      <c r="I56" s="72"/>
    </row>
    <row r="57" spans="1:9" ht="15.95" customHeight="1">
      <c r="A57" s="554"/>
      <c r="B57" s="104"/>
      <c r="C57" s="70"/>
      <c r="D57" s="70"/>
      <c r="E57" s="302"/>
      <c r="F57" s="291"/>
      <c r="G57" s="71"/>
      <c r="H57" s="105">
        <f t="shared" si="0"/>
        <v>0</v>
      </c>
      <c r="I57" s="72"/>
    </row>
    <row r="58" spans="1:9" ht="15.95" customHeight="1">
      <c r="A58" s="554"/>
      <c r="B58" s="104"/>
      <c r="C58" s="119"/>
      <c r="D58" s="119"/>
      <c r="E58" s="119"/>
      <c r="F58" s="120"/>
      <c r="G58" s="120"/>
      <c r="H58" s="110">
        <f t="shared" si="0"/>
        <v>0</v>
      </c>
      <c r="I58" s="73"/>
    </row>
    <row r="59" spans="1:9" ht="15.95" customHeight="1">
      <c r="A59" s="554"/>
      <c r="B59" s="74"/>
      <c r="C59" s="107"/>
      <c r="D59" s="97"/>
      <c r="E59" s="97"/>
      <c r="F59" s="40"/>
      <c r="G59" s="40"/>
      <c r="H59" s="30">
        <f>SUM(H48:H58)</f>
        <v>216000000</v>
      </c>
      <c r="I59" s="76"/>
    </row>
    <row r="60" spans="1:9" ht="15.95" customHeight="1">
      <c r="A60" s="78"/>
      <c r="B60" s="102" t="s">
        <v>42</v>
      </c>
      <c r="C60" s="75"/>
      <c r="D60" s="76"/>
      <c r="E60" s="76"/>
      <c r="F60" s="56"/>
      <c r="G60" s="56"/>
      <c r="H60" s="30">
        <f>SUM(H59,H47,H30,H24)</f>
        <v>234000000</v>
      </c>
      <c r="I60" s="76"/>
    </row>
    <row r="61" spans="1:9" ht="15.95" customHeight="1">
      <c r="A61" s="555" t="s">
        <v>72</v>
      </c>
      <c r="B61" s="143" t="s">
        <v>70</v>
      </c>
      <c r="C61" s="146"/>
      <c r="D61" s="80"/>
      <c r="E61" s="112" t="s">
        <v>51</v>
      </c>
      <c r="F61" s="118"/>
      <c r="G61" s="118"/>
      <c r="H61" s="109">
        <f>F61*G61</f>
        <v>0</v>
      </c>
      <c r="I61" s="77"/>
    </row>
    <row r="62" spans="1:9" ht="15.95" customHeight="1">
      <c r="A62" s="554"/>
      <c r="B62" s="144" t="s">
        <v>107</v>
      </c>
      <c r="C62" s="367"/>
      <c r="D62" s="334"/>
      <c r="E62" s="368" t="s">
        <v>50</v>
      </c>
      <c r="F62" s="378">
        <v>20</v>
      </c>
      <c r="G62" s="71">
        <v>300000</v>
      </c>
      <c r="H62" s="105">
        <f t="shared" ref="H62:H68" si="1">F62*G62</f>
        <v>6000000</v>
      </c>
      <c r="I62" s="72"/>
    </row>
    <row r="63" spans="1:9" ht="15.95" customHeight="1">
      <c r="A63" s="554"/>
      <c r="B63" s="175" t="s">
        <v>108</v>
      </c>
      <c r="C63" s="367"/>
      <c r="D63" s="334"/>
      <c r="E63" s="368" t="s">
        <v>50</v>
      </c>
      <c r="F63" s="378"/>
      <c r="G63" s="71"/>
      <c r="H63" s="105">
        <f t="shared" si="1"/>
        <v>0</v>
      </c>
      <c r="I63" s="72"/>
    </row>
    <row r="64" spans="1:9" ht="15.95" customHeight="1">
      <c r="A64" s="554"/>
      <c r="B64" s="144" t="s">
        <v>109</v>
      </c>
      <c r="C64" s="367"/>
      <c r="D64" s="334"/>
      <c r="E64" s="368" t="s">
        <v>50</v>
      </c>
      <c r="F64" s="378">
        <v>20</v>
      </c>
      <c r="G64" s="71">
        <v>300000</v>
      </c>
      <c r="H64" s="105">
        <f t="shared" si="1"/>
        <v>6000000</v>
      </c>
      <c r="I64" s="72"/>
    </row>
    <row r="65" spans="1:9" ht="15.95" customHeight="1">
      <c r="A65" s="554"/>
      <c r="B65" s="144" t="s">
        <v>110</v>
      </c>
      <c r="C65" s="367"/>
      <c r="D65" s="334"/>
      <c r="E65" s="368" t="s">
        <v>50</v>
      </c>
      <c r="F65" s="378"/>
      <c r="G65" s="71"/>
      <c r="H65" s="105">
        <f t="shared" si="1"/>
        <v>0</v>
      </c>
      <c r="I65" s="72"/>
    </row>
    <row r="66" spans="1:9" ht="15.95" customHeight="1">
      <c r="A66" s="554"/>
      <c r="B66" s="144" t="s">
        <v>111</v>
      </c>
      <c r="C66" s="367"/>
      <c r="D66" s="334"/>
      <c r="E66" s="368" t="s">
        <v>50</v>
      </c>
      <c r="F66" s="378"/>
      <c r="G66" s="71"/>
      <c r="H66" s="105">
        <f t="shared" si="1"/>
        <v>0</v>
      </c>
      <c r="I66" s="72"/>
    </row>
    <row r="67" spans="1:9" ht="15.95" customHeight="1">
      <c r="A67" s="554"/>
      <c r="B67" s="144" t="s">
        <v>112</v>
      </c>
      <c r="C67" s="367"/>
      <c r="D67" s="334"/>
      <c r="E67" s="368" t="s">
        <v>50</v>
      </c>
      <c r="F67" s="390"/>
      <c r="G67" s="71"/>
      <c r="H67" s="105">
        <f t="shared" si="1"/>
        <v>0</v>
      </c>
      <c r="I67" s="72"/>
    </row>
    <row r="68" spans="1:9" ht="15.95" customHeight="1">
      <c r="A68" s="554"/>
      <c r="B68" s="145" t="s">
        <v>113</v>
      </c>
      <c r="C68" s="369"/>
      <c r="D68" s="353"/>
      <c r="E68" s="370" t="s">
        <v>50</v>
      </c>
      <c r="F68" s="391"/>
      <c r="G68" s="120"/>
      <c r="H68" s="110">
        <f t="shared" si="1"/>
        <v>0</v>
      </c>
      <c r="I68" s="73"/>
    </row>
    <row r="69" spans="1:9" ht="15.95" customHeight="1">
      <c r="A69" s="78"/>
      <c r="B69" s="101" t="s">
        <v>41</v>
      </c>
      <c r="C69" s="75"/>
      <c r="D69" s="76"/>
      <c r="E69" s="76"/>
      <c r="F69" s="40"/>
      <c r="G69" s="40"/>
      <c r="H69" s="40">
        <f>SUM(H61:H68)</f>
        <v>12000000</v>
      </c>
      <c r="I69" s="97"/>
    </row>
    <row r="70" spans="1:9" ht="15.95" customHeight="1">
      <c r="A70" s="52"/>
      <c r="B70" s="101" t="s">
        <v>165</v>
      </c>
      <c r="C70" s="75"/>
      <c r="D70" s="76"/>
      <c r="E70" s="76"/>
      <c r="F70" s="30"/>
      <c r="G70" s="30"/>
      <c r="H70" s="56">
        <f>'단위공사별(집계)'!L9+'단위공사별(집계)'!I9</f>
        <v>7651632.9704510113</v>
      </c>
      <c r="I70" s="76"/>
    </row>
    <row r="71" spans="1:9" ht="15.95" customHeight="1">
      <c r="A71" s="52"/>
      <c r="B71" s="101" t="s">
        <v>25</v>
      </c>
      <c r="C71" s="75"/>
      <c r="D71" s="76"/>
      <c r="E71" s="76"/>
      <c r="F71" s="30"/>
      <c r="G71" s="55"/>
      <c r="H71" s="121"/>
      <c r="I71" s="75"/>
    </row>
    <row r="72" spans="1:9" ht="15.95" customHeight="1">
      <c r="A72" s="52"/>
      <c r="B72" s="101" t="s">
        <v>146</v>
      </c>
      <c r="C72" s="75"/>
      <c r="D72" s="76"/>
      <c r="E72" s="76"/>
      <c r="F72" s="30"/>
      <c r="G72" s="55"/>
      <c r="H72" s="121"/>
      <c r="I72" s="75"/>
    </row>
    <row r="73" spans="1:9" ht="15.95" customHeight="1">
      <c r="A73" s="52"/>
      <c r="B73" s="101" t="s">
        <v>147</v>
      </c>
      <c r="C73" s="75"/>
      <c r="D73" s="76"/>
      <c r="E73" s="76"/>
      <c r="F73" s="30"/>
      <c r="G73" s="30"/>
      <c r="H73" s="40">
        <f>H60+H69+H70+H71+H72</f>
        <v>253651632.970451</v>
      </c>
      <c r="I73" s="76"/>
    </row>
    <row r="74" spans="1:9">
      <c r="A74" s="29"/>
    </row>
  </sheetData>
  <mergeCells count="3">
    <mergeCell ref="A2:B2"/>
    <mergeCell ref="A61:A68"/>
    <mergeCell ref="A3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70"/>
      <c r="D3" s="331"/>
      <c r="E3" s="302"/>
      <c r="F3" s="291"/>
      <c r="G3" s="71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/>
      <c r="D23" s="303"/>
      <c r="E23" s="303"/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/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298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302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302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302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302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302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349"/>
      <c r="E37" s="302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355"/>
      <c r="D38" s="348"/>
      <c r="E38" s="302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262"/>
      <c r="D39" s="262"/>
      <c r="E39" s="70"/>
      <c r="F39" s="263"/>
      <c r="G39" s="263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302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302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302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302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302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/>
      <c r="D46" s="119"/>
      <c r="E46" s="303"/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/>
      <c r="D48" s="332"/>
      <c r="E48" s="332"/>
      <c r="F48" s="333"/>
      <c r="G48" s="71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332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/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330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330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'단위공사별(집계)'!I10+'단위공사별(집계)'!L10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K69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8" sqref="F8"/>
    </sheetView>
  </sheetViews>
  <sheetFormatPr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11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2" t="s">
        <v>81</v>
      </c>
      <c r="B3" s="104" t="s">
        <v>37</v>
      </c>
      <c r="C3" s="371"/>
      <c r="D3" s="357"/>
      <c r="E3" s="358"/>
      <c r="F3" s="359"/>
      <c r="G3" s="359"/>
      <c r="H3" s="360">
        <f>IF(F3=0,G3,G3*F3)</f>
        <v>0</v>
      </c>
      <c r="I3" s="77"/>
    </row>
    <row r="4" spans="1:11" ht="15.95" customHeight="1">
      <c r="A4" s="554"/>
      <c r="B4" s="104"/>
      <c r="C4" s="371"/>
      <c r="D4" s="357"/>
      <c r="E4" s="358"/>
      <c r="F4" s="359"/>
      <c r="G4" s="359"/>
      <c r="H4" s="361">
        <f>IF(F4=0,G4,G4*F4)</f>
        <v>0</v>
      </c>
      <c r="I4" s="72"/>
    </row>
    <row r="5" spans="1:11" ht="15.95" customHeight="1">
      <c r="A5" s="554"/>
      <c r="B5" s="104"/>
      <c r="C5" s="371"/>
      <c r="D5" s="357"/>
      <c r="E5" s="358"/>
      <c r="F5" s="359"/>
      <c r="G5" s="359"/>
      <c r="H5" s="361">
        <f t="shared" ref="H5:H53" si="0">IF(F5=0,G5,G5*F5)</f>
        <v>0</v>
      </c>
      <c r="I5" s="72"/>
    </row>
    <row r="6" spans="1:11" ht="15.95" customHeight="1">
      <c r="A6" s="554"/>
      <c r="B6" s="104"/>
      <c r="C6" s="371"/>
      <c r="D6" s="357"/>
      <c r="E6" s="358"/>
      <c r="F6" s="359"/>
      <c r="G6" s="359"/>
      <c r="H6" s="361">
        <f t="shared" si="0"/>
        <v>0</v>
      </c>
      <c r="I6" s="72"/>
    </row>
    <row r="7" spans="1:11" ht="15.95" customHeight="1">
      <c r="A7" s="554"/>
      <c r="B7" s="104"/>
      <c r="C7" s="371"/>
      <c r="D7" s="357"/>
      <c r="E7" s="358"/>
      <c r="F7" s="359"/>
      <c r="G7" s="359"/>
      <c r="H7" s="361">
        <f t="shared" si="0"/>
        <v>0</v>
      </c>
      <c r="I7" s="72"/>
    </row>
    <row r="8" spans="1:11" ht="15.95" customHeight="1">
      <c r="A8" s="554"/>
      <c r="B8" s="104"/>
      <c r="C8" s="371"/>
      <c r="D8" s="357"/>
      <c r="E8" s="358"/>
      <c r="F8" s="359"/>
      <c r="G8" s="359"/>
      <c r="H8" s="361">
        <f t="shared" si="0"/>
        <v>0</v>
      </c>
      <c r="I8" s="72"/>
    </row>
    <row r="9" spans="1:11" ht="15.95" customHeight="1">
      <c r="A9" s="554"/>
      <c r="B9" s="104"/>
      <c r="C9" s="371"/>
      <c r="D9" s="357"/>
      <c r="E9" s="358"/>
      <c r="F9" s="359"/>
      <c r="G9" s="359"/>
      <c r="H9" s="361">
        <f t="shared" si="0"/>
        <v>0</v>
      </c>
      <c r="I9" s="72"/>
    </row>
    <row r="10" spans="1:11" ht="15.95" customHeight="1">
      <c r="A10" s="554"/>
      <c r="B10" s="104"/>
      <c r="C10" s="371"/>
      <c r="D10" s="348"/>
      <c r="E10" s="348"/>
      <c r="F10" s="362"/>
      <c r="G10" s="362"/>
      <c r="H10" s="361">
        <f t="shared" si="0"/>
        <v>0</v>
      </c>
      <c r="I10" s="72"/>
    </row>
    <row r="11" spans="1:11" ht="15.95" customHeight="1">
      <c r="A11" s="554"/>
      <c r="B11" s="104"/>
      <c r="C11" s="348"/>
      <c r="D11" s="348"/>
      <c r="E11" s="348"/>
      <c r="F11" s="362"/>
      <c r="G11" s="362"/>
      <c r="H11" s="361">
        <f t="shared" si="0"/>
        <v>0</v>
      </c>
      <c r="I11" s="72"/>
    </row>
    <row r="12" spans="1:11" ht="15.95" customHeight="1">
      <c r="A12" s="554"/>
      <c r="B12" s="104"/>
      <c r="C12" s="348"/>
      <c r="D12" s="348"/>
      <c r="E12" s="348"/>
      <c r="F12" s="362"/>
      <c r="G12" s="362"/>
      <c r="H12" s="361">
        <f t="shared" si="0"/>
        <v>0</v>
      </c>
      <c r="I12" s="72"/>
    </row>
    <row r="13" spans="1:11" ht="15.95" customHeight="1">
      <c r="A13" s="554"/>
      <c r="B13" s="104"/>
      <c r="C13" s="348"/>
      <c r="D13" s="348"/>
      <c r="E13" s="348"/>
      <c r="F13" s="362"/>
      <c r="G13" s="362"/>
      <c r="H13" s="361">
        <f t="shared" si="0"/>
        <v>0</v>
      </c>
      <c r="I13" s="72"/>
    </row>
    <row r="14" spans="1:11" ht="15.95" customHeight="1">
      <c r="A14" s="554"/>
      <c r="B14" s="104"/>
      <c r="C14" s="348"/>
      <c r="D14" s="348"/>
      <c r="E14" s="348"/>
      <c r="F14" s="362"/>
      <c r="G14" s="362"/>
      <c r="H14" s="361">
        <f t="shared" si="0"/>
        <v>0</v>
      </c>
      <c r="I14" s="72"/>
      <c r="K14" s="364"/>
    </row>
    <row r="15" spans="1:11" ht="15.95" customHeight="1">
      <c r="A15" s="554"/>
      <c r="B15" s="104"/>
      <c r="C15" s="348"/>
      <c r="D15" s="348"/>
      <c r="E15" s="348"/>
      <c r="F15" s="362"/>
      <c r="G15" s="362"/>
      <c r="H15" s="361">
        <f t="shared" si="0"/>
        <v>0</v>
      </c>
      <c r="I15" s="72"/>
    </row>
    <row r="16" spans="1:11" ht="15.95" customHeight="1">
      <c r="A16" s="554"/>
      <c r="B16" s="104"/>
      <c r="C16" s="348"/>
      <c r="D16" s="348"/>
      <c r="E16" s="348"/>
      <c r="F16" s="362"/>
      <c r="G16" s="362"/>
      <c r="H16" s="361">
        <f t="shared" si="0"/>
        <v>0</v>
      </c>
      <c r="I16" s="72"/>
    </row>
    <row r="17" spans="1:9" ht="15.95" customHeight="1">
      <c r="A17" s="554"/>
      <c r="B17" s="104"/>
      <c r="C17" s="348"/>
      <c r="D17" s="348"/>
      <c r="E17" s="348"/>
      <c r="F17" s="362"/>
      <c r="G17" s="362"/>
      <c r="H17" s="361">
        <f t="shared" si="0"/>
        <v>0</v>
      </c>
      <c r="I17" s="72"/>
    </row>
    <row r="18" spans="1:9" ht="15.95" customHeight="1">
      <c r="A18" s="554"/>
      <c r="B18" s="104"/>
      <c r="C18" s="348"/>
      <c r="D18" s="348"/>
      <c r="E18" s="348"/>
      <c r="F18" s="362"/>
      <c r="G18" s="362"/>
      <c r="H18" s="361">
        <f t="shared" si="0"/>
        <v>0</v>
      </c>
      <c r="I18" s="72"/>
    </row>
    <row r="19" spans="1:9" ht="15.95" customHeight="1">
      <c r="A19" s="554"/>
      <c r="B19" s="104"/>
      <c r="C19" s="348"/>
      <c r="D19" s="348"/>
      <c r="E19" s="348"/>
      <c r="F19" s="362"/>
      <c r="G19" s="362"/>
      <c r="H19" s="361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119"/>
      <c r="D22" s="303"/>
      <c r="E22" s="303"/>
      <c r="F22" s="292"/>
      <c r="G22" s="120"/>
      <c r="H22" s="264">
        <f t="shared" si="0"/>
        <v>0</v>
      </c>
      <c r="I22" s="265"/>
    </row>
    <row r="23" spans="1:9" ht="15.95" customHeight="1">
      <c r="A23" s="554"/>
      <c r="B23" s="74"/>
      <c r="C23" s="268"/>
      <c r="D23" s="268"/>
      <c r="E23" s="268"/>
      <c r="F23" s="269"/>
      <c r="G23" s="269"/>
      <c r="H23" s="270">
        <f>SUM(H3:H22)</f>
        <v>0</v>
      </c>
      <c r="I23" s="268"/>
    </row>
    <row r="24" spans="1:9" ht="15.95" customHeight="1">
      <c r="A24" s="554"/>
      <c r="B24" s="104" t="s">
        <v>154</v>
      </c>
      <c r="C24" s="122"/>
      <c r="D24" s="122"/>
      <c r="E24" s="122"/>
      <c r="F24" s="123"/>
      <c r="G24" s="123"/>
      <c r="H24" s="124">
        <f t="shared" si="0"/>
        <v>0</v>
      </c>
      <c r="I24" s="125"/>
    </row>
    <row r="25" spans="1:9" ht="15.95" customHeight="1">
      <c r="A25" s="554"/>
      <c r="B25" s="104" t="s">
        <v>155</v>
      </c>
      <c r="C25" s="70"/>
      <c r="D25" s="70"/>
      <c r="E25" s="70"/>
      <c r="F25" s="71"/>
      <c r="G25" s="71"/>
      <c r="H25" s="105">
        <f t="shared" si="0"/>
        <v>0</v>
      </c>
      <c r="I25" s="72"/>
    </row>
    <row r="26" spans="1:9" ht="15.95" customHeight="1">
      <c r="A26" s="554"/>
      <c r="B26" s="104"/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119"/>
      <c r="D28" s="119"/>
      <c r="E28" s="119"/>
      <c r="F28" s="120"/>
      <c r="G28" s="120"/>
      <c r="H28" s="105">
        <f t="shared" si="0"/>
        <v>0</v>
      </c>
      <c r="I28" s="73"/>
    </row>
    <row r="29" spans="1:9" ht="15.95" customHeight="1">
      <c r="A29" s="554"/>
      <c r="B29" s="74"/>
      <c r="C29" s="107"/>
      <c r="D29" s="97"/>
      <c r="E29" s="97"/>
      <c r="F29" s="153"/>
      <c r="G29" s="40"/>
      <c r="H29" s="30">
        <f>SUM(H24:H28)</f>
        <v>0</v>
      </c>
      <c r="I29" s="76"/>
    </row>
    <row r="30" spans="1:9" ht="15.95" customHeight="1">
      <c r="A30" s="554"/>
      <c r="B30" s="108" t="s">
        <v>38</v>
      </c>
      <c r="C30" s="356"/>
      <c r="D30" s="357"/>
      <c r="E30" s="358"/>
      <c r="F30" s="359"/>
      <c r="G30" s="359"/>
      <c r="H30" s="109">
        <f t="shared" si="0"/>
        <v>0</v>
      </c>
      <c r="I30" s="77"/>
    </row>
    <row r="31" spans="1:9" ht="15.95" customHeight="1">
      <c r="A31" s="554"/>
      <c r="B31" s="104" t="s">
        <v>45</v>
      </c>
      <c r="C31" s="70"/>
      <c r="D31" s="70"/>
      <c r="E31" s="302"/>
      <c r="F31" s="71"/>
      <c r="G31" s="71"/>
      <c r="H31" s="105">
        <f t="shared" si="0"/>
        <v>0</v>
      </c>
      <c r="I31" s="72"/>
    </row>
    <row r="32" spans="1:9" ht="15.95" customHeight="1">
      <c r="A32" s="554"/>
      <c r="B32" s="104"/>
      <c r="C32" s="70"/>
      <c r="D32" s="70"/>
      <c r="E32" s="302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302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302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302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302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302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302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302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302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302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302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302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119"/>
      <c r="D45" s="303"/>
      <c r="E45" s="303"/>
      <c r="F45" s="292"/>
      <c r="G45" s="120"/>
      <c r="H45" s="110">
        <f t="shared" si="0"/>
        <v>0</v>
      </c>
      <c r="I45" s="73"/>
    </row>
    <row r="46" spans="1:9" ht="15.95" customHeight="1">
      <c r="A46" s="554"/>
      <c r="B46" s="74"/>
      <c r="C46" s="107"/>
      <c r="D46" s="97"/>
      <c r="E46" s="97"/>
      <c r="F46" s="40"/>
      <c r="G46" s="40"/>
      <c r="H46" s="30">
        <f>SUM(H30:H45)</f>
        <v>0</v>
      </c>
      <c r="I46" s="76"/>
    </row>
    <row r="47" spans="1:9" ht="15.95" customHeight="1">
      <c r="A47" s="554"/>
      <c r="B47" s="108" t="s">
        <v>39</v>
      </c>
      <c r="C47" s="70"/>
      <c r="D47" s="332"/>
      <c r="E47" s="332"/>
      <c r="F47" s="333"/>
      <c r="G47" s="71"/>
      <c r="H47" s="109">
        <f t="shared" si="0"/>
        <v>0</v>
      </c>
      <c r="I47" s="77"/>
    </row>
    <row r="48" spans="1:9" ht="15.95" customHeight="1">
      <c r="A48" s="554"/>
      <c r="B48" s="104"/>
      <c r="C48" s="70"/>
      <c r="D48" s="363"/>
      <c r="E48" s="332"/>
      <c r="F48" s="333"/>
      <c r="G48" s="71"/>
      <c r="H48" s="105">
        <f t="shared" si="0"/>
        <v>0</v>
      </c>
      <c r="I48" s="72"/>
    </row>
    <row r="49" spans="1:9" ht="15.95" customHeight="1">
      <c r="A49" s="554"/>
      <c r="B49" s="104"/>
      <c r="C49" s="70"/>
      <c r="D49" s="332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119"/>
      <c r="D53" s="119"/>
      <c r="E53" s="119"/>
      <c r="F53" s="120"/>
      <c r="G53" s="120"/>
      <c r="H53" s="110">
        <f t="shared" si="0"/>
        <v>0</v>
      </c>
      <c r="I53" s="73"/>
    </row>
    <row r="54" spans="1:9" ht="15.95" customHeight="1">
      <c r="A54" s="554"/>
      <c r="B54" s="74"/>
      <c r="C54" s="107"/>
      <c r="D54" s="97"/>
      <c r="E54" s="97"/>
      <c r="F54" s="40"/>
      <c r="G54" s="40"/>
      <c r="H54" s="30">
        <f>SUM(H47:H53)</f>
        <v>0</v>
      </c>
      <c r="I54" s="76"/>
    </row>
    <row r="55" spans="1:9" ht="15.95" customHeight="1">
      <c r="A55" s="78"/>
      <c r="B55" s="102" t="s">
        <v>42</v>
      </c>
      <c r="C55" s="75"/>
      <c r="D55" s="76"/>
      <c r="E55" s="76"/>
      <c r="F55" s="56"/>
      <c r="G55" s="56"/>
      <c r="H55" s="30">
        <f>SUM(H54,H46,H29,H23)</f>
        <v>0</v>
      </c>
      <c r="I55" s="76"/>
    </row>
    <row r="56" spans="1:9" ht="15.95" customHeight="1">
      <c r="A56" s="555" t="s">
        <v>72</v>
      </c>
      <c r="B56" s="143" t="s">
        <v>70</v>
      </c>
      <c r="C56" s="146"/>
      <c r="D56" s="80"/>
      <c r="E56" s="112" t="s">
        <v>51</v>
      </c>
      <c r="F56" s="118"/>
      <c r="G56" s="118"/>
      <c r="H56" s="109">
        <f>F56*G56</f>
        <v>0</v>
      </c>
      <c r="I56" s="77"/>
    </row>
    <row r="57" spans="1:9" ht="15.95" customHeight="1">
      <c r="A57" s="554"/>
      <c r="B57" s="144" t="s">
        <v>107</v>
      </c>
      <c r="C57" s="147"/>
      <c r="D57" s="81"/>
      <c r="E57" s="113" t="s">
        <v>50</v>
      </c>
      <c r="F57" s="71"/>
      <c r="G57" s="71"/>
      <c r="H57" s="105">
        <f t="shared" ref="H57:H63" si="1">F57*G57</f>
        <v>0</v>
      </c>
      <c r="I57" s="72"/>
    </row>
    <row r="58" spans="1:9" ht="15.95" customHeight="1">
      <c r="A58" s="554"/>
      <c r="B58" s="175" t="s">
        <v>108</v>
      </c>
      <c r="C58" s="147"/>
      <c r="D58" s="81"/>
      <c r="E58" s="113" t="s">
        <v>50</v>
      </c>
      <c r="F58" s="372"/>
      <c r="G58" s="71"/>
      <c r="H58" s="105">
        <f t="shared" si="1"/>
        <v>0</v>
      </c>
      <c r="I58" s="72"/>
    </row>
    <row r="59" spans="1:9" ht="15.95" customHeight="1">
      <c r="A59" s="554"/>
      <c r="B59" s="144" t="s">
        <v>109</v>
      </c>
      <c r="C59" s="147"/>
      <c r="D59" s="81"/>
      <c r="E59" s="113" t="s">
        <v>50</v>
      </c>
      <c r="F59" s="372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110</v>
      </c>
      <c r="C60" s="147"/>
      <c r="D60" s="81"/>
      <c r="E60" s="113" t="s">
        <v>50</v>
      </c>
      <c r="F60" s="372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111</v>
      </c>
      <c r="C61" s="147"/>
      <c r="D61" s="81"/>
      <c r="E61" s="113" t="s">
        <v>50</v>
      </c>
      <c r="F61" s="372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112</v>
      </c>
      <c r="C62" s="147"/>
      <c r="D62" s="81"/>
      <c r="E62" s="113" t="s">
        <v>50</v>
      </c>
      <c r="F62" s="372"/>
      <c r="G62" s="71"/>
      <c r="H62" s="105">
        <f t="shared" si="1"/>
        <v>0</v>
      </c>
      <c r="I62" s="72"/>
    </row>
    <row r="63" spans="1:9" ht="15.95" customHeight="1">
      <c r="A63" s="554"/>
      <c r="B63" s="145" t="s">
        <v>175</v>
      </c>
      <c r="C63" s="148" t="s">
        <v>176</v>
      </c>
      <c r="D63" s="82"/>
      <c r="E63" s="114" t="s">
        <v>50</v>
      </c>
      <c r="F63" s="373"/>
      <c r="G63" s="120"/>
      <c r="H63" s="110">
        <f t="shared" si="1"/>
        <v>0</v>
      </c>
      <c r="I63" s="73"/>
    </row>
    <row r="64" spans="1:9" ht="15.95" customHeight="1">
      <c r="A64" s="78"/>
      <c r="B64" s="101" t="s">
        <v>41</v>
      </c>
      <c r="C64" s="75"/>
      <c r="D64" s="76"/>
      <c r="E64" s="76"/>
      <c r="F64" s="40"/>
      <c r="G64" s="40"/>
      <c r="H64" s="40">
        <f>SUM(H56:H63)</f>
        <v>0</v>
      </c>
      <c r="I64" s="97"/>
    </row>
    <row r="65" spans="1:9" ht="15.95" customHeight="1">
      <c r="A65" s="52"/>
      <c r="B65" s="101" t="s">
        <v>165</v>
      </c>
      <c r="C65" s="75"/>
      <c r="D65" s="76"/>
      <c r="E65" s="76"/>
      <c r="F65" s="30"/>
      <c r="G65" s="30"/>
      <c r="H65" s="56">
        <f>'단위공사별(집계)'!L11+'단위공사별(집계)'!I11</f>
        <v>0</v>
      </c>
      <c r="I65" s="76"/>
    </row>
    <row r="66" spans="1:9" ht="15.95" customHeight="1">
      <c r="A66" s="52"/>
      <c r="B66" s="101" t="s">
        <v>25</v>
      </c>
      <c r="C66" s="75"/>
      <c r="D66" s="76"/>
      <c r="E66" s="76"/>
      <c r="F66" s="30"/>
      <c r="G66" s="55"/>
      <c r="H66" s="121">
        <f>(H64+H55)*0.05</f>
        <v>0</v>
      </c>
      <c r="I66" s="75"/>
    </row>
    <row r="67" spans="1:9" ht="15.95" customHeight="1">
      <c r="A67" s="52"/>
      <c r="B67" s="101" t="s">
        <v>146</v>
      </c>
      <c r="C67" s="75"/>
      <c r="D67" s="76"/>
      <c r="E67" s="76"/>
      <c r="F67" s="30"/>
      <c r="G67" s="55"/>
      <c r="H67" s="121">
        <f>(H64+H55)*0.1</f>
        <v>0</v>
      </c>
      <c r="I67" s="75"/>
    </row>
    <row r="68" spans="1:9" ht="15.95" customHeight="1">
      <c r="A68" s="52"/>
      <c r="B68" s="101" t="s">
        <v>147</v>
      </c>
      <c r="C68" s="75"/>
      <c r="D68" s="76"/>
      <c r="E68" s="76"/>
      <c r="F68" s="30"/>
      <c r="G68" s="30"/>
      <c r="H68" s="40">
        <f>H55+H64+H65+H66+H67</f>
        <v>0</v>
      </c>
      <c r="I68" s="76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33" sqref="F33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298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356"/>
      <c r="D4" s="366"/>
      <c r="E4" s="358"/>
      <c r="F4" s="359"/>
      <c r="G4" s="359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302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302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302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302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302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302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302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302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302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302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302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302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302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302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302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302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298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302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302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302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302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302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302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302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302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302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302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302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302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302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302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303"/>
      <c r="E46" s="303" t="s">
        <v>172</v>
      </c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/>
      <c r="D48" s="332"/>
      <c r="E48" s="332"/>
      <c r="F48" s="333"/>
      <c r="G48" s="71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363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332"/>
      <c r="E50" s="332"/>
      <c r="F50" s="333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332"/>
      <c r="F51" s="29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332"/>
      <c r="F52" s="29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332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/>
      <c r="D54" s="119"/>
      <c r="E54" s="354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175</v>
      </c>
      <c r="C64" s="148" t="s">
        <v>176</v>
      </c>
      <c r="D64" s="82"/>
      <c r="E64" s="114" t="s">
        <v>50</v>
      </c>
      <c r="F64" s="365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'단위공사별(집계)'!L12+'단위공사별(집계)'!I12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298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302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302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302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302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302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302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302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302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302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302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302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302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302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302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302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302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302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302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303"/>
      <c r="E23" s="303" t="s">
        <v>172</v>
      </c>
      <c r="F23" s="292"/>
      <c r="G23" s="120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303"/>
      <c r="E46" s="303" t="s">
        <v>172</v>
      </c>
      <c r="F46" s="292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70"/>
      <c r="D48" s="332"/>
      <c r="E48" s="332"/>
      <c r="F48" s="333"/>
      <c r="G48" s="71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332"/>
      <c r="E49" s="332"/>
      <c r="F49" s="333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332"/>
      <c r="E50" s="332"/>
      <c r="F50" s="333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303" t="s">
        <v>172</v>
      </c>
      <c r="F54" s="292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330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'단위공사별(집계)'!L13+'단위공사별(집계)'!I13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117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119"/>
      <c r="E46" s="119"/>
      <c r="F46" s="120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117"/>
      <c r="D48" s="117"/>
      <c r="E48" s="117"/>
      <c r="F48" s="118"/>
      <c r="G48" s="118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117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119"/>
      <c r="E46" s="119"/>
      <c r="F46" s="120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117"/>
      <c r="D48" s="117"/>
      <c r="E48" s="117"/>
      <c r="F48" s="118"/>
      <c r="G48" s="118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2"/>
      <c r="D1" s="65"/>
      <c r="E1" s="65"/>
      <c r="F1" s="66"/>
      <c r="G1" s="67"/>
      <c r="I1" s="28" t="s">
        <v>82</v>
      </c>
    </row>
    <row r="2" spans="1:9" s="29" customFormat="1" ht="16.5" customHeight="1">
      <c r="A2" s="463" t="s">
        <v>31</v>
      </c>
      <c r="B2" s="549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2" t="s">
        <v>81</v>
      </c>
      <c r="B3" s="104" t="s">
        <v>37</v>
      </c>
      <c r="C3" s="117"/>
      <c r="D3" s="117"/>
      <c r="E3" s="117"/>
      <c r="F3" s="118"/>
      <c r="G3" s="118"/>
      <c r="H3" s="109">
        <f>IF(F3=0,G3,G3*F3)</f>
        <v>0</v>
      </c>
      <c r="I3" s="77"/>
    </row>
    <row r="4" spans="1:9" ht="15.95" customHeight="1">
      <c r="A4" s="554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4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4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4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4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4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4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4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4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4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4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4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4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4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4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4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4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4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4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4"/>
      <c r="B23" s="104"/>
      <c r="C23" s="119" t="s">
        <v>47</v>
      </c>
      <c r="D23" s="262"/>
      <c r="E23" s="262"/>
      <c r="F23" s="263"/>
      <c r="G23" s="263"/>
      <c r="H23" s="264">
        <f t="shared" si="0"/>
        <v>0</v>
      </c>
      <c r="I23" s="265"/>
    </row>
    <row r="24" spans="1:9" ht="15.95" customHeight="1">
      <c r="A24" s="554"/>
      <c r="B24" s="74"/>
      <c r="C24" s="268"/>
      <c r="D24" s="268"/>
      <c r="E24" s="268"/>
      <c r="F24" s="269"/>
      <c r="G24" s="269"/>
      <c r="H24" s="270">
        <f>SUM(H3:H23)</f>
        <v>0</v>
      </c>
      <c r="I24" s="268"/>
    </row>
    <row r="25" spans="1:9" ht="15.95" customHeight="1">
      <c r="A25" s="554"/>
      <c r="B25" s="104" t="s">
        <v>154</v>
      </c>
      <c r="C25" s="122"/>
      <c r="D25" s="122"/>
      <c r="E25" s="122"/>
      <c r="F25" s="123"/>
      <c r="G25" s="123"/>
      <c r="H25" s="124">
        <f t="shared" si="0"/>
        <v>0</v>
      </c>
      <c r="I25" s="125"/>
    </row>
    <row r="26" spans="1:9" ht="15.95" customHeight="1">
      <c r="A26" s="554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4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4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4"/>
      <c r="B29" s="104"/>
      <c r="C29" s="119" t="s">
        <v>47</v>
      </c>
      <c r="D29" s="119"/>
      <c r="E29" s="119"/>
      <c r="F29" s="120"/>
      <c r="G29" s="120"/>
      <c r="H29" s="105">
        <f t="shared" si="0"/>
        <v>0</v>
      </c>
      <c r="I29" s="73"/>
    </row>
    <row r="30" spans="1:9" ht="15.95" customHeight="1">
      <c r="A30" s="554"/>
      <c r="B30" s="74"/>
      <c r="C30" s="107"/>
      <c r="D30" s="97"/>
      <c r="E30" s="97"/>
      <c r="F30" s="153"/>
      <c r="G30" s="40"/>
      <c r="H30" s="30">
        <f>SUM(H25:H29)</f>
        <v>0</v>
      </c>
      <c r="I30" s="76"/>
    </row>
    <row r="31" spans="1:9" ht="15.95" customHeight="1">
      <c r="A31" s="554"/>
      <c r="B31" s="108" t="s">
        <v>38</v>
      </c>
      <c r="C31" s="117"/>
      <c r="D31" s="117"/>
      <c r="E31" s="117"/>
      <c r="F31" s="118"/>
      <c r="G31" s="118"/>
      <c r="H31" s="109">
        <f t="shared" si="0"/>
        <v>0</v>
      </c>
      <c r="I31" s="77"/>
    </row>
    <row r="32" spans="1:9" ht="15.95" customHeight="1">
      <c r="A32" s="554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4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4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4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4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4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4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4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4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4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4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4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4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4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4"/>
      <c r="B46" s="104"/>
      <c r="C46" s="119" t="s">
        <v>47</v>
      </c>
      <c r="D46" s="119"/>
      <c r="E46" s="119"/>
      <c r="F46" s="120"/>
      <c r="G46" s="120"/>
      <c r="H46" s="110">
        <f t="shared" si="0"/>
        <v>0</v>
      </c>
      <c r="I46" s="73"/>
    </row>
    <row r="47" spans="1:9" ht="15.95" customHeight="1">
      <c r="A47" s="554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4"/>
      <c r="B48" s="108" t="s">
        <v>39</v>
      </c>
      <c r="C48" s="117"/>
      <c r="D48" s="117"/>
      <c r="E48" s="117"/>
      <c r="F48" s="118"/>
      <c r="G48" s="118"/>
      <c r="H48" s="109">
        <f t="shared" si="0"/>
        <v>0</v>
      </c>
      <c r="I48" s="77"/>
    </row>
    <row r="49" spans="1:9" ht="15.95" customHeight="1">
      <c r="A49" s="554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4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4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4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4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4"/>
      <c r="B54" s="104"/>
      <c r="C54" s="119" t="s">
        <v>47</v>
      </c>
      <c r="D54" s="119"/>
      <c r="E54" s="119"/>
      <c r="F54" s="120"/>
      <c r="G54" s="120"/>
      <c r="H54" s="110">
        <f t="shared" si="0"/>
        <v>0</v>
      </c>
      <c r="I54" s="73"/>
    </row>
    <row r="55" spans="1:9" ht="15.95" customHeight="1">
      <c r="A55" s="554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5" t="s">
        <v>72</v>
      </c>
      <c r="B57" s="143" t="s">
        <v>70</v>
      </c>
      <c r="C57" s="146"/>
      <c r="D57" s="80"/>
      <c r="E57" s="112" t="s">
        <v>51</v>
      </c>
      <c r="F57" s="118"/>
      <c r="G57" s="118"/>
      <c r="H57" s="109">
        <f>F57*G57</f>
        <v>0</v>
      </c>
      <c r="I57" s="77"/>
    </row>
    <row r="58" spans="1:9" ht="15.95" customHeight="1">
      <c r="A58" s="554"/>
      <c r="B58" s="144" t="s">
        <v>107</v>
      </c>
      <c r="C58" s="147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4"/>
      <c r="B59" s="175" t="s">
        <v>108</v>
      </c>
      <c r="C59" s="147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4"/>
      <c r="B60" s="144" t="s">
        <v>109</v>
      </c>
      <c r="C60" s="147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4"/>
      <c r="B61" s="144" t="s">
        <v>110</v>
      </c>
      <c r="C61" s="147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4"/>
      <c r="B62" s="144" t="s">
        <v>111</v>
      </c>
      <c r="C62" s="147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4"/>
      <c r="B63" s="144" t="s">
        <v>112</v>
      </c>
      <c r="C63" s="147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4"/>
      <c r="B64" s="145" t="s">
        <v>113</v>
      </c>
      <c r="C64" s="148"/>
      <c r="D64" s="82"/>
      <c r="E64" s="114" t="s">
        <v>50</v>
      </c>
      <c r="F64" s="120"/>
      <c r="G64" s="120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1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1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zoomScale="85" workbookViewId="0">
      <selection activeCell="O39" sqref="O39"/>
    </sheetView>
  </sheetViews>
  <sheetFormatPr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94" t="s">
        <v>96</v>
      </c>
    </row>
    <row r="4" spans="1:4" ht="11.25" customHeight="1"/>
    <row r="5" spans="1:4" s="96" customFormat="1" ht="21" customHeight="1" thickBot="1">
      <c r="A5" s="95" t="s">
        <v>62</v>
      </c>
      <c r="B5" s="95" t="s">
        <v>52</v>
      </c>
      <c r="C5" s="95" t="s">
        <v>53</v>
      </c>
      <c r="D5" s="95" t="s">
        <v>27</v>
      </c>
    </row>
    <row r="6" spans="1:4" ht="17.25" customHeight="1" thickTop="1">
      <c r="A6" s="69"/>
      <c r="B6" s="69"/>
      <c r="C6" s="69"/>
      <c r="D6" s="69"/>
    </row>
    <row r="7" spans="1:4" ht="17.25" customHeight="1">
      <c r="A7" s="69"/>
      <c r="B7" s="69"/>
      <c r="C7" s="69"/>
      <c r="D7" s="69"/>
    </row>
    <row r="8" spans="1:4" ht="17.25" customHeight="1">
      <c r="A8" s="69"/>
      <c r="B8" s="69"/>
      <c r="C8" s="69"/>
      <c r="D8" s="69"/>
    </row>
    <row r="9" spans="1:4" ht="17.25" customHeight="1">
      <c r="A9" s="69"/>
      <c r="B9" s="69"/>
      <c r="C9" s="69"/>
      <c r="D9" s="69"/>
    </row>
    <row r="10" spans="1:4" ht="17.25" customHeight="1">
      <c r="A10" s="69"/>
      <c r="B10" s="69"/>
      <c r="C10" s="69"/>
      <c r="D10" s="69"/>
    </row>
    <row r="11" spans="1:4" ht="17.25" customHeight="1">
      <c r="A11" s="69"/>
      <c r="B11" s="69"/>
      <c r="C11" s="69"/>
      <c r="D11" s="69"/>
    </row>
    <row r="12" spans="1:4" ht="17.25" customHeight="1">
      <c r="A12" s="69"/>
      <c r="B12" s="69"/>
      <c r="C12" s="69"/>
      <c r="D12" s="69"/>
    </row>
    <row r="13" spans="1:4" ht="17.25" customHeight="1">
      <c r="A13" s="69"/>
      <c r="B13" s="69"/>
      <c r="C13" s="69"/>
      <c r="D13" s="69"/>
    </row>
    <row r="14" spans="1:4" ht="17.25" customHeight="1">
      <c r="A14" s="69"/>
      <c r="B14" s="69"/>
      <c r="C14" s="69"/>
      <c r="D14" s="69"/>
    </row>
    <row r="15" spans="1:4" ht="17.25" customHeight="1">
      <c r="A15" s="69"/>
      <c r="B15" s="69"/>
      <c r="C15" s="69"/>
      <c r="D15" s="69"/>
    </row>
    <row r="16" spans="1:4" ht="17.25" customHeight="1">
      <c r="A16" s="69"/>
      <c r="B16" s="69"/>
      <c r="C16" s="69"/>
      <c r="D16" s="69"/>
    </row>
    <row r="17" spans="1:4" ht="17.25" customHeight="1">
      <c r="A17" s="69"/>
      <c r="B17" s="69"/>
      <c r="C17" s="69"/>
      <c r="D17" s="69"/>
    </row>
    <row r="18" spans="1:4" ht="17.25" customHeight="1">
      <c r="A18" s="69"/>
      <c r="B18" s="69"/>
      <c r="C18" s="69"/>
      <c r="D18" s="69"/>
    </row>
    <row r="19" spans="1:4" ht="17.25" customHeight="1">
      <c r="A19" s="69"/>
      <c r="B19" s="69"/>
      <c r="C19" s="69"/>
      <c r="D19" s="69"/>
    </row>
    <row r="20" spans="1:4" ht="17.25" customHeight="1">
      <c r="A20" s="69"/>
      <c r="B20" s="69"/>
      <c r="C20" s="69"/>
      <c r="D20" s="69"/>
    </row>
    <row r="21" spans="1:4" ht="17.25" customHeight="1">
      <c r="A21" s="69"/>
      <c r="B21" s="69"/>
      <c r="C21" s="69"/>
      <c r="D21" s="69"/>
    </row>
    <row r="22" spans="1:4" ht="17.25" customHeight="1">
      <c r="A22" s="69"/>
      <c r="B22" s="69"/>
      <c r="C22" s="69"/>
      <c r="D22" s="69"/>
    </row>
    <row r="23" spans="1:4" ht="17.25" customHeight="1">
      <c r="A23" s="69"/>
      <c r="B23" s="69"/>
      <c r="C23" s="69"/>
      <c r="D23" s="69"/>
    </row>
    <row r="24" spans="1:4" ht="17.25" customHeight="1">
      <c r="A24" s="69"/>
      <c r="B24" s="69"/>
      <c r="C24" s="69"/>
      <c r="D24" s="69"/>
    </row>
    <row r="25" spans="1:4" ht="17.25" customHeight="1">
      <c r="A25" s="69"/>
      <c r="B25" s="69"/>
      <c r="C25" s="69"/>
      <c r="D25" s="69"/>
    </row>
    <row r="26" spans="1:4" ht="17.25" customHeight="1">
      <c r="A26" s="69"/>
      <c r="B26" s="69"/>
      <c r="C26" s="69"/>
      <c r="D26" s="69"/>
    </row>
    <row r="27" spans="1:4" ht="17.25" customHeight="1">
      <c r="A27" s="69"/>
      <c r="B27" s="69"/>
      <c r="C27" s="69"/>
      <c r="D27" s="69"/>
    </row>
    <row r="28" spans="1:4" ht="17.25" customHeight="1">
      <c r="A28" s="69"/>
      <c r="B28" s="69"/>
      <c r="C28" s="69"/>
      <c r="D28" s="69"/>
    </row>
    <row r="29" spans="1:4" ht="17.25" customHeight="1">
      <c r="A29" s="69"/>
      <c r="B29" s="69"/>
      <c r="C29" s="69"/>
      <c r="D29" s="69"/>
    </row>
    <row r="30" spans="1:4" ht="17.25" customHeight="1">
      <c r="A30" s="69"/>
      <c r="B30" s="69"/>
      <c r="C30" s="69"/>
      <c r="D30" s="69"/>
    </row>
    <row r="31" spans="1:4" ht="17.25" customHeight="1">
      <c r="A31" s="69"/>
      <c r="B31" s="69"/>
      <c r="C31" s="69"/>
      <c r="D31" s="69"/>
    </row>
    <row r="32" spans="1:4" ht="17.25" customHeight="1">
      <c r="A32" s="69"/>
      <c r="B32" s="69"/>
      <c r="C32" s="69"/>
      <c r="D32" s="69"/>
    </row>
    <row r="33" spans="1:4" ht="17.25" customHeight="1">
      <c r="A33" s="69"/>
      <c r="B33" s="69"/>
      <c r="C33" s="69"/>
      <c r="D33" s="69"/>
    </row>
    <row r="34" spans="1:4" ht="17.25" customHeight="1">
      <c r="A34" s="69"/>
      <c r="B34" s="69"/>
      <c r="C34" s="69"/>
      <c r="D34" s="69"/>
    </row>
    <row r="35" spans="1:4" ht="17.25" customHeight="1">
      <c r="A35" s="69"/>
      <c r="B35" s="69"/>
      <c r="C35" s="69"/>
      <c r="D35" s="69"/>
    </row>
    <row r="36" spans="1:4" ht="17.25" customHeight="1">
      <c r="A36" s="97"/>
      <c r="B36" s="97"/>
      <c r="C36" s="97"/>
      <c r="D36" s="97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3.xml><?xml version="1.0" encoding="utf-8"?>
<ds:datastoreItem xmlns:ds="http://schemas.openxmlformats.org/officeDocument/2006/customXml" ds:itemID="{9595BC94-53CD-4650-BA4A-050A5A501530}"/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USER</cp:lastModifiedBy>
  <cp:lastPrinted>2023-03-09T00:35:26Z</cp:lastPrinted>
  <dcterms:created xsi:type="dcterms:W3CDTF">2001-06-04T06:04:44Z</dcterms:created>
  <dcterms:modified xsi:type="dcterms:W3CDTF">2026-05-08T06:28:22Z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