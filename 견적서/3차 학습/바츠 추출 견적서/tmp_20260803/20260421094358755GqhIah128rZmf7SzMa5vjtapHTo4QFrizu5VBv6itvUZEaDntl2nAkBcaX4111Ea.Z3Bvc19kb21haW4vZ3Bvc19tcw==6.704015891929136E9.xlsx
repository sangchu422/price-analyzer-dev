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wiakr.sharepoint.com/sites/o365m_50008894/Shared Documents/General/2. 설비구매/1. 투자/등속/2024년/[FQ-B24-005] 인도법인 10단계 증량투자 (타OE증량대응)/(13) 조립라인 리툴링_지이엠/"/>
    </mc:Choice>
  </mc:AlternateContent>
  <xr:revisionPtr revIDLastSave="0" documentId="11_0D9408C83ED2D496EF4BCA0737C626486FFF732B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전기" sheetId="5" r:id="rId4"/>
    <sheet name="단위장비1" sheetId="6" r:id="rId5"/>
    <sheet name="단위장비2" sheetId="7" r:id="rId6"/>
    <sheet name="단위장비3" sheetId="8" r:id="rId7"/>
    <sheet name="단위장비4" sheetId="9" r:id="rId8"/>
    <sheet name="단위장비5" sheetId="10" r:id="rId9"/>
    <sheet name="단위장비6" sheetId="11" r:id="rId10"/>
    <sheet name="단위장비7" sheetId="12" r:id="rId11"/>
    <sheet name="단위장비8" sheetId="13" r:id="rId12"/>
    <sheet name="단위장비9" sheetId="14" r:id="rId13"/>
    <sheet name="단위장비10" sheetId="15" r:id="rId14"/>
    <sheet name="첨부(견적조건차이내역)" sheetId="16" r:id="rId15"/>
    <sheet name="Sheet1" sheetId="1" r:id="rId16"/>
  </sheets>
  <definedNames>
    <definedName name="_xlnm._FilterDatabase" localSheetId="4" hidden="1">단위장비1!$A$2:$I$61</definedName>
    <definedName name="_xlnm._FilterDatabase" localSheetId="5" hidden="1">단위장비2!$A$2:$I$65</definedName>
    <definedName name="_xlnm._FilterDatabase" localSheetId="6" hidden="1">단위장비3!$J$2:$J$46</definedName>
    <definedName name="_xlnm._FilterDatabase" localSheetId="7" hidden="1">단위장비4!$J$2:$J$60</definedName>
    <definedName name="_xlnm._FilterDatabase" localSheetId="8" hidden="1">단위장비5!$J$2:$J$44</definedName>
    <definedName name="_xlnm._FilterDatabase" localSheetId="9" hidden="1">단위장비6!$J$2:$J$51</definedName>
    <definedName name="_xlnm._FilterDatabase" localSheetId="10" hidden="1">단위장비7!$J$2:$J$63</definedName>
    <definedName name="_xlnm._FilterDatabase" localSheetId="11" hidden="1">단위장비8!$J$2:$J$71</definedName>
    <definedName name="_xlnm._FilterDatabase" localSheetId="3" hidden="1">전기!$A$2:$I$66</definedName>
    <definedName name="_xlnm.Print_Area" localSheetId="0">갑지!$B$1:$I$37</definedName>
    <definedName name="_xlnm.Print_Area" localSheetId="2">'단위공사별(집계)'!$A$1:$O$20</definedName>
    <definedName name="_xlnm.Print_Area" localSheetId="7">단위장비4!$A$1:$I$60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3" l="1"/>
  <c r="H20" i="13"/>
  <c r="H21" i="13"/>
  <c r="H13" i="13"/>
  <c r="H14" i="13"/>
  <c r="H15" i="13"/>
  <c r="H68" i="15" l="1"/>
  <c r="H67" i="15"/>
  <c r="H66" i="15"/>
  <c r="H65" i="15"/>
  <c r="H64" i="15"/>
  <c r="H69" i="15" s="1"/>
  <c r="H63" i="15"/>
  <c r="H62" i="15"/>
  <c r="H61" i="15"/>
  <c r="E16" i="4" s="1"/>
  <c r="H58" i="15"/>
  <c r="H57" i="15"/>
  <c r="H56" i="15"/>
  <c r="H55" i="15"/>
  <c r="H54" i="15"/>
  <c r="H53" i="15"/>
  <c r="H52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3" i="15"/>
  <c r="H32" i="15"/>
  <c r="H31" i="15"/>
  <c r="H30" i="15"/>
  <c r="H29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73" i="14"/>
  <c r="H72" i="14"/>
  <c r="H71" i="14"/>
  <c r="G15" i="4" s="1"/>
  <c r="H70" i="14"/>
  <c r="H69" i="14"/>
  <c r="H68" i="14"/>
  <c r="F15" i="4" s="1"/>
  <c r="H67" i="14"/>
  <c r="H66" i="14"/>
  <c r="H63" i="14"/>
  <c r="H62" i="14"/>
  <c r="H61" i="14"/>
  <c r="H60" i="14"/>
  <c r="H59" i="14"/>
  <c r="H58" i="14"/>
  <c r="H57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56" i="14" s="1"/>
  <c r="H35" i="14"/>
  <c r="H33" i="14"/>
  <c r="H32" i="14"/>
  <c r="H31" i="14"/>
  <c r="H30" i="14"/>
  <c r="H29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66" i="13"/>
  <c r="H65" i="13"/>
  <c r="H14" i="4" s="1"/>
  <c r="H64" i="13"/>
  <c r="H63" i="13"/>
  <c r="G14" i="4" s="1"/>
  <c r="H62" i="13"/>
  <c r="H61" i="13"/>
  <c r="H60" i="13"/>
  <c r="H59" i="13"/>
  <c r="H56" i="13"/>
  <c r="H55" i="13"/>
  <c r="H54" i="13"/>
  <c r="H53" i="13"/>
  <c r="H52" i="13"/>
  <c r="H51" i="13"/>
  <c r="H50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1" i="13"/>
  <c r="H30" i="13"/>
  <c r="H29" i="13"/>
  <c r="H28" i="13"/>
  <c r="H27" i="13"/>
  <c r="H25" i="13"/>
  <c r="H24" i="13"/>
  <c r="H23" i="13"/>
  <c r="H22" i="13"/>
  <c r="H18" i="13"/>
  <c r="H17" i="13"/>
  <c r="H16" i="13"/>
  <c r="H12" i="13"/>
  <c r="H11" i="13"/>
  <c r="H10" i="13"/>
  <c r="H9" i="13"/>
  <c r="H8" i="13"/>
  <c r="H7" i="13"/>
  <c r="H6" i="13"/>
  <c r="H5" i="13"/>
  <c r="H4" i="13"/>
  <c r="H3" i="13"/>
  <c r="H58" i="12"/>
  <c r="H57" i="12"/>
  <c r="H13" i="4" s="1"/>
  <c r="H56" i="12"/>
  <c r="H55" i="12"/>
  <c r="H54" i="12"/>
  <c r="H53" i="12"/>
  <c r="H52" i="12"/>
  <c r="H51" i="12"/>
  <c r="H48" i="12"/>
  <c r="H47" i="12"/>
  <c r="H46" i="12"/>
  <c r="H45" i="12"/>
  <c r="H44" i="12"/>
  <c r="H43" i="12"/>
  <c r="H42" i="12"/>
  <c r="H49" i="12" s="1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0" i="12"/>
  <c r="H19" i="12"/>
  <c r="H18" i="12"/>
  <c r="H17" i="12"/>
  <c r="H16" i="12"/>
  <c r="H14" i="12"/>
  <c r="H13" i="12"/>
  <c r="H12" i="12"/>
  <c r="H11" i="12"/>
  <c r="H10" i="12"/>
  <c r="H9" i="12"/>
  <c r="H8" i="12"/>
  <c r="H7" i="12"/>
  <c r="H6" i="12"/>
  <c r="H5" i="12"/>
  <c r="H4" i="12"/>
  <c r="H3" i="12"/>
  <c r="H47" i="11"/>
  <c r="H29" i="11"/>
  <c r="H17" i="11"/>
  <c r="H16" i="11"/>
  <c r="H15" i="11"/>
  <c r="H14" i="11"/>
  <c r="H13" i="11"/>
  <c r="H10" i="11"/>
  <c r="H9" i="11"/>
  <c r="H8" i="11"/>
  <c r="H7" i="11"/>
  <c r="H6" i="11"/>
  <c r="H5" i="11"/>
  <c r="H3" i="11"/>
  <c r="H39" i="10"/>
  <c r="H38" i="10"/>
  <c r="H37" i="10"/>
  <c r="G11" i="4" s="1"/>
  <c r="H36" i="10"/>
  <c r="H35" i="10"/>
  <c r="H34" i="10"/>
  <c r="H33" i="10"/>
  <c r="H32" i="10"/>
  <c r="H29" i="10"/>
  <c r="H28" i="10"/>
  <c r="H27" i="10"/>
  <c r="H26" i="10"/>
  <c r="H25" i="10"/>
  <c r="H24" i="10"/>
  <c r="H23" i="10"/>
  <c r="H21" i="10"/>
  <c r="H20" i="10"/>
  <c r="H19" i="10"/>
  <c r="H18" i="10"/>
  <c r="H17" i="10"/>
  <c r="H16" i="10"/>
  <c r="H14" i="10"/>
  <c r="H13" i="10"/>
  <c r="H12" i="10"/>
  <c r="H11" i="10"/>
  <c r="H10" i="10"/>
  <c r="H8" i="10"/>
  <c r="H7" i="10"/>
  <c r="H6" i="10"/>
  <c r="H5" i="10"/>
  <c r="H4" i="10"/>
  <c r="H3" i="10"/>
  <c r="H55" i="9"/>
  <c r="H54" i="9"/>
  <c r="H53" i="9"/>
  <c r="H52" i="9"/>
  <c r="H51" i="9"/>
  <c r="H50" i="9"/>
  <c r="H49" i="9"/>
  <c r="H48" i="9"/>
  <c r="E10" i="4" s="1"/>
  <c r="H45" i="9"/>
  <c r="H44" i="9"/>
  <c r="H43" i="9"/>
  <c r="H42" i="9"/>
  <c r="H41" i="9"/>
  <c r="H40" i="9"/>
  <c r="H39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19" i="9"/>
  <c r="H18" i="9"/>
  <c r="H17" i="9"/>
  <c r="H16" i="9"/>
  <c r="H15" i="9"/>
  <c r="H13" i="9"/>
  <c r="H12" i="9"/>
  <c r="H11" i="9"/>
  <c r="H10" i="9"/>
  <c r="H9" i="9"/>
  <c r="H8" i="9"/>
  <c r="H7" i="9"/>
  <c r="H6" i="9"/>
  <c r="H5" i="9"/>
  <c r="H4" i="9"/>
  <c r="H3" i="9"/>
  <c r="H41" i="8"/>
  <c r="H40" i="8"/>
  <c r="H39" i="8"/>
  <c r="G9" i="4" s="1"/>
  <c r="H38" i="8"/>
  <c r="H37" i="8"/>
  <c r="H36" i="8"/>
  <c r="H35" i="8"/>
  <c r="H34" i="8"/>
  <c r="H31" i="8"/>
  <c r="H30" i="8"/>
  <c r="H29" i="8"/>
  <c r="H28" i="8"/>
  <c r="H27" i="8"/>
  <c r="H26" i="8"/>
  <c r="H25" i="8"/>
  <c r="H23" i="8"/>
  <c r="H22" i="8"/>
  <c r="H21" i="8"/>
  <c r="H24" i="8" s="1"/>
  <c r="H20" i="8"/>
  <c r="H19" i="8"/>
  <c r="H18" i="8"/>
  <c r="H16" i="8"/>
  <c r="H15" i="8"/>
  <c r="H14" i="8"/>
  <c r="H13" i="8"/>
  <c r="H12" i="8"/>
  <c r="H17" i="8" s="1"/>
  <c r="H10" i="8"/>
  <c r="H9" i="8"/>
  <c r="H8" i="8"/>
  <c r="H7" i="8"/>
  <c r="H6" i="8"/>
  <c r="H5" i="8"/>
  <c r="H4" i="8"/>
  <c r="H3" i="8"/>
  <c r="H11" i="8" s="1"/>
  <c r="H60" i="7"/>
  <c r="H59" i="7"/>
  <c r="H8" i="4" s="1"/>
  <c r="H58" i="7"/>
  <c r="H57" i="7"/>
  <c r="H56" i="7"/>
  <c r="H55" i="7"/>
  <c r="H54" i="7"/>
  <c r="F8" i="4" s="1"/>
  <c r="H53" i="7"/>
  <c r="H50" i="7"/>
  <c r="H49" i="7"/>
  <c r="H48" i="7"/>
  <c r="H47" i="7"/>
  <c r="H46" i="7"/>
  <c r="H45" i="7"/>
  <c r="H44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7" i="7"/>
  <c r="H26" i="7"/>
  <c r="H25" i="7"/>
  <c r="H24" i="7"/>
  <c r="H23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56" i="6"/>
  <c r="H55" i="6"/>
  <c r="I18" i="3" s="1"/>
  <c r="H54" i="6"/>
  <c r="H53" i="6"/>
  <c r="H52" i="6"/>
  <c r="H51" i="6"/>
  <c r="H50" i="6"/>
  <c r="F7" i="4" s="1"/>
  <c r="H49" i="6"/>
  <c r="E7" i="4" s="1"/>
  <c r="H46" i="6"/>
  <c r="H45" i="6"/>
  <c r="H44" i="6"/>
  <c r="H43" i="6"/>
  <c r="H42" i="6"/>
  <c r="H41" i="6"/>
  <c r="H40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0" i="6"/>
  <c r="H19" i="6"/>
  <c r="H18" i="6"/>
  <c r="H17" i="6"/>
  <c r="H16" i="6"/>
  <c r="H21" i="6" s="1"/>
  <c r="H14" i="6"/>
  <c r="H13" i="6"/>
  <c r="H12" i="6"/>
  <c r="H11" i="6"/>
  <c r="H10" i="6"/>
  <c r="H9" i="6"/>
  <c r="H8" i="6"/>
  <c r="H7" i="6"/>
  <c r="H6" i="6"/>
  <c r="H5" i="6"/>
  <c r="H4" i="6"/>
  <c r="H3" i="6"/>
  <c r="H61" i="5"/>
  <c r="H60" i="5"/>
  <c r="H59" i="5"/>
  <c r="H58" i="5"/>
  <c r="I28" i="3" s="1"/>
  <c r="H57" i="5"/>
  <c r="I27" i="3" s="1"/>
  <c r="H56" i="5"/>
  <c r="H55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0" i="5"/>
  <c r="H19" i="5"/>
  <c r="H18" i="5"/>
  <c r="H17" i="5"/>
  <c r="H16" i="5"/>
  <c r="H15" i="5"/>
  <c r="H13" i="5"/>
  <c r="H12" i="5"/>
  <c r="H11" i="5"/>
  <c r="H10" i="5"/>
  <c r="H9" i="5"/>
  <c r="H8" i="5"/>
  <c r="H7" i="5"/>
  <c r="H6" i="5"/>
  <c r="H5" i="5"/>
  <c r="H4" i="5"/>
  <c r="H3" i="5"/>
  <c r="L16" i="4"/>
  <c r="H16" i="4"/>
  <c r="G16" i="4"/>
  <c r="F16" i="4"/>
  <c r="B16" i="4"/>
  <c r="K16" i="4" s="1"/>
  <c r="A16" i="4"/>
  <c r="H15" i="4"/>
  <c r="B15" i="4"/>
  <c r="L15" i="4" s="1"/>
  <c r="E14" i="4"/>
  <c r="B14" i="4"/>
  <c r="G13" i="4"/>
  <c r="B13" i="4"/>
  <c r="H12" i="4"/>
  <c r="G12" i="4"/>
  <c r="F12" i="4"/>
  <c r="E12" i="4"/>
  <c r="B12" i="4"/>
  <c r="H11" i="4"/>
  <c r="E11" i="4"/>
  <c r="B11" i="4"/>
  <c r="H10" i="4"/>
  <c r="F10" i="4"/>
  <c r="B10" i="4"/>
  <c r="H9" i="4"/>
  <c r="F9" i="4"/>
  <c r="E9" i="4"/>
  <c r="B9" i="4"/>
  <c r="E8" i="4"/>
  <c r="B8" i="4"/>
  <c r="G7" i="4"/>
  <c r="B7" i="4"/>
  <c r="I31" i="3"/>
  <c r="H31" i="3"/>
  <c r="G31" i="3"/>
  <c r="I30" i="3"/>
  <c r="H30" i="3"/>
  <c r="G30" i="3"/>
  <c r="I29" i="3"/>
  <c r="H29" i="3"/>
  <c r="G29" i="3"/>
  <c r="H28" i="3"/>
  <c r="G28" i="3"/>
  <c r="H27" i="3"/>
  <c r="G27" i="3"/>
  <c r="I26" i="3"/>
  <c r="H26" i="3"/>
  <c r="G26" i="3"/>
  <c r="I25" i="3"/>
  <c r="H25" i="3"/>
  <c r="G25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G7" i="3"/>
  <c r="C26" i="2"/>
  <c r="C25" i="2"/>
  <c r="C24" i="2"/>
  <c r="C23" i="2"/>
  <c r="C22" i="2"/>
  <c r="C21" i="2"/>
  <c r="C20" i="2"/>
  <c r="C19" i="2"/>
  <c r="C18" i="2"/>
  <c r="C17" i="2"/>
  <c r="H14" i="5" l="1"/>
  <c r="H62" i="5"/>
  <c r="I14" i="3"/>
  <c r="H15" i="10"/>
  <c r="H15" i="12"/>
  <c r="I19" i="3"/>
  <c r="H51" i="15"/>
  <c r="H59" i="15"/>
  <c r="H39" i="6"/>
  <c r="H22" i="7"/>
  <c r="H51" i="7"/>
  <c r="H18" i="11"/>
  <c r="H41" i="12"/>
  <c r="H28" i="14"/>
  <c r="H34" i="14"/>
  <c r="H65" i="14" s="1"/>
  <c r="H15" i="6"/>
  <c r="H7" i="4"/>
  <c r="H21" i="5"/>
  <c r="I24" i="3" s="1"/>
  <c r="G8" i="4"/>
  <c r="H46" i="9"/>
  <c r="F11" i="4"/>
  <c r="H64" i="14"/>
  <c r="H28" i="15"/>
  <c r="H34" i="15"/>
  <c r="H74" i="14"/>
  <c r="E15" i="4"/>
  <c r="H28" i="7"/>
  <c r="H9" i="10"/>
  <c r="H21" i="12"/>
  <c r="H59" i="12"/>
  <c r="F14" i="4"/>
  <c r="H47" i="6"/>
  <c r="I9" i="3" s="1"/>
  <c r="H14" i="9"/>
  <c r="H22" i="10"/>
  <c r="I16" i="4"/>
  <c r="I16" i="3"/>
  <c r="H32" i="8"/>
  <c r="H33" i="8" s="1"/>
  <c r="H45" i="8" s="1"/>
  <c r="H20" i="9"/>
  <c r="I10" i="3" s="1"/>
  <c r="H30" i="10"/>
  <c r="H31" i="10" s="1"/>
  <c r="F13" i="4"/>
  <c r="F17" i="4" s="1"/>
  <c r="H42" i="8"/>
  <c r="H40" i="10"/>
  <c r="H42" i="10" s="1"/>
  <c r="M11" i="4" s="1"/>
  <c r="I12" i="3"/>
  <c r="H43" i="7"/>
  <c r="H61" i="7"/>
  <c r="G10" i="4"/>
  <c r="H38" i="9"/>
  <c r="H47" i="9" s="1"/>
  <c r="I15" i="3"/>
  <c r="H57" i="13"/>
  <c r="G17" i="4"/>
  <c r="G18" i="4" s="1"/>
  <c r="H49" i="13"/>
  <c r="H67" i="13"/>
  <c r="H32" i="13"/>
  <c r="H12" i="11"/>
  <c r="H38" i="11" s="1"/>
  <c r="H49" i="11" s="1"/>
  <c r="H70" i="15"/>
  <c r="H75" i="14"/>
  <c r="H26" i="13"/>
  <c r="H53" i="5"/>
  <c r="H54" i="5" s="1"/>
  <c r="H65" i="5" s="1"/>
  <c r="H44" i="8"/>
  <c r="H43" i="10"/>
  <c r="H17" i="4"/>
  <c r="H18" i="4" s="1"/>
  <c r="H50" i="12"/>
  <c r="D11" i="4"/>
  <c r="E17" i="4"/>
  <c r="H52" i="7"/>
  <c r="I32" i="3"/>
  <c r="H63" i="7"/>
  <c r="H56" i="9"/>
  <c r="I17" i="3"/>
  <c r="A7" i="4"/>
  <c r="A8" i="4" s="1"/>
  <c r="A9" i="4" s="1"/>
  <c r="A10" i="4" s="1"/>
  <c r="A11" i="4" s="1"/>
  <c r="A12" i="4" s="1"/>
  <c r="A13" i="4" s="1"/>
  <c r="A14" i="4" s="1"/>
  <c r="A15" i="4"/>
  <c r="I13" i="3"/>
  <c r="E13" i="4"/>
  <c r="I15" i="4"/>
  <c r="K15" i="4"/>
  <c r="H57" i="6"/>
  <c r="H62" i="12" l="1"/>
  <c r="H48" i="6"/>
  <c r="H60" i="6" s="1"/>
  <c r="D9" i="4"/>
  <c r="M9" i="4"/>
  <c r="H60" i="15"/>
  <c r="I20" i="3"/>
  <c r="J39" i="3"/>
  <c r="I8" i="3"/>
  <c r="H58" i="13"/>
  <c r="H70" i="13" s="1"/>
  <c r="I7" i="3"/>
  <c r="H59" i="6"/>
  <c r="D8" i="4"/>
  <c r="D13" i="4"/>
  <c r="H64" i="7"/>
  <c r="H64" i="5"/>
  <c r="D15" i="4"/>
  <c r="M8" i="4"/>
  <c r="P11" i="4"/>
  <c r="D10" i="4"/>
  <c r="D7" i="4"/>
  <c r="I23" i="3"/>
  <c r="H76" i="14"/>
  <c r="J49" i="3"/>
  <c r="I49" i="3" s="1"/>
  <c r="H77" i="14"/>
  <c r="H61" i="12"/>
  <c r="M13" i="4" s="1"/>
  <c r="I36" i="3"/>
  <c r="D12" i="4"/>
  <c r="H50" i="11"/>
  <c r="M12" i="4" s="1"/>
  <c r="P9" i="4"/>
  <c r="H59" i="9"/>
  <c r="H58" i="9"/>
  <c r="D16" i="4" l="1"/>
  <c r="H72" i="15"/>
  <c r="H71" i="15"/>
  <c r="M10" i="4"/>
  <c r="M15" i="4"/>
  <c r="I11" i="3"/>
  <c r="I35" i="3" s="1"/>
  <c r="I37" i="3" s="1"/>
  <c r="H69" i="13"/>
  <c r="M14" i="4" s="1"/>
  <c r="D14" i="4"/>
  <c r="D17" i="4" s="1"/>
  <c r="I41" i="3"/>
  <c r="J48" i="3"/>
  <c r="I48" i="3" s="1"/>
  <c r="I39" i="3" s="1"/>
  <c r="I33" i="3"/>
  <c r="P15" i="4"/>
  <c r="J15" i="4"/>
  <c r="N15" i="4" s="1"/>
  <c r="P13" i="4"/>
  <c r="P8" i="4"/>
  <c r="P10" i="4"/>
  <c r="M7" i="4"/>
  <c r="P7" i="4" s="1"/>
  <c r="I21" i="3"/>
  <c r="H78" i="14"/>
  <c r="H66" i="5"/>
  <c r="P12" i="4"/>
  <c r="I34" i="3"/>
  <c r="I40" i="3" l="1"/>
  <c r="M16" i="4"/>
  <c r="H73" i="15"/>
  <c r="P14" i="4"/>
  <c r="J16" i="4"/>
  <c r="N16" i="4" s="1"/>
  <c r="P16" i="4"/>
  <c r="P17" i="4" s="1"/>
  <c r="K13" i="4" s="1"/>
  <c r="I22" i="3"/>
  <c r="I42" i="3" s="1"/>
  <c r="M17" i="4"/>
  <c r="E25" i="2"/>
  <c r="H25" i="2"/>
  <c r="G25" i="2"/>
  <c r="C33" i="2"/>
  <c r="E26" i="2" l="1"/>
  <c r="H26" i="2"/>
  <c r="G26" i="2"/>
  <c r="I7" i="4"/>
  <c r="J7" i="4" s="1"/>
  <c r="I13" i="4"/>
  <c r="J13" i="4" s="1"/>
  <c r="I14" i="4"/>
  <c r="J14" i="4" s="1"/>
  <c r="I8" i="4"/>
  <c r="J8" i="4" s="1"/>
  <c r="K8" i="4"/>
  <c r="K7" i="4"/>
  <c r="I10" i="4"/>
  <c r="J10" i="4" s="1"/>
  <c r="K12" i="4"/>
  <c r="L9" i="4"/>
  <c r="K11" i="4"/>
  <c r="I11" i="4"/>
  <c r="J11" i="4" s="1"/>
  <c r="I9" i="4"/>
  <c r="J9" i="4" s="1"/>
  <c r="K9" i="4"/>
  <c r="K10" i="4"/>
  <c r="K14" i="4"/>
  <c r="L7" i="4"/>
  <c r="L10" i="4"/>
  <c r="L14" i="4"/>
  <c r="L8" i="4"/>
  <c r="L13" i="4"/>
  <c r="L12" i="4"/>
  <c r="I12" i="4"/>
  <c r="J12" i="4" s="1"/>
  <c r="L11" i="4"/>
  <c r="H60" i="12" l="1"/>
  <c r="H63" i="12" s="1"/>
  <c r="H68" i="13"/>
  <c r="H71" i="13" s="1"/>
  <c r="H62" i="7"/>
  <c r="H65" i="7" s="1"/>
  <c r="H57" i="9"/>
  <c r="H60" i="9" s="1"/>
  <c r="N11" i="4"/>
  <c r="H21" i="2" s="1"/>
  <c r="H48" i="11"/>
  <c r="H51" i="11" s="1"/>
  <c r="N14" i="4"/>
  <c r="E24" i="2" s="1"/>
  <c r="H43" i="8"/>
  <c r="H46" i="8" s="1"/>
  <c r="H41" i="10"/>
  <c r="H44" i="10" s="1"/>
  <c r="I17" i="4"/>
  <c r="J17" i="4" s="1"/>
  <c r="K17" i="4"/>
  <c r="N9" i="4"/>
  <c r="G19" i="2" s="1"/>
  <c r="N10" i="4"/>
  <c r="G20" i="2" s="1"/>
  <c r="N12" i="4"/>
  <c r="E22" i="2" s="1"/>
  <c r="H58" i="6"/>
  <c r="H61" i="6" s="1"/>
  <c r="L17" i="4"/>
  <c r="N8" i="4"/>
  <c r="N7" i="4"/>
  <c r="N13" i="4"/>
  <c r="G21" i="2" l="1"/>
  <c r="E21" i="2"/>
  <c r="G24" i="2"/>
  <c r="H24" i="2"/>
  <c r="H20" i="2"/>
  <c r="G22" i="2"/>
  <c r="H22" i="2"/>
  <c r="E20" i="2"/>
  <c r="H19" i="2"/>
  <c r="E19" i="2"/>
  <c r="G23" i="2"/>
  <c r="H23" i="2"/>
  <c r="E23" i="2"/>
  <c r="F17" i="2"/>
  <c r="F27" i="2" s="1"/>
  <c r="E17" i="2"/>
  <c r="N17" i="4"/>
  <c r="J18" i="4" s="1"/>
  <c r="H17" i="2"/>
  <c r="G17" i="2"/>
  <c r="E18" i="2"/>
  <c r="H18" i="2"/>
  <c r="G18" i="2"/>
  <c r="G27" i="2" l="1"/>
  <c r="H27" i="2"/>
  <c r="G13" i="2" s="1"/>
  <c r="E27" i="2"/>
  <c r="N18" i="4"/>
  <c r="E18" i="4"/>
  <c r="F18" i="4"/>
  <c r="N20" i="4"/>
  <c r="D18" i="4"/>
  <c r="M18" i="4"/>
  <c r="K18" i="4"/>
  <c r="I18" i="4"/>
  <c r="L18" i="4"/>
  <c r="D13" i="2" l="1"/>
</calcChain>
</file>

<file path=xl/sharedStrings.xml><?xml version="1.0" encoding="utf-8"?>
<sst xmlns="http://schemas.openxmlformats.org/spreadsheetml/2006/main" count="768" uniqueCount="263">
  <si>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</si>
  <si>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</si>
  <si>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</si>
  <si>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㈜ 지이엠</t>
    <phoneticPr fontId="3" type="noConversion"/>
  </si>
  <si>
    <t>견적일자</t>
    <phoneticPr fontId="3" type="noConversion"/>
  </si>
  <si>
    <t>대표 : 송 칠 영 (인)</t>
    <phoneticPr fontId="3" type="noConversion"/>
  </si>
  <si>
    <t>견적번호</t>
    <phoneticPr fontId="3" type="noConversion"/>
  </si>
  <si>
    <t>GD260112-001</t>
    <phoneticPr fontId="3" type="noConversion"/>
  </si>
  <si>
    <t>주소 : 경남 창원시 성산구</t>
    <phoneticPr fontId="3" type="noConversion"/>
  </si>
  <si>
    <t>납기</t>
    <phoneticPr fontId="3" type="noConversion"/>
  </si>
  <si>
    <t>입하</t>
    <phoneticPr fontId="3" type="noConversion"/>
  </si>
  <si>
    <t>2026 년   월   일</t>
    <phoneticPr fontId="3" type="noConversion"/>
  </si>
  <si>
    <t xml:space="preserve">          창원대로 1144번길 56</t>
    <phoneticPr fontId="3" type="noConversion"/>
  </si>
  <si>
    <t>최종검수</t>
    <phoneticPr fontId="3" type="noConversion"/>
  </si>
  <si>
    <t>전화 : 055-282-9488</t>
    <phoneticPr fontId="3" type="noConversion"/>
  </si>
  <si>
    <t>견적유효기간</t>
    <phoneticPr fontId="3" type="noConversion"/>
  </si>
  <si>
    <t>제출후 30 일</t>
    <phoneticPr fontId="3" type="noConversion"/>
  </si>
  <si>
    <t>Fax : 055-282-9484/9490</t>
    <phoneticPr fontId="3" type="noConversion"/>
  </si>
  <si>
    <t>인도장소</t>
    <phoneticPr fontId="3" type="noConversion"/>
  </si>
  <si>
    <t>귀사 지정장소</t>
    <phoneticPr fontId="3" type="noConversion"/>
  </si>
  <si>
    <t>견적담당 : 김 훈 과장</t>
    <phoneticPr fontId="3" type="noConversion"/>
  </si>
  <si>
    <t>지불조건</t>
    <phoneticPr fontId="3" type="noConversion"/>
  </si>
  <si>
    <t>협의사항</t>
    <phoneticPr fontId="3" type="noConversion"/>
  </si>
  <si>
    <t>연 락 처 : 010-9374-2674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</si>
  <si>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</si>
  <si>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</si>
  <si>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</si>
  <si>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</si>
  <si>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charset val="129"/>
        <scheme val="minor"/>
      </rPr>
      <t>(천원)</t>
    </r>
    <phoneticPr fontId="3" type="noConversion"/>
  </si>
  <si>
    <t>비  고</t>
    <phoneticPr fontId="3" type="noConversion"/>
  </si>
  <si>
    <t>기계부문</t>
    <phoneticPr fontId="3" type="noConversion"/>
  </si>
  <si>
    <t>전기부문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</si>
  <si>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</si>
  <si>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</si>
  <si>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</si>
  <si>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</si>
  <si>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</si>
  <si>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</si>
  <si>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</si>
  <si>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</si>
  <si>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</si>
  <si>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</si>
  <si>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</si>
  <si>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</si>
  <si>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</si>
  <si>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</si>
  <si>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</si>
  <si>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</si>
  <si>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</si>
  <si>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</si>
  <si>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</si>
  <si>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charset val="129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</si>
  <si>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charset val="129"/>
        <scheme val="minor"/>
      </rPr>
      <t xml:space="preserve"> 고</t>
    </r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</si>
  <si>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</si>
  <si>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</si>
  <si>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charset val="129"/>
        <scheme val="minor"/>
      </rPr>
      <t>SS.SUS등)</t>
    </r>
    <phoneticPr fontId="3" type="noConversion"/>
  </si>
  <si>
    <t>kg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</si>
  <si>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</si>
  <si>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</si>
  <si>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</si>
  <si>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</si>
  <si>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</si>
  <si>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charset val="129"/>
        <scheme val="minor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</si>
  <si>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</si>
  <si>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</si>
  <si>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</si>
  <si>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</si>
  <si>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</si>
  <si>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</si>
  <si>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</si>
  <si>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</si>
  <si>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</si>
  <si>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</si>
  <si>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</si>
  <si>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</si>
  <si>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</si>
  <si>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</si>
  <si>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</si>
  <si>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</si>
  <si>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</si>
  <si>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</si>
  <si>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</si>
  <si>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</si>
  <si>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</si>
  <si>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</si>
  <si>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</si>
  <si>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</si>
  <si>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</si>
  <si>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</si>
  <si>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rFont val="굴림"/>
        <family val="3"/>
        <charset val="129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</si>
  <si>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</si>
  <si>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</si>
  <si>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</si>
  <si>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</si>
  <si>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</si>
  <si>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</si>
  <si>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3~7항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</si>
  <si>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charset val="129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</si>
  <si>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</si>
  <si>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charset val="129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</si>
  <si>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</si>
  <si>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</si>
  <si>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</si>
  <si>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</si>
  <si>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</si>
  <si>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</si>
  <si>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</si>
  <si>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</si>
  <si>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</si>
  <si>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charset val="129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</si>
  <si>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</si>
  <si>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</si>
  <si>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</si>
  <si>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</si>
  <si>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</si>
  <si>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</si>
  <si>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</si>
  <si>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</si>
  <si>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</si>
  <si>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</si>
  <si>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</si>
  <si>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</si>
  <si>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</si>
  <si>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</si>
  <si>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</si>
  <si>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</si>
  <si>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</si>
  <si>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t>□ 전기부문: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</si>
  <si>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</si>
  <si>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</si>
  <si>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</si>
  <si>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</si>
  <si>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</si>
  <si>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</si>
  <si>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</si>
  <si>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</si>
  <si>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</si>
  <si>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JOINT BOX</t>
  </si>
  <si>
    <t>EA</t>
  </si>
  <si>
    <t>명판</t>
  </si>
  <si>
    <t>식</t>
  </si>
  <si>
    <t>꼬리표/인식 LABEL</t>
  </si>
  <si>
    <t>도장비 및 잡자재</t>
  </si>
  <si>
    <t>설치/해체/</t>
    <phoneticPr fontId="3" type="noConversion"/>
  </si>
  <si>
    <t>시운전 공사</t>
    <phoneticPr fontId="3" type="noConversion"/>
  </si>
  <si>
    <t>자재</t>
    <phoneticPr fontId="3" type="noConversion"/>
  </si>
  <si>
    <t>전기자재</t>
    <phoneticPr fontId="3" type="noConversion"/>
  </si>
  <si>
    <r>
      <t>■ 전기</t>
    </r>
    <r>
      <rPr>
        <sz val="11"/>
        <color theme="1"/>
        <rFont val="맑은 고딕"/>
        <family val="2"/>
        <charset val="129"/>
        <scheme val="minor"/>
      </rPr>
      <t xml:space="preserve"> 구매품</t>
    </r>
    <phoneticPr fontId="3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</si>
  <si>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OWER LAMP</t>
    </r>
    <phoneticPr fontId="3" type="noConversion"/>
  </si>
  <si>
    <t>50파이</t>
    <phoneticPr fontId="3" type="noConversion"/>
  </si>
  <si>
    <t xml:space="preserve"> -COMMUNICATION UNIT</t>
  </si>
  <si>
    <t>QJ71C24N-R2</t>
  </si>
  <si>
    <t>REALY BOARD</t>
  </si>
  <si>
    <t>R4T-G6D</t>
  </si>
  <si>
    <t>CONTROL CABLE</t>
    <phoneticPr fontId="3" type="noConversion"/>
  </si>
  <si>
    <t>AWG 18 외</t>
  </si>
  <si>
    <t>FLEXIBLE CONNECT</t>
  </si>
  <si>
    <t>16파이</t>
  </si>
  <si>
    <t>기타 잡자재</t>
  </si>
  <si>
    <t>■ 국내 인건비</t>
    <phoneticPr fontId="3" type="noConversion"/>
  </si>
  <si>
    <t>하드웨어 설계</t>
    <phoneticPr fontId="3" type="noConversion"/>
  </si>
  <si>
    <t>1인x10일</t>
    <phoneticPr fontId="3" type="noConversion"/>
  </si>
  <si>
    <t>PLC&amp;HMI 설계</t>
    <phoneticPr fontId="3" type="noConversion"/>
  </si>
  <si>
    <t>1인x15일</t>
    <phoneticPr fontId="3" type="noConversion"/>
  </si>
  <si>
    <t>PC 프로그램</t>
    <phoneticPr fontId="3" type="noConversion"/>
  </si>
  <si>
    <t>자재비 소계</t>
    <phoneticPr fontId="3" type="noConversion"/>
  </si>
  <si>
    <t>노
무
비</t>
    <phoneticPr fontId="3" type="noConversion"/>
  </si>
  <si>
    <t>작화. PROGRAM 비</t>
    <phoneticPr fontId="3" type="noConversion"/>
  </si>
  <si>
    <t>M/D</t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</si>
  <si>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</si>
  <si>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</si>
  <si>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</si>
  <si>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</si>
  <si>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전기 양산대응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</si>
  <si>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</si>
  <si>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</si>
  <si>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* 기계부문에 포함시킴</t>
    <phoneticPr fontId="3" type="noConversion"/>
  </si>
  <si>
    <t>이         윤</t>
    <phoneticPr fontId="3" type="noConversion"/>
  </si>
  <si>
    <t>합         계</t>
    <phoneticPr fontId="3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</si>
  <si>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</si>
  <si>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#10 BJ BALL 조립</t>
    <phoneticPr fontId="3" type="noConversion"/>
  </si>
  <si>
    <t>설치/해체/시운전</t>
    <phoneticPr fontId="3" type="noConversion"/>
  </si>
  <si>
    <t>공사 관련 자재</t>
    <phoneticPr fontId="3" type="noConversion"/>
  </si>
  <si>
    <t>구매품</t>
    <phoneticPr fontId="3" type="noConversion"/>
  </si>
  <si>
    <t>(유공압품외)</t>
    <phoneticPr fontId="3" type="noConversion"/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</si>
  <si>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</si>
  <si>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</si>
  <si>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</si>
  <si>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</si>
  <si>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</si>
  <si>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</si>
  <si>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</si>
  <si>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운반및중장비사용</t>
    <phoneticPr fontId="3" type="noConversion"/>
  </si>
  <si>
    <t>#20 S/RING 압입기, 토크측정기</t>
    <phoneticPr fontId="3" type="noConversion"/>
  </si>
  <si>
    <t>기계 양산대응</t>
  </si>
  <si>
    <t>기계 도장</t>
  </si>
  <si>
    <t>#30-BJ 나사검사, 비젼검사, 그리스 주입</t>
    <phoneticPr fontId="3" type="noConversion"/>
  </si>
  <si>
    <t>#40 TJ 서브조립기</t>
    <phoneticPr fontId="3" type="noConversion"/>
  </si>
  <si>
    <t>■ 레이저 마킹공정 추가</t>
  </si>
  <si>
    <t xml:space="preserve"> COULMN</t>
  </si>
  <si>
    <t>ST</t>
  </si>
  <si>
    <t xml:space="preserve"> MARKING UNIT</t>
  </si>
  <si>
    <t>기타자재</t>
    <phoneticPr fontId="3" type="noConversion"/>
  </si>
  <si>
    <t>ST</t>
    <phoneticPr fontId="3" type="noConversion"/>
  </si>
  <si>
    <t>마킹장치</t>
    <phoneticPr fontId="3" type="noConversion"/>
  </si>
  <si>
    <t>도트마킹</t>
    <phoneticPr fontId="3" type="noConversion"/>
  </si>
  <si>
    <t>센서류</t>
    <phoneticPr fontId="3" type="noConversion"/>
  </si>
  <si>
    <t>OMRON</t>
    <phoneticPr fontId="3" type="noConversion"/>
  </si>
  <si>
    <t>직동류</t>
    <phoneticPr fontId="3" type="noConversion"/>
  </si>
  <si>
    <t>THK</t>
    <phoneticPr fontId="3" type="noConversion"/>
  </si>
  <si>
    <t>서보모터</t>
  </si>
  <si>
    <t>MITSUBISHI</t>
  </si>
  <si>
    <t>■ 일반 자재류</t>
  </si>
  <si>
    <t xml:space="preserve"> - SOL Valve</t>
  </si>
  <si>
    <t xml:space="preserve"> - Manifold</t>
  </si>
  <si>
    <t xml:space="preserve"> - 피팅류</t>
  </si>
  <si>
    <t xml:space="preserve"> - 배관자재</t>
  </si>
  <si>
    <t xml:space="preserve"> - 일반자재</t>
  </si>
  <si>
    <t>일반구매품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</si>
  <si>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</si>
  <si>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#50 DAMPER 조립기, BOOT 조립기</t>
    <phoneticPr fontId="3" type="noConversion"/>
  </si>
  <si>
    <t>기계 가공</t>
    <phoneticPr fontId="3" type="noConversion"/>
  </si>
  <si>
    <t>#60 SHAFT 가조립~밴드체결</t>
    <phoneticPr fontId="3" type="noConversion"/>
  </si>
  <si>
    <t>GREASE SYSTEM</t>
    <phoneticPr fontId="3" type="noConversion"/>
  </si>
  <si>
    <t>GREASE MANIFOLD</t>
    <phoneticPr fontId="3" type="noConversion"/>
  </si>
  <si>
    <t>GREASE PUMP</t>
    <phoneticPr fontId="3" type="noConversion"/>
  </si>
  <si>
    <t>구형</t>
    <phoneticPr fontId="3" type="noConversion"/>
  </si>
  <si>
    <t>GRACO</t>
    <phoneticPr fontId="3" type="noConversion"/>
  </si>
  <si>
    <t>정량밸브</t>
    <phoneticPr fontId="3" type="noConversion"/>
  </si>
  <si>
    <t>배관자재류</t>
  </si>
  <si>
    <t>200m</t>
  </si>
  <si>
    <t>기타구매품</t>
    <phoneticPr fontId="3" type="noConversion"/>
  </si>
  <si>
    <t>인도 출장비</t>
    <phoneticPr fontId="3" type="noConversion"/>
  </si>
  <si>
    <t>기계</t>
  </si>
  <si>
    <t>설치</t>
  </si>
  <si>
    <t>3인x5일</t>
    <phoneticPr fontId="3" type="noConversion"/>
  </si>
  <si>
    <t>시운전</t>
  </si>
  <si>
    <t>1인x5일</t>
  </si>
  <si>
    <t>출장 이동</t>
  </si>
  <si>
    <t>전기</t>
  </si>
  <si>
    <t>하드웨어 배선</t>
  </si>
  <si>
    <t>2인x4일</t>
    <phoneticPr fontId="3" type="noConversion"/>
  </si>
  <si>
    <t>시운전(PLC)</t>
  </si>
  <si>
    <t>1인x5일</t>
    <phoneticPr fontId="3" type="noConversion"/>
  </si>
  <si>
    <t>시운전(PC)</t>
  </si>
  <si>
    <t>1인x3일</t>
    <phoneticPr fontId="3" type="noConversion"/>
  </si>
  <si>
    <t>4인x3일</t>
    <phoneticPr fontId="3" type="noConversion"/>
  </si>
  <si>
    <t>AIR TICKET</t>
  </si>
  <si>
    <t>숙박비 및 식대</t>
  </si>
  <si>
    <t>차량대여</t>
  </si>
  <si>
    <t>국내 교통 및 식대</t>
    <phoneticPr fontId="3" type="noConversion"/>
  </si>
  <si>
    <t>국내 교통 및 식대</t>
  </si>
  <si>
    <t>■양산대기(7일기준)</t>
    <phoneticPr fontId="3" type="noConversion"/>
  </si>
  <si>
    <t>※ 현대/기아차의 요구사양과 업체견적사양이 다른경우만 작성</t>
    <phoneticPr fontId="3" type="noConversion"/>
  </si>
  <si>
    <t>현대/기아차 요구사양대비 견적조건 상이내역</t>
    <phoneticPr fontId="3" type="noConversion"/>
  </si>
  <si>
    <t>항   목</t>
    <phoneticPr fontId="3" type="noConversion"/>
  </si>
  <si>
    <t>현대/기아차 요구사양</t>
    <phoneticPr fontId="3" type="noConversion"/>
  </si>
  <si>
    <t>업체 견적기준 사양</t>
    <phoneticPr fontId="3" type="noConversion"/>
  </si>
  <si>
    <t>양산대기(7일기준)</t>
  </si>
  <si>
    <t>PC</t>
  </si>
  <si>
    <t>1인x7일</t>
  </si>
  <si>
    <t>3인x3일</t>
  </si>
  <si>
    <t>3인x3일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</si>
</sst>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_);[Red]\(0\)"/>
    <numFmt numFmtId="182" formatCode="0.0\K\G"/>
    <numFmt numFmtId="183" formatCode="0_ 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4">
    <xf numFmtId="0" fontId="0" fillId="0" borderId="0" xfId="0">
      <alignment vertical="center"/>
    </xf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76" fontId="1" fillId="0" borderId="24" xfId="1" applyNumberFormat="1" applyBorder="1" applyAlignment="1">
      <alignment horizontal="right" vertical="center"/>
    </xf>
    <xf numFmtId="176" fontId="1" fillId="0" borderId="25" xfId="1" applyNumberFormat="1" applyBorder="1" applyAlignment="1">
      <alignment horizontal="right" vertical="center"/>
    </xf>
    <xf numFmtId="0" fontId="1" fillId="0" borderId="26" xfId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0" xfId="1" applyNumberFormat="1" applyBorder="1" applyAlignment="1">
      <alignment horizontal="right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1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179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179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7" fillId="0" borderId="62" xfId="1" applyNumberFormat="1" applyFont="1" applyBorder="1" applyAlignment="1">
      <alignment horizontal="center" vertical="center"/>
    </xf>
    <xf numFmtId="179" fontId="1" fillId="0" borderId="62" xfId="1" applyNumberFormat="1" applyBorder="1" applyAlignment="1">
      <alignment horizontal="right" vertical="center"/>
    </xf>
    <xf numFmtId="179" fontId="1" fillId="0" borderId="62" xfId="1" applyNumberForma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vertical="center"/>
    </xf>
    <xf numFmtId="3" fontId="1" fillId="0" borderId="30" xfId="1" applyNumberFormat="1" applyBorder="1" applyAlignment="1">
      <alignment vertical="center"/>
    </xf>
    <xf numFmtId="179" fontId="1" fillId="0" borderId="6" xfId="1" applyNumberFormat="1" applyBorder="1" applyAlignment="1">
      <alignment horizontal="right" vertical="center"/>
    </xf>
    <xf numFmtId="3" fontId="1" fillId="5" borderId="6" xfId="1" applyNumberFormat="1" applyFill="1" applyBorder="1" applyAlignment="1">
      <alignment horizontal="center" vertical="center"/>
    </xf>
    <xf numFmtId="3" fontId="17" fillId="5" borderId="6" xfId="1" applyNumberFormat="1" applyFont="1" applyFill="1" applyBorder="1" applyAlignment="1">
      <alignment horizontal="center" vertical="center"/>
    </xf>
    <xf numFmtId="179" fontId="1" fillId="5" borderId="6" xfId="1" applyNumberFormat="1" applyFill="1" applyBorder="1" applyAlignment="1">
      <alignment horizontal="right" vertical="center"/>
    </xf>
    <xf numFmtId="179" fontId="1" fillId="5" borderId="6" xfId="1" applyNumberFormat="1" applyFill="1" applyBorder="1" applyAlignment="1">
      <alignment vertical="center"/>
    </xf>
    <xf numFmtId="3" fontId="1" fillId="0" borderId="64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3" fontId="1" fillId="0" borderId="4" xfId="1" applyNumberFormat="1" applyBorder="1" applyAlignment="1">
      <alignment horizontal="left" vertical="center"/>
    </xf>
    <xf numFmtId="3" fontId="1" fillId="0" borderId="3" xfId="1" applyNumberFormat="1" applyBorder="1" applyAlignment="1">
      <alignment horizontal="center" vertical="center"/>
    </xf>
    <xf numFmtId="179" fontId="6" fillId="0" borderId="19" xfId="1" applyNumberFormat="1" applyFon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2" xfId="1" applyNumberFormat="1" applyFont="1" applyBorder="1" applyAlignment="1">
      <alignment vertical="center"/>
    </xf>
    <xf numFmtId="3" fontId="1" fillId="0" borderId="69" xfId="1" applyNumberFormat="1" applyBorder="1" applyAlignment="1">
      <alignment vertical="center"/>
    </xf>
    <xf numFmtId="3" fontId="1" fillId="0" borderId="24" xfId="1" applyNumberFormat="1" applyBorder="1" applyAlignment="1">
      <alignment horizontal="center" vertical="center"/>
    </xf>
    <xf numFmtId="3" fontId="17" fillId="0" borderId="24" xfId="1" applyNumberFormat="1" applyFont="1" applyBorder="1" applyAlignment="1">
      <alignment horizontal="center" vertical="center"/>
    </xf>
    <xf numFmtId="179" fontId="1" fillId="0" borderId="24" xfId="1" applyNumberFormat="1" applyBorder="1" applyAlignment="1">
      <alignment vertical="center"/>
    </xf>
    <xf numFmtId="3" fontId="1" fillId="0" borderId="25" xfId="1" applyNumberFormat="1" applyBorder="1" applyAlignment="1">
      <alignment vertical="center"/>
    </xf>
    <xf numFmtId="3" fontId="17" fillId="5" borderId="62" xfId="1" applyNumberFormat="1" applyFont="1" applyFill="1" applyBorder="1" applyAlignment="1">
      <alignment horizontal="center" vertical="center"/>
    </xf>
    <xf numFmtId="179" fontId="1" fillId="5" borderId="62" xfId="1" applyNumberFormat="1" applyFill="1" applyBorder="1" applyAlignment="1">
      <alignment vertical="center"/>
    </xf>
    <xf numFmtId="179" fontId="6" fillId="0" borderId="24" xfId="1" applyNumberFormat="1" applyFont="1" applyBorder="1" applyAlignment="1">
      <alignment vertical="center"/>
    </xf>
    <xf numFmtId="179" fontId="6" fillId="0" borderId="76" xfId="1" applyNumberFormat="1" applyFon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78" xfId="1" applyNumberFormat="1" applyBorder="1" applyAlignment="1">
      <alignment horizontal="center" vertical="center"/>
    </xf>
    <xf numFmtId="179" fontId="6" fillId="4" borderId="82" xfId="1" applyNumberFormat="1" applyFont="1" applyFill="1" applyBorder="1" applyAlignment="1">
      <alignment vertical="center"/>
    </xf>
    <xf numFmtId="3" fontId="1" fillId="0" borderId="83" xfId="1" applyNumberFormat="1" applyBorder="1" applyAlignment="1">
      <alignment vertical="center"/>
    </xf>
    <xf numFmtId="4" fontId="24" fillId="0" borderId="0" xfId="1" applyNumberFormat="1" applyFont="1" applyAlignment="1">
      <alignment vertical="center"/>
    </xf>
    <xf numFmtId="3" fontId="1" fillId="0" borderId="29" xfId="1" applyNumberFormat="1" applyBorder="1" applyAlignment="1">
      <alignment horizontal="center" vertical="center"/>
    </xf>
    <xf numFmtId="179" fontId="6" fillId="0" borderId="62" xfId="1" applyNumberFormat="1" applyFont="1" applyBorder="1" applyAlignment="1">
      <alignment vertical="center"/>
    </xf>
    <xf numFmtId="3" fontId="17" fillId="5" borderId="30" xfId="1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left" vertical="center"/>
    </xf>
    <xf numFmtId="179" fontId="6" fillId="0" borderId="86" xfId="1" applyNumberFormat="1" applyFont="1" applyBorder="1" applyAlignment="1">
      <alignment vertical="center"/>
    </xf>
    <xf numFmtId="3" fontId="1" fillId="0" borderId="88" xfId="1" applyNumberFormat="1" applyBorder="1" applyAlignment="1">
      <alignment vertical="center"/>
    </xf>
    <xf numFmtId="179" fontId="1" fillId="0" borderId="6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vertical="center"/>
    </xf>
    <xf numFmtId="3" fontId="1" fillId="5" borderId="6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25" fillId="0" borderId="50" xfId="1" applyFont="1" applyBorder="1" applyAlignment="1">
      <alignment horizontal="center" vertical="center"/>
    </xf>
    <xf numFmtId="0" fontId="25" fillId="0" borderId="53" xfId="1" applyFont="1" applyBorder="1" applyAlignment="1">
      <alignment horizontal="center" vertical="center"/>
    </xf>
    <xf numFmtId="0" fontId="25" fillId="0" borderId="54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25" fillId="0" borderId="55" xfId="1" applyFont="1" applyBorder="1" applyAlignment="1">
      <alignment horizontal="center" vertical="center"/>
    </xf>
    <xf numFmtId="0" fontId="25" fillId="0" borderId="59" xfId="1" applyFont="1" applyBorder="1" applyAlignment="1">
      <alignment horizontal="center" vertical="center"/>
    </xf>
    <xf numFmtId="0" fontId="25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176" fontId="1" fillId="0" borderId="97" xfId="1" applyNumberFormat="1" applyBorder="1" applyAlignment="1">
      <alignment horizontal="center" vertical="center"/>
    </xf>
    <xf numFmtId="176" fontId="1" fillId="0" borderId="97" xfId="1" applyNumberFormat="1" applyBorder="1" applyAlignment="1">
      <alignment horizontal="left" vertical="center"/>
    </xf>
    <xf numFmtId="176" fontId="25" fillId="0" borderId="98" xfId="1" applyNumberFormat="1" applyFont="1" applyBorder="1" applyAlignment="1">
      <alignment vertical="center"/>
    </xf>
    <xf numFmtId="176" fontId="25" fillId="0" borderId="99" xfId="1" applyNumberFormat="1" applyFont="1" applyBorder="1" applyAlignment="1">
      <alignment vertical="center"/>
    </xf>
    <xf numFmtId="176" fontId="25" fillId="0" borderId="100" xfId="1" applyNumberFormat="1" applyFont="1" applyBorder="1" applyAlignment="1">
      <alignment vertical="center"/>
    </xf>
    <xf numFmtId="176" fontId="1" fillId="0" borderId="101" xfId="1" applyNumberFormat="1" applyBorder="1" applyAlignment="1">
      <alignment vertical="center"/>
    </xf>
    <xf numFmtId="176" fontId="1" fillId="0" borderId="99" xfId="1" applyNumberFormat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176" fontId="1" fillId="0" borderId="104" xfId="1" applyNumberFormat="1" applyBorder="1" applyAlignment="1">
      <alignment vertical="center"/>
    </xf>
    <xf numFmtId="176" fontId="1" fillId="0" borderId="26" xfId="1" applyNumberFormat="1" applyBorder="1" applyAlignment="1">
      <alignment horizontal="center" vertical="center"/>
    </xf>
    <xf numFmtId="176" fontId="1" fillId="0" borderId="26" xfId="1" applyNumberFormat="1" applyBorder="1" applyAlignment="1">
      <alignment horizontal="left" vertical="center"/>
    </xf>
    <xf numFmtId="176" fontId="25" fillId="0" borderId="29" xfId="1" applyNumberFormat="1" applyFont="1" applyBorder="1" applyAlignment="1">
      <alignment vertical="center"/>
    </xf>
    <xf numFmtId="176" fontId="25" fillId="0" borderId="6" xfId="1" applyNumberFormat="1" applyFont="1" applyBorder="1" applyAlignment="1">
      <alignment vertical="center"/>
    </xf>
    <xf numFmtId="176" fontId="25" fillId="0" borderId="30" xfId="1" applyNumberFormat="1" applyFon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105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28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left" vertical="center"/>
    </xf>
    <xf numFmtId="176" fontId="25" fillId="0" borderId="107" xfId="1" applyNumberFormat="1" applyFont="1" applyBorder="1" applyAlignment="1">
      <alignment vertical="center"/>
    </xf>
    <xf numFmtId="176" fontId="25" fillId="0" borderId="32" xfId="1" applyNumberFormat="1" applyFont="1" applyBorder="1" applyAlignment="1">
      <alignment vertical="center"/>
    </xf>
    <xf numFmtId="176" fontId="25" fillId="0" borderId="69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49" xfId="1" applyNumberFormat="1" applyBorder="1" applyAlignment="1">
      <alignment vertical="center"/>
    </xf>
    <xf numFmtId="176" fontId="25" fillId="0" borderId="50" xfId="1" applyNumberFormat="1" applyFont="1" applyBorder="1" applyAlignment="1">
      <alignment vertical="center"/>
    </xf>
    <xf numFmtId="176" fontId="25" fillId="0" borderId="53" xfId="1" applyNumberFormat="1" applyFont="1" applyBorder="1" applyAlignment="1">
      <alignment vertical="center"/>
    </xf>
    <xf numFmtId="176" fontId="25" fillId="0" borderId="54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horizontal="center" vertical="center"/>
    </xf>
    <xf numFmtId="176" fontId="6" fillId="0" borderId="53" xfId="1" applyNumberFormat="1" applyFont="1" applyBorder="1" applyAlignment="1">
      <alignment vertical="center"/>
    </xf>
    <xf numFmtId="176" fontId="6" fillId="0" borderId="89" xfId="1" applyNumberFormat="1" applyFont="1" applyBorder="1" applyAlignment="1">
      <alignment vertical="center"/>
    </xf>
    <xf numFmtId="176" fontId="6" fillId="0" borderId="110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26" fillId="0" borderId="66" xfId="2" applyFont="1" applyBorder="1" applyAlignment="1">
      <alignment vertical="center"/>
    </xf>
    <xf numFmtId="9" fontId="26" fillId="0" borderId="111" xfId="2" applyFont="1" applyBorder="1" applyAlignment="1">
      <alignment vertical="center"/>
    </xf>
    <xf numFmtId="9" fontId="26" fillId="0" borderId="112" xfId="2" applyFont="1" applyBorder="1" applyAlignment="1">
      <alignment vertical="center"/>
    </xf>
    <xf numFmtId="9" fontId="17" fillId="0" borderId="113" xfId="2" applyFont="1" applyBorder="1" applyAlignment="1">
      <alignment vertical="center"/>
    </xf>
    <xf numFmtId="9" fontId="17" fillId="0" borderId="111" xfId="2" applyFont="1" applyFill="1" applyBorder="1" applyAlignment="1">
      <alignment vertical="center"/>
    </xf>
    <xf numFmtId="9" fontId="17" fillId="0" borderId="111" xfId="2" applyFont="1" applyBorder="1" applyAlignment="1">
      <alignment vertical="center"/>
    </xf>
    <xf numFmtId="9" fontId="17" fillId="0" borderId="114" xfId="2" applyFont="1" applyBorder="1" applyAlignment="1">
      <alignment vertical="center"/>
    </xf>
    <xf numFmtId="9" fontId="17" fillId="0" borderId="115" xfId="2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7" fillId="0" borderId="0" xfId="1" applyFont="1" applyAlignment="1">
      <alignment vertical="center"/>
    </xf>
    <xf numFmtId="41" fontId="27" fillId="0" borderId="0" xfId="3" applyFont="1" applyAlignment="1">
      <alignment vertical="center"/>
    </xf>
    <xf numFmtId="179" fontId="28" fillId="0" borderId="0" xfId="1" applyNumberFormat="1" applyFont="1" applyAlignment="1">
      <alignment vertical="center"/>
    </xf>
    <xf numFmtId="0" fontId="11" fillId="0" borderId="0" xfId="1" applyFont="1" applyAlignment="1">
      <alignment horizontal="right" vertical="center"/>
    </xf>
    <xf numFmtId="180" fontId="29" fillId="0" borderId="45" xfId="1" applyNumberFormat="1" applyFont="1" applyBorder="1" applyAlignment="1">
      <alignment horizontal="center" vertical="center"/>
    </xf>
    <xf numFmtId="176" fontId="28" fillId="0" borderId="0" xfId="1" applyNumberFormat="1" applyFont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1" fillId="2" borderId="26" xfId="1" applyFill="1" applyBorder="1" applyAlignment="1">
      <alignment vertical="center"/>
    </xf>
    <xf numFmtId="0" fontId="1" fillId="2" borderId="116" xfId="1" applyFill="1" applyBorder="1" applyAlignment="1">
      <alignment vertical="center"/>
    </xf>
    <xf numFmtId="41" fontId="1" fillId="3" borderId="26" xfId="3" applyFont="1" applyFill="1" applyBorder="1" applyAlignment="1">
      <alignment horizontal="center" vertical="center"/>
    </xf>
    <xf numFmtId="41" fontId="1" fillId="3" borderId="26" xfId="3" applyFont="1" applyFill="1" applyBorder="1" applyAlignment="1">
      <alignment vertical="center"/>
    </xf>
    <xf numFmtId="41" fontId="1" fillId="3" borderId="26" xfId="3" applyFont="1" applyFill="1" applyBorder="1" applyAlignment="1">
      <alignment horizontal="right" vertical="center"/>
    </xf>
    <xf numFmtId="176" fontId="1" fillId="0" borderId="83" xfId="1" applyNumberFormat="1" applyBorder="1" applyAlignment="1">
      <alignment vertical="center"/>
    </xf>
    <xf numFmtId="0" fontId="1" fillId="0" borderId="116" xfId="1" applyBorder="1" applyAlignment="1">
      <alignment vertical="center"/>
    </xf>
    <xf numFmtId="176" fontId="1" fillId="2" borderId="116" xfId="1" applyNumberFormat="1" applyFill="1" applyBorder="1" applyAlignment="1">
      <alignment vertical="center"/>
    </xf>
    <xf numFmtId="0" fontId="1" fillId="2" borderId="26" xfId="1" applyFill="1" applyBorder="1" applyAlignment="1">
      <alignment horizontal="center" vertical="center"/>
    </xf>
    <xf numFmtId="176" fontId="1" fillId="2" borderId="26" xfId="1" applyNumberFormat="1" applyFill="1" applyBorder="1" applyAlignment="1">
      <alignment horizontal="center" vertical="center"/>
    </xf>
    <xf numFmtId="176" fontId="1" fillId="2" borderId="26" xfId="1" applyNumberFormat="1" applyFill="1" applyBorder="1" applyAlignment="1">
      <alignment vertical="center"/>
    </xf>
    <xf numFmtId="0" fontId="1" fillId="2" borderId="33" xfId="1" applyFill="1" applyBorder="1" applyAlignment="1">
      <alignment vertical="center"/>
    </xf>
    <xf numFmtId="0" fontId="1" fillId="2" borderId="33" xfId="1" applyFill="1" applyBorder="1" applyAlignment="1">
      <alignment horizontal="center" vertical="center"/>
    </xf>
    <xf numFmtId="176" fontId="1" fillId="2" borderId="33" xfId="1" applyNumberFormat="1" applyFill="1" applyBorder="1" applyAlignment="1">
      <alignment horizontal="center" vertical="center"/>
    </xf>
    <xf numFmtId="176" fontId="1" fillId="2" borderId="33" xfId="1" applyNumberFormat="1" applyFill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3" xfId="1" applyBorder="1" applyAlignment="1">
      <alignment vertical="center"/>
    </xf>
    <xf numFmtId="176" fontId="1" fillId="0" borderId="43" xfId="1" applyNumberFormat="1" applyBorder="1" applyAlignment="1">
      <alignment horizontal="center" vertical="center"/>
    </xf>
    <xf numFmtId="176" fontId="1" fillId="0" borderId="43" xfId="1" applyNumberFormat="1" applyBorder="1" applyAlignment="1">
      <alignment vertical="center"/>
    </xf>
    <xf numFmtId="0" fontId="1" fillId="6" borderId="13" xfId="1" applyFill="1" applyBorder="1" applyAlignment="1">
      <alignment vertical="center"/>
    </xf>
    <xf numFmtId="0" fontId="1" fillId="2" borderId="20" xfId="1" applyFill="1" applyBorder="1" applyAlignment="1">
      <alignment vertical="center"/>
    </xf>
    <xf numFmtId="0" fontId="1" fillId="2" borderId="20" xfId="1" applyFill="1" applyBorder="1" applyAlignment="1">
      <alignment horizontal="center" vertical="center"/>
    </xf>
    <xf numFmtId="176" fontId="1" fillId="2" borderId="20" xfId="1" applyNumberFormat="1" applyFill="1" applyBorder="1" applyAlignment="1">
      <alignment horizontal="center" vertical="center"/>
    </xf>
    <xf numFmtId="176" fontId="1" fillId="2" borderId="20" xfId="1" applyNumberFormat="1" applyFill="1" applyBorder="1" applyAlignment="1">
      <alignment vertical="center"/>
    </xf>
    <xf numFmtId="176" fontId="1" fillId="0" borderId="22" xfId="1" applyNumberFormat="1" applyBorder="1" applyAlignment="1">
      <alignment vertical="center"/>
    </xf>
    <xf numFmtId="0" fontId="1" fillId="0" borderId="20" xfId="1" applyBorder="1" applyAlignment="1">
      <alignment vertical="center"/>
    </xf>
    <xf numFmtId="0" fontId="1" fillId="6" borderId="16" xfId="1" applyFill="1" applyBorder="1" applyAlignment="1">
      <alignment vertical="center"/>
    </xf>
    <xf numFmtId="0" fontId="1" fillId="2" borderId="117" xfId="1" applyFill="1" applyBorder="1" applyAlignment="1">
      <alignment vertical="center"/>
    </xf>
    <xf numFmtId="176" fontId="1" fillId="2" borderId="117" xfId="1" applyNumberFormat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vertical="center"/>
    </xf>
    <xf numFmtId="176" fontId="1" fillId="0" borderId="118" xfId="1" applyNumberFormat="1" applyBorder="1" applyAlignment="1">
      <alignment vertical="center"/>
    </xf>
    <xf numFmtId="0" fontId="1" fillId="0" borderId="117" xfId="1" applyBorder="1" applyAlignment="1">
      <alignment vertical="center"/>
    </xf>
    <xf numFmtId="0" fontId="1" fillId="7" borderId="36" xfId="1" applyFill="1" applyBorder="1" applyAlignment="1">
      <alignment vertical="center"/>
    </xf>
    <xf numFmtId="0" fontId="1" fillId="7" borderId="12" xfId="1" applyFill="1" applyBorder="1" applyAlignment="1">
      <alignment vertical="center"/>
    </xf>
    <xf numFmtId="0" fontId="1" fillId="7" borderId="12" xfId="1" applyFill="1" applyBorder="1" applyAlignment="1">
      <alignment horizontal="center" vertical="center"/>
    </xf>
    <xf numFmtId="176" fontId="1" fillId="7" borderId="12" xfId="1" applyNumberFormat="1" applyFill="1" applyBorder="1" applyAlignment="1">
      <alignment horizontal="center" vertical="center"/>
    </xf>
    <xf numFmtId="176" fontId="1" fillId="7" borderId="12" xfId="1" applyNumberFormat="1" applyFill="1" applyBorder="1" applyAlignment="1">
      <alignment vertical="center"/>
    </xf>
    <xf numFmtId="176" fontId="1" fillId="7" borderId="36" xfId="1" applyNumberFormat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1" fillId="3" borderId="26" xfId="3" applyNumberFormat="1" applyFont="1" applyFill="1" applyBorder="1" applyAlignment="1">
      <alignment horizontal="left" vertical="center"/>
    </xf>
    <xf numFmtId="0" fontId="1" fillId="3" borderId="26" xfId="1" applyFill="1" applyBorder="1" applyAlignment="1">
      <alignment vertical="center" shrinkToFit="1"/>
    </xf>
    <xf numFmtId="181" fontId="1" fillId="3" borderId="26" xfId="3" applyNumberFormat="1" applyFont="1" applyFill="1" applyBorder="1" applyAlignment="1">
      <alignment vertical="center"/>
    </xf>
    <xf numFmtId="176" fontId="24" fillId="0" borderId="28" xfId="1" applyNumberFormat="1" applyFont="1" applyBorder="1" applyAlignment="1">
      <alignment vertical="center"/>
    </xf>
    <xf numFmtId="0" fontId="24" fillId="0" borderId="26" xfId="1" applyFont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0" borderId="35" xfId="1" applyBorder="1" applyAlignment="1">
      <alignment horizontal="left" vertical="center"/>
    </xf>
    <xf numFmtId="0" fontId="1" fillId="0" borderId="36" xfId="1" applyBorder="1" applyAlignment="1">
      <alignment vertical="center"/>
    </xf>
    <xf numFmtId="176" fontId="1" fillId="0" borderId="15" xfId="1" applyNumberFormat="1" applyBorder="1" applyAlignment="1">
      <alignment horizontal="center" vertical="center"/>
    </xf>
    <xf numFmtId="176" fontId="1" fillId="0" borderId="15" xfId="1" applyNumberFormat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34" xfId="1" applyBorder="1" applyAlignment="1">
      <alignment horizontal="center" vertical="center"/>
    </xf>
    <xf numFmtId="176" fontId="1" fillId="2" borderId="15" xfId="1" applyNumberFormat="1" applyFill="1" applyBorder="1" applyAlignment="1">
      <alignment vertical="center"/>
    </xf>
    <xf numFmtId="176" fontId="1" fillId="0" borderId="36" xfId="1" applyNumberFormat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176" fontId="1" fillId="3" borderId="26" xfId="1" applyNumberFormat="1" applyFill="1" applyBorder="1" applyAlignment="1">
      <alignment vertical="center"/>
    </xf>
    <xf numFmtId="176" fontId="1" fillId="3" borderId="117" xfId="1" applyNumberFormat="1" applyFill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12" xfId="1" applyBorder="1" applyAlignment="1">
      <alignment horizontal="right" vertical="center"/>
    </xf>
    <xf numFmtId="176" fontId="1" fillId="0" borderId="34" xfId="1" applyNumberFormat="1" applyBorder="1" applyAlignment="1">
      <alignment vertical="center"/>
    </xf>
    <xf numFmtId="176" fontId="1" fillId="2" borderId="12" xfId="1" applyNumberFormat="1" applyFill="1" applyBorder="1" applyAlignment="1">
      <alignment vertical="center"/>
    </xf>
    <xf numFmtId="180" fontId="11" fillId="2" borderId="45" xfId="1" applyNumberFormat="1" applyFont="1" applyFill="1" applyBorder="1" applyAlignment="1">
      <alignment vertical="center"/>
    </xf>
    <xf numFmtId="176" fontId="28" fillId="0" borderId="0" xfId="1" applyNumberFormat="1" applyFont="1" applyAlignment="1">
      <alignment vertical="center"/>
    </xf>
    <xf numFmtId="180" fontId="1" fillId="0" borderId="0" xfId="1" applyNumberFormat="1" applyAlignment="1">
      <alignment vertical="center"/>
    </xf>
    <xf numFmtId="0" fontId="1" fillId="3" borderId="26" xfId="1" applyFill="1" applyBorder="1" applyAlignment="1">
      <alignment vertical="center"/>
    </xf>
    <xf numFmtId="0" fontId="1" fillId="2" borderId="26" xfId="1" applyFill="1" applyBorder="1" applyAlignment="1">
      <alignment horizontal="left" vertical="center"/>
    </xf>
    <xf numFmtId="0" fontId="1" fillId="3" borderId="26" xfId="1" applyFill="1" applyBorder="1" applyAlignment="1">
      <alignment horizontal="center" vertical="center"/>
    </xf>
    <xf numFmtId="176" fontId="1" fillId="3" borderId="26" xfId="1" applyNumberFormat="1" applyFill="1" applyBorder="1" applyAlignment="1">
      <alignment horizontal="center" vertical="center"/>
    </xf>
    <xf numFmtId="0" fontId="1" fillId="3" borderId="33" xfId="1" applyFill="1" applyBorder="1" applyAlignment="1">
      <alignment horizontal="center" vertical="center"/>
    </xf>
    <xf numFmtId="176" fontId="1" fillId="3" borderId="33" xfId="1" applyNumberFormat="1" applyFill="1" applyBorder="1" applyAlignment="1">
      <alignment vertical="center"/>
    </xf>
    <xf numFmtId="0" fontId="1" fillId="2" borderId="116" xfId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horizontal="center" vertical="center"/>
    </xf>
    <xf numFmtId="182" fontId="1" fillId="0" borderId="43" xfId="1" applyNumberFormat="1" applyBorder="1" applyAlignment="1">
      <alignment vertical="center"/>
    </xf>
    <xf numFmtId="176" fontId="1" fillId="3" borderId="12" xfId="1" applyNumberFormat="1" applyFill="1" applyBorder="1" applyAlignment="1">
      <alignment vertical="center"/>
    </xf>
    <xf numFmtId="176" fontId="1" fillId="3" borderId="20" xfId="1" applyNumberFormat="1" applyFill="1" applyBorder="1" applyAlignment="1">
      <alignment vertical="center"/>
    </xf>
    <xf numFmtId="176" fontId="1" fillId="3" borderId="26" xfId="1" applyNumberFormat="1" applyFill="1" applyBorder="1" applyAlignment="1">
      <alignment horizontal="right" vertical="center"/>
    </xf>
    <xf numFmtId="0" fontId="1" fillId="0" borderId="15" xfId="1" applyBorder="1" applyAlignment="1">
      <alignment vertical="center"/>
    </xf>
    <xf numFmtId="0" fontId="1" fillId="3" borderId="116" xfId="1" applyFill="1" applyBorder="1" applyAlignment="1">
      <alignment horizontal="center" vertical="center"/>
    </xf>
    <xf numFmtId="176" fontId="1" fillId="3" borderId="116" xfId="1" applyNumberFormat="1" applyFill="1" applyBorder="1" applyAlignment="1">
      <alignment horizontal="right" vertical="center"/>
    </xf>
    <xf numFmtId="176" fontId="1" fillId="3" borderId="116" xfId="1" applyNumberFormat="1" applyFill="1" applyBorder="1" applyAlignment="1">
      <alignment vertical="center"/>
    </xf>
    <xf numFmtId="0" fontId="1" fillId="3" borderId="117" xfId="1" applyFill="1" applyBorder="1" applyAlignment="1">
      <alignment vertical="center"/>
    </xf>
    <xf numFmtId="0" fontId="1" fillId="3" borderId="117" xfId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horizontal="right" vertical="center"/>
    </xf>
    <xf numFmtId="176" fontId="1" fillId="7" borderId="12" xfId="1" applyNumberFormat="1" applyFill="1" applyBorder="1" applyAlignment="1">
      <alignment horizontal="right" vertical="center"/>
    </xf>
    <xf numFmtId="176" fontId="1" fillId="3" borderId="33" xfId="1" applyNumberFormat="1" applyFill="1" applyBorder="1" applyAlignment="1">
      <alignment horizontal="right" vertical="center"/>
    </xf>
    <xf numFmtId="182" fontId="1" fillId="0" borderId="43" xfId="1" applyNumberFormat="1" applyBorder="1" applyAlignment="1">
      <alignment horizontal="right" vertical="center"/>
    </xf>
    <xf numFmtId="0" fontId="1" fillId="3" borderId="26" xfId="1" applyFill="1" applyBorder="1" applyAlignment="1">
      <alignment vertical="center" wrapText="1"/>
    </xf>
    <xf numFmtId="183" fontId="1" fillId="3" borderId="26" xfId="3" applyNumberFormat="1" applyFont="1" applyFill="1" applyBorder="1" applyAlignment="1">
      <alignment horizontal="right" vertical="center"/>
    </xf>
    <xf numFmtId="183" fontId="1" fillId="3" borderId="26" xfId="1" applyNumberFormat="1" applyFill="1" applyBorder="1" applyAlignment="1">
      <alignment horizontal="right" vertical="center"/>
    </xf>
    <xf numFmtId="41" fontId="1" fillId="3" borderId="26" xfId="1" applyNumberFormat="1" applyFill="1" applyBorder="1" applyAlignment="1">
      <alignment vertical="center"/>
    </xf>
    <xf numFmtId="183" fontId="1" fillId="3" borderId="117" xfId="1" applyNumberFormat="1" applyFill="1" applyBorder="1" applyAlignment="1">
      <alignment horizontal="right" vertical="center"/>
    </xf>
    <xf numFmtId="41" fontId="1" fillId="3" borderId="117" xfId="1" applyNumberFormat="1" applyFill="1" applyBorder="1" applyAlignment="1">
      <alignment vertical="center"/>
    </xf>
    <xf numFmtId="183" fontId="1" fillId="3" borderId="33" xfId="1" applyNumberFormat="1" applyFill="1" applyBorder="1" applyAlignment="1">
      <alignment horizontal="right" vertical="center"/>
    </xf>
    <xf numFmtId="41" fontId="1" fillId="2" borderId="33" xfId="1" applyNumberFormat="1" applyFill="1" applyBorder="1" applyAlignment="1">
      <alignment vertical="center"/>
    </xf>
    <xf numFmtId="176" fontId="1" fillId="0" borderId="43" xfId="1" applyNumberFormat="1" applyBorder="1" applyAlignment="1">
      <alignment horizontal="right" vertical="center"/>
    </xf>
    <xf numFmtId="0" fontId="1" fillId="0" borderId="39" xfId="1" applyBorder="1" applyAlignment="1">
      <alignment horizontal="left" vertical="center"/>
    </xf>
    <xf numFmtId="0" fontId="1" fillId="0" borderId="14" xfId="1" applyBorder="1" applyAlignment="1">
      <alignment vertical="center"/>
    </xf>
    <xf numFmtId="0" fontId="1" fillId="0" borderId="118" xfId="1" applyBorder="1" applyAlignment="1">
      <alignment vertical="center"/>
    </xf>
    <xf numFmtId="0" fontId="1" fillId="0" borderId="119" xfId="1" applyBorder="1" applyAlignment="1">
      <alignment horizontal="center" vertical="center"/>
    </xf>
    <xf numFmtId="176" fontId="1" fillId="3" borderId="20" xfId="1" applyNumberFormat="1" applyFill="1" applyBorder="1" applyAlignment="1">
      <alignment horizontal="right" vertical="center"/>
    </xf>
    <xf numFmtId="0" fontId="1" fillId="3" borderId="26" xfId="1" quotePrefix="1" applyFill="1" applyBorder="1" applyAlignment="1">
      <alignment horizontal="center" vertical="center"/>
    </xf>
    <xf numFmtId="176" fontId="24" fillId="0" borderId="118" xfId="1" applyNumberFormat="1" applyFont="1" applyBorder="1" applyAlignment="1">
      <alignment vertical="center"/>
    </xf>
    <xf numFmtId="176" fontId="24" fillId="0" borderId="49" xfId="1" applyNumberFormat="1" applyFont="1" applyBorder="1" applyAlignment="1">
      <alignment vertical="center"/>
    </xf>
    <xf numFmtId="176" fontId="24" fillId="0" borderId="22" xfId="1" applyNumberFormat="1" applyFont="1" applyBorder="1" applyAlignment="1">
      <alignment vertical="center"/>
    </xf>
    <xf numFmtId="0" fontId="1" fillId="2" borderId="117" xfId="1" applyFill="1" applyBorder="1" applyAlignment="1">
      <alignment horizontal="center" vertical="center"/>
    </xf>
    <xf numFmtId="176" fontId="24" fillId="2" borderId="26" xfId="1" applyNumberFormat="1" applyFont="1" applyFill="1" applyBorder="1" applyAlignment="1">
      <alignment vertical="center"/>
    </xf>
    <xf numFmtId="0" fontId="24" fillId="0" borderId="0" xfId="1" applyFont="1" applyAlignment="1">
      <alignment vertical="center"/>
    </xf>
    <xf numFmtId="176" fontId="1" fillId="0" borderId="26" xfId="1" applyNumberFormat="1" applyBorder="1" applyAlignment="1">
      <alignment vertical="center"/>
    </xf>
    <xf numFmtId="0" fontId="24" fillId="2" borderId="26" xfId="1" applyFont="1" applyFill="1" applyBorder="1" applyAlignment="1">
      <alignment vertical="center"/>
    </xf>
    <xf numFmtId="0" fontId="30" fillId="0" borderId="0" xfId="1" applyFont="1" applyAlignment="1">
      <alignment vertical="center"/>
    </xf>
    <xf numFmtId="0" fontId="6" fillId="0" borderId="12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40" xfId="1" applyBorder="1" applyAlignment="1">
      <alignment vertical="center"/>
    </xf>
    <xf numFmtId="176" fontId="1" fillId="2" borderId="26" xfId="1" applyNumberFormat="1" applyFont="1" applyFill="1" applyBorder="1" applyAlignment="1">
      <alignment vertical="center"/>
    </xf>
    <xf numFmtId="176" fontId="1" fillId="0" borderId="28" xfId="1" applyNumberFormat="1" applyFont="1" applyBorder="1" applyAlignment="1">
      <alignment vertical="center"/>
    </xf>
    <xf numFmtId="0" fontId="1" fillId="0" borderId="26" xfId="1" applyFont="1" applyBorder="1" applyAlignment="1">
      <alignment vertical="center"/>
    </xf>
    <xf numFmtId="0" fontId="1" fillId="0" borderId="0" xfId="1" applyFont="1" applyAlignment="1">
      <alignment vertical="center"/>
    </xf>
    <xf numFmtId="176" fontId="1" fillId="3" borderId="26" xfId="1" applyNumberFormat="1" applyFont="1" applyFill="1" applyBorder="1" applyAlignment="1">
      <alignment vertical="center"/>
    </xf>
    <xf numFmtId="176" fontId="1" fillId="0" borderId="20" xfId="1" applyNumberFormat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176" fontId="1" fillId="0" borderId="26" xfId="1" applyNumberFormat="1" applyFont="1" applyBorder="1" applyAlignment="1">
      <alignment vertical="center"/>
    </xf>
    <xf numFmtId="0" fontId="1" fillId="0" borderId="116" xfId="1" applyFont="1" applyBorder="1" applyAlignment="1">
      <alignment vertical="center"/>
    </xf>
    <xf numFmtId="176" fontId="1" fillId="2" borderId="20" xfId="1" applyNumberFormat="1" applyFont="1" applyFill="1" applyBorder="1" applyAlignment="1">
      <alignment vertical="center"/>
    </xf>
    <xf numFmtId="176" fontId="1" fillId="0" borderId="22" xfId="1" applyNumberFormat="1" applyFont="1" applyBorder="1" applyAlignment="1">
      <alignment vertical="center"/>
    </xf>
    <xf numFmtId="176" fontId="1" fillId="0" borderId="23" xfId="1" applyNumberFormat="1" applyBorder="1" applyAlignment="1">
      <alignment horizontal="right" vertical="center"/>
    </xf>
    <xf numFmtId="176" fontId="1" fillId="0" borderId="29" xfId="1" applyNumberFormat="1" applyBorder="1" applyAlignment="1">
      <alignment horizontal="righ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 shrinkToFit="1"/>
    </xf>
    <xf numFmtId="0" fontId="1" fillId="0" borderId="0" xfId="1" applyAlignment="1">
      <alignment vertical="center" shrinkToFit="1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176" fontId="1" fillId="0" borderId="24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1" fillId="0" borderId="32" xfId="1" applyNumberFormat="1" applyBorder="1" applyAlignment="1">
      <alignment horizontal="center" vertical="center"/>
    </xf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49" xfId="1" applyFill="1" applyBorder="1" applyAlignment="1">
      <alignment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3" fontId="1" fillId="0" borderId="67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" fillId="0" borderId="13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3" fontId="1" fillId="0" borderId="72" xfId="1" applyNumberFormat="1" applyBorder="1" applyAlignment="1">
      <alignment horizontal="center" vertical="center"/>
    </xf>
    <xf numFmtId="3" fontId="1" fillId="0" borderId="41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71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left" vertical="center"/>
    </xf>
    <xf numFmtId="3" fontId="17" fillId="5" borderId="5" xfId="1" applyNumberFormat="1" applyFont="1" applyFill="1" applyBorder="1" applyAlignment="1">
      <alignment horizontal="left" vertical="center"/>
    </xf>
    <xf numFmtId="3" fontId="17" fillId="5" borderId="64" xfId="1" applyNumberFormat="1" applyFont="1" applyFill="1" applyBorder="1" applyAlignment="1">
      <alignment horizontal="left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64" xfId="1" applyNumberFormat="1" applyFont="1" applyBorder="1" applyAlignment="1">
      <alignment horizontal="left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68" xfId="1" quotePrefix="1" applyNumberFormat="1" applyBorder="1" applyAlignment="1">
      <alignment horizontal="left" vertical="center"/>
    </xf>
    <xf numFmtId="3" fontId="1" fillId="0" borderId="85" xfId="1" applyNumberFormat="1" applyBorder="1" applyAlignment="1">
      <alignment horizontal="center" vertical="center"/>
    </xf>
    <xf numFmtId="3" fontId="17" fillId="0" borderId="86" xfId="1" quotePrefix="1" applyNumberFormat="1" applyFont="1" applyBorder="1" applyAlignment="1">
      <alignment horizontal="left" vertical="center"/>
    </xf>
    <xf numFmtId="3" fontId="17" fillId="0" borderId="85" xfId="1" quotePrefix="1" applyNumberFormat="1" applyFont="1" applyBorder="1" applyAlignment="1">
      <alignment horizontal="left" vertical="center"/>
    </xf>
    <xf numFmtId="3" fontId="17" fillId="0" borderId="87" xfId="1" quotePrefix="1" applyNumberFormat="1" applyFont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 wrapText="1"/>
    </xf>
    <xf numFmtId="179" fontId="1" fillId="0" borderId="4" xfId="1" applyNumberFormat="1" applyBorder="1" applyAlignment="1">
      <alignment horizontal="center" vertical="center"/>
    </xf>
    <xf numFmtId="179" fontId="1" fillId="0" borderId="5" xfId="1" applyNumberFormat="1" applyBorder="1" applyAlignment="1">
      <alignment horizontal="center" vertical="center"/>
    </xf>
    <xf numFmtId="179" fontId="1" fillId="0" borderId="6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15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center"/>
    </xf>
  </cellXfs>
  <cellStyles count="4">
    <cellStyle name="백분율 2" xfId="2" xr:uid="{00000000-0005-0000-0000-000000000000}"/>
    <cellStyle name="쉼표 [0] 2" xfId="3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3</xdr:row>
      <xdr:rowOff>76200</xdr:rowOff>
    </xdr:from>
    <xdr:to>
      <xdr:col>7</xdr:col>
      <xdr:colOff>771525</xdr:colOff>
      <xdr:row>5</xdr:row>
      <xdr:rowOff>28575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3BD5C407-B57F-4357-8A4E-295F4561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904875"/>
          <a:ext cx="571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B28D275-689D-4708-B1F6-9C936E80BEAB}"/>
            </a:ext>
          </a:extLst>
        </xdr:cNvPr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6A31A91E-44FE-4993-9601-FDB33E9639B2}"/>
            </a:ext>
          </a:extLst>
        </xdr:cNvPr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8E181D9-B585-4DE0-9A3B-4C029FEC8424}"/>
            </a:ext>
          </a:extLst>
        </xdr:cNvPr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54043161-29EF-4C40-AB7A-74DE0448EB20}"/>
            </a:ext>
          </a:extLst>
        </xdr:cNvPr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0185FF9-13B1-48C8-BE59-FADAA2DC7E76}"/>
            </a:ext>
          </a:extLst>
        </xdr:cNvPr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B76768C0-B424-462A-9EB3-99ACECA7B6F7}"/>
            </a:ext>
          </a:extLst>
        </xdr:cNvPr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C1C82C01-CEE4-41C0-BDB3-FC61068AE578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288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409380-BF4F-4248-AF98-820FCB2D8C77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0685A85-722F-4EDB-884B-16164CD170D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B50178E5-779C-418F-8703-3C48D33DD76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261AB692-ABB7-428D-B2BE-FAF0BB93AB3B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3B33B093-AD8E-4E7D-AA0C-0EEACE8AC99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5AEE196-DE9C-41C7-AF39-5F1A5D0519BD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ABE3F663-0BAB-45A4-8CCD-1006BADE976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509BF03-A7B5-4958-B293-3B3F7FBAAA86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17BAD1D-8708-4D25-BAAD-2B3DB85F0ADC}"/>
            </a:ext>
          </a:extLst>
        </xdr:cNvPr>
        <xdr:cNvSpPr>
          <a:spLocks noChangeArrowheads="1"/>
        </xdr:cNvSpPr>
      </xdr:nvSpPr>
      <xdr:spPr bwMode="auto">
        <a:xfrm>
          <a:off x="4248150" y="19050"/>
          <a:ext cx="8667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833044D1-A51D-45C1-B91F-2667B938B008}"/>
            </a:ext>
          </a:extLst>
        </xdr:cNvPr>
        <xdr:cNvSpPr>
          <a:spLocks noChangeArrowheads="1"/>
        </xdr:cNvSpPr>
      </xdr:nvSpPr>
      <xdr:spPr bwMode="auto">
        <a:xfrm>
          <a:off x="5295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3EB657FB-C0F2-4824-907D-986E67E4777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D6321F7-53AB-4780-8DF5-7911F5DB2B96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835775F-F388-441A-A1B6-08AE4302228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7E6E796E-95E4-43BC-B4BD-B4555E0C11A6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2EB2A11C-6AE2-41E8-B0ED-7B48E8C2D59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57</xdr:row>
      <xdr:rowOff>0</xdr:rowOff>
    </xdr:from>
    <xdr:to>
      <xdr:col>9</xdr:col>
      <xdr:colOff>0</xdr:colOff>
      <xdr:row>57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7EADDB56-15D2-4236-B729-2495270F12AA}"/>
            </a:ext>
          </a:extLst>
        </xdr:cNvPr>
        <xdr:cNvSpPr>
          <a:spLocks noChangeArrowheads="1"/>
        </xdr:cNvSpPr>
      </xdr:nvSpPr>
      <xdr:spPr bwMode="auto">
        <a:xfrm>
          <a:off x="1752600" y="1549717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9D141D2D-406A-4E88-9C97-FFC284320D6A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5721913-2600-4B6C-ABFD-262B803D071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64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E49E92F-1600-4944-9637-3005C610A1A6}"/>
            </a:ext>
          </a:extLst>
        </xdr:cNvPr>
        <xdr:cNvSpPr>
          <a:spLocks noChangeArrowheads="1"/>
        </xdr:cNvSpPr>
      </xdr:nvSpPr>
      <xdr:spPr bwMode="auto">
        <a:xfrm>
          <a:off x="1752600" y="12896850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8A6843C-6688-4435-96D4-047654A2D865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D6A0702-B0E2-4C13-9544-81F3E775CF3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343E55E-CFE9-4458-BA6C-7C9B7C2B8463}"/>
            </a:ext>
          </a:extLst>
        </xdr:cNvPr>
        <xdr:cNvSpPr>
          <a:spLocks noChangeArrowheads="1"/>
        </xdr:cNvSpPr>
      </xdr:nvSpPr>
      <xdr:spPr bwMode="auto">
        <a:xfrm>
          <a:off x="1752600" y="118967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BFF8979-1B09-4A6C-AB52-A127D03C026F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5"/>
  <sheetViews>
    <sheetView zoomScale="90" zoomScaleNormal="90" zoomScaleSheetLayoutView="90" workbookViewId="0">
      <selection activeCell="K15" sqref="K15"/>
    </sheetView>
  </sheetViews>
  <sheetFormatPr defaultRowHeight="13.5" x14ac:dyDescent="0.3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6" width="11.125" style="1" customWidth="1"/>
    <col min="7" max="7" width="14.125" style="1" customWidth="1"/>
    <col min="8" max="8" width="12.625" style="1" bestFit="1" customWidth="1"/>
    <col min="9" max="9" width="8.75" style="1" customWidth="1"/>
    <col min="10" max="10" width="9" style="1"/>
    <col min="11" max="11" width="33.25" style="1" customWidth="1"/>
    <col min="12" max="256" width="9" style="1"/>
    <col min="257" max="257" width="2" style="1" customWidth="1"/>
    <col min="258" max="258" width="4.875" style="1" customWidth="1"/>
    <col min="259" max="259" width="8.5" style="1" customWidth="1"/>
    <col min="260" max="260" width="14.75" style="1" customWidth="1"/>
    <col min="261" max="262" width="11.125" style="1" customWidth="1"/>
    <col min="263" max="263" width="14.125" style="1" customWidth="1"/>
    <col min="264" max="264" width="11.75" style="1" customWidth="1"/>
    <col min="265" max="265" width="8.75" style="1" customWidth="1"/>
    <col min="266" max="266" width="9" style="1"/>
    <col min="267" max="267" width="33.25" style="1" customWidth="1"/>
    <col min="268" max="512" width="9" style="1"/>
    <col min="513" max="513" width="2" style="1" customWidth="1"/>
    <col min="514" max="514" width="4.875" style="1" customWidth="1"/>
    <col min="515" max="515" width="8.5" style="1" customWidth="1"/>
    <col min="516" max="516" width="14.75" style="1" customWidth="1"/>
    <col min="517" max="518" width="11.125" style="1" customWidth="1"/>
    <col min="519" max="519" width="14.125" style="1" customWidth="1"/>
    <col min="520" max="520" width="11.75" style="1" customWidth="1"/>
    <col min="521" max="521" width="8.75" style="1" customWidth="1"/>
    <col min="522" max="522" width="9" style="1"/>
    <col min="523" max="523" width="33.25" style="1" customWidth="1"/>
    <col min="524" max="768" width="9" style="1"/>
    <col min="769" max="769" width="2" style="1" customWidth="1"/>
    <col min="770" max="770" width="4.875" style="1" customWidth="1"/>
    <col min="771" max="771" width="8.5" style="1" customWidth="1"/>
    <col min="772" max="772" width="14.75" style="1" customWidth="1"/>
    <col min="773" max="774" width="11.125" style="1" customWidth="1"/>
    <col min="775" max="775" width="14.125" style="1" customWidth="1"/>
    <col min="776" max="776" width="11.75" style="1" customWidth="1"/>
    <col min="777" max="777" width="8.75" style="1" customWidth="1"/>
    <col min="778" max="778" width="9" style="1"/>
    <col min="779" max="779" width="33.25" style="1" customWidth="1"/>
    <col min="780" max="1024" width="9" style="1"/>
    <col min="1025" max="1025" width="2" style="1" customWidth="1"/>
    <col min="1026" max="1026" width="4.875" style="1" customWidth="1"/>
    <col min="1027" max="1027" width="8.5" style="1" customWidth="1"/>
    <col min="1028" max="1028" width="14.75" style="1" customWidth="1"/>
    <col min="1029" max="1030" width="11.125" style="1" customWidth="1"/>
    <col min="1031" max="1031" width="14.125" style="1" customWidth="1"/>
    <col min="1032" max="1032" width="11.75" style="1" customWidth="1"/>
    <col min="1033" max="1033" width="8.75" style="1" customWidth="1"/>
    <col min="1034" max="1034" width="9" style="1"/>
    <col min="1035" max="1035" width="33.25" style="1" customWidth="1"/>
    <col min="1036" max="1280" width="9" style="1"/>
    <col min="1281" max="1281" width="2" style="1" customWidth="1"/>
    <col min="1282" max="1282" width="4.875" style="1" customWidth="1"/>
    <col min="1283" max="1283" width="8.5" style="1" customWidth="1"/>
    <col min="1284" max="1284" width="14.75" style="1" customWidth="1"/>
    <col min="1285" max="1286" width="11.125" style="1" customWidth="1"/>
    <col min="1287" max="1287" width="14.125" style="1" customWidth="1"/>
    <col min="1288" max="1288" width="11.75" style="1" customWidth="1"/>
    <col min="1289" max="1289" width="8.75" style="1" customWidth="1"/>
    <col min="1290" max="1290" width="9" style="1"/>
    <col min="1291" max="1291" width="33.25" style="1" customWidth="1"/>
    <col min="1292" max="1536" width="9" style="1"/>
    <col min="1537" max="1537" width="2" style="1" customWidth="1"/>
    <col min="1538" max="1538" width="4.875" style="1" customWidth="1"/>
    <col min="1539" max="1539" width="8.5" style="1" customWidth="1"/>
    <col min="1540" max="1540" width="14.75" style="1" customWidth="1"/>
    <col min="1541" max="1542" width="11.125" style="1" customWidth="1"/>
    <col min="1543" max="1543" width="14.125" style="1" customWidth="1"/>
    <col min="1544" max="1544" width="11.75" style="1" customWidth="1"/>
    <col min="1545" max="1545" width="8.75" style="1" customWidth="1"/>
    <col min="1546" max="1546" width="9" style="1"/>
    <col min="1547" max="1547" width="33.25" style="1" customWidth="1"/>
    <col min="1548" max="1792" width="9" style="1"/>
    <col min="1793" max="1793" width="2" style="1" customWidth="1"/>
    <col min="1794" max="1794" width="4.875" style="1" customWidth="1"/>
    <col min="1795" max="1795" width="8.5" style="1" customWidth="1"/>
    <col min="1796" max="1796" width="14.75" style="1" customWidth="1"/>
    <col min="1797" max="1798" width="11.125" style="1" customWidth="1"/>
    <col min="1799" max="1799" width="14.125" style="1" customWidth="1"/>
    <col min="1800" max="1800" width="11.75" style="1" customWidth="1"/>
    <col min="1801" max="1801" width="8.75" style="1" customWidth="1"/>
    <col min="1802" max="1802" width="9" style="1"/>
    <col min="1803" max="1803" width="33.25" style="1" customWidth="1"/>
    <col min="1804" max="2048" width="9" style="1"/>
    <col min="2049" max="2049" width="2" style="1" customWidth="1"/>
    <col min="2050" max="2050" width="4.875" style="1" customWidth="1"/>
    <col min="2051" max="2051" width="8.5" style="1" customWidth="1"/>
    <col min="2052" max="2052" width="14.75" style="1" customWidth="1"/>
    <col min="2053" max="2054" width="11.125" style="1" customWidth="1"/>
    <col min="2055" max="2055" width="14.125" style="1" customWidth="1"/>
    <col min="2056" max="2056" width="11.75" style="1" customWidth="1"/>
    <col min="2057" max="2057" width="8.75" style="1" customWidth="1"/>
    <col min="2058" max="2058" width="9" style="1"/>
    <col min="2059" max="2059" width="33.25" style="1" customWidth="1"/>
    <col min="2060" max="2304" width="9" style="1"/>
    <col min="2305" max="2305" width="2" style="1" customWidth="1"/>
    <col min="2306" max="2306" width="4.875" style="1" customWidth="1"/>
    <col min="2307" max="2307" width="8.5" style="1" customWidth="1"/>
    <col min="2308" max="2308" width="14.75" style="1" customWidth="1"/>
    <col min="2309" max="2310" width="11.125" style="1" customWidth="1"/>
    <col min="2311" max="2311" width="14.125" style="1" customWidth="1"/>
    <col min="2312" max="2312" width="11.75" style="1" customWidth="1"/>
    <col min="2313" max="2313" width="8.75" style="1" customWidth="1"/>
    <col min="2314" max="2314" width="9" style="1"/>
    <col min="2315" max="2315" width="33.25" style="1" customWidth="1"/>
    <col min="2316" max="2560" width="9" style="1"/>
    <col min="2561" max="2561" width="2" style="1" customWidth="1"/>
    <col min="2562" max="2562" width="4.875" style="1" customWidth="1"/>
    <col min="2563" max="2563" width="8.5" style="1" customWidth="1"/>
    <col min="2564" max="2564" width="14.75" style="1" customWidth="1"/>
    <col min="2565" max="2566" width="11.125" style="1" customWidth="1"/>
    <col min="2567" max="2567" width="14.125" style="1" customWidth="1"/>
    <col min="2568" max="2568" width="11.75" style="1" customWidth="1"/>
    <col min="2569" max="2569" width="8.75" style="1" customWidth="1"/>
    <col min="2570" max="2570" width="9" style="1"/>
    <col min="2571" max="2571" width="33.25" style="1" customWidth="1"/>
    <col min="2572" max="2816" width="9" style="1"/>
    <col min="2817" max="2817" width="2" style="1" customWidth="1"/>
    <col min="2818" max="2818" width="4.875" style="1" customWidth="1"/>
    <col min="2819" max="2819" width="8.5" style="1" customWidth="1"/>
    <col min="2820" max="2820" width="14.75" style="1" customWidth="1"/>
    <col min="2821" max="2822" width="11.125" style="1" customWidth="1"/>
    <col min="2823" max="2823" width="14.125" style="1" customWidth="1"/>
    <col min="2824" max="2824" width="11.75" style="1" customWidth="1"/>
    <col min="2825" max="2825" width="8.75" style="1" customWidth="1"/>
    <col min="2826" max="2826" width="9" style="1"/>
    <col min="2827" max="2827" width="33.25" style="1" customWidth="1"/>
    <col min="2828" max="3072" width="9" style="1"/>
    <col min="3073" max="3073" width="2" style="1" customWidth="1"/>
    <col min="3074" max="3074" width="4.875" style="1" customWidth="1"/>
    <col min="3075" max="3075" width="8.5" style="1" customWidth="1"/>
    <col min="3076" max="3076" width="14.75" style="1" customWidth="1"/>
    <col min="3077" max="3078" width="11.125" style="1" customWidth="1"/>
    <col min="3079" max="3079" width="14.125" style="1" customWidth="1"/>
    <col min="3080" max="3080" width="11.75" style="1" customWidth="1"/>
    <col min="3081" max="3081" width="8.75" style="1" customWidth="1"/>
    <col min="3082" max="3082" width="9" style="1"/>
    <col min="3083" max="3083" width="33.25" style="1" customWidth="1"/>
    <col min="3084" max="3328" width="9" style="1"/>
    <col min="3329" max="3329" width="2" style="1" customWidth="1"/>
    <col min="3330" max="3330" width="4.875" style="1" customWidth="1"/>
    <col min="3331" max="3331" width="8.5" style="1" customWidth="1"/>
    <col min="3332" max="3332" width="14.75" style="1" customWidth="1"/>
    <col min="3333" max="3334" width="11.125" style="1" customWidth="1"/>
    <col min="3335" max="3335" width="14.125" style="1" customWidth="1"/>
    <col min="3336" max="3336" width="11.75" style="1" customWidth="1"/>
    <col min="3337" max="3337" width="8.75" style="1" customWidth="1"/>
    <col min="3338" max="3338" width="9" style="1"/>
    <col min="3339" max="3339" width="33.25" style="1" customWidth="1"/>
    <col min="3340" max="3584" width="9" style="1"/>
    <col min="3585" max="3585" width="2" style="1" customWidth="1"/>
    <col min="3586" max="3586" width="4.875" style="1" customWidth="1"/>
    <col min="3587" max="3587" width="8.5" style="1" customWidth="1"/>
    <col min="3588" max="3588" width="14.75" style="1" customWidth="1"/>
    <col min="3589" max="3590" width="11.125" style="1" customWidth="1"/>
    <col min="3591" max="3591" width="14.125" style="1" customWidth="1"/>
    <col min="3592" max="3592" width="11.75" style="1" customWidth="1"/>
    <col min="3593" max="3593" width="8.75" style="1" customWidth="1"/>
    <col min="3594" max="3594" width="9" style="1"/>
    <col min="3595" max="3595" width="33.25" style="1" customWidth="1"/>
    <col min="3596" max="3840" width="9" style="1"/>
    <col min="3841" max="3841" width="2" style="1" customWidth="1"/>
    <col min="3842" max="3842" width="4.875" style="1" customWidth="1"/>
    <col min="3843" max="3843" width="8.5" style="1" customWidth="1"/>
    <col min="3844" max="3844" width="14.75" style="1" customWidth="1"/>
    <col min="3845" max="3846" width="11.125" style="1" customWidth="1"/>
    <col min="3847" max="3847" width="14.125" style="1" customWidth="1"/>
    <col min="3848" max="3848" width="11.75" style="1" customWidth="1"/>
    <col min="3849" max="3849" width="8.75" style="1" customWidth="1"/>
    <col min="3850" max="3850" width="9" style="1"/>
    <col min="3851" max="3851" width="33.25" style="1" customWidth="1"/>
    <col min="3852" max="4096" width="9" style="1"/>
    <col min="4097" max="4097" width="2" style="1" customWidth="1"/>
    <col min="4098" max="4098" width="4.875" style="1" customWidth="1"/>
    <col min="4099" max="4099" width="8.5" style="1" customWidth="1"/>
    <col min="4100" max="4100" width="14.75" style="1" customWidth="1"/>
    <col min="4101" max="4102" width="11.125" style="1" customWidth="1"/>
    <col min="4103" max="4103" width="14.125" style="1" customWidth="1"/>
    <col min="4104" max="4104" width="11.75" style="1" customWidth="1"/>
    <col min="4105" max="4105" width="8.75" style="1" customWidth="1"/>
    <col min="4106" max="4106" width="9" style="1"/>
    <col min="4107" max="4107" width="33.25" style="1" customWidth="1"/>
    <col min="4108" max="4352" width="9" style="1"/>
    <col min="4353" max="4353" width="2" style="1" customWidth="1"/>
    <col min="4354" max="4354" width="4.875" style="1" customWidth="1"/>
    <col min="4355" max="4355" width="8.5" style="1" customWidth="1"/>
    <col min="4356" max="4356" width="14.75" style="1" customWidth="1"/>
    <col min="4357" max="4358" width="11.125" style="1" customWidth="1"/>
    <col min="4359" max="4359" width="14.125" style="1" customWidth="1"/>
    <col min="4360" max="4360" width="11.75" style="1" customWidth="1"/>
    <col min="4361" max="4361" width="8.75" style="1" customWidth="1"/>
    <col min="4362" max="4362" width="9" style="1"/>
    <col min="4363" max="4363" width="33.25" style="1" customWidth="1"/>
    <col min="4364" max="4608" width="9" style="1"/>
    <col min="4609" max="4609" width="2" style="1" customWidth="1"/>
    <col min="4610" max="4610" width="4.875" style="1" customWidth="1"/>
    <col min="4611" max="4611" width="8.5" style="1" customWidth="1"/>
    <col min="4612" max="4612" width="14.75" style="1" customWidth="1"/>
    <col min="4613" max="4614" width="11.125" style="1" customWidth="1"/>
    <col min="4615" max="4615" width="14.125" style="1" customWidth="1"/>
    <col min="4616" max="4616" width="11.75" style="1" customWidth="1"/>
    <col min="4617" max="4617" width="8.75" style="1" customWidth="1"/>
    <col min="4618" max="4618" width="9" style="1"/>
    <col min="4619" max="4619" width="33.25" style="1" customWidth="1"/>
    <col min="4620" max="4864" width="9" style="1"/>
    <col min="4865" max="4865" width="2" style="1" customWidth="1"/>
    <col min="4866" max="4866" width="4.875" style="1" customWidth="1"/>
    <col min="4867" max="4867" width="8.5" style="1" customWidth="1"/>
    <col min="4868" max="4868" width="14.75" style="1" customWidth="1"/>
    <col min="4869" max="4870" width="11.125" style="1" customWidth="1"/>
    <col min="4871" max="4871" width="14.125" style="1" customWidth="1"/>
    <col min="4872" max="4872" width="11.75" style="1" customWidth="1"/>
    <col min="4873" max="4873" width="8.75" style="1" customWidth="1"/>
    <col min="4874" max="4874" width="9" style="1"/>
    <col min="4875" max="4875" width="33.25" style="1" customWidth="1"/>
    <col min="4876" max="5120" width="9" style="1"/>
    <col min="5121" max="5121" width="2" style="1" customWidth="1"/>
    <col min="5122" max="5122" width="4.875" style="1" customWidth="1"/>
    <col min="5123" max="5123" width="8.5" style="1" customWidth="1"/>
    <col min="5124" max="5124" width="14.75" style="1" customWidth="1"/>
    <col min="5125" max="5126" width="11.125" style="1" customWidth="1"/>
    <col min="5127" max="5127" width="14.125" style="1" customWidth="1"/>
    <col min="5128" max="5128" width="11.75" style="1" customWidth="1"/>
    <col min="5129" max="5129" width="8.75" style="1" customWidth="1"/>
    <col min="5130" max="5130" width="9" style="1"/>
    <col min="5131" max="5131" width="33.25" style="1" customWidth="1"/>
    <col min="5132" max="5376" width="9" style="1"/>
    <col min="5377" max="5377" width="2" style="1" customWidth="1"/>
    <col min="5378" max="5378" width="4.875" style="1" customWidth="1"/>
    <col min="5379" max="5379" width="8.5" style="1" customWidth="1"/>
    <col min="5380" max="5380" width="14.75" style="1" customWidth="1"/>
    <col min="5381" max="5382" width="11.125" style="1" customWidth="1"/>
    <col min="5383" max="5383" width="14.125" style="1" customWidth="1"/>
    <col min="5384" max="5384" width="11.75" style="1" customWidth="1"/>
    <col min="5385" max="5385" width="8.75" style="1" customWidth="1"/>
    <col min="5386" max="5386" width="9" style="1"/>
    <col min="5387" max="5387" width="33.25" style="1" customWidth="1"/>
    <col min="5388" max="5632" width="9" style="1"/>
    <col min="5633" max="5633" width="2" style="1" customWidth="1"/>
    <col min="5634" max="5634" width="4.875" style="1" customWidth="1"/>
    <col min="5635" max="5635" width="8.5" style="1" customWidth="1"/>
    <col min="5636" max="5636" width="14.75" style="1" customWidth="1"/>
    <col min="5637" max="5638" width="11.125" style="1" customWidth="1"/>
    <col min="5639" max="5639" width="14.125" style="1" customWidth="1"/>
    <col min="5640" max="5640" width="11.75" style="1" customWidth="1"/>
    <col min="5641" max="5641" width="8.75" style="1" customWidth="1"/>
    <col min="5642" max="5642" width="9" style="1"/>
    <col min="5643" max="5643" width="33.25" style="1" customWidth="1"/>
    <col min="5644" max="5888" width="9" style="1"/>
    <col min="5889" max="5889" width="2" style="1" customWidth="1"/>
    <col min="5890" max="5890" width="4.875" style="1" customWidth="1"/>
    <col min="5891" max="5891" width="8.5" style="1" customWidth="1"/>
    <col min="5892" max="5892" width="14.75" style="1" customWidth="1"/>
    <col min="5893" max="5894" width="11.125" style="1" customWidth="1"/>
    <col min="5895" max="5895" width="14.125" style="1" customWidth="1"/>
    <col min="5896" max="5896" width="11.75" style="1" customWidth="1"/>
    <col min="5897" max="5897" width="8.75" style="1" customWidth="1"/>
    <col min="5898" max="5898" width="9" style="1"/>
    <col min="5899" max="5899" width="33.25" style="1" customWidth="1"/>
    <col min="5900" max="6144" width="9" style="1"/>
    <col min="6145" max="6145" width="2" style="1" customWidth="1"/>
    <col min="6146" max="6146" width="4.875" style="1" customWidth="1"/>
    <col min="6147" max="6147" width="8.5" style="1" customWidth="1"/>
    <col min="6148" max="6148" width="14.75" style="1" customWidth="1"/>
    <col min="6149" max="6150" width="11.125" style="1" customWidth="1"/>
    <col min="6151" max="6151" width="14.125" style="1" customWidth="1"/>
    <col min="6152" max="6152" width="11.75" style="1" customWidth="1"/>
    <col min="6153" max="6153" width="8.75" style="1" customWidth="1"/>
    <col min="6154" max="6154" width="9" style="1"/>
    <col min="6155" max="6155" width="33.25" style="1" customWidth="1"/>
    <col min="6156" max="6400" width="9" style="1"/>
    <col min="6401" max="6401" width="2" style="1" customWidth="1"/>
    <col min="6402" max="6402" width="4.875" style="1" customWidth="1"/>
    <col min="6403" max="6403" width="8.5" style="1" customWidth="1"/>
    <col min="6404" max="6404" width="14.75" style="1" customWidth="1"/>
    <col min="6405" max="6406" width="11.125" style="1" customWidth="1"/>
    <col min="6407" max="6407" width="14.125" style="1" customWidth="1"/>
    <col min="6408" max="6408" width="11.75" style="1" customWidth="1"/>
    <col min="6409" max="6409" width="8.75" style="1" customWidth="1"/>
    <col min="6410" max="6410" width="9" style="1"/>
    <col min="6411" max="6411" width="33.25" style="1" customWidth="1"/>
    <col min="6412" max="6656" width="9" style="1"/>
    <col min="6657" max="6657" width="2" style="1" customWidth="1"/>
    <col min="6658" max="6658" width="4.875" style="1" customWidth="1"/>
    <col min="6659" max="6659" width="8.5" style="1" customWidth="1"/>
    <col min="6660" max="6660" width="14.75" style="1" customWidth="1"/>
    <col min="6661" max="6662" width="11.125" style="1" customWidth="1"/>
    <col min="6663" max="6663" width="14.125" style="1" customWidth="1"/>
    <col min="6664" max="6664" width="11.75" style="1" customWidth="1"/>
    <col min="6665" max="6665" width="8.75" style="1" customWidth="1"/>
    <col min="6666" max="6666" width="9" style="1"/>
    <col min="6667" max="6667" width="33.25" style="1" customWidth="1"/>
    <col min="6668" max="6912" width="9" style="1"/>
    <col min="6913" max="6913" width="2" style="1" customWidth="1"/>
    <col min="6914" max="6914" width="4.875" style="1" customWidth="1"/>
    <col min="6915" max="6915" width="8.5" style="1" customWidth="1"/>
    <col min="6916" max="6916" width="14.75" style="1" customWidth="1"/>
    <col min="6917" max="6918" width="11.125" style="1" customWidth="1"/>
    <col min="6919" max="6919" width="14.125" style="1" customWidth="1"/>
    <col min="6920" max="6920" width="11.75" style="1" customWidth="1"/>
    <col min="6921" max="6921" width="8.75" style="1" customWidth="1"/>
    <col min="6922" max="6922" width="9" style="1"/>
    <col min="6923" max="6923" width="33.25" style="1" customWidth="1"/>
    <col min="6924" max="7168" width="9" style="1"/>
    <col min="7169" max="7169" width="2" style="1" customWidth="1"/>
    <col min="7170" max="7170" width="4.875" style="1" customWidth="1"/>
    <col min="7171" max="7171" width="8.5" style="1" customWidth="1"/>
    <col min="7172" max="7172" width="14.75" style="1" customWidth="1"/>
    <col min="7173" max="7174" width="11.125" style="1" customWidth="1"/>
    <col min="7175" max="7175" width="14.125" style="1" customWidth="1"/>
    <col min="7176" max="7176" width="11.75" style="1" customWidth="1"/>
    <col min="7177" max="7177" width="8.75" style="1" customWidth="1"/>
    <col min="7178" max="7178" width="9" style="1"/>
    <col min="7179" max="7179" width="33.25" style="1" customWidth="1"/>
    <col min="7180" max="7424" width="9" style="1"/>
    <col min="7425" max="7425" width="2" style="1" customWidth="1"/>
    <col min="7426" max="7426" width="4.875" style="1" customWidth="1"/>
    <col min="7427" max="7427" width="8.5" style="1" customWidth="1"/>
    <col min="7428" max="7428" width="14.75" style="1" customWidth="1"/>
    <col min="7429" max="7430" width="11.125" style="1" customWidth="1"/>
    <col min="7431" max="7431" width="14.125" style="1" customWidth="1"/>
    <col min="7432" max="7432" width="11.75" style="1" customWidth="1"/>
    <col min="7433" max="7433" width="8.75" style="1" customWidth="1"/>
    <col min="7434" max="7434" width="9" style="1"/>
    <col min="7435" max="7435" width="33.25" style="1" customWidth="1"/>
    <col min="7436" max="7680" width="9" style="1"/>
    <col min="7681" max="7681" width="2" style="1" customWidth="1"/>
    <col min="7682" max="7682" width="4.875" style="1" customWidth="1"/>
    <col min="7683" max="7683" width="8.5" style="1" customWidth="1"/>
    <col min="7684" max="7684" width="14.75" style="1" customWidth="1"/>
    <col min="7685" max="7686" width="11.125" style="1" customWidth="1"/>
    <col min="7687" max="7687" width="14.125" style="1" customWidth="1"/>
    <col min="7688" max="7688" width="11.75" style="1" customWidth="1"/>
    <col min="7689" max="7689" width="8.75" style="1" customWidth="1"/>
    <col min="7690" max="7690" width="9" style="1"/>
    <col min="7691" max="7691" width="33.25" style="1" customWidth="1"/>
    <col min="7692" max="7936" width="9" style="1"/>
    <col min="7937" max="7937" width="2" style="1" customWidth="1"/>
    <col min="7938" max="7938" width="4.875" style="1" customWidth="1"/>
    <col min="7939" max="7939" width="8.5" style="1" customWidth="1"/>
    <col min="7940" max="7940" width="14.75" style="1" customWidth="1"/>
    <col min="7941" max="7942" width="11.125" style="1" customWidth="1"/>
    <col min="7943" max="7943" width="14.125" style="1" customWidth="1"/>
    <col min="7944" max="7944" width="11.75" style="1" customWidth="1"/>
    <col min="7945" max="7945" width="8.75" style="1" customWidth="1"/>
    <col min="7946" max="7946" width="9" style="1"/>
    <col min="7947" max="7947" width="33.25" style="1" customWidth="1"/>
    <col min="7948" max="8192" width="9" style="1"/>
    <col min="8193" max="8193" width="2" style="1" customWidth="1"/>
    <col min="8194" max="8194" width="4.875" style="1" customWidth="1"/>
    <col min="8195" max="8195" width="8.5" style="1" customWidth="1"/>
    <col min="8196" max="8196" width="14.75" style="1" customWidth="1"/>
    <col min="8197" max="8198" width="11.125" style="1" customWidth="1"/>
    <col min="8199" max="8199" width="14.125" style="1" customWidth="1"/>
    <col min="8200" max="8200" width="11.75" style="1" customWidth="1"/>
    <col min="8201" max="8201" width="8.75" style="1" customWidth="1"/>
    <col min="8202" max="8202" width="9" style="1"/>
    <col min="8203" max="8203" width="33.25" style="1" customWidth="1"/>
    <col min="8204" max="8448" width="9" style="1"/>
    <col min="8449" max="8449" width="2" style="1" customWidth="1"/>
    <col min="8450" max="8450" width="4.875" style="1" customWidth="1"/>
    <col min="8451" max="8451" width="8.5" style="1" customWidth="1"/>
    <col min="8452" max="8452" width="14.75" style="1" customWidth="1"/>
    <col min="8453" max="8454" width="11.125" style="1" customWidth="1"/>
    <col min="8455" max="8455" width="14.125" style="1" customWidth="1"/>
    <col min="8456" max="8456" width="11.75" style="1" customWidth="1"/>
    <col min="8457" max="8457" width="8.75" style="1" customWidth="1"/>
    <col min="8458" max="8458" width="9" style="1"/>
    <col min="8459" max="8459" width="33.25" style="1" customWidth="1"/>
    <col min="8460" max="8704" width="9" style="1"/>
    <col min="8705" max="8705" width="2" style="1" customWidth="1"/>
    <col min="8706" max="8706" width="4.875" style="1" customWidth="1"/>
    <col min="8707" max="8707" width="8.5" style="1" customWidth="1"/>
    <col min="8708" max="8708" width="14.75" style="1" customWidth="1"/>
    <col min="8709" max="8710" width="11.125" style="1" customWidth="1"/>
    <col min="8711" max="8711" width="14.125" style="1" customWidth="1"/>
    <col min="8712" max="8712" width="11.75" style="1" customWidth="1"/>
    <col min="8713" max="8713" width="8.75" style="1" customWidth="1"/>
    <col min="8714" max="8714" width="9" style="1"/>
    <col min="8715" max="8715" width="33.25" style="1" customWidth="1"/>
    <col min="8716" max="8960" width="9" style="1"/>
    <col min="8961" max="8961" width="2" style="1" customWidth="1"/>
    <col min="8962" max="8962" width="4.875" style="1" customWidth="1"/>
    <col min="8963" max="8963" width="8.5" style="1" customWidth="1"/>
    <col min="8964" max="8964" width="14.75" style="1" customWidth="1"/>
    <col min="8965" max="8966" width="11.125" style="1" customWidth="1"/>
    <col min="8967" max="8967" width="14.125" style="1" customWidth="1"/>
    <col min="8968" max="8968" width="11.75" style="1" customWidth="1"/>
    <col min="8969" max="8969" width="8.75" style="1" customWidth="1"/>
    <col min="8970" max="8970" width="9" style="1"/>
    <col min="8971" max="8971" width="33.25" style="1" customWidth="1"/>
    <col min="8972" max="9216" width="9" style="1"/>
    <col min="9217" max="9217" width="2" style="1" customWidth="1"/>
    <col min="9218" max="9218" width="4.875" style="1" customWidth="1"/>
    <col min="9219" max="9219" width="8.5" style="1" customWidth="1"/>
    <col min="9220" max="9220" width="14.75" style="1" customWidth="1"/>
    <col min="9221" max="9222" width="11.125" style="1" customWidth="1"/>
    <col min="9223" max="9223" width="14.125" style="1" customWidth="1"/>
    <col min="9224" max="9224" width="11.75" style="1" customWidth="1"/>
    <col min="9225" max="9225" width="8.75" style="1" customWidth="1"/>
    <col min="9226" max="9226" width="9" style="1"/>
    <col min="9227" max="9227" width="33.25" style="1" customWidth="1"/>
    <col min="9228" max="9472" width="9" style="1"/>
    <col min="9473" max="9473" width="2" style="1" customWidth="1"/>
    <col min="9474" max="9474" width="4.875" style="1" customWidth="1"/>
    <col min="9475" max="9475" width="8.5" style="1" customWidth="1"/>
    <col min="9476" max="9476" width="14.75" style="1" customWidth="1"/>
    <col min="9477" max="9478" width="11.125" style="1" customWidth="1"/>
    <col min="9479" max="9479" width="14.125" style="1" customWidth="1"/>
    <col min="9480" max="9480" width="11.75" style="1" customWidth="1"/>
    <col min="9481" max="9481" width="8.75" style="1" customWidth="1"/>
    <col min="9482" max="9482" width="9" style="1"/>
    <col min="9483" max="9483" width="33.25" style="1" customWidth="1"/>
    <col min="9484" max="9728" width="9" style="1"/>
    <col min="9729" max="9729" width="2" style="1" customWidth="1"/>
    <col min="9730" max="9730" width="4.875" style="1" customWidth="1"/>
    <col min="9731" max="9731" width="8.5" style="1" customWidth="1"/>
    <col min="9732" max="9732" width="14.75" style="1" customWidth="1"/>
    <col min="9733" max="9734" width="11.125" style="1" customWidth="1"/>
    <col min="9735" max="9735" width="14.125" style="1" customWidth="1"/>
    <col min="9736" max="9736" width="11.75" style="1" customWidth="1"/>
    <col min="9737" max="9737" width="8.75" style="1" customWidth="1"/>
    <col min="9738" max="9738" width="9" style="1"/>
    <col min="9739" max="9739" width="33.25" style="1" customWidth="1"/>
    <col min="9740" max="9984" width="9" style="1"/>
    <col min="9985" max="9985" width="2" style="1" customWidth="1"/>
    <col min="9986" max="9986" width="4.875" style="1" customWidth="1"/>
    <col min="9987" max="9987" width="8.5" style="1" customWidth="1"/>
    <col min="9988" max="9988" width="14.75" style="1" customWidth="1"/>
    <col min="9989" max="9990" width="11.125" style="1" customWidth="1"/>
    <col min="9991" max="9991" width="14.125" style="1" customWidth="1"/>
    <col min="9992" max="9992" width="11.75" style="1" customWidth="1"/>
    <col min="9993" max="9993" width="8.75" style="1" customWidth="1"/>
    <col min="9994" max="9994" width="9" style="1"/>
    <col min="9995" max="9995" width="33.25" style="1" customWidth="1"/>
    <col min="9996" max="10240" width="9" style="1"/>
    <col min="10241" max="10241" width="2" style="1" customWidth="1"/>
    <col min="10242" max="10242" width="4.875" style="1" customWidth="1"/>
    <col min="10243" max="10243" width="8.5" style="1" customWidth="1"/>
    <col min="10244" max="10244" width="14.75" style="1" customWidth="1"/>
    <col min="10245" max="10246" width="11.125" style="1" customWidth="1"/>
    <col min="10247" max="10247" width="14.125" style="1" customWidth="1"/>
    <col min="10248" max="10248" width="11.75" style="1" customWidth="1"/>
    <col min="10249" max="10249" width="8.75" style="1" customWidth="1"/>
    <col min="10250" max="10250" width="9" style="1"/>
    <col min="10251" max="10251" width="33.25" style="1" customWidth="1"/>
    <col min="10252" max="10496" width="9" style="1"/>
    <col min="10497" max="10497" width="2" style="1" customWidth="1"/>
    <col min="10498" max="10498" width="4.875" style="1" customWidth="1"/>
    <col min="10499" max="10499" width="8.5" style="1" customWidth="1"/>
    <col min="10500" max="10500" width="14.75" style="1" customWidth="1"/>
    <col min="10501" max="10502" width="11.125" style="1" customWidth="1"/>
    <col min="10503" max="10503" width="14.125" style="1" customWidth="1"/>
    <col min="10504" max="10504" width="11.75" style="1" customWidth="1"/>
    <col min="10505" max="10505" width="8.75" style="1" customWidth="1"/>
    <col min="10506" max="10506" width="9" style="1"/>
    <col min="10507" max="10507" width="33.25" style="1" customWidth="1"/>
    <col min="10508" max="10752" width="9" style="1"/>
    <col min="10753" max="10753" width="2" style="1" customWidth="1"/>
    <col min="10754" max="10754" width="4.875" style="1" customWidth="1"/>
    <col min="10755" max="10755" width="8.5" style="1" customWidth="1"/>
    <col min="10756" max="10756" width="14.75" style="1" customWidth="1"/>
    <col min="10757" max="10758" width="11.125" style="1" customWidth="1"/>
    <col min="10759" max="10759" width="14.125" style="1" customWidth="1"/>
    <col min="10760" max="10760" width="11.75" style="1" customWidth="1"/>
    <col min="10761" max="10761" width="8.75" style="1" customWidth="1"/>
    <col min="10762" max="10762" width="9" style="1"/>
    <col min="10763" max="10763" width="33.25" style="1" customWidth="1"/>
    <col min="10764" max="11008" width="9" style="1"/>
    <col min="11009" max="11009" width="2" style="1" customWidth="1"/>
    <col min="11010" max="11010" width="4.875" style="1" customWidth="1"/>
    <col min="11011" max="11011" width="8.5" style="1" customWidth="1"/>
    <col min="11012" max="11012" width="14.75" style="1" customWidth="1"/>
    <col min="11013" max="11014" width="11.125" style="1" customWidth="1"/>
    <col min="11015" max="11015" width="14.125" style="1" customWidth="1"/>
    <col min="11016" max="11016" width="11.75" style="1" customWidth="1"/>
    <col min="11017" max="11017" width="8.75" style="1" customWidth="1"/>
    <col min="11018" max="11018" width="9" style="1"/>
    <col min="11019" max="11019" width="33.25" style="1" customWidth="1"/>
    <col min="11020" max="11264" width="9" style="1"/>
    <col min="11265" max="11265" width="2" style="1" customWidth="1"/>
    <col min="11266" max="11266" width="4.875" style="1" customWidth="1"/>
    <col min="11267" max="11267" width="8.5" style="1" customWidth="1"/>
    <col min="11268" max="11268" width="14.75" style="1" customWidth="1"/>
    <col min="11269" max="11270" width="11.125" style="1" customWidth="1"/>
    <col min="11271" max="11271" width="14.125" style="1" customWidth="1"/>
    <col min="11272" max="11272" width="11.75" style="1" customWidth="1"/>
    <col min="11273" max="11273" width="8.75" style="1" customWidth="1"/>
    <col min="11274" max="11274" width="9" style="1"/>
    <col min="11275" max="11275" width="33.25" style="1" customWidth="1"/>
    <col min="11276" max="11520" width="9" style="1"/>
    <col min="11521" max="11521" width="2" style="1" customWidth="1"/>
    <col min="11522" max="11522" width="4.875" style="1" customWidth="1"/>
    <col min="11523" max="11523" width="8.5" style="1" customWidth="1"/>
    <col min="11524" max="11524" width="14.75" style="1" customWidth="1"/>
    <col min="11525" max="11526" width="11.125" style="1" customWidth="1"/>
    <col min="11527" max="11527" width="14.125" style="1" customWidth="1"/>
    <col min="11528" max="11528" width="11.75" style="1" customWidth="1"/>
    <col min="11529" max="11529" width="8.75" style="1" customWidth="1"/>
    <col min="11530" max="11530" width="9" style="1"/>
    <col min="11531" max="11531" width="33.25" style="1" customWidth="1"/>
    <col min="11532" max="11776" width="9" style="1"/>
    <col min="11777" max="11777" width="2" style="1" customWidth="1"/>
    <col min="11778" max="11778" width="4.875" style="1" customWidth="1"/>
    <col min="11779" max="11779" width="8.5" style="1" customWidth="1"/>
    <col min="11780" max="11780" width="14.75" style="1" customWidth="1"/>
    <col min="11781" max="11782" width="11.125" style="1" customWidth="1"/>
    <col min="11783" max="11783" width="14.125" style="1" customWidth="1"/>
    <col min="11784" max="11784" width="11.75" style="1" customWidth="1"/>
    <col min="11785" max="11785" width="8.75" style="1" customWidth="1"/>
    <col min="11786" max="11786" width="9" style="1"/>
    <col min="11787" max="11787" width="33.25" style="1" customWidth="1"/>
    <col min="11788" max="12032" width="9" style="1"/>
    <col min="12033" max="12033" width="2" style="1" customWidth="1"/>
    <col min="12034" max="12034" width="4.875" style="1" customWidth="1"/>
    <col min="12035" max="12035" width="8.5" style="1" customWidth="1"/>
    <col min="12036" max="12036" width="14.75" style="1" customWidth="1"/>
    <col min="12037" max="12038" width="11.125" style="1" customWidth="1"/>
    <col min="12039" max="12039" width="14.125" style="1" customWidth="1"/>
    <col min="12040" max="12040" width="11.75" style="1" customWidth="1"/>
    <col min="12041" max="12041" width="8.75" style="1" customWidth="1"/>
    <col min="12042" max="12042" width="9" style="1"/>
    <col min="12043" max="12043" width="33.25" style="1" customWidth="1"/>
    <col min="12044" max="12288" width="9" style="1"/>
    <col min="12289" max="12289" width="2" style="1" customWidth="1"/>
    <col min="12290" max="12290" width="4.875" style="1" customWidth="1"/>
    <col min="12291" max="12291" width="8.5" style="1" customWidth="1"/>
    <col min="12292" max="12292" width="14.75" style="1" customWidth="1"/>
    <col min="12293" max="12294" width="11.125" style="1" customWidth="1"/>
    <col min="12295" max="12295" width="14.125" style="1" customWidth="1"/>
    <col min="12296" max="12296" width="11.75" style="1" customWidth="1"/>
    <col min="12297" max="12297" width="8.75" style="1" customWidth="1"/>
    <col min="12298" max="12298" width="9" style="1"/>
    <col min="12299" max="12299" width="33.25" style="1" customWidth="1"/>
    <col min="12300" max="12544" width="9" style="1"/>
    <col min="12545" max="12545" width="2" style="1" customWidth="1"/>
    <col min="12546" max="12546" width="4.875" style="1" customWidth="1"/>
    <col min="12547" max="12547" width="8.5" style="1" customWidth="1"/>
    <col min="12548" max="12548" width="14.75" style="1" customWidth="1"/>
    <col min="12549" max="12550" width="11.125" style="1" customWidth="1"/>
    <col min="12551" max="12551" width="14.125" style="1" customWidth="1"/>
    <col min="12552" max="12552" width="11.75" style="1" customWidth="1"/>
    <col min="12553" max="12553" width="8.75" style="1" customWidth="1"/>
    <col min="12554" max="12554" width="9" style="1"/>
    <col min="12555" max="12555" width="33.25" style="1" customWidth="1"/>
    <col min="12556" max="12800" width="9" style="1"/>
    <col min="12801" max="12801" width="2" style="1" customWidth="1"/>
    <col min="12802" max="12802" width="4.875" style="1" customWidth="1"/>
    <col min="12803" max="12803" width="8.5" style="1" customWidth="1"/>
    <col min="12804" max="12804" width="14.75" style="1" customWidth="1"/>
    <col min="12805" max="12806" width="11.125" style="1" customWidth="1"/>
    <col min="12807" max="12807" width="14.125" style="1" customWidth="1"/>
    <col min="12808" max="12808" width="11.75" style="1" customWidth="1"/>
    <col min="12809" max="12809" width="8.75" style="1" customWidth="1"/>
    <col min="12810" max="12810" width="9" style="1"/>
    <col min="12811" max="12811" width="33.25" style="1" customWidth="1"/>
    <col min="12812" max="13056" width="9" style="1"/>
    <col min="13057" max="13057" width="2" style="1" customWidth="1"/>
    <col min="13058" max="13058" width="4.875" style="1" customWidth="1"/>
    <col min="13059" max="13059" width="8.5" style="1" customWidth="1"/>
    <col min="13060" max="13060" width="14.75" style="1" customWidth="1"/>
    <col min="13061" max="13062" width="11.125" style="1" customWidth="1"/>
    <col min="13063" max="13063" width="14.125" style="1" customWidth="1"/>
    <col min="13064" max="13064" width="11.75" style="1" customWidth="1"/>
    <col min="13065" max="13065" width="8.75" style="1" customWidth="1"/>
    <col min="13066" max="13066" width="9" style="1"/>
    <col min="13067" max="13067" width="33.25" style="1" customWidth="1"/>
    <col min="13068" max="13312" width="9" style="1"/>
    <col min="13313" max="13313" width="2" style="1" customWidth="1"/>
    <col min="13314" max="13314" width="4.875" style="1" customWidth="1"/>
    <col min="13315" max="13315" width="8.5" style="1" customWidth="1"/>
    <col min="13316" max="13316" width="14.75" style="1" customWidth="1"/>
    <col min="13317" max="13318" width="11.125" style="1" customWidth="1"/>
    <col min="13319" max="13319" width="14.125" style="1" customWidth="1"/>
    <col min="13320" max="13320" width="11.75" style="1" customWidth="1"/>
    <col min="13321" max="13321" width="8.75" style="1" customWidth="1"/>
    <col min="13322" max="13322" width="9" style="1"/>
    <col min="13323" max="13323" width="33.25" style="1" customWidth="1"/>
    <col min="13324" max="13568" width="9" style="1"/>
    <col min="13569" max="13569" width="2" style="1" customWidth="1"/>
    <col min="13570" max="13570" width="4.875" style="1" customWidth="1"/>
    <col min="13571" max="13571" width="8.5" style="1" customWidth="1"/>
    <col min="13572" max="13572" width="14.75" style="1" customWidth="1"/>
    <col min="13573" max="13574" width="11.125" style="1" customWidth="1"/>
    <col min="13575" max="13575" width="14.125" style="1" customWidth="1"/>
    <col min="13576" max="13576" width="11.75" style="1" customWidth="1"/>
    <col min="13577" max="13577" width="8.75" style="1" customWidth="1"/>
    <col min="13578" max="13578" width="9" style="1"/>
    <col min="13579" max="13579" width="33.25" style="1" customWidth="1"/>
    <col min="13580" max="13824" width="9" style="1"/>
    <col min="13825" max="13825" width="2" style="1" customWidth="1"/>
    <col min="13826" max="13826" width="4.875" style="1" customWidth="1"/>
    <col min="13827" max="13827" width="8.5" style="1" customWidth="1"/>
    <col min="13828" max="13828" width="14.75" style="1" customWidth="1"/>
    <col min="13829" max="13830" width="11.125" style="1" customWidth="1"/>
    <col min="13831" max="13831" width="14.125" style="1" customWidth="1"/>
    <col min="13832" max="13832" width="11.75" style="1" customWidth="1"/>
    <col min="13833" max="13833" width="8.75" style="1" customWidth="1"/>
    <col min="13834" max="13834" width="9" style="1"/>
    <col min="13835" max="13835" width="33.25" style="1" customWidth="1"/>
    <col min="13836" max="14080" width="9" style="1"/>
    <col min="14081" max="14081" width="2" style="1" customWidth="1"/>
    <col min="14082" max="14082" width="4.875" style="1" customWidth="1"/>
    <col min="14083" max="14083" width="8.5" style="1" customWidth="1"/>
    <col min="14084" max="14084" width="14.75" style="1" customWidth="1"/>
    <col min="14085" max="14086" width="11.125" style="1" customWidth="1"/>
    <col min="14087" max="14087" width="14.125" style="1" customWidth="1"/>
    <col min="14088" max="14088" width="11.75" style="1" customWidth="1"/>
    <col min="14089" max="14089" width="8.75" style="1" customWidth="1"/>
    <col min="14090" max="14090" width="9" style="1"/>
    <col min="14091" max="14091" width="33.25" style="1" customWidth="1"/>
    <col min="14092" max="14336" width="9" style="1"/>
    <col min="14337" max="14337" width="2" style="1" customWidth="1"/>
    <col min="14338" max="14338" width="4.875" style="1" customWidth="1"/>
    <col min="14339" max="14339" width="8.5" style="1" customWidth="1"/>
    <col min="14340" max="14340" width="14.75" style="1" customWidth="1"/>
    <col min="14341" max="14342" width="11.125" style="1" customWidth="1"/>
    <col min="14343" max="14343" width="14.125" style="1" customWidth="1"/>
    <col min="14344" max="14344" width="11.75" style="1" customWidth="1"/>
    <col min="14345" max="14345" width="8.75" style="1" customWidth="1"/>
    <col min="14346" max="14346" width="9" style="1"/>
    <col min="14347" max="14347" width="33.25" style="1" customWidth="1"/>
    <col min="14348" max="14592" width="9" style="1"/>
    <col min="14593" max="14593" width="2" style="1" customWidth="1"/>
    <col min="14594" max="14594" width="4.875" style="1" customWidth="1"/>
    <col min="14595" max="14595" width="8.5" style="1" customWidth="1"/>
    <col min="14596" max="14596" width="14.75" style="1" customWidth="1"/>
    <col min="14597" max="14598" width="11.125" style="1" customWidth="1"/>
    <col min="14599" max="14599" width="14.125" style="1" customWidth="1"/>
    <col min="14600" max="14600" width="11.75" style="1" customWidth="1"/>
    <col min="14601" max="14601" width="8.75" style="1" customWidth="1"/>
    <col min="14602" max="14602" width="9" style="1"/>
    <col min="14603" max="14603" width="33.25" style="1" customWidth="1"/>
    <col min="14604" max="14848" width="9" style="1"/>
    <col min="14849" max="14849" width="2" style="1" customWidth="1"/>
    <col min="14850" max="14850" width="4.875" style="1" customWidth="1"/>
    <col min="14851" max="14851" width="8.5" style="1" customWidth="1"/>
    <col min="14852" max="14852" width="14.75" style="1" customWidth="1"/>
    <col min="14853" max="14854" width="11.125" style="1" customWidth="1"/>
    <col min="14855" max="14855" width="14.125" style="1" customWidth="1"/>
    <col min="14856" max="14856" width="11.75" style="1" customWidth="1"/>
    <col min="14857" max="14857" width="8.75" style="1" customWidth="1"/>
    <col min="14858" max="14858" width="9" style="1"/>
    <col min="14859" max="14859" width="33.25" style="1" customWidth="1"/>
    <col min="14860" max="15104" width="9" style="1"/>
    <col min="15105" max="15105" width="2" style="1" customWidth="1"/>
    <col min="15106" max="15106" width="4.875" style="1" customWidth="1"/>
    <col min="15107" max="15107" width="8.5" style="1" customWidth="1"/>
    <col min="15108" max="15108" width="14.75" style="1" customWidth="1"/>
    <col min="15109" max="15110" width="11.125" style="1" customWidth="1"/>
    <col min="15111" max="15111" width="14.125" style="1" customWidth="1"/>
    <col min="15112" max="15112" width="11.75" style="1" customWidth="1"/>
    <col min="15113" max="15113" width="8.75" style="1" customWidth="1"/>
    <col min="15114" max="15114" width="9" style="1"/>
    <col min="15115" max="15115" width="33.25" style="1" customWidth="1"/>
    <col min="15116" max="15360" width="9" style="1"/>
    <col min="15361" max="15361" width="2" style="1" customWidth="1"/>
    <col min="15362" max="15362" width="4.875" style="1" customWidth="1"/>
    <col min="15363" max="15363" width="8.5" style="1" customWidth="1"/>
    <col min="15364" max="15364" width="14.75" style="1" customWidth="1"/>
    <col min="15365" max="15366" width="11.125" style="1" customWidth="1"/>
    <col min="15367" max="15367" width="14.125" style="1" customWidth="1"/>
    <col min="15368" max="15368" width="11.75" style="1" customWidth="1"/>
    <col min="15369" max="15369" width="8.75" style="1" customWidth="1"/>
    <col min="15370" max="15370" width="9" style="1"/>
    <col min="15371" max="15371" width="33.25" style="1" customWidth="1"/>
    <col min="15372" max="15616" width="9" style="1"/>
    <col min="15617" max="15617" width="2" style="1" customWidth="1"/>
    <col min="15618" max="15618" width="4.875" style="1" customWidth="1"/>
    <col min="15619" max="15619" width="8.5" style="1" customWidth="1"/>
    <col min="15620" max="15620" width="14.75" style="1" customWidth="1"/>
    <col min="15621" max="15622" width="11.125" style="1" customWidth="1"/>
    <col min="15623" max="15623" width="14.125" style="1" customWidth="1"/>
    <col min="15624" max="15624" width="11.75" style="1" customWidth="1"/>
    <col min="15625" max="15625" width="8.75" style="1" customWidth="1"/>
    <col min="15626" max="15626" width="9" style="1"/>
    <col min="15627" max="15627" width="33.25" style="1" customWidth="1"/>
    <col min="15628" max="15872" width="9" style="1"/>
    <col min="15873" max="15873" width="2" style="1" customWidth="1"/>
    <col min="15874" max="15874" width="4.875" style="1" customWidth="1"/>
    <col min="15875" max="15875" width="8.5" style="1" customWidth="1"/>
    <col min="15876" max="15876" width="14.75" style="1" customWidth="1"/>
    <col min="15877" max="15878" width="11.125" style="1" customWidth="1"/>
    <col min="15879" max="15879" width="14.125" style="1" customWidth="1"/>
    <col min="15880" max="15880" width="11.75" style="1" customWidth="1"/>
    <col min="15881" max="15881" width="8.75" style="1" customWidth="1"/>
    <col min="15882" max="15882" width="9" style="1"/>
    <col min="15883" max="15883" width="33.25" style="1" customWidth="1"/>
    <col min="15884" max="16128" width="9" style="1"/>
    <col min="16129" max="16129" width="2" style="1" customWidth="1"/>
    <col min="16130" max="16130" width="4.875" style="1" customWidth="1"/>
    <col min="16131" max="16131" width="8.5" style="1" customWidth="1"/>
    <col min="16132" max="16132" width="14.75" style="1" customWidth="1"/>
    <col min="16133" max="16134" width="11.125" style="1" customWidth="1"/>
    <col min="16135" max="16135" width="14.125" style="1" customWidth="1"/>
    <col min="16136" max="16136" width="11.75" style="1" customWidth="1"/>
    <col min="16137" max="16137" width="8.75" style="1" customWidth="1"/>
    <col min="16138" max="16138" width="9" style="1"/>
    <col min="16139" max="16139" width="33.25" style="1" customWidth="1"/>
    <col min="16140" max="16384" width="9" style="1"/>
  </cols>
  <sheetData>
    <row r="1" spans="2:9" x14ac:dyDescent="0.3">
      <c r="B1" s="1" t="s">
        <v>0</v>
      </c>
    </row>
    <row r="2" spans="2:9" ht="38.25" x14ac:dyDescent="0.3">
      <c r="B2" s="345" t="s">
        <v>1</v>
      </c>
      <c r="C2" s="345"/>
      <c r="D2" s="345"/>
      <c r="E2" s="345"/>
      <c r="F2" s="345"/>
      <c r="G2" s="345"/>
      <c r="H2" s="345"/>
      <c r="I2" s="345"/>
    </row>
    <row r="4" spans="2:9" s="2" customFormat="1" ht="24" customHeight="1" x14ac:dyDescent="0.3">
      <c r="B4" s="346" t="s">
        <v>2</v>
      </c>
      <c r="C4" s="346"/>
      <c r="D4" s="346"/>
      <c r="G4" s="3" t="s">
        <v>3</v>
      </c>
      <c r="H4" s="4"/>
      <c r="I4" s="5"/>
    </row>
    <row r="5" spans="2:9" s="2" customFormat="1" ht="21.75" customHeight="1" x14ac:dyDescent="0.3">
      <c r="B5" s="347" t="s">
        <v>4</v>
      </c>
      <c r="C5" s="348"/>
      <c r="D5" s="6">
        <v>46034</v>
      </c>
      <c r="E5" s="7"/>
      <c r="G5" s="8" t="s">
        <v>5</v>
      </c>
      <c r="H5" s="9"/>
      <c r="I5" s="10"/>
    </row>
    <row r="6" spans="2:9" s="2" customFormat="1" ht="21.75" customHeight="1" x14ac:dyDescent="0.3">
      <c r="B6" s="347" t="s">
        <v>6</v>
      </c>
      <c r="C6" s="348"/>
      <c r="D6" s="11" t="s">
        <v>7</v>
      </c>
      <c r="E6" s="7"/>
      <c r="G6" s="8" t="s">
        <v>8</v>
      </c>
      <c r="H6" s="12"/>
      <c r="I6" s="13"/>
    </row>
    <row r="7" spans="2:9" s="2" customFormat="1" ht="21.75" customHeight="1" x14ac:dyDescent="0.3">
      <c r="B7" s="349" t="s">
        <v>9</v>
      </c>
      <c r="C7" s="14" t="s">
        <v>10</v>
      </c>
      <c r="D7" s="11" t="s">
        <v>11</v>
      </c>
      <c r="E7" s="7"/>
      <c r="G7" s="15" t="s">
        <v>12</v>
      </c>
      <c r="H7" s="12"/>
      <c r="I7" s="13"/>
    </row>
    <row r="8" spans="2:9" s="2" customFormat="1" ht="21.75" customHeight="1" x14ac:dyDescent="0.3">
      <c r="B8" s="349"/>
      <c r="C8" s="14" t="s">
        <v>13</v>
      </c>
      <c r="D8" s="11" t="s">
        <v>11</v>
      </c>
      <c r="E8" s="7"/>
      <c r="G8" s="15" t="s">
        <v>14</v>
      </c>
      <c r="H8" s="12"/>
      <c r="I8" s="13"/>
    </row>
    <row r="9" spans="2:9" s="2" customFormat="1" ht="21.75" customHeight="1" x14ac:dyDescent="0.3">
      <c r="B9" s="347" t="s">
        <v>15</v>
      </c>
      <c r="C9" s="348"/>
      <c r="D9" s="11" t="s">
        <v>16</v>
      </c>
      <c r="E9" s="7"/>
      <c r="G9" s="8" t="s">
        <v>17</v>
      </c>
      <c r="H9" s="12"/>
      <c r="I9" s="13"/>
    </row>
    <row r="10" spans="2:9" s="2" customFormat="1" ht="21.75" customHeight="1" x14ac:dyDescent="0.3">
      <c r="B10" s="347" t="s">
        <v>18</v>
      </c>
      <c r="C10" s="348"/>
      <c r="D10" s="11" t="s">
        <v>19</v>
      </c>
      <c r="E10" s="7"/>
      <c r="G10" s="16" t="s">
        <v>20</v>
      </c>
      <c r="H10" s="17"/>
      <c r="I10" s="18"/>
    </row>
    <row r="11" spans="2:9" s="2" customFormat="1" ht="21.75" customHeight="1" x14ac:dyDescent="0.3">
      <c r="B11" s="347" t="s">
        <v>21</v>
      </c>
      <c r="C11" s="348"/>
      <c r="D11" s="11" t="s">
        <v>22</v>
      </c>
      <c r="E11" s="7"/>
      <c r="G11" s="19" t="s">
        <v>23</v>
      </c>
      <c r="H11" s="20"/>
      <c r="I11" s="21"/>
    </row>
    <row r="12" spans="2:9" s="23" customFormat="1" ht="10.5" customHeight="1" x14ac:dyDescent="0.3">
      <c r="B12" s="22"/>
      <c r="I12" s="24"/>
    </row>
    <row r="13" spans="2:9" s="23" customFormat="1" ht="24.95" customHeight="1" x14ac:dyDescent="0.3">
      <c r="B13" s="350" t="s">
        <v>24</v>
      </c>
      <c r="C13" s="350"/>
      <c r="D13" s="351" t="str">
        <f>"一金"&amp;NUMBERSTRING(H27*1000,1)&amp;"원整"</f>
        <v>一金삼억구백삼만구천팔백원整</v>
      </c>
      <c r="E13" s="352"/>
      <c r="F13" s="352"/>
      <c r="G13" s="353">
        <f>H27*1000</f>
        <v>309039800</v>
      </c>
      <c r="H13" s="354"/>
      <c r="I13" s="25" t="s">
        <v>25</v>
      </c>
    </row>
    <row r="14" spans="2:9" s="2" customFormat="1" ht="8.25" customHeight="1" x14ac:dyDescent="0.3"/>
    <row r="15" spans="2:9" s="26" customFormat="1" ht="24.95" customHeight="1" x14ac:dyDescent="0.3">
      <c r="B15" s="339" t="s">
        <v>26</v>
      </c>
      <c r="C15" s="341" t="s">
        <v>27</v>
      </c>
      <c r="D15" s="342"/>
      <c r="E15" s="340" t="s">
        <v>28</v>
      </c>
      <c r="F15" s="340"/>
      <c r="G15" s="340"/>
      <c r="H15" s="340"/>
      <c r="I15" s="339" t="s">
        <v>29</v>
      </c>
    </row>
    <row r="16" spans="2:9" s="26" customFormat="1" ht="29.25" customHeight="1" x14ac:dyDescent="0.3">
      <c r="B16" s="340"/>
      <c r="C16" s="343"/>
      <c r="D16" s="344"/>
      <c r="E16" s="27" t="s">
        <v>30</v>
      </c>
      <c r="F16" s="28" t="s">
        <v>31</v>
      </c>
      <c r="G16" s="29" t="s">
        <v>32</v>
      </c>
      <c r="H16" s="30" t="s">
        <v>33</v>
      </c>
      <c r="I16" s="340"/>
    </row>
    <row r="17" spans="2:9" ht="24.95" customHeight="1" x14ac:dyDescent="0.3">
      <c r="B17" s="31">
        <v>1</v>
      </c>
      <c r="C17" s="355" t="str">
        <f>단위장비1!C1</f>
        <v>#10 BJ BALL 조립</v>
      </c>
      <c r="D17" s="356"/>
      <c r="E17" s="337" t="str">
        <f>IF('단위공사별(집계)'!N7&gt;1,('단위공사별(집계)'!D7+'단위공사별(집계)'!E7+'단위공사별(집계)'!F7+'단위공사별(집계)'!G7+'단위공사별(집계)'!H7+'단위공사별(집계)'!I7)/1000," ")</f>
        <v xml:space="preserve"> </v>
      </c>
      <c r="F17" s="357" t="str">
        <f>IF('단위공사별(집계)'!N7&gt;0,'단위공사별(집계)'!K17/1000,"")</f>
        <v/>
      </c>
      <c r="G17" s="32" t="str">
        <f>IF('단위공사별(집계)'!N7&gt;0,('단위공사별(집계)'!L7+'단위공사별(집계)'!M7)/1000,"")</f>
        <v/>
      </c>
      <c r="H17" s="33" t="str">
        <f>IF('단위공사별(집계)'!N7&gt;0,'단위공사별(집계)'!N7/1000,"")</f>
        <v/>
      </c>
      <c r="I17" s="31"/>
    </row>
    <row r="18" spans="2:9" ht="24.95" customHeight="1" x14ac:dyDescent="0.3">
      <c r="B18" s="34">
        <v>2</v>
      </c>
      <c r="C18" s="360" t="str">
        <f>단위장비2!C1</f>
        <v>#20 S/RING 압입기, 토크측정기</v>
      </c>
      <c r="D18" s="361"/>
      <c r="E18" s="338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8" s="358"/>
      <c r="G18" s="35" t="str">
        <f>IF('단위공사별(집계)'!N8&gt;0,('단위공사별(집계)'!L8+'단위공사별(집계)'!M8)/1000,"")</f>
        <v/>
      </c>
      <c r="H18" s="36" t="str">
        <f>IF('단위공사별(집계)'!N8&gt;0,'단위공사별(집계)'!N8/1000,"")</f>
        <v/>
      </c>
      <c r="I18" s="37"/>
    </row>
    <row r="19" spans="2:9" ht="24.95" customHeight="1" x14ac:dyDescent="0.3">
      <c r="B19" s="34">
        <v>3</v>
      </c>
      <c r="C19" s="360" t="str">
        <f>단위장비3!C1</f>
        <v>#30-BJ 나사검사, 비젼검사, 그리스 주입</v>
      </c>
      <c r="D19" s="361"/>
      <c r="E19" s="338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19" s="358"/>
      <c r="G19" s="35" t="str">
        <f>IF('단위공사별(집계)'!N9&gt;0,('단위공사별(집계)'!L9+'단위공사별(집계)'!M9)/1000,"")</f>
        <v/>
      </c>
      <c r="H19" s="36" t="str">
        <f>IF('단위공사별(집계)'!N9&gt;0,'단위공사별(집계)'!N9/1000,"")</f>
        <v/>
      </c>
      <c r="I19" s="37"/>
    </row>
    <row r="20" spans="2:9" ht="24.95" customHeight="1" x14ac:dyDescent="0.3">
      <c r="B20" s="34">
        <v>4</v>
      </c>
      <c r="C20" s="360" t="str">
        <f>단위장비4!C1</f>
        <v>#40 TJ 서브조립기</v>
      </c>
      <c r="D20" s="361"/>
      <c r="E20" s="338">
        <f>IF('단위공사별(집계)'!N10&gt;1,('단위공사별(집계)'!D10+'단위공사별(집계)'!E10+'단위공사별(집계)'!F10+'단위공사별(집계)'!G10+'단위공사별(집계)'!H10+'단위공사별(집계)'!I10)/1000," ")</f>
        <v>47607.7088893451</v>
      </c>
      <c r="F20" s="358"/>
      <c r="G20" s="35">
        <f>IF('단위공사별(집계)'!N10&gt;0,('단위공사별(집계)'!L10+'단위공사별(집계)'!M10)/1000,"")</f>
        <v>7001.9054608909883</v>
      </c>
      <c r="H20" s="36">
        <f>IF('단위공사별(집계)'!N10&gt;0,'단위공사별(집계)'!N10/1000,"")</f>
        <v>59194.032724286597</v>
      </c>
      <c r="I20" s="37"/>
    </row>
    <row r="21" spans="2:9" ht="24.95" customHeight="1" x14ac:dyDescent="0.3">
      <c r="B21" s="34">
        <v>5</v>
      </c>
      <c r="C21" s="360" t="str">
        <f>단위장비5!C1</f>
        <v>#50 DAMPER 조립기, BOOT 조립기</v>
      </c>
      <c r="D21" s="361"/>
      <c r="E21" s="338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1" s="358"/>
      <c r="G21" s="35" t="str">
        <f>IF('단위공사별(집계)'!N11&gt;0,('단위공사별(집계)'!L11+'단위공사별(집계)'!M11)/1000,"")</f>
        <v/>
      </c>
      <c r="H21" s="36" t="str">
        <f>IF('단위공사별(집계)'!N11&gt;0,'단위공사별(집계)'!N11/1000,"")</f>
        <v/>
      </c>
      <c r="I21" s="37"/>
    </row>
    <row r="22" spans="2:9" ht="24.95" customHeight="1" x14ac:dyDescent="0.3">
      <c r="B22" s="34">
        <v>6</v>
      </c>
      <c r="C22" s="360" t="str">
        <f>단위장비6!C1</f>
        <v>#60 SHAFT 가조립~밴드체결</v>
      </c>
      <c r="D22" s="361"/>
      <c r="E22" s="338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2" s="358"/>
      <c r="G22" s="35" t="str">
        <f>IF('단위공사별(집계)'!N12&gt;0,('단위공사별(집계)'!L12+'단위공사별(집계)'!M12)/1000,"")</f>
        <v/>
      </c>
      <c r="H22" s="36" t="str">
        <f>IF('단위공사별(집계)'!N12&gt;0,'단위공사별(집계)'!N12/1000,"")</f>
        <v/>
      </c>
      <c r="I22" s="37"/>
    </row>
    <row r="23" spans="2:9" ht="24.95" customHeight="1" x14ac:dyDescent="0.3">
      <c r="B23" s="34">
        <v>7</v>
      </c>
      <c r="C23" s="360" t="str">
        <f>단위장비7!C1</f>
        <v>GREASE SYSTEM</v>
      </c>
      <c r="D23" s="361"/>
      <c r="E23" s="338">
        <f>IF('단위공사별(집계)'!N13&gt;1,('단위공사별(집계)'!D13+'단위공사별(집계)'!E13+'단위공사별(집계)'!F13+'단위공사별(집계)'!G13+'단위공사별(집계)'!H13+'단위공사별(집계)'!I13)/1000," ")</f>
        <v>110625.41572572367</v>
      </c>
      <c r="F23" s="358"/>
      <c r="G23" s="35">
        <f>IF('단위공사별(집계)'!N13&gt;0,('단위공사별(집계)'!L13+'단위공사별(집계)'!M13)/1000,"")</f>
        <v>16270.236912338329</v>
      </c>
      <c r="H23" s="36">
        <f>IF('단위공사별(집계)'!N13&gt;0,'단위공사별(집계)'!N13/1000,"")</f>
        <v>137548.4061588996</v>
      </c>
      <c r="I23" s="37"/>
    </row>
    <row r="24" spans="2:9" ht="24.95" customHeight="1" x14ac:dyDescent="0.3">
      <c r="B24" s="38">
        <v>8</v>
      </c>
      <c r="C24" s="360" t="str">
        <f>단위장비8!C1</f>
        <v>인도 출장비</v>
      </c>
      <c r="D24" s="361"/>
      <c r="E24" s="338">
        <f>IF('단위공사별(집계)'!N14&gt;1,('단위공사별(집계)'!D14+'단위공사별(집계)'!E14+'단위공사별(집계)'!F14+'단위공사별(집계)'!G14+'단위공사별(집계)'!H14+'단위공사별(집계)'!I14)/1000," ")</f>
        <v>90316.87538493122</v>
      </c>
      <c r="F24" s="358"/>
      <c r="G24" s="35">
        <f>IF('단위공사별(집계)'!N14&gt;0,('단위공사별(집계)'!L14+'단위공사별(집계)'!M14)/1000,"")</f>
        <v>13283.357626770685</v>
      </c>
      <c r="H24" s="36">
        <f>IF('단위공사별(집계)'!N14&gt;0,'단위공사별(집계)'!N14/1000,"")</f>
        <v>112297.36111681379</v>
      </c>
      <c r="I24" s="37"/>
    </row>
    <row r="25" spans="2:9" ht="24.95" customHeight="1" x14ac:dyDescent="0.3">
      <c r="B25" s="38">
        <v>9</v>
      </c>
      <c r="C25" s="360">
        <f>단위장비9!C1</f>
        <v>0</v>
      </c>
      <c r="D25" s="361"/>
      <c r="E25" s="338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358"/>
      <c r="G25" s="35" t="str">
        <f>IF('단위공사별(집계)'!N15&gt;0,('단위공사별(집계)'!L15+'단위공사별(집계)'!M15)/1000,"")</f>
        <v/>
      </c>
      <c r="H25" s="36" t="str">
        <f>IF('단위공사별(집계)'!N15&gt;0,'단위공사별(집계)'!N15/1000,"")</f>
        <v/>
      </c>
      <c r="I25" s="37"/>
    </row>
    <row r="26" spans="2:9" ht="24.95" customHeight="1" x14ac:dyDescent="0.3">
      <c r="B26" s="39">
        <v>10</v>
      </c>
      <c r="C26" s="360">
        <f>단위장비10!C1</f>
        <v>0</v>
      </c>
      <c r="D26" s="361"/>
      <c r="E26" s="338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359"/>
      <c r="G26" s="35" t="str">
        <f>IF('단위공사별(집계)'!N16&gt;0,('단위공사별(집계)'!L16+'단위공사별(집계)'!M16)/1000,"")</f>
        <v/>
      </c>
      <c r="H26" s="36" t="str">
        <f>IF('단위공사별(집계)'!N16&gt;0,'단위공사별(집계)'!N16/1000,"")</f>
        <v/>
      </c>
      <c r="I26" s="40"/>
    </row>
    <row r="27" spans="2:9" ht="24.95" customHeight="1" x14ac:dyDescent="0.3">
      <c r="B27" s="362" t="s">
        <v>34</v>
      </c>
      <c r="C27" s="363"/>
      <c r="D27" s="364"/>
      <c r="E27" s="41">
        <f>SUM(E17:E26)</f>
        <v>248550</v>
      </c>
      <c r="F27" s="42">
        <f>SUM(F17)</f>
        <v>0</v>
      </c>
      <c r="G27" s="42">
        <f>SUM(G17:G26)</f>
        <v>36555.5</v>
      </c>
      <c r="H27" s="43">
        <f>SUM(H17:H26)</f>
        <v>309039.8</v>
      </c>
      <c r="I27" s="44"/>
    </row>
    <row r="28" spans="2:9" ht="4.5" customHeight="1" x14ac:dyDescent="0.3">
      <c r="B28" s="45"/>
      <c r="C28" s="46"/>
      <c r="D28" s="46"/>
      <c r="E28" s="47"/>
      <c r="F28" s="47"/>
      <c r="G28" s="47"/>
      <c r="H28" s="47"/>
    </row>
    <row r="29" spans="2:9" ht="24" customHeight="1" x14ac:dyDescent="0.3">
      <c r="B29" s="46"/>
      <c r="C29" s="46"/>
      <c r="D29" s="46"/>
      <c r="E29" s="47"/>
      <c r="F29" s="365" t="s">
        <v>35</v>
      </c>
      <c r="G29" s="366"/>
      <c r="H29" s="48">
        <v>309000000</v>
      </c>
    </row>
    <row r="30" spans="2:9" ht="15" customHeight="1" x14ac:dyDescent="0.3">
      <c r="B30" s="46"/>
      <c r="C30" s="46"/>
      <c r="D30" s="46"/>
      <c r="E30" s="47"/>
      <c r="F30" s="47"/>
      <c r="G30" s="47"/>
      <c r="H30" s="47"/>
    </row>
    <row r="31" spans="2:9" ht="22.5" customHeight="1" x14ac:dyDescent="0.3">
      <c r="B31" s="367" t="s">
        <v>36</v>
      </c>
      <c r="C31" s="370" t="s">
        <v>37</v>
      </c>
      <c r="D31" s="371"/>
      <c r="E31" s="372"/>
      <c r="F31" s="373" t="s">
        <v>38</v>
      </c>
      <c r="G31" s="374"/>
      <c r="H31" s="374"/>
      <c r="I31" s="375"/>
    </row>
    <row r="32" spans="2:9" ht="22.5" customHeight="1" x14ac:dyDescent="0.3">
      <c r="B32" s="368"/>
      <c r="C32" s="376" t="s">
        <v>39</v>
      </c>
      <c r="D32" s="377"/>
      <c r="E32" s="378"/>
      <c r="F32" s="49" t="s">
        <v>40</v>
      </c>
      <c r="G32" s="379"/>
      <c r="H32" s="380"/>
      <c r="I32" s="381"/>
    </row>
    <row r="33" spans="2:9" ht="22.5" customHeight="1" x14ac:dyDescent="0.3">
      <c r="B33" s="368"/>
      <c r="C33" s="382">
        <f>'원가항목별(집계)'!I39</f>
        <v>23000</v>
      </c>
      <c r="D33" s="383"/>
      <c r="E33" s="384"/>
      <c r="F33" s="38" t="s">
        <v>41</v>
      </c>
      <c r="G33" s="385"/>
      <c r="H33" s="386"/>
      <c r="I33" s="387"/>
    </row>
    <row r="34" spans="2:9" ht="22.5" customHeight="1" x14ac:dyDescent="0.3">
      <c r="B34" s="368"/>
      <c r="C34" s="388"/>
      <c r="D34" s="389"/>
      <c r="E34" s="390"/>
      <c r="F34" s="38" t="s">
        <v>42</v>
      </c>
      <c r="G34" s="385"/>
      <c r="H34" s="386"/>
      <c r="I34" s="387"/>
    </row>
    <row r="35" spans="2:9" ht="22.5" customHeight="1" x14ac:dyDescent="0.3">
      <c r="B35" s="369"/>
      <c r="C35" s="391"/>
      <c r="D35" s="392"/>
      <c r="E35" s="393"/>
      <c r="F35" s="39" t="s">
        <v>43</v>
      </c>
      <c r="G35" s="394"/>
      <c r="H35" s="395"/>
      <c r="I35" s="396"/>
    </row>
  </sheetData>
  <mergeCells count="39">
    <mergeCell ref="B27:D27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  <mergeCell ref="G35:I35"/>
    <mergeCell ref="C17:D17"/>
    <mergeCell ref="F17:F2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</mergeCells>
  <phoneticPr fontId="2" type="noConversion"/>
  <printOptions horizontalCentered="1"/>
  <pageMargins left="0.39370078740157483" right="0.39370078740157483" top="0.55118110236220474" bottom="0.39370078740157483" header="0.51181102362204722" footer="0.39370078740157483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50"/>
  <sheetViews>
    <sheetView showGridLines="0" zoomScale="80" workbookViewId="0">
      <pane ySplit="6" topLeftCell="A7" activePane="bottomLeft" state="frozen"/>
      <selection activeCell="K8" sqref="K8"/>
      <selection pane="bottomLeft" activeCell="M42" sqref="M42"/>
    </sheetView>
  </sheetViews>
  <sheetFormatPr defaultRowHeight="19.5" customHeight="1" x14ac:dyDescent="0.3"/>
  <cols>
    <col min="1" max="1" width="0.5" style="50" customWidth="1"/>
    <col min="2" max="2" width="5.25" style="50" bestFit="1" customWidth="1"/>
    <col min="3" max="3" width="7.375" style="50" customWidth="1"/>
    <col min="4" max="4" width="8.875" style="50" customWidth="1"/>
    <col min="5" max="5" width="17.75" style="50" customWidth="1"/>
    <col min="6" max="6" width="6.375" style="51" customWidth="1"/>
    <col min="7" max="7" width="8.875" style="52" customWidth="1"/>
    <col min="8" max="8" width="9.75" style="53" customWidth="1"/>
    <col min="9" max="9" width="17.5" style="53" bestFit="1" customWidth="1"/>
    <col min="10" max="10" width="15.625" style="50" customWidth="1"/>
    <col min="11" max="11" width="13.75" style="54" bestFit="1" customWidth="1"/>
    <col min="12" max="12" width="10.875" style="50" bestFit="1" customWidth="1"/>
    <col min="13" max="256" width="9" style="50"/>
    <col min="257" max="257" width="0.5" style="50" customWidth="1"/>
    <col min="258" max="258" width="5.25" style="50" bestFit="1" customWidth="1"/>
    <col min="259" max="259" width="7.375" style="50" customWidth="1"/>
    <col min="260" max="260" width="8.875" style="50" customWidth="1"/>
    <col min="261" max="261" width="17.75" style="50" customWidth="1"/>
    <col min="262" max="262" width="6.375" style="50" customWidth="1"/>
    <col min="263" max="263" width="8.875" style="50" customWidth="1"/>
    <col min="264" max="264" width="9.75" style="50" customWidth="1"/>
    <col min="265" max="265" width="17.5" style="50" bestFit="1" customWidth="1"/>
    <col min="266" max="266" width="15.625" style="50" customWidth="1"/>
    <col min="267" max="267" width="13.75" style="50" bestFit="1" customWidth="1"/>
    <col min="268" max="268" width="10.875" style="50" bestFit="1" customWidth="1"/>
    <col min="269" max="512" width="9" style="50"/>
    <col min="513" max="513" width="0.5" style="50" customWidth="1"/>
    <col min="514" max="514" width="5.25" style="50" bestFit="1" customWidth="1"/>
    <col min="515" max="515" width="7.375" style="50" customWidth="1"/>
    <col min="516" max="516" width="8.875" style="50" customWidth="1"/>
    <col min="517" max="517" width="17.75" style="50" customWidth="1"/>
    <col min="518" max="518" width="6.375" style="50" customWidth="1"/>
    <col min="519" max="519" width="8.875" style="50" customWidth="1"/>
    <col min="520" max="520" width="9.75" style="50" customWidth="1"/>
    <col min="521" max="521" width="17.5" style="50" bestFit="1" customWidth="1"/>
    <col min="522" max="522" width="15.625" style="50" customWidth="1"/>
    <col min="523" max="523" width="13.75" style="50" bestFit="1" customWidth="1"/>
    <col min="524" max="524" width="10.875" style="50" bestFit="1" customWidth="1"/>
    <col min="525" max="768" width="9" style="50"/>
    <col min="769" max="769" width="0.5" style="50" customWidth="1"/>
    <col min="770" max="770" width="5.25" style="50" bestFit="1" customWidth="1"/>
    <col min="771" max="771" width="7.375" style="50" customWidth="1"/>
    <col min="772" max="772" width="8.875" style="50" customWidth="1"/>
    <col min="773" max="773" width="17.75" style="50" customWidth="1"/>
    <col min="774" max="774" width="6.375" style="50" customWidth="1"/>
    <col min="775" max="775" width="8.875" style="50" customWidth="1"/>
    <col min="776" max="776" width="9.75" style="50" customWidth="1"/>
    <col min="777" max="777" width="17.5" style="50" bestFit="1" customWidth="1"/>
    <col min="778" max="778" width="15.625" style="50" customWidth="1"/>
    <col min="779" max="779" width="13.75" style="50" bestFit="1" customWidth="1"/>
    <col min="780" max="780" width="10.875" style="50" bestFit="1" customWidth="1"/>
    <col min="781" max="1024" width="9" style="50"/>
    <col min="1025" max="1025" width="0.5" style="50" customWidth="1"/>
    <col min="1026" max="1026" width="5.25" style="50" bestFit="1" customWidth="1"/>
    <col min="1027" max="1027" width="7.375" style="50" customWidth="1"/>
    <col min="1028" max="1028" width="8.875" style="50" customWidth="1"/>
    <col min="1029" max="1029" width="17.75" style="50" customWidth="1"/>
    <col min="1030" max="1030" width="6.375" style="50" customWidth="1"/>
    <col min="1031" max="1031" width="8.875" style="50" customWidth="1"/>
    <col min="1032" max="1032" width="9.75" style="50" customWidth="1"/>
    <col min="1033" max="1033" width="17.5" style="50" bestFit="1" customWidth="1"/>
    <col min="1034" max="1034" width="15.625" style="50" customWidth="1"/>
    <col min="1035" max="1035" width="13.75" style="50" bestFit="1" customWidth="1"/>
    <col min="1036" max="1036" width="10.875" style="50" bestFit="1" customWidth="1"/>
    <col min="1037" max="1280" width="9" style="50"/>
    <col min="1281" max="1281" width="0.5" style="50" customWidth="1"/>
    <col min="1282" max="1282" width="5.25" style="50" bestFit="1" customWidth="1"/>
    <col min="1283" max="1283" width="7.375" style="50" customWidth="1"/>
    <col min="1284" max="1284" width="8.875" style="50" customWidth="1"/>
    <col min="1285" max="1285" width="17.75" style="50" customWidth="1"/>
    <col min="1286" max="1286" width="6.375" style="50" customWidth="1"/>
    <col min="1287" max="1287" width="8.875" style="50" customWidth="1"/>
    <col min="1288" max="1288" width="9.75" style="50" customWidth="1"/>
    <col min="1289" max="1289" width="17.5" style="50" bestFit="1" customWidth="1"/>
    <col min="1290" max="1290" width="15.625" style="50" customWidth="1"/>
    <col min="1291" max="1291" width="13.75" style="50" bestFit="1" customWidth="1"/>
    <col min="1292" max="1292" width="10.875" style="50" bestFit="1" customWidth="1"/>
    <col min="1293" max="1536" width="9" style="50"/>
    <col min="1537" max="1537" width="0.5" style="50" customWidth="1"/>
    <col min="1538" max="1538" width="5.25" style="50" bestFit="1" customWidth="1"/>
    <col min="1539" max="1539" width="7.375" style="50" customWidth="1"/>
    <col min="1540" max="1540" width="8.875" style="50" customWidth="1"/>
    <col min="1541" max="1541" width="17.75" style="50" customWidth="1"/>
    <col min="1542" max="1542" width="6.375" style="50" customWidth="1"/>
    <col min="1543" max="1543" width="8.875" style="50" customWidth="1"/>
    <col min="1544" max="1544" width="9.75" style="50" customWidth="1"/>
    <col min="1545" max="1545" width="17.5" style="50" bestFit="1" customWidth="1"/>
    <col min="1546" max="1546" width="15.625" style="50" customWidth="1"/>
    <col min="1547" max="1547" width="13.75" style="50" bestFit="1" customWidth="1"/>
    <col min="1548" max="1548" width="10.875" style="50" bestFit="1" customWidth="1"/>
    <col min="1549" max="1792" width="9" style="50"/>
    <col min="1793" max="1793" width="0.5" style="50" customWidth="1"/>
    <col min="1794" max="1794" width="5.25" style="50" bestFit="1" customWidth="1"/>
    <col min="1795" max="1795" width="7.375" style="50" customWidth="1"/>
    <col min="1796" max="1796" width="8.875" style="50" customWidth="1"/>
    <col min="1797" max="1797" width="17.75" style="50" customWidth="1"/>
    <col min="1798" max="1798" width="6.375" style="50" customWidth="1"/>
    <col min="1799" max="1799" width="8.875" style="50" customWidth="1"/>
    <col min="1800" max="1800" width="9.75" style="50" customWidth="1"/>
    <col min="1801" max="1801" width="17.5" style="50" bestFit="1" customWidth="1"/>
    <col min="1802" max="1802" width="15.625" style="50" customWidth="1"/>
    <col min="1803" max="1803" width="13.75" style="50" bestFit="1" customWidth="1"/>
    <col min="1804" max="1804" width="10.875" style="50" bestFit="1" customWidth="1"/>
    <col min="1805" max="2048" width="9" style="50"/>
    <col min="2049" max="2049" width="0.5" style="50" customWidth="1"/>
    <col min="2050" max="2050" width="5.25" style="50" bestFit="1" customWidth="1"/>
    <col min="2051" max="2051" width="7.375" style="50" customWidth="1"/>
    <col min="2052" max="2052" width="8.875" style="50" customWidth="1"/>
    <col min="2053" max="2053" width="17.75" style="50" customWidth="1"/>
    <col min="2054" max="2054" width="6.375" style="50" customWidth="1"/>
    <col min="2055" max="2055" width="8.875" style="50" customWidth="1"/>
    <col min="2056" max="2056" width="9.75" style="50" customWidth="1"/>
    <col min="2057" max="2057" width="17.5" style="50" bestFit="1" customWidth="1"/>
    <col min="2058" max="2058" width="15.625" style="50" customWidth="1"/>
    <col min="2059" max="2059" width="13.75" style="50" bestFit="1" customWidth="1"/>
    <col min="2060" max="2060" width="10.875" style="50" bestFit="1" customWidth="1"/>
    <col min="2061" max="2304" width="9" style="50"/>
    <col min="2305" max="2305" width="0.5" style="50" customWidth="1"/>
    <col min="2306" max="2306" width="5.25" style="50" bestFit="1" customWidth="1"/>
    <col min="2307" max="2307" width="7.375" style="50" customWidth="1"/>
    <col min="2308" max="2308" width="8.875" style="50" customWidth="1"/>
    <col min="2309" max="2309" width="17.75" style="50" customWidth="1"/>
    <col min="2310" max="2310" width="6.375" style="50" customWidth="1"/>
    <col min="2311" max="2311" width="8.875" style="50" customWidth="1"/>
    <col min="2312" max="2312" width="9.75" style="50" customWidth="1"/>
    <col min="2313" max="2313" width="17.5" style="50" bestFit="1" customWidth="1"/>
    <col min="2314" max="2314" width="15.625" style="50" customWidth="1"/>
    <col min="2315" max="2315" width="13.75" style="50" bestFit="1" customWidth="1"/>
    <col min="2316" max="2316" width="10.875" style="50" bestFit="1" customWidth="1"/>
    <col min="2317" max="2560" width="9" style="50"/>
    <col min="2561" max="2561" width="0.5" style="50" customWidth="1"/>
    <col min="2562" max="2562" width="5.25" style="50" bestFit="1" customWidth="1"/>
    <col min="2563" max="2563" width="7.375" style="50" customWidth="1"/>
    <col min="2564" max="2564" width="8.875" style="50" customWidth="1"/>
    <col min="2565" max="2565" width="17.75" style="50" customWidth="1"/>
    <col min="2566" max="2566" width="6.375" style="50" customWidth="1"/>
    <col min="2567" max="2567" width="8.875" style="50" customWidth="1"/>
    <col min="2568" max="2568" width="9.75" style="50" customWidth="1"/>
    <col min="2569" max="2569" width="17.5" style="50" bestFit="1" customWidth="1"/>
    <col min="2570" max="2570" width="15.625" style="50" customWidth="1"/>
    <col min="2571" max="2571" width="13.75" style="50" bestFit="1" customWidth="1"/>
    <col min="2572" max="2572" width="10.875" style="50" bestFit="1" customWidth="1"/>
    <col min="2573" max="2816" width="9" style="50"/>
    <col min="2817" max="2817" width="0.5" style="50" customWidth="1"/>
    <col min="2818" max="2818" width="5.25" style="50" bestFit="1" customWidth="1"/>
    <col min="2819" max="2819" width="7.375" style="50" customWidth="1"/>
    <col min="2820" max="2820" width="8.875" style="50" customWidth="1"/>
    <col min="2821" max="2821" width="17.75" style="50" customWidth="1"/>
    <col min="2822" max="2822" width="6.375" style="50" customWidth="1"/>
    <col min="2823" max="2823" width="8.875" style="50" customWidth="1"/>
    <col min="2824" max="2824" width="9.75" style="50" customWidth="1"/>
    <col min="2825" max="2825" width="17.5" style="50" bestFit="1" customWidth="1"/>
    <col min="2826" max="2826" width="15.625" style="50" customWidth="1"/>
    <col min="2827" max="2827" width="13.75" style="50" bestFit="1" customWidth="1"/>
    <col min="2828" max="2828" width="10.875" style="50" bestFit="1" customWidth="1"/>
    <col min="2829" max="3072" width="9" style="50"/>
    <col min="3073" max="3073" width="0.5" style="50" customWidth="1"/>
    <col min="3074" max="3074" width="5.25" style="50" bestFit="1" customWidth="1"/>
    <col min="3075" max="3075" width="7.375" style="50" customWidth="1"/>
    <col min="3076" max="3076" width="8.875" style="50" customWidth="1"/>
    <col min="3077" max="3077" width="17.75" style="50" customWidth="1"/>
    <col min="3078" max="3078" width="6.375" style="50" customWidth="1"/>
    <col min="3079" max="3079" width="8.875" style="50" customWidth="1"/>
    <col min="3080" max="3080" width="9.75" style="50" customWidth="1"/>
    <col min="3081" max="3081" width="17.5" style="50" bestFit="1" customWidth="1"/>
    <col min="3082" max="3082" width="15.625" style="50" customWidth="1"/>
    <col min="3083" max="3083" width="13.75" style="50" bestFit="1" customWidth="1"/>
    <col min="3084" max="3084" width="10.875" style="50" bestFit="1" customWidth="1"/>
    <col min="3085" max="3328" width="9" style="50"/>
    <col min="3329" max="3329" width="0.5" style="50" customWidth="1"/>
    <col min="3330" max="3330" width="5.25" style="50" bestFit="1" customWidth="1"/>
    <col min="3331" max="3331" width="7.375" style="50" customWidth="1"/>
    <col min="3332" max="3332" width="8.875" style="50" customWidth="1"/>
    <col min="3333" max="3333" width="17.75" style="50" customWidth="1"/>
    <col min="3334" max="3334" width="6.375" style="50" customWidth="1"/>
    <col min="3335" max="3335" width="8.875" style="50" customWidth="1"/>
    <col min="3336" max="3336" width="9.75" style="50" customWidth="1"/>
    <col min="3337" max="3337" width="17.5" style="50" bestFit="1" customWidth="1"/>
    <col min="3338" max="3338" width="15.625" style="50" customWidth="1"/>
    <col min="3339" max="3339" width="13.75" style="50" bestFit="1" customWidth="1"/>
    <col min="3340" max="3340" width="10.875" style="50" bestFit="1" customWidth="1"/>
    <col min="3341" max="3584" width="9" style="50"/>
    <col min="3585" max="3585" width="0.5" style="50" customWidth="1"/>
    <col min="3586" max="3586" width="5.25" style="50" bestFit="1" customWidth="1"/>
    <col min="3587" max="3587" width="7.375" style="50" customWidth="1"/>
    <col min="3588" max="3588" width="8.875" style="50" customWidth="1"/>
    <col min="3589" max="3589" width="17.75" style="50" customWidth="1"/>
    <col min="3590" max="3590" width="6.375" style="50" customWidth="1"/>
    <col min="3591" max="3591" width="8.875" style="50" customWidth="1"/>
    <col min="3592" max="3592" width="9.75" style="50" customWidth="1"/>
    <col min="3593" max="3593" width="17.5" style="50" bestFit="1" customWidth="1"/>
    <col min="3594" max="3594" width="15.625" style="50" customWidth="1"/>
    <col min="3595" max="3595" width="13.75" style="50" bestFit="1" customWidth="1"/>
    <col min="3596" max="3596" width="10.875" style="50" bestFit="1" customWidth="1"/>
    <col min="3597" max="3840" width="9" style="50"/>
    <col min="3841" max="3841" width="0.5" style="50" customWidth="1"/>
    <col min="3842" max="3842" width="5.25" style="50" bestFit="1" customWidth="1"/>
    <col min="3843" max="3843" width="7.375" style="50" customWidth="1"/>
    <col min="3844" max="3844" width="8.875" style="50" customWidth="1"/>
    <col min="3845" max="3845" width="17.75" style="50" customWidth="1"/>
    <col min="3846" max="3846" width="6.375" style="50" customWidth="1"/>
    <col min="3847" max="3847" width="8.875" style="50" customWidth="1"/>
    <col min="3848" max="3848" width="9.75" style="50" customWidth="1"/>
    <col min="3849" max="3849" width="17.5" style="50" bestFit="1" customWidth="1"/>
    <col min="3850" max="3850" width="15.625" style="50" customWidth="1"/>
    <col min="3851" max="3851" width="13.75" style="50" bestFit="1" customWidth="1"/>
    <col min="3852" max="3852" width="10.875" style="50" bestFit="1" customWidth="1"/>
    <col min="3853" max="4096" width="9" style="50"/>
    <col min="4097" max="4097" width="0.5" style="50" customWidth="1"/>
    <col min="4098" max="4098" width="5.25" style="50" bestFit="1" customWidth="1"/>
    <col min="4099" max="4099" width="7.375" style="50" customWidth="1"/>
    <col min="4100" max="4100" width="8.875" style="50" customWidth="1"/>
    <col min="4101" max="4101" width="17.75" style="50" customWidth="1"/>
    <col min="4102" max="4102" width="6.375" style="50" customWidth="1"/>
    <col min="4103" max="4103" width="8.875" style="50" customWidth="1"/>
    <col min="4104" max="4104" width="9.75" style="50" customWidth="1"/>
    <col min="4105" max="4105" width="17.5" style="50" bestFit="1" customWidth="1"/>
    <col min="4106" max="4106" width="15.625" style="50" customWidth="1"/>
    <col min="4107" max="4107" width="13.75" style="50" bestFit="1" customWidth="1"/>
    <col min="4108" max="4108" width="10.875" style="50" bestFit="1" customWidth="1"/>
    <col min="4109" max="4352" width="9" style="50"/>
    <col min="4353" max="4353" width="0.5" style="50" customWidth="1"/>
    <col min="4354" max="4354" width="5.25" style="50" bestFit="1" customWidth="1"/>
    <col min="4355" max="4355" width="7.375" style="50" customWidth="1"/>
    <col min="4356" max="4356" width="8.875" style="50" customWidth="1"/>
    <col min="4357" max="4357" width="17.75" style="50" customWidth="1"/>
    <col min="4358" max="4358" width="6.375" style="50" customWidth="1"/>
    <col min="4359" max="4359" width="8.875" style="50" customWidth="1"/>
    <col min="4360" max="4360" width="9.75" style="50" customWidth="1"/>
    <col min="4361" max="4361" width="17.5" style="50" bestFit="1" customWidth="1"/>
    <col min="4362" max="4362" width="15.625" style="50" customWidth="1"/>
    <col min="4363" max="4363" width="13.75" style="50" bestFit="1" customWidth="1"/>
    <col min="4364" max="4364" width="10.875" style="50" bestFit="1" customWidth="1"/>
    <col min="4365" max="4608" width="9" style="50"/>
    <col min="4609" max="4609" width="0.5" style="50" customWidth="1"/>
    <col min="4610" max="4610" width="5.25" style="50" bestFit="1" customWidth="1"/>
    <col min="4611" max="4611" width="7.375" style="50" customWidth="1"/>
    <col min="4612" max="4612" width="8.875" style="50" customWidth="1"/>
    <col min="4613" max="4613" width="17.75" style="50" customWidth="1"/>
    <col min="4614" max="4614" width="6.375" style="50" customWidth="1"/>
    <col min="4615" max="4615" width="8.875" style="50" customWidth="1"/>
    <col min="4616" max="4616" width="9.75" style="50" customWidth="1"/>
    <col min="4617" max="4617" width="17.5" style="50" bestFit="1" customWidth="1"/>
    <col min="4618" max="4618" width="15.625" style="50" customWidth="1"/>
    <col min="4619" max="4619" width="13.75" style="50" bestFit="1" customWidth="1"/>
    <col min="4620" max="4620" width="10.875" style="50" bestFit="1" customWidth="1"/>
    <col min="4621" max="4864" width="9" style="50"/>
    <col min="4865" max="4865" width="0.5" style="50" customWidth="1"/>
    <col min="4866" max="4866" width="5.25" style="50" bestFit="1" customWidth="1"/>
    <col min="4867" max="4867" width="7.375" style="50" customWidth="1"/>
    <col min="4868" max="4868" width="8.875" style="50" customWidth="1"/>
    <col min="4869" max="4869" width="17.75" style="50" customWidth="1"/>
    <col min="4870" max="4870" width="6.375" style="50" customWidth="1"/>
    <col min="4871" max="4871" width="8.875" style="50" customWidth="1"/>
    <col min="4872" max="4872" width="9.75" style="50" customWidth="1"/>
    <col min="4873" max="4873" width="17.5" style="50" bestFit="1" customWidth="1"/>
    <col min="4874" max="4874" width="15.625" style="50" customWidth="1"/>
    <col min="4875" max="4875" width="13.75" style="50" bestFit="1" customWidth="1"/>
    <col min="4876" max="4876" width="10.875" style="50" bestFit="1" customWidth="1"/>
    <col min="4877" max="5120" width="9" style="50"/>
    <col min="5121" max="5121" width="0.5" style="50" customWidth="1"/>
    <col min="5122" max="5122" width="5.25" style="50" bestFit="1" customWidth="1"/>
    <col min="5123" max="5123" width="7.375" style="50" customWidth="1"/>
    <col min="5124" max="5124" width="8.875" style="50" customWidth="1"/>
    <col min="5125" max="5125" width="17.75" style="50" customWidth="1"/>
    <col min="5126" max="5126" width="6.375" style="50" customWidth="1"/>
    <col min="5127" max="5127" width="8.875" style="50" customWidth="1"/>
    <col min="5128" max="5128" width="9.75" style="50" customWidth="1"/>
    <col min="5129" max="5129" width="17.5" style="50" bestFit="1" customWidth="1"/>
    <col min="5130" max="5130" width="15.625" style="50" customWidth="1"/>
    <col min="5131" max="5131" width="13.75" style="50" bestFit="1" customWidth="1"/>
    <col min="5132" max="5132" width="10.875" style="50" bestFit="1" customWidth="1"/>
    <col min="5133" max="5376" width="9" style="50"/>
    <col min="5377" max="5377" width="0.5" style="50" customWidth="1"/>
    <col min="5378" max="5378" width="5.25" style="50" bestFit="1" customWidth="1"/>
    <col min="5379" max="5379" width="7.375" style="50" customWidth="1"/>
    <col min="5380" max="5380" width="8.875" style="50" customWidth="1"/>
    <col min="5381" max="5381" width="17.75" style="50" customWidth="1"/>
    <col min="5382" max="5382" width="6.375" style="50" customWidth="1"/>
    <col min="5383" max="5383" width="8.875" style="50" customWidth="1"/>
    <col min="5384" max="5384" width="9.75" style="50" customWidth="1"/>
    <col min="5385" max="5385" width="17.5" style="50" bestFit="1" customWidth="1"/>
    <col min="5386" max="5386" width="15.625" style="50" customWidth="1"/>
    <col min="5387" max="5387" width="13.75" style="50" bestFit="1" customWidth="1"/>
    <col min="5388" max="5388" width="10.875" style="50" bestFit="1" customWidth="1"/>
    <col min="5389" max="5632" width="9" style="50"/>
    <col min="5633" max="5633" width="0.5" style="50" customWidth="1"/>
    <col min="5634" max="5634" width="5.25" style="50" bestFit="1" customWidth="1"/>
    <col min="5635" max="5635" width="7.375" style="50" customWidth="1"/>
    <col min="5636" max="5636" width="8.875" style="50" customWidth="1"/>
    <col min="5637" max="5637" width="17.75" style="50" customWidth="1"/>
    <col min="5638" max="5638" width="6.375" style="50" customWidth="1"/>
    <col min="5639" max="5639" width="8.875" style="50" customWidth="1"/>
    <col min="5640" max="5640" width="9.75" style="50" customWidth="1"/>
    <col min="5641" max="5641" width="17.5" style="50" bestFit="1" customWidth="1"/>
    <col min="5642" max="5642" width="15.625" style="50" customWidth="1"/>
    <col min="5643" max="5643" width="13.75" style="50" bestFit="1" customWidth="1"/>
    <col min="5644" max="5644" width="10.875" style="50" bestFit="1" customWidth="1"/>
    <col min="5645" max="5888" width="9" style="50"/>
    <col min="5889" max="5889" width="0.5" style="50" customWidth="1"/>
    <col min="5890" max="5890" width="5.25" style="50" bestFit="1" customWidth="1"/>
    <col min="5891" max="5891" width="7.375" style="50" customWidth="1"/>
    <col min="5892" max="5892" width="8.875" style="50" customWidth="1"/>
    <col min="5893" max="5893" width="17.75" style="50" customWidth="1"/>
    <col min="5894" max="5894" width="6.375" style="50" customWidth="1"/>
    <col min="5895" max="5895" width="8.875" style="50" customWidth="1"/>
    <col min="5896" max="5896" width="9.75" style="50" customWidth="1"/>
    <col min="5897" max="5897" width="17.5" style="50" bestFit="1" customWidth="1"/>
    <col min="5898" max="5898" width="15.625" style="50" customWidth="1"/>
    <col min="5899" max="5899" width="13.75" style="50" bestFit="1" customWidth="1"/>
    <col min="5900" max="5900" width="10.875" style="50" bestFit="1" customWidth="1"/>
    <col min="5901" max="6144" width="9" style="50"/>
    <col min="6145" max="6145" width="0.5" style="50" customWidth="1"/>
    <col min="6146" max="6146" width="5.25" style="50" bestFit="1" customWidth="1"/>
    <col min="6147" max="6147" width="7.375" style="50" customWidth="1"/>
    <col min="6148" max="6148" width="8.875" style="50" customWidth="1"/>
    <col min="6149" max="6149" width="17.75" style="50" customWidth="1"/>
    <col min="6150" max="6150" width="6.375" style="50" customWidth="1"/>
    <col min="6151" max="6151" width="8.875" style="50" customWidth="1"/>
    <col min="6152" max="6152" width="9.75" style="50" customWidth="1"/>
    <col min="6153" max="6153" width="17.5" style="50" bestFit="1" customWidth="1"/>
    <col min="6154" max="6154" width="15.625" style="50" customWidth="1"/>
    <col min="6155" max="6155" width="13.75" style="50" bestFit="1" customWidth="1"/>
    <col min="6156" max="6156" width="10.875" style="50" bestFit="1" customWidth="1"/>
    <col min="6157" max="6400" width="9" style="50"/>
    <col min="6401" max="6401" width="0.5" style="50" customWidth="1"/>
    <col min="6402" max="6402" width="5.25" style="50" bestFit="1" customWidth="1"/>
    <col min="6403" max="6403" width="7.375" style="50" customWidth="1"/>
    <col min="6404" max="6404" width="8.875" style="50" customWidth="1"/>
    <col min="6405" max="6405" width="17.75" style="50" customWidth="1"/>
    <col min="6406" max="6406" width="6.375" style="50" customWidth="1"/>
    <col min="6407" max="6407" width="8.875" style="50" customWidth="1"/>
    <col min="6408" max="6408" width="9.75" style="50" customWidth="1"/>
    <col min="6409" max="6409" width="17.5" style="50" bestFit="1" customWidth="1"/>
    <col min="6410" max="6410" width="15.625" style="50" customWidth="1"/>
    <col min="6411" max="6411" width="13.75" style="50" bestFit="1" customWidth="1"/>
    <col min="6412" max="6412" width="10.875" style="50" bestFit="1" customWidth="1"/>
    <col min="6413" max="6656" width="9" style="50"/>
    <col min="6657" max="6657" width="0.5" style="50" customWidth="1"/>
    <col min="6658" max="6658" width="5.25" style="50" bestFit="1" customWidth="1"/>
    <col min="6659" max="6659" width="7.375" style="50" customWidth="1"/>
    <col min="6660" max="6660" width="8.875" style="50" customWidth="1"/>
    <col min="6661" max="6661" width="17.75" style="50" customWidth="1"/>
    <col min="6662" max="6662" width="6.375" style="50" customWidth="1"/>
    <col min="6663" max="6663" width="8.875" style="50" customWidth="1"/>
    <col min="6664" max="6664" width="9.75" style="50" customWidth="1"/>
    <col min="6665" max="6665" width="17.5" style="50" bestFit="1" customWidth="1"/>
    <col min="6666" max="6666" width="15.625" style="50" customWidth="1"/>
    <col min="6667" max="6667" width="13.75" style="50" bestFit="1" customWidth="1"/>
    <col min="6668" max="6668" width="10.875" style="50" bestFit="1" customWidth="1"/>
    <col min="6669" max="6912" width="9" style="50"/>
    <col min="6913" max="6913" width="0.5" style="50" customWidth="1"/>
    <col min="6914" max="6914" width="5.25" style="50" bestFit="1" customWidth="1"/>
    <col min="6915" max="6915" width="7.375" style="50" customWidth="1"/>
    <col min="6916" max="6916" width="8.875" style="50" customWidth="1"/>
    <col min="6917" max="6917" width="17.75" style="50" customWidth="1"/>
    <col min="6918" max="6918" width="6.375" style="50" customWidth="1"/>
    <col min="6919" max="6919" width="8.875" style="50" customWidth="1"/>
    <col min="6920" max="6920" width="9.75" style="50" customWidth="1"/>
    <col min="6921" max="6921" width="17.5" style="50" bestFit="1" customWidth="1"/>
    <col min="6922" max="6922" width="15.625" style="50" customWidth="1"/>
    <col min="6923" max="6923" width="13.75" style="50" bestFit="1" customWidth="1"/>
    <col min="6924" max="6924" width="10.875" style="50" bestFit="1" customWidth="1"/>
    <col min="6925" max="7168" width="9" style="50"/>
    <col min="7169" max="7169" width="0.5" style="50" customWidth="1"/>
    <col min="7170" max="7170" width="5.25" style="50" bestFit="1" customWidth="1"/>
    <col min="7171" max="7171" width="7.375" style="50" customWidth="1"/>
    <col min="7172" max="7172" width="8.875" style="50" customWidth="1"/>
    <col min="7173" max="7173" width="17.75" style="50" customWidth="1"/>
    <col min="7174" max="7174" width="6.375" style="50" customWidth="1"/>
    <col min="7175" max="7175" width="8.875" style="50" customWidth="1"/>
    <col min="7176" max="7176" width="9.75" style="50" customWidth="1"/>
    <col min="7177" max="7177" width="17.5" style="50" bestFit="1" customWidth="1"/>
    <col min="7178" max="7178" width="15.625" style="50" customWidth="1"/>
    <col min="7179" max="7179" width="13.75" style="50" bestFit="1" customWidth="1"/>
    <col min="7180" max="7180" width="10.875" style="50" bestFit="1" customWidth="1"/>
    <col min="7181" max="7424" width="9" style="50"/>
    <col min="7425" max="7425" width="0.5" style="50" customWidth="1"/>
    <col min="7426" max="7426" width="5.25" style="50" bestFit="1" customWidth="1"/>
    <col min="7427" max="7427" width="7.375" style="50" customWidth="1"/>
    <col min="7428" max="7428" width="8.875" style="50" customWidth="1"/>
    <col min="7429" max="7429" width="17.75" style="50" customWidth="1"/>
    <col min="7430" max="7430" width="6.375" style="50" customWidth="1"/>
    <col min="7431" max="7431" width="8.875" style="50" customWidth="1"/>
    <col min="7432" max="7432" width="9.75" style="50" customWidth="1"/>
    <col min="7433" max="7433" width="17.5" style="50" bestFit="1" customWidth="1"/>
    <col min="7434" max="7434" width="15.625" style="50" customWidth="1"/>
    <col min="7435" max="7435" width="13.75" style="50" bestFit="1" customWidth="1"/>
    <col min="7436" max="7436" width="10.875" style="50" bestFit="1" customWidth="1"/>
    <col min="7437" max="7680" width="9" style="50"/>
    <col min="7681" max="7681" width="0.5" style="50" customWidth="1"/>
    <col min="7682" max="7682" width="5.25" style="50" bestFit="1" customWidth="1"/>
    <col min="7683" max="7683" width="7.375" style="50" customWidth="1"/>
    <col min="7684" max="7684" width="8.875" style="50" customWidth="1"/>
    <col min="7685" max="7685" width="17.75" style="50" customWidth="1"/>
    <col min="7686" max="7686" width="6.375" style="50" customWidth="1"/>
    <col min="7687" max="7687" width="8.875" style="50" customWidth="1"/>
    <col min="7688" max="7688" width="9.75" style="50" customWidth="1"/>
    <col min="7689" max="7689" width="17.5" style="50" bestFit="1" customWidth="1"/>
    <col min="7690" max="7690" width="15.625" style="50" customWidth="1"/>
    <col min="7691" max="7691" width="13.75" style="50" bestFit="1" customWidth="1"/>
    <col min="7692" max="7692" width="10.875" style="50" bestFit="1" customWidth="1"/>
    <col min="7693" max="7936" width="9" style="50"/>
    <col min="7937" max="7937" width="0.5" style="50" customWidth="1"/>
    <col min="7938" max="7938" width="5.25" style="50" bestFit="1" customWidth="1"/>
    <col min="7939" max="7939" width="7.375" style="50" customWidth="1"/>
    <col min="7940" max="7940" width="8.875" style="50" customWidth="1"/>
    <col min="7941" max="7941" width="17.75" style="50" customWidth="1"/>
    <col min="7942" max="7942" width="6.375" style="50" customWidth="1"/>
    <col min="7943" max="7943" width="8.875" style="50" customWidth="1"/>
    <col min="7944" max="7944" width="9.75" style="50" customWidth="1"/>
    <col min="7945" max="7945" width="17.5" style="50" bestFit="1" customWidth="1"/>
    <col min="7946" max="7946" width="15.625" style="50" customWidth="1"/>
    <col min="7947" max="7947" width="13.75" style="50" bestFit="1" customWidth="1"/>
    <col min="7948" max="7948" width="10.875" style="50" bestFit="1" customWidth="1"/>
    <col min="7949" max="8192" width="9" style="50"/>
    <col min="8193" max="8193" width="0.5" style="50" customWidth="1"/>
    <col min="8194" max="8194" width="5.25" style="50" bestFit="1" customWidth="1"/>
    <col min="8195" max="8195" width="7.375" style="50" customWidth="1"/>
    <col min="8196" max="8196" width="8.875" style="50" customWidth="1"/>
    <col min="8197" max="8197" width="17.75" style="50" customWidth="1"/>
    <col min="8198" max="8198" width="6.375" style="50" customWidth="1"/>
    <col min="8199" max="8199" width="8.875" style="50" customWidth="1"/>
    <col min="8200" max="8200" width="9.75" style="50" customWidth="1"/>
    <col min="8201" max="8201" width="17.5" style="50" bestFit="1" customWidth="1"/>
    <col min="8202" max="8202" width="15.625" style="50" customWidth="1"/>
    <col min="8203" max="8203" width="13.75" style="50" bestFit="1" customWidth="1"/>
    <col min="8204" max="8204" width="10.875" style="50" bestFit="1" customWidth="1"/>
    <col min="8205" max="8448" width="9" style="50"/>
    <col min="8449" max="8449" width="0.5" style="50" customWidth="1"/>
    <col min="8450" max="8450" width="5.25" style="50" bestFit="1" customWidth="1"/>
    <col min="8451" max="8451" width="7.375" style="50" customWidth="1"/>
    <col min="8452" max="8452" width="8.875" style="50" customWidth="1"/>
    <col min="8453" max="8453" width="17.75" style="50" customWidth="1"/>
    <col min="8454" max="8454" width="6.375" style="50" customWidth="1"/>
    <col min="8455" max="8455" width="8.875" style="50" customWidth="1"/>
    <col min="8456" max="8456" width="9.75" style="50" customWidth="1"/>
    <col min="8457" max="8457" width="17.5" style="50" bestFit="1" customWidth="1"/>
    <col min="8458" max="8458" width="15.625" style="50" customWidth="1"/>
    <col min="8459" max="8459" width="13.75" style="50" bestFit="1" customWidth="1"/>
    <col min="8460" max="8460" width="10.875" style="50" bestFit="1" customWidth="1"/>
    <col min="8461" max="8704" width="9" style="50"/>
    <col min="8705" max="8705" width="0.5" style="50" customWidth="1"/>
    <col min="8706" max="8706" width="5.25" style="50" bestFit="1" customWidth="1"/>
    <col min="8707" max="8707" width="7.375" style="50" customWidth="1"/>
    <col min="8708" max="8708" width="8.875" style="50" customWidth="1"/>
    <col min="8709" max="8709" width="17.75" style="50" customWidth="1"/>
    <col min="8710" max="8710" width="6.375" style="50" customWidth="1"/>
    <col min="8711" max="8711" width="8.875" style="50" customWidth="1"/>
    <col min="8712" max="8712" width="9.75" style="50" customWidth="1"/>
    <col min="8713" max="8713" width="17.5" style="50" bestFit="1" customWidth="1"/>
    <col min="8714" max="8714" width="15.625" style="50" customWidth="1"/>
    <col min="8715" max="8715" width="13.75" style="50" bestFit="1" customWidth="1"/>
    <col min="8716" max="8716" width="10.875" style="50" bestFit="1" customWidth="1"/>
    <col min="8717" max="8960" width="9" style="50"/>
    <col min="8961" max="8961" width="0.5" style="50" customWidth="1"/>
    <col min="8962" max="8962" width="5.25" style="50" bestFit="1" customWidth="1"/>
    <col min="8963" max="8963" width="7.375" style="50" customWidth="1"/>
    <col min="8964" max="8964" width="8.875" style="50" customWidth="1"/>
    <col min="8965" max="8965" width="17.75" style="50" customWidth="1"/>
    <col min="8966" max="8966" width="6.375" style="50" customWidth="1"/>
    <col min="8967" max="8967" width="8.875" style="50" customWidth="1"/>
    <col min="8968" max="8968" width="9.75" style="50" customWidth="1"/>
    <col min="8969" max="8969" width="17.5" style="50" bestFit="1" customWidth="1"/>
    <col min="8970" max="8970" width="15.625" style="50" customWidth="1"/>
    <col min="8971" max="8971" width="13.75" style="50" bestFit="1" customWidth="1"/>
    <col min="8972" max="8972" width="10.875" style="50" bestFit="1" customWidth="1"/>
    <col min="8973" max="9216" width="9" style="50"/>
    <col min="9217" max="9217" width="0.5" style="50" customWidth="1"/>
    <col min="9218" max="9218" width="5.25" style="50" bestFit="1" customWidth="1"/>
    <col min="9219" max="9219" width="7.375" style="50" customWidth="1"/>
    <col min="9220" max="9220" width="8.875" style="50" customWidth="1"/>
    <col min="9221" max="9221" width="17.75" style="50" customWidth="1"/>
    <col min="9222" max="9222" width="6.375" style="50" customWidth="1"/>
    <col min="9223" max="9223" width="8.875" style="50" customWidth="1"/>
    <col min="9224" max="9224" width="9.75" style="50" customWidth="1"/>
    <col min="9225" max="9225" width="17.5" style="50" bestFit="1" customWidth="1"/>
    <col min="9226" max="9226" width="15.625" style="50" customWidth="1"/>
    <col min="9227" max="9227" width="13.75" style="50" bestFit="1" customWidth="1"/>
    <col min="9228" max="9228" width="10.875" style="50" bestFit="1" customWidth="1"/>
    <col min="9229" max="9472" width="9" style="50"/>
    <col min="9473" max="9473" width="0.5" style="50" customWidth="1"/>
    <col min="9474" max="9474" width="5.25" style="50" bestFit="1" customWidth="1"/>
    <col min="9475" max="9475" width="7.375" style="50" customWidth="1"/>
    <col min="9476" max="9476" width="8.875" style="50" customWidth="1"/>
    <col min="9477" max="9477" width="17.75" style="50" customWidth="1"/>
    <col min="9478" max="9478" width="6.375" style="50" customWidth="1"/>
    <col min="9479" max="9479" width="8.875" style="50" customWidth="1"/>
    <col min="9480" max="9480" width="9.75" style="50" customWidth="1"/>
    <col min="9481" max="9481" width="17.5" style="50" bestFit="1" customWidth="1"/>
    <col min="9482" max="9482" width="15.625" style="50" customWidth="1"/>
    <col min="9483" max="9483" width="13.75" style="50" bestFit="1" customWidth="1"/>
    <col min="9484" max="9484" width="10.875" style="50" bestFit="1" customWidth="1"/>
    <col min="9485" max="9728" width="9" style="50"/>
    <col min="9729" max="9729" width="0.5" style="50" customWidth="1"/>
    <col min="9730" max="9730" width="5.25" style="50" bestFit="1" customWidth="1"/>
    <col min="9731" max="9731" width="7.375" style="50" customWidth="1"/>
    <col min="9732" max="9732" width="8.875" style="50" customWidth="1"/>
    <col min="9733" max="9733" width="17.75" style="50" customWidth="1"/>
    <col min="9734" max="9734" width="6.375" style="50" customWidth="1"/>
    <col min="9735" max="9735" width="8.875" style="50" customWidth="1"/>
    <col min="9736" max="9736" width="9.75" style="50" customWidth="1"/>
    <col min="9737" max="9737" width="17.5" style="50" bestFit="1" customWidth="1"/>
    <col min="9738" max="9738" width="15.625" style="50" customWidth="1"/>
    <col min="9739" max="9739" width="13.75" style="50" bestFit="1" customWidth="1"/>
    <col min="9740" max="9740" width="10.875" style="50" bestFit="1" customWidth="1"/>
    <col min="9741" max="9984" width="9" style="50"/>
    <col min="9985" max="9985" width="0.5" style="50" customWidth="1"/>
    <col min="9986" max="9986" width="5.25" style="50" bestFit="1" customWidth="1"/>
    <col min="9987" max="9987" width="7.375" style="50" customWidth="1"/>
    <col min="9988" max="9988" width="8.875" style="50" customWidth="1"/>
    <col min="9989" max="9989" width="17.75" style="50" customWidth="1"/>
    <col min="9990" max="9990" width="6.375" style="50" customWidth="1"/>
    <col min="9991" max="9991" width="8.875" style="50" customWidth="1"/>
    <col min="9992" max="9992" width="9.75" style="50" customWidth="1"/>
    <col min="9993" max="9993" width="17.5" style="50" bestFit="1" customWidth="1"/>
    <col min="9994" max="9994" width="15.625" style="50" customWidth="1"/>
    <col min="9995" max="9995" width="13.75" style="50" bestFit="1" customWidth="1"/>
    <col min="9996" max="9996" width="10.875" style="50" bestFit="1" customWidth="1"/>
    <col min="9997" max="10240" width="9" style="50"/>
    <col min="10241" max="10241" width="0.5" style="50" customWidth="1"/>
    <col min="10242" max="10242" width="5.25" style="50" bestFit="1" customWidth="1"/>
    <col min="10243" max="10243" width="7.375" style="50" customWidth="1"/>
    <col min="10244" max="10244" width="8.875" style="50" customWidth="1"/>
    <col min="10245" max="10245" width="17.75" style="50" customWidth="1"/>
    <col min="10246" max="10246" width="6.375" style="50" customWidth="1"/>
    <col min="10247" max="10247" width="8.875" style="50" customWidth="1"/>
    <col min="10248" max="10248" width="9.75" style="50" customWidth="1"/>
    <col min="10249" max="10249" width="17.5" style="50" bestFit="1" customWidth="1"/>
    <col min="10250" max="10250" width="15.625" style="50" customWidth="1"/>
    <col min="10251" max="10251" width="13.75" style="50" bestFit="1" customWidth="1"/>
    <col min="10252" max="10252" width="10.875" style="50" bestFit="1" customWidth="1"/>
    <col min="10253" max="10496" width="9" style="50"/>
    <col min="10497" max="10497" width="0.5" style="50" customWidth="1"/>
    <col min="10498" max="10498" width="5.25" style="50" bestFit="1" customWidth="1"/>
    <col min="10499" max="10499" width="7.375" style="50" customWidth="1"/>
    <col min="10500" max="10500" width="8.875" style="50" customWidth="1"/>
    <col min="10501" max="10501" width="17.75" style="50" customWidth="1"/>
    <col min="10502" max="10502" width="6.375" style="50" customWidth="1"/>
    <col min="10503" max="10503" width="8.875" style="50" customWidth="1"/>
    <col min="10504" max="10504" width="9.75" style="50" customWidth="1"/>
    <col min="10505" max="10505" width="17.5" style="50" bestFit="1" customWidth="1"/>
    <col min="10506" max="10506" width="15.625" style="50" customWidth="1"/>
    <col min="10507" max="10507" width="13.75" style="50" bestFit="1" customWidth="1"/>
    <col min="10508" max="10508" width="10.875" style="50" bestFit="1" customWidth="1"/>
    <col min="10509" max="10752" width="9" style="50"/>
    <col min="10753" max="10753" width="0.5" style="50" customWidth="1"/>
    <col min="10754" max="10754" width="5.25" style="50" bestFit="1" customWidth="1"/>
    <col min="10755" max="10755" width="7.375" style="50" customWidth="1"/>
    <col min="10756" max="10756" width="8.875" style="50" customWidth="1"/>
    <col min="10757" max="10757" width="17.75" style="50" customWidth="1"/>
    <col min="10758" max="10758" width="6.375" style="50" customWidth="1"/>
    <col min="10759" max="10759" width="8.875" style="50" customWidth="1"/>
    <col min="10760" max="10760" width="9.75" style="50" customWidth="1"/>
    <col min="10761" max="10761" width="17.5" style="50" bestFit="1" customWidth="1"/>
    <col min="10762" max="10762" width="15.625" style="50" customWidth="1"/>
    <col min="10763" max="10763" width="13.75" style="50" bestFit="1" customWidth="1"/>
    <col min="10764" max="10764" width="10.875" style="50" bestFit="1" customWidth="1"/>
    <col min="10765" max="11008" width="9" style="50"/>
    <col min="11009" max="11009" width="0.5" style="50" customWidth="1"/>
    <col min="11010" max="11010" width="5.25" style="50" bestFit="1" customWidth="1"/>
    <col min="11011" max="11011" width="7.375" style="50" customWidth="1"/>
    <col min="11012" max="11012" width="8.875" style="50" customWidth="1"/>
    <col min="11013" max="11013" width="17.75" style="50" customWidth="1"/>
    <col min="11014" max="11014" width="6.375" style="50" customWidth="1"/>
    <col min="11015" max="11015" width="8.875" style="50" customWidth="1"/>
    <col min="11016" max="11016" width="9.75" style="50" customWidth="1"/>
    <col min="11017" max="11017" width="17.5" style="50" bestFit="1" customWidth="1"/>
    <col min="11018" max="11018" width="15.625" style="50" customWidth="1"/>
    <col min="11019" max="11019" width="13.75" style="50" bestFit="1" customWidth="1"/>
    <col min="11020" max="11020" width="10.875" style="50" bestFit="1" customWidth="1"/>
    <col min="11021" max="11264" width="9" style="50"/>
    <col min="11265" max="11265" width="0.5" style="50" customWidth="1"/>
    <col min="11266" max="11266" width="5.25" style="50" bestFit="1" customWidth="1"/>
    <col min="11267" max="11267" width="7.375" style="50" customWidth="1"/>
    <col min="11268" max="11268" width="8.875" style="50" customWidth="1"/>
    <col min="11269" max="11269" width="17.75" style="50" customWidth="1"/>
    <col min="11270" max="11270" width="6.375" style="50" customWidth="1"/>
    <col min="11271" max="11271" width="8.875" style="50" customWidth="1"/>
    <col min="11272" max="11272" width="9.75" style="50" customWidth="1"/>
    <col min="11273" max="11273" width="17.5" style="50" bestFit="1" customWidth="1"/>
    <col min="11274" max="11274" width="15.625" style="50" customWidth="1"/>
    <col min="11275" max="11275" width="13.75" style="50" bestFit="1" customWidth="1"/>
    <col min="11276" max="11276" width="10.875" style="50" bestFit="1" customWidth="1"/>
    <col min="11277" max="11520" width="9" style="50"/>
    <col min="11521" max="11521" width="0.5" style="50" customWidth="1"/>
    <col min="11522" max="11522" width="5.25" style="50" bestFit="1" customWidth="1"/>
    <col min="11523" max="11523" width="7.375" style="50" customWidth="1"/>
    <col min="11524" max="11524" width="8.875" style="50" customWidth="1"/>
    <col min="11525" max="11525" width="17.75" style="50" customWidth="1"/>
    <col min="11526" max="11526" width="6.375" style="50" customWidth="1"/>
    <col min="11527" max="11527" width="8.875" style="50" customWidth="1"/>
    <col min="11528" max="11528" width="9.75" style="50" customWidth="1"/>
    <col min="11529" max="11529" width="17.5" style="50" bestFit="1" customWidth="1"/>
    <col min="11530" max="11530" width="15.625" style="50" customWidth="1"/>
    <col min="11531" max="11531" width="13.75" style="50" bestFit="1" customWidth="1"/>
    <col min="11532" max="11532" width="10.875" style="50" bestFit="1" customWidth="1"/>
    <col min="11533" max="11776" width="9" style="50"/>
    <col min="11777" max="11777" width="0.5" style="50" customWidth="1"/>
    <col min="11778" max="11778" width="5.25" style="50" bestFit="1" customWidth="1"/>
    <col min="11779" max="11779" width="7.375" style="50" customWidth="1"/>
    <col min="11780" max="11780" width="8.875" style="50" customWidth="1"/>
    <col min="11781" max="11781" width="17.75" style="50" customWidth="1"/>
    <col min="11782" max="11782" width="6.375" style="50" customWidth="1"/>
    <col min="11783" max="11783" width="8.875" style="50" customWidth="1"/>
    <col min="11784" max="11784" width="9.75" style="50" customWidth="1"/>
    <col min="11785" max="11785" width="17.5" style="50" bestFit="1" customWidth="1"/>
    <col min="11786" max="11786" width="15.625" style="50" customWidth="1"/>
    <col min="11787" max="11787" width="13.75" style="50" bestFit="1" customWidth="1"/>
    <col min="11788" max="11788" width="10.875" style="50" bestFit="1" customWidth="1"/>
    <col min="11789" max="12032" width="9" style="50"/>
    <col min="12033" max="12033" width="0.5" style="50" customWidth="1"/>
    <col min="12034" max="12034" width="5.25" style="50" bestFit="1" customWidth="1"/>
    <col min="12035" max="12035" width="7.375" style="50" customWidth="1"/>
    <col min="12036" max="12036" width="8.875" style="50" customWidth="1"/>
    <col min="12037" max="12037" width="17.75" style="50" customWidth="1"/>
    <col min="12038" max="12038" width="6.375" style="50" customWidth="1"/>
    <col min="12039" max="12039" width="8.875" style="50" customWidth="1"/>
    <col min="12040" max="12040" width="9.75" style="50" customWidth="1"/>
    <col min="12041" max="12041" width="17.5" style="50" bestFit="1" customWidth="1"/>
    <col min="12042" max="12042" width="15.625" style="50" customWidth="1"/>
    <col min="12043" max="12043" width="13.75" style="50" bestFit="1" customWidth="1"/>
    <col min="12044" max="12044" width="10.875" style="50" bestFit="1" customWidth="1"/>
    <col min="12045" max="12288" width="9" style="50"/>
    <col min="12289" max="12289" width="0.5" style="50" customWidth="1"/>
    <col min="12290" max="12290" width="5.25" style="50" bestFit="1" customWidth="1"/>
    <col min="12291" max="12291" width="7.375" style="50" customWidth="1"/>
    <col min="12292" max="12292" width="8.875" style="50" customWidth="1"/>
    <col min="12293" max="12293" width="17.75" style="50" customWidth="1"/>
    <col min="12294" max="12294" width="6.375" style="50" customWidth="1"/>
    <col min="12295" max="12295" width="8.875" style="50" customWidth="1"/>
    <col min="12296" max="12296" width="9.75" style="50" customWidth="1"/>
    <col min="12297" max="12297" width="17.5" style="50" bestFit="1" customWidth="1"/>
    <col min="12298" max="12298" width="15.625" style="50" customWidth="1"/>
    <col min="12299" max="12299" width="13.75" style="50" bestFit="1" customWidth="1"/>
    <col min="12300" max="12300" width="10.875" style="50" bestFit="1" customWidth="1"/>
    <col min="12301" max="12544" width="9" style="50"/>
    <col min="12545" max="12545" width="0.5" style="50" customWidth="1"/>
    <col min="12546" max="12546" width="5.25" style="50" bestFit="1" customWidth="1"/>
    <col min="12547" max="12547" width="7.375" style="50" customWidth="1"/>
    <col min="12548" max="12548" width="8.875" style="50" customWidth="1"/>
    <col min="12549" max="12549" width="17.75" style="50" customWidth="1"/>
    <col min="12550" max="12550" width="6.375" style="50" customWidth="1"/>
    <col min="12551" max="12551" width="8.875" style="50" customWidth="1"/>
    <col min="12552" max="12552" width="9.75" style="50" customWidth="1"/>
    <col min="12553" max="12553" width="17.5" style="50" bestFit="1" customWidth="1"/>
    <col min="12554" max="12554" width="15.625" style="50" customWidth="1"/>
    <col min="12555" max="12555" width="13.75" style="50" bestFit="1" customWidth="1"/>
    <col min="12556" max="12556" width="10.875" style="50" bestFit="1" customWidth="1"/>
    <col min="12557" max="12800" width="9" style="50"/>
    <col min="12801" max="12801" width="0.5" style="50" customWidth="1"/>
    <col min="12802" max="12802" width="5.25" style="50" bestFit="1" customWidth="1"/>
    <col min="12803" max="12803" width="7.375" style="50" customWidth="1"/>
    <col min="12804" max="12804" width="8.875" style="50" customWidth="1"/>
    <col min="12805" max="12805" width="17.75" style="50" customWidth="1"/>
    <col min="12806" max="12806" width="6.375" style="50" customWidth="1"/>
    <col min="12807" max="12807" width="8.875" style="50" customWidth="1"/>
    <col min="12808" max="12808" width="9.75" style="50" customWidth="1"/>
    <col min="12809" max="12809" width="17.5" style="50" bestFit="1" customWidth="1"/>
    <col min="12810" max="12810" width="15.625" style="50" customWidth="1"/>
    <col min="12811" max="12811" width="13.75" style="50" bestFit="1" customWidth="1"/>
    <col min="12812" max="12812" width="10.875" style="50" bestFit="1" customWidth="1"/>
    <col min="12813" max="13056" width="9" style="50"/>
    <col min="13057" max="13057" width="0.5" style="50" customWidth="1"/>
    <col min="13058" max="13058" width="5.25" style="50" bestFit="1" customWidth="1"/>
    <col min="13059" max="13059" width="7.375" style="50" customWidth="1"/>
    <col min="13060" max="13060" width="8.875" style="50" customWidth="1"/>
    <col min="13061" max="13061" width="17.75" style="50" customWidth="1"/>
    <col min="13062" max="13062" width="6.375" style="50" customWidth="1"/>
    <col min="13063" max="13063" width="8.875" style="50" customWidth="1"/>
    <col min="13064" max="13064" width="9.75" style="50" customWidth="1"/>
    <col min="13065" max="13065" width="17.5" style="50" bestFit="1" customWidth="1"/>
    <col min="13066" max="13066" width="15.625" style="50" customWidth="1"/>
    <col min="13067" max="13067" width="13.75" style="50" bestFit="1" customWidth="1"/>
    <col min="13068" max="13068" width="10.875" style="50" bestFit="1" customWidth="1"/>
    <col min="13069" max="13312" width="9" style="50"/>
    <col min="13313" max="13313" width="0.5" style="50" customWidth="1"/>
    <col min="13314" max="13314" width="5.25" style="50" bestFit="1" customWidth="1"/>
    <col min="13315" max="13315" width="7.375" style="50" customWidth="1"/>
    <col min="13316" max="13316" width="8.875" style="50" customWidth="1"/>
    <col min="13317" max="13317" width="17.75" style="50" customWidth="1"/>
    <col min="13318" max="13318" width="6.375" style="50" customWidth="1"/>
    <col min="13319" max="13319" width="8.875" style="50" customWidth="1"/>
    <col min="13320" max="13320" width="9.75" style="50" customWidth="1"/>
    <col min="13321" max="13321" width="17.5" style="50" bestFit="1" customWidth="1"/>
    <col min="13322" max="13322" width="15.625" style="50" customWidth="1"/>
    <col min="13323" max="13323" width="13.75" style="50" bestFit="1" customWidth="1"/>
    <col min="13324" max="13324" width="10.875" style="50" bestFit="1" customWidth="1"/>
    <col min="13325" max="13568" width="9" style="50"/>
    <col min="13569" max="13569" width="0.5" style="50" customWidth="1"/>
    <col min="13570" max="13570" width="5.25" style="50" bestFit="1" customWidth="1"/>
    <col min="13571" max="13571" width="7.375" style="50" customWidth="1"/>
    <col min="13572" max="13572" width="8.875" style="50" customWidth="1"/>
    <col min="13573" max="13573" width="17.75" style="50" customWidth="1"/>
    <col min="13574" max="13574" width="6.375" style="50" customWidth="1"/>
    <col min="13575" max="13575" width="8.875" style="50" customWidth="1"/>
    <col min="13576" max="13576" width="9.75" style="50" customWidth="1"/>
    <col min="13577" max="13577" width="17.5" style="50" bestFit="1" customWidth="1"/>
    <col min="13578" max="13578" width="15.625" style="50" customWidth="1"/>
    <col min="13579" max="13579" width="13.75" style="50" bestFit="1" customWidth="1"/>
    <col min="13580" max="13580" width="10.875" style="50" bestFit="1" customWidth="1"/>
    <col min="13581" max="13824" width="9" style="50"/>
    <col min="13825" max="13825" width="0.5" style="50" customWidth="1"/>
    <col min="13826" max="13826" width="5.25" style="50" bestFit="1" customWidth="1"/>
    <col min="13827" max="13827" width="7.375" style="50" customWidth="1"/>
    <col min="13828" max="13828" width="8.875" style="50" customWidth="1"/>
    <col min="13829" max="13829" width="17.75" style="50" customWidth="1"/>
    <col min="13830" max="13830" width="6.375" style="50" customWidth="1"/>
    <col min="13831" max="13831" width="8.875" style="50" customWidth="1"/>
    <col min="13832" max="13832" width="9.75" style="50" customWidth="1"/>
    <col min="13833" max="13833" width="17.5" style="50" bestFit="1" customWidth="1"/>
    <col min="13834" max="13834" width="15.625" style="50" customWidth="1"/>
    <col min="13835" max="13835" width="13.75" style="50" bestFit="1" customWidth="1"/>
    <col min="13836" max="13836" width="10.875" style="50" bestFit="1" customWidth="1"/>
    <col min="13837" max="14080" width="9" style="50"/>
    <col min="14081" max="14081" width="0.5" style="50" customWidth="1"/>
    <col min="14082" max="14082" width="5.25" style="50" bestFit="1" customWidth="1"/>
    <col min="14083" max="14083" width="7.375" style="50" customWidth="1"/>
    <col min="14084" max="14084" width="8.875" style="50" customWidth="1"/>
    <col min="14085" max="14085" width="17.75" style="50" customWidth="1"/>
    <col min="14086" max="14086" width="6.375" style="50" customWidth="1"/>
    <col min="14087" max="14087" width="8.875" style="50" customWidth="1"/>
    <col min="14088" max="14088" width="9.75" style="50" customWidth="1"/>
    <col min="14089" max="14089" width="17.5" style="50" bestFit="1" customWidth="1"/>
    <col min="14090" max="14090" width="15.625" style="50" customWidth="1"/>
    <col min="14091" max="14091" width="13.75" style="50" bestFit="1" customWidth="1"/>
    <col min="14092" max="14092" width="10.875" style="50" bestFit="1" customWidth="1"/>
    <col min="14093" max="14336" width="9" style="50"/>
    <col min="14337" max="14337" width="0.5" style="50" customWidth="1"/>
    <col min="14338" max="14338" width="5.25" style="50" bestFit="1" customWidth="1"/>
    <col min="14339" max="14339" width="7.375" style="50" customWidth="1"/>
    <col min="14340" max="14340" width="8.875" style="50" customWidth="1"/>
    <col min="14341" max="14341" width="17.75" style="50" customWidth="1"/>
    <col min="14342" max="14342" width="6.375" style="50" customWidth="1"/>
    <col min="14343" max="14343" width="8.875" style="50" customWidth="1"/>
    <col min="14344" max="14344" width="9.75" style="50" customWidth="1"/>
    <col min="14345" max="14345" width="17.5" style="50" bestFit="1" customWidth="1"/>
    <col min="14346" max="14346" width="15.625" style="50" customWidth="1"/>
    <col min="14347" max="14347" width="13.75" style="50" bestFit="1" customWidth="1"/>
    <col min="14348" max="14348" width="10.875" style="50" bestFit="1" customWidth="1"/>
    <col min="14349" max="14592" width="9" style="50"/>
    <col min="14593" max="14593" width="0.5" style="50" customWidth="1"/>
    <col min="14594" max="14594" width="5.25" style="50" bestFit="1" customWidth="1"/>
    <col min="14595" max="14595" width="7.375" style="50" customWidth="1"/>
    <col min="14596" max="14596" width="8.875" style="50" customWidth="1"/>
    <col min="14597" max="14597" width="17.75" style="50" customWidth="1"/>
    <col min="14598" max="14598" width="6.375" style="50" customWidth="1"/>
    <col min="14599" max="14599" width="8.875" style="50" customWidth="1"/>
    <col min="14600" max="14600" width="9.75" style="50" customWidth="1"/>
    <col min="14601" max="14601" width="17.5" style="50" bestFit="1" customWidth="1"/>
    <col min="14602" max="14602" width="15.625" style="50" customWidth="1"/>
    <col min="14603" max="14603" width="13.75" style="50" bestFit="1" customWidth="1"/>
    <col min="14604" max="14604" width="10.875" style="50" bestFit="1" customWidth="1"/>
    <col min="14605" max="14848" width="9" style="50"/>
    <col min="14849" max="14849" width="0.5" style="50" customWidth="1"/>
    <col min="14850" max="14850" width="5.25" style="50" bestFit="1" customWidth="1"/>
    <col min="14851" max="14851" width="7.375" style="50" customWidth="1"/>
    <col min="14852" max="14852" width="8.875" style="50" customWidth="1"/>
    <col min="14853" max="14853" width="17.75" style="50" customWidth="1"/>
    <col min="14854" max="14854" width="6.375" style="50" customWidth="1"/>
    <col min="14855" max="14855" width="8.875" style="50" customWidth="1"/>
    <col min="14856" max="14856" width="9.75" style="50" customWidth="1"/>
    <col min="14857" max="14857" width="17.5" style="50" bestFit="1" customWidth="1"/>
    <col min="14858" max="14858" width="15.625" style="50" customWidth="1"/>
    <col min="14859" max="14859" width="13.75" style="50" bestFit="1" customWidth="1"/>
    <col min="14860" max="14860" width="10.875" style="50" bestFit="1" customWidth="1"/>
    <col min="14861" max="15104" width="9" style="50"/>
    <col min="15105" max="15105" width="0.5" style="50" customWidth="1"/>
    <col min="15106" max="15106" width="5.25" style="50" bestFit="1" customWidth="1"/>
    <col min="15107" max="15107" width="7.375" style="50" customWidth="1"/>
    <col min="15108" max="15108" width="8.875" style="50" customWidth="1"/>
    <col min="15109" max="15109" width="17.75" style="50" customWidth="1"/>
    <col min="15110" max="15110" width="6.375" style="50" customWidth="1"/>
    <col min="15111" max="15111" width="8.875" style="50" customWidth="1"/>
    <col min="15112" max="15112" width="9.75" style="50" customWidth="1"/>
    <col min="15113" max="15113" width="17.5" style="50" bestFit="1" customWidth="1"/>
    <col min="15114" max="15114" width="15.625" style="50" customWidth="1"/>
    <col min="15115" max="15115" width="13.75" style="50" bestFit="1" customWidth="1"/>
    <col min="15116" max="15116" width="10.875" style="50" bestFit="1" customWidth="1"/>
    <col min="15117" max="15360" width="9" style="50"/>
    <col min="15361" max="15361" width="0.5" style="50" customWidth="1"/>
    <col min="15362" max="15362" width="5.25" style="50" bestFit="1" customWidth="1"/>
    <col min="15363" max="15363" width="7.375" style="50" customWidth="1"/>
    <col min="15364" max="15364" width="8.875" style="50" customWidth="1"/>
    <col min="15365" max="15365" width="17.75" style="50" customWidth="1"/>
    <col min="15366" max="15366" width="6.375" style="50" customWidth="1"/>
    <col min="15367" max="15367" width="8.875" style="50" customWidth="1"/>
    <col min="15368" max="15368" width="9.75" style="50" customWidth="1"/>
    <col min="15369" max="15369" width="17.5" style="50" bestFit="1" customWidth="1"/>
    <col min="15370" max="15370" width="15.625" style="50" customWidth="1"/>
    <col min="15371" max="15371" width="13.75" style="50" bestFit="1" customWidth="1"/>
    <col min="15372" max="15372" width="10.875" style="50" bestFit="1" customWidth="1"/>
    <col min="15373" max="15616" width="9" style="50"/>
    <col min="15617" max="15617" width="0.5" style="50" customWidth="1"/>
    <col min="15618" max="15618" width="5.25" style="50" bestFit="1" customWidth="1"/>
    <col min="15619" max="15619" width="7.375" style="50" customWidth="1"/>
    <col min="15620" max="15620" width="8.875" style="50" customWidth="1"/>
    <col min="15621" max="15621" width="17.75" style="50" customWidth="1"/>
    <col min="15622" max="15622" width="6.375" style="50" customWidth="1"/>
    <col min="15623" max="15623" width="8.875" style="50" customWidth="1"/>
    <col min="15624" max="15624" width="9.75" style="50" customWidth="1"/>
    <col min="15625" max="15625" width="17.5" style="50" bestFit="1" customWidth="1"/>
    <col min="15626" max="15626" width="15.625" style="50" customWidth="1"/>
    <col min="15627" max="15627" width="13.75" style="50" bestFit="1" customWidth="1"/>
    <col min="15628" max="15628" width="10.875" style="50" bestFit="1" customWidth="1"/>
    <col min="15629" max="15872" width="9" style="50"/>
    <col min="15873" max="15873" width="0.5" style="50" customWidth="1"/>
    <col min="15874" max="15874" width="5.25" style="50" bestFit="1" customWidth="1"/>
    <col min="15875" max="15875" width="7.375" style="50" customWidth="1"/>
    <col min="15876" max="15876" width="8.875" style="50" customWidth="1"/>
    <col min="15877" max="15877" width="17.75" style="50" customWidth="1"/>
    <col min="15878" max="15878" width="6.375" style="50" customWidth="1"/>
    <col min="15879" max="15879" width="8.875" style="50" customWidth="1"/>
    <col min="15880" max="15880" width="9.75" style="50" customWidth="1"/>
    <col min="15881" max="15881" width="17.5" style="50" bestFit="1" customWidth="1"/>
    <col min="15882" max="15882" width="15.625" style="50" customWidth="1"/>
    <col min="15883" max="15883" width="13.75" style="50" bestFit="1" customWidth="1"/>
    <col min="15884" max="15884" width="10.875" style="50" bestFit="1" customWidth="1"/>
    <col min="15885" max="16128" width="9" style="50"/>
    <col min="16129" max="16129" width="0.5" style="50" customWidth="1"/>
    <col min="16130" max="16130" width="5.25" style="50" bestFit="1" customWidth="1"/>
    <col min="16131" max="16131" width="7.375" style="50" customWidth="1"/>
    <col min="16132" max="16132" width="8.875" style="50" customWidth="1"/>
    <col min="16133" max="16133" width="17.75" style="50" customWidth="1"/>
    <col min="16134" max="16134" width="6.375" style="50" customWidth="1"/>
    <col min="16135" max="16135" width="8.875" style="50" customWidth="1"/>
    <col min="16136" max="16136" width="9.75" style="50" customWidth="1"/>
    <col min="16137" max="16137" width="17.5" style="50" bestFit="1" customWidth="1"/>
    <col min="16138" max="16138" width="15.625" style="50" customWidth="1"/>
    <col min="16139" max="16139" width="13.75" style="50" bestFit="1" customWidth="1"/>
    <col min="16140" max="16140" width="10.875" style="50" bestFit="1" customWidth="1"/>
    <col min="16141" max="16384" width="9" style="50"/>
  </cols>
  <sheetData>
    <row r="2" spans="2:11" s="62" customFormat="1" ht="26.25" customHeight="1" x14ac:dyDescent="0.3">
      <c r="B2" s="55"/>
      <c r="C2" s="56" t="s">
        <v>44</v>
      </c>
      <c r="D2" s="57"/>
      <c r="E2" s="57"/>
      <c r="F2" s="58"/>
      <c r="G2" s="59"/>
      <c r="H2" s="60"/>
      <c r="I2" s="60"/>
      <c r="J2" s="57"/>
      <c r="K2" s="61"/>
    </row>
    <row r="3" spans="2:11" s="62" customFormat="1" ht="19.5" customHeight="1" x14ac:dyDescent="0.3">
      <c r="B3" s="55"/>
      <c r="C3" s="56"/>
      <c r="D3" s="57"/>
      <c r="E3" s="57"/>
      <c r="F3" s="58"/>
      <c r="G3" s="59"/>
      <c r="H3" s="60"/>
      <c r="I3" s="60"/>
      <c r="J3" s="57"/>
      <c r="K3" s="61"/>
    </row>
    <row r="4" spans="2:11" ht="30" customHeight="1" x14ac:dyDescent="0.3">
      <c r="B4" s="63" t="s">
        <v>45</v>
      </c>
      <c r="D4" s="64"/>
      <c r="J4" s="51"/>
    </row>
    <row r="5" spans="2:11" s="51" customFormat="1" ht="8.25" customHeight="1" x14ac:dyDescent="0.3">
      <c r="B5" s="65"/>
      <c r="C5" s="406"/>
      <c r="D5" s="407"/>
      <c r="E5" s="408"/>
      <c r="F5" s="66"/>
      <c r="G5" s="67"/>
      <c r="H5" s="67"/>
      <c r="I5" s="67"/>
      <c r="J5" s="68"/>
      <c r="K5" s="69"/>
    </row>
    <row r="6" spans="2:11" s="51" customFormat="1" ht="22.5" customHeight="1" thickBot="1" x14ac:dyDescent="0.35">
      <c r="B6" s="70" t="s">
        <v>46</v>
      </c>
      <c r="C6" s="409" t="s">
        <v>47</v>
      </c>
      <c r="D6" s="410"/>
      <c r="E6" s="411"/>
      <c r="F6" s="71" t="s">
        <v>48</v>
      </c>
      <c r="G6" s="72" t="s">
        <v>49</v>
      </c>
      <c r="H6" s="72" t="s">
        <v>50</v>
      </c>
      <c r="I6" s="72" t="s">
        <v>51</v>
      </c>
      <c r="J6" s="73" t="s">
        <v>52</v>
      </c>
      <c r="K6" s="69"/>
    </row>
    <row r="7" spans="2:11" ht="19.5" customHeight="1" thickTop="1" x14ac:dyDescent="0.3">
      <c r="B7" s="412">
        <v>1</v>
      </c>
      <c r="C7" s="414" t="s">
        <v>53</v>
      </c>
      <c r="D7" s="401" t="s">
        <v>54</v>
      </c>
      <c r="E7" s="74" t="s">
        <v>55</v>
      </c>
      <c r="F7" s="75" t="s">
        <v>56</v>
      </c>
      <c r="G7" s="76">
        <f>단위장비1!F21+단위장비2!F28+단위장비3!F17+단위장비5!F15+단위장비4!F20+단위장비6!F18+단위장비7!F21+단위장비8!F32+단위장비9!F34+단위장비10!F34</f>
        <v>0</v>
      </c>
      <c r="H7" s="77"/>
      <c r="I7" s="77">
        <f>단위장비1!H15+단위장비2!H22+단위장비3!H11+단위장비5!H9+단위장비4!H14+단위장비6!H12+단위장비7!H15+단위장비8!H26+단위장비9!H28+단위장비10!H28</f>
        <v>53650000</v>
      </c>
      <c r="J7" s="78" t="s">
        <v>57</v>
      </c>
    </row>
    <row r="8" spans="2:11" ht="19.5" customHeight="1" x14ac:dyDescent="0.3">
      <c r="B8" s="412"/>
      <c r="C8" s="401"/>
      <c r="D8" s="401"/>
      <c r="E8" s="79" t="s">
        <v>58</v>
      </c>
      <c r="F8" s="80" t="s">
        <v>59</v>
      </c>
      <c r="G8" s="81">
        <v>1</v>
      </c>
      <c r="H8" s="82"/>
      <c r="I8" s="82">
        <f>단위장비1!H39+단위장비2!H43+단위장비3!H24+단위장비5!H22+단위장비4!H38+단위장비6!H29+단위장비7!H41+단위장비8!H49+단위장비9!H56+단위장비10!H51</f>
        <v>174450000</v>
      </c>
      <c r="J8" s="83" t="s">
        <v>60</v>
      </c>
    </row>
    <row r="9" spans="2:11" ht="19.5" customHeight="1" x14ac:dyDescent="0.3">
      <c r="B9" s="412"/>
      <c r="C9" s="401"/>
      <c r="D9" s="401"/>
      <c r="E9" s="79" t="s">
        <v>61</v>
      </c>
      <c r="F9" s="80" t="s">
        <v>59</v>
      </c>
      <c r="G9" s="84">
        <v>1</v>
      </c>
      <c r="H9" s="82"/>
      <c r="I9" s="82">
        <f>단위장비1!H47+단위장비2!H51+단위장비3!H32+단위장비5!H30+단위장비4!H46+단위장비6!H37+단위장비7!H49+단위장비8!H57+단위장비9!H64+단위장비10!H59</f>
        <v>0</v>
      </c>
      <c r="J9" s="83" t="s">
        <v>62</v>
      </c>
    </row>
    <row r="10" spans="2:11" ht="19.5" customHeight="1" x14ac:dyDescent="0.3">
      <c r="B10" s="412"/>
      <c r="C10" s="401"/>
      <c r="D10" s="401"/>
      <c r="E10" s="85" t="s">
        <v>63</v>
      </c>
      <c r="F10" s="86" t="s">
        <v>59</v>
      </c>
      <c r="G10" s="87">
        <v>1</v>
      </c>
      <c r="H10" s="88"/>
      <c r="I10" s="88">
        <f>단위장비1!H21+단위장비2!H28+단위장비3!H17+단위장비5!H15+단위장비4!H20+단위장비6!H18+단위장비7!H21+단위장비8!H32+단위장비9!H34+단위장비10!H34</f>
        <v>0</v>
      </c>
      <c r="J10" s="83" t="s">
        <v>64</v>
      </c>
    </row>
    <row r="11" spans="2:11" ht="19.5" customHeight="1" x14ac:dyDescent="0.3">
      <c r="B11" s="412"/>
      <c r="C11" s="401"/>
      <c r="D11" s="402"/>
      <c r="E11" s="89" t="s">
        <v>65</v>
      </c>
      <c r="F11" s="397"/>
      <c r="G11" s="398"/>
      <c r="H11" s="399"/>
      <c r="I11" s="90">
        <f>SUM(I7:I10)</f>
        <v>228100000</v>
      </c>
      <c r="J11" s="83"/>
    </row>
    <row r="12" spans="2:11" ht="19.5" customHeight="1" x14ac:dyDescent="0.3">
      <c r="B12" s="412"/>
      <c r="C12" s="401"/>
      <c r="D12" s="400" t="s">
        <v>66</v>
      </c>
      <c r="E12" s="85" t="s">
        <v>67</v>
      </c>
      <c r="F12" s="86" t="s">
        <v>68</v>
      </c>
      <c r="G12" s="88">
        <f>단위장비1!F49+단위장비2!F53+단위장비3!F34+단위장비5!F32+단위장비4!F48+단위장비6!F39+단위장비7!F51+단위장비8!F59+단위장비9!F66+단위장비10!F61</f>
        <v>2</v>
      </c>
      <c r="H12" s="88">
        <f>IF(단위장비1!G49&gt;0,단위장비1!G49,"")</f>
        <v>300000</v>
      </c>
      <c r="I12" s="88">
        <f>단위장비1!H49+단위장비2!H53+단위장비3!H34+단위장비5!H32+단위장비4!H48+단위장비6!H39+단위장비7!H51+단위장비8!H59+단위장비9!H66+단위장비10!H61</f>
        <v>600000</v>
      </c>
      <c r="J12" s="83" t="s">
        <v>69</v>
      </c>
    </row>
    <row r="13" spans="2:11" ht="19.5" customHeight="1" x14ac:dyDescent="0.3">
      <c r="B13" s="412"/>
      <c r="C13" s="401"/>
      <c r="D13" s="401"/>
      <c r="E13" s="79" t="s">
        <v>70</v>
      </c>
      <c r="F13" s="80" t="s">
        <v>68</v>
      </c>
      <c r="G13" s="82">
        <f>단위장비1!F50+단위장비2!F54+단위장비3!F35+단위장비5!F33+단위장비4!F49+단위장비6!F40+단위장비7!F52+단위장비8!F60+단위장비9!F67+단위장비10!F62</f>
        <v>40</v>
      </c>
      <c r="H13" s="82">
        <f>IF(단위장비1!G50&gt;0,단위장비1!G50,"")</f>
        <v>300000</v>
      </c>
      <c r="I13" s="82">
        <f>단위장비1!H50+단위장비2!H54+단위장비3!H35+단위장비5!H33+단위장비4!H49+단위장비6!H40+단위장비7!H52+단위장비8!H60+단위장비9!H67+단위장비10!H62</f>
        <v>6000000</v>
      </c>
      <c r="J13" s="83"/>
    </row>
    <row r="14" spans="2:11" ht="19.5" customHeight="1" x14ac:dyDescent="0.3">
      <c r="B14" s="412"/>
      <c r="C14" s="401"/>
      <c r="D14" s="401"/>
      <c r="E14" s="79" t="s">
        <v>71</v>
      </c>
      <c r="F14" s="80" t="s">
        <v>68</v>
      </c>
      <c r="G14" s="82">
        <f>단위장비1!F51+단위장비2!F55+단위장비3!F36+단위장비5!F34+단위장비4!F50+단위장비6!F41+단위장비7!F53+단위장비8!F61+단위장비9!F68+단위장비10!F63</f>
        <v>30</v>
      </c>
      <c r="H14" s="82">
        <f>IF(단위장비1!G51&gt;0,단위장비1!G51,"")</f>
        <v>300000</v>
      </c>
      <c r="I14" s="82">
        <f>단위장비1!H51+단위장비2!H55+단위장비3!H36+단위장비5!H34+단위장비4!H50+단위장비6!H41+단위장비7!H53+단위장비8!H61+단위장비9!H68+단위장비10!H63</f>
        <v>4500000</v>
      </c>
      <c r="J14" s="83"/>
    </row>
    <row r="15" spans="2:11" ht="19.5" customHeight="1" x14ac:dyDescent="0.3">
      <c r="B15" s="412"/>
      <c r="C15" s="401"/>
      <c r="D15" s="401"/>
      <c r="E15" s="79" t="s">
        <v>72</v>
      </c>
      <c r="F15" s="80" t="s">
        <v>68</v>
      </c>
      <c r="G15" s="82">
        <f>단위장비1!F52+단위장비2!F56+단위장비3!F37+단위장비5!F35+단위장비4!F51+단위장비6!F42+단위장비7!F54+단위장비8!F62+단위장비9!F69+단위장비10!F64</f>
        <v>22</v>
      </c>
      <c r="H15" s="82">
        <f>IF(단위장비1!G52&gt;0,단위장비1!G52,"")</f>
        <v>300000</v>
      </c>
      <c r="I15" s="82">
        <f>단위장비1!H52+단위장비2!H56+단위장비3!H37+단위장비5!H35+단위장비4!H51+단위장비6!H42+단위장비7!H54+단위장비8!H62+단위장비9!H69+단위장비10!H64</f>
        <v>3600000</v>
      </c>
      <c r="J15" s="83" t="s">
        <v>73</v>
      </c>
    </row>
    <row r="16" spans="2:11" ht="19.5" customHeight="1" x14ac:dyDescent="0.3">
      <c r="B16" s="412"/>
      <c r="C16" s="401"/>
      <c r="D16" s="401"/>
      <c r="E16" s="85" t="s">
        <v>74</v>
      </c>
      <c r="F16" s="86" t="s">
        <v>68</v>
      </c>
      <c r="G16" s="88">
        <f>단위장비1!F53+단위장비2!F57+단위장비3!F38+단위장비5!F36+단위장비4!F52+단위장비6!F43+단위장비7!F55+단위장비8!F63+단위장비9!F70+단위장비10!F65</f>
        <v>0</v>
      </c>
      <c r="H16" s="88">
        <f>IF(단위장비1!G53&gt;0,단위장비1!G53,"")</f>
        <v>300000</v>
      </c>
      <c r="I16" s="88">
        <f>단위장비1!H53+단위장비2!H57+단위장비3!H38+단위장비5!H36+단위장비4!H52+단위장비6!H43+단위장비7!H55+단위장비8!H63+단위장비9!H70+단위장비10!H65</f>
        <v>0</v>
      </c>
      <c r="J16" s="83"/>
    </row>
    <row r="17" spans="2:10" ht="19.5" customHeight="1" x14ac:dyDescent="0.3">
      <c r="B17" s="412"/>
      <c r="C17" s="401"/>
      <c r="D17" s="401"/>
      <c r="E17" s="85" t="s">
        <v>75</v>
      </c>
      <c r="F17" s="86" t="s">
        <v>68</v>
      </c>
      <c r="G17" s="88">
        <f>단위장비1!F54+단위장비2!F58+단위장비3!F39+단위장비5!F37+단위장비4!F53+단위장비6!F44+단위장비7!F56+단위장비8!F64+단위장비9!F71+단위장비10!F66</f>
        <v>0</v>
      </c>
      <c r="H17" s="88">
        <f>IF(단위장비1!G54&gt;0,단위장비1!G54,"")</f>
        <v>300000</v>
      </c>
      <c r="I17" s="88">
        <f>단위장비1!H54+단위장비2!H58+단위장비3!H39+단위장비5!H37+단위장비4!H53+단위장비6!H44+단위장비7!H56+단위장비8!H64+단위장비9!H71+단위장비10!H66</f>
        <v>0</v>
      </c>
      <c r="J17" s="83"/>
    </row>
    <row r="18" spans="2:10" ht="19.5" customHeight="1" x14ac:dyDescent="0.3">
      <c r="B18" s="412"/>
      <c r="C18" s="401"/>
      <c r="D18" s="401"/>
      <c r="E18" s="79" t="s">
        <v>76</v>
      </c>
      <c r="F18" s="80" t="s">
        <v>68</v>
      </c>
      <c r="G18" s="82">
        <f>단위장비1!F55+단위장비2!F59+단위장비3!F40+단위장비5!F38+단위장비4!F54+단위장비6!F45+단위장비7!F57+단위장비8!F65+단위장비9!F72+단위장비10!F67</f>
        <v>0</v>
      </c>
      <c r="H18" s="82">
        <f>IF(단위장비1!G55&gt;0,단위장비1!G55,"")</f>
        <v>300000</v>
      </c>
      <c r="I18" s="82">
        <f>단위장비1!H55+단위장비2!H59+단위장비3!H40+단위장비5!H38+단위장비4!H54+단위장비6!H45+단위장비7!H57+단위장비8!H65+단위장비9!H72+단위장비10!H67</f>
        <v>0</v>
      </c>
      <c r="J18" s="83"/>
    </row>
    <row r="19" spans="2:10" ht="19.5" customHeight="1" x14ac:dyDescent="0.3">
      <c r="B19" s="412"/>
      <c r="C19" s="401"/>
      <c r="D19" s="401"/>
      <c r="E19" s="79" t="s">
        <v>77</v>
      </c>
      <c r="F19" s="80" t="s">
        <v>68</v>
      </c>
      <c r="G19" s="82">
        <f>단위장비1!F56+단위장비2!F60+단위장비3!F41+단위장비5!F39+단위장비4!F55+단위장비6!F46+단위장비7!F58+단위장비8!F66+단위장비9!F73+단위장비10!F68</f>
        <v>6</v>
      </c>
      <c r="H19" s="82">
        <f>IF(단위장비1!G56&gt;0,단위장비1!G56,"")</f>
        <v>250000</v>
      </c>
      <c r="I19" s="82">
        <f>단위장비1!H56+단위장비2!H60+단위장비3!H41+단위장비5!H39+단위장비4!H55+단위장비6!H46+단위장비7!H58+단위장비8!H66+단위장비9!H73+단위장비10!H68</f>
        <v>750000</v>
      </c>
      <c r="J19" s="83"/>
    </row>
    <row r="20" spans="2:10" ht="19.5" customHeight="1" x14ac:dyDescent="0.3">
      <c r="B20" s="412"/>
      <c r="C20" s="401"/>
      <c r="D20" s="402"/>
      <c r="E20" s="89" t="s">
        <v>65</v>
      </c>
      <c r="F20" s="397"/>
      <c r="G20" s="398"/>
      <c r="H20" s="399"/>
      <c r="I20" s="90">
        <f>SUM(I12:I19)</f>
        <v>15450000</v>
      </c>
      <c r="J20" s="83"/>
    </row>
    <row r="21" spans="2:10" ht="19.5" customHeight="1" x14ac:dyDescent="0.3">
      <c r="B21" s="412"/>
      <c r="C21" s="401"/>
      <c r="D21" s="91" t="s">
        <v>78</v>
      </c>
      <c r="E21" s="92"/>
      <c r="F21" s="397"/>
      <c r="G21" s="398"/>
      <c r="H21" s="399"/>
      <c r="I21" s="93">
        <f>단위장비1!H59+단위장비1!H60+단위장비2!H63+단위장비2!H64+단위장비3!H44+단위장비3!H45+단위장비5!H42+단위장비5!H43+단위장비4!H58+단위장비4!H59+단위장비6!H49+단위장비6!H50+단위장비7!H61+단위장비7!H62+단위장비8!H69+단위장비8!H70+단위장비9!H76+단위장비9!H77+단위장비10!H71+단위장비10!H72</f>
        <v>36532500</v>
      </c>
      <c r="J21" s="94"/>
    </row>
    <row r="22" spans="2:10" ht="19.5" customHeight="1" x14ac:dyDescent="0.3">
      <c r="B22" s="413"/>
      <c r="C22" s="415"/>
      <c r="D22" s="95"/>
      <c r="E22" s="96" t="s">
        <v>79</v>
      </c>
      <c r="F22" s="403"/>
      <c r="G22" s="404"/>
      <c r="H22" s="405"/>
      <c r="I22" s="97">
        <f>I20+I11+I21</f>
        <v>280082500</v>
      </c>
      <c r="J22" s="98"/>
    </row>
    <row r="23" spans="2:10" ht="19.5" customHeight="1" x14ac:dyDescent="0.3">
      <c r="B23" s="416">
        <v>2</v>
      </c>
      <c r="C23" s="417" t="s">
        <v>80</v>
      </c>
      <c r="D23" s="420" t="s">
        <v>54</v>
      </c>
      <c r="E23" s="99" t="s">
        <v>81</v>
      </c>
      <c r="F23" s="100" t="s">
        <v>59</v>
      </c>
      <c r="G23" s="101">
        <v>1</v>
      </c>
      <c r="H23" s="101"/>
      <c r="I23" s="101">
        <f>전기!H54-I24</f>
        <v>22100000</v>
      </c>
      <c r="J23" s="102"/>
    </row>
    <row r="24" spans="2:10" ht="19.5" customHeight="1" x14ac:dyDescent="0.3">
      <c r="B24" s="412"/>
      <c r="C24" s="418"/>
      <c r="D24" s="421"/>
      <c r="E24" s="85" t="s">
        <v>63</v>
      </c>
      <c r="F24" s="103" t="s">
        <v>59</v>
      </c>
      <c r="G24" s="104">
        <v>1</v>
      </c>
      <c r="H24" s="104"/>
      <c r="I24" s="104">
        <f>전기!H21</f>
        <v>0</v>
      </c>
      <c r="J24" s="83" t="s">
        <v>64</v>
      </c>
    </row>
    <row r="25" spans="2:10" ht="19.5" customHeight="1" x14ac:dyDescent="0.3">
      <c r="B25" s="412"/>
      <c r="C25" s="419"/>
      <c r="D25" s="400" t="s">
        <v>66</v>
      </c>
      <c r="E25" s="85" t="s">
        <v>82</v>
      </c>
      <c r="F25" s="86" t="s">
        <v>68</v>
      </c>
      <c r="G25" s="88">
        <f>전기!F55</f>
        <v>0</v>
      </c>
      <c r="H25" s="88">
        <f>IF(전기!G55&gt;0,전기!G55,"")</f>
        <v>300000</v>
      </c>
      <c r="I25" s="88">
        <f>전기!H55</f>
        <v>0</v>
      </c>
      <c r="J25" s="83"/>
    </row>
    <row r="26" spans="2:10" ht="19.5" customHeight="1" x14ac:dyDescent="0.3">
      <c r="B26" s="412"/>
      <c r="C26" s="419"/>
      <c r="D26" s="401"/>
      <c r="E26" s="79" t="s">
        <v>83</v>
      </c>
      <c r="F26" s="80" t="s">
        <v>68</v>
      </c>
      <c r="G26" s="82">
        <f>전기!F56</f>
        <v>0</v>
      </c>
      <c r="H26" s="82">
        <f>IF(전기!G56&gt;0,전기!G56,"")</f>
        <v>350000</v>
      </c>
      <c r="I26" s="82">
        <f>전기!H56</f>
        <v>0</v>
      </c>
      <c r="J26" s="83"/>
    </row>
    <row r="27" spans="2:10" ht="19.5" customHeight="1" x14ac:dyDescent="0.3">
      <c r="B27" s="412"/>
      <c r="C27" s="419"/>
      <c r="D27" s="401"/>
      <c r="E27" s="79" t="s">
        <v>84</v>
      </c>
      <c r="F27" s="80" t="s">
        <v>68</v>
      </c>
      <c r="G27" s="82">
        <f>전기!F57</f>
        <v>0</v>
      </c>
      <c r="H27" s="82">
        <f>IF(전기!G57&gt;0,전기!G57,"")</f>
        <v>300000</v>
      </c>
      <c r="I27" s="82">
        <f>전기!H57</f>
        <v>0</v>
      </c>
      <c r="J27" s="83"/>
    </row>
    <row r="28" spans="2:10" ht="19.5" customHeight="1" x14ac:dyDescent="0.3">
      <c r="B28" s="412"/>
      <c r="C28" s="419"/>
      <c r="D28" s="401"/>
      <c r="E28" s="79" t="s">
        <v>72</v>
      </c>
      <c r="F28" s="80" t="s">
        <v>68</v>
      </c>
      <c r="G28" s="82">
        <f>전기!F58</f>
        <v>0</v>
      </c>
      <c r="H28" s="82">
        <f>IF(전기!G58&gt;0,전기!G58,"")</f>
        <v>300000</v>
      </c>
      <c r="I28" s="82">
        <f>전기!H58</f>
        <v>0</v>
      </c>
      <c r="J28" s="83"/>
    </row>
    <row r="29" spans="2:10" ht="19.5" customHeight="1" x14ac:dyDescent="0.3">
      <c r="B29" s="412"/>
      <c r="C29" s="419"/>
      <c r="D29" s="401"/>
      <c r="E29" s="85" t="s">
        <v>74</v>
      </c>
      <c r="F29" s="86" t="s">
        <v>68</v>
      </c>
      <c r="G29" s="88">
        <f>전기!F59</f>
        <v>0</v>
      </c>
      <c r="H29" s="88">
        <f>IF(전기!G59&gt;0,전기!G59,"")</f>
        <v>300000</v>
      </c>
      <c r="I29" s="88">
        <f>전기!H59</f>
        <v>0</v>
      </c>
      <c r="J29" s="83"/>
    </row>
    <row r="30" spans="2:10" ht="19.5" customHeight="1" x14ac:dyDescent="0.3">
      <c r="B30" s="412"/>
      <c r="C30" s="419"/>
      <c r="D30" s="401"/>
      <c r="E30" s="85" t="s">
        <v>75</v>
      </c>
      <c r="F30" s="86" t="s">
        <v>68</v>
      </c>
      <c r="G30" s="88">
        <f>전기!F60</f>
        <v>0</v>
      </c>
      <c r="H30" s="88">
        <f>IF(전기!G60&gt;0,전기!G60,"")</f>
        <v>350000</v>
      </c>
      <c r="I30" s="88">
        <f>전기!H60</f>
        <v>0</v>
      </c>
      <c r="J30" s="83"/>
    </row>
    <row r="31" spans="2:10" ht="19.5" customHeight="1" x14ac:dyDescent="0.3">
      <c r="B31" s="412"/>
      <c r="C31" s="419"/>
      <c r="D31" s="401"/>
      <c r="E31" s="79" t="s">
        <v>76</v>
      </c>
      <c r="F31" s="80" t="s">
        <v>68</v>
      </c>
      <c r="G31" s="82">
        <f>전기!F61</f>
        <v>0</v>
      </c>
      <c r="H31" s="82">
        <f>IF(전기!G61&gt;0,전기!G61,"")</f>
        <v>350000</v>
      </c>
      <c r="I31" s="82">
        <f>전기!H61</f>
        <v>0</v>
      </c>
      <c r="J31" s="83"/>
    </row>
    <row r="32" spans="2:10" ht="19.5" customHeight="1" x14ac:dyDescent="0.3">
      <c r="B32" s="412"/>
      <c r="C32" s="419"/>
      <c r="D32" s="402"/>
      <c r="E32" s="89" t="s">
        <v>85</v>
      </c>
      <c r="F32" s="397"/>
      <c r="G32" s="398"/>
      <c r="H32" s="399"/>
      <c r="I32" s="90">
        <f>SUM(I25:I31)</f>
        <v>0</v>
      </c>
      <c r="J32" s="83"/>
    </row>
    <row r="33" spans="2:13" ht="19.5" customHeight="1" x14ac:dyDescent="0.3">
      <c r="B33" s="412"/>
      <c r="C33" s="401"/>
      <c r="D33" s="91" t="s">
        <v>78</v>
      </c>
      <c r="E33" s="92"/>
      <c r="F33" s="397"/>
      <c r="G33" s="398"/>
      <c r="H33" s="399"/>
      <c r="I33" s="93">
        <f>전기!H64+전기!H65</f>
        <v>1834300</v>
      </c>
      <c r="J33" s="94"/>
    </row>
    <row r="34" spans="2:13" ht="19.5" customHeight="1" x14ac:dyDescent="0.3">
      <c r="B34" s="413"/>
      <c r="C34" s="415"/>
      <c r="D34" s="95"/>
      <c r="E34" s="96" t="s">
        <v>86</v>
      </c>
      <c r="F34" s="403"/>
      <c r="G34" s="404"/>
      <c r="H34" s="405"/>
      <c r="I34" s="97">
        <f>I32+I23+I33+I24</f>
        <v>23934300</v>
      </c>
      <c r="J34" s="98"/>
    </row>
    <row r="35" spans="2:13" ht="19.5" customHeight="1" x14ac:dyDescent="0.3">
      <c r="B35" s="422">
        <v>3</v>
      </c>
      <c r="C35" s="425" t="s">
        <v>87</v>
      </c>
      <c r="D35" s="426"/>
      <c r="E35" s="427"/>
      <c r="F35" s="425"/>
      <c r="G35" s="426"/>
      <c r="H35" s="427"/>
      <c r="I35" s="105">
        <f>I23+I11+I24</f>
        <v>250200000</v>
      </c>
      <c r="J35" s="102"/>
    </row>
    <row r="36" spans="2:13" ht="19.5" customHeight="1" x14ac:dyDescent="0.3">
      <c r="B36" s="423"/>
      <c r="C36" s="397" t="s">
        <v>88</v>
      </c>
      <c r="D36" s="398"/>
      <c r="E36" s="399"/>
      <c r="F36" s="397"/>
      <c r="G36" s="398"/>
      <c r="H36" s="399"/>
      <c r="I36" s="90">
        <f>I32+I20</f>
        <v>15450000</v>
      </c>
      <c r="J36" s="83"/>
    </row>
    <row r="37" spans="2:13" ht="19.5" customHeight="1" thickBot="1" x14ac:dyDescent="0.35">
      <c r="B37" s="424"/>
      <c r="C37" s="428" t="s">
        <v>89</v>
      </c>
      <c r="D37" s="428"/>
      <c r="E37" s="429"/>
      <c r="F37" s="430"/>
      <c r="G37" s="428"/>
      <c r="H37" s="429"/>
      <c r="I37" s="106">
        <f>I36+I35</f>
        <v>265650000</v>
      </c>
      <c r="J37" s="107"/>
    </row>
    <row r="38" spans="2:13" ht="20.25" customHeight="1" x14ac:dyDescent="0.3">
      <c r="B38" s="108">
        <v>4</v>
      </c>
      <c r="C38" s="402" t="s">
        <v>90</v>
      </c>
      <c r="D38" s="431"/>
      <c r="E38" s="432"/>
      <c r="F38" s="433"/>
      <c r="G38" s="434"/>
      <c r="H38" s="435"/>
      <c r="I38" s="109">
        <v>5000000</v>
      </c>
      <c r="J38" s="110"/>
      <c r="K38" s="111"/>
    </row>
    <row r="39" spans="2:13" ht="22.5" customHeight="1" x14ac:dyDescent="0.3">
      <c r="B39" s="112">
        <v>5</v>
      </c>
      <c r="C39" s="397" t="s">
        <v>91</v>
      </c>
      <c r="D39" s="398"/>
      <c r="E39" s="399"/>
      <c r="F39" s="436" t="s">
        <v>92</v>
      </c>
      <c r="G39" s="437"/>
      <c r="H39" s="438"/>
      <c r="I39" s="113">
        <f>CEILING(MIN(I48:I49),1000)</f>
        <v>23000</v>
      </c>
      <c r="J39" s="114">
        <f>I30+I29+I25+I24+I17+I16+I12+I10+I18+I31</f>
        <v>600000</v>
      </c>
      <c r="K39" s="115"/>
      <c r="M39" s="115"/>
    </row>
    <row r="40" spans="2:13" ht="20.25" customHeight="1" x14ac:dyDescent="0.3">
      <c r="B40" s="112">
        <v>6</v>
      </c>
      <c r="C40" s="397" t="s">
        <v>93</v>
      </c>
      <c r="D40" s="398"/>
      <c r="E40" s="399"/>
      <c r="F40" s="439"/>
      <c r="G40" s="440"/>
      <c r="H40" s="441"/>
      <c r="I40" s="90">
        <f>전기!H64+단위장비1!H59+단위장비2!H63+단위장비3!H44+단위장비5!H42+단위장비4!H58+단위장비6!H49+단위장비7!H61+단위장비8!H69+단위장비9!H76+단위장비10!H71</f>
        <v>12906800</v>
      </c>
      <c r="J40" s="83"/>
    </row>
    <row r="41" spans="2:13" ht="20.25" customHeight="1" x14ac:dyDescent="0.3">
      <c r="B41" s="116">
        <v>7</v>
      </c>
      <c r="C41" s="403" t="s">
        <v>94</v>
      </c>
      <c r="D41" s="404"/>
      <c r="E41" s="405"/>
      <c r="F41" s="442"/>
      <c r="G41" s="443"/>
      <c r="H41" s="444"/>
      <c r="I41" s="93">
        <f>전기!H65+단위장비1!H60+단위장비2!H64+단위장비3!H45+단위장비5!H43+단위장비4!H59+단위장비6!H50+단위장비7!H62+단위장비8!H70+단위장비9!H77+단위장비10!H72</f>
        <v>25460000</v>
      </c>
      <c r="J41" s="94"/>
      <c r="K41" s="50"/>
    </row>
    <row r="42" spans="2:13" ht="28.5" customHeight="1" thickBot="1" x14ac:dyDescent="0.35">
      <c r="B42" s="117"/>
      <c r="C42" s="445" t="s">
        <v>95</v>
      </c>
      <c r="D42" s="445"/>
      <c r="E42" s="445"/>
      <c r="F42" s="446" t="s">
        <v>96</v>
      </c>
      <c r="G42" s="447"/>
      <c r="H42" s="448"/>
      <c r="I42" s="118">
        <f>I22+I34+I38+I39</f>
        <v>309039800</v>
      </c>
      <c r="J42" s="119"/>
      <c r="K42" s="50"/>
    </row>
    <row r="43" spans="2:13" ht="19.5" customHeight="1" x14ac:dyDescent="0.3">
      <c r="B43" s="50" t="s">
        <v>97</v>
      </c>
      <c r="C43" s="51"/>
      <c r="D43" s="51"/>
      <c r="E43" s="51"/>
    </row>
    <row r="44" spans="2:13" ht="19.5" customHeight="1" x14ac:dyDescent="0.3">
      <c r="B44" s="50" t="s">
        <v>98</v>
      </c>
      <c r="C44" s="51"/>
      <c r="D44" s="51"/>
      <c r="E44" s="51"/>
    </row>
    <row r="45" spans="2:13" ht="19.5" customHeight="1" x14ac:dyDescent="0.3">
      <c r="B45" s="50" t="s">
        <v>99</v>
      </c>
      <c r="C45" s="51"/>
      <c r="D45" s="51"/>
      <c r="E45" s="51"/>
    </row>
    <row r="46" spans="2:13" ht="19.5" customHeight="1" x14ac:dyDescent="0.3">
      <c r="C46" s="51"/>
      <c r="D46" s="51"/>
      <c r="E46" s="51"/>
    </row>
    <row r="47" spans="2:13" ht="19.5" customHeight="1" x14ac:dyDescent="0.3">
      <c r="C47" s="51"/>
      <c r="D47" s="51"/>
      <c r="E47" s="449" t="s">
        <v>100</v>
      </c>
      <c r="F47" s="450" t="s">
        <v>101</v>
      </c>
      <c r="G47" s="451"/>
      <c r="H47" s="452"/>
      <c r="I47" s="120" t="s">
        <v>102</v>
      </c>
      <c r="J47" s="79" t="s">
        <v>103</v>
      </c>
      <c r="K47" s="121" t="s">
        <v>104</v>
      </c>
    </row>
    <row r="48" spans="2:13" ht="19.5" customHeight="1" x14ac:dyDescent="0.3">
      <c r="C48" s="51"/>
      <c r="D48" s="51"/>
      <c r="E48" s="419"/>
      <c r="F48" s="453" t="s">
        <v>105</v>
      </c>
      <c r="G48" s="453"/>
      <c r="H48" s="453"/>
      <c r="I48" s="90">
        <f>IF(J48&lt;500000000,J48*0.0315,1)+IF(J48&gt;500000000,J48*0.0253+3300000)*IF(J48&gt;5000000000,0,1)+IF(J48&gt;5000000000,J48*0.026,0)</f>
        <v>8525475</v>
      </c>
      <c r="J48" s="122">
        <f>SUM(I7:I10,I12:I19,I23:I31,I38)</f>
        <v>270650000</v>
      </c>
      <c r="K48" s="122" t="s">
        <v>106</v>
      </c>
    </row>
    <row r="49" spans="5:11" ht="19.5" customHeight="1" x14ac:dyDescent="0.3">
      <c r="E49" s="421"/>
      <c r="F49" s="453" t="s">
        <v>107</v>
      </c>
      <c r="G49" s="453"/>
      <c r="H49" s="453"/>
      <c r="I49" s="90">
        <f>(IF(J49&lt;500000000,J49*0.0315,1)+IF(J49&gt;500000000,J49*0.0253+3300000)*IF(J49&gt;5000000000,0,1)+IF(J49&gt;5000000000,J49*0.026,0))*1.2</f>
        <v>22680</v>
      </c>
      <c r="J49" s="123">
        <f>SUM(I10,I24,I12,I16:I17,I25,I29:I30,I18,I31)</f>
        <v>600000</v>
      </c>
      <c r="K49" s="122" t="s">
        <v>108</v>
      </c>
    </row>
    <row r="50" spans="5:11" ht="19.5" customHeight="1" x14ac:dyDescent="0.3">
      <c r="G50" s="124" t="s">
        <v>109</v>
      </c>
    </row>
  </sheetData>
  <mergeCells count="38">
    <mergeCell ref="C41:E41"/>
    <mergeCell ref="F41:H41"/>
    <mergeCell ref="C42:E42"/>
    <mergeCell ref="F42:H42"/>
    <mergeCell ref="E47:E49"/>
    <mergeCell ref="F47:H47"/>
    <mergeCell ref="F48:H48"/>
    <mergeCell ref="F49:H49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4" orientation="portrait" horizontalDpi="4294967292" verticalDpi="120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22"/>
  <sheetViews>
    <sheetView zoomScale="74" zoomScaleNormal="74" workbookViewId="0">
      <selection activeCell="K8" sqref="K8"/>
    </sheetView>
  </sheetViews>
  <sheetFormatPr defaultRowHeight="17.25" customHeight="1" x14ac:dyDescent="0.3"/>
  <cols>
    <col min="1" max="1" width="5" style="1" customWidth="1"/>
    <col min="2" max="2" width="20.125" style="1" customWidth="1"/>
    <col min="3" max="3" width="6.25" style="1" customWidth="1"/>
    <col min="4" max="4" width="13.875" style="1" customWidth="1"/>
    <col min="5" max="8" width="11.875" style="1" customWidth="1"/>
    <col min="9" max="9" width="13" style="1" customWidth="1"/>
    <col min="10" max="10" width="16.75" style="1" customWidth="1"/>
    <col min="11" max="11" width="13.875" style="1" customWidth="1"/>
    <col min="12" max="12" width="12.5" style="1" bestFit="1" customWidth="1"/>
    <col min="13" max="13" width="15" style="1" bestFit="1" customWidth="1"/>
    <col min="14" max="14" width="15.625" style="1" customWidth="1"/>
    <col min="15" max="15" width="9.625" style="1" customWidth="1"/>
    <col min="16" max="16" width="13.75" style="1" hidden="1" customWidth="1"/>
    <col min="17" max="17" width="10" style="1" customWidth="1"/>
    <col min="18" max="256" width="9" style="1"/>
    <col min="257" max="257" width="5" style="1" customWidth="1"/>
    <col min="258" max="258" width="20.125" style="1" customWidth="1"/>
    <col min="259" max="259" width="6.25" style="1" customWidth="1"/>
    <col min="260" max="260" width="13.875" style="1" customWidth="1"/>
    <col min="261" max="264" width="11.875" style="1" customWidth="1"/>
    <col min="265" max="265" width="13" style="1" customWidth="1"/>
    <col min="266" max="266" width="16.75" style="1" customWidth="1"/>
    <col min="267" max="267" width="13.875" style="1" customWidth="1"/>
    <col min="268" max="268" width="12.5" style="1" bestFit="1" customWidth="1"/>
    <col min="269" max="269" width="15" style="1" bestFit="1" customWidth="1"/>
    <col min="270" max="270" width="15.625" style="1" customWidth="1"/>
    <col min="271" max="271" width="9.625" style="1" customWidth="1"/>
    <col min="272" max="272" width="0" style="1" hidden="1" customWidth="1"/>
    <col min="273" max="273" width="10" style="1" customWidth="1"/>
    <col min="274" max="512" width="9" style="1"/>
    <col min="513" max="513" width="5" style="1" customWidth="1"/>
    <col min="514" max="514" width="20.125" style="1" customWidth="1"/>
    <col min="515" max="515" width="6.25" style="1" customWidth="1"/>
    <col min="516" max="516" width="13.875" style="1" customWidth="1"/>
    <col min="517" max="520" width="11.875" style="1" customWidth="1"/>
    <col min="521" max="521" width="13" style="1" customWidth="1"/>
    <col min="522" max="522" width="16.75" style="1" customWidth="1"/>
    <col min="523" max="523" width="13.875" style="1" customWidth="1"/>
    <col min="524" max="524" width="12.5" style="1" bestFit="1" customWidth="1"/>
    <col min="525" max="525" width="15" style="1" bestFit="1" customWidth="1"/>
    <col min="526" max="526" width="15.625" style="1" customWidth="1"/>
    <col min="527" max="527" width="9.625" style="1" customWidth="1"/>
    <col min="528" max="528" width="0" style="1" hidden="1" customWidth="1"/>
    <col min="529" max="529" width="10" style="1" customWidth="1"/>
    <col min="530" max="768" width="9" style="1"/>
    <col min="769" max="769" width="5" style="1" customWidth="1"/>
    <col min="770" max="770" width="20.125" style="1" customWidth="1"/>
    <col min="771" max="771" width="6.25" style="1" customWidth="1"/>
    <col min="772" max="772" width="13.875" style="1" customWidth="1"/>
    <col min="773" max="776" width="11.875" style="1" customWidth="1"/>
    <col min="777" max="777" width="13" style="1" customWidth="1"/>
    <col min="778" max="778" width="16.75" style="1" customWidth="1"/>
    <col min="779" max="779" width="13.875" style="1" customWidth="1"/>
    <col min="780" max="780" width="12.5" style="1" bestFit="1" customWidth="1"/>
    <col min="781" max="781" width="15" style="1" bestFit="1" customWidth="1"/>
    <col min="782" max="782" width="15.625" style="1" customWidth="1"/>
    <col min="783" max="783" width="9.625" style="1" customWidth="1"/>
    <col min="784" max="784" width="0" style="1" hidden="1" customWidth="1"/>
    <col min="785" max="785" width="10" style="1" customWidth="1"/>
    <col min="786" max="1024" width="9" style="1"/>
    <col min="1025" max="1025" width="5" style="1" customWidth="1"/>
    <col min="1026" max="1026" width="20.125" style="1" customWidth="1"/>
    <col min="1027" max="1027" width="6.25" style="1" customWidth="1"/>
    <col min="1028" max="1028" width="13.875" style="1" customWidth="1"/>
    <col min="1029" max="1032" width="11.875" style="1" customWidth="1"/>
    <col min="1033" max="1033" width="13" style="1" customWidth="1"/>
    <col min="1034" max="1034" width="16.75" style="1" customWidth="1"/>
    <col min="1035" max="1035" width="13.875" style="1" customWidth="1"/>
    <col min="1036" max="1036" width="12.5" style="1" bestFit="1" customWidth="1"/>
    <col min="1037" max="1037" width="15" style="1" bestFit="1" customWidth="1"/>
    <col min="1038" max="1038" width="15.625" style="1" customWidth="1"/>
    <col min="1039" max="1039" width="9.625" style="1" customWidth="1"/>
    <col min="1040" max="1040" width="0" style="1" hidden="1" customWidth="1"/>
    <col min="1041" max="1041" width="10" style="1" customWidth="1"/>
    <col min="1042" max="1280" width="9" style="1"/>
    <col min="1281" max="1281" width="5" style="1" customWidth="1"/>
    <col min="1282" max="1282" width="20.125" style="1" customWidth="1"/>
    <col min="1283" max="1283" width="6.25" style="1" customWidth="1"/>
    <col min="1284" max="1284" width="13.875" style="1" customWidth="1"/>
    <col min="1285" max="1288" width="11.875" style="1" customWidth="1"/>
    <col min="1289" max="1289" width="13" style="1" customWidth="1"/>
    <col min="1290" max="1290" width="16.75" style="1" customWidth="1"/>
    <col min="1291" max="1291" width="13.875" style="1" customWidth="1"/>
    <col min="1292" max="1292" width="12.5" style="1" bestFit="1" customWidth="1"/>
    <col min="1293" max="1293" width="15" style="1" bestFit="1" customWidth="1"/>
    <col min="1294" max="1294" width="15.625" style="1" customWidth="1"/>
    <col min="1295" max="1295" width="9.625" style="1" customWidth="1"/>
    <col min="1296" max="1296" width="0" style="1" hidden="1" customWidth="1"/>
    <col min="1297" max="1297" width="10" style="1" customWidth="1"/>
    <col min="1298" max="1536" width="9" style="1"/>
    <col min="1537" max="1537" width="5" style="1" customWidth="1"/>
    <col min="1538" max="1538" width="20.125" style="1" customWidth="1"/>
    <col min="1539" max="1539" width="6.25" style="1" customWidth="1"/>
    <col min="1540" max="1540" width="13.875" style="1" customWidth="1"/>
    <col min="1541" max="1544" width="11.875" style="1" customWidth="1"/>
    <col min="1545" max="1545" width="13" style="1" customWidth="1"/>
    <col min="1546" max="1546" width="16.75" style="1" customWidth="1"/>
    <col min="1547" max="1547" width="13.875" style="1" customWidth="1"/>
    <col min="1548" max="1548" width="12.5" style="1" bestFit="1" customWidth="1"/>
    <col min="1549" max="1549" width="15" style="1" bestFit="1" customWidth="1"/>
    <col min="1550" max="1550" width="15.625" style="1" customWidth="1"/>
    <col min="1551" max="1551" width="9.625" style="1" customWidth="1"/>
    <col min="1552" max="1552" width="0" style="1" hidden="1" customWidth="1"/>
    <col min="1553" max="1553" width="10" style="1" customWidth="1"/>
    <col min="1554" max="1792" width="9" style="1"/>
    <col min="1793" max="1793" width="5" style="1" customWidth="1"/>
    <col min="1794" max="1794" width="20.125" style="1" customWidth="1"/>
    <col min="1795" max="1795" width="6.25" style="1" customWidth="1"/>
    <col min="1796" max="1796" width="13.875" style="1" customWidth="1"/>
    <col min="1797" max="1800" width="11.875" style="1" customWidth="1"/>
    <col min="1801" max="1801" width="13" style="1" customWidth="1"/>
    <col min="1802" max="1802" width="16.75" style="1" customWidth="1"/>
    <col min="1803" max="1803" width="13.875" style="1" customWidth="1"/>
    <col min="1804" max="1804" width="12.5" style="1" bestFit="1" customWidth="1"/>
    <col min="1805" max="1805" width="15" style="1" bestFit="1" customWidth="1"/>
    <col min="1806" max="1806" width="15.625" style="1" customWidth="1"/>
    <col min="1807" max="1807" width="9.625" style="1" customWidth="1"/>
    <col min="1808" max="1808" width="0" style="1" hidden="1" customWidth="1"/>
    <col min="1809" max="1809" width="10" style="1" customWidth="1"/>
    <col min="1810" max="2048" width="9" style="1"/>
    <col min="2049" max="2049" width="5" style="1" customWidth="1"/>
    <col min="2050" max="2050" width="20.125" style="1" customWidth="1"/>
    <col min="2051" max="2051" width="6.25" style="1" customWidth="1"/>
    <col min="2052" max="2052" width="13.875" style="1" customWidth="1"/>
    <col min="2053" max="2056" width="11.875" style="1" customWidth="1"/>
    <col min="2057" max="2057" width="13" style="1" customWidth="1"/>
    <col min="2058" max="2058" width="16.75" style="1" customWidth="1"/>
    <col min="2059" max="2059" width="13.875" style="1" customWidth="1"/>
    <col min="2060" max="2060" width="12.5" style="1" bestFit="1" customWidth="1"/>
    <col min="2061" max="2061" width="15" style="1" bestFit="1" customWidth="1"/>
    <col min="2062" max="2062" width="15.625" style="1" customWidth="1"/>
    <col min="2063" max="2063" width="9.625" style="1" customWidth="1"/>
    <col min="2064" max="2064" width="0" style="1" hidden="1" customWidth="1"/>
    <col min="2065" max="2065" width="10" style="1" customWidth="1"/>
    <col min="2066" max="2304" width="9" style="1"/>
    <col min="2305" max="2305" width="5" style="1" customWidth="1"/>
    <col min="2306" max="2306" width="20.125" style="1" customWidth="1"/>
    <col min="2307" max="2307" width="6.25" style="1" customWidth="1"/>
    <col min="2308" max="2308" width="13.875" style="1" customWidth="1"/>
    <col min="2309" max="2312" width="11.875" style="1" customWidth="1"/>
    <col min="2313" max="2313" width="13" style="1" customWidth="1"/>
    <col min="2314" max="2314" width="16.75" style="1" customWidth="1"/>
    <col min="2315" max="2315" width="13.875" style="1" customWidth="1"/>
    <col min="2316" max="2316" width="12.5" style="1" bestFit="1" customWidth="1"/>
    <col min="2317" max="2317" width="15" style="1" bestFit="1" customWidth="1"/>
    <col min="2318" max="2318" width="15.625" style="1" customWidth="1"/>
    <col min="2319" max="2319" width="9.625" style="1" customWidth="1"/>
    <col min="2320" max="2320" width="0" style="1" hidden="1" customWidth="1"/>
    <col min="2321" max="2321" width="10" style="1" customWidth="1"/>
    <col min="2322" max="2560" width="9" style="1"/>
    <col min="2561" max="2561" width="5" style="1" customWidth="1"/>
    <col min="2562" max="2562" width="20.125" style="1" customWidth="1"/>
    <col min="2563" max="2563" width="6.25" style="1" customWidth="1"/>
    <col min="2564" max="2564" width="13.875" style="1" customWidth="1"/>
    <col min="2565" max="2568" width="11.875" style="1" customWidth="1"/>
    <col min="2569" max="2569" width="13" style="1" customWidth="1"/>
    <col min="2570" max="2570" width="16.75" style="1" customWidth="1"/>
    <col min="2571" max="2571" width="13.875" style="1" customWidth="1"/>
    <col min="2572" max="2572" width="12.5" style="1" bestFit="1" customWidth="1"/>
    <col min="2573" max="2573" width="15" style="1" bestFit="1" customWidth="1"/>
    <col min="2574" max="2574" width="15.625" style="1" customWidth="1"/>
    <col min="2575" max="2575" width="9.625" style="1" customWidth="1"/>
    <col min="2576" max="2576" width="0" style="1" hidden="1" customWidth="1"/>
    <col min="2577" max="2577" width="10" style="1" customWidth="1"/>
    <col min="2578" max="2816" width="9" style="1"/>
    <col min="2817" max="2817" width="5" style="1" customWidth="1"/>
    <col min="2818" max="2818" width="20.125" style="1" customWidth="1"/>
    <col min="2819" max="2819" width="6.25" style="1" customWidth="1"/>
    <col min="2820" max="2820" width="13.875" style="1" customWidth="1"/>
    <col min="2821" max="2824" width="11.875" style="1" customWidth="1"/>
    <col min="2825" max="2825" width="13" style="1" customWidth="1"/>
    <col min="2826" max="2826" width="16.75" style="1" customWidth="1"/>
    <col min="2827" max="2827" width="13.875" style="1" customWidth="1"/>
    <col min="2828" max="2828" width="12.5" style="1" bestFit="1" customWidth="1"/>
    <col min="2829" max="2829" width="15" style="1" bestFit="1" customWidth="1"/>
    <col min="2830" max="2830" width="15.625" style="1" customWidth="1"/>
    <col min="2831" max="2831" width="9.625" style="1" customWidth="1"/>
    <col min="2832" max="2832" width="0" style="1" hidden="1" customWidth="1"/>
    <col min="2833" max="2833" width="10" style="1" customWidth="1"/>
    <col min="2834" max="3072" width="9" style="1"/>
    <col min="3073" max="3073" width="5" style="1" customWidth="1"/>
    <col min="3074" max="3074" width="20.125" style="1" customWidth="1"/>
    <col min="3075" max="3075" width="6.25" style="1" customWidth="1"/>
    <col min="3076" max="3076" width="13.875" style="1" customWidth="1"/>
    <col min="3077" max="3080" width="11.875" style="1" customWidth="1"/>
    <col min="3081" max="3081" width="13" style="1" customWidth="1"/>
    <col min="3082" max="3082" width="16.75" style="1" customWidth="1"/>
    <col min="3083" max="3083" width="13.875" style="1" customWidth="1"/>
    <col min="3084" max="3084" width="12.5" style="1" bestFit="1" customWidth="1"/>
    <col min="3085" max="3085" width="15" style="1" bestFit="1" customWidth="1"/>
    <col min="3086" max="3086" width="15.625" style="1" customWidth="1"/>
    <col min="3087" max="3087" width="9.625" style="1" customWidth="1"/>
    <col min="3088" max="3088" width="0" style="1" hidden="1" customWidth="1"/>
    <col min="3089" max="3089" width="10" style="1" customWidth="1"/>
    <col min="3090" max="3328" width="9" style="1"/>
    <col min="3329" max="3329" width="5" style="1" customWidth="1"/>
    <col min="3330" max="3330" width="20.125" style="1" customWidth="1"/>
    <col min="3331" max="3331" width="6.25" style="1" customWidth="1"/>
    <col min="3332" max="3332" width="13.875" style="1" customWidth="1"/>
    <col min="3333" max="3336" width="11.875" style="1" customWidth="1"/>
    <col min="3337" max="3337" width="13" style="1" customWidth="1"/>
    <col min="3338" max="3338" width="16.75" style="1" customWidth="1"/>
    <col min="3339" max="3339" width="13.875" style="1" customWidth="1"/>
    <col min="3340" max="3340" width="12.5" style="1" bestFit="1" customWidth="1"/>
    <col min="3341" max="3341" width="15" style="1" bestFit="1" customWidth="1"/>
    <col min="3342" max="3342" width="15.625" style="1" customWidth="1"/>
    <col min="3343" max="3343" width="9.625" style="1" customWidth="1"/>
    <col min="3344" max="3344" width="0" style="1" hidden="1" customWidth="1"/>
    <col min="3345" max="3345" width="10" style="1" customWidth="1"/>
    <col min="3346" max="3584" width="9" style="1"/>
    <col min="3585" max="3585" width="5" style="1" customWidth="1"/>
    <col min="3586" max="3586" width="20.125" style="1" customWidth="1"/>
    <col min="3587" max="3587" width="6.25" style="1" customWidth="1"/>
    <col min="3588" max="3588" width="13.875" style="1" customWidth="1"/>
    <col min="3589" max="3592" width="11.875" style="1" customWidth="1"/>
    <col min="3593" max="3593" width="13" style="1" customWidth="1"/>
    <col min="3594" max="3594" width="16.75" style="1" customWidth="1"/>
    <col min="3595" max="3595" width="13.875" style="1" customWidth="1"/>
    <col min="3596" max="3596" width="12.5" style="1" bestFit="1" customWidth="1"/>
    <col min="3597" max="3597" width="15" style="1" bestFit="1" customWidth="1"/>
    <col min="3598" max="3598" width="15.625" style="1" customWidth="1"/>
    <col min="3599" max="3599" width="9.625" style="1" customWidth="1"/>
    <col min="3600" max="3600" width="0" style="1" hidden="1" customWidth="1"/>
    <col min="3601" max="3601" width="10" style="1" customWidth="1"/>
    <col min="3602" max="3840" width="9" style="1"/>
    <col min="3841" max="3841" width="5" style="1" customWidth="1"/>
    <col min="3842" max="3842" width="20.125" style="1" customWidth="1"/>
    <col min="3843" max="3843" width="6.25" style="1" customWidth="1"/>
    <col min="3844" max="3844" width="13.875" style="1" customWidth="1"/>
    <col min="3845" max="3848" width="11.875" style="1" customWidth="1"/>
    <col min="3849" max="3849" width="13" style="1" customWidth="1"/>
    <col min="3850" max="3850" width="16.75" style="1" customWidth="1"/>
    <col min="3851" max="3851" width="13.875" style="1" customWidth="1"/>
    <col min="3852" max="3852" width="12.5" style="1" bestFit="1" customWidth="1"/>
    <col min="3853" max="3853" width="15" style="1" bestFit="1" customWidth="1"/>
    <col min="3854" max="3854" width="15.625" style="1" customWidth="1"/>
    <col min="3855" max="3855" width="9.625" style="1" customWidth="1"/>
    <col min="3856" max="3856" width="0" style="1" hidden="1" customWidth="1"/>
    <col min="3857" max="3857" width="10" style="1" customWidth="1"/>
    <col min="3858" max="4096" width="9" style="1"/>
    <col min="4097" max="4097" width="5" style="1" customWidth="1"/>
    <col min="4098" max="4098" width="20.125" style="1" customWidth="1"/>
    <col min="4099" max="4099" width="6.25" style="1" customWidth="1"/>
    <col min="4100" max="4100" width="13.875" style="1" customWidth="1"/>
    <col min="4101" max="4104" width="11.875" style="1" customWidth="1"/>
    <col min="4105" max="4105" width="13" style="1" customWidth="1"/>
    <col min="4106" max="4106" width="16.75" style="1" customWidth="1"/>
    <col min="4107" max="4107" width="13.875" style="1" customWidth="1"/>
    <col min="4108" max="4108" width="12.5" style="1" bestFit="1" customWidth="1"/>
    <col min="4109" max="4109" width="15" style="1" bestFit="1" customWidth="1"/>
    <col min="4110" max="4110" width="15.625" style="1" customWidth="1"/>
    <col min="4111" max="4111" width="9.625" style="1" customWidth="1"/>
    <col min="4112" max="4112" width="0" style="1" hidden="1" customWidth="1"/>
    <col min="4113" max="4113" width="10" style="1" customWidth="1"/>
    <col min="4114" max="4352" width="9" style="1"/>
    <col min="4353" max="4353" width="5" style="1" customWidth="1"/>
    <col min="4354" max="4354" width="20.125" style="1" customWidth="1"/>
    <col min="4355" max="4355" width="6.25" style="1" customWidth="1"/>
    <col min="4356" max="4356" width="13.875" style="1" customWidth="1"/>
    <col min="4357" max="4360" width="11.875" style="1" customWidth="1"/>
    <col min="4361" max="4361" width="13" style="1" customWidth="1"/>
    <col min="4362" max="4362" width="16.75" style="1" customWidth="1"/>
    <col min="4363" max="4363" width="13.875" style="1" customWidth="1"/>
    <col min="4364" max="4364" width="12.5" style="1" bestFit="1" customWidth="1"/>
    <col min="4365" max="4365" width="15" style="1" bestFit="1" customWidth="1"/>
    <col min="4366" max="4366" width="15.625" style="1" customWidth="1"/>
    <col min="4367" max="4367" width="9.625" style="1" customWidth="1"/>
    <col min="4368" max="4368" width="0" style="1" hidden="1" customWidth="1"/>
    <col min="4369" max="4369" width="10" style="1" customWidth="1"/>
    <col min="4370" max="4608" width="9" style="1"/>
    <col min="4609" max="4609" width="5" style="1" customWidth="1"/>
    <col min="4610" max="4610" width="20.125" style="1" customWidth="1"/>
    <col min="4611" max="4611" width="6.25" style="1" customWidth="1"/>
    <col min="4612" max="4612" width="13.875" style="1" customWidth="1"/>
    <col min="4613" max="4616" width="11.875" style="1" customWidth="1"/>
    <col min="4617" max="4617" width="13" style="1" customWidth="1"/>
    <col min="4618" max="4618" width="16.75" style="1" customWidth="1"/>
    <col min="4619" max="4619" width="13.875" style="1" customWidth="1"/>
    <col min="4620" max="4620" width="12.5" style="1" bestFit="1" customWidth="1"/>
    <col min="4621" max="4621" width="15" style="1" bestFit="1" customWidth="1"/>
    <col min="4622" max="4622" width="15.625" style="1" customWidth="1"/>
    <col min="4623" max="4623" width="9.625" style="1" customWidth="1"/>
    <col min="4624" max="4624" width="0" style="1" hidden="1" customWidth="1"/>
    <col min="4625" max="4625" width="10" style="1" customWidth="1"/>
    <col min="4626" max="4864" width="9" style="1"/>
    <col min="4865" max="4865" width="5" style="1" customWidth="1"/>
    <col min="4866" max="4866" width="20.125" style="1" customWidth="1"/>
    <col min="4867" max="4867" width="6.25" style="1" customWidth="1"/>
    <col min="4868" max="4868" width="13.875" style="1" customWidth="1"/>
    <col min="4869" max="4872" width="11.875" style="1" customWidth="1"/>
    <col min="4873" max="4873" width="13" style="1" customWidth="1"/>
    <col min="4874" max="4874" width="16.75" style="1" customWidth="1"/>
    <col min="4875" max="4875" width="13.875" style="1" customWidth="1"/>
    <col min="4876" max="4876" width="12.5" style="1" bestFit="1" customWidth="1"/>
    <col min="4877" max="4877" width="15" style="1" bestFit="1" customWidth="1"/>
    <col min="4878" max="4878" width="15.625" style="1" customWidth="1"/>
    <col min="4879" max="4879" width="9.625" style="1" customWidth="1"/>
    <col min="4880" max="4880" width="0" style="1" hidden="1" customWidth="1"/>
    <col min="4881" max="4881" width="10" style="1" customWidth="1"/>
    <col min="4882" max="5120" width="9" style="1"/>
    <col min="5121" max="5121" width="5" style="1" customWidth="1"/>
    <col min="5122" max="5122" width="20.125" style="1" customWidth="1"/>
    <col min="5123" max="5123" width="6.25" style="1" customWidth="1"/>
    <col min="5124" max="5124" width="13.875" style="1" customWidth="1"/>
    <col min="5125" max="5128" width="11.875" style="1" customWidth="1"/>
    <col min="5129" max="5129" width="13" style="1" customWidth="1"/>
    <col min="5130" max="5130" width="16.75" style="1" customWidth="1"/>
    <col min="5131" max="5131" width="13.875" style="1" customWidth="1"/>
    <col min="5132" max="5132" width="12.5" style="1" bestFit="1" customWidth="1"/>
    <col min="5133" max="5133" width="15" style="1" bestFit="1" customWidth="1"/>
    <col min="5134" max="5134" width="15.625" style="1" customWidth="1"/>
    <col min="5135" max="5135" width="9.625" style="1" customWidth="1"/>
    <col min="5136" max="5136" width="0" style="1" hidden="1" customWidth="1"/>
    <col min="5137" max="5137" width="10" style="1" customWidth="1"/>
    <col min="5138" max="5376" width="9" style="1"/>
    <col min="5377" max="5377" width="5" style="1" customWidth="1"/>
    <col min="5378" max="5378" width="20.125" style="1" customWidth="1"/>
    <col min="5379" max="5379" width="6.25" style="1" customWidth="1"/>
    <col min="5380" max="5380" width="13.875" style="1" customWidth="1"/>
    <col min="5381" max="5384" width="11.875" style="1" customWidth="1"/>
    <col min="5385" max="5385" width="13" style="1" customWidth="1"/>
    <col min="5386" max="5386" width="16.75" style="1" customWidth="1"/>
    <col min="5387" max="5387" width="13.875" style="1" customWidth="1"/>
    <col min="5388" max="5388" width="12.5" style="1" bestFit="1" customWidth="1"/>
    <col min="5389" max="5389" width="15" style="1" bestFit="1" customWidth="1"/>
    <col min="5390" max="5390" width="15.625" style="1" customWidth="1"/>
    <col min="5391" max="5391" width="9.625" style="1" customWidth="1"/>
    <col min="5392" max="5392" width="0" style="1" hidden="1" customWidth="1"/>
    <col min="5393" max="5393" width="10" style="1" customWidth="1"/>
    <col min="5394" max="5632" width="9" style="1"/>
    <col min="5633" max="5633" width="5" style="1" customWidth="1"/>
    <col min="5634" max="5634" width="20.125" style="1" customWidth="1"/>
    <col min="5635" max="5635" width="6.25" style="1" customWidth="1"/>
    <col min="5636" max="5636" width="13.875" style="1" customWidth="1"/>
    <col min="5637" max="5640" width="11.875" style="1" customWidth="1"/>
    <col min="5641" max="5641" width="13" style="1" customWidth="1"/>
    <col min="5642" max="5642" width="16.75" style="1" customWidth="1"/>
    <col min="5643" max="5643" width="13.875" style="1" customWidth="1"/>
    <col min="5644" max="5644" width="12.5" style="1" bestFit="1" customWidth="1"/>
    <col min="5645" max="5645" width="15" style="1" bestFit="1" customWidth="1"/>
    <col min="5646" max="5646" width="15.625" style="1" customWidth="1"/>
    <col min="5647" max="5647" width="9.625" style="1" customWidth="1"/>
    <col min="5648" max="5648" width="0" style="1" hidden="1" customWidth="1"/>
    <col min="5649" max="5649" width="10" style="1" customWidth="1"/>
    <col min="5650" max="5888" width="9" style="1"/>
    <col min="5889" max="5889" width="5" style="1" customWidth="1"/>
    <col min="5890" max="5890" width="20.125" style="1" customWidth="1"/>
    <col min="5891" max="5891" width="6.25" style="1" customWidth="1"/>
    <col min="5892" max="5892" width="13.875" style="1" customWidth="1"/>
    <col min="5893" max="5896" width="11.875" style="1" customWidth="1"/>
    <col min="5897" max="5897" width="13" style="1" customWidth="1"/>
    <col min="5898" max="5898" width="16.75" style="1" customWidth="1"/>
    <col min="5899" max="5899" width="13.875" style="1" customWidth="1"/>
    <col min="5900" max="5900" width="12.5" style="1" bestFit="1" customWidth="1"/>
    <col min="5901" max="5901" width="15" style="1" bestFit="1" customWidth="1"/>
    <col min="5902" max="5902" width="15.625" style="1" customWidth="1"/>
    <col min="5903" max="5903" width="9.625" style="1" customWidth="1"/>
    <col min="5904" max="5904" width="0" style="1" hidden="1" customWidth="1"/>
    <col min="5905" max="5905" width="10" style="1" customWidth="1"/>
    <col min="5906" max="6144" width="9" style="1"/>
    <col min="6145" max="6145" width="5" style="1" customWidth="1"/>
    <col min="6146" max="6146" width="20.125" style="1" customWidth="1"/>
    <col min="6147" max="6147" width="6.25" style="1" customWidth="1"/>
    <col min="6148" max="6148" width="13.875" style="1" customWidth="1"/>
    <col min="6149" max="6152" width="11.875" style="1" customWidth="1"/>
    <col min="6153" max="6153" width="13" style="1" customWidth="1"/>
    <col min="6154" max="6154" width="16.75" style="1" customWidth="1"/>
    <col min="6155" max="6155" width="13.875" style="1" customWidth="1"/>
    <col min="6156" max="6156" width="12.5" style="1" bestFit="1" customWidth="1"/>
    <col min="6157" max="6157" width="15" style="1" bestFit="1" customWidth="1"/>
    <col min="6158" max="6158" width="15.625" style="1" customWidth="1"/>
    <col min="6159" max="6159" width="9.625" style="1" customWidth="1"/>
    <col min="6160" max="6160" width="0" style="1" hidden="1" customWidth="1"/>
    <col min="6161" max="6161" width="10" style="1" customWidth="1"/>
    <col min="6162" max="6400" width="9" style="1"/>
    <col min="6401" max="6401" width="5" style="1" customWidth="1"/>
    <col min="6402" max="6402" width="20.125" style="1" customWidth="1"/>
    <col min="6403" max="6403" width="6.25" style="1" customWidth="1"/>
    <col min="6404" max="6404" width="13.875" style="1" customWidth="1"/>
    <col min="6405" max="6408" width="11.875" style="1" customWidth="1"/>
    <col min="6409" max="6409" width="13" style="1" customWidth="1"/>
    <col min="6410" max="6410" width="16.75" style="1" customWidth="1"/>
    <col min="6411" max="6411" width="13.875" style="1" customWidth="1"/>
    <col min="6412" max="6412" width="12.5" style="1" bestFit="1" customWidth="1"/>
    <col min="6413" max="6413" width="15" style="1" bestFit="1" customWidth="1"/>
    <col min="6414" max="6414" width="15.625" style="1" customWidth="1"/>
    <col min="6415" max="6415" width="9.625" style="1" customWidth="1"/>
    <col min="6416" max="6416" width="0" style="1" hidden="1" customWidth="1"/>
    <col min="6417" max="6417" width="10" style="1" customWidth="1"/>
    <col min="6418" max="6656" width="9" style="1"/>
    <col min="6657" max="6657" width="5" style="1" customWidth="1"/>
    <col min="6658" max="6658" width="20.125" style="1" customWidth="1"/>
    <col min="6659" max="6659" width="6.25" style="1" customWidth="1"/>
    <col min="6660" max="6660" width="13.875" style="1" customWidth="1"/>
    <col min="6661" max="6664" width="11.875" style="1" customWidth="1"/>
    <col min="6665" max="6665" width="13" style="1" customWidth="1"/>
    <col min="6666" max="6666" width="16.75" style="1" customWidth="1"/>
    <col min="6667" max="6667" width="13.875" style="1" customWidth="1"/>
    <col min="6668" max="6668" width="12.5" style="1" bestFit="1" customWidth="1"/>
    <col min="6669" max="6669" width="15" style="1" bestFit="1" customWidth="1"/>
    <col min="6670" max="6670" width="15.625" style="1" customWidth="1"/>
    <col min="6671" max="6671" width="9.625" style="1" customWidth="1"/>
    <col min="6672" max="6672" width="0" style="1" hidden="1" customWidth="1"/>
    <col min="6673" max="6673" width="10" style="1" customWidth="1"/>
    <col min="6674" max="6912" width="9" style="1"/>
    <col min="6913" max="6913" width="5" style="1" customWidth="1"/>
    <col min="6914" max="6914" width="20.125" style="1" customWidth="1"/>
    <col min="6915" max="6915" width="6.25" style="1" customWidth="1"/>
    <col min="6916" max="6916" width="13.875" style="1" customWidth="1"/>
    <col min="6917" max="6920" width="11.875" style="1" customWidth="1"/>
    <col min="6921" max="6921" width="13" style="1" customWidth="1"/>
    <col min="6922" max="6922" width="16.75" style="1" customWidth="1"/>
    <col min="6923" max="6923" width="13.875" style="1" customWidth="1"/>
    <col min="6924" max="6924" width="12.5" style="1" bestFit="1" customWidth="1"/>
    <col min="6925" max="6925" width="15" style="1" bestFit="1" customWidth="1"/>
    <col min="6926" max="6926" width="15.625" style="1" customWidth="1"/>
    <col min="6927" max="6927" width="9.625" style="1" customWidth="1"/>
    <col min="6928" max="6928" width="0" style="1" hidden="1" customWidth="1"/>
    <col min="6929" max="6929" width="10" style="1" customWidth="1"/>
    <col min="6930" max="7168" width="9" style="1"/>
    <col min="7169" max="7169" width="5" style="1" customWidth="1"/>
    <col min="7170" max="7170" width="20.125" style="1" customWidth="1"/>
    <col min="7171" max="7171" width="6.25" style="1" customWidth="1"/>
    <col min="7172" max="7172" width="13.875" style="1" customWidth="1"/>
    <col min="7173" max="7176" width="11.875" style="1" customWidth="1"/>
    <col min="7177" max="7177" width="13" style="1" customWidth="1"/>
    <col min="7178" max="7178" width="16.75" style="1" customWidth="1"/>
    <col min="7179" max="7179" width="13.875" style="1" customWidth="1"/>
    <col min="7180" max="7180" width="12.5" style="1" bestFit="1" customWidth="1"/>
    <col min="7181" max="7181" width="15" style="1" bestFit="1" customWidth="1"/>
    <col min="7182" max="7182" width="15.625" style="1" customWidth="1"/>
    <col min="7183" max="7183" width="9.625" style="1" customWidth="1"/>
    <col min="7184" max="7184" width="0" style="1" hidden="1" customWidth="1"/>
    <col min="7185" max="7185" width="10" style="1" customWidth="1"/>
    <col min="7186" max="7424" width="9" style="1"/>
    <col min="7425" max="7425" width="5" style="1" customWidth="1"/>
    <col min="7426" max="7426" width="20.125" style="1" customWidth="1"/>
    <col min="7427" max="7427" width="6.25" style="1" customWidth="1"/>
    <col min="7428" max="7428" width="13.875" style="1" customWidth="1"/>
    <col min="7429" max="7432" width="11.875" style="1" customWidth="1"/>
    <col min="7433" max="7433" width="13" style="1" customWidth="1"/>
    <col min="7434" max="7434" width="16.75" style="1" customWidth="1"/>
    <col min="7435" max="7435" width="13.875" style="1" customWidth="1"/>
    <col min="7436" max="7436" width="12.5" style="1" bestFit="1" customWidth="1"/>
    <col min="7437" max="7437" width="15" style="1" bestFit="1" customWidth="1"/>
    <col min="7438" max="7438" width="15.625" style="1" customWidth="1"/>
    <col min="7439" max="7439" width="9.625" style="1" customWidth="1"/>
    <col min="7440" max="7440" width="0" style="1" hidden="1" customWidth="1"/>
    <col min="7441" max="7441" width="10" style="1" customWidth="1"/>
    <col min="7442" max="7680" width="9" style="1"/>
    <col min="7681" max="7681" width="5" style="1" customWidth="1"/>
    <col min="7682" max="7682" width="20.125" style="1" customWidth="1"/>
    <col min="7683" max="7683" width="6.25" style="1" customWidth="1"/>
    <col min="7684" max="7684" width="13.875" style="1" customWidth="1"/>
    <col min="7685" max="7688" width="11.875" style="1" customWidth="1"/>
    <col min="7689" max="7689" width="13" style="1" customWidth="1"/>
    <col min="7690" max="7690" width="16.75" style="1" customWidth="1"/>
    <col min="7691" max="7691" width="13.875" style="1" customWidth="1"/>
    <col min="7692" max="7692" width="12.5" style="1" bestFit="1" customWidth="1"/>
    <col min="7693" max="7693" width="15" style="1" bestFit="1" customWidth="1"/>
    <col min="7694" max="7694" width="15.625" style="1" customWidth="1"/>
    <col min="7695" max="7695" width="9.625" style="1" customWidth="1"/>
    <col min="7696" max="7696" width="0" style="1" hidden="1" customWidth="1"/>
    <col min="7697" max="7697" width="10" style="1" customWidth="1"/>
    <col min="7698" max="7936" width="9" style="1"/>
    <col min="7937" max="7937" width="5" style="1" customWidth="1"/>
    <col min="7938" max="7938" width="20.125" style="1" customWidth="1"/>
    <col min="7939" max="7939" width="6.25" style="1" customWidth="1"/>
    <col min="7940" max="7940" width="13.875" style="1" customWidth="1"/>
    <col min="7941" max="7944" width="11.875" style="1" customWidth="1"/>
    <col min="7945" max="7945" width="13" style="1" customWidth="1"/>
    <col min="7946" max="7946" width="16.75" style="1" customWidth="1"/>
    <col min="7947" max="7947" width="13.875" style="1" customWidth="1"/>
    <col min="7948" max="7948" width="12.5" style="1" bestFit="1" customWidth="1"/>
    <col min="7949" max="7949" width="15" style="1" bestFit="1" customWidth="1"/>
    <col min="7950" max="7950" width="15.625" style="1" customWidth="1"/>
    <col min="7951" max="7951" width="9.625" style="1" customWidth="1"/>
    <col min="7952" max="7952" width="0" style="1" hidden="1" customWidth="1"/>
    <col min="7953" max="7953" width="10" style="1" customWidth="1"/>
    <col min="7954" max="8192" width="9" style="1"/>
    <col min="8193" max="8193" width="5" style="1" customWidth="1"/>
    <col min="8194" max="8194" width="20.125" style="1" customWidth="1"/>
    <col min="8195" max="8195" width="6.25" style="1" customWidth="1"/>
    <col min="8196" max="8196" width="13.875" style="1" customWidth="1"/>
    <col min="8197" max="8200" width="11.875" style="1" customWidth="1"/>
    <col min="8201" max="8201" width="13" style="1" customWidth="1"/>
    <col min="8202" max="8202" width="16.75" style="1" customWidth="1"/>
    <col min="8203" max="8203" width="13.875" style="1" customWidth="1"/>
    <col min="8204" max="8204" width="12.5" style="1" bestFit="1" customWidth="1"/>
    <col min="8205" max="8205" width="15" style="1" bestFit="1" customWidth="1"/>
    <col min="8206" max="8206" width="15.625" style="1" customWidth="1"/>
    <col min="8207" max="8207" width="9.625" style="1" customWidth="1"/>
    <col min="8208" max="8208" width="0" style="1" hidden="1" customWidth="1"/>
    <col min="8209" max="8209" width="10" style="1" customWidth="1"/>
    <col min="8210" max="8448" width="9" style="1"/>
    <col min="8449" max="8449" width="5" style="1" customWidth="1"/>
    <col min="8450" max="8450" width="20.125" style="1" customWidth="1"/>
    <col min="8451" max="8451" width="6.25" style="1" customWidth="1"/>
    <col min="8452" max="8452" width="13.875" style="1" customWidth="1"/>
    <col min="8453" max="8456" width="11.875" style="1" customWidth="1"/>
    <col min="8457" max="8457" width="13" style="1" customWidth="1"/>
    <col min="8458" max="8458" width="16.75" style="1" customWidth="1"/>
    <col min="8459" max="8459" width="13.875" style="1" customWidth="1"/>
    <col min="8460" max="8460" width="12.5" style="1" bestFit="1" customWidth="1"/>
    <col min="8461" max="8461" width="15" style="1" bestFit="1" customWidth="1"/>
    <col min="8462" max="8462" width="15.625" style="1" customWidth="1"/>
    <col min="8463" max="8463" width="9.625" style="1" customWidth="1"/>
    <col min="8464" max="8464" width="0" style="1" hidden="1" customWidth="1"/>
    <col min="8465" max="8465" width="10" style="1" customWidth="1"/>
    <col min="8466" max="8704" width="9" style="1"/>
    <col min="8705" max="8705" width="5" style="1" customWidth="1"/>
    <col min="8706" max="8706" width="20.125" style="1" customWidth="1"/>
    <col min="8707" max="8707" width="6.25" style="1" customWidth="1"/>
    <col min="8708" max="8708" width="13.875" style="1" customWidth="1"/>
    <col min="8709" max="8712" width="11.875" style="1" customWidth="1"/>
    <col min="8713" max="8713" width="13" style="1" customWidth="1"/>
    <col min="8714" max="8714" width="16.75" style="1" customWidth="1"/>
    <col min="8715" max="8715" width="13.875" style="1" customWidth="1"/>
    <col min="8716" max="8716" width="12.5" style="1" bestFit="1" customWidth="1"/>
    <col min="8717" max="8717" width="15" style="1" bestFit="1" customWidth="1"/>
    <col min="8718" max="8718" width="15.625" style="1" customWidth="1"/>
    <col min="8719" max="8719" width="9.625" style="1" customWidth="1"/>
    <col min="8720" max="8720" width="0" style="1" hidden="1" customWidth="1"/>
    <col min="8721" max="8721" width="10" style="1" customWidth="1"/>
    <col min="8722" max="8960" width="9" style="1"/>
    <col min="8961" max="8961" width="5" style="1" customWidth="1"/>
    <col min="8962" max="8962" width="20.125" style="1" customWidth="1"/>
    <col min="8963" max="8963" width="6.25" style="1" customWidth="1"/>
    <col min="8964" max="8964" width="13.875" style="1" customWidth="1"/>
    <col min="8965" max="8968" width="11.875" style="1" customWidth="1"/>
    <col min="8969" max="8969" width="13" style="1" customWidth="1"/>
    <col min="8970" max="8970" width="16.75" style="1" customWidth="1"/>
    <col min="8971" max="8971" width="13.875" style="1" customWidth="1"/>
    <col min="8972" max="8972" width="12.5" style="1" bestFit="1" customWidth="1"/>
    <col min="8973" max="8973" width="15" style="1" bestFit="1" customWidth="1"/>
    <col min="8974" max="8974" width="15.625" style="1" customWidth="1"/>
    <col min="8975" max="8975" width="9.625" style="1" customWidth="1"/>
    <col min="8976" max="8976" width="0" style="1" hidden="1" customWidth="1"/>
    <col min="8977" max="8977" width="10" style="1" customWidth="1"/>
    <col min="8978" max="9216" width="9" style="1"/>
    <col min="9217" max="9217" width="5" style="1" customWidth="1"/>
    <col min="9218" max="9218" width="20.125" style="1" customWidth="1"/>
    <col min="9219" max="9219" width="6.25" style="1" customWidth="1"/>
    <col min="9220" max="9220" width="13.875" style="1" customWidth="1"/>
    <col min="9221" max="9224" width="11.875" style="1" customWidth="1"/>
    <col min="9225" max="9225" width="13" style="1" customWidth="1"/>
    <col min="9226" max="9226" width="16.75" style="1" customWidth="1"/>
    <col min="9227" max="9227" width="13.875" style="1" customWidth="1"/>
    <col min="9228" max="9228" width="12.5" style="1" bestFit="1" customWidth="1"/>
    <col min="9229" max="9229" width="15" style="1" bestFit="1" customWidth="1"/>
    <col min="9230" max="9230" width="15.625" style="1" customWidth="1"/>
    <col min="9231" max="9231" width="9.625" style="1" customWidth="1"/>
    <col min="9232" max="9232" width="0" style="1" hidden="1" customWidth="1"/>
    <col min="9233" max="9233" width="10" style="1" customWidth="1"/>
    <col min="9234" max="9472" width="9" style="1"/>
    <col min="9473" max="9473" width="5" style="1" customWidth="1"/>
    <col min="9474" max="9474" width="20.125" style="1" customWidth="1"/>
    <col min="9475" max="9475" width="6.25" style="1" customWidth="1"/>
    <col min="9476" max="9476" width="13.875" style="1" customWidth="1"/>
    <col min="9477" max="9480" width="11.875" style="1" customWidth="1"/>
    <col min="9481" max="9481" width="13" style="1" customWidth="1"/>
    <col min="9482" max="9482" width="16.75" style="1" customWidth="1"/>
    <col min="9483" max="9483" width="13.875" style="1" customWidth="1"/>
    <col min="9484" max="9484" width="12.5" style="1" bestFit="1" customWidth="1"/>
    <col min="9485" max="9485" width="15" style="1" bestFit="1" customWidth="1"/>
    <col min="9486" max="9486" width="15.625" style="1" customWidth="1"/>
    <col min="9487" max="9487" width="9.625" style="1" customWidth="1"/>
    <col min="9488" max="9488" width="0" style="1" hidden="1" customWidth="1"/>
    <col min="9489" max="9489" width="10" style="1" customWidth="1"/>
    <col min="9490" max="9728" width="9" style="1"/>
    <col min="9729" max="9729" width="5" style="1" customWidth="1"/>
    <col min="9730" max="9730" width="20.125" style="1" customWidth="1"/>
    <col min="9731" max="9731" width="6.25" style="1" customWidth="1"/>
    <col min="9732" max="9732" width="13.875" style="1" customWidth="1"/>
    <col min="9733" max="9736" width="11.875" style="1" customWidth="1"/>
    <col min="9737" max="9737" width="13" style="1" customWidth="1"/>
    <col min="9738" max="9738" width="16.75" style="1" customWidth="1"/>
    <col min="9739" max="9739" width="13.875" style="1" customWidth="1"/>
    <col min="9740" max="9740" width="12.5" style="1" bestFit="1" customWidth="1"/>
    <col min="9741" max="9741" width="15" style="1" bestFit="1" customWidth="1"/>
    <col min="9742" max="9742" width="15.625" style="1" customWidth="1"/>
    <col min="9743" max="9743" width="9.625" style="1" customWidth="1"/>
    <col min="9744" max="9744" width="0" style="1" hidden="1" customWidth="1"/>
    <col min="9745" max="9745" width="10" style="1" customWidth="1"/>
    <col min="9746" max="9984" width="9" style="1"/>
    <col min="9985" max="9985" width="5" style="1" customWidth="1"/>
    <col min="9986" max="9986" width="20.125" style="1" customWidth="1"/>
    <col min="9987" max="9987" width="6.25" style="1" customWidth="1"/>
    <col min="9988" max="9988" width="13.875" style="1" customWidth="1"/>
    <col min="9989" max="9992" width="11.875" style="1" customWidth="1"/>
    <col min="9993" max="9993" width="13" style="1" customWidth="1"/>
    <col min="9994" max="9994" width="16.75" style="1" customWidth="1"/>
    <col min="9995" max="9995" width="13.875" style="1" customWidth="1"/>
    <col min="9996" max="9996" width="12.5" style="1" bestFit="1" customWidth="1"/>
    <col min="9997" max="9997" width="15" style="1" bestFit="1" customWidth="1"/>
    <col min="9998" max="9998" width="15.625" style="1" customWidth="1"/>
    <col min="9999" max="9999" width="9.625" style="1" customWidth="1"/>
    <col min="10000" max="10000" width="0" style="1" hidden="1" customWidth="1"/>
    <col min="10001" max="10001" width="10" style="1" customWidth="1"/>
    <col min="10002" max="10240" width="9" style="1"/>
    <col min="10241" max="10241" width="5" style="1" customWidth="1"/>
    <col min="10242" max="10242" width="20.125" style="1" customWidth="1"/>
    <col min="10243" max="10243" width="6.25" style="1" customWidth="1"/>
    <col min="10244" max="10244" width="13.875" style="1" customWidth="1"/>
    <col min="10245" max="10248" width="11.875" style="1" customWidth="1"/>
    <col min="10249" max="10249" width="13" style="1" customWidth="1"/>
    <col min="10250" max="10250" width="16.75" style="1" customWidth="1"/>
    <col min="10251" max="10251" width="13.875" style="1" customWidth="1"/>
    <col min="10252" max="10252" width="12.5" style="1" bestFit="1" customWidth="1"/>
    <col min="10253" max="10253" width="15" style="1" bestFit="1" customWidth="1"/>
    <col min="10254" max="10254" width="15.625" style="1" customWidth="1"/>
    <col min="10255" max="10255" width="9.625" style="1" customWidth="1"/>
    <col min="10256" max="10256" width="0" style="1" hidden="1" customWidth="1"/>
    <col min="10257" max="10257" width="10" style="1" customWidth="1"/>
    <col min="10258" max="10496" width="9" style="1"/>
    <col min="10497" max="10497" width="5" style="1" customWidth="1"/>
    <col min="10498" max="10498" width="20.125" style="1" customWidth="1"/>
    <col min="10499" max="10499" width="6.25" style="1" customWidth="1"/>
    <col min="10500" max="10500" width="13.875" style="1" customWidth="1"/>
    <col min="10501" max="10504" width="11.875" style="1" customWidth="1"/>
    <col min="10505" max="10505" width="13" style="1" customWidth="1"/>
    <col min="10506" max="10506" width="16.75" style="1" customWidth="1"/>
    <col min="10507" max="10507" width="13.875" style="1" customWidth="1"/>
    <col min="10508" max="10508" width="12.5" style="1" bestFit="1" customWidth="1"/>
    <col min="10509" max="10509" width="15" style="1" bestFit="1" customWidth="1"/>
    <col min="10510" max="10510" width="15.625" style="1" customWidth="1"/>
    <col min="10511" max="10511" width="9.625" style="1" customWidth="1"/>
    <col min="10512" max="10512" width="0" style="1" hidden="1" customWidth="1"/>
    <col min="10513" max="10513" width="10" style="1" customWidth="1"/>
    <col min="10514" max="10752" width="9" style="1"/>
    <col min="10753" max="10753" width="5" style="1" customWidth="1"/>
    <col min="10754" max="10754" width="20.125" style="1" customWidth="1"/>
    <col min="10755" max="10755" width="6.25" style="1" customWidth="1"/>
    <col min="10756" max="10756" width="13.875" style="1" customWidth="1"/>
    <col min="10757" max="10760" width="11.875" style="1" customWidth="1"/>
    <col min="10761" max="10761" width="13" style="1" customWidth="1"/>
    <col min="10762" max="10762" width="16.75" style="1" customWidth="1"/>
    <col min="10763" max="10763" width="13.875" style="1" customWidth="1"/>
    <col min="10764" max="10764" width="12.5" style="1" bestFit="1" customWidth="1"/>
    <col min="10765" max="10765" width="15" style="1" bestFit="1" customWidth="1"/>
    <col min="10766" max="10766" width="15.625" style="1" customWidth="1"/>
    <col min="10767" max="10767" width="9.625" style="1" customWidth="1"/>
    <col min="10768" max="10768" width="0" style="1" hidden="1" customWidth="1"/>
    <col min="10769" max="10769" width="10" style="1" customWidth="1"/>
    <col min="10770" max="11008" width="9" style="1"/>
    <col min="11009" max="11009" width="5" style="1" customWidth="1"/>
    <col min="11010" max="11010" width="20.125" style="1" customWidth="1"/>
    <col min="11011" max="11011" width="6.25" style="1" customWidth="1"/>
    <col min="11012" max="11012" width="13.875" style="1" customWidth="1"/>
    <col min="11013" max="11016" width="11.875" style="1" customWidth="1"/>
    <col min="11017" max="11017" width="13" style="1" customWidth="1"/>
    <col min="11018" max="11018" width="16.75" style="1" customWidth="1"/>
    <col min="11019" max="11019" width="13.875" style="1" customWidth="1"/>
    <col min="11020" max="11020" width="12.5" style="1" bestFit="1" customWidth="1"/>
    <col min="11021" max="11021" width="15" style="1" bestFit="1" customWidth="1"/>
    <col min="11022" max="11022" width="15.625" style="1" customWidth="1"/>
    <col min="11023" max="11023" width="9.625" style="1" customWidth="1"/>
    <col min="11024" max="11024" width="0" style="1" hidden="1" customWidth="1"/>
    <col min="11025" max="11025" width="10" style="1" customWidth="1"/>
    <col min="11026" max="11264" width="9" style="1"/>
    <col min="11265" max="11265" width="5" style="1" customWidth="1"/>
    <col min="11266" max="11266" width="20.125" style="1" customWidth="1"/>
    <col min="11267" max="11267" width="6.25" style="1" customWidth="1"/>
    <col min="11268" max="11268" width="13.875" style="1" customWidth="1"/>
    <col min="11269" max="11272" width="11.875" style="1" customWidth="1"/>
    <col min="11273" max="11273" width="13" style="1" customWidth="1"/>
    <col min="11274" max="11274" width="16.75" style="1" customWidth="1"/>
    <col min="11275" max="11275" width="13.875" style="1" customWidth="1"/>
    <col min="11276" max="11276" width="12.5" style="1" bestFit="1" customWidth="1"/>
    <col min="11277" max="11277" width="15" style="1" bestFit="1" customWidth="1"/>
    <col min="11278" max="11278" width="15.625" style="1" customWidth="1"/>
    <col min="11279" max="11279" width="9.625" style="1" customWidth="1"/>
    <col min="11280" max="11280" width="0" style="1" hidden="1" customWidth="1"/>
    <col min="11281" max="11281" width="10" style="1" customWidth="1"/>
    <col min="11282" max="11520" width="9" style="1"/>
    <col min="11521" max="11521" width="5" style="1" customWidth="1"/>
    <col min="11522" max="11522" width="20.125" style="1" customWidth="1"/>
    <col min="11523" max="11523" width="6.25" style="1" customWidth="1"/>
    <col min="11524" max="11524" width="13.875" style="1" customWidth="1"/>
    <col min="11525" max="11528" width="11.875" style="1" customWidth="1"/>
    <col min="11529" max="11529" width="13" style="1" customWidth="1"/>
    <col min="11530" max="11530" width="16.75" style="1" customWidth="1"/>
    <col min="11531" max="11531" width="13.875" style="1" customWidth="1"/>
    <col min="11532" max="11532" width="12.5" style="1" bestFit="1" customWidth="1"/>
    <col min="11533" max="11533" width="15" style="1" bestFit="1" customWidth="1"/>
    <col min="11534" max="11534" width="15.625" style="1" customWidth="1"/>
    <col min="11535" max="11535" width="9.625" style="1" customWidth="1"/>
    <col min="11536" max="11536" width="0" style="1" hidden="1" customWidth="1"/>
    <col min="11537" max="11537" width="10" style="1" customWidth="1"/>
    <col min="11538" max="11776" width="9" style="1"/>
    <col min="11777" max="11777" width="5" style="1" customWidth="1"/>
    <col min="11778" max="11778" width="20.125" style="1" customWidth="1"/>
    <col min="11779" max="11779" width="6.25" style="1" customWidth="1"/>
    <col min="11780" max="11780" width="13.875" style="1" customWidth="1"/>
    <col min="11781" max="11784" width="11.875" style="1" customWidth="1"/>
    <col min="11785" max="11785" width="13" style="1" customWidth="1"/>
    <col min="11786" max="11786" width="16.75" style="1" customWidth="1"/>
    <col min="11787" max="11787" width="13.875" style="1" customWidth="1"/>
    <col min="11788" max="11788" width="12.5" style="1" bestFit="1" customWidth="1"/>
    <col min="11789" max="11789" width="15" style="1" bestFit="1" customWidth="1"/>
    <col min="11790" max="11790" width="15.625" style="1" customWidth="1"/>
    <col min="11791" max="11791" width="9.625" style="1" customWidth="1"/>
    <col min="11792" max="11792" width="0" style="1" hidden="1" customWidth="1"/>
    <col min="11793" max="11793" width="10" style="1" customWidth="1"/>
    <col min="11794" max="12032" width="9" style="1"/>
    <col min="12033" max="12033" width="5" style="1" customWidth="1"/>
    <col min="12034" max="12034" width="20.125" style="1" customWidth="1"/>
    <col min="12035" max="12035" width="6.25" style="1" customWidth="1"/>
    <col min="12036" max="12036" width="13.875" style="1" customWidth="1"/>
    <col min="12037" max="12040" width="11.875" style="1" customWidth="1"/>
    <col min="12041" max="12041" width="13" style="1" customWidth="1"/>
    <col min="12042" max="12042" width="16.75" style="1" customWidth="1"/>
    <col min="12043" max="12043" width="13.875" style="1" customWidth="1"/>
    <col min="12044" max="12044" width="12.5" style="1" bestFit="1" customWidth="1"/>
    <col min="12045" max="12045" width="15" style="1" bestFit="1" customWidth="1"/>
    <col min="12046" max="12046" width="15.625" style="1" customWidth="1"/>
    <col min="12047" max="12047" width="9.625" style="1" customWidth="1"/>
    <col min="12048" max="12048" width="0" style="1" hidden="1" customWidth="1"/>
    <col min="12049" max="12049" width="10" style="1" customWidth="1"/>
    <col min="12050" max="12288" width="9" style="1"/>
    <col min="12289" max="12289" width="5" style="1" customWidth="1"/>
    <col min="12290" max="12290" width="20.125" style="1" customWidth="1"/>
    <col min="12291" max="12291" width="6.25" style="1" customWidth="1"/>
    <col min="12292" max="12292" width="13.875" style="1" customWidth="1"/>
    <col min="12293" max="12296" width="11.875" style="1" customWidth="1"/>
    <col min="12297" max="12297" width="13" style="1" customWidth="1"/>
    <col min="12298" max="12298" width="16.75" style="1" customWidth="1"/>
    <col min="12299" max="12299" width="13.875" style="1" customWidth="1"/>
    <col min="12300" max="12300" width="12.5" style="1" bestFit="1" customWidth="1"/>
    <col min="12301" max="12301" width="15" style="1" bestFit="1" customWidth="1"/>
    <col min="12302" max="12302" width="15.625" style="1" customWidth="1"/>
    <col min="12303" max="12303" width="9.625" style="1" customWidth="1"/>
    <col min="12304" max="12304" width="0" style="1" hidden="1" customWidth="1"/>
    <col min="12305" max="12305" width="10" style="1" customWidth="1"/>
    <col min="12306" max="12544" width="9" style="1"/>
    <col min="12545" max="12545" width="5" style="1" customWidth="1"/>
    <col min="12546" max="12546" width="20.125" style="1" customWidth="1"/>
    <col min="12547" max="12547" width="6.25" style="1" customWidth="1"/>
    <col min="12548" max="12548" width="13.875" style="1" customWidth="1"/>
    <col min="12549" max="12552" width="11.875" style="1" customWidth="1"/>
    <col min="12553" max="12553" width="13" style="1" customWidth="1"/>
    <col min="12554" max="12554" width="16.75" style="1" customWidth="1"/>
    <col min="12555" max="12555" width="13.875" style="1" customWidth="1"/>
    <col min="12556" max="12556" width="12.5" style="1" bestFit="1" customWidth="1"/>
    <col min="12557" max="12557" width="15" style="1" bestFit="1" customWidth="1"/>
    <col min="12558" max="12558" width="15.625" style="1" customWidth="1"/>
    <col min="12559" max="12559" width="9.625" style="1" customWidth="1"/>
    <col min="12560" max="12560" width="0" style="1" hidden="1" customWidth="1"/>
    <col min="12561" max="12561" width="10" style="1" customWidth="1"/>
    <col min="12562" max="12800" width="9" style="1"/>
    <col min="12801" max="12801" width="5" style="1" customWidth="1"/>
    <col min="12802" max="12802" width="20.125" style="1" customWidth="1"/>
    <col min="12803" max="12803" width="6.25" style="1" customWidth="1"/>
    <col min="12804" max="12804" width="13.875" style="1" customWidth="1"/>
    <col min="12805" max="12808" width="11.875" style="1" customWidth="1"/>
    <col min="12809" max="12809" width="13" style="1" customWidth="1"/>
    <col min="12810" max="12810" width="16.75" style="1" customWidth="1"/>
    <col min="12811" max="12811" width="13.875" style="1" customWidth="1"/>
    <col min="12812" max="12812" width="12.5" style="1" bestFit="1" customWidth="1"/>
    <col min="12813" max="12813" width="15" style="1" bestFit="1" customWidth="1"/>
    <col min="12814" max="12814" width="15.625" style="1" customWidth="1"/>
    <col min="12815" max="12815" width="9.625" style="1" customWidth="1"/>
    <col min="12816" max="12816" width="0" style="1" hidden="1" customWidth="1"/>
    <col min="12817" max="12817" width="10" style="1" customWidth="1"/>
    <col min="12818" max="13056" width="9" style="1"/>
    <col min="13057" max="13057" width="5" style="1" customWidth="1"/>
    <col min="13058" max="13058" width="20.125" style="1" customWidth="1"/>
    <col min="13059" max="13059" width="6.25" style="1" customWidth="1"/>
    <col min="13060" max="13060" width="13.875" style="1" customWidth="1"/>
    <col min="13061" max="13064" width="11.875" style="1" customWidth="1"/>
    <col min="13065" max="13065" width="13" style="1" customWidth="1"/>
    <col min="13066" max="13066" width="16.75" style="1" customWidth="1"/>
    <col min="13067" max="13067" width="13.875" style="1" customWidth="1"/>
    <col min="13068" max="13068" width="12.5" style="1" bestFit="1" customWidth="1"/>
    <col min="13069" max="13069" width="15" style="1" bestFit="1" customWidth="1"/>
    <col min="13070" max="13070" width="15.625" style="1" customWidth="1"/>
    <col min="13071" max="13071" width="9.625" style="1" customWidth="1"/>
    <col min="13072" max="13072" width="0" style="1" hidden="1" customWidth="1"/>
    <col min="13073" max="13073" width="10" style="1" customWidth="1"/>
    <col min="13074" max="13312" width="9" style="1"/>
    <col min="13313" max="13313" width="5" style="1" customWidth="1"/>
    <col min="13314" max="13314" width="20.125" style="1" customWidth="1"/>
    <col min="13315" max="13315" width="6.25" style="1" customWidth="1"/>
    <col min="13316" max="13316" width="13.875" style="1" customWidth="1"/>
    <col min="13317" max="13320" width="11.875" style="1" customWidth="1"/>
    <col min="13321" max="13321" width="13" style="1" customWidth="1"/>
    <col min="13322" max="13322" width="16.75" style="1" customWidth="1"/>
    <col min="13323" max="13323" width="13.875" style="1" customWidth="1"/>
    <col min="13324" max="13324" width="12.5" style="1" bestFit="1" customWidth="1"/>
    <col min="13325" max="13325" width="15" style="1" bestFit="1" customWidth="1"/>
    <col min="13326" max="13326" width="15.625" style="1" customWidth="1"/>
    <col min="13327" max="13327" width="9.625" style="1" customWidth="1"/>
    <col min="13328" max="13328" width="0" style="1" hidden="1" customWidth="1"/>
    <col min="13329" max="13329" width="10" style="1" customWidth="1"/>
    <col min="13330" max="13568" width="9" style="1"/>
    <col min="13569" max="13569" width="5" style="1" customWidth="1"/>
    <col min="13570" max="13570" width="20.125" style="1" customWidth="1"/>
    <col min="13571" max="13571" width="6.25" style="1" customWidth="1"/>
    <col min="13572" max="13572" width="13.875" style="1" customWidth="1"/>
    <col min="13573" max="13576" width="11.875" style="1" customWidth="1"/>
    <col min="13577" max="13577" width="13" style="1" customWidth="1"/>
    <col min="13578" max="13578" width="16.75" style="1" customWidth="1"/>
    <col min="13579" max="13579" width="13.875" style="1" customWidth="1"/>
    <col min="13580" max="13580" width="12.5" style="1" bestFit="1" customWidth="1"/>
    <col min="13581" max="13581" width="15" style="1" bestFit="1" customWidth="1"/>
    <col min="13582" max="13582" width="15.625" style="1" customWidth="1"/>
    <col min="13583" max="13583" width="9.625" style="1" customWidth="1"/>
    <col min="13584" max="13584" width="0" style="1" hidden="1" customWidth="1"/>
    <col min="13585" max="13585" width="10" style="1" customWidth="1"/>
    <col min="13586" max="13824" width="9" style="1"/>
    <col min="13825" max="13825" width="5" style="1" customWidth="1"/>
    <col min="13826" max="13826" width="20.125" style="1" customWidth="1"/>
    <col min="13827" max="13827" width="6.25" style="1" customWidth="1"/>
    <col min="13828" max="13828" width="13.875" style="1" customWidth="1"/>
    <col min="13829" max="13832" width="11.875" style="1" customWidth="1"/>
    <col min="13833" max="13833" width="13" style="1" customWidth="1"/>
    <col min="13834" max="13834" width="16.75" style="1" customWidth="1"/>
    <col min="13835" max="13835" width="13.875" style="1" customWidth="1"/>
    <col min="13836" max="13836" width="12.5" style="1" bestFit="1" customWidth="1"/>
    <col min="13837" max="13837" width="15" style="1" bestFit="1" customWidth="1"/>
    <col min="13838" max="13838" width="15.625" style="1" customWidth="1"/>
    <col min="13839" max="13839" width="9.625" style="1" customWidth="1"/>
    <col min="13840" max="13840" width="0" style="1" hidden="1" customWidth="1"/>
    <col min="13841" max="13841" width="10" style="1" customWidth="1"/>
    <col min="13842" max="14080" width="9" style="1"/>
    <col min="14081" max="14081" width="5" style="1" customWidth="1"/>
    <col min="14082" max="14082" width="20.125" style="1" customWidth="1"/>
    <col min="14083" max="14083" width="6.25" style="1" customWidth="1"/>
    <col min="14084" max="14084" width="13.875" style="1" customWidth="1"/>
    <col min="14085" max="14088" width="11.875" style="1" customWidth="1"/>
    <col min="14089" max="14089" width="13" style="1" customWidth="1"/>
    <col min="14090" max="14090" width="16.75" style="1" customWidth="1"/>
    <col min="14091" max="14091" width="13.875" style="1" customWidth="1"/>
    <col min="14092" max="14092" width="12.5" style="1" bestFit="1" customWidth="1"/>
    <col min="14093" max="14093" width="15" style="1" bestFit="1" customWidth="1"/>
    <col min="14094" max="14094" width="15.625" style="1" customWidth="1"/>
    <col min="14095" max="14095" width="9.625" style="1" customWidth="1"/>
    <col min="14096" max="14096" width="0" style="1" hidden="1" customWidth="1"/>
    <col min="14097" max="14097" width="10" style="1" customWidth="1"/>
    <col min="14098" max="14336" width="9" style="1"/>
    <col min="14337" max="14337" width="5" style="1" customWidth="1"/>
    <col min="14338" max="14338" width="20.125" style="1" customWidth="1"/>
    <col min="14339" max="14339" width="6.25" style="1" customWidth="1"/>
    <col min="14340" max="14340" width="13.875" style="1" customWidth="1"/>
    <col min="14341" max="14344" width="11.875" style="1" customWidth="1"/>
    <col min="14345" max="14345" width="13" style="1" customWidth="1"/>
    <col min="14346" max="14346" width="16.75" style="1" customWidth="1"/>
    <col min="14347" max="14347" width="13.875" style="1" customWidth="1"/>
    <col min="14348" max="14348" width="12.5" style="1" bestFit="1" customWidth="1"/>
    <col min="14349" max="14349" width="15" style="1" bestFit="1" customWidth="1"/>
    <col min="14350" max="14350" width="15.625" style="1" customWidth="1"/>
    <col min="14351" max="14351" width="9.625" style="1" customWidth="1"/>
    <col min="14352" max="14352" width="0" style="1" hidden="1" customWidth="1"/>
    <col min="14353" max="14353" width="10" style="1" customWidth="1"/>
    <col min="14354" max="14592" width="9" style="1"/>
    <col min="14593" max="14593" width="5" style="1" customWidth="1"/>
    <col min="14594" max="14594" width="20.125" style="1" customWidth="1"/>
    <col min="14595" max="14595" width="6.25" style="1" customWidth="1"/>
    <col min="14596" max="14596" width="13.875" style="1" customWidth="1"/>
    <col min="14597" max="14600" width="11.875" style="1" customWidth="1"/>
    <col min="14601" max="14601" width="13" style="1" customWidth="1"/>
    <col min="14602" max="14602" width="16.75" style="1" customWidth="1"/>
    <col min="14603" max="14603" width="13.875" style="1" customWidth="1"/>
    <col min="14604" max="14604" width="12.5" style="1" bestFit="1" customWidth="1"/>
    <col min="14605" max="14605" width="15" style="1" bestFit="1" customWidth="1"/>
    <col min="14606" max="14606" width="15.625" style="1" customWidth="1"/>
    <col min="14607" max="14607" width="9.625" style="1" customWidth="1"/>
    <col min="14608" max="14608" width="0" style="1" hidden="1" customWidth="1"/>
    <col min="14609" max="14609" width="10" style="1" customWidth="1"/>
    <col min="14610" max="14848" width="9" style="1"/>
    <col min="14849" max="14849" width="5" style="1" customWidth="1"/>
    <col min="14850" max="14850" width="20.125" style="1" customWidth="1"/>
    <col min="14851" max="14851" width="6.25" style="1" customWidth="1"/>
    <col min="14852" max="14852" width="13.875" style="1" customWidth="1"/>
    <col min="14853" max="14856" width="11.875" style="1" customWidth="1"/>
    <col min="14857" max="14857" width="13" style="1" customWidth="1"/>
    <col min="14858" max="14858" width="16.75" style="1" customWidth="1"/>
    <col min="14859" max="14859" width="13.875" style="1" customWidth="1"/>
    <col min="14860" max="14860" width="12.5" style="1" bestFit="1" customWidth="1"/>
    <col min="14861" max="14861" width="15" style="1" bestFit="1" customWidth="1"/>
    <col min="14862" max="14862" width="15.625" style="1" customWidth="1"/>
    <col min="14863" max="14863" width="9.625" style="1" customWidth="1"/>
    <col min="14864" max="14864" width="0" style="1" hidden="1" customWidth="1"/>
    <col min="14865" max="14865" width="10" style="1" customWidth="1"/>
    <col min="14866" max="15104" width="9" style="1"/>
    <col min="15105" max="15105" width="5" style="1" customWidth="1"/>
    <col min="15106" max="15106" width="20.125" style="1" customWidth="1"/>
    <col min="15107" max="15107" width="6.25" style="1" customWidth="1"/>
    <col min="15108" max="15108" width="13.875" style="1" customWidth="1"/>
    <col min="15109" max="15112" width="11.875" style="1" customWidth="1"/>
    <col min="15113" max="15113" width="13" style="1" customWidth="1"/>
    <col min="15114" max="15114" width="16.75" style="1" customWidth="1"/>
    <col min="15115" max="15115" width="13.875" style="1" customWidth="1"/>
    <col min="15116" max="15116" width="12.5" style="1" bestFit="1" customWidth="1"/>
    <col min="15117" max="15117" width="15" style="1" bestFit="1" customWidth="1"/>
    <col min="15118" max="15118" width="15.625" style="1" customWidth="1"/>
    <col min="15119" max="15119" width="9.625" style="1" customWidth="1"/>
    <col min="15120" max="15120" width="0" style="1" hidden="1" customWidth="1"/>
    <col min="15121" max="15121" width="10" style="1" customWidth="1"/>
    <col min="15122" max="15360" width="9" style="1"/>
    <col min="15361" max="15361" width="5" style="1" customWidth="1"/>
    <col min="15362" max="15362" width="20.125" style="1" customWidth="1"/>
    <col min="15363" max="15363" width="6.25" style="1" customWidth="1"/>
    <col min="15364" max="15364" width="13.875" style="1" customWidth="1"/>
    <col min="15365" max="15368" width="11.875" style="1" customWidth="1"/>
    <col min="15369" max="15369" width="13" style="1" customWidth="1"/>
    <col min="15370" max="15370" width="16.75" style="1" customWidth="1"/>
    <col min="15371" max="15371" width="13.875" style="1" customWidth="1"/>
    <col min="15372" max="15372" width="12.5" style="1" bestFit="1" customWidth="1"/>
    <col min="15373" max="15373" width="15" style="1" bestFit="1" customWidth="1"/>
    <col min="15374" max="15374" width="15.625" style="1" customWidth="1"/>
    <col min="15375" max="15375" width="9.625" style="1" customWidth="1"/>
    <col min="15376" max="15376" width="0" style="1" hidden="1" customWidth="1"/>
    <col min="15377" max="15377" width="10" style="1" customWidth="1"/>
    <col min="15378" max="15616" width="9" style="1"/>
    <col min="15617" max="15617" width="5" style="1" customWidth="1"/>
    <col min="15618" max="15618" width="20.125" style="1" customWidth="1"/>
    <col min="15619" max="15619" width="6.25" style="1" customWidth="1"/>
    <col min="15620" max="15620" width="13.875" style="1" customWidth="1"/>
    <col min="15621" max="15624" width="11.875" style="1" customWidth="1"/>
    <col min="15625" max="15625" width="13" style="1" customWidth="1"/>
    <col min="15626" max="15626" width="16.75" style="1" customWidth="1"/>
    <col min="15627" max="15627" width="13.875" style="1" customWidth="1"/>
    <col min="15628" max="15628" width="12.5" style="1" bestFit="1" customWidth="1"/>
    <col min="15629" max="15629" width="15" style="1" bestFit="1" customWidth="1"/>
    <col min="15630" max="15630" width="15.625" style="1" customWidth="1"/>
    <col min="15631" max="15631" width="9.625" style="1" customWidth="1"/>
    <col min="15632" max="15632" width="0" style="1" hidden="1" customWidth="1"/>
    <col min="15633" max="15633" width="10" style="1" customWidth="1"/>
    <col min="15634" max="15872" width="9" style="1"/>
    <col min="15873" max="15873" width="5" style="1" customWidth="1"/>
    <col min="15874" max="15874" width="20.125" style="1" customWidth="1"/>
    <col min="15875" max="15875" width="6.25" style="1" customWidth="1"/>
    <col min="15876" max="15876" width="13.875" style="1" customWidth="1"/>
    <col min="15877" max="15880" width="11.875" style="1" customWidth="1"/>
    <col min="15881" max="15881" width="13" style="1" customWidth="1"/>
    <col min="15882" max="15882" width="16.75" style="1" customWidth="1"/>
    <col min="15883" max="15883" width="13.875" style="1" customWidth="1"/>
    <col min="15884" max="15884" width="12.5" style="1" bestFit="1" customWidth="1"/>
    <col min="15885" max="15885" width="15" style="1" bestFit="1" customWidth="1"/>
    <col min="15886" max="15886" width="15.625" style="1" customWidth="1"/>
    <col min="15887" max="15887" width="9.625" style="1" customWidth="1"/>
    <col min="15888" max="15888" width="0" style="1" hidden="1" customWidth="1"/>
    <col min="15889" max="15889" width="10" style="1" customWidth="1"/>
    <col min="15890" max="16128" width="9" style="1"/>
    <col min="16129" max="16129" width="5" style="1" customWidth="1"/>
    <col min="16130" max="16130" width="20.125" style="1" customWidth="1"/>
    <col min="16131" max="16131" width="6.25" style="1" customWidth="1"/>
    <col min="16132" max="16132" width="13.875" style="1" customWidth="1"/>
    <col min="16133" max="16136" width="11.875" style="1" customWidth="1"/>
    <col min="16137" max="16137" width="13" style="1" customWidth="1"/>
    <col min="16138" max="16138" width="16.75" style="1" customWidth="1"/>
    <col min="16139" max="16139" width="13.875" style="1" customWidth="1"/>
    <col min="16140" max="16140" width="12.5" style="1" bestFit="1" customWidth="1"/>
    <col min="16141" max="16141" width="15" style="1" bestFit="1" customWidth="1"/>
    <col min="16142" max="16142" width="15.625" style="1" customWidth="1"/>
    <col min="16143" max="16143" width="9.625" style="1" customWidth="1"/>
    <col min="16144" max="16144" width="0" style="1" hidden="1" customWidth="1"/>
    <col min="16145" max="16145" width="10" style="1" customWidth="1"/>
    <col min="16146" max="16384" width="9" style="1"/>
  </cols>
  <sheetData>
    <row r="2" spans="1:16" ht="31.5" customHeight="1" x14ac:dyDescent="0.3">
      <c r="A2" s="56" t="s">
        <v>110</v>
      </c>
    </row>
    <row r="3" spans="1:16" ht="17.25" customHeight="1" thickBot="1" x14ac:dyDescent="0.35">
      <c r="N3" s="1" t="s">
        <v>111</v>
      </c>
    </row>
    <row r="4" spans="1:16" s="26" customFormat="1" ht="8.25" customHeight="1" x14ac:dyDescent="0.3">
      <c r="A4" s="125"/>
      <c r="B4" s="125"/>
      <c r="C4" s="125"/>
      <c r="D4" s="341"/>
      <c r="E4" s="454"/>
      <c r="F4" s="454"/>
      <c r="G4" s="454"/>
      <c r="H4" s="454"/>
      <c r="I4" s="454"/>
      <c r="J4" s="455"/>
      <c r="K4" s="126"/>
      <c r="L4" s="126"/>
      <c r="M4" s="127"/>
      <c r="N4" s="128"/>
      <c r="O4" s="129"/>
    </row>
    <row r="5" spans="1:16" s="26" customFormat="1" ht="25.5" customHeight="1" x14ac:dyDescent="0.3">
      <c r="A5" s="130"/>
      <c r="B5" s="130"/>
      <c r="C5" s="130"/>
      <c r="D5" s="131"/>
      <c r="E5" s="132"/>
      <c r="F5" s="132"/>
      <c r="G5" s="132"/>
      <c r="H5" s="132"/>
      <c r="I5" s="133" t="s">
        <v>112</v>
      </c>
      <c r="J5" s="134"/>
      <c r="K5" s="135"/>
      <c r="L5" s="135" t="s">
        <v>113</v>
      </c>
      <c r="M5" s="136" t="s">
        <v>93</v>
      </c>
      <c r="N5" s="137"/>
      <c r="O5" s="30"/>
    </row>
    <row r="6" spans="1:16" s="26" customFormat="1" ht="25.5" customHeight="1" thickBot="1" x14ac:dyDescent="0.35">
      <c r="A6" s="138" t="s">
        <v>46</v>
      </c>
      <c r="B6" s="138" t="s">
        <v>114</v>
      </c>
      <c r="C6" s="138" t="s">
        <v>49</v>
      </c>
      <c r="D6" s="139" t="s">
        <v>54</v>
      </c>
      <c r="E6" s="140" t="s">
        <v>115</v>
      </c>
      <c r="F6" s="140" t="s">
        <v>84</v>
      </c>
      <c r="G6" s="140" t="s">
        <v>116</v>
      </c>
      <c r="H6" s="140" t="s">
        <v>76</v>
      </c>
      <c r="I6" s="141" t="s">
        <v>117</v>
      </c>
      <c r="J6" s="142" t="s">
        <v>118</v>
      </c>
      <c r="K6" s="143" t="s">
        <v>119</v>
      </c>
      <c r="L6" s="143" t="s">
        <v>120</v>
      </c>
      <c r="M6" s="144" t="s">
        <v>121</v>
      </c>
      <c r="N6" s="145" t="s">
        <v>122</v>
      </c>
      <c r="O6" s="146" t="s">
        <v>29</v>
      </c>
    </row>
    <row r="7" spans="1:16" s="47" customFormat="1" ht="25.5" customHeight="1" thickTop="1" x14ac:dyDescent="0.3">
      <c r="A7" s="147">
        <f>IF(B7&gt;0,1,"")</f>
        <v>1</v>
      </c>
      <c r="B7" s="148" t="str">
        <f>단위장비1!C$1</f>
        <v>#10 BJ BALL 조립</v>
      </c>
      <c r="C7" s="147" t="s">
        <v>123</v>
      </c>
      <c r="D7" s="149">
        <f>단위장비1!H48</f>
        <v>0</v>
      </c>
      <c r="E7" s="150">
        <f>단위장비1!H49</f>
        <v>0</v>
      </c>
      <c r="F7" s="150">
        <f>단위장비1!H50+단위장비1!H51+단위장비1!H52+단위장비1!H56</f>
        <v>0</v>
      </c>
      <c r="G7" s="150">
        <f>단위장비1!H53+단위장비1!H54</f>
        <v>0</v>
      </c>
      <c r="H7" s="150">
        <f>단위장비1!H55</f>
        <v>0</v>
      </c>
      <c r="I7" s="151">
        <f>IF($B7&gt;0,'원가항목별(집계)'!I$38*$P7/$P$17,0)</f>
        <v>0</v>
      </c>
      <c r="J7" s="152">
        <f>SUM(D7:I7)</f>
        <v>0</v>
      </c>
      <c r="K7" s="153">
        <f>IF(B7&gt;0,'원가항목별(집계)'!I$34*P7/P$17,0)</f>
        <v>0</v>
      </c>
      <c r="L7" s="153">
        <f>IF($B7&gt;0,'원가항목별(집계)'!I$39*$P7/$P$17,0)</f>
        <v>0</v>
      </c>
      <c r="M7" s="154">
        <f>단위장비1!H59+단위장비1!H60</f>
        <v>0</v>
      </c>
      <c r="N7" s="155">
        <f>SUM(J7:M7)</f>
        <v>0</v>
      </c>
      <c r="O7" s="156"/>
      <c r="P7" s="47">
        <f>D7+E7+F7+G7+H7+M7</f>
        <v>0</v>
      </c>
    </row>
    <row r="8" spans="1:16" s="47" customFormat="1" ht="25.5" customHeight="1" x14ac:dyDescent="0.3">
      <c r="A8" s="157">
        <f t="shared" ref="A8:A16" si="0">IF(B8&gt;0,A7+1,"")</f>
        <v>2</v>
      </c>
      <c r="B8" s="158" t="str">
        <f>단위장비2!C$1</f>
        <v>#20 S/RING 압입기, 토크측정기</v>
      </c>
      <c r="C8" s="157" t="s">
        <v>123</v>
      </c>
      <c r="D8" s="159">
        <f>단위장비2!H52</f>
        <v>0</v>
      </c>
      <c r="E8" s="160">
        <f>단위장비2!H53</f>
        <v>0</v>
      </c>
      <c r="F8" s="160">
        <f>단위장비2!H54+단위장비2!H55+단위장비2!H56+단위장비2!H60</f>
        <v>0</v>
      </c>
      <c r="G8" s="160">
        <f>단위장비2!H57+단위장비2!H58</f>
        <v>0</v>
      </c>
      <c r="H8" s="160">
        <f>단위장비2!H59</f>
        <v>0</v>
      </c>
      <c r="I8" s="161">
        <f>IF($B8&gt;0,'원가항목별(집계)'!I$38*$P8/$P$17,0)</f>
        <v>0</v>
      </c>
      <c r="J8" s="162">
        <f>SUM(D8:I8)</f>
        <v>0</v>
      </c>
      <c r="K8" s="163">
        <f>IF(B8&gt;0,'원가항목별(집계)'!I$34*P8/P$17,0)</f>
        <v>0</v>
      </c>
      <c r="L8" s="163">
        <f>IF($B8&gt;0,'원가항목별(집계)'!I$39*$P8/$P$17,0)</f>
        <v>0</v>
      </c>
      <c r="M8" s="164">
        <f>단위장비2!H63+단위장비2!H64</f>
        <v>0</v>
      </c>
      <c r="N8" s="165">
        <f t="shared" ref="N8:N16" si="1">SUM(J8:M8)</f>
        <v>0</v>
      </c>
      <c r="O8" s="166"/>
      <c r="P8" s="47">
        <f t="shared" ref="P8:P16" si="2">D8+E8+F8+G8+H8+M8</f>
        <v>0</v>
      </c>
    </row>
    <row r="9" spans="1:16" s="47" customFormat="1" ht="25.5" customHeight="1" x14ac:dyDescent="0.3">
      <c r="A9" s="157">
        <f t="shared" si="0"/>
        <v>3</v>
      </c>
      <c r="B9" s="158" t="str">
        <f>단위장비3!C$1</f>
        <v>#30-BJ 나사검사, 비젼검사, 그리스 주입</v>
      </c>
      <c r="C9" s="157" t="s">
        <v>124</v>
      </c>
      <c r="D9" s="159">
        <f>단위장비3!H33</f>
        <v>0</v>
      </c>
      <c r="E9" s="160">
        <f>단위장비3!H34</f>
        <v>0</v>
      </c>
      <c r="F9" s="160">
        <f>단위장비3!H35+단위장비3!H36+단위장비3!H37+단위장비3!H41</f>
        <v>0</v>
      </c>
      <c r="G9" s="160">
        <f>단위장비3!H38+단위장비3!H39</f>
        <v>0</v>
      </c>
      <c r="H9" s="160">
        <f>단위장비3!H40</f>
        <v>0</v>
      </c>
      <c r="I9" s="161">
        <f>IF($B9&gt;0,'원가항목별(집계)'!I$38*$P9/$P$17,0)</f>
        <v>0</v>
      </c>
      <c r="J9" s="162">
        <f t="shared" ref="J9:J16" si="3">SUM(D9:I9)</f>
        <v>0</v>
      </c>
      <c r="K9" s="163">
        <f>IF(B9&gt;0,'원가항목별(집계)'!I$34*P9/P$17,0)</f>
        <v>0</v>
      </c>
      <c r="L9" s="163">
        <f>IF($B9&gt;0,'원가항목별(집계)'!I$39*$P9/$P$17,0)</f>
        <v>0</v>
      </c>
      <c r="M9" s="164">
        <f>단위장비3!H44+단위장비3!H45</f>
        <v>0</v>
      </c>
      <c r="N9" s="165">
        <f t="shared" si="1"/>
        <v>0</v>
      </c>
      <c r="O9" s="166"/>
      <c r="P9" s="47">
        <f t="shared" si="2"/>
        <v>0</v>
      </c>
    </row>
    <row r="10" spans="1:16" s="47" customFormat="1" ht="25.5" customHeight="1" x14ac:dyDescent="0.3">
      <c r="A10" s="157">
        <f t="shared" si="0"/>
        <v>4</v>
      </c>
      <c r="B10" s="158" t="str">
        <f>단위장비4!C1</f>
        <v>#40 TJ 서브조립기</v>
      </c>
      <c r="C10" s="157" t="s">
        <v>124</v>
      </c>
      <c r="D10" s="159">
        <f>단위장비4!H47</f>
        <v>31200000</v>
      </c>
      <c r="E10" s="160">
        <f>단위장비4!H48</f>
        <v>600000</v>
      </c>
      <c r="F10" s="160">
        <f>단위장비4!H49+단위장비4!H50+단위장비4!H51+단위장비4!H55</f>
        <v>14850000</v>
      </c>
      <c r="G10" s="160">
        <f>단위장비4!H52+단위장비4!H53</f>
        <v>0</v>
      </c>
      <c r="H10" s="160">
        <f>단위장비4!H54</f>
        <v>0</v>
      </c>
      <c r="I10" s="161">
        <f>IF($B10&gt;0,'원가항목별(집계)'!I$38*$P10/$P$17,0)</f>
        <v>957708.88934510364</v>
      </c>
      <c r="J10" s="162">
        <f t="shared" si="3"/>
        <v>47607708.889345102</v>
      </c>
      <c r="K10" s="163">
        <f>IF(B10&gt;0,'원가항목별(집계)'!I$34*P10/P$17,0)</f>
        <v>4584418.3740505027</v>
      </c>
      <c r="L10" s="163">
        <f>IF($B10&gt;0,'원가항목별(집계)'!I$39*$P10/$P$17,0)</f>
        <v>4405.4608909874769</v>
      </c>
      <c r="M10" s="164">
        <f>단위장비4!H58+단위장비4!H59</f>
        <v>6997500</v>
      </c>
      <c r="N10" s="165">
        <f t="shared" si="1"/>
        <v>59194032.724286593</v>
      </c>
      <c r="O10" s="166"/>
      <c r="P10" s="47">
        <f t="shared" si="2"/>
        <v>53647500</v>
      </c>
    </row>
    <row r="11" spans="1:16" s="47" customFormat="1" ht="25.5" customHeight="1" x14ac:dyDescent="0.3">
      <c r="A11" s="157">
        <f t="shared" si="0"/>
        <v>5</v>
      </c>
      <c r="B11" s="158" t="str">
        <f>단위장비5!C1</f>
        <v>#50 DAMPER 조립기, BOOT 조립기</v>
      </c>
      <c r="C11" s="157" t="s">
        <v>124</v>
      </c>
      <c r="D11" s="159">
        <f>단위장비5!H31</f>
        <v>0</v>
      </c>
      <c r="E11" s="160">
        <f>단위장비5!H32</f>
        <v>0</v>
      </c>
      <c r="F11" s="160">
        <f>단위장비5!H33+단위장비5!H34+단위장비5!H35+단위장비5!H39</f>
        <v>0</v>
      </c>
      <c r="G11" s="160">
        <f>단위장비5!H36+단위장비5!H37</f>
        <v>0</v>
      </c>
      <c r="H11" s="160">
        <f>단위장비5!H38</f>
        <v>0</v>
      </c>
      <c r="I11" s="161">
        <f>IF($B11&gt;0,'원가항목별(집계)'!I$38*$P11/$P$17,0)</f>
        <v>0</v>
      </c>
      <c r="J11" s="162">
        <f t="shared" si="3"/>
        <v>0</v>
      </c>
      <c r="K11" s="163">
        <f>IF(B11&gt;0,'원가항목별(집계)'!I$34*P11/P$17,0)</f>
        <v>0</v>
      </c>
      <c r="L11" s="163">
        <f>IF($B11&gt;0,'원가항목별(집계)'!I$39*$P11/$P$17,0)</f>
        <v>0</v>
      </c>
      <c r="M11" s="164">
        <f>단위장비5!H42+단위장비5!H43</f>
        <v>0</v>
      </c>
      <c r="N11" s="165">
        <f t="shared" si="1"/>
        <v>0</v>
      </c>
      <c r="O11" s="166"/>
      <c r="P11" s="47">
        <f t="shared" si="2"/>
        <v>0</v>
      </c>
    </row>
    <row r="12" spans="1:16" s="47" customFormat="1" ht="25.5" customHeight="1" x14ac:dyDescent="0.3">
      <c r="A12" s="157">
        <f t="shared" si="0"/>
        <v>6</v>
      </c>
      <c r="B12" s="158" t="str">
        <f>단위장비6!C$1</f>
        <v>#60 SHAFT 가조립~밴드체결</v>
      </c>
      <c r="C12" s="157" t="s">
        <v>124</v>
      </c>
      <c r="D12" s="159">
        <f>단위장비6!H38</f>
        <v>0</v>
      </c>
      <c r="E12" s="160">
        <f>단위장비6!H39</f>
        <v>0</v>
      </c>
      <c r="F12" s="160">
        <f>단위장비6!H40+단위장비6!H41+단위장비6!H42+단위장비6!H46</f>
        <v>0</v>
      </c>
      <c r="G12" s="160">
        <f>단위장비6!H43+단위장비6!H44</f>
        <v>0</v>
      </c>
      <c r="H12" s="160">
        <f>단위장비6!H45</f>
        <v>0</v>
      </c>
      <c r="I12" s="161">
        <f>IF($B12&gt;0,'원가항목별(집계)'!I$38*$P12/$P$17,0)</f>
        <v>0</v>
      </c>
      <c r="J12" s="162">
        <f>SUM(D12:I12)</f>
        <v>0</v>
      </c>
      <c r="K12" s="163">
        <f>IF(B12&gt;0,'원가항목별(집계)'!I$34*P12/P$17,0)</f>
        <v>0</v>
      </c>
      <c r="L12" s="163">
        <f>IF($B12&gt;0,'원가항목별(집계)'!I$39*$P12/$P$17,0)</f>
        <v>0</v>
      </c>
      <c r="M12" s="164">
        <f>단위장비6!H49+단위장비6!H50</f>
        <v>0</v>
      </c>
      <c r="N12" s="165">
        <f t="shared" si="1"/>
        <v>0</v>
      </c>
      <c r="O12" s="166"/>
      <c r="P12" s="47">
        <f t="shared" si="2"/>
        <v>0</v>
      </c>
    </row>
    <row r="13" spans="1:16" s="47" customFormat="1" ht="25.5" customHeight="1" x14ac:dyDescent="0.3">
      <c r="A13" s="157">
        <f t="shared" si="0"/>
        <v>7</v>
      </c>
      <c r="B13" s="158" t="str">
        <f>단위장비7!C$1</f>
        <v>GREASE SYSTEM</v>
      </c>
      <c r="C13" s="157" t="s">
        <v>124</v>
      </c>
      <c r="D13" s="159">
        <f>단위장비7!H50</f>
        <v>108400000</v>
      </c>
      <c r="E13" s="160">
        <f>단위장비7!H51</f>
        <v>0</v>
      </c>
      <c r="F13" s="160">
        <f>단위장비7!H52+단위장비7!H53+단위장비7!H54+단위장비7!H58</f>
        <v>0</v>
      </c>
      <c r="G13" s="160">
        <f>단위장비7!H55+단위장비7!H56</f>
        <v>0</v>
      </c>
      <c r="H13" s="160">
        <f>단위장비7!H57</f>
        <v>0</v>
      </c>
      <c r="I13" s="161">
        <f>IF($B13&gt;0,'원가항목별(집계)'!I$38*$P13/$P$17,0)</f>
        <v>2225415.7257236708</v>
      </c>
      <c r="J13" s="162">
        <f>SUM(D13:I13)</f>
        <v>110625415.72572367</v>
      </c>
      <c r="K13" s="163">
        <f>IF(B13&gt;0,'원가항목별(집계)'!I$34*P13/P$17,0)</f>
        <v>10652753.520837611</v>
      </c>
      <c r="L13" s="163">
        <f>IF($B13&gt;0,'원가항목별(집계)'!I$39*$P13/$P$17,0)</f>
        <v>10236.912338328886</v>
      </c>
      <c r="M13" s="164">
        <f>단위장비7!H61+단위장비7!H62</f>
        <v>16260000</v>
      </c>
      <c r="N13" s="165">
        <f t="shared" si="1"/>
        <v>137548406.15889961</v>
      </c>
      <c r="O13" s="166"/>
      <c r="P13" s="47">
        <f t="shared" si="2"/>
        <v>124660000</v>
      </c>
    </row>
    <row r="14" spans="1:16" s="47" customFormat="1" ht="25.5" customHeight="1" x14ac:dyDescent="0.3">
      <c r="A14" s="157">
        <f t="shared" si="0"/>
        <v>8</v>
      </c>
      <c r="B14" s="158" t="str">
        <f>단위장비8!C$1</f>
        <v>인도 출장비</v>
      </c>
      <c r="C14" s="157" t="s">
        <v>124</v>
      </c>
      <c r="D14" s="159">
        <f>단위장비8!H58</f>
        <v>88500000</v>
      </c>
      <c r="E14" s="160">
        <f>단위장비8!H59</f>
        <v>0</v>
      </c>
      <c r="F14" s="160">
        <f>단위장비8!H60+단위장비8!H61+단위장비8!H62+단위장비8!H66</f>
        <v>0</v>
      </c>
      <c r="G14" s="160">
        <f>단위장비8!H63+단위장비8!H64</f>
        <v>0</v>
      </c>
      <c r="H14" s="160">
        <f>단위장비8!H65</f>
        <v>0</v>
      </c>
      <c r="I14" s="161">
        <f>IF($B14&gt;0,'원가항목별(집계)'!I$38*$P14/$P$17,0)</f>
        <v>1816875.3849312256</v>
      </c>
      <c r="J14" s="162">
        <f t="shared" si="3"/>
        <v>90316875.384931222</v>
      </c>
      <c r="K14" s="163">
        <f>IF(B14&gt;0,'원가항목별(집계)'!I$34*P14/P$17,0)</f>
        <v>8697128.1051118858</v>
      </c>
      <c r="L14" s="163">
        <f>IF($B14&gt;0,'원가항목별(집계)'!I$39*$P14/$P$17,0)</f>
        <v>8357.626770683637</v>
      </c>
      <c r="M14" s="164">
        <f>단위장비8!H69+단위장비8!H70</f>
        <v>13275000</v>
      </c>
      <c r="N14" s="165">
        <f>SUM(J14:M14)</f>
        <v>112297361.11681379</v>
      </c>
      <c r="O14" s="166"/>
      <c r="P14" s="47">
        <f t="shared" si="2"/>
        <v>101775000</v>
      </c>
    </row>
    <row r="15" spans="1:16" s="47" customFormat="1" ht="25.5" customHeight="1" x14ac:dyDescent="0.3">
      <c r="A15" s="157" t="str">
        <f t="shared" si="0"/>
        <v/>
      </c>
      <c r="B15" s="158">
        <f>단위장비9!C$1</f>
        <v>0</v>
      </c>
      <c r="C15" s="157" t="s">
        <v>124</v>
      </c>
      <c r="D15" s="159">
        <f>단위장비9!H65</f>
        <v>0</v>
      </c>
      <c r="E15" s="160">
        <f>단위장비9!H66</f>
        <v>0</v>
      </c>
      <c r="F15" s="160">
        <f>단위장비9!H67+단위장비9!H68+단위장비9!H69+단위장비9!H73</f>
        <v>0</v>
      </c>
      <c r="G15" s="160">
        <f>단위장비9!H70+단위장비9!H71</f>
        <v>0</v>
      </c>
      <c r="H15" s="160">
        <f>단위장비9!H72</f>
        <v>0</v>
      </c>
      <c r="I15" s="161">
        <f>IF($B15&gt;0,'원가항목별(집계)'!I$38*$P15/$P$17,0)</f>
        <v>0</v>
      </c>
      <c r="J15" s="162">
        <f>SUM(D15:I15)</f>
        <v>0</v>
      </c>
      <c r="K15" s="163">
        <f>IF(B15&gt;0,'원가항목별(집계)'!I$34*P15/P$17,0)</f>
        <v>0</v>
      </c>
      <c r="L15" s="163">
        <f>IF($B15&gt;0,'원가항목별(집계)'!I$39*$P15/$P$17,0)</f>
        <v>0</v>
      </c>
      <c r="M15" s="164">
        <f>단위장비9!H76+단위장비9!H77</f>
        <v>0</v>
      </c>
      <c r="N15" s="165">
        <f>SUM(J15:M15)</f>
        <v>0</v>
      </c>
      <c r="O15" s="166"/>
      <c r="P15" s="47">
        <f t="shared" si="2"/>
        <v>0</v>
      </c>
    </row>
    <row r="16" spans="1:16" s="47" customFormat="1" ht="25.5" customHeight="1" x14ac:dyDescent="0.3">
      <c r="A16" s="167" t="str">
        <f t="shared" si="0"/>
        <v/>
      </c>
      <c r="B16" s="168">
        <f>단위장비10!C$1</f>
        <v>0</v>
      </c>
      <c r="C16" s="167" t="s">
        <v>124</v>
      </c>
      <c r="D16" s="169">
        <f>단위장비10!H60</f>
        <v>0</v>
      </c>
      <c r="E16" s="170">
        <f>단위장비10!H61</f>
        <v>0</v>
      </c>
      <c r="F16" s="170">
        <f>단위장비10!H62+단위장비10!H63+단위장비10!H64+단위장비10!H68</f>
        <v>0</v>
      </c>
      <c r="G16" s="170">
        <f>단위장비10!H65+단위장비10!H66</f>
        <v>0</v>
      </c>
      <c r="H16" s="170">
        <f>단위장비10!H67</f>
        <v>0</v>
      </c>
      <c r="I16" s="171">
        <f>IF($B16&gt;0,'원가항목별(집계)'!I$38*$P16/$P$17,0)</f>
        <v>0</v>
      </c>
      <c r="J16" s="172">
        <f t="shared" si="3"/>
        <v>0</v>
      </c>
      <c r="K16" s="173">
        <f>IF(B16&gt;0,'원가항목별(집계)'!I$34*P16/P$17,0)</f>
        <v>0</v>
      </c>
      <c r="L16" s="173">
        <f>IF($B16&gt;0,'원가항목별(집계)'!I$39*$P16/$P$17,0)</f>
        <v>0</v>
      </c>
      <c r="M16" s="174">
        <f>단위장비10!H71+단위장비10!H72</f>
        <v>0</v>
      </c>
      <c r="N16" s="175">
        <f t="shared" si="1"/>
        <v>0</v>
      </c>
      <c r="O16" s="176"/>
      <c r="P16" s="47">
        <f t="shared" si="2"/>
        <v>0</v>
      </c>
    </row>
    <row r="17" spans="1:16" s="47" customFormat="1" ht="33" customHeight="1" x14ac:dyDescent="0.3">
      <c r="A17" s="456" t="s">
        <v>125</v>
      </c>
      <c r="B17" s="457"/>
      <c r="C17" s="458"/>
      <c r="D17" s="177">
        <f t="shared" ref="D17:L17" si="4">SUM(D7:D16)</f>
        <v>228100000</v>
      </c>
      <c r="E17" s="178">
        <f t="shared" si="4"/>
        <v>600000</v>
      </c>
      <c r="F17" s="178">
        <f>SUM(F7:F16)</f>
        <v>14850000</v>
      </c>
      <c r="G17" s="178">
        <f t="shared" si="4"/>
        <v>0</v>
      </c>
      <c r="H17" s="178">
        <f t="shared" si="4"/>
        <v>0</v>
      </c>
      <c r="I17" s="179">
        <f t="shared" si="4"/>
        <v>5000000</v>
      </c>
      <c r="J17" s="180">
        <f>SUM(D17:I17)</f>
        <v>248550000</v>
      </c>
      <c r="K17" s="181">
        <f>SUM(K7:K16)</f>
        <v>23934300</v>
      </c>
      <c r="L17" s="181">
        <f t="shared" si="4"/>
        <v>23000</v>
      </c>
      <c r="M17" s="182">
        <f>SUM(M7:M16)</f>
        <v>36532500</v>
      </c>
      <c r="N17" s="183">
        <f>SUM(N7:N16)</f>
        <v>309039800</v>
      </c>
      <c r="O17" s="184"/>
      <c r="P17" s="47">
        <f>SUM(P7:P16)</f>
        <v>280082500</v>
      </c>
    </row>
    <row r="18" spans="1:16" s="197" customFormat="1" ht="18.75" customHeight="1" x14ac:dyDescent="0.3">
      <c r="A18" s="185"/>
      <c r="B18" s="186"/>
      <c r="C18" s="187"/>
      <c r="D18" s="188">
        <f t="shared" ref="D18:N18" si="5">IF(D17=0,"",D17/$N17)</f>
        <v>0.73809263402319059</v>
      </c>
      <c r="E18" s="189">
        <f t="shared" si="5"/>
        <v>1.9414975029106284E-3</v>
      </c>
      <c r="F18" s="189">
        <f t="shared" si="5"/>
        <v>4.8052063197038052E-2</v>
      </c>
      <c r="G18" s="189" t="str">
        <f t="shared" si="5"/>
        <v/>
      </c>
      <c r="H18" s="189" t="str">
        <f t="shared" si="5"/>
        <v/>
      </c>
      <c r="I18" s="190">
        <f t="shared" si="5"/>
        <v>1.6179145857588569E-2</v>
      </c>
      <c r="J18" s="191">
        <f t="shared" si="5"/>
        <v>0.80426534058072774</v>
      </c>
      <c r="K18" s="192">
        <f t="shared" si="5"/>
        <v>7.7447306139856426E-2</v>
      </c>
      <c r="L18" s="193">
        <f t="shared" si="5"/>
        <v>7.4424070944907424E-5</v>
      </c>
      <c r="M18" s="194">
        <f t="shared" si="5"/>
        <v>0.11821292920847089</v>
      </c>
      <c r="N18" s="195">
        <f t="shared" si="5"/>
        <v>1</v>
      </c>
      <c r="O18" s="196"/>
    </row>
    <row r="19" spans="1:16" ht="28.5" customHeight="1" x14ac:dyDescent="0.3">
      <c r="A19" s="1" t="s">
        <v>126</v>
      </c>
      <c r="H19" s="52"/>
      <c r="I19" s="52"/>
      <c r="J19" s="52"/>
      <c r="K19" s="52"/>
      <c r="L19" s="52"/>
    </row>
    <row r="20" spans="1:16" ht="17.25" customHeight="1" x14ac:dyDescent="0.3">
      <c r="H20" s="53"/>
      <c r="I20" s="53"/>
      <c r="J20" s="53"/>
      <c r="K20" s="53"/>
      <c r="L20" s="53"/>
      <c r="M20" s="198"/>
      <c r="N20" s="199" t="str">
        <f>IF('원가항목별(집계)'!I42='단위공사별(집계)'!N17,"","DATA오류입니다!")</f>
        <v/>
      </c>
    </row>
    <row r="21" spans="1:16" ht="17.25" customHeight="1" x14ac:dyDescent="0.3">
      <c r="H21" s="200"/>
      <c r="I21" s="200"/>
      <c r="J21" s="200"/>
      <c r="K21" s="200"/>
      <c r="L21" s="200"/>
      <c r="N21" s="200"/>
    </row>
    <row r="22" spans="1:16" ht="17.25" customHeight="1" x14ac:dyDescent="0.3">
      <c r="H22" s="47"/>
      <c r="I22" s="47"/>
      <c r="J22" s="47"/>
      <c r="L22" s="47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5" orientation="landscape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K67"/>
  <sheetViews>
    <sheetView zoomScale="85" workbookViewId="0">
      <pane xSplit="3" ySplit="2" topLeftCell="D10" activePane="bottomRight" state="frozen"/>
      <selection activeCell="K8" sqref="K8"/>
      <selection pane="topRight" activeCell="K8" sqref="K8"/>
      <selection pane="bottomLeft" activeCell="K8" sqref="K8"/>
      <selection pane="bottomRight" activeCell="H65" sqref="H65"/>
    </sheetView>
  </sheetViews>
  <sheetFormatPr defaultRowHeight="13.5" x14ac:dyDescent="0.3"/>
  <cols>
    <col min="1" max="1" width="5" style="1" customWidth="1"/>
    <col min="2" max="2" width="13" style="1" customWidth="1"/>
    <col min="3" max="3" width="23.625" style="1" customWidth="1"/>
    <col min="4" max="4" width="18.25" style="1" customWidth="1"/>
    <col min="5" max="5" width="5.625" style="26" customWidth="1"/>
    <col min="6" max="6" width="6.75" style="46" customWidth="1"/>
    <col min="7" max="7" width="11.875" style="47" customWidth="1"/>
    <col min="8" max="8" width="13.625" style="47" customWidth="1"/>
    <col min="9" max="9" width="12.75" style="1" customWidth="1"/>
    <col min="10" max="10" width="9.25" style="1" customWidth="1"/>
    <col min="11" max="11" width="11.5" style="1" bestFit="1" customWidth="1"/>
    <col min="12" max="256" width="9" style="1"/>
    <col min="257" max="257" width="5" style="1" customWidth="1"/>
    <col min="258" max="258" width="13" style="1" customWidth="1"/>
    <col min="259" max="259" width="23.625" style="1" customWidth="1"/>
    <col min="260" max="260" width="18.25" style="1" customWidth="1"/>
    <col min="261" max="261" width="5.625" style="1" customWidth="1"/>
    <col min="262" max="262" width="6.75" style="1" customWidth="1"/>
    <col min="263" max="263" width="11.875" style="1" customWidth="1"/>
    <col min="264" max="264" width="13.625" style="1" customWidth="1"/>
    <col min="265" max="265" width="12.75" style="1" customWidth="1"/>
    <col min="266" max="266" width="9.25" style="1" customWidth="1"/>
    <col min="267" max="267" width="11.5" style="1" bestFit="1" customWidth="1"/>
    <col min="268" max="512" width="9" style="1"/>
    <col min="513" max="513" width="5" style="1" customWidth="1"/>
    <col min="514" max="514" width="13" style="1" customWidth="1"/>
    <col min="515" max="515" width="23.625" style="1" customWidth="1"/>
    <col min="516" max="516" width="18.25" style="1" customWidth="1"/>
    <col min="517" max="517" width="5.625" style="1" customWidth="1"/>
    <col min="518" max="518" width="6.75" style="1" customWidth="1"/>
    <col min="519" max="519" width="11.875" style="1" customWidth="1"/>
    <col min="520" max="520" width="13.625" style="1" customWidth="1"/>
    <col min="521" max="521" width="12.75" style="1" customWidth="1"/>
    <col min="522" max="522" width="9.25" style="1" customWidth="1"/>
    <col min="523" max="523" width="11.5" style="1" bestFit="1" customWidth="1"/>
    <col min="524" max="768" width="9" style="1"/>
    <col min="769" max="769" width="5" style="1" customWidth="1"/>
    <col min="770" max="770" width="13" style="1" customWidth="1"/>
    <col min="771" max="771" width="23.625" style="1" customWidth="1"/>
    <col min="772" max="772" width="18.25" style="1" customWidth="1"/>
    <col min="773" max="773" width="5.625" style="1" customWidth="1"/>
    <col min="774" max="774" width="6.75" style="1" customWidth="1"/>
    <col min="775" max="775" width="11.875" style="1" customWidth="1"/>
    <col min="776" max="776" width="13.625" style="1" customWidth="1"/>
    <col min="777" max="777" width="12.75" style="1" customWidth="1"/>
    <col min="778" max="778" width="9.25" style="1" customWidth="1"/>
    <col min="779" max="779" width="11.5" style="1" bestFit="1" customWidth="1"/>
    <col min="780" max="1024" width="9" style="1"/>
    <col min="1025" max="1025" width="5" style="1" customWidth="1"/>
    <col min="1026" max="1026" width="13" style="1" customWidth="1"/>
    <col min="1027" max="1027" width="23.625" style="1" customWidth="1"/>
    <col min="1028" max="1028" width="18.25" style="1" customWidth="1"/>
    <col min="1029" max="1029" width="5.625" style="1" customWidth="1"/>
    <col min="1030" max="1030" width="6.75" style="1" customWidth="1"/>
    <col min="1031" max="1031" width="11.875" style="1" customWidth="1"/>
    <col min="1032" max="1032" width="13.625" style="1" customWidth="1"/>
    <col min="1033" max="1033" width="12.75" style="1" customWidth="1"/>
    <col min="1034" max="1034" width="9.25" style="1" customWidth="1"/>
    <col min="1035" max="1035" width="11.5" style="1" bestFit="1" customWidth="1"/>
    <col min="1036" max="1280" width="9" style="1"/>
    <col min="1281" max="1281" width="5" style="1" customWidth="1"/>
    <col min="1282" max="1282" width="13" style="1" customWidth="1"/>
    <col min="1283" max="1283" width="23.625" style="1" customWidth="1"/>
    <col min="1284" max="1284" width="18.25" style="1" customWidth="1"/>
    <col min="1285" max="1285" width="5.625" style="1" customWidth="1"/>
    <col min="1286" max="1286" width="6.75" style="1" customWidth="1"/>
    <col min="1287" max="1287" width="11.875" style="1" customWidth="1"/>
    <col min="1288" max="1288" width="13.625" style="1" customWidth="1"/>
    <col min="1289" max="1289" width="12.75" style="1" customWidth="1"/>
    <col min="1290" max="1290" width="9.25" style="1" customWidth="1"/>
    <col min="1291" max="1291" width="11.5" style="1" bestFit="1" customWidth="1"/>
    <col min="1292" max="1536" width="9" style="1"/>
    <col min="1537" max="1537" width="5" style="1" customWidth="1"/>
    <col min="1538" max="1538" width="13" style="1" customWidth="1"/>
    <col min="1539" max="1539" width="23.625" style="1" customWidth="1"/>
    <col min="1540" max="1540" width="18.25" style="1" customWidth="1"/>
    <col min="1541" max="1541" width="5.625" style="1" customWidth="1"/>
    <col min="1542" max="1542" width="6.75" style="1" customWidth="1"/>
    <col min="1543" max="1543" width="11.875" style="1" customWidth="1"/>
    <col min="1544" max="1544" width="13.625" style="1" customWidth="1"/>
    <col min="1545" max="1545" width="12.75" style="1" customWidth="1"/>
    <col min="1546" max="1546" width="9.25" style="1" customWidth="1"/>
    <col min="1547" max="1547" width="11.5" style="1" bestFit="1" customWidth="1"/>
    <col min="1548" max="1792" width="9" style="1"/>
    <col min="1793" max="1793" width="5" style="1" customWidth="1"/>
    <col min="1794" max="1794" width="13" style="1" customWidth="1"/>
    <col min="1795" max="1795" width="23.625" style="1" customWidth="1"/>
    <col min="1796" max="1796" width="18.25" style="1" customWidth="1"/>
    <col min="1797" max="1797" width="5.625" style="1" customWidth="1"/>
    <col min="1798" max="1798" width="6.75" style="1" customWidth="1"/>
    <col min="1799" max="1799" width="11.875" style="1" customWidth="1"/>
    <col min="1800" max="1800" width="13.625" style="1" customWidth="1"/>
    <col min="1801" max="1801" width="12.75" style="1" customWidth="1"/>
    <col min="1802" max="1802" width="9.25" style="1" customWidth="1"/>
    <col min="1803" max="1803" width="11.5" style="1" bestFit="1" customWidth="1"/>
    <col min="1804" max="2048" width="9" style="1"/>
    <col min="2049" max="2049" width="5" style="1" customWidth="1"/>
    <col min="2050" max="2050" width="13" style="1" customWidth="1"/>
    <col min="2051" max="2051" width="23.625" style="1" customWidth="1"/>
    <col min="2052" max="2052" width="18.25" style="1" customWidth="1"/>
    <col min="2053" max="2053" width="5.625" style="1" customWidth="1"/>
    <col min="2054" max="2054" width="6.75" style="1" customWidth="1"/>
    <col min="2055" max="2055" width="11.875" style="1" customWidth="1"/>
    <col min="2056" max="2056" width="13.625" style="1" customWidth="1"/>
    <col min="2057" max="2057" width="12.75" style="1" customWidth="1"/>
    <col min="2058" max="2058" width="9.25" style="1" customWidth="1"/>
    <col min="2059" max="2059" width="11.5" style="1" bestFit="1" customWidth="1"/>
    <col min="2060" max="2304" width="9" style="1"/>
    <col min="2305" max="2305" width="5" style="1" customWidth="1"/>
    <col min="2306" max="2306" width="13" style="1" customWidth="1"/>
    <col min="2307" max="2307" width="23.625" style="1" customWidth="1"/>
    <col min="2308" max="2308" width="18.25" style="1" customWidth="1"/>
    <col min="2309" max="2309" width="5.625" style="1" customWidth="1"/>
    <col min="2310" max="2310" width="6.75" style="1" customWidth="1"/>
    <col min="2311" max="2311" width="11.875" style="1" customWidth="1"/>
    <col min="2312" max="2312" width="13.625" style="1" customWidth="1"/>
    <col min="2313" max="2313" width="12.75" style="1" customWidth="1"/>
    <col min="2314" max="2314" width="9.25" style="1" customWidth="1"/>
    <col min="2315" max="2315" width="11.5" style="1" bestFit="1" customWidth="1"/>
    <col min="2316" max="2560" width="9" style="1"/>
    <col min="2561" max="2561" width="5" style="1" customWidth="1"/>
    <col min="2562" max="2562" width="13" style="1" customWidth="1"/>
    <col min="2563" max="2563" width="23.625" style="1" customWidth="1"/>
    <col min="2564" max="2564" width="18.25" style="1" customWidth="1"/>
    <col min="2565" max="2565" width="5.625" style="1" customWidth="1"/>
    <col min="2566" max="2566" width="6.75" style="1" customWidth="1"/>
    <col min="2567" max="2567" width="11.875" style="1" customWidth="1"/>
    <col min="2568" max="2568" width="13.625" style="1" customWidth="1"/>
    <col min="2569" max="2569" width="12.75" style="1" customWidth="1"/>
    <col min="2570" max="2570" width="9.25" style="1" customWidth="1"/>
    <col min="2571" max="2571" width="11.5" style="1" bestFit="1" customWidth="1"/>
    <col min="2572" max="2816" width="9" style="1"/>
    <col min="2817" max="2817" width="5" style="1" customWidth="1"/>
    <col min="2818" max="2818" width="13" style="1" customWidth="1"/>
    <col min="2819" max="2819" width="23.625" style="1" customWidth="1"/>
    <col min="2820" max="2820" width="18.25" style="1" customWidth="1"/>
    <col min="2821" max="2821" width="5.625" style="1" customWidth="1"/>
    <col min="2822" max="2822" width="6.75" style="1" customWidth="1"/>
    <col min="2823" max="2823" width="11.875" style="1" customWidth="1"/>
    <col min="2824" max="2824" width="13.625" style="1" customWidth="1"/>
    <col min="2825" max="2825" width="12.75" style="1" customWidth="1"/>
    <col min="2826" max="2826" width="9.25" style="1" customWidth="1"/>
    <col min="2827" max="2827" width="11.5" style="1" bestFit="1" customWidth="1"/>
    <col min="2828" max="3072" width="9" style="1"/>
    <col min="3073" max="3073" width="5" style="1" customWidth="1"/>
    <col min="3074" max="3074" width="13" style="1" customWidth="1"/>
    <col min="3075" max="3075" width="23.625" style="1" customWidth="1"/>
    <col min="3076" max="3076" width="18.25" style="1" customWidth="1"/>
    <col min="3077" max="3077" width="5.625" style="1" customWidth="1"/>
    <col min="3078" max="3078" width="6.75" style="1" customWidth="1"/>
    <col min="3079" max="3079" width="11.875" style="1" customWidth="1"/>
    <col min="3080" max="3080" width="13.625" style="1" customWidth="1"/>
    <col min="3081" max="3081" width="12.75" style="1" customWidth="1"/>
    <col min="3082" max="3082" width="9.25" style="1" customWidth="1"/>
    <col min="3083" max="3083" width="11.5" style="1" bestFit="1" customWidth="1"/>
    <col min="3084" max="3328" width="9" style="1"/>
    <col min="3329" max="3329" width="5" style="1" customWidth="1"/>
    <col min="3330" max="3330" width="13" style="1" customWidth="1"/>
    <col min="3331" max="3331" width="23.625" style="1" customWidth="1"/>
    <col min="3332" max="3332" width="18.25" style="1" customWidth="1"/>
    <col min="3333" max="3333" width="5.625" style="1" customWidth="1"/>
    <col min="3334" max="3334" width="6.75" style="1" customWidth="1"/>
    <col min="3335" max="3335" width="11.875" style="1" customWidth="1"/>
    <col min="3336" max="3336" width="13.625" style="1" customWidth="1"/>
    <col min="3337" max="3337" width="12.75" style="1" customWidth="1"/>
    <col min="3338" max="3338" width="9.25" style="1" customWidth="1"/>
    <col min="3339" max="3339" width="11.5" style="1" bestFit="1" customWidth="1"/>
    <col min="3340" max="3584" width="9" style="1"/>
    <col min="3585" max="3585" width="5" style="1" customWidth="1"/>
    <col min="3586" max="3586" width="13" style="1" customWidth="1"/>
    <col min="3587" max="3587" width="23.625" style="1" customWidth="1"/>
    <col min="3588" max="3588" width="18.25" style="1" customWidth="1"/>
    <col min="3589" max="3589" width="5.625" style="1" customWidth="1"/>
    <col min="3590" max="3590" width="6.75" style="1" customWidth="1"/>
    <col min="3591" max="3591" width="11.875" style="1" customWidth="1"/>
    <col min="3592" max="3592" width="13.625" style="1" customWidth="1"/>
    <col min="3593" max="3593" width="12.75" style="1" customWidth="1"/>
    <col min="3594" max="3594" width="9.25" style="1" customWidth="1"/>
    <col min="3595" max="3595" width="11.5" style="1" bestFit="1" customWidth="1"/>
    <col min="3596" max="3840" width="9" style="1"/>
    <col min="3841" max="3841" width="5" style="1" customWidth="1"/>
    <col min="3842" max="3842" width="13" style="1" customWidth="1"/>
    <col min="3843" max="3843" width="23.625" style="1" customWidth="1"/>
    <col min="3844" max="3844" width="18.25" style="1" customWidth="1"/>
    <col min="3845" max="3845" width="5.625" style="1" customWidth="1"/>
    <col min="3846" max="3846" width="6.75" style="1" customWidth="1"/>
    <col min="3847" max="3847" width="11.875" style="1" customWidth="1"/>
    <col min="3848" max="3848" width="13.625" style="1" customWidth="1"/>
    <col min="3849" max="3849" width="12.75" style="1" customWidth="1"/>
    <col min="3850" max="3850" width="9.25" style="1" customWidth="1"/>
    <col min="3851" max="3851" width="11.5" style="1" bestFit="1" customWidth="1"/>
    <col min="3852" max="4096" width="9" style="1"/>
    <col min="4097" max="4097" width="5" style="1" customWidth="1"/>
    <col min="4098" max="4098" width="13" style="1" customWidth="1"/>
    <col min="4099" max="4099" width="23.625" style="1" customWidth="1"/>
    <col min="4100" max="4100" width="18.25" style="1" customWidth="1"/>
    <col min="4101" max="4101" width="5.625" style="1" customWidth="1"/>
    <col min="4102" max="4102" width="6.75" style="1" customWidth="1"/>
    <col min="4103" max="4103" width="11.875" style="1" customWidth="1"/>
    <col min="4104" max="4104" width="13.625" style="1" customWidth="1"/>
    <col min="4105" max="4105" width="12.75" style="1" customWidth="1"/>
    <col min="4106" max="4106" width="9.25" style="1" customWidth="1"/>
    <col min="4107" max="4107" width="11.5" style="1" bestFit="1" customWidth="1"/>
    <col min="4108" max="4352" width="9" style="1"/>
    <col min="4353" max="4353" width="5" style="1" customWidth="1"/>
    <col min="4354" max="4354" width="13" style="1" customWidth="1"/>
    <col min="4355" max="4355" width="23.625" style="1" customWidth="1"/>
    <col min="4356" max="4356" width="18.25" style="1" customWidth="1"/>
    <col min="4357" max="4357" width="5.625" style="1" customWidth="1"/>
    <col min="4358" max="4358" width="6.75" style="1" customWidth="1"/>
    <col min="4359" max="4359" width="11.875" style="1" customWidth="1"/>
    <col min="4360" max="4360" width="13.625" style="1" customWidth="1"/>
    <col min="4361" max="4361" width="12.75" style="1" customWidth="1"/>
    <col min="4362" max="4362" width="9.25" style="1" customWidth="1"/>
    <col min="4363" max="4363" width="11.5" style="1" bestFit="1" customWidth="1"/>
    <col min="4364" max="4608" width="9" style="1"/>
    <col min="4609" max="4609" width="5" style="1" customWidth="1"/>
    <col min="4610" max="4610" width="13" style="1" customWidth="1"/>
    <col min="4611" max="4611" width="23.625" style="1" customWidth="1"/>
    <col min="4612" max="4612" width="18.25" style="1" customWidth="1"/>
    <col min="4613" max="4613" width="5.625" style="1" customWidth="1"/>
    <col min="4614" max="4614" width="6.75" style="1" customWidth="1"/>
    <col min="4615" max="4615" width="11.875" style="1" customWidth="1"/>
    <col min="4616" max="4616" width="13.625" style="1" customWidth="1"/>
    <col min="4617" max="4617" width="12.75" style="1" customWidth="1"/>
    <col min="4618" max="4618" width="9.25" style="1" customWidth="1"/>
    <col min="4619" max="4619" width="11.5" style="1" bestFit="1" customWidth="1"/>
    <col min="4620" max="4864" width="9" style="1"/>
    <col min="4865" max="4865" width="5" style="1" customWidth="1"/>
    <col min="4866" max="4866" width="13" style="1" customWidth="1"/>
    <col min="4867" max="4867" width="23.625" style="1" customWidth="1"/>
    <col min="4868" max="4868" width="18.25" style="1" customWidth="1"/>
    <col min="4869" max="4869" width="5.625" style="1" customWidth="1"/>
    <col min="4870" max="4870" width="6.75" style="1" customWidth="1"/>
    <col min="4871" max="4871" width="11.875" style="1" customWidth="1"/>
    <col min="4872" max="4872" width="13.625" style="1" customWidth="1"/>
    <col min="4873" max="4873" width="12.75" style="1" customWidth="1"/>
    <col min="4874" max="4874" width="9.25" style="1" customWidth="1"/>
    <col min="4875" max="4875" width="11.5" style="1" bestFit="1" customWidth="1"/>
    <col min="4876" max="5120" width="9" style="1"/>
    <col min="5121" max="5121" width="5" style="1" customWidth="1"/>
    <col min="5122" max="5122" width="13" style="1" customWidth="1"/>
    <col min="5123" max="5123" width="23.625" style="1" customWidth="1"/>
    <col min="5124" max="5124" width="18.25" style="1" customWidth="1"/>
    <col min="5125" max="5125" width="5.625" style="1" customWidth="1"/>
    <col min="5126" max="5126" width="6.75" style="1" customWidth="1"/>
    <col min="5127" max="5127" width="11.875" style="1" customWidth="1"/>
    <col min="5128" max="5128" width="13.625" style="1" customWidth="1"/>
    <col min="5129" max="5129" width="12.75" style="1" customWidth="1"/>
    <col min="5130" max="5130" width="9.25" style="1" customWidth="1"/>
    <col min="5131" max="5131" width="11.5" style="1" bestFit="1" customWidth="1"/>
    <col min="5132" max="5376" width="9" style="1"/>
    <col min="5377" max="5377" width="5" style="1" customWidth="1"/>
    <col min="5378" max="5378" width="13" style="1" customWidth="1"/>
    <col min="5379" max="5379" width="23.625" style="1" customWidth="1"/>
    <col min="5380" max="5380" width="18.25" style="1" customWidth="1"/>
    <col min="5381" max="5381" width="5.625" style="1" customWidth="1"/>
    <col min="5382" max="5382" width="6.75" style="1" customWidth="1"/>
    <col min="5383" max="5383" width="11.875" style="1" customWidth="1"/>
    <col min="5384" max="5384" width="13.625" style="1" customWidth="1"/>
    <col min="5385" max="5385" width="12.75" style="1" customWidth="1"/>
    <col min="5386" max="5386" width="9.25" style="1" customWidth="1"/>
    <col min="5387" max="5387" width="11.5" style="1" bestFit="1" customWidth="1"/>
    <col min="5388" max="5632" width="9" style="1"/>
    <col min="5633" max="5633" width="5" style="1" customWidth="1"/>
    <col min="5634" max="5634" width="13" style="1" customWidth="1"/>
    <col min="5635" max="5635" width="23.625" style="1" customWidth="1"/>
    <col min="5636" max="5636" width="18.25" style="1" customWidth="1"/>
    <col min="5637" max="5637" width="5.625" style="1" customWidth="1"/>
    <col min="5638" max="5638" width="6.75" style="1" customWidth="1"/>
    <col min="5639" max="5639" width="11.875" style="1" customWidth="1"/>
    <col min="5640" max="5640" width="13.625" style="1" customWidth="1"/>
    <col min="5641" max="5641" width="12.75" style="1" customWidth="1"/>
    <col min="5642" max="5642" width="9.25" style="1" customWidth="1"/>
    <col min="5643" max="5643" width="11.5" style="1" bestFit="1" customWidth="1"/>
    <col min="5644" max="5888" width="9" style="1"/>
    <col min="5889" max="5889" width="5" style="1" customWidth="1"/>
    <col min="5890" max="5890" width="13" style="1" customWidth="1"/>
    <col min="5891" max="5891" width="23.625" style="1" customWidth="1"/>
    <col min="5892" max="5892" width="18.25" style="1" customWidth="1"/>
    <col min="5893" max="5893" width="5.625" style="1" customWidth="1"/>
    <col min="5894" max="5894" width="6.75" style="1" customWidth="1"/>
    <col min="5895" max="5895" width="11.875" style="1" customWidth="1"/>
    <col min="5896" max="5896" width="13.625" style="1" customWidth="1"/>
    <col min="5897" max="5897" width="12.75" style="1" customWidth="1"/>
    <col min="5898" max="5898" width="9.25" style="1" customWidth="1"/>
    <col min="5899" max="5899" width="11.5" style="1" bestFit="1" customWidth="1"/>
    <col min="5900" max="6144" width="9" style="1"/>
    <col min="6145" max="6145" width="5" style="1" customWidth="1"/>
    <col min="6146" max="6146" width="13" style="1" customWidth="1"/>
    <col min="6147" max="6147" width="23.625" style="1" customWidth="1"/>
    <col min="6148" max="6148" width="18.25" style="1" customWidth="1"/>
    <col min="6149" max="6149" width="5.625" style="1" customWidth="1"/>
    <col min="6150" max="6150" width="6.75" style="1" customWidth="1"/>
    <col min="6151" max="6151" width="11.875" style="1" customWidth="1"/>
    <col min="6152" max="6152" width="13.625" style="1" customWidth="1"/>
    <col min="6153" max="6153" width="12.75" style="1" customWidth="1"/>
    <col min="6154" max="6154" width="9.25" style="1" customWidth="1"/>
    <col min="6155" max="6155" width="11.5" style="1" bestFit="1" customWidth="1"/>
    <col min="6156" max="6400" width="9" style="1"/>
    <col min="6401" max="6401" width="5" style="1" customWidth="1"/>
    <col min="6402" max="6402" width="13" style="1" customWidth="1"/>
    <col min="6403" max="6403" width="23.625" style="1" customWidth="1"/>
    <col min="6404" max="6404" width="18.25" style="1" customWidth="1"/>
    <col min="6405" max="6405" width="5.625" style="1" customWidth="1"/>
    <col min="6406" max="6406" width="6.75" style="1" customWidth="1"/>
    <col min="6407" max="6407" width="11.875" style="1" customWidth="1"/>
    <col min="6408" max="6408" width="13.625" style="1" customWidth="1"/>
    <col min="6409" max="6409" width="12.75" style="1" customWidth="1"/>
    <col min="6410" max="6410" width="9.25" style="1" customWidth="1"/>
    <col min="6411" max="6411" width="11.5" style="1" bestFit="1" customWidth="1"/>
    <col min="6412" max="6656" width="9" style="1"/>
    <col min="6657" max="6657" width="5" style="1" customWidth="1"/>
    <col min="6658" max="6658" width="13" style="1" customWidth="1"/>
    <col min="6659" max="6659" width="23.625" style="1" customWidth="1"/>
    <col min="6660" max="6660" width="18.25" style="1" customWidth="1"/>
    <col min="6661" max="6661" width="5.625" style="1" customWidth="1"/>
    <col min="6662" max="6662" width="6.75" style="1" customWidth="1"/>
    <col min="6663" max="6663" width="11.875" style="1" customWidth="1"/>
    <col min="6664" max="6664" width="13.625" style="1" customWidth="1"/>
    <col min="6665" max="6665" width="12.75" style="1" customWidth="1"/>
    <col min="6666" max="6666" width="9.25" style="1" customWidth="1"/>
    <col min="6667" max="6667" width="11.5" style="1" bestFit="1" customWidth="1"/>
    <col min="6668" max="6912" width="9" style="1"/>
    <col min="6913" max="6913" width="5" style="1" customWidth="1"/>
    <col min="6914" max="6914" width="13" style="1" customWidth="1"/>
    <col min="6915" max="6915" width="23.625" style="1" customWidth="1"/>
    <col min="6916" max="6916" width="18.25" style="1" customWidth="1"/>
    <col min="6917" max="6917" width="5.625" style="1" customWidth="1"/>
    <col min="6918" max="6918" width="6.75" style="1" customWidth="1"/>
    <col min="6919" max="6919" width="11.875" style="1" customWidth="1"/>
    <col min="6920" max="6920" width="13.625" style="1" customWidth="1"/>
    <col min="6921" max="6921" width="12.75" style="1" customWidth="1"/>
    <col min="6922" max="6922" width="9.25" style="1" customWidth="1"/>
    <col min="6923" max="6923" width="11.5" style="1" bestFit="1" customWidth="1"/>
    <col min="6924" max="7168" width="9" style="1"/>
    <col min="7169" max="7169" width="5" style="1" customWidth="1"/>
    <col min="7170" max="7170" width="13" style="1" customWidth="1"/>
    <col min="7171" max="7171" width="23.625" style="1" customWidth="1"/>
    <col min="7172" max="7172" width="18.25" style="1" customWidth="1"/>
    <col min="7173" max="7173" width="5.625" style="1" customWidth="1"/>
    <col min="7174" max="7174" width="6.75" style="1" customWidth="1"/>
    <col min="7175" max="7175" width="11.875" style="1" customWidth="1"/>
    <col min="7176" max="7176" width="13.625" style="1" customWidth="1"/>
    <col min="7177" max="7177" width="12.75" style="1" customWidth="1"/>
    <col min="7178" max="7178" width="9.25" style="1" customWidth="1"/>
    <col min="7179" max="7179" width="11.5" style="1" bestFit="1" customWidth="1"/>
    <col min="7180" max="7424" width="9" style="1"/>
    <col min="7425" max="7425" width="5" style="1" customWidth="1"/>
    <col min="7426" max="7426" width="13" style="1" customWidth="1"/>
    <col min="7427" max="7427" width="23.625" style="1" customWidth="1"/>
    <col min="7428" max="7428" width="18.25" style="1" customWidth="1"/>
    <col min="7429" max="7429" width="5.625" style="1" customWidth="1"/>
    <col min="7430" max="7430" width="6.75" style="1" customWidth="1"/>
    <col min="7431" max="7431" width="11.875" style="1" customWidth="1"/>
    <col min="7432" max="7432" width="13.625" style="1" customWidth="1"/>
    <col min="7433" max="7433" width="12.75" style="1" customWidth="1"/>
    <col min="7434" max="7434" width="9.25" style="1" customWidth="1"/>
    <col min="7435" max="7435" width="11.5" style="1" bestFit="1" customWidth="1"/>
    <col min="7436" max="7680" width="9" style="1"/>
    <col min="7681" max="7681" width="5" style="1" customWidth="1"/>
    <col min="7682" max="7682" width="13" style="1" customWidth="1"/>
    <col min="7683" max="7683" width="23.625" style="1" customWidth="1"/>
    <col min="7684" max="7684" width="18.25" style="1" customWidth="1"/>
    <col min="7685" max="7685" width="5.625" style="1" customWidth="1"/>
    <col min="7686" max="7686" width="6.75" style="1" customWidth="1"/>
    <col min="7687" max="7687" width="11.875" style="1" customWidth="1"/>
    <col min="7688" max="7688" width="13.625" style="1" customWidth="1"/>
    <col min="7689" max="7689" width="12.75" style="1" customWidth="1"/>
    <col min="7690" max="7690" width="9.25" style="1" customWidth="1"/>
    <col min="7691" max="7691" width="11.5" style="1" bestFit="1" customWidth="1"/>
    <col min="7692" max="7936" width="9" style="1"/>
    <col min="7937" max="7937" width="5" style="1" customWidth="1"/>
    <col min="7938" max="7938" width="13" style="1" customWidth="1"/>
    <col min="7939" max="7939" width="23.625" style="1" customWidth="1"/>
    <col min="7940" max="7940" width="18.25" style="1" customWidth="1"/>
    <col min="7941" max="7941" width="5.625" style="1" customWidth="1"/>
    <col min="7942" max="7942" width="6.75" style="1" customWidth="1"/>
    <col min="7943" max="7943" width="11.875" style="1" customWidth="1"/>
    <col min="7944" max="7944" width="13.625" style="1" customWidth="1"/>
    <col min="7945" max="7945" width="12.75" style="1" customWidth="1"/>
    <col min="7946" max="7946" width="9.25" style="1" customWidth="1"/>
    <col min="7947" max="7947" width="11.5" style="1" bestFit="1" customWidth="1"/>
    <col min="7948" max="8192" width="9" style="1"/>
    <col min="8193" max="8193" width="5" style="1" customWidth="1"/>
    <col min="8194" max="8194" width="13" style="1" customWidth="1"/>
    <col min="8195" max="8195" width="23.625" style="1" customWidth="1"/>
    <col min="8196" max="8196" width="18.25" style="1" customWidth="1"/>
    <col min="8197" max="8197" width="5.625" style="1" customWidth="1"/>
    <col min="8198" max="8198" width="6.75" style="1" customWidth="1"/>
    <col min="8199" max="8199" width="11.875" style="1" customWidth="1"/>
    <col min="8200" max="8200" width="13.625" style="1" customWidth="1"/>
    <col min="8201" max="8201" width="12.75" style="1" customWidth="1"/>
    <col min="8202" max="8202" width="9.25" style="1" customWidth="1"/>
    <col min="8203" max="8203" width="11.5" style="1" bestFit="1" customWidth="1"/>
    <col min="8204" max="8448" width="9" style="1"/>
    <col min="8449" max="8449" width="5" style="1" customWidth="1"/>
    <col min="8450" max="8450" width="13" style="1" customWidth="1"/>
    <col min="8451" max="8451" width="23.625" style="1" customWidth="1"/>
    <col min="8452" max="8452" width="18.25" style="1" customWidth="1"/>
    <col min="8453" max="8453" width="5.625" style="1" customWidth="1"/>
    <col min="8454" max="8454" width="6.75" style="1" customWidth="1"/>
    <col min="8455" max="8455" width="11.875" style="1" customWidth="1"/>
    <col min="8456" max="8456" width="13.625" style="1" customWidth="1"/>
    <col min="8457" max="8457" width="12.75" style="1" customWidth="1"/>
    <col min="8458" max="8458" width="9.25" style="1" customWidth="1"/>
    <col min="8459" max="8459" width="11.5" style="1" bestFit="1" customWidth="1"/>
    <col min="8460" max="8704" width="9" style="1"/>
    <col min="8705" max="8705" width="5" style="1" customWidth="1"/>
    <col min="8706" max="8706" width="13" style="1" customWidth="1"/>
    <col min="8707" max="8707" width="23.625" style="1" customWidth="1"/>
    <col min="8708" max="8708" width="18.25" style="1" customWidth="1"/>
    <col min="8709" max="8709" width="5.625" style="1" customWidth="1"/>
    <col min="8710" max="8710" width="6.75" style="1" customWidth="1"/>
    <col min="8711" max="8711" width="11.875" style="1" customWidth="1"/>
    <col min="8712" max="8712" width="13.625" style="1" customWidth="1"/>
    <col min="8713" max="8713" width="12.75" style="1" customWidth="1"/>
    <col min="8714" max="8714" width="9.25" style="1" customWidth="1"/>
    <col min="8715" max="8715" width="11.5" style="1" bestFit="1" customWidth="1"/>
    <col min="8716" max="8960" width="9" style="1"/>
    <col min="8961" max="8961" width="5" style="1" customWidth="1"/>
    <col min="8962" max="8962" width="13" style="1" customWidth="1"/>
    <col min="8963" max="8963" width="23.625" style="1" customWidth="1"/>
    <col min="8964" max="8964" width="18.25" style="1" customWidth="1"/>
    <col min="8965" max="8965" width="5.625" style="1" customWidth="1"/>
    <col min="8966" max="8966" width="6.75" style="1" customWidth="1"/>
    <col min="8967" max="8967" width="11.875" style="1" customWidth="1"/>
    <col min="8968" max="8968" width="13.625" style="1" customWidth="1"/>
    <col min="8969" max="8969" width="12.75" style="1" customWidth="1"/>
    <col min="8970" max="8970" width="9.25" style="1" customWidth="1"/>
    <col min="8971" max="8971" width="11.5" style="1" bestFit="1" customWidth="1"/>
    <col min="8972" max="9216" width="9" style="1"/>
    <col min="9217" max="9217" width="5" style="1" customWidth="1"/>
    <col min="9218" max="9218" width="13" style="1" customWidth="1"/>
    <col min="9219" max="9219" width="23.625" style="1" customWidth="1"/>
    <col min="9220" max="9220" width="18.25" style="1" customWidth="1"/>
    <col min="9221" max="9221" width="5.625" style="1" customWidth="1"/>
    <col min="9222" max="9222" width="6.75" style="1" customWidth="1"/>
    <col min="9223" max="9223" width="11.875" style="1" customWidth="1"/>
    <col min="9224" max="9224" width="13.625" style="1" customWidth="1"/>
    <col min="9225" max="9225" width="12.75" style="1" customWidth="1"/>
    <col min="9226" max="9226" width="9.25" style="1" customWidth="1"/>
    <col min="9227" max="9227" width="11.5" style="1" bestFit="1" customWidth="1"/>
    <col min="9228" max="9472" width="9" style="1"/>
    <col min="9473" max="9473" width="5" style="1" customWidth="1"/>
    <col min="9474" max="9474" width="13" style="1" customWidth="1"/>
    <col min="9475" max="9475" width="23.625" style="1" customWidth="1"/>
    <col min="9476" max="9476" width="18.25" style="1" customWidth="1"/>
    <col min="9477" max="9477" width="5.625" style="1" customWidth="1"/>
    <col min="9478" max="9478" width="6.75" style="1" customWidth="1"/>
    <col min="9479" max="9479" width="11.875" style="1" customWidth="1"/>
    <col min="9480" max="9480" width="13.625" style="1" customWidth="1"/>
    <col min="9481" max="9481" width="12.75" style="1" customWidth="1"/>
    <col min="9482" max="9482" width="9.25" style="1" customWidth="1"/>
    <col min="9483" max="9483" width="11.5" style="1" bestFit="1" customWidth="1"/>
    <col min="9484" max="9728" width="9" style="1"/>
    <col min="9729" max="9729" width="5" style="1" customWidth="1"/>
    <col min="9730" max="9730" width="13" style="1" customWidth="1"/>
    <col min="9731" max="9731" width="23.625" style="1" customWidth="1"/>
    <col min="9732" max="9732" width="18.25" style="1" customWidth="1"/>
    <col min="9733" max="9733" width="5.625" style="1" customWidth="1"/>
    <col min="9734" max="9734" width="6.75" style="1" customWidth="1"/>
    <col min="9735" max="9735" width="11.875" style="1" customWidth="1"/>
    <col min="9736" max="9736" width="13.625" style="1" customWidth="1"/>
    <col min="9737" max="9737" width="12.75" style="1" customWidth="1"/>
    <col min="9738" max="9738" width="9.25" style="1" customWidth="1"/>
    <col min="9739" max="9739" width="11.5" style="1" bestFit="1" customWidth="1"/>
    <col min="9740" max="9984" width="9" style="1"/>
    <col min="9985" max="9985" width="5" style="1" customWidth="1"/>
    <col min="9986" max="9986" width="13" style="1" customWidth="1"/>
    <col min="9987" max="9987" width="23.625" style="1" customWidth="1"/>
    <col min="9988" max="9988" width="18.25" style="1" customWidth="1"/>
    <col min="9989" max="9989" width="5.625" style="1" customWidth="1"/>
    <col min="9990" max="9990" width="6.75" style="1" customWidth="1"/>
    <col min="9991" max="9991" width="11.875" style="1" customWidth="1"/>
    <col min="9992" max="9992" width="13.625" style="1" customWidth="1"/>
    <col min="9993" max="9993" width="12.75" style="1" customWidth="1"/>
    <col min="9994" max="9994" width="9.25" style="1" customWidth="1"/>
    <col min="9995" max="9995" width="11.5" style="1" bestFit="1" customWidth="1"/>
    <col min="9996" max="10240" width="9" style="1"/>
    <col min="10241" max="10241" width="5" style="1" customWidth="1"/>
    <col min="10242" max="10242" width="13" style="1" customWidth="1"/>
    <col min="10243" max="10243" width="23.625" style="1" customWidth="1"/>
    <col min="10244" max="10244" width="18.25" style="1" customWidth="1"/>
    <col min="10245" max="10245" width="5.625" style="1" customWidth="1"/>
    <col min="10246" max="10246" width="6.75" style="1" customWidth="1"/>
    <col min="10247" max="10247" width="11.875" style="1" customWidth="1"/>
    <col min="10248" max="10248" width="13.625" style="1" customWidth="1"/>
    <col min="10249" max="10249" width="12.75" style="1" customWidth="1"/>
    <col min="10250" max="10250" width="9.25" style="1" customWidth="1"/>
    <col min="10251" max="10251" width="11.5" style="1" bestFit="1" customWidth="1"/>
    <col min="10252" max="10496" width="9" style="1"/>
    <col min="10497" max="10497" width="5" style="1" customWidth="1"/>
    <col min="10498" max="10498" width="13" style="1" customWidth="1"/>
    <col min="10499" max="10499" width="23.625" style="1" customWidth="1"/>
    <col min="10500" max="10500" width="18.25" style="1" customWidth="1"/>
    <col min="10501" max="10501" width="5.625" style="1" customWidth="1"/>
    <col min="10502" max="10502" width="6.75" style="1" customWidth="1"/>
    <col min="10503" max="10503" width="11.875" style="1" customWidth="1"/>
    <col min="10504" max="10504" width="13.625" style="1" customWidth="1"/>
    <col min="10505" max="10505" width="12.75" style="1" customWidth="1"/>
    <col min="10506" max="10506" width="9.25" style="1" customWidth="1"/>
    <col min="10507" max="10507" width="11.5" style="1" bestFit="1" customWidth="1"/>
    <col min="10508" max="10752" width="9" style="1"/>
    <col min="10753" max="10753" width="5" style="1" customWidth="1"/>
    <col min="10754" max="10754" width="13" style="1" customWidth="1"/>
    <col min="10755" max="10755" width="23.625" style="1" customWidth="1"/>
    <col min="10756" max="10756" width="18.25" style="1" customWidth="1"/>
    <col min="10757" max="10757" width="5.625" style="1" customWidth="1"/>
    <col min="10758" max="10758" width="6.75" style="1" customWidth="1"/>
    <col min="10759" max="10759" width="11.875" style="1" customWidth="1"/>
    <col min="10760" max="10760" width="13.625" style="1" customWidth="1"/>
    <col min="10761" max="10761" width="12.75" style="1" customWidth="1"/>
    <col min="10762" max="10762" width="9.25" style="1" customWidth="1"/>
    <col min="10763" max="10763" width="11.5" style="1" bestFit="1" customWidth="1"/>
    <col min="10764" max="11008" width="9" style="1"/>
    <col min="11009" max="11009" width="5" style="1" customWidth="1"/>
    <col min="11010" max="11010" width="13" style="1" customWidth="1"/>
    <col min="11011" max="11011" width="23.625" style="1" customWidth="1"/>
    <col min="11012" max="11012" width="18.25" style="1" customWidth="1"/>
    <col min="11013" max="11013" width="5.625" style="1" customWidth="1"/>
    <col min="11014" max="11014" width="6.75" style="1" customWidth="1"/>
    <col min="11015" max="11015" width="11.875" style="1" customWidth="1"/>
    <col min="11016" max="11016" width="13.625" style="1" customWidth="1"/>
    <col min="11017" max="11017" width="12.75" style="1" customWidth="1"/>
    <col min="11018" max="11018" width="9.25" style="1" customWidth="1"/>
    <col min="11019" max="11019" width="11.5" style="1" bestFit="1" customWidth="1"/>
    <col min="11020" max="11264" width="9" style="1"/>
    <col min="11265" max="11265" width="5" style="1" customWidth="1"/>
    <col min="11266" max="11266" width="13" style="1" customWidth="1"/>
    <col min="11267" max="11267" width="23.625" style="1" customWidth="1"/>
    <col min="11268" max="11268" width="18.25" style="1" customWidth="1"/>
    <col min="11269" max="11269" width="5.625" style="1" customWidth="1"/>
    <col min="11270" max="11270" width="6.75" style="1" customWidth="1"/>
    <col min="11271" max="11271" width="11.875" style="1" customWidth="1"/>
    <col min="11272" max="11272" width="13.625" style="1" customWidth="1"/>
    <col min="11273" max="11273" width="12.75" style="1" customWidth="1"/>
    <col min="11274" max="11274" width="9.25" style="1" customWidth="1"/>
    <col min="11275" max="11275" width="11.5" style="1" bestFit="1" customWidth="1"/>
    <col min="11276" max="11520" width="9" style="1"/>
    <col min="11521" max="11521" width="5" style="1" customWidth="1"/>
    <col min="11522" max="11522" width="13" style="1" customWidth="1"/>
    <col min="11523" max="11523" width="23.625" style="1" customWidth="1"/>
    <col min="11524" max="11524" width="18.25" style="1" customWidth="1"/>
    <col min="11525" max="11525" width="5.625" style="1" customWidth="1"/>
    <col min="11526" max="11526" width="6.75" style="1" customWidth="1"/>
    <col min="11527" max="11527" width="11.875" style="1" customWidth="1"/>
    <col min="11528" max="11528" width="13.625" style="1" customWidth="1"/>
    <col min="11529" max="11529" width="12.75" style="1" customWidth="1"/>
    <col min="11530" max="11530" width="9.25" style="1" customWidth="1"/>
    <col min="11531" max="11531" width="11.5" style="1" bestFit="1" customWidth="1"/>
    <col min="11532" max="11776" width="9" style="1"/>
    <col min="11777" max="11777" width="5" style="1" customWidth="1"/>
    <col min="11778" max="11778" width="13" style="1" customWidth="1"/>
    <col min="11779" max="11779" width="23.625" style="1" customWidth="1"/>
    <col min="11780" max="11780" width="18.25" style="1" customWidth="1"/>
    <col min="11781" max="11781" width="5.625" style="1" customWidth="1"/>
    <col min="11782" max="11782" width="6.75" style="1" customWidth="1"/>
    <col min="11783" max="11783" width="11.875" style="1" customWidth="1"/>
    <col min="11784" max="11784" width="13.625" style="1" customWidth="1"/>
    <col min="11785" max="11785" width="12.75" style="1" customWidth="1"/>
    <col min="11786" max="11786" width="9.25" style="1" customWidth="1"/>
    <col min="11787" max="11787" width="11.5" style="1" bestFit="1" customWidth="1"/>
    <col min="11788" max="12032" width="9" style="1"/>
    <col min="12033" max="12033" width="5" style="1" customWidth="1"/>
    <col min="12034" max="12034" width="13" style="1" customWidth="1"/>
    <col min="12035" max="12035" width="23.625" style="1" customWidth="1"/>
    <col min="12036" max="12036" width="18.25" style="1" customWidth="1"/>
    <col min="12037" max="12037" width="5.625" style="1" customWidth="1"/>
    <col min="12038" max="12038" width="6.75" style="1" customWidth="1"/>
    <col min="12039" max="12039" width="11.875" style="1" customWidth="1"/>
    <col min="12040" max="12040" width="13.625" style="1" customWidth="1"/>
    <col min="12041" max="12041" width="12.75" style="1" customWidth="1"/>
    <col min="12042" max="12042" width="9.25" style="1" customWidth="1"/>
    <col min="12043" max="12043" width="11.5" style="1" bestFit="1" customWidth="1"/>
    <col min="12044" max="12288" width="9" style="1"/>
    <col min="12289" max="12289" width="5" style="1" customWidth="1"/>
    <col min="12290" max="12290" width="13" style="1" customWidth="1"/>
    <col min="12291" max="12291" width="23.625" style="1" customWidth="1"/>
    <col min="12292" max="12292" width="18.25" style="1" customWidth="1"/>
    <col min="12293" max="12293" width="5.625" style="1" customWidth="1"/>
    <col min="12294" max="12294" width="6.75" style="1" customWidth="1"/>
    <col min="12295" max="12295" width="11.875" style="1" customWidth="1"/>
    <col min="12296" max="12296" width="13.625" style="1" customWidth="1"/>
    <col min="12297" max="12297" width="12.75" style="1" customWidth="1"/>
    <col min="12298" max="12298" width="9.25" style="1" customWidth="1"/>
    <col min="12299" max="12299" width="11.5" style="1" bestFit="1" customWidth="1"/>
    <col min="12300" max="12544" width="9" style="1"/>
    <col min="12545" max="12545" width="5" style="1" customWidth="1"/>
    <col min="12546" max="12546" width="13" style="1" customWidth="1"/>
    <col min="12547" max="12547" width="23.625" style="1" customWidth="1"/>
    <col min="12548" max="12548" width="18.25" style="1" customWidth="1"/>
    <col min="12549" max="12549" width="5.625" style="1" customWidth="1"/>
    <col min="12550" max="12550" width="6.75" style="1" customWidth="1"/>
    <col min="12551" max="12551" width="11.875" style="1" customWidth="1"/>
    <col min="12552" max="12552" width="13.625" style="1" customWidth="1"/>
    <col min="12553" max="12553" width="12.75" style="1" customWidth="1"/>
    <col min="12554" max="12554" width="9.25" style="1" customWidth="1"/>
    <col min="12555" max="12555" width="11.5" style="1" bestFit="1" customWidth="1"/>
    <col min="12556" max="12800" width="9" style="1"/>
    <col min="12801" max="12801" width="5" style="1" customWidth="1"/>
    <col min="12802" max="12802" width="13" style="1" customWidth="1"/>
    <col min="12803" max="12803" width="23.625" style="1" customWidth="1"/>
    <col min="12804" max="12804" width="18.25" style="1" customWidth="1"/>
    <col min="12805" max="12805" width="5.625" style="1" customWidth="1"/>
    <col min="12806" max="12806" width="6.75" style="1" customWidth="1"/>
    <col min="12807" max="12807" width="11.875" style="1" customWidth="1"/>
    <col min="12808" max="12808" width="13.625" style="1" customWidth="1"/>
    <col min="12809" max="12809" width="12.75" style="1" customWidth="1"/>
    <col min="12810" max="12810" width="9.25" style="1" customWidth="1"/>
    <col min="12811" max="12811" width="11.5" style="1" bestFit="1" customWidth="1"/>
    <col min="12812" max="13056" width="9" style="1"/>
    <col min="13057" max="13057" width="5" style="1" customWidth="1"/>
    <col min="13058" max="13058" width="13" style="1" customWidth="1"/>
    <col min="13059" max="13059" width="23.625" style="1" customWidth="1"/>
    <col min="13060" max="13060" width="18.25" style="1" customWidth="1"/>
    <col min="13061" max="13061" width="5.625" style="1" customWidth="1"/>
    <col min="13062" max="13062" width="6.75" style="1" customWidth="1"/>
    <col min="13063" max="13063" width="11.875" style="1" customWidth="1"/>
    <col min="13064" max="13064" width="13.625" style="1" customWidth="1"/>
    <col min="13065" max="13065" width="12.75" style="1" customWidth="1"/>
    <col min="13066" max="13066" width="9.25" style="1" customWidth="1"/>
    <col min="13067" max="13067" width="11.5" style="1" bestFit="1" customWidth="1"/>
    <col min="13068" max="13312" width="9" style="1"/>
    <col min="13313" max="13313" width="5" style="1" customWidth="1"/>
    <col min="13314" max="13314" width="13" style="1" customWidth="1"/>
    <col min="13315" max="13315" width="23.625" style="1" customWidth="1"/>
    <col min="13316" max="13316" width="18.25" style="1" customWidth="1"/>
    <col min="13317" max="13317" width="5.625" style="1" customWidth="1"/>
    <col min="13318" max="13318" width="6.75" style="1" customWidth="1"/>
    <col min="13319" max="13319" width="11.875" style="1" customWidth="1"/>
    <col min="13320" max="13320" width="13.625" style="1" customWidth="1"/>
    <col min="13321" max="13321" width="12.75" style="1" customWidth="1"/>
    <col min="13322" max="13322" width="9.25" style="1" customWidth="1"/>
    <col min="13323" max="13323" width="11.5" style="1" bestFit="1" customWidth="1"/>
    <col min="13324" max="13568" width="9" style="1"/>
    <col min="13569" max="13569" width="5" style="1" customWidth="1"/>
    <col min="13570" max="13570" width="13" style="1" customWidth="1"/>
    <col min="13571" max="13571" width="23.625" style="1" customWidth="1"/>
    <col min="13572" max="13572" width="18.25" style="1" customWidth="1"/>
    <col min="13573" max="13573" width="5.625" style="1" customWidth="1"/>
    <col min="13574" max="13574" width="6.75" style="1" customWidth="1"/>
    <col min="13575" max="13575" width="11.875" style="1" customWidth="1"/>
    <col min="13576" max="13576" width="13.625" style="1" customWidth="1"/>
    <col min="13577" max="13577" width="12.75" style="1" customWidth="1"/>
    <col min="13578" max="13578" width="9.25" style="1" customWidth="1"/>
    <col min="13579" max="13579" width="11.5" style="1" bestFit="1" customWidth="1"/>
    <col min="13580" max="13824" width="9" style="1"/>
    <col min="13825" max="13825" width="5" style="1" customWidth="1"/>
    <col min="13826" max="13826" width="13" style="1" customWidth="1"/>
    <col min="13827" max="13827" width="23.625" style="1" customWidth="1"/>
    <col min="13828" max="13828" width="18.25" style="1" customWidth="1"/>
    <col min="13829" max="13829" width="5.625" style="1" customWidth="1"/>
    <col min="13830" max="13830" width="6.75" style="1" customWidth="1"/>
    <col min="13831" max="13831" width="11.875" style="1" customWidth="1"/>
    <col min="13832" max="13832" width="13.625" style="1" customWidth="1"/>
    <col min="13833" max="13833" width="12.75" style="1" customWidth="1"/>
    <col min="13834" max="13834" width="9.25" style="1" customWidth="1"/>
    <col min="13835" max="13835" width="11.5" style="1" bestFit="1" customWidth="1"/>
    <col min="13836" max="14080" width="9" style="1"/>
    <col min="14081" max="14081" width="5" style="1" customWidth="1"/>
    <col min="14082" max="14082" width="13" style="1" customWidth="1"/>
    <col min="14083" max="14083" width="23.625" style="1" customWidth="1"/>
    <col min="14084" max="14084" width="18.25" style="1" customWidth="1"/>
    <col min="14085" max="14085" width="5.625" style="1" customWidth="1"/>
    <col min="14086" max="14086" width="6.75" style="1" customWidth="1"/>
    <col min="14087" max="14087" width="11.875" style="1" customWidth="1"/>
    <col min="14088" max="14088" width="13.625" style="1" customWidth="1"/>
    <col min="14089" max="14089" width="12.75" style="1" customWidth="1"/>
    <col min="14090" max="14090" width="9.25" style="1" customWidth="1"/>
    <col min="14091" max="14091" width="11.5" style="1" bestFit="1" customWidth="1"/>
    <col min="14092" max="14336" width="9" style="1"/>
    <col min="14337" max="14337" width="5" style="1" customWidth="1"/>
    <col min="14338" max="14338" width="13" style="1" customWidth="1"/>
    <col min="14339" max="14339" width="23.625" style="1" customWidth="1"/>
    <col min="14340" max="14340" width="18.25" style="1" customWidth="1"/>
    <col min="14341" max="14341" width="5.625" style="1" customWidth="1"/>
    <col min="14342" max="14342" width="6.75" style="1" customWidth="1"/>
    <col min="14343" max="14343" width="11.875" style="1" customWidth="1"/>
    <col min="14344" max="14344" width="13.625" style="1" customWidth="1"/>
    <col min="14345" max="14345" width="12.75" style="1" customWidth="1"/>
    <col min="14346" max="14346" width="9.25" style="1" customWidth="1"/>
    <col min="14347" max="14347" width="11.5" style="1" bestFit="1" customWidth="1"/>
    <col min="14348" max="14592" width="9" style="1"/>
    <col min="14593" max="14593" width="5" style="1" customWidth="1"/>
    <col min="14594" max="14594" width="13" style="1" customWidth="1"/>
    <col min="14595" max="14595" width="23.625" style="1" customWidth="1"/>
    <col min="14596" max="14596" width="18.25" style="1" customWidth="1"/>
    <col min="14597" max="14597" width="5.625" style="1" customWidth="1"/>
    <col min="14598" max="14598" width="6.75" style="1" customWidth="1"/>
    <col min="14599" max="14599" width="11.875" style="1" customWidth="1"/>
    <col min="14600" max="14600" width="13.625" style="1" customWidth="1"/>
    <col min="14601" max="14601" width="12.75" style="1" customWidth="1"/>
    <col min="14602" max="14602" width="9.25" style="1" customWidth="1"/>
    <col min="14603" max="14603" width="11.5" style="1" bestFit="1" customWidth="1"/>
    <col min="14604" max="14848" width="9" style="1"/>
    <col min="14849" max="14849" width="5" style="1" customWidth="1"/>
    <col min="14850" max="14850" width="13" style="1" customWidth="1"/>
    <col min="14851" max="14851" width="23.625" style="1" customWidth="1"/>
    <col min="14852" max="14852" width="18.25" style="1" customWidth="1"/>
    <col min="14853" max="14853" width="5.625" style="1" customWidth="1"/>
    <col min="14854" max="14854" width="6.75" style="1" customWidth="1"/>
    <col min="14855" max="14855" width="11.875" style="1" customWidth="1"/>
    <col min="14856" max="14856" width="13.625" style="1" customWidth="1"/>
    <col min="14857" max="14857" width="12.75" style="1" customWidth="1"/>
    <col min="14858" max="14858" width="9.25" style="1" customWidth="1"/>
    <col min="14859" max="14859" width="11.5" style="1" bestFit="1" customWidth="1"/>
    <col min="14860" max="15104" width="9" style="1"/>
    <col min="15105" max="15105" width="5" style="1" customWidth="1"/>
    <col min="15106" max="15106" width="13" style="1" customWidth="1"/>
    <col min="15107" max="15107" width="23.625" style="1" customWidth="1"/>
    <col min="15108" max="15108" width="18.25" style="1" customWidth="1"/>
    <col min="15109" max="15109" width="5.625" style="1" customWidth="1"/>
    <col min="15110" max="15110" width="6.75" style="1" customWidth="1"/>
    <col min="15111" max="15111" width="11.875" style="1" customWidth="1"/>
    <col min="15112" max="15112" width="13.625" style="1" customWidth="1"/>
    <col min="15113" max="15113" width="12.75" style="1" customWidth="1"/>
    <col min="15114" max="15114" width="9.25" style="1" customWidth="1"/>
    <col min="15115" max="15115" width="11.5" style="1" bestFit="1" customWidth="1"/>
    <col min="15116" max="15360" width="9" style="1"/>
    <col min="15361" max="15361" width="5" style="1" customWidth="1"/>
    <col min="15362" max="15362" width="13" style="1" customWidth="1"/>
    <col min="15363" max="15363" width="23.625" style="1" customWidth="1"/>
    <col min="15364" max="15364" width="18.25" style="1" customWidth="1"/>
    <col min="15365" max="15365" width="5.625" style="1" customWidth="1"/>
    <col min="15366" max="15366" width="6.75" style="1" customWidth="1"/>
    <col min="15367" max="15367" width="11.875" style="1" customWidth="1"/>
    <col min="15368" max="15368" width="13.625" style="1" customWidth="1"/>
    <col min="15369" max="15369" width="12.75" style="1" customWidth="1"/>
    <col min="15370" max="15370" width="9.25" style="1" customWidth="1"/>
    <col min="15371" max="15371" width="11.5" style="1" bestFit="1" customWidth="1"/>
    <col min="15372" max="15616" width="9" style="1"/>
    <col min="15617" max="15617" width="5" style="1" customWidth="1"/>
    <col min="15618" max="15618" width="13" style="1" customWidth="1"/>
    <col min="15619" max="15619" width="23.625" style="1" customWidth="1"/>
    <col min="15620" max="15620" width="18.25" style="1" customWidth="1"/>
    <col min="15621" max="15621" width="5.625" style="1" customWidth="1"/>
    <col min="15622" max="15622" width="6.75" style="1" customWidth="1"/>
    <col min="15623" max="15623" width="11.875" style="1" customWidth="1"/>
    <col min="15624" max="15624" width="13.625" style="1" customWidth="1"/>
    <col min="15625" max="15625" width="12.75" style="1" customWidth="1"/>
    <col min="15626" max="15626" width="9.25" style="1" customWidth="1"/>
    <col min="15627" max="15627" width="11.5" style="1" bestFit="1" customWidth="1"/>
    <col min="15628" max="15872" width="9" style="1"/>
    <col min="15873" max="15873" width="5" style="1" customWidth="1"/>
    <col min="15874" max="15874" width="13" style="1" customWidth="1"/>
    <col min="15875" max="15875" width="23.625" style="1" customWidth="1"/>
    <col min="15876" max="15876" width="18.25" style="1" customWidth="1"/>
    <col min="15877" max="15877" width="5.625" style="1" customWidth="1"/>
    <col min="15878" max="15878" width="6.75" style="1" customWidth="1"/>
    <col min="15879" max="15879" width="11.875" style="1" customWidth="1"/>
    <col min="15880" max="15880" width="13.625" style="1" customWidth="1"/>
    <col min="15881" max="15881" width="12.75" style="1" customWidth="1"/>
    <col min="15882" max="15882" width="9.25" style="1" customWidth="1"/>
    <col min="15883" max="15883" width="11.5" style="1" bestFit="1" customWidth="1"/>
    <col min="15884" max="16128" width="9" style="1"/>
    <col min="16129" max="16129" width="5" style="1" customWidth="1"/>
    <col min="16130" max="16130" width="13" style="1" customWidth="1"/>
    <col min="16131" max="16131" width="23.625" style="1" customWidth="1"/>
    <col min="16132" max="16132" width="18.25" style="1" customWidth="1"/>
    <col min="16133" max="16133" width="5.625" style="1" customWidth="1"/>
    <col min="16134" max="16134" width="6.75" style="1" customWidth="1"/>
    <col min="16135" max="16135" width="11.875" style="1" customWidth="1"/>
    <col min="16136" max="16136" width="13.625" style="1" customWidth="1"/>
    <col min="16137" max="16137" width="12.75" style="1" customWidth="1"/>
    <col min="16138" max="16138" width="9.25" style="1" customWidth="1"/>
    <col min="16139" max="16139" width="11.5" style="1" bestFit="1" customWidth="1"/>
    <col min="16140" max="16384" width="9" style="1"/>
  </cols>
  <sheetData>
    <row r="1" spans="1:9" ht="22.5" customHeight="1" x14ac:dyDescent="0.3">
      <c r="B1" s="201" t="s">
        <v>127</v>
      </c>
      <c r="C1" s="202"/>
      <c r="F1" s="203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204" t="s">
        <v>130</v>
      </c>
      <c r="D2" s="205" t="s">
        <v>131</v>
      </c>
      <c r="E2" s="205" t="s">
        <v>48</v>
      </c>
      <c r="F2" s="206" t="s">
        <v>49</v>
      </c>
      <c r="G2" s="206" t="s">
        <v>132</v>
      </c>
      <c r="H2" s="206" t="s">
        <v>133</v>
      </c>
      <c r="I2" s="205" t="s">
        <v>134</v>
      </c>
    </row>
    <row r="3" spans="1:9" ht="15.95" customHeight="1" x14ac:dyDescent="0.3">
      <c r="A3" s="459" t="s">
        <v>135</v>
      </c>
      <c r="B3" s="207" t="s">
        <v>136</v>
      </c>
      <c r="C3" s="208" t="s">
        <v>137</v>
      </c>
      <c r="D3" s="209"/>
      <c r="E3" s="210" t="s">
        <v>138</v>
      </c>
      <c r="F3" s="211">
        <v>5</v>
      </c>
      <c r="G3" s="212">
        <v>100000</v>
      </c>
      <c r="H3" s="213">
        <f t="shared" ref="H3:H13" si="0">IF(F3=0,G3,G3*F3)</f>
        <v>500000</v>
      </c>
      <c r="I3" s="214"/>
    </row>
    <row r="4" spans="1:9" ht="15.95" customHeight="1" x14ac:dyDescent="0.3">
      <c r="A4" s="460"/>
      <c r="B4" s="207"/>
      <c r="C4" s="208" t="s">
        <v>139</v>
      </c>
      <c r="D4" s="209"/>
      <c r="E4" s="210" t="s">
        <v>140</v>
      </c>
      <c r="F4" s="211">
        <v>1</v>
      </c>
      <c r="G4" s="212">
        <v>500000</v>
      </c>
      <c r="H4" s="166">
        <f t="shared" si="0"/>
        <v>500000</v>
      </c>
      <c r="I4" s="37"/>
    </row>
    <row r="5" spans="1:9" ht="15.95" customHeight="1" x14ac:dyDescent="0.3">
      <c r="A5" s="460"/>
      <c r="B5" s="207"/>
      <c r="C5" s="208" t="s">
        <v>141</v>
      </c>
      <c r="D5" s="209"/>
      <c r="E5" s="210" t="s">
        <v>140</v>
      </c>
      <c r="F5" s="211">
        <v>1</v>
      </c>
      <c r="G5" s="212">
        <v>500000</v>
      </c>
      <c r="H5" s="166">
        <f t="shared" si="0"/>
        <v>500000</v>
      </c>
      <c r="I5" s="37"/>
    </row>
    <row r="6" spans="1:9" ht="15.95" customHeight="1" x14ac:dyDescent="0.3">
      <c r="A6" s="460"/>
      <c r="B6" s="207"/>
      <c r="C6" s="208" t="s">
        <v>142</v>
      </c>
      <c r="D6" s="209"/>
      <c r="E6" s="210" t="s">
        <v>140</v>
      </c>
      <c r="F6" s="211">
        <v>1</v>
      </c>
      <c r="G6" s="215">
        <v>500000</v>
      </c>
      <c r="H6" s="166">
        <f t="shared" si="0"/>
        <v>500000</v>
      </c>
      <c r="I6" s="37"/>
    </row>
    <row r="7" spans="1:9" ht="15.95" customHeight="1" x14ac:dyDescent="0.3">
      <c r="A7" s="460"/>
      <c r="B7" s="207"/>
      <c r="C7" s="208"/>
      <c r="D7" s="209"/>
      <c r="E7" s="210"/>
      <c r="F7" s="211"/>
      <c r="G7" s="215"/>
      <c r="H7" s="166">
        <f t="shared" si="0"/>
        <v>0</v>
      </c>
      <c r="I7" s="37"/>
    </row>
    <row r="8" spans="1:9" ht="15.95" customHeight="1" x14ac:dyDescent="0.3">
      <c r="A8" s="460"/>
      <c r="B8" s="207"/>
      <c r="C8" s="208"/>
      <c r="D8" s="209"/>
      <c r="E8" s="210"/>
      <c r="F8" s="211"/>
      <c r="G8" s="215"/>
      <c r="H8" s="166">
        <f t="shared" si="0"/>
        <v>0</v>
      </c>
      <c r="I8" s="37"/>
    </row>
    <row r="9" spans="1:9" ht="15.95" customHeight="1" x14ac:dyDescent="0.3">
      <c r="A9" s="460"/>
      <c r="B9" s="207"/>
      <c r="C9" s="208"/>
      <c r="D9" s="209"/>
      <c r="E9" s="210"/>
      <c r="F9" s="211"/>
      <c r="G9" s="215"/>
      <c r="H9" s="166">
        <f t="shared" si="0"/>
        <v>0</v>
      </c>
      <c r="I9" s="37"/>
    </row>
    <row r="10" spans="1:9" ht="15.95" customHeight="1" x14ac:dyDescent="0.3">
      <c r="A10" s="460"/>
      <c r="B10" s="207"/>
      <c r="C10" s="208"/>
      <c r="D10" s="209"/>
      <c r="E10" s="210"/>
      <c r="F10" s="211"/>
      <c r="G10" s="215"/>
      <c r="H10" s="166">
        <f t="shared" si="0"/>
        <v>0</v>
      </c>
      <c r="I10" s="37"/>
    </row>
    <row r="11" spans="1:9" ht="15.95" customHeight="1" x14ac:dyDescent="0.3">
      <c r="A11" s="460"/>
      <c r="B11" s="207"/>
      <c r="C11" s="208"/>
      <c r="D11" s="209"/>
      <c r="E11" s="210"/>
      <c r="F11" s="211"/>
      <c r="G11" s="215"/>
      <c r="H11" s="166">
        <f t="shared" si="0"/>
        <v>0</v>
      </c>
      <c r="I11" s="37"/>
    </row>
    <row r="12" spans="1:9" ht="15.95" customHeight="1" x14ac:dyDescent="0.3">
      <c r="A12" s="460"/>
      <c r="B12" s="207"/>
      <c r="C12" s="208"/>
      <c r="D12" s="208"/>
      <c r="E12" s="216"/>
      <c r="F12" s="217"/>
      <c r="G12" s="218"/>
      <c r="H12" s="166">
        <f t="shared" si="0"/>
        <v>0</v>
      </c>
      <c r="I12" s="37"/>
    </row>
    <row r="13" spans="1:9" ht="15.95" customHeight="1" x14ac:dyDescent="0.3">
      <c r="A13" s="460"/>
      <c r="B13" s="207"/>
      <c r="C13" s="219"/>
      <c r="D13" s="219"/>
      <c r="E13" s="220"/>
      <c r="F13" s="221"/>
      <c r="G13" s="222"/>
      <c r="H13" s="166">
        <f t="shared" si="0"/>
        <v>0</v>
      </c>
      <c r="I13" s="40"/>
    </row>
    <row r="14" spans="1:9" ht="15.95" customHeight="1" x14ac:dyDescent="0.3">
      <c r="A14" s="460"/>
      <c r="B14" s="223"/>
      <c r="C14" s="224"/>
      <c r="D14" s="225"/>
      <c r="E14" s="204"/>
      <c r="F14" s="226"/>
      <c r="G14" s="227"/>
      <c r="H14" s="48">
        <f>SUM(H3:H13)</f>
        <v>2000000</v>
      </c>
      <c r="I14" s="44"/>
    </row>
    <row r="15" spans="1:9" ht="15.95" customHeight="1" x14ac:dyDescent="0.3">
      <c r="A15" s="460"/>
      <c r="B15" s="228" t="s">
        <v>143</v>
      </c>
      <c r="C15" s="229"/>
      <c r="D15" s="229"/>
      <c r="E15" s="230"/>
      <c r="F15" s="231"/>
      <c r="G15" s="232"/>
      <c r="H15" s="233">
        <f t="shared" ref="H15:H20" si="1">IF(F15=0,G15,G15*F15)</f>
        <v>0</v>
      </c>
      <c r="I15" s="234"/>
    </row>
    <row r="16" spans="1:9" ht="15.95" customHeight="1" x14ac:dyDescent="0.3">
      <c r="A16" s="460"/>
      <c r="B16" s="235" t="s">
        <v>144</v>
      </c>
      <c r="C16" s="208"/>
      <c r="D16" s="208"/>
      <c r="E16" s="216"/>
      <c r="F16" s="217"/>
      <c r="G16" s="218"/>
      <c r="H16" s="166">
        <f t="shared" si="1"/>
        <v>0</v>
      </c>
      <c r="I16" s="37"/>
    </row>
    <row r="17" spans="1:9" ht="15.95" customHeight="1" x14ac:dyDescent="0.3">
      <c r="A17" s="460"/>
      <c r="B17" s="235" t="s">
        <v>145</v>
      </c>
      <c r="C17" s="208"/>
      <c r="D17" s="208"/>
      <c r="E17" s="216"/>
      <c r="F17" s="217"/>
      <c r="G17" s="218"/>
      <c r="H17" s="166">
        <f t="shared" si="1"/>
        <v>0</v>
      </c>
      <c r="I17" s="37"/>
    </row>
    <row r="18" spans="1:9" ht="15.95" customHeight="1" x14ac:dyDescent="0.3">
      <c r="A18" s="460"/>
      <c r="B18" s="207"/>
      <c r="C18" s="208"/>
      <c r="D18" s="208"/>
      <c r="E18" s="216"/>
      <c r="F18" s="217"/>
      <c r="G18" s="218"/>
      <c r="H18" s="166">
        <f t="shared" si="1"/>
        <v>0</v>
      </c>
      <c r="I18" s="37"/>
    </row>
    <row r="19" spans="1:9" ht="15.95" customHeight="1" x14ac:dyDescent="0.3">
      <c r="A19" s="460"/>
      <c r="B19" s="207"/>
      <c r="C19" s="208"/>
      <c r="D19" s="208"/>
      <c r="E19" s="216"/>
      <c r="F19" s="217"/>
      <c r="G19" s="218"/>
      <c r="H19" s="166">
        <f t="shared" si="1"/>
        <v>0</v>
      </c>
      <c r="I19" s="37"/>
    </row>
    <row r="20" spans="1:9" ht="15.95" customHeight="1" x14ac:dyDescent="0.3">
      <c r="A20" s="460"/>
      <c r="B20" s="207"/>
      <c r="C20" s="219"/>
      <c r="D20" s="236"/>
      <c r="E20" s="220"/>
      <c r="F20" s="237"/>
      <c r="G20" s="238"/>
      <c r="H20" s="239">
        <f t="shared" si="1"/>
        <v>0</v>
      </c>
      <c r="I20" s="240"/>
    </row>
    <row r="21" spans="1:9" ht="15.95" customHeight="1" x14ac:dyDescent="0.3">
      <c r="A21" s="460"/>
      <c r="B21" s="207"/>
      <c r="C21" s="241"/>
      <c r="D21" s="242"/>
      <c r="E21" s="243"/>
      <c r="F21" s="244"/>
      <c r="G21" s="245"/>
      <c r="H21" s="246">
        <f>SUM(H15:H20)</f>
        <v>0</v>
      </c>
      <c r="I21" s="242"/>
    </row>
    <row r="22" spans="1:9" ht="15.95" customHeight="1" x14ac:dyDescent="0.3">
      <c r="A22" s="460"/>
      <c r="B22" s="247" t="s">
        <v>146</v>
      </c>
      <c r="C22" s="248" t="s">
        <v>147</v>
      </c>
      <c r="D22" s="249"/>
      <c r="E22" s="210"/>
      <c r="F22" s="211"/>
      <c r="G22" s="212"/>
      <c r="H22" s="166">
        <f t="shared" ref="H22:H48" si="2">IF(F22=0,G22,G22*F22)</f>
        <v>0</v>
      </c>
      <c r="I22" s="234"/>
    </row>
    <row r="23" spans="1:9" ht="15.95" customHeight="1" x14ac:dyDescent="0.3">
      <c r="A23" s="460"/>
      <c r="B23" s="207"/>
      <c r="C23" s="248" t="s">
        <v>148</v>
      </c>
      <c r="D23" s="249" t="s">
        <v>149</v>
      </c>
      <c r="E23" s="210" t="s">
        <v>59</v>
      </c>
      <c r="F23" s="250">
        <v>1</v>
      </c>
      <c r="G23" s="212">
        <v>100000</v>
      </c>
      <c r="H23" s="166">
        <f t="shared" si="2"/>
        <v>100000</v>
      </c>
      <c r="I23" s="214"/>
    </row>
    <row r="24" spans="1:9" ht="15.95" customHeight="1" x14ac:dyDescent="0.3">
      <c r="A24" s="460"/>
      <c r="B24" s="207"/>
      <c r="C24" s="248" t="s">
        <v>150</v>
      </c>
      <c r="D24" s="249" t="s">
        <v>151</v>
      </c>
      <c r="E24" s="210" t="s">
        <v>138</v>
      </c>
      <c r="F24" s="250">
        <v>3</v>
      </c>
      <c r="G24" s="212">
        <v>1000000</v>
      </c>
      <c r="H24" s="166">
        <f t="shared" si="2"/>
        <v>3000000</v>
      </c>
      <c r="I24" s="214"/>
    </row>
    <row r="25" spans="1:9" ht="15.95" customHeight="1" x14ac:dyDescent="0.3">
      <c r="A25" s="460"/>
      <c r="B25" s="207"/>
      <c r="C25" s="248" t="s">
        <v>152</v>
      </c>
      <c r="D25" s="249" t="s">
        <v>153</v>
      </c>
      <c r="E25" s="210" t="s">
        <v>138</v>
      </c>
      <c r="F25" s="250">
        <v>5</v>
      </c>
      <c r="G25" s="212">
        <v>50000</v>
      </c>
      <c r="H25" s="166">
        <f t="shared" si="2"/>
        <v>250000</v>
      </c>
      <c r="I25" s="214"/>
    </row>
    <row r="26" spans="1:9" ht="15.95" customHeight="1" x14ac:dyDescent="0.3">
      <c r="A26" s="460"/>
      <c r="B26" s="207"/>
      <c r="C26" s="208" t="s">
        <v>154</v>
      </c>
      <c r="D26" s="208" t="s">
        <v>155</v>
      </c>
      <c r="E26" s="210" t="s">
        <v>140</v>
      </c>
      <c r="F26" s="250">
        <v>1</v>
      </c>
      <c r="G26" s="218">
        <v>500000</v>
      </c>
      <c r="H26" s="166">
        <f t="shared" si="2"/>
        <v>500000</v>
      </c>
      <c r="I26" s="37"/>
    </row>
    <row r="27" spans="1:9" ht="15.95" customHeight="1" x14ac:dyDescent="0.3">
      <c r="A27" s="460"/>
      <c r="B27" s="207"/>
      <c r="C27" s="208" t="s">
        <v>156</v>
      </c>
      <c r="D27" s="208" t="s">
        <v>157</v>
      </c>
      <c r="E27" s="210" t="s">
        <v>140</v>
      </c>
      <c r="F27" s="250">
        <v>1</v>
      </c>
      <c r="G27" s="218">
        <v>500000</v>
      </c>
      <c r="H27" s="166">
        <f t="shared" si="2"/>
        <v>500000</v>
      </c>
      <c r="I27" s="37"/>
    </row>
    <row r="28" spans="1:9" ht="15.95" customHeight="1" x14ac:dyDescent="0.3">
      <c r="A28" s="460"/>
      <c r="B28" s="207"/>
      <c r="C28" s="208" t="s">
        <v>158</v>
      </c>
      <c r="D28" s="208"/>
      <c r="E28" s="210" t="s">
        <v>140</v>
      </c>
      <c r="F28" s="250">
        <v>1</v>
      </c>
      <c r="G28" s="218">
        <v>1000000</v>
      </c>
      <c r="H28" s="166">
        <f t="shared" si="2"/>
        <v>1000000</v>
      </c>
      <c r="I28" s="37"/>
    </row>
    <row r="29" spans="1:9" ht="15.95" customHeight="1" x14ac:dyDescent="0.3">
      <c r="A29" s="460"/>
      <c r="B29" s="207"/>
      <c r="C29" s="208"/>
      <c r="D29" s="208"/>
      <c r="E29" s="210"/>
      <c r="F29" s="250"/>
      <c r="G29" s="218"/>
      <c r="H29" s="166">
        <f t="shared" si="2"/>
        <v>0</v>
      </c>
      <c r="I29" s="37"/>
    </row>
    <row r="30" spans="1:9" ht="15.95" customHeight="1" x14ac:dyDescent="0.3">
      <c r="A30" s="460"/>
      <c r="B30" s="207"/>
      <c r="C30" s="208"/>
      <c r="D30" s="208"/>
      <c r="E30" s="210"/>
      <c r="F30" s="250"/>
      <c r="G30" s="218"/>
      <c r="H30" s="166">
        <f t="shared" si="2"/>
        <v>0</v>
      </c>
      <c r="I30" s="37"/>
    </row>
    <row r="31" spans="1:9" ht="15.95" customHeight="1" x14ac:dyDescent="0.3">
      <c r="A31" s="460"/>
      <c r="B31" s="207"/>
      <c r="C31" s="208"/>
      <c r="D31" s="208"/>
      <c r="E31" s="210"/>
      <c r="F31" s="250"/>
      <c r="G31" s="218"/>
      <c r="H31" s="166">
        <f t="shared" si="2"/>
        <v>0</v>
      </c>
      <c r="I31" s="37"/>
    </row>
    <row r="32" spans="1:9" ht="15.95" customHeight="1" x14ac:dyDescent="0.3">
      <c r="A32" s="460"/>
      <c r="B32" s="207"/>
      <c r="C32" s="248"/>
      <c r="D32" s="208"/>
      <c r="E32" s="216"/>
      <c r="F32" s="250"/>
      <c r="G32" s="218"/>
      <c r="H32" s="166">
        <f t="shared" si="2"/>
        <v>0</v>
      </c>
      <c r="I32" s="37"/>
    </row>
    <row r="33" spans="1:9" ht="15.95" customHeight="1" x14ac:dyDescent="0.3">
      <c r="A33" s="460"/>
      <c r="B33" s="207"/>
      <c r="C33" s="208" t="s">
        <v>159</v>
      </c>
      <c r="D33" s="208"/>
      <c r="E33" s="216"/>
      <c r="F33" s="250"/>
      <c r="G33" s="218"/>
      <c r="H33" s="166">
        <f t="shared" si="2"/>
        <v>0</v>
      </c>
      <c r="I33" s="37"/>
    </row>
    <row r="34" spans="1:9" ht="15.95" customHeight="1" x14ac:dyDescent="0.3">
      <c r="A34" s="460"/>
      <c r="B34" s="207"/>
      <c r="C34" s="208" t="s">
        <v>160</v>
      </c>
      <c r="D34" s="208"/>
      <c r="E34" s="216" t="s">
        <v>68</v>
      </c>
      <c r="F34" s="250">
        <v>10</v>
      </c>
      <c r="G34" s="326">
        <v>350000</v>
      </c>
      <c r="H34" s="327">
        <f t="shared" si="2"/>
        <v>3500000</v>
      </c>
      <c r="I34" s="328" t="s">
        <v>161</v>
      </c>
    </row>
    <row r="35" spans="1:9" ht="15.95" customHeight="1" x14ac:dyDescent="0.3">
      <c r="A35" s="460"/>
      <c r="B35" s="207"/>
      <c r="C35" s="208" t="s">
        <v>162</v>
      </c>
      <c r="D35" s="208"/>
      <c r="E35" s="216" t="s">
        <v>68</v>
      </c>
      <c r="F35" s="250">
        <v>15</v>
      </c>
      <c r="G35" s="326">
        <v>350000</v>
      </c>
      <c r="H35" s="327">
        <f t="shared" si="2"/>
        <v>5250000</v>
      </c>
      <c r="I35" s="328" t="s">
        <v>163</v>
      </c>
    </row>
    <row r="36" spans="1:9" ht="15.95" customHeight="1" x14ac:dyDescent="0.3">
      <c r="A36" s="460"/>
      <c r="B36" s="207"/>
      <c r="C36" s="208" t="s">
        <v>164</v>
      </c>
      <c r="D36" s="208"/>
      <c r="E36" s="216" t="s">
        <v>68</v>
      </c>
      <c r="F36" s="250">
        <v>15</v>
      </c>
      <c r="G36" s="326">
        <v>400000</v>
      </c>
      <c r="H36" s="327">
        <f t="shared" si="2"/>
        <v>6000000</v>
      </c>
      <c r="I36" s="328" t="s">
        <v>161</v>
      </c>
    </row>
    <row r="37" spans="1:9" ht="15.95" customHeight="1" x14ac:dyDescent="0.3">
      <c r="A37" s="460"/>
      <c r="B37" s="207"/>
      <c r="C37" s="208"/>
      <c r="D37" s="208"/>
      <c r="E37" s="216"/>
      <c r="F37" s="250"/>
      <c r="G37" s="218"/>
      <c r="H37" s="166">
        <f t="shared" si="2"/>
        <v>0</v>
      </c>
      <c r="I37" s="37"/>
    </row>
    <row r="38" spans="1:9" ht="15.95" customHeight="1" x14ac:dyDescent="0.3">
      <c r="A38" s="460"/>
      <c r="B38" s="207"/>
      <c r="C38" s="208"/>
      <c r="D38" s="208"/>
      <c r="E38" s="216"/>
      <c r="F38" s="211"/>
      <c r="G38" s="218"/>
      <c r="H38" s="166">
        <f t="shared" si="2"/>
        <v>0</v>
      </c>
      <c r="I38" s="37"/>
    </row>
    <row r="39" spans="1:9" ht="15.95" customHeight="1" x14ac:dyDescent="0.3">
      <c r="A39" s="460"/>
      <c r="B39" s="207"/>
      <c r="C39" s="208"/>
      <c r="D39" s="208"/>
      <c r="E39" s="216"/>
      <c r="F39" s="211"/>
      <c r="G39" s="218"/>
      <c r="H39" s="166">
        <f t="shared" si="2"/>
        <v>0</v>
      </c>
      <c r="I39" s="37"/>
    </row>
    <row r="40" spans="1:9" ht="15.95" customHeight="1" x14ac:dyDescent="0.3">
      <c r="A40" s="460"/>
      <c r="B40" s="207"/>
      <c r="C40" s="208"/>
      <c r="D40" s="208"/>
      <c r="E40" s="216"/>
      <c r="F40" s="211"/>
      <c r="G40" s="218"/>
      <c r="H40" s="166">
        <f t="shared" si="2"/>
        <v>0</v>
      </c>
      <c r="I40" s="37"/>
    </row>
    <row r="41" spans="1:9" ht="15.95" customHeight="1" x14ac:dyDescent="0.3">
      <c r="A41" s="460"/>
      <c r="B41" s="207"/>
      <c r="C41" s="208"/>
      <c r="D41" s="208"/>
      <c r="E41" s="216"/>
      <c r="F41" s="211"/>
      <c r="G41" s="218"/>
      <c r="H41" s="166">
        <f t="shared" si="2"/>
        <v>0</v>
      </c>
      <c r="I41" s="37"/>
    </row>
    <row r="42" spans="1:9" ht="15.95" customHeight="1" x14ac:dyDescent="0.3">
      <c r="A42" s="460"/>
      <c r="B42" s="207"/>
      <c r="C42" s="208"/>
      <c r="D42" s="208"/>
      <c r="E42" s="216"/>
      <c r="F42" s="211"/>
      <c r="G42" s="218"/>
      <c r="H42" s="166">
        <f t="shared" si="2"/>
        <v>0</v>
      </c>
      <c r="I42" s="37"/>
    </row>
    <row r="43" spans="1:9" ht="15.95" customHeight="1" x14ac:dyDescent="0.3">
      <c r="A43" s="460"/>
      <c r="B43" s="207"/>
      <c r="C43" s="208"/>
      <c r="D43" s="208"/>
      <c r="E43" s="216"/>
      <c r="F43" s="211"/>
      <c r="G43" s="218"/>
      <c r="H43" s="166">
        <f t="shared" si="2"/>
        <v>0</v>
      </c>
      <c r="I43" s="37"/>
    </row>
    <row r="44" spans="1:9" ht="15.95" customHeight="1" x14ac:dyDescent="0.3">
      <c r="A44" s="460"/>
      <c r="B44" s="207"/>
      <c r="C44" s="208"/>
      <c r="D44" s="208"/>
      <c r="E44" s="216"/>
      <c r="F44" s="211"/>
      <c r="G44" s="218"/>
      <c r="H44" s="166">
        <f t="shared" si="2"/>
        <v>0</v>
      </c>
      <c r="I44" s="37"/>
    </row>
    <row r="45" spans="1:9" ht="15.95" customHeight="1" x14ac:dyDescent="0.3">
      <c r="A45" s="460"/>
      <c r="B45" s="207"/>
      <c r="C45" s="208"/>
      <c r="D45" s="208"/>
      <c r="E45" s="216"/>
      <c r="F45" s="211"/>
      <c r="G45" s="218"/>
      <c r="H45" s="166">
        <f t="shared" si="2"/>
        <v>0</v>
      </c>
      <c r="I45" s="37"/>
    </row>
    <row r="46" spans="1:9" ht="15.95" customHeight="1" x14ac:dyDescent="0.3">
      <c r="A46" s="460"/>
      <c r="B46" s="207"/>
      <c r="C46" s="208"/>
      <c r="D46" s="208"/>
      <c r="E46" s="216"/>
      <c r="F46" s="211"/>
      <c r="G46" s="218"/>
      <c r="H46" s="166">
        <f t="shared" si="2"/>
        <v>0</v>
      </c>
      <c r="I46" s="37"/>
    </row>
    <row r="47" spans="1:9" ht="15.95" customHeight="1" x14ac:dyDescent="0.3">
      <c r="A47" s="460"/>
      <c r="B47" s="207"/>
      <c r="C47" s="208"/>
      <c r="D47" s="208"/>
      <c r="E47" s="216"/>
      <c r="F47" s="211"/>
      <c r="G47" s="218"/>
      <c r="H47" s="166">
        <f t="shared" si="2"/>
        <v>0</v>
      </c>
      <c r="I47" s="37"/>
    </row>
    <row r="48" spans="1:9" ht="15.95" customHeight="1" x14ac:dyDescent="0.3">
      <c r="A48" s="460"/>
      <c r="B48" s="207"/>
      <c r="C48" s="208"/>
      <c r="D48" s="208"/>
      <c r="E48" s="216"/>
      <c r="F48" s="211"/>
      <c r="G48" s="218"/>
      <c r="H48" s="166">
        <f t="shared" si="2"/>
        <v>0</v>
      </c>
      <c r="I48" s="37"/>
    </row>
    <row r="49" spans="1:9" ht="15.95" customHeight="1" x14ac:dyDescent="0.3">
      <c r="A49" s="460"/>
      <c r="B49" s="207"/>
      <c r="C49" s="208"/>
      <c r="D49" s="208"/>
      <c r="E49" s="208"/>
      <c r="F49" s="208"/>
      <c r="G49" s="208"/>
      <c r="H49" s="166">
        <f>IF(F49=0,G49,G49*F49)</f>
        <v>0</v>
      </c>
      <c r="I49" s="37"/>
    </row>
    <row r="50" spans="1:9" ht="15.95" customHeight="1" x14ac:dyDescent="0.3">
      <c r="A50" s="460"/>
      <c r="B50" s="207"/>
      <c r="C50" s="208"/>
      <c r="D50" s="208"/>
      <c r="E50" s="216"/>
      <c r="F50" s="217"/>
      <c r="G50" s="218"/>
      <c r="H50" s="166">
        <f>IF(F50=0,G50,G50*F50)</f>
        <v>0</v>
      </c>
      <c r="I50" s="37"/>
    </row>
    <row r="51" spans="1:9" ht="15.95" customHeight="1" x14ac:dyDescent="0.3">
      <c r="A51" s="460"/>
      <c r="B51" s="207"/>
      <c r="C51" s="208"/>
      <c r="D51" s="208"/>
      <c r="E51" s="216"/>
      <c r="F51" s="217"/>
      <c r="G51" s="218"/>
      <c r="H51" s="166">
        <f>IF(F51=0,G51,G51*F51)</f>
        <v>0</v>
      </c>
      <c r="I51" s="37"/>
    </row>
    <row r="52" spans="1:9" ht="15.95" customHeight="1" x14ac:dyDescent="0.3">
      <c r="A52" s="460"/>
      <c r="B52" s="207"/>
      <c r="C52" s="219"/>
      <c r="D52" s="219"/>
      <c r="E52" s="220"/>
      <c r="F52" s="221"/>
      <c r="G52" s="222"/>
      <c r="H52" s="176">
        <f>IF(F52=0,G52,G52*F52)</f>
        <v>0</v>
      </c>
      <c r="I52" s="40"/>
    </row>
    <row r="53" spans="1:9" ht="15.95" customHeight="1" x14ac:dyDescent="0.3">
      <c r="A53" s="460"/>
      <c r="B53" s="223"/>
      <c r="C53" s="224"/>
      <c r="D53" s="225"/>
      <c r="E53" s="204"/>
      <c r="F53" s="226"/>
      <c r="G53" s="227"/>
      <c r="H53" s="48">
        <f>SUM(H22:H52)</f>
        <v>20100000</v>
      </c>
      <c r="I53" s="44"/>
    </row>
    <row r="54" spans="1:9" ht="15.95" customHeight="1" x14ac:dyDescent="0.3">
      <c r="A54" s="253"/>
      <c r="B54" s="254" t="s">
        <v>165</v>
      </c>
      <c r="C54" s="255"/>
      <c r="D54" s="44"/>
      <c r="E54" s="205"/>
      <c r="F54" s="256"/>
      <c r="G54" s="257"/>
      <c r="H54" s="48">
        <f>SUM(H53,H14,H21)</f>
        <v>22100000</v>
      </c>
      <c r="I54" s="44"/>
    </row>
    <row r="55" spans="1:9" ht="15.95" customHeight="1" x14ac:dyDescent="0.3">
      <c r="A55" s="461" t="s">
        <v>166</v>
      </c>
      <c r="B55" s="258" t="s">
        <v>67</v>
      </c>
      <c r="C55" s="255"/>
      <c r="D55" s="44"/>
      <c r="E55" s="259" t="s">
        <v>68</v>
      </c>
      <c r="F55" s="260">
        <v>0</v>
      </c>
      <c r="G55" s="260">
        <v>300000</v>
      </c>
      <c r="H55" s="261">
        <f t="shared" ref="H55:H61" si="3">F55*G55</f>
        <v>0</v>
      </c>
      <c r="I55" s="44"/>
    </row>
    <row r="56" spans="1:9" ht="15.95" customHeight="1" x14ac:dyDescent="0.3">
      <c r="A56" s="462"/>
      <c r="B56" s="262" t="s">
        <v>167</v>
      </c>
      <c r="C56" s="263"/>
      <c r="D56" s="234"/>
      <c r="E56" s="49" t="s">
        <v>168</v>
      </c>
      <c r="F56" s="232">
        <v>0</v>
      </c>
      <c r="G56" s="232">
        <v>350000</v>
      </c>
      <c r="H56" s="233">
        <f t="shared" si="3"/>
        <v>0</v>
      </c>
      <c r="I56" s="234"/>
    </row>
    <row r="57" spans="1:9" ht="15.95" customHeight="1" x14ac:dyDescent="0.3">
      <c r="A57" s="462"/>
      <c r="B57" s="264" t="s">
        <v>169</v>
      </c>
      <c r="C57" s="265"/>
      <c r="D57" s="37"/>
      <c r="E57" s="38" t="s">
        <v>168</v>
      </c>
      <c r="F57" s="215">
        <v>0</v>
      </c>
      <c r="G57" s="266">
        <v>300000</v>
      </c>
      <c r="H57" s="166">
        <f t="shared" si="3"/>
        <v>0</v>
      </c>
      <c r="I57" s="37"/>
    </row>
    <row r="58" spans="1:9" ht="15.95" customHeight="1" x14ac:dyDescent="0.3">
      <c r="A58" s="462"/>
      <c r="B58" s="264" t="s">
        <v>170</v>
      </c>
      <c r="C58" s="265"/>
      <c r="D58" s="37"/>
      <c r="E58" s="38" t="s">
        <v>168</v>
      </c>
      <c r="F58" s="266">
        <v>0</v>
      </c>
      <c r="G58" s="266">
        <v>300000</v>
      </c>
      <c r="H58" s="166">
        <f>F58*G58</f>
        <v>0</v>
      </c>
      <c r="I58" s="37"/>
    </row>
    <row r="59" spans="1:9" ht="15.95" customHeight="1" x14ac:dyDescent="0.3">
      <c r="A59" s="462"/>
      <c r="B59" s="264" t="s">
        <v>171</v>
      </c>
      <c r="C59" s="265"/>
      <c r="D59" s="37"/>
      <c r="E59" s="38" t="s">
        <v>168</v>
      </c>
      <c r="F59" s="266">
        <v>0</v>
      </c>
      <c r="G59" s="266">
        <v>300000</v>
      </c>
      <c r="H59" s="166">
        <f t="shared" si="3"/>
        <v>0</v>
      </c>
      <c r="I59" s="37"/>
    </row>
    <row r="60" spans="1:9" ht="15.95" customHeight="1" x14ac:dyDescent="0.3">
      <c r="A60" s="462"/>
      <c r="B60" s="264" t="s">
        <v>172</v>
      </c>
      <c r="C60" s="265"/>
      <c r="D60" s="37"/>
      <c r="E60" s="38" t="s">
        <v>168</v>
      </c>
      <c r="F60" s="267">
        <v>0</v>
      </c>
      <c r="G60" s="267">
        <v>350000</v>
      </c>
      <c r="H60" s="166">
        <f t="shared" si="3"/>
        <v>0</v>
      </c>
      <c r="I60" s="37"/>
    </row>
    <row r="61" spans="1:9" ht="15.95" customHeight="1" x14ac:dyDescent="0.3">
      <c r="A61" s="462"/>
      <c r="B61" s="268" t="s">
        <v>173</v>
      </c>
      <c r="C61" s="269"/>
      <c r="D61" s="40"/>
      <c r="E61" s="39" t="s">
        <v>168</v>
      </c>
      <c r="F61" s="222">
        <v>0</v>
      </c>
      <c r="G61" s="222">
        <v>350000</v>
      </c>
      <c r="H61" s="176">
        <f t="shared" si="3"/>
        <v>0</v>
      </c>
      <c r="I61" s="40"/>
    </row>
    <row r="62" spans="1:9" ht="15.95" customHeight="1" x14ac:dyDescent="0.3">
      <c r="A62" s="253"/>
      <c r="B62" s="270" t="s">
        <v>174</v>
      </c>
      <c r="C62" s="255"/>
      <c r="D62" s="44"/>
      <c r="E62" s="205"/>
      <c r="F62" s="226"/>
      <c r="G62" s="227"/>
      <c r="H62" s="48">
        <f>SUM(H55:H61)</f>
        <v>0</v>
      </c>
      <c r="I62" s="44"/>
    </row>
    <row r="63" spans="1:9" ht="15.95" customHeight="1" x14ac:dyDescent="0.3">
      <c r="A63" s="259"/>
      <c r="B63" s="270" t="s">
        <v>175</v>
      </c>
      <c r="C63" s="255"/>
      <c r="D63" s="44"/>
      <c r="E63" s="205"/>
      <c r="F63" s="206"/>
      <c r="G63" s="271" t="s">
        <v>176</v>
      </c>
      <c r="H63" s="257">
        <v>0</v>
      </c>
      <c r="I63" s="44"/>
    </row>
    <row r="64" spans="1:9" ht="15.95" customHeight="1" x14ac:dyDescent="0.3">
      <c r="A64" s="259"/>
      <c r="B64" s="270" t="s">
        <v>93</v>
      </c>
      <c r="C64" s="255"/>
      <c r="D64" s="44"/>
      <c r="E64" s="205"/>
      <c r="F64" s="206"/>
      <c r="G64" s="272"/>
      <c r="H64" s="273">
        <f>(H62+H54)*0.033</f>
        <v>729300</v>
      </c>
      <c r="I64" s="255"/>
    </row>
    <row r="65" spans="1:11" ht="15.95" customHeight="1" x14ac:dyDescent="0.3">
      <c r="A65" s="259"/>
      <c r="B65" s="270" t="s">
        <v>177</v>
      </c>
      <c r="C65" s="255"/>
      <c r="D65" s="44"/>
      <c r="E65" s="205"/>
      <c r="F65" s="206"/>
      <c r="G65" s="272"/>
      <c r="H65" s="273">
        <f>(H62+H54)*0.05</f>
        <v>1105000</v>
      </c>
      <c r="I65" s="255"/>
    </row>
    <row r="66" spans="1:11" ht="15.95" customHeight="1" x14ac:dyDescent="0.3">
      <c r="A66" s="259"/>
      <c r="B66" s="270" t="s">
        <v>178</v>
      </c>
      <c r="C66" s="255"/>
      <c r="D66" s="44"/>
      <c r="E66" s="205"/>
      <c r="F66" s="206"/>
      <c r="G66" s="48"/>
      <c r="H66" s="227">
        <f>H54+H62+H63+H64+H65</f>
        <v>23934300</v>
      </c>
      <c r="I66" s="44"/>
      <c r="K66" s="47"/>
    </row>
    <row r="67" spans="1:11" x14ac:dyDescent="0.3">
      <c r="A67" s="26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8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62"/>
  <sheetViews>
    <sheetView zoomScale="85" zoomScaleNormal="85" workbookViewId="0">
      <pane xSplit="2" ySplit="2" topLeftCell="C35" activePane="bottomRight" state="frozen"/>
      <selection activeCell="K8" sqref="K8"/>
      <selection pane="topRight" activeCell="K8" sqref="K8"/>
      <selection pane="bottomLeft" activeCell="K8" sqref="K8"/>
      <selection pane="bottomRight" activeCell="F47" sqref="F47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10" width="9" style="1"/>
    <col min="11" max="11" width="10" style="1" bestFit="1" customWidth="1"/>
    <col min="12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266" width="9" style="1"/>
    <col min="267" max="267" width="10" style="1" bestFit="1" customWidth="1"/>
    <col min="268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522" width="9" style="1"/>
    <col min="523" max="523" width="10" style="1" bestFit="1" customWidth="1"/>
    <col min="524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778" width="9" style="1"/>
    <col min="779" max="779" width="10" style="1" bestFit="1" customWidth="1"/>
    <col min="780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034" width="9" style="1"/>
    <col min="1035" max="1035" width="10" style="1" bestFit="1" customWidth="1"/>
    <col min="1036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290" width="9" style="1"/>
    <col min="1291" max="1291" width="10" style="1" bestFit="1" customWidth="1"/>
    <col min="1292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546" width="9" style="1"/>
    <col min="1547" max="1547" width="10" style="1" bestFit="1" customWidth="1"/>
    <col min="1548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1802" width="9" style="1"/>
    <col min="1803" max="1803" width="10" style="1" bestFit="1" customWidth="1"/>
    <col min="1804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058" width="9" style="1"/>
    <col min="2059" max="2059" width="10" style="1" bestFit="1" customWidth="1"/>
    <col min="2060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314" width="9" style="1"/>
    <col min="2315" max="2315" width="10" style="1" bestFit="1" customWidth="1"/>
    <col min="2316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570" width="9" style="1"/>
    <col min="2571" max="2571" width="10" style="1" bestFit="1" customWidth="1"/>
    <col min="2572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2826" width="9" style="1"/>
    <col min="2827" max="2827" width="10" style="1" bestFit="1" customWidth="1"/>
    <col min="2828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082" width="9" style="1"/>
    <col min="3083" max="3083" width="10" style="1" bestFit="1" customWidth="1"/>
    <col min="3084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338" width="9" style="1"/>
    <col min="3339" max="3339" width="10" style="1" bestFit="1" customWidth="1"/>
    <col min="3340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594" width="9" style="1"/>
    <col min="3595" max="3595" width="10" style="1" bestFit="1" customWidth="1"/>
    <col min="3596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3850" width="9" style="1"/>
    <col min="3851" max="3851" width="10" style="1" bestFit="1" customWidth="1"/>
    <col min="3852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106" width="9" style="1"/>
    <col min="4107" max="4107" width="10" style="1" bestFit="1" customWidth="1"/>
    <col min="4108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362" width="9" style="1"/>
    <col min="4363" max="4363" width="10" style="1" bestFit="1" customWidth="1"/>
    <col min="4364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618" width="9" style="1"/>
    <col min="4619" max="4619" width="10" style="1" bestFit="1" customWidth="1"/>
    <col min="4620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4874" width="9" style="1"/>
    <col min="4875" max="4875" width="10" style="1" bestFit="1" customWidth="1"/>
    <col min="4876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130" width="9" style="1"/>
    <col min="5131" max="5131" width="10" style="1" bestFit="1" customWidth="1"/>
    <col min="5132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386" width="9" style="1"/>
    <col min="5387" max="5387" width="10" style="1" bestFit="1" customWidth="1"/>
    <col min="5388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642" width="9" style="1"/>
    <col min="5643" max="5643" width="10" style="1" bestFit="1" customWidth="1"/>
    <col min="5644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5898" width="9" style="1"/>
    <col min="5899" max="5899" width="10" style="1" bestFit="1" customWidth="1"/>
    <col min="5900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154" width="9" style="1"/>
    <col min="6155" max="6155" width="10" style="1" bestFit="1" customWidth="1"/>
    <col min="6156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410" width="9" style="1"/>
    <col min="6411" max="6411" width="10" style="1" bestFit="1" customWidth="1"/>
    <col min="6412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666" width="9" style="1"/>
    <col min="6667" max="6667" width="10" style="1" bestFit="1" customWidth="1"/>
    <col min="6668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6922" width="9" style="1"/>
    <col min="6923" max="6923" width="10" style="1" bestFit="1" customWidth="1"/>
    <col min="6924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178" width="9" style="1"/>
    <col min="7179" max="7179" width="10" style="1" bestFit="1" customWidth="1"/>
    <col min="7180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434" width="9" style="1"/>
    <col min="7435" max="7435" width="10" style="1" bestFit="1" customWidth="1"/>
    <col min="7436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690" width="9" style="1"/>
    <col min="7691" max="7691" width="10" style="1" bestFit="1" customWidth="1"/>
    <col min="7692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7946" width="9" style="1"/>
    <col min="7947" max="7947" width="10" style="1" bestFit="1" customWidth="1"/>
    <col min="7948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202" width="9" style="1"/>
    <col min="8203" max="8203" width="10" style="1" bestFit="1" customWidth="1"/>
    <col min="8204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458" width="9" style="1"/>
    <col min="8459" max="8459" width="10" style="1" bestFit="1" customWidth="1"/>
    <col min="8460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714" width="9" style="1"/>
    <col min="8715" max="8715" width="10" style="1" bestFit="1" customWidth="1"/>
    <col min="8716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8970" width="9" style="1"/>
    <col min="8971" max="8971" width="10" style="1" bestFit="1" customWidth="1"/>
    <col min="8972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226" width="9" style="1"/>
    <col min="9227" max="9227" width="10" style="1" bestFit="1" customWidth="1"/>
    <col min="9228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482" width="9" style="1"/>
    <col min="9483" max="9483" width="10" style="1" bestFit="1" customWidth="1"/>
    <col min="9484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738" width="9" style="1"/>
    <col min="9739" max="9739" width="10" style="1" bestFit="1" customWidth="1"/>
    <col min="9740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9994" width="9" style="1"/>
    <col min="9995" max="9995" width="10" style="1" bestFit="1" customWidth="1"/>
    <col min="9996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250" width="9" style="1"/>
    <col min="10251" max="10251" width="10" style="1" bestFit="1" customWidth="1"/>
    <col min="10252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506" width="9" style="1"/>
    <col min="10507" max="10507" width="10" style="1" bestFit="1" customWidth="1"/>
    <col min="10508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0762" width="9" style="1"/>
    <col min="10763" max="10763" width="10" style="1" bestFit="1" customWidth="1"/>
    <col min="10764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018" width="9" style="1"/>
    <col min="11019" max="11019" width="10" style="1" bestFit="1" customWidth="1"/>
    <col min="11020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274" width="9" style="1"/>
    <col min="11275" max="11275" width="10" style="1" bestFit="1" customWidth="1"/>
    <col min="11276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530" width="9" style="1"/>
    <col min="11531" max="11531" width="10" style="1" bestFit="1" customWidth="1"/>
    <col min="11532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1786" width="9" style="1"/>
    <col min="11787" max="11787" width="10" style="1" bestFit="1" customWidth="1"/>
    <col min="11788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042" width="9" style="1"/>
    <col min="12043" max="12043" width="10" style="1" bestFit="1" customWidth="1"/>
    <col min="12044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298" width="9" style="1"/>
    <col min="12299" max="12299" width="10" style="1" bestFit="1" customWidth="1"/>
    <col min="12300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554" width="9" style="1"/>
    <col min="12555" max="12555" width="10" style="1" bestFit="1" customWidth="1"/>
    <col min="12556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2810" width="9" style="1"/>
    <col min="12811" max="12811" width="10" style="1" bestFit="1" customWidth="1"/>
    <col min="12812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066" width="9" style="1"/>
    <col min="13067" max="13067" width="10" style="1" bestFit="1" customWidth="1"/>
    <col min="13068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322" width="9" style="1"/>
    <col min="13323" max="13323" width="10" style="1" bestFit="1" customWidth="1"/>
    <col min="13324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578" width="9" style="1"/>
    <col min="13579" max="13579" width="10" style="1" bestFit="1" customWidth="1"/>
    <col min="13580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3834" width="9" style="1"/>
    <col min="13835" max="13835" width="10" style="1" bestFit="1" customWidth="1"/>
    <col min="13836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090" width="9" style="1"/>
    <col min="14091" max="14091" width="10" style="1" bestFit="1" customWidth="1"/>
    <col min="14092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346" width="9" style="1"/>
    <col min="14347" max="14347" width="10" style="1" bestFit="1" customWidth="1"/>
    <col min="14348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602" width="9" style="1"/>
    <col min="14603" max="14603" width="10" style="1" bestFit="1" customWidth="1"/>
    <col min="14604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4858" width="9" style="1"/>
    <col min="14859" max="14859" width="10" style="1" bestFit="1" customWidth="1"/>
    <col min="14860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114" width="9" style="1"/>
    <col min="15115" max="15115" width="10" style="1" bestFit="1" customWidth="1"/>
    <col min="15116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370" width="9" style="1"/>
    <col min="15371" max="15371" width="10" style="1" bestFit="1" customWidth="1"/>
    <col min="15372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626" width="9" style="1"/>
    <col min="15627" max="15627" width="10" style="1" bestFit="1" customWidth="1"/>
    <col min="15628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5882" width="9" style="1"/>
    <col min="15883" max="15883" width="10" style="1" bestFit="1" customWidth="1"/>
    <col min="15884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138" width="9" style="1"/>
    <col min="16139" max="16139" width="10" style="1" bestFit="1" customWidth="1"/>
    <col min="16140" max="16384" width="9" style="1"/>
  </cols>
  <sheetData>
    <row r="1" spans="1:11" ht="22.5" customHeight="1" x14ac:dyDescent="0.3">
      <c r="B1" s="201" t="s">
        <v>179</v>
      </c>
      <c r="C1" s="274" t="s">
        <v>180</v>
      </c>
      <c r="F1" s="275"/>
      <c r="I1" s="1" t="s">
        <v>128</v>
      </c>
      <c r="K1" s="276"/>
    </row>
    <row r="2" spans="1:11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11" ht="15.95" customHeight="1" x14ac:dyDescent="0.3">
      <c r="A3" s="459" t="s">
        <v>135</v>
      </c>
      <c r="B3" s="207" t="s">
        <v>136</v>
      </c>
      <c r="C3" s="277"/>
      <c r="D3" s="278"/>
      <c r="E3" s="279"/>
      <c r="F3" s="266"/>
      <c r="G3" s="266"/>
      <c r="H3" s="166">
        <f>IF(F3=0,G3,G3*F3)</f>
        <v>0</v>
      </c>
      <c r="I3" s="234"/>
    </row>
    <row r="4" spans="1:11" ht="15.95" customHeight="1" x14ac:dyDescent="0.3">
      <c r="A4" s="460"/>
      <c r="B4" s="207"/>
      <c r="C4" s="277"/>
      <c r="D4" s="278"/>
      <c r="E4" s="279"/>
      <c r="F4" s="266"/>
      <c r="G4" s="266"/>
      <c r="H4" s="166">
        <f>IF(F4=0,G4,G4*F4)</f>
        <v>0</v>
      </c>
      <c r="I4" s="37"/>
    </row>
    <row r="5" spans="1:11" ht="15.95" customHeight="1" x14ac:dyDescent="0.3">
      <c r="A5" s="460"/>
      <c r="B5" s="207"/>
      <c r="C5" s="277"/>
      <c r="D5" s="278"/>
      <c r="E5" s="279"/>
      <c r="F5" s="266"/>
      <c r="G5" s="266"/>
      <c r="H5" s="166">
        <f>IF(F5=0,G5,G5*F5)</f>
        <v>0</v>
      </c>
      <c r="I5" s="37"/>
    </row>
    <row r="6" spans="1:11" ht="15.95" customHeight="1" x14ac:dyDescent="0.3">
      <c r="A6" s="463"/>
      <c r="B6" s="207"/>
      <c r="C6" s="277"/>
      <c r="D6" s="278"/>
      <c r="E6" s="279"/>
      <c r="F6" s="266"/>
      <c r="G6" s="266"/>
      <c r="H6" s="166">
        <f>F6*G6</f>
        <v>0</v>
      </c>
      <c r="I6" s="37"/>
    </row>
    <row r="7" spans="1:11" ht="15.95" customHeight="1" x14ac:dyDescent="0.3">
      <c r="A7" s="463"/>
      <c r="B7" s="207"/>
      <c r="C7" s="277"/>
      <c r="D7" s="278"/>
      <c r="E7" s="279"/>
      <c r="F7" s="266"/>
      <c r="G7" s="266"/>
      <c r="H7" s="166">
        <f>F7*G7</f>
        <v>0</v>
      </c>
      <c r="I7" s="214"/>
    </row>
    <row r="8" spans="1:11" ht="15.95" customHeight="1" x14ac:dyDescent="0.3">
      <c r="A8" s="463"/>
      <c r="B8" s="207"/>
      <c r="C8" s="277"/>
      <c r="D8" s="278"/>
      <c r="E8" s="279"/>
      <c r="F8" s="266"/>
      <c r="G8" s="266"/>
      <c r="H8" s="166">
        <f>F8*G8</f>
        <v>0</v>
      </c>
      <c r="I8" s="214"/>
    </row>
    <row r="9" spans="1:11" ht="15.95" customHeight="1" x14ac:dyDescent="0.3">
      <c r="A9" s="463"/>
      <c r="B9" s="207"/>
      <c r="C9" s="277"/>
      <c r="D9" s="277"/>
      <c r="E9" s="279"/>
      <c r="F9" s="266"/>
      <c r="G9" s="266"/>
      <c r="H9" s="166">
        <f>F9*G9</f>
        <v>0</v>
      </c>
      <c r="I9" s="214"/>
    </row>
    <row r="10" spans="1:11" ht="15.95" customHeight="1" x14ac:dyDescent="0.3">
      <c r="A10" s="463"/>
      <c r="B10" s="207"/>
      <c r="C10" s="277"/>
      <c r="D10" s="279"/>
      <c r="E10" s="279"/>
      <c r="F10" s="266"/>
      <c r="G10" s="266"/>
      <c r="H10" s="166">
        <f>IF(F10=0,G10,G10*F10)</f>
        <v>0</v>
      </c>
      <c r="I10" s="214"/>
    </row>
    <row r="11" spans="1:11" ht="15.95" customHeight="1" x14ac:dyDescent="0.3">
      <c r="A11" s="463"/>
      <c r="B11" s="207"/>
      <c r="C11" s="277"/>
      <c r="D11" s="277"/>
      <c r="E11" s="279"/>
      <c r="F11" s="266"/>
      <c r="G11" s="266"/>
      <c r="H11" s="166">
        <f>F11*G11</f>
        <v>0</v>
      </c>
      <c r="I11" s="37"/>
    </row>
    <row r="12" spans="1:11" ht="15.95" customHeight="1" x14ac:dyDescent="0.3">
      <c r="A12" s="463"/>
      <c r="B12" s="207"/>
      <c r="C12" s="277"/>
      <c r="D12" s="277"/>
      <c r="E12" s="279"/>
      <c r="F12" s="280"/>
      <c r="G12" s="266"/>
      <c r="H12" s="166">
        <f>F12*G12</f>
        <v>0</v>
      </c>
      <c r="I12" s="37"/>
    </row>
    <row r="13" spans="1:11" ht="15.95" customHeight="1" x14ac:dyDescent="0.3">
      <c r="A13" s="463"/>
      <c r="B13" s="207"/>
      <c r="C13" s="208"/>
      <c r="D13" s="208"/>
      <c r="E13" s="208"/>
      <c r="F13" s="218"/>
      <c r="G13" s="218"/>
      <c r="H13" s="166">
        <f t="shared" ref="H13:H46" si="0">IF(F13=0,G13,G13*F13)</f>
        <v>0</v>
      </c>
      <c r="I13" s="37"/>
    </row>
    <row r="14" spans="1:11" ht="15.95" customHeight="1" x14ac:dyDescent="0.3">
      <c r="A14" s="463"/>
      <c r="B14" s="207"/>
      <c r="C14" s="219"/>
      <c r="D14" s="219"/>
      <c r="E14" s="281"/>
      <c r="F14" s="282"/>
      <c r="G14" s="282"/>
      <c r="H14" s="239">
        <f t="shared" si="0"/>
        <v>0</v>
      </c>
      <c r="I14" s="240"/>
    </row>
    <row r="15" spans="1:11" ht="15.95" customHeight="1" x14ac:dyDescent="0.3">
      <c r="A15" s="463"/>
      <c r="B15" s="223"/>
      <c r="C15" s="242"/>
      <c r="D15" s="242"/>
      <c r="E15" s="242"/>
      <c r="F15" s="245"/>
      <c r="G15" s="245"/>
      <c r="H15" s="246">
        <f>SUM(H3:H14)</f>
        <v>0</v>
      </c>
      <c r="I15" s="242"/>
    </row>
    <row r="16" spans="1:11" ht="15.95" customHeight="1" x14ac:dyDescent="0.3">
      <c r="A16" s="463"/>
      <c r="B16" s="207" t="s">
        <v>181</v>
      </c>
      <c r="C16" s="209"/>
      <c r="D16" s="209"/>
      <c r="E16" s="283"/>
      <c r="F16" s="284"/>
      <c r="G16" s="215"/>
      <c r="H16" s="213">
        <f t="shared" si="0"/>
        <v>0</v>
      </c>
      <c r="I16" s="214"/>
    </row>
    <row r="17" spans="1:9" ht="15.95" customHeight="1" x14ac:dyDescent="0.3">
      <c r="A17" s="463"/>
      <c r="B17" s="207" t="s">
        <v>182</v>
      </c>
      <c r="C17" s="208"/>
      <c r="D17" s="208"/>
      <c r="E17" s="208"/>
      <c r="F17" s="217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08"/>
      <c r="F18" s="217"/>
      <c r="G18" s="218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08"/>
      <c r="F19" s="217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19"/>
      <c r="D20" s="219"/>
      <c r="E20" s="220"/>
      <c r="F20" s="221"/>
      <c r="G20" s="222"/>
      <c r="H20" s="166">
        <f t="shared" si="0"/>
        <v>0</v>
      </c>
      <c r="I20" s="40"/>
    </row>
    <row r="21" spans="1:9" ht="15.95" customHeight="1" x14ac:dyDescent="0.3">
      <c r="A21" s="463"/>
      <c r="B21" s="223"/>
      <c r="C21" s="224"/>
      <c r="D21" s="225"/>
      <c r="E21" s="225"/>
      <c r="F21" s="285"/>
      <c r="G21" s="227"/>
      <c r="H21" s="48">
        <f>SUM(H16:H20)</f>
        <v>0</v>
      </c>
      <c r="I21" s="44"/>
    </row>
    <row r="22" spans="1:9" ht="15.95" customHeight="1" x14ac:dyDescent="0.3">
      <c r="A22" s="463"/>
      <c r="B22" s="247" t="s">
        <v>183</v>
      </c>
      <c r="C22" s="277"/>
      <c r="D22" s="277"/>
      <c r="E22" s="279"/>
      <c r="F22" s="266"/>
      <c r="G22" s="266"/>
      <c r="H22" s="166">
        <f>IF(F22=0,G22,G22*F22)</f>
        <v>0</v>
      </c>
      <c r="I22" s="34"/>
    </row>
    <row r="23" spans="1:9" ht="15.95" customHeight="1" x14ac:dyDescent="0.3">
      <c r="A23" s="463"/>
      <c r="B23" s="207" t="s">
        <v>184</v>
      </c>
      <c r="C23" s="277"/>
      <c r="D23" s="277"/>
      <c r="E23" s="279"/>
      <c r="F23" s="266"/>
      <c r="G23" s="266"/>
      <c r="H23" s="166">
        <f>IF(F23=0,G23,G23*F23)</f>
        <v>0</v>
      </c>
      <c r="I23" s="34"/>
    </row>
    <row r="24" spans="1:9" ht="15.95" customHeight="1" x14ac:dyDescent="0.3">
      <c r="A24" s="463"/>
      <c r="B24" s="207"/>
      <c r="C24" s="277"/>
      <c r="D24" s="277"/>
      <c r="E24" s="279"/>
      <c r="F24" s="266"/>
      <c r="G24" s="266"/>
      <c r="H24" s="166">
        <f>IF(F24=0,G24,G24*F24)</f>
        <v>0</v>
      </c>
      <c r="I24" s="34"/>
    </row>
    <row r="25" spans="1:9" ht="15.95" customHeight="1" x14ac:dyDescent="0.3">
      <c r="A25" s="463"/>
      <c r="B25" s="207"/>
      <c r="C25" s="277"/>
      <c r="D25" s="277"/>
      <c r="E25" s="279"/>
      <c r="F25" s="266"/>
      <c r="G25" s="266"/>
      <c r="H25" s="166">
        <f t="shared" si="0"/>
        <v>0</v>
      </c>
      <c r="I25" s="34"/>
    </row>
    <row r="26" spans="1:9" ht="15.95" customHeight="1" x14ac:dyDescent="0.3">
      <c r="A26" s="463"/>
      <c r="B26" s="207"/>
      <c r="C26" s="277"/>
      <c r="D26" s="278"/>
      <c r="E26" s="279"/>
      <c r="F26" s="266"/>
      <c r="G26" s="266"/>
      <c r="H26" s="166">
        <f t="shared" si="0"/>
        <v>0</v>
      </c>
      <c r="I26" s="34"/>
    </row>
    <row r="27" spans="1:9" ht="15.95" customHeight="1" x14ac:dyDescent="0.3">
      <c r="A27" s="463"/>
      <c r="B27" s="207"/>
      <c r="C27" s="277"/>
      <c r="D27" s="278"/>
      <c r="E27" s="279"/>
      <c r="F27" s="266"/>
      <c r="G27" s="266"/>
      <c r="H27" s="166">
        <f t="shared" si="0"/>
        <v>0</v>
      </c>
      <c r="I27" s="34"/>
    </row>
    <row r="28" spans="1:9" ht="15.95" customHeight="1" x14ac:dyDescent="0.3">
      <c r="A28" s="463"/>
      <c r="B28" s="207"/>
      <c r="C28" s="277"/>
      <c r="D28" s="278"/>
      <c r="E28" s="279"/>
      <c r="F28" s="266"/>
      <c r="G28" s="266"/>
      <c r="H28" s="166">
        <f t="shared" si="0"/>
        <v>0</v>
      </c>
      <c r="I28" s="34"/>
    </row>
    <row r="29" spans="1:9" ht="15.95" customHeight="1" x14ac:dyDescent="0.3">
      <c r="A29" s="463"/>
      <c r="B29" s="207"/>
      <c r="C29" s="277"/>
      <c r="D29" s="277"/>
      <c r="E29" s="279"/>
      <c r="F29" s="266"/>
      <c r="G29" s="266"/>
      <c r="H29" s="166">
        <f t="shared" si="0"/>
        <v>0</v>
      </c>
      <c r="I29" s="34"/>
    </row>
    <row r="30" spans="1:9" ht="15.95" customHeight="1" x14ac:dyDescent="0.3">
      <c r="A30" s="463"/>
      <c r="B30" s="207"/>
      <c r="C30" s="277"/>
      <c r="D30" s="277"/>
      <c r="E30" s="279"/>
      <c r="F30" s="266"/>
      <c r="G30" s="266"/>
      <c r="H30" s="166">
        <f t="shared" si="0"/>
        <v>0</v>
      </c>
      <c r="I30" s="34"/>
    </row>
    <row r="31" spans="1:9" ht="15.95" customHeight="1" x14ac:dyDescent="0.3">
      <c r="A31" s="463"/>
      <c r="B31" s="207"/>
      <c r="C31" s="277"/>
      <c r="D31" s="277"/>
      <c r="E31" s="279"/>
      <c r="F31" s="266"/>
      <c r="G31" s="266"/>
      <c r="H31" s="166">
        <f t="shared" si="0"/>
        <v>0</v>
      </c>
      <c r="I31" s="34"/>
    </row>
    <row r="32" spans="1:9" ht="15.95" customHeight="1" x14ac:dyDescent="0.3">
      <c r="A32" s="463"/>
      <c r="B32" s="207"/>
      <c r="C32" s="277"/>
      <c r="D32" s="277"/>
      <c r="E32" s="279"/>
      <c r="F32" s="266"/>
      <c r="G32" s="266"/>
      <c r="H32" s="166">
        <f t="shared" si="0"/>
        <v>0</v>
      </c>
      <c r="I32" s="34"/>
    </row>
    <row r="33" spans="1:9" ht="15.95" customHeight="1" x14ac:dyDescent="0.3">
      <c r="A33" s="463"/>
      <c r="B33" s="207"/>
      <c r="C33" s="277"/>
      <c r="D33" s="278"/>
      <c r="E33" s="279"/>
      <c r="F33" s="266"/>
      <c r="G33" s="266"/>
      <c r="H33" s="166">
        <f t="shared" si="0"/>
        <v>0</v>
      </c>
      <c r="I33" s="37"/>
    </row>
    <row r="34" spans="1:9" ht="15.95" customHeight="1" x14ac:dyDescent="0.3">
      <c r="A34" s="463"/>
      <c r="B34" s="207"/>
      <c r="C34" s="277"/>
      <c r="D34" s="278"/>
      <c r="E34" s="279"/>
      <c r="F34" s="266"/>
      <c r="G34" s="266"/>
      <c r="H34" s="166">
        <f t="shared" si="0"/>
        <v>0</v>
      </c>
      <c r="I34" s="37"/>
    </row>
    <row r="35" spans="1:9" ht="15.95" customHeight="1" x14ac:dyDescent="0.3">
      <c r="A35" s="463"/>
      <c r="B35" s="207"/>
      <c r="C35" s="277"/>
      <c r="D35" s="278"/>
      <c r="E35" s="279"/>
      <c r="F35" s="266"/>
      <c r="G35" s="266"/>
      <c r="H35" s="166">
        <f t="shared" si="0"/>
        <v>0</v>
      </c>
      <c r="I35" s="37"/>
    </row>
    <row r="36" spans="1:9" ht="15.95" customHeight="1" x14ac:dyDescent="0.3">
      <c r="A36" s="463"/>
      <c r="B36" s="207"/>
      <c r="C36" s="277"/>
      <c r="D36" s="277"/>
      <c r="E36" s="279"/>
      <c r="F36" s="266"/>
      <c r="G36" s="266"/>
      <c r="H36" s="166">
        <f>IF(F36=0,G36,G36*F36)</f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66"/>
      <c r="G37" s="266"/>
      <c r="H37" s="166">
        <f>IF(F37=0,G37,G37*F37)</f>
        <v>0</v>
      </c>
      <c r="I37" s="37"/>
    </row>
    <row r="38" spans="1:9" ht="15.95" customHeight="1" x14ac:dyDescent="0.3">
      <c r="A38" s="463"/>
      <c r="B38" s="207"/>
      <c r="C38" s="219"/>
      <c r="D38" s="219"/>
      <c r="E38" s="281"/>
      <c r="F38" s="221"/>
      <c r="G38" s="282"/>
      <c r="H38" s="239">
        <f t="shared" si="0"/>
        <v>0</v>
      </c>
      <c r="I38" s="240"/>
    </row>
    <row r="39" spans="1:9" ht="15.95" customHeight="1" x14ac:dyDescent="0.3">
      <c r="A39" s="463"/>
      <c r="B39" s="223"/>
      <c r="C39" s="255"/>
      <c r="D39" s="44"/>
      <c r="E39" s="44"/>
      <c r="F39" s="48"/>
      <c r="G39" s="48"/>
      <c r="H39" s="48">
        <f>SUM(H22:H38)</f>
        <v>0</v>
      </c>
      <c r="I39" s="44"/>
    </row>
    <row r="40" spans="1:9" ht="15.95" customHeight="1" x14ac:dyDescent="0.3">
      <c r="A40" s="463"/>
      <c r="B40" s="247" t="s">
        <v>61</v>
      </c>
      <c r="C40" s="208"/>
      <c r="D40" s="279"/>
      <c r="E40" s="279"/>
      <c r="F40" s="266"/>
      <c r="G40" s="218"/>
      <c r="H40" s="166">
        <f t="shared" si="0"/>
        <v>0</v>
      </c>
      <c r="I40" s="234"/>
    </row>
    <row r="41" spans="1:9" ht="15.95" customHeight="1" x14ac:dyDescent="0.3">
      <c r="A41" s="463"/>
      <c r="B41" s="207"/>
      <c r="C41" s="208"/>
      <c r="D41" s="279"/>
      <c r="E41" s="279"/>
      <c r="F41" s="266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08"/>
      <c r="D42" s="208"/>
      <c r="E42" s="216"/>
      <c r="F42" s="217"/>
      <c r="G42" s="2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208"/>
      <c r="D43" s="208"/>
      <c r="E43" s="216"/>
      <c r="F43" s="217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79"/>
      <c r="E44" s="279"/>
      <c r="F44" s="280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79"/>
      <c r="E45" s="279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19"/>
      <c r="D46" s="219"/>
      <c r="E46" s="219"/>
      <c r="F46" s="222"/>
      <c r="G46" s="222"/>
      <c r="H46" s="176">
        <f t="shared" si="0"/>
        <v>0</v>
      </c>
      <c r="I46" s="40"/>
    </row>
    <row r="47" spans="1:9" ht="15.95" customHeight="1" x14ac:dyDescent="0.3">
      <c r="A47" s="463"/>
      <c r="B47" s="223"/>
      <c r="C47" s="224"/>
      <c r="D47" s="225"/>
      <c r="E47" s="225"/>
      <c r="F47" s="227"/>
      <c r="G47" s="227"/>
      <c r="H47" s="48">
        <f>SUM(H40:H46)</f>
        <v>0</v>
      </c>
      <c r="I47" s="44"/>
    </row>
    <row r="48" spans="1:9" ht="15.95" customHeight="1" x14ac:dyDescent="0.3">
      <c r="A48" s="253"/>
      <c r="B48" s="254" t="s">
        <v>165</v>
      </c>
      <c r="C48" s="255"/>
      <c r="D48" s="44"/>
      <c r="E48" s="44"/>
      <c r="F48" s="257"/>
      <c r="G48" s="257"/>
      <c r="H48" s="48">
        <f>SUM(H47,H39,H21,H15)</f>
        <v>0</v>
      </c>
      <c r="I48" s="44"/>
    </row>
    <row r="49" spans="1:9" ht="15.95" customHeight="1" x14ac:dyDescent="0.3">
      <c r="A49" s="459" t="s">
        <v>166</v>
      </c>
      <c r="B49" s="258" t="s">
        <v>67</v>
      </c>
      <c r="C49" s="255"/>
      <c r="D49" s="44"/>
      <c r="E49" s="259" t="s">
        <v>68</v>
      </c>
      <c r="F49" s="286">
        <v>0</v>
      </c>
      <c r="G49" s="273">
        <v>300000</v>
      </c>
      <c r="H49" s="261">
        <f>F49*G49</f>
        <v>0</v>
      </c>
      <c r="I49" s="44"/>
    </row>
    <row r="50" spans="1:9" ht="15.95" customHeight="1" x14ac:dyDescent="0.3">
      <c r="A50" s="463"/>
      <c r="B50" s="262" t="s">
        <v>185</v>
      </c>
      <c r="C50" s="263"/>
      <c r="D50" s="234"/>
      <c r="E50" s="49" t="s">
        <v>168</v>
      </c>
      <c r="F50" s="287">
        <v>0</v>
      </c>
      <c r="G50" s="232">
        <v>300000</v>
      </c>
      <c r="H50" s="233">
        <f t="shared" ref="H50:H56" si="1">F50*G50</f>
        <v>0</v>
      </c>
      <c r="I50" s="234"/>
    </row>
    <row r="51" spans="1:9" ht="15.95" customHeight="1" x14ac:dyDescent="0.3">
      <c r="A51" s="463"/>
      <c r="B51" s="264" t="s">
        <v>186</v>
      </c>
      <c r="C51" s="265"/>
      <c r="D51" s="37"/>
      <c r="E51" s="38" t="s">
        <v>168</v>
      </c>
      <c r="F51" s="266">
        <v>0</v>
      </c>
      <c r="G51" s="266">
        <v>300000</v>
      </c>
      <c r="H51" s="166">
        <f t="shared" si="1"/>
        <v>0</v>
      </c>
      <c r="I51" s="37"/>
    </row>
    <row r="52" spans="1:9" ht="15.95" customHeight="1" x14ac:dyDescent="0.3">
      <c r="A52" s="463"/>
      <c r="B52" s="264" t="s">
        <v>187</v>
      </c>
      <c r="C52" s="265"/>
      <c r="D52" s="37"/>
      <c r="E52" s="38" t="s">
        <v>168</v>
      </c>
      <c r="F52" s="266">
        <v>0</v>
      </c>
      <c r="G52" s="266">
        <v>300000</v>
      </c>
      <c r="H52" s="166">
        <f t="shared" si="1"/>
        <v>0</v>
      </c>
      <c r="I52" s="37"/>
    </row>
    <row r="53" spans="1:9" ht="15.95" customHeight="1" x14ac:dyDescent="0.3">
      <c r="A53" s="463"/>
      <c r="B53" s="264" t="s">
        <v>188</v>
      </c>
      <c r="C53" s="265"/>
      <c r="D53" s="37"/>
      <c r="E53" s="38" t="s">
        <v>168</v>
      </c>
      <c r="F53" s="266">
        <v>0</v>
      </c>
      <c r="G53" s="266">
        <v>300000</v>
      </c>
      <c r="H53" s="166">
        <f t="shared" si="1"/>
        <v>0</v>
      </c>
      <c r="I53" s="37"/>
    </row>
    <row r="54" spans="1:9" ht="15.95" customHeight="1" x14ac:dyDescent="0.3">
      <c r="A54" s="463"/>
      <c r="B54" s="264" t="s">
        <v>189</v>
      </c>
      <c r="C54" s="265"/>
      <c r="D54" s="37"/>
      <c r="E54" s="38" t="s">
        <v>168</v>
      </c>
      <c r="F54" s="266">
        <v>0</v>
      </c>
      <c r="G54" s="266">
        <v>300000</v>
      </c>
      <c r="H54" s="166">
        <f t="shared" si="1"/>
        <v>0</v>
      </c>
      <c r="I54" s="37"/>
    </row>
    <row r="55" spans="1:9" ht="15.95" customHeight="1" x14ac:dyDescent="0.3">
      <c r="A55" s="463"/>
      <c r="B55" s="264" t="s">
        <v>190</v>
      </c>
      <c r="C55" s="265"/>
      <c r="D55" s="37"/>
      <c r="E55" s="38" t="s">
        <v>168</v>
      </c>
      <c r="F55" s="266">
        <v>0</v>
      </c>
      <c r="G55" s="266">
        <v>300000</v>
      </c>
      <c r="H55" s="166">
        <f t="shared" si="1"/>
        <v>0</v>
      </c>
      <c r="I55" s="37"/>
    </row>
    <row r="56" spans="1:9" ht="15.95" customHeight="1" x14ac:dyDescent="0.3">
      <c r="A56" s="463"/>
      <c r="B56" s="268" t="s">
        <v>191</v>
      </c>
      <c r="C56" s="269"/>
      <c r="D56" s="40"/>
      <c r="E56" s="39" t="s">
        <v>68</v>
      </c>
      <c r="F56" s="282">
        <v>0</v>
      </c>
      <c r="G56" s="222">
        <v>250000</v>
      </c>
      <c r="H56" s="176">
        <f t="shared" si="1"/>
        <v>0</v>
      </c>
      <c r="I56" s="40"/>
    </row>
    <row r="57" spans="1:9" ht="15.95" customHeight="1" x14ac:dyDescent="0.3">
      <c r="A57" s="253"/>
      <c r="B57" s="270" t="s">
        <v>174</v>
      </c>
      <c r="C57" s="255"/>
      <c r="D57" s="44"/>
      <c r="E57" s="44"/>
      <c r="F57" s="48"/>
      <c r="G57" s="48"/>
      <c r="H57" s="48">
        <f>SUM(H49:H56)</f>
        <v>0</v>
      </c>
      <c r="I57" s="225"/>
    </row>
    <row r="58" spans="1:9" ht="15.95" customHeight="1" x14ac:dyDescent="0.3">
      <c r="A58" s="259"/>
      <c r="B58" s="270" t="s">
        <v>192</v>
      </c>
      <c r="C58" s="255"/>
      <c r="D58" s="44"/>
      <c r="E58" s="205"/>
      <c r="F58" s="48"/>
      <c r="G58" s="48"/>
      <c r="H58" s="257">
        <f>'단위공사별(집계)'!L7+'단위공사별(집계)'!I7</f>
        <v>0</v>
      </c>
      <c r="I58" s="44"/>
    </row>
    <row r="59" spans="1:9" ht="15.95" customHeight="1" x14ac:dyDescent="0.3">
      <c r="A59" s="259"/>
      <c r="B59" s="270" t="s">
        <v>93</v>
      </c>
      <c r="C59" s="255"/>
      <c r="D59" s="44"/>
      <c r="E59" s="205"/>
      <c r="F59" s="48"/>
      <c r="G59" s="272"/>
      <c r="H59" s="273">
        <f>(H57+H48)*0.03</f>
        <v>0</v>
      </c>
      <c r="I59" s="255"/>
    </row>
    <row r="60" spans="1:9" ht="15.95" customHeight="1" x14ac:dyDescent="0.3">
      <c r="A60" s="259"/>
      <c r="B60" s="270" t="s">
        <v>177</v>
      </c>
      <c r="C60" s="255"/>
      <c r="D60" s="44"/>
      <c r="E60" s="205"/>
      <c r="F60" s="48"/>
      <c r="G60" s="272"/>
      <c r="H60" s="273">
        <f>(H57+H48)*0.05</f>
        <v>0</v>
      </c>
      <c r="I60" s="255"/>
    </row>
    <row r="61" spans="1:9" ht="15.95" customHeight="1" x14ac:dyDescent="0.3">
      <c r="A61" s="259"/>
      <c r="B61" s="270" t="s">
        <v>178</v>
      </c>
      <c r="C61" s="255"/>
      <c r="D61" s="44"/>
      <c r="E61" s="44"/>
      <c r="F61" s="48"/>
      <c r="G61" s="48"/>
      <c r="H61" s="227">
        <f>H48+H57+H58+H59+H60</f>
        <v>0</v>
      </c>
      <c r="I61" s="44"/>
    </row>
    <row r="62" spans="1:9" x14ac:dyDescent="0.3">
      <c r="A62" s="26"/>
    </row>
  </sheetData>
  <mergeCells count="3">
    <mergeCell ref="A2:B2"/>
    <mergeCell ref="A3:A47"/>
    <mergeCell ref="A49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I66"/>
  <sheetViews>
    <sheetView zoomScale="85" workbookViewId="0">
      <pane xSplit="2" ySplit="2" topLeftCell="C206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193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/>
      <c r="D2" s="125"/>
      <c r="E2" s="125"/>
      <c r="F2" s="256"/>
      <c r="G2" s="256"/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88"/>
      <c r="G3" s="266"/>
      <c r="H3" s="166">
        <f>IF(F3=0,G3,G3*F3)</f>
        <v>0</v>
      </c>
      <c r="I3" s="289"/>
    </row>
    <row r="4" spans="1:9" ht="15.95" customHeight="1" x14ac:dyDescent="0.3">
      <c r="A4" s="463"/>
      <c r="B4" s="207"/>
      <c r="C4" s="277"/>
      <c r="D4" s="277"/>
      <c r="E4" s="279"/>
      <c r="F4" s="288"/>
      <c r="G4" s="266"/>
      <c r="H4" s="166">
        <f>F4*G4</f>
        <v>0</v>
      </c>
      <c r="I4" s="37"/>
    </row>
    <row r="5" spans="1:9" ht="15.95" customHeight="1" x14ac:dyDescent="0.3">
      <c r="A5" s="463"/>
      <c r="B5" s="207"/>
      <c r="C5" s="277"/>
      <c r="D5" s="277"/>
      <c r="E5" s="290"/>
      <c r="F5" s="291"/>
      <c r="G5" s="292"/>
      <c r="H5" s="166">
        <f>F5*G5</f>
        <v>0</v>
      </c>
      <c r="I5" s="37"/>
    </row>
    <row r="6" spans="1:9" ht="15.95" customHeight="1" x14ac:dyDescent="0.3">
      <c r="A6" s="463"/>
      <c r="B6" s="207"/>
      <c r="C6" s="277"/>
      <c r="D6" s="277"/>
      <c r="E6" s="290"/>
      <c r="F6" s="291"/>
      <c r="G6" s="292"/>
      <c r="H6" s="166">
        <f>F6*G6</f>
        <v>0</v>
      </c>
      <c r="I6" s="37"/>
    </row>
    <row r="7" spans="1:9" ht="15.95" customHeight="1" x14ac:dyDescent="0.3">
      <c r="A7" s="463"/>
      <c r="B7" s="207"/>
      <c r="C7" s="293"/>
      <c r="D7" s="277"/>
      <c r="E7" s="279"/>
      <c r="F7" s="288"/>
      <c r="G7" s="266"/>
      <c r="H7" s="166">
        <f>F7*G7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88"/>
      <c r="G8" s="266"/>
      <c r="H8" s="166">
        <f>F8*G8</f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88"/>
      <c r="G9" s="266"/>
      <c r="H9" s="166">
        <f t="shared" ref="H9:H21" si="0">IF(F9=0,G9,G9*F9)</f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88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88"/>
      <c r="G11" s="266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77"/>
      <c r="D12" s="277"/>
      <c r="E12" s="290"/>
      <c r="F12" s="291"/>
      <c r="G12" s="292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93"/>
      <c r="D13" s="277"/>
      <c r="E13" s="279"/>
      <c r="F13" s="288"/>
      <c r="G13" s="266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77"/>
      <c r="D14" s="277"/>
      <c r="E14" s="290"/>
      <c r="F14" s="291"/>
      <c r="G14" s="292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93"/>
      <c r="D15" s="277"/>
      <c r="E15" s="279"/>
      <c r="F15" s="288"/>
      <c r="G15" s="266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93"/>
      <c r="D16" s="277"/>
      <c r="E16" s="279"/>
      <c r="F16" s="288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77"/>
      <c r="D17" s="277"/>
      <c r="E17" s="279"/>
      <c r="F17" s="288"/>
      <c r="G17" s="266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79"/>
      <c r="F18" s="288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16"/>
      <c r="F19" s="288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16"/>
      <c r="F20" s="28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19"/>
      <c r="D21" s="293"/>
      <c r="E21" s="294"/>
      <c r="F21" s="295"/>
      <c r="G21" s="267"/>
      <c r="H21" s="239">
        <f t="shared" si="0"/>
        <v>0</v>
      </c>
      <c r="I21" s="240"/>
    </row>
    <row r="22" spans="1:9" ht="15.95" customHeight="1" x14ac:dyDescent="0.3">
      <c r="A22" s="463"/>
      <c r="B22" s="223"/>
      <c r="C22" s="242"/>
      <c r="D22" s="242"/>
      <c r="E22" s="243"/>
      <c r="F22" s="296"/>
      <c r="G22" s="245"/>
      <c r="H22" s="246">
        <f>SUM(H3:H21)</f>
        <v>0</v>
      </c>
      <c r="I22" s="242"/>
    </row>
    <row r="23" spans="1:9" ht="15.95" customHeight="1" x14ac:dyDescent="0.3">
      <c r="A23" s="463"/>
      <c r="B23" s="207" t="s">
        <v>181</v>
      </c>
      <c r="C23" s="209"/>
      <c r="D23" s="209"/>
      <c r="E23" s="283"/>
      <c r="F23" s="291"/>
      <c r="G23" s="215"/>
      <c r="H23" s="213">
        <f>IF(F23=0,G23,G23*F23)</f>
        <v>0</v>
      </c>
      <c r="I23" s="214"/>
    </row>
    <row r="24" spans="1:9" ht="15.95" customHeight="1" x14ac:dyDescent="0.3">
      <c r="A24" s="463"/>
      <c r="B24" s="207" t="s">
        <v>182</v>
      </c>
      <c r="C24" s="208"/>
      <c r="D24" s="208"/>
      <c r="E24" s="216"/>
      <c r="F24" s="288"/>
      <c r="G24" s="218"/>
      <c r="H24" s="166">
        <f>IF(F24=0,G24,G24*F24)</f>
        <v>0</v>
      </c>
      <c r="I24" s="37"/>
    </row>
    <row r="25" spans="1:9" ht="15.95" customHeight="1" x14ac:dyDescent="0.3">
      <c r="A25" s="463"/>
      <c r="B25" s="207"/>
      <c r="C25" s="208"/>
      <c r="D25" s="208"/>
      <c r="E25" s="216"/>
      <c r="F25" s="288"/>
      <c r="G25" s="218"/>
      <c r="H25" s="166">
        <f>IF(F25=0,G25,G25*F25)</f>
        <v>0</v>
      </c>
      <c r="I25" s="37"/>
    </row>
    <row r="26" spans="1:9" ht="15.95" customHeight="1" x14ac:dyDescent="0.3">
      <c r="A26" s="463"/>
      <c r="B26" s="207"/>
      <c r="C26" s="208"/>
      <c r="D26" s="208"/>
      <c r="E26" s="216"/>
      <c r="F26" s="288"/>
      <c r="G26" s="218"/>
      <c r="H26" s="166">
        <f>IF(F26=0,G26,G26*F26)</f>
        <v>0</v>
      </c>
      <c r="I26" s="37"/>
    </row>
    <row r="27" spans="1:9" ht="15.95" customHeight="1" x14ac:dyDescent="0.3">
      <c r="A27" s="463"/>
      <c r="B27" s="207"/>
      <c r="C27" s="219"/>
      <c r="D27" s="219"/>
      <c r="E27" s="220"/>
      <c r="F27" s="297"/>
      <c r="G27" s="222"/>
      <c r="H27" s="166">
        <f>IF(F27=0,G27,G27*F27)</f>
        <v>0</v>
      </c>
      <c r="I27" s="40"/>
    </row>
    <row r="28" spans="1:9" ht="15.95" customHeight="1" x14ac:dyDescent="0.3">
      <c r="A28" s="463"/>
      <c r="B28" s="223"/>
      <c r="C28" s="224"/>
      <c r="D28" s="225"/>
      <c r="E28" s="204"/>
      <c r="F28" s="298"/>
      <c r="G28" s="227"/>
      <c r="H28" s="48">
        <f>SUM(H23:H27)</f>
        <v>0</v>
      </c>
      <c r="I28" s="44"/>
    </row>
    <row r="29" spans="1:9" ht="15.95" customHeight="1" x14ac:dyDescent="0.3">
      <c r="A29" s="463"/>
      <c r="B29" s="247" t="s">
        <v>183</v>
      </c>
      <c r="C29" s="277"/>
      <c r="D29" s="299"/>
      <c r="E29" s="210"/>
      <c r="F29" s="300"/>
      <c r="G29" s="212"/>
      <c r="H29" s="233">
        <f t="shared" ref="H29:H39" si="1">IF(F29=0,G29,G29*F29)</f>
        <v>0</v>
      </c>
      <c r="I29" s="37"/>
    </row>
    <row r="30" spans="1:9" ht="15.95" customHeight="1" x14ac:dyDescent="0.3">
      <c r="A30" s="463"/>
      <c r="B30" s="207" t="s">
        <v>184</v>
      </c>
      <c r="C30" s="277"/>
      <c r="D30" s="278"/>
      <c r="E30" s="279"/>
      <c r="F30" s="301"/>
      <c r="G30" s="302"/>
      <c r="H30" s="166">
        <f t="shared" si="1"/>
        <v>0</v>
      </c>
      <c r="I30" s="37"/>
    </row>
    <row r="31" spans="1:9" ht="15.95" customHeight="1" x14ac:dyDescent="0.3">
      <c r="A31" s="463"/>
      <c r="B31" s="207"/>
      <c r="C31" s="248"/>
      <c r="D31" s="277"/>
      <c r="E31" s="210"/>
      <c r="F31" s="300"/>
      <c r="G31" s="212"/>
      <c r="H31" s="166">
        <f t="shared" si="1"/>
        <v>0</v>
      </c>
      <c r="I31" s="37"/>
    </row>
    <row r="32" spans="1:9" ht="15.95" customHeight="1" x14ac:dyDescent="0.3">
      <c r="A32" s="463"/>
      <c r="B32" s="207"/>
      <c r="C32" s="248"/>
      <c r="D32" s="277"/>
      <c r="E32" s="210"/>
      <c r="F32" s="300"/>
      <c r="G32" s="212"/>
      <c r="H32" s="166">
        <f t="shared" si="1"/>
        <v>0</v>
      </c>
      <c r="I32" s="37"/>
    </row>
    <row r="33" spans="1:9" ht="15.95" customHeight="1" x14ac:dyDescent="0.3">
      <c r="A33" s="463"/>
      <c r="B33" s="207"/>
      <c r="C33" s="293"/>
      <c r="D33" s="277"/>
      <c r="E33" s="279"/>
      <c r="F33" s="301"/>
      <c r="G33" s="302"/>
      <c r="H33" s="166">
        <f t="shared" si="1"/>
        <v>0</v>
      </c>
      <c r="I33" s="37"/>
    </row>
    <row r="34" spans="1:9" ht="15.95" customHeight="1" x14ac:dyDescent="0.3">
      <c r="A34" s="463"/>
      <c r="B34" s="207"/>
      <c r="C34" s="277"/>
      <c r="D34" s="277"/>
      <c r="E34" s="279"/>
      <c r="F34" s="301"/>
      <c r="G34" s="302"/>
      <c r="H34" s="166">
        <f t="shared" si="1"/>
        <v>0</v>
      </c>
      <c r="I34" s="37"/>
    </row>
    <row r="35" spans="1:9" ht="15.95" customHeight="1" x14ac:dyDescent="0.3">
      <c r="A35" s="463"/>
      <c r="B35" s="207"/>
      <c r="C35" s="277"/>
      <c r="D35" s="277"/>
      <c r="E35" s="279"/>
      <c r="F35" s="301"/>
      <c r="G35" s="302"/>
      <c r="H35" s="166">
        <f t="shared" si="1"/>
        <v>0</v>
      </c>
      <c r="I35" s="37"/>
    </row>
    <row r="36" spans="1:9" ht="15.95" customHeight="1" x14ac:dyDescent="0.3">
      <c r="A36" s="463"/>
      <c r="B36" s="207"/>
      <c r="C36" s="277"/>
      <c r="D36" s="278"/>
      <c r="E36" s="279"/>
      <c r="F36" s="301"/>
      <c r="G36" s="302"/>
      <c r="H36" s="166">
        <f t="shared" si="1"/>
        <v>0</v>
      </c>
      <c r="I36" s="37"/>
    </row>
    <row r="37" spans="1:9" ht="15.95" customHeight="1" x14ac:dyDescent="0.3">
      <c r="A37" s="463"/>
      <c r="B37" s="207"/>
      <c r="C37" s="277"/>
      <c r="D37" s="278"/>
      <c r="E37" s="279"/>
      <c r="F37" s="301"/>
      <c r="G37" s="302"/>
      <c r="H37" s="166">
        <f t="shared" si="1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301"/>
      <c r="G38" s="302"/>
      <c r="H38" s="166">
        <f t="shared" si="1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301"/>
      <c r="G39" s="302"/>
      <c r="H39" s="166">
        <f t="shared" si="1"/>
        <v>0</v>
      </c>
      <c r="I39" s="37"/>
    </row>
    <row r="40" spans="1:9" ht="15.95" customHeight="1" x14ac:dyDescent="0.3">
      <c r="A40" s="463"/>
      <c r="B40" s="207"/>
      <c r="C40" s="293"/>
      <c r="D40" s="293"/>
      <c r="E40" s="279"/>
      <c r="F40" s="303"/>
      <c r="G40" s="304"/>
      <c r="H40" s="166">
        <f>IF(F40=0,G40,G40*F40)</f>
        <v>0</v>
      </c>
      <c r="I40" s="37"/>
    </row>
    <row r="41" spans="1:9" ht="15.95" customHeight="1" x14ac:dyDescent="0.3">
      <c r="A41" s="463"/>
      <c r="B41" s="207"/>
      <c r="C41" s="293"/>
      <c r="D41" s="293"/>
      <c r="E41" s="279"/>
      <c r="F41" s="303"/>
      <c r="G41" s="304"/>
      <c r="H41" s="166">
        <f>IF(F41=0,G41,G41*F41)</f>
        <v>0</v>
      </c>
      <c r="I41" s="37"/>
    </row>
    <row r="42" spans="1:9" ht="15.95" customHeight="1" x14ac:dyDescent="0.3">
      <c r="A42" s="463"/>
      <c r="B42" s="207"/>
      <c r="C42" s="219"/>
      <c r="D42" s="219"/>
      <c r="E42" s="220"/>
      <c r="F42" s="305"/>
      <c r="G42" s="306"/>
      <c r="H42" s="176">
        <f>IF(F42=0,G42,G42*F42)</f>
        <v>0</v>
      </c>
      <c r="I42" s="40"/>
    </row>
    <row r="43" spans="1:9" ht="15.95" customHeight="1" x14ac:dyDescent="0.3">
      <c r="A43" s="463"/>
      <c r="B43" s="223"/>
      <c r="C43" s="224"/>
      <c r="D43" s="225"/>
      <c r="E43" s="204"/>
      <c r="F43" s="307"/>
      <c r="G43" s="227"/>
      <c r="H43" s="48">
        <f>SUM(H29:H42)</f>
        <v>0</v>
      </c>
      <c r="I43" s="44"/>
    </row>
    <row r="44" spans="1:9" ht="15.95" customHeight="1" x14ac:dyDescent="0.3">
      <c r="A44" s="463"/>
      <c r="B44" s="247" t="s">
        <v>61</v>
      </c>
      <c r="C44" s="208"/>
      <c r="D44" s="279"/>
      <c r="E44" s="279"/>
      <c r="F44" s="288"/>
      <c r="G44" s="218"/>
      <c r="H44" s="166">
        <f t="shared" ref="H44:H50" si="2">IF(F44=0,G44,G44*F44)</f>
        <v>0</v>
      </c>
      <c r="I44" s="234"/>
    </row>
    <row r="45" spans="1:9" ht="15.95" customHeight="1" x14ac:dyDescent="0.3">
      <c r="A45" s="463"/>
      <c r="B45" s="207"/>
      <c r="C45" s="208"/>
      <c r="D45" s="279"/>
      <c r="E45" s="279"/>
      <c r="F45" s="288"/>
      <c r="G45" s="218"/>
      <c r="H45" s="166">
        <f t="shared" si="2"/>
        <v>0</v>
      </c>
      <c r="I45" s="37"/>
    </row>
    <row r="46" spans="1:9" ht="15.95" customHeight="1" x14ac:dyDescent="0.3">
      <c r="A46" s="463"/>
      <c r="B46" s="207"/>
      <c r="C46" s="208"/>
      <c r="D46" s="208"/>
      <c r="E46" s="216"/>
      <c r="F46" s="288"/>
      <c r="G46" s="218"/>
      <c r="H46" s="166">
        <f t="shared" si="2"/>
        <v>0</v>
      </c>
      <c r="I46" s="37"/>
    </row>
    <row r="47" spans="1:9" ht="15.95" customHeight="1" x14ac:dyDescent="0.3">
      <c r="A47" s="463"/>
      <c r="B47" s="207"/>
      <c r="C47" s="208"/>
      <c r="D47" s="208"/>
      <c r="E47" s="216"/>
      <c r="F47" s="288"/>
      <c r="G47" s="218"/>
      <c r="H47" s="166">
        <f t="shared" si="2"/>
        <v>0</v>
      </c>
      <c r="I47" s="37"/>
    </row>
    <row r="48" spans="1:9" ht="15.95" customHeight="1" x14ac:dyDescent="0.3">
      <c r="A48" s="463"/>
      <c r="B48" s="207"/>
      <c r="C48" s="208"/>
      <c r="D48" s="279"/>
      <c r="E48" s="279"/>
      <c r="F48" s="288"/>
      <c r="G48" s="218"/>
      <c r="H48" s="166">
        <f t="shared" si="2"/>
        <v>0</v>
      </c>
      <c r="I48" s="37"/>
    </row>
    <row r="49" spans="1:9" ht="15.95" customHeight="1" x14ac:dyDescent="0.3">
      <c r="A49" s="463"/>
      <c r="B49" s="207"/>
      <c r="C49" s="208"/>
      <c r="D49" s="208"/>
      <c r="E49" s="216"/>
      <c r="F49" s="288"/>
      <c r="G49" s="218"/>
      <c r="H49" s="166">
        <f t="shared" si="2"/>
        <v>0</v>
      </c>
      <c r="I49" s="37"/>
    </row>
    <row r="50" spans="1:9" ht="15.95" customHeight="1" x14ac:dyDescent="0.3">
      <c r="A50" s="463"/>
      <c r="B50" s="207"/>
      <c r="C50" s="219"/>
      <c r="D50" s="219"/>
      <c r="E50" s="220"/>
      <c r="F50" s="297"/>
      <c r="G50" s="222"/>
      <c r="H50" s="176">
        <f t="shared" si="2"/>
        <v>0</v>
      </c>
      <c r="I50" s="40"/>
    </row>
    <row r="51" spans="1:9" ht="15.95" customHeight="1" x14ac:dyDescent="0.3">
      <c r="A51" s="463"/>
      <c r="B51" s="223"/>
      <c r="C51" s="224"/>
      <c r="D51" s="225"/>
      <c r="E51" s="204"/>
      <c r="F51" s="227"/>
      <c r="G51" s="227"/>
      <c r="H51" s="48">
        <f>SUM(H44:H50)</f>
        <v>0</v>
      </c>
      <c r="I51" s="44"/>
    </row>
    <row r="52" spans="1:9" ht="15.95" customHeight="1" x14ac:dyDescent="0.3">
      <c r="A52" s="253"/>
      <c r="B52" s="308" t="s">
        <v>165</v>
      </c>
      <c r="C52" s="309"/>
      <c r="D52" s="289"/>
      <c r="E52" s="125"/>
      <c r="F52" s="257"/>
      <c r="G52" s="257"/>
      <c r="H52" s="257">
        <f>SUM(H51,H43,H28,H22)</f>
        <v>0</v>
      </c>
      <c r="I52" s="289"/>
    </row>
    <row r="53" spans="1:9" ht="15.95" customHeight="1" x14ac:dyDescent="0.3">
      <c r="A53" s="459" t="s">
        <v>166</v>
      </c>
      <c r="B53" s="262" t="s">
        <v>67</v>
      </c>
      <c r="C53" s="263"/>
      <c r="D53" s="234"/>
      <c r="E53" s="49" t="s">
        <v>68</v>
      </c>
      <c r="F53" s="287">
        <v>0</v>
      </c>
      <c r="G53" s="287">
        <v>300000</v>
      </c>
      <c r="H53" s="233">
        <f>F53*G53</f>
        <v>0</v>
      </c>
      <c r="I53" s="234"/>
    </row>
    <row r="54" spans="1:9" ht="15.95" customHeight="1" x14ac:dyDescent="0.3">
      <c r="A54" s="463"/>
      <c r="B54" s="264" t="s">
        <v>185</v>
      </c>
      <c r="C54" s="265"/>
      <c r="D54" s="37"/>
      <c r="E54" s="38" t="s">
        <v>168</v>
      </c>
      <c r="F54" s="291">
        <v>0</v>
      </c>
      <c r="G54" s="292">
        <v>300000</v>
      </c>
      <c r="H54" s="166">
        <f t="shared" ref="H54:H60" si="3">F54*G54</f>
        <v>0</v>
      </c>
      <c r="I54" s="37"/>
    </row>
    <row r="55" spans="1:9" ht="15.95" customHeight="1" x14ac:dyDescent="0.3">
      <c r="A55" s="463"/>
      <c r="B55" s="264" t="s">
        <v>186</v>
      </c>
      <c r="C55" s="265"/>
      <c r="D55" s="37"/>
      <c r="E55" s="38" t="s">
        <v>168</v>
      </c>
      <c r="F55" s="288">
        <v>0</v>
      </c>
      <c r="G55" s="266">
        <v>300000</v>
      </c>
      <c r="H55" s="166">
        <f t="shared" si="3"/>
        <v>0</v>
      </c>
      <c r="I55" s="37"/>
    </row>
    <row r="56" spans="1:9" ht="15.95" customHeight="1" x14ac:dyDescent="0.3">
      <c r="A56" s="463"/>
      <c r="B56" s="264" t="s">
        <v>187</v>
      </c>
      <c r="C56" s="265"/>
      <c r="D56" s="37"/>
      <c r="E56" s="38" t="s">
        <v>168</v>
      </c>
      <c r="F56" s="288">
        <v>0</v>
      </c>
      <c r="G56" s="266">
        <v>300000</v>
      </c>
      <c r="H56" s="166">
        <f t="shared" si="3"/>
        <v>0</v>
      </c>
      <c r="I56" s="37"/>
    </row>
    <row r="57" spans="1:9" ht="15.95" customHeight="1" x14ac:dyDescent="0.3">
      <c r="A57" s="463"/>
      <c r="B57" s="264" t="s">
        <v>188</v>
      </c>
      <c r="C57" s="265"/>
      <c r="D57" s="37"/>
      <c r="E57" s="38" t="s">
        <v>168</v>
      </c>
      <c r="F57" s="288">
        <v>0</v>
      </c>
      <c r="G57" s="266">
        <v>300000</v>
      </c>
      <c r="H57" s="166">
        <f t="shared" si="3"/>
        <v>0</v>
      </c>
      <c r="I57" s="37"/>
    </row>
    <row r="58" spans="1:9" ht="15.95" customHeight="1" x14ac:dyDescent="0.3">
      <c r="A58" s="463"/>
      <c r="B58" s="264" t="s">
        <v>189</v>
      </c>
      <c r="C58" s="265"/>
      <c r="D58" s="37"/>
      <c r="E58" s="38" t="s">
        <v>168</v>
      </c>
      <c r="F58" s="288">
        <v>0</v>
      </c>
      <c r="G58" s="266">
        <v>300000</v>
      </c>
      <c r="H58" s="166">
        <f t="shared" si="3"/>
        <v>0</v>
      </c>
      <c r="I58" s="37"/>
    </row>
    <row r="59" spans="1:9" ht="15.95" customHeight="1" x14ac:dyDescent="0.3">
      <c r="A59" s="463"/>
      <c r="B59" s="264" t="s">
        <v>194</v>
      </c>
      <c r="C59" s="265"/>
      <c r="D59" s="37"/>
      <c r="E59" s="38" t="s">
        <v>168</v>
      </c>
      <c r="F59" s="288">
        <v>0</v>
      </c>
      <c r="G59" s="266">
        <v>300000</v>
      </c>
      <c r="H59" s="166">
        <f t="shared" si="3"/>
        <v>0</v>
      </c>
      <c r="I59" s="37"/>
    </row>
    <row r="60" spans="1:9" ht="15.95" customHeight="1" x14ac:dyDescent="0.3">
      <c r="A60" s="463"/>
      <c r="B60" s="268" t="s">
        <v>195</v>
      </c>
      <c r="C60" s="310"/>
      <c r="D60" s="240"/>
      <c r="E60" s="311" t="s">
        <v>168</v>
      </c>
      <c r="F60" s="297">
        <v>0</v>
      </c>
      <c r="G60" s="282">
        <v>250000</v>
      </c>
      <c r="H60" s="239">
        <f t="shared" si="3"/>
        <v>0</v>
      </c>
      <c r="I60" s="240"/>
    </row>
    <row r="61" spans="1:9" ht="15.95" customHeight="1" x14ac:dyDescent="0.3">
      <c r="A61" s="253"/>
      <c r="B61" s="270" t="s">
        <v>174</v>
      </c>
      <c r="C61" s="255"/>
      <c r="D61" s="44"/>
      <c r="E61" s="44"/>
      <c r="F61" s="48"/>
      <c r="G61" s="48"/>
      <c r="H61" s="48">
        <f>SUM(H53:H60)</f>
        <v>0</v>
      </c>
      <c r="I61" s="44"/>
    </row>
    <row r="62" spans="1:9" ht="15.95" customHeight="1" x14ac:dyDescent="0.3">
      <c r="A62" s="259"/>
      <c r="B62" s="270" t="s">
        <v>192</v>
      </c>
      <c r="C62" s="255"/>
      <c r="D62" s="44"/>
      <c r="E62" s="44"/>
      <c r="F62" s="48"/>
      <c r="G62" s="48"/>
      <c r="H62" s="257">
        <f>'단위공사별(집계)'!L8+'단위공사별(집계)'!I8</f>
        <v>0</v>
      </c>
      <c r="I62" s="44"/>
    </row>
    <row r="63" spans="1:9" ht="15.95" customHeight="1" x14ac:dyDescent="0.3">
      <c r="A63" s="259"/>
      <c r="B63" s="270" t="s">
        <v>93</v>
      </c>
      <c r="C63" s="255"/>
      <c r="D63" s="44"/>
      <c r="E63" s="44"/>
      <c r="F63" s="48"/>
      <c r="G63" s="272"/>
      <c r="H63" s="273">
        <f>(H61+H52)*0.03</f>
        <v>0</v>
      </c>
      <c r="I63" s="255"/>
    </row>
    <row r="64" spans="1:9" ht="15.95" customHeight="1" x14ac:dyDescent="0.3">
      <c r="A64" s="259"/>
      <c r="B64" s="270" t="s">
        <v>177</v>
      </c>
      <c r="C64" s="255"/>
      <c r="D64" s="44"/>
      <c r="E64" s="44"/>
      <c r="F64" s="48"/>
      <c r="G64" s="272"/>
      <c r="H64" s="273">
        <f>(H61+H52)*0.05</f>
        <v>0</v>
      </c>
      <c r="I64" s="255"/>
    </row>
    <row r="65" spans="1:9" ht="15.95" customHeight="1" x14ac:dyDescent="0.3">
      <c r="A65" s="259"/>
      <c r="B65" s="270" t="s">
        <v>178</v>
      </c>
      <c r="C65" s="255"/>
      <c r="D65" s="44"/>
      <c r="E65" s="44"/>
      <c r="F65" s="48"/>
      <c r="G65" s="48"/>
      <c r="H65" s="227">
        <f>H52+H61+H62+H63+H64</f>
        <v>0</v>
      </c>
      <c r="I65" s="44"/>
    </row>
    <row r="66" spans="1:9" x14ac:dyDescent="0.3">
      <c r="A66" s="26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I47"/>
  <sheetViews>
    <sheetView zoomScale="85" workbookViewId="0">
      <pane xSplit="2" ySplit="2" topLeftCell="C102" activePane="bottomRight" state="frozen"/>
      <selection activeCell="K8" sqref="K8"/>
      <selection pane="topRight" activeCell="K8" sqref="K8"/>
      <selection pane="bottomLeft" activeCell="K8" sqref="K8"/>
      <selection pane="bottomRight" activeCell="O33" sqref="O33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196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166">
        <f>IF(F3=0,G3,G3*F3)</f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31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08"/>
      <c r="D7" s="208"/>
      <c r="E7" s="216"/>
      <c r="F7" s="218"/>
      <c r="G7" s="218"/>
      <c r="H7" s="166">
        <f t="shared" si="0"/>
        <v>0</v>
      </c>
      <c r="I7" s="37"/>
    </row>
    <row r="8" spans="1:9" ht="15.95" customHeight="1" x14ac:dyDescent="0.3">
      <c r="A8" s="463"/>
      <c r="B8" s="207"/>
      <c r="C8" s="208"/>
      <c r="D8" s="208"/>
      <c r="E8" s="216"/>
      <c r="F8" s="218"/>
      <c r="G8" s="218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08"/>
      <c r="E9" s="216"/>
      <c r="F9" s="218"/>
      <c r="G9" s="218"/>
      <c r="H9" s="166">
        <f t="shared" si="0"/>
        <v>0</v>
      </c>
      <c r="I9" s="37"/>
    </row>
    <row r="10" spans="1:9" ht="15.95" customHeight="1" x14ac:dyDescent="0.3">
      <c r="A10" s="463"/>
      <c r="B10" s="207"/>
      <c r="C10" s="219"/>
      <c r="D10" s="293"/>
      <c r="E10" s="294"/>
      <c r="F10" s="238"/>
      <c r="G10" s="267"/>
      <c r="H10" s="239">
        <f t="shared" si="0"/>
        <v>0</v>
      </c>
      <c r="I10" s="240"/>
    </row>
    <row r="11" spans="1:9" ht="15.95" customHeight="1" x14ac:dyDescent="0.3">
      <c r="A11" s="463"/>
      <c r="B11" s="223"/>
      <c r="C11" s="242"/>
      <c r="D11" s="242"/>
      <c r="E11" s="243"/>
      <c r="F11" s="245"/>
      <c r="G11" s="245"/>
      <c r="H11" s="246">
        <f>SUM(H3:H10)</f>
        <v>0</v>
      </c>
      <c r="I11" s="242"/>
    </row>
    <row r="12" spans="1:9" ht="15.95" customHeight="1" x14ac:dyDescent="0.3">
      <c r="A12" s="463"/>
      <c r="B12" s="207" t="s">
        <v>181</v>
      </c>
      <c r="C12" s="209"/>
      <c r="D12" s="209"/>
      <c r="E12" s="283"/>
      <c r="F12" s="284"/>
      <c r="G12" s="215"/>
      <c r="H12" s="213">
        <f t="shared" si="0"/>
        <v>0</v>
      </c>
      <c r="I12" s="214"/>
    </row>
    <row r="13" spans="1:9" ht="15.95" customHeight="1" x14ac:dyDescent="0.3">
      <c r="A13" s="463"/>
      <c r="B13" s="207" t="s">
        <v>182</v>
      </c>
      <c r="C13" s="208"/>
      <c r="D13" s="208"/>
      <c r="E13" s="216"/>
      <c r="F13" s="21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08"/>
      <c r="D14" s="208"/>
      <c r="E14" s="216"/>
      <c r="F14" s="218"/>
      <c r="G14" s="218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08"/>
      <c r="D15" s="208"/>
      <c r="E15" s="216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19"/>
      <c r="D16" s="219"/>
      <c r="E16" s="220"/>
      <c r="F16" s="222"/>
      <c r="G16" s="222"/>
      <c r="H16" s="166">
        <f t="shared" si="0"/>
        <v>0</v>
      </c>
      <c r="I16" s="40"/>
    </row>
    <row r="17" spans="1:9" ht="15.95" customHeight="1" x14ac:dyDescent="0.3">
      <c r="A17" s="463"/>
      <c r="B17" s="223"/>
      <c r="C17" s="224"/>
      <c r="D17" s="225"/>
      <c r="E17" s="204"/>
      <c r="F17" s="285"/>
      <c r="G17" s="227"/>
      <c r="H17" s="48">
        <f>SUM(H12:H16)</f>
        <v>0</v>
      </c>
      <c r="I17" s="44"/>
    </row>
    <row r="18" spans="1:9" ht="15.95" customHeight="1" x14ac:dyDescent="0.3">
      <c r="A18" s="463"/>
      <c r="B18" s="247" t="s">
        <v>183</v>
      </c>
      <c r="C18" s="277"/>
      <c r="D18" s="277"/>
      <c r="E18" s="279"/>
      <c r="F18" s="266"/>
      <c r="G18" s="266"/>
      <c r="H18" s="166">
        <f>IF(F18=0,G18,G18*F18)</f>
        <v>0</v>
      </c>
      <c r="I18" s="37"/>
    </row>
    <row r="19" spans="1:9" ht="15.95" customHeight="1" x14ac:dyDescent="0.3">
      <c r="A19" s="463"/>
      <c r="B19" s="207" t="s">
        <v>184</v>
      </c>
      <c r="C19" s="208"/>
      <c r="D19" s="208"/>
      <c r="E19" s="279"/>
      <c r="F19" s="218"/>
      <c r="G19" s="218"/>
      <c r="H19" s="166">
        <f>IF(F19=0,G19,G19*F19)</f>
        <v>0</v>
      </c>
      <c r="I19" s="37"/>
    </row>
    <row r="20" spans="1:9" ht="15.95" customHeight="1" x14ac:dyDescent="0.3">
      <c r="A20" s="463"/>
      <c r="B20" s="207"/>
      <c r="C20" s="277"/>
      <c r="D20" s="277"/>
      <c r="E20" s="279"/>
      <c r="F20" s="266"/>
      <c r="G20" s="266"/>
      <c r="H20" s="166">
        <f>IF(F20=0,G20,G20*F20)</f>
        <v>0</v>
      </c>
      <c r="I20" s="37"/>
    </row>
    <row r="21" spans="1:9" ht="15.95" customHeight="1" x14ac:dyDescent="0.3">
      <c r="A21" s="463"/>
      <c r="B21" s="207"/>
      <c r="C21" s="208"/>
      <c r="D21" s="208"/>
      <c r="E21" s="279"/>
      <c r="F21" s="266"/>
      <c r="G21" s="266"/>
      <c r="H21" s="166">
        <f>IF(F21=0,G21,G21*F21)</f>
        <v>0</v>
      </c>
      <c r="I21" s="37"/>
    </row>
    <row r="22" spans="1:9" ht="15.95" customHeight="1" x14ac:dyDescent="0.3">
      <c r="A22" s="463"/>
      <c r="B22" s="207"/>
      <c r="C22" s="236"/>
      <c r="D22" s="236"/>
      <c r="E22" s="216"/>
      <c r="F22" s="238"/>
      <c r="G22" s="238"/>
      <c r="H22" s="166">
        <f t="shared" si="0"/>
        <v>0</v>
      </c>
      <c r="I22" s="37"/>
    </row>
    <row r="23" spans="1:9" ht="15.95" customHeight="1" x14ac:dyDescent="0.3">
      <c r="A23" s="463"/>
      <c r="B23" s="207"/>
      <c r="C23" s="219"/>
      <c r="D23" s="219"/>
      <c r="E23" s="220"/>
      <c r="F23" s="221"/>
      <c r="G23" s="222"/>
      <c r="H23" s="176">
        <f t="shared" si="0"/>
        <v>0</v>
      </c>
      <c r="I23" s="40"/>
    </row>
    <row r="24" spans="1:9" ht="15.95" customHeight="1" x14ac:dyDescent="0.3">
      <c r="A24" s="463"/>
      <c r="B24" s="223"/>
      <c r="C24" s="224"/>
      <c r="D24" s="225"/>
      <c r="E24" s="204"/>
      <c r="F24" s="227"/>
      <c r="G24" s="227"/>
      <c r="H24" s="48">
        <f>SUM(H18:H23)</f>
        <v>0</v>
      </c>
      <c r="I24" s="44"/>
    </row>
    <row r="25" spans="1:9" ht="15.95" customHeight="1" x14ac:dyDescent="0.3">
      <c r="A25" s="463"/>
      <c r="B25" s="247" t="s">
        <v>61</v>
      </c>
      <c r="C25" s="208"/>
      <c r="D25" s="279"/>
      <c r="E25" s="279"/>
      <c r="F25" s="266"/>
      <c r="G25" s="218"/>
      <c r="H25" s="233">
        <f t="shared" si="0"/>
        <v>0</v>
      </c>
      <c r="I25" s="234"/>
    </row>
    <row r="26" spans="1:9" ht="15.95" customHeight="1" x14ac:dyDescent="0.3">
      <c r="A26" s="463"/>
      <c r="B26" s="207"/>
      <c r="C26" s="208"/>
      <c r="D26" s="279"/>
      <c r="E26" s="279"/>
      <c r="F26" s="266"/>
      <c r="G26" s="266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08"/>
      <c r="D27" s="208"/>
      <c r="E27" s="216"/>
      <c r="F27" s="266"/>
      <c r="G27" s="218"/>
      <c r="H27" s="166">
        <f t="shared" si="0"/>
        <v>0</v>
      </c>
      <c r="I27" s="37"/>
    </row>
    <row r="28" spans="1:9" ht="15.95" customHeight="1" x14ac:dyDescent="0.3">
      <c r="A28" s="463"/>
      <c r="B28" s="207"/>
      <c r="C28" s="208"/>
      <c r="D28" s="208"/>
      <c r="E28" s="216"/>
      <c r="F28" s="266"/>
      <c r="G28" s="218"/>
      <c r="H28" s="166">
        <f t="shared" si="0"/>
        <v>0</v>
      </c>
      <c r="I28" s="37"/>
    </row>
    <row r="29" spans="1:9" ht="15.95" customHeight="1" x14ac:dyDescent="0.3">
      <c r="A29" s="463"/>
      <c r="B29" s="207"/>
      <c r="C29" s="208"/>
      <c r="D29" s="279"/>
      <c r="E29" s="279"/>
      <c r="F29" s="266"/>
      <c r="G29" s="218"/>
      <c r="H29" s="166">
        <f t="shared" si="0"/>
        <v>0</v>
      </c>
      <c r="I29" s="37"/>
    </row>
    <row r="30" spans="1:9" ht="15.95" customHeight="1" x14ac:dyDescent="0.3">
      <c r="A30" s="463"/>
      <c r="B30" s="207"/>
      <c r="C30" s="208"/>
      <c r="D30" s="208"/>
      <c r="E30" s="216"/>
      <c r="F30" s="266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19"/>
      <c r="D31" s="219"/>
      <c r="E31" s="220"/>
      <c r="F31" s="282"/>
      <c r="G31" s="222"/>
      <c r="H31" s="176">
        <f t="shared" si="0"/>
        <v>0</v>
      </c>
      <c r="I31" s="40"/>
    </row>
    <row r="32" spans="1:9" ht="15.95" customHeight="1" x14ac:dyDescent="0.3">
      <c r="A32" s="463"/>
      <c r="B32" s="223"/>
      <c r="C32" s="224"/>
      <c r="D32" s="225"/>
      <c r="E32" s="225"/>
      <c r="F32" s="227"/>
      <c r="G32" s="227"/>
      <c r="H32" s="48">
        <f>SUM(H25:H31)</f>
        <v>0</v>
      </c>
      <c r="I32" s="44"/>
    </row>
    <row r="33" spans="1:9" ht="15.95" customHeight="1" x14ac:dyDescent="0.3">
      <c r="A33" s="253"/>
      <c r="B33" s="254" t="s">
        <v>165</v>
      </c>
      <c r="C33" s="255"/>
      <c r="D33" s="44"/>
      <c r="E33" s="44"/>
      <c r="F33" s="257"/>
      <c r="G33" s="257"/>
      <c r="H33" s="48">
        <f>SUM(H32,H24,H17,H11)</f>
        <v>0</v>
      </c>
      <c r="I33" s="44"/>
    </row>
    <row r="34" spans="1:9" ht="15.95" customHeight="1" x14ac:dyDescent="0.3">
      <c r="A34" s="459" t="s">
        <v>166</v>
      </c>
      <c r="B34" s="258" t="s">
        <v>67</v>
      </c>
      <c r="C34" s="255"/>
      <c r="D34" s="44"/>
      <c r="E34" s="259" t="s">
        <v>68</v>
      </c>
      <c r="F34" s="286">
        <v>0</v>
      </c>
      <c r="G34" s="286">
        <v>300000</v>
      </c>
      <c r="H34" s="261">
        <f>F34*G34</f>
        <v>0</v>
      </c>
      <c r="I34" s="44"/>
    </row>
    <row r="35" spans="1:9" ht="15.95" customHeight="1" x14ac:dyDescent="0.3">
      <c r="A35" s="463"/>
      <c r="B35" s="262" t="s">
        <v>185</v>
      </c>
      <c r="C35" s="263"/>
      <c r="D35" s="234"/>
      <c r="E35" s="49" t="s">
        <v>168</v>
      </c>
      <c r="F35" s="312">
        <v>0</v>
      </c>
      <c r="G35" s="287">
        <v>300000</v>
      </c>
      <c r="H35" s="233">
        <f t="shared" ref="H35:H41" si="1">F35*G35</f>
        <v>0</v>
      </c>
      <c r="I35" s="234"/>
    </row>
    <row r="36" spans="1:9" ht="15.95" customHeight="1" x14ac:dyDescent="0.3">
      <c r="A36" s="463"/>
      <c r="B36" s="264" t="s">
        <v>186</v>
      </c>
      <c r="C36" s="265"/>
      <c r="D36" s="37"/>
      <c r="E36" s="38" t="s">
        <v>168</v>
      </c>
      <c r="F36" s="288">
        <v>0</v>
      </c>
      <c r="G36" s="266">
        <v>300000</v>
      </c>
      <c r="H36" s="166">
        <f t="shared" si="1"/>
        <v>0</v>
      </c>
      <c r="I36" s="37"/>
    </row>
    <row r="37" spans="1:9" ht="15.95" customHeight="1" x14ac:dyDescent="0.3">
      <c r="A37" s="463"/>
      <c r="B37" s="264" t="s">
        <v>187</v>
      </c>
      <c r="C37" s="265"/>
      <c r="D37" s="37"/>
      <c r="E37" s="38" t="s">
        <v>168</v>
      </c>
      <c r="F37" s="288">
        <v>0</v>
      </c>
      <c r="G37" s="266">
        <v>300000</v>
      </c>
      <c r="H37" s="166">
        <f t="shared" si="1"/>
        <v>0</v>
      </c>
      <c r="I37" s="37"/>
    </row>
    <row r="38" spans="1:9" ht="15.95" customHeight="1" x14ac:dyDescent="0.3">
      <c r="A38" s="463"/>
      <c r="B38" s="264" t="s">
        <v>188</v>
      </c>
      <c r="C38" s="265"/>
      <c r="D38" s="37"/>
      <c r="E38" s="38" t="s">
        <v>168</v>
      </c>
      <c r="F38" s="288">
        <v>0</v>
      </c>
      <c r="G38" s="266">
        <v>300000</v>
      </c>
      <c r="H38" s="166">
        <f t="shared" si="1"/>
        <v>0</v>
      </c>
      <c r="I38" s="37"/>
    </row>
    <row r="39" spans="1:9" ht="15.95" customHeight="1" x14ac:dyDescent="0.3">
      <c r="A39" s="463"/>
      <c r="B39" s="264" t="s">
        <v>189</v>
      </c>
      <c r="C39" s="265"/>
      <c r="D39" s="37"/>
      <c r="E39" s="38" t="s">
        <v>168</v>
      </c>
      <c r="F39" s="288">
        <v>0</v>
      </c>
      <c r="G39" s="266">
        <v>300000</v>
      </c>
      <c r="H39" s="166">
        <f t="shared" si="1"/>
        <v>0</v>
      </c>
      <c r="I39" s="37"/>
    </row>
    <row r="40" spans="1:9" ht="15.95" customHeight="1" x14ac:dyDescent="0.3">
      <c r="A40" s="463"/>
      <c r="B40" s="264" t="s">
        <v>190</v>
      </c>
      <c r="C40" s="265"/>
      <c r="D40" s="37"/>
      <c r="E40" s="38" t="s">
        <v>168</v>
      </c>
      <c r="F40" s="288">
        <v>0</v>
      </c>
      <c r="G40" s="266">
        <v>300000</v>
      </c>
      <c r="H40" s="166">
        <f t="shared" si="1"/>
        <v>0</v>
      </c>
      <c r="I40" s="37"/>
    </row>
    <row r="41" spans="1:9" ht="15.95" customHeight="1" x14ac:dyDescent="0.3">
      <c r="A41" s="463"/>
      <c r="B41" s="268" t="s">
        <v>191</v>
      </c>
      <c r="C41" s="269"/>
      <c r="D41" s="40"/>
      <c r="E41" s="39" t="s">
        <v>168</v>
      </c>
      <c r="F41" s="297">
        <v>0</v>
      </c>
      <c r="G41" s="282">
        <v>250000</v>
      </c>
      <c r="H41" s="176">
        <f t="shared" si="1"/>
        <v>0</v>
      </c>
      <c r="I41" s="40"/>
    </row>
    <row r="42" spans="1:9" ht="15.95" customHeight="1" x14ac:dyDescent="0.3">
      <c r="A42" s="253"/>
      <c r="B42" s="270" t="s">
        <v>174</v>
      </c>
      <c r="C42" s="255"/>
      <c r="D42" s="44"/>
      <c r="E42" s="44"/>
      <c r="F42" s="227"/>
      <c r="G42" s="227"/>
      <c r="H42" s="227">
        <f>SUM(H34:H41)</f>
        <v>0</v>
      </c>
      <c r="I42" s="225"/>
    </row>
    <row r="43" spans="1:9" ht="15.95" customHeight="1" x14ac:dyDescent="0.3">
      <c r="A43" s="259"/>
      <c r="B43" s="270" t="s">
        <v>192</v>
      </c>
      <c r="C43" s="255"/>
      <c r="D43" s="44"/>
      <c r="E43" s="44"/>
      <c r="F43" s="48"/>
      <c r="G43" s="48"/>
      <c r="H43" s="257">
        <f>'단위공사별(집계)'!L9+'단위공사별(집계)'!I9</f>
        <v>0</v>
      </c>
      <c r="I43" s="44"/>
    </row>
    <row r="44" spans="1:9" ht="15.95" customHeight="1" x14ac:dyDescent="0.3">
      <c r="A44" s="259"/>
      <c r="B44" s="270" t="s">
        <v>93</v>
      </c>
      <c r="C44" s="255"/>
      <c r="D44" s="44"/>
      <c r="E44" s="44"/>
      <c r="F44" s="48"/>
      <c r="G44" s="272"/>
      <c r="H44" s="273">
        <f>(H42+H33)*0.033</f>
        <v>0</v>
      </c>
      <c r="I44" s="255"/>
    </row>
    <row r="45" spans="1:9" ht="15.95" customHeight="1" x14ac:dyDescent="0.3">
      <c r="A45" s="259"/>
      <c r="B45" s="270" t="s">
        <v>177</v>
      </c>
      <c r="C45" s="255"/>
      <c r="D45" s="44"/>
      <c r="E45" s="44"/>
      <c r="F45" s="48"/>
      <c r="G45" s="272"/>
      <c r="H45" s="273">
        <f>(H42+H33)*0.05</f>
        <v>0</v>
      </c>
      <c r="I45" s="255"/>
    </row>
    <row r="46" spans="1:9" ht="15.95" customHeight="1" x14ac:dyDescent="0.3">
      <c r="A46" s="259"/>
      <c r="B46" s="270" t="s">
        <v>178</v>
      </c>
      <c r="C46" s="255"/>
      <c r="D46" s="44"/>
      <c r="E46" s="44"/>
      <c r="F46" s="48"/>
      <c r="G46" s="48"/>
      <c r="H46" s="227">
        <f>H33+H42+H43+H44+H45</f>
        <v>0</v>
      </c>
      <c r="I46" s="44"/>
    </row>
    <row r="47" spans="1:9" x14ac:dyDescent="0.3">
      <c r="A47" s="26"/>
    </row>
  </sheetData>
  <mergeCells count="3">
    <mergeCell ref="A2:B2"/>
    <mergeCell ref="A3:A32"/>
    <mergeCell ref="A34:A4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S61"/>
  <sheetViews>
    <sheetView tabSelected="1" view="pageBreakPreview" zoomScale="85" zoomScaleNormal="85" zoomScaleSheetLayoutView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G30" sqref="G30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197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 t="s">
        <v>198</v>
      </c>
      <c r="D3" s="277"/>
      <c r="E3" s="279"/>
      <c r="F3" s="266"/>
      <c r="G3" s="266"/>
      <c r="H3" s="233">
        <f>IF(F3=0,G3,G3*F3)</f>
        <v>0</v>
      </c>
      <c r="I3" s="234"/>
    </row>
    <row r="4" spans="1:9" ht="15.95" customHeight="1" x14ac:dyDescent="0.3">
      <c r="A4" s="460"/>
      <c r="B4" s="207"/>
      <c r="C4" s="277" t="s">
        <v>199</v>
      </c>
      <c r="D4" s="277"/>
      <c r="E4" s="279" t="s">
        <v>200</v>
      </c>
      <c r="F4" s="266">
        <v>1</v>
      </c>
      <c r="G4" s="266">
        <v>4500000</v>
      </c>
      <c r="H4" s="166">
        <f>IF(F4=0,G4,G4*F4)</f>
        <v>4500000</v>
      </c>
      <c r="I4" s="214"/>
    </row>
    <row r="5" spans="1:9" ht="15.95" customHeight="1" x14ac:dyDescent="0.3">
      <c r="A5" s="463"/>
      <c r="B5" s="207"/>
      <c r="C5" s="277" t="s">
        <v>201</v>
      </c>
      <c r="D5" s="277"/>
      <c r="E5" s="279" t="s">
        <v>200</v>
      </c>
      <c r="F5" s="266">
        <v>1</v>
      </c>
      <c r="G5" s="266">
        <v>4000000</v>
      </c>
      <c r="H5" s="166">
        <f>IF(F5=0,G5,G5*F5)</f>
        <v>4000000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ref="H6:H45" si="0">IF(F6=0,G6,G6*F6)</f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08"/>
      <c r="D11" s="208"/>
      <c r="E11" s="216"/>
      <c r="F11" s="21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1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19" t="s">
        <v>202</v>
      </c>
      <c r="D13" s="293"/>
      <c r="E13" s="294" t="s">
        <v>203</v>
      </c>
      <c r="F13" s="238">
        <v>1</v>
      </c>
      <c r="G13" s="267">
        <v>1000000</v>
      </c>
      <c r="H13" s="239">
        <f t="shared" si="0"/>
        <v>1000000</v>
      </c>
      <c r="I13" s="240"/>
    </row>
    <row r="14" spans="1:9" ht="15.95" customHeight="1" x14ac:dyDescent="0.3">
      <c r="A14" s="463"/>
      <c r="B14" s="223"/>
      <c r="C14" s="242"/>
      <c r="D14" s="242"/>
      <c r="E14" s="243"/>
      <c r="F14" s="245"/>
      <c r="G14" s="245"/>
      <c r="H14" s="246">
        <f>SUM(H3:H13)</f>
        <v>9500000</v>
      </c>
      <c r="I14" s="242"/>
    </row>
    <row r="15" spans="1:9" ht="15.95" customHeight="1" x14ac:dyDescent="0.3">
      <c r="A15" s="463"/>
      <c r="B15" s="207" t="s">
        <v>181</v>
      </c>
      <c r="C15" s="209"/>
      <c r="D15" s="209"/>
      <c r="E15" s="283"/>
      <c r="F15" s="215"/>
      <c r="G15" s="215"/>
      <c r="H15" s="213">
        <f t="shared" si="0"/>
        <v>0</v>
      </c>
      <c r="I15" s="214"/>
    </row>
    <row r="16" spans="1:9" ht="15.95" customHeight="1" x14ac:dyDescent="0.3">
      <c r="A16" s="463"/>
      <c r="B16" s="207" t="s">
        <v>182</v>
      </c>
      <c r="C16" s="208"/>
      <c r="D16" s="208"/>
      <c r="E16" s="216"/>
      <c r="F16" s="218"/>
      <c r="G16" s="218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08"/>
      <c r="D17" s="208"/>
      <c r="E17" s="216"/>
      <c r="F17" s="218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16"/>
      <c r="F18" s="218"/>
      <c r="G18" s="218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19"/>
      <c r="D19" s="219"/>
      <c r="E19" s="220"/>
      <c r="F19" s="222"/>
      <c r="G19" s="222"/>
      <c r="H19" s="166">
        <f t="shared" si="0"/>
        <v>0</v>
      </c>
      <c r="I19" s="40"/>
    </row>
    <row r="20" spans="1:9" ht="15.95" customHeight="1" x14ac:dyDescent="0.3">
      <c r="A20" s="463"/>
      <c r="B20" s="223"/>
      <c r="C20" s="224"/>
      <c r="D20" s="225"/>
      <c r="E20" s="204"/>
      <c r="F20" s="285"/>
      <c r="G20" s="227"/>
      <c r="H20" s="48">
        <f>SUM(H15:H19)</f>
        <v>0</v>
      </c>
      <c r="I20" s="44"/>
    </row>
    <row r="21" spans="1:9" ht="15.95" customHeight="1" x14ac:dyDescent="0.3">
      <c r="A21" s="463"/>
      <c r="B21" s="247" t="s">
        <v>183</v>
      </c>
      <c r="C21" s="208" t="s">
        <v>204</v>
      </c>
      <c r="D21" s="208"/>
      <c r="E21" s="279" t="s">
        <v>203</v>
      </c>
      <c r="F21" s="218">
        <v>1</v>
      </c>
      <c r="G21" s="218">
        <v>10000000</v>
      </c>
      <c r="H21" s="166">
        <f t="shared" ref="H21:H34" si="1">IF(F21=0,G21,G21*F21)</f>
        <v>10000000</v>
      </c>
      <c r="I21" s="37" t="s">
        <v>205</v>
      </c>
    </row>
    <row r="22" spans="1:9" ht="15.95" customHeight="1" x14ac:dyDescent="0.3">
      <c r="A22" s="463"/>
      <c r="B22" s="207" t="s">
        <v>184</v>
      </c>
      <c r="C22" s="208" t="s">
        <v>206</v>
      </c>
      <c r="D22" s="208"/>
      <c r="E22" s="279" t="s">
        <v>59</v>
      </c>
      <c r="F22" s="218">
        <v>1</v>
      </c>
      <c r="G22" s="218">
        <v>2500000</v>
      </c>
      <c r="H22" s="166">
        <f t="shared" si="1"/>
        <v>2500000</v>
      </c>
      <c r="I22" s="37" t="s">
        <v>207</v>
      </c>
    </row>
    <row r="23" spans="1:9" ht="15.95" customHeight="1" x14ac:dyDescent="0.3">
      <c r="A23" s="463"/>
      <c r="B23" s="207"/>
      <c r="C23" s="208" t="s">
        <v>208</v>
      </c>
      <c r="D23" s="208"/>
      <c r="E23" s="279" t="s">
        <v>59</v>
      </c>
      <c r="F23" s="218">
        <v>1</v>
      </c>
      <c r="G23" s="218">
        <v>1500000</v>
      </c>
      <c r="H23" s="166">
        <f t="shared" si="1"/>
        <v>1500000</v>
      </c>
      <c r="I23" s="37" t="s">
        <v>209</v>
      </c>
    </row>
    <row r="24" spans="1:9" ht="15.95" customHeight="1" x14ac:dyDescent="0.3">
      <c r="A24" s="463"/>
      <c r="B24" s="207"/>
      <c r="C24" s="208" t="s">
        <v>210</v>
      </c>
      <c r="D24" s="208"/>
      <c r="E24" s="279" t="s">
        <v>140</v>
      </c>
      <c r="F24" s="218">
        <v>1</v>
      </c>
      <c r="G24" s="218">
        <v>3500000</v>
      </c>
      <c r="H24" s="166">
        <f t="shared" si="1"/>
        <v>3500000</v>
      </c>
      <c r="I24" s="37" t="s">
        <v>211</v>
      </c>
    </row>
    <row r="25" spans="1:9" ht="15.95" customHeight="1" x14ac:dyDescent="0.3">
      <c r="A25" s="463"/>
      <c r="B25" s="207"/>
      <c r="C25" s="208"/>
      <c r="D25" s="208"/>
      <c r="E25" s="279"/>
      <c r="F25" s="218"/>
      <c r="G25" s="218"/>
      <c r="H25" s="166">
        <f t="shared" si="1"/>
        <v>0</v>
      </c>
      <c r="I25" s="37"/>
    </row>
    <row r="26" spans="1:9" ht="15.95" customHeight="1" x14ac:dyDescent="0.3">
      <c r="A26" s="463"/>
      <c r="B26" s="207"/>
      <c r="C26" s="208"/>
      <c r="D26" s="208"/>
      <c r="E26" s="279"/>
      <c r="F26" s="218"/>
      <c r="G26" s="218"/>
      <c r="H26" s="166">
        <f t="shared" si="1"/>
        <v>0</v>
      </c>
      <c r="I26" s="37"/>
    </row>
    <row r="27" spans="1:9" ht="15.95" customHeight="1" x14ac:dyDescent="0.3">
      <c r="A27" s="463"/>
      <c r="B27" s="207"/>
      <c r="C27" s="208" t="s">
        <v>212</v>
      </c>
      <c r="D27" s="208"/>
      <c r="E27" s="279"/>
      <c r="F27" s="218"/>
      <c r="G27" s="218"/>
      <c r="H27" s="166">
        <f t="shared" si="1"/>
        <v>0</v>
      </c>
      <c r="I27" s="37"/>
    </row>
    <row r="28" spans="1:9" ht="15.95" customHeight="1" x14ac:dyDescent="0.3">
      <c r="A28" s="463"/>
      <c r="B28" s="207"/>
      <c r="C28" s="208" t="s">
        <v>213</v>
      </c>
      <c r="D28" s="208"/>
      <c r="E28" s="279" t="s">
        <v>140</v>
      </c>
      <c r="F28" s="218">
        <v>5</v>
      </c>
      <c r="G28" s="266">
        <v>100000</v>
      </c>
      <c r="H28" s="166">
        <f t="shared" si="1"/>
        <v>500000</v>
      </c>
      <c r="I28" s="37"/>
    </row>
    <row r="29" spans="1:9" ht="15.95" customHeight="1" x14ac:dyDescent="0.3">
      <c r="A29" s="463"/>
      <c r="B29" s="207"/>
      <c r="C29" s="208" t="s">
        <v>214</v>
      </c>
      <c r="D29" s="208"/>
      <c r="E29" s="279" t="s">
        <v>140</v>
      </c>
      <c r="F29" s="218">
        <v>1</v>
      </c>
      <c r="G29" s="266">
        <v>600000</v>
      </c>
      <c r="H29" s="166">
        <f t="shared" si="1"/>
        <v>600000</v>
      </c>
      <c r="I29" s="37"/>
    </row>
    <row r="30" spans="1:9" ht="15.95" customHeight="1" x14ac:dyDescent="0.3">
      <c r="A30" s="463"/>
      <c r="B30" s="207"/>
      <c r="C30" s="208" t="s">
        <v>215</v>
      </c>
      <c r="D30" s="208"/>
      <c r="E30" s="279" t="s">
        <v>140</v>
      </c>
      <c r="F30" s="218">
        <v>1</v>
      </c>
      <c r="G30" s="266">
        <v>200000</v>
      </c>
      <c r="H30" s="166">
        <f t="shared" si="1"/>
        <v>200000</v>
      </c>
      <c r="I30" s="37"/>
    </row>
    <row r="31" spans="1:9" ht="15.95" customHeight="1" x14ac:dyDescent="0.3">
      <c r="A31" s="463"/>
      <c r="B31" s="207"/>
      <c r="C31" s="208" t="s">
        <v>216</v>
      </c>
      <c r="D31" s="208"/>
      <c r="E31" s="279" t="s">
        <v>140</v>
      </c>
      <c r="F31" s="218">
        <v>1</v>
      </c>
      <c r="G31" s="266">
        <v>450000</v>
      </c>
      <c r="H31" s="166">
        <f t="shared" si="1"/>
        <v>450000</v>
      </c>
      <c r="I31" s="37"/>
    </row>
    <row r="32" spans="1:9" ht="15.95" customHeight="1" x14ac:dyDescent="0.3">
      <c r="A32" s="463"/>
      <c r="B32" s="207"/>
      <c r="C32" s="208" t="s">
        <v>217</v>
      </c>
      <c r="D32" s="208"/>
      <c r="E32" s="279" t="s">
        <v>140</v>
      </c>
      <c r="F32" s="218">
        <v>1</v>
      </c>
      <c r="G32" s="266">
        <v>450000</v>
      </c>
      <c r="H32" s="166">
        <f t="shared" si="1"/>
        <v>450000</v>
      </c>
      <c r="I32" s="37"/>
    </row>
    <row r="33" spans="1:9" ht="15.95" customHeight="1" x14ac:dyDescent="0.3">
      <c r="A33" s="463"/>
      <c r="B33" s="207"/>
      <c r="C33" s="277"/>
      <c r="D33" s="277"/>
      <c r="E33" s="279"/>
      <c r="F33" s="266"/>
      <c r="G33" s="266"/>
      <c r="H33" s="166">
        <f t="shared" si="1"/>
        <v>0</v>
      </c>
      <c r="I33" s="37"/>
    </row>
    <row r="34" spans="1:9" ht="15.95" customHeight="1" x14ac:dyDescent="0.3">
      <c r="A34" s="463"/>
      <c r="B34" s="207"/>
      <c r="C34" s="277"/>
      <c r="D34" s="277"/>
      <c r="E34" s="279"/>
      <c r="F34" s="266"/>
      <c r="G34" s="266"/>
      <c r="H34" s="166">
        <f t="shared" si="1"/>
        <v>0</v>
      </c>
      <c r="I34" s="37"/>
    </row>
    <row r="35" spans="1:9" ht="15.95" customHeight="1" x14ac:dyDescent="0.3">
      <c r="A35" s="463"/>
      <c r="B35" s="207"/>
      <c r="C35" s="208"/>
      <c r="D35" s="208"/>
      <c r="E35" s="216"/>
      <c r="F35" s="218"/>
      <c r="G35" s="218"/>
      <c r="H35" s="166">
        <f t="shared" si="0"/>
        <v>0</v>
      </c>
      <c r="I35" s="37"/>
    </row>
    <row r="36" spans="1:9" ht="15.95" customHeight="1" x14ac:dyDescent="0.3">
      <c r="A36" s="463"/>
      <c r="B36" s="207"/>
      <c r="C36" s="208"/>
      <c r="D36" s="208"/>
      <c r="E36" s="216"/>
      <c r="F36" s="218"/>
      <c r="G36" s="218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19" t="s">
        <v>218</v>
      </c>
      <c r="D37" s="219"/>
      <c r="E37" s="220" t="s">
        <v>140</v>
      </c>
      <c r="F37" s="297">
        <v>1</v>
      </c>
      <c r="G37" s="222">
        <v>2000000</v>
      </c>
      <c r="H37" s="176">
        <f t="shared" si="0"/>
        <v>2000000</v>
      </c>
      <c r="I37" s="40"/>
    </row>
    <row r="38" spans="1:9" ht="15.95" customHeight="1" x14ac:dyDescent="0.3">
      <c r="A38" s="463"/>
      <c r="B38" s="223"/>
      <c r="C38" s="224"/>
      <c r="D38" s="225"/>
      <c r="E38" s="204"/>
      <c r="F38" s="227"/>
      <c r="G38" s="227"/>
      <c r="H38" s="48">
        <f>SUM(H21:H37)</f>
        <v>21700000</v>
      </c>
      <c r="I38" s="44"/>
    </row>
    <row r="39" spans="1:9" ht="15.95" customHeight="1" x14ac:dyDescent="0.3">
      <c r="A39" s="463"/>
      <c r="B39" s="247" t="s">
        <v>61</v>
      </c>
      <c r="C39" s="208"/>
      <c r="D39" s="279"/>
      <c r="E39" s="279"/>
      <c r="F39" s="280"/>
      <c r="G39" s="218"/>
      <c r="H39" s="233">
        <f t="shared" si="0"/>
        <v>0</v>
      </c>
      <c r="I39" s="234"/>
    </row>
    <row r="40" spans="1:9" ht="15.95" customHeight="1" x14ac:dyDescent="0.3">
      <c r="A40" s="463"/>
      <c r="B40" s="207"/>
      <c r="C40" s="208"/>
      <c r="D40" s="279"/>
      <c r="E40" s="279"/>
      <c r="F40" s="280"/>
      <c r="G40" s="218"/>
      <c r="H40" s="166">
        <f t="shared" si="0"/>
        <v>0</v>
      </c>
      <c r="I40" s="37"/>
    </row>
    <row r="41" spans="1:9" ht="15.95" customHeight="1" x14ac:dyDescent="0.3">
      <c r="A41" s="463"/>
      <c r="B41" s="207"/>
      <c r="C41" s="208"/>
      <c r="D41" s="208"/>
      <c r="E41" s="216"/>
      <c r="F41" s="218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08"/>
      <c r="D42" s="208"/>
      <c r="E42" s="216"/>
      <c r="F42" s="218"/>
      <c r="G42" s="2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208"/>
      <c r="D43" s="208"/>
      <c r="E43" s="216"/>
      <c r="F43" s="218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08"/>
      <c r="E44" s="216"/>
      <c r="F44" s="218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19"/>
      <c r="D45" s="219"/>
      <c r="E45" s="220"/>
      <c r="F45" s="222"/>
      <c r="G45" s="222"/>
      <c r="H45" s="176">
        <f t="shared" si="0"/>
        <v>0</v>
      </c>
      <c r="I45" s="40"/>
    </row>
    <row r="46" spans="1:9" ht="15.95" customHeight="1" x14ac:dyDescent="0.3">
      <c r="A46" s="463"/>
      <c r="B46" s="223"/>
      <c r="C46" s="224"/>
      <c r="D46" s="225"/>
      <c r="E46" s="204"/>
      <c r="F46" s="227"/>
      <c r="G46" s="227"/>
      <c r="H46" s="48">
        <f>SUM(H39:H45)</f>
        <v>0</v>
      </c>
      <c r="I46" s="44"/>
    </row>
    <row r="47" spans="1:9" ht="15.95" customHeight="1" x14ac:dyDescent="0.3">
      <c r="A47" s="253"/>
      <c r="B47" s="254" t="s">
        <v>165</v>
      </c>
      <c r="C47" s="255"/>
      <c r="D47" s="44"/>
      <c r="E47" s="205"/>
      <c r="F47" s="257"/>
      <c r="G47" s="257"/>
      <c r="H47" s="48">
        <f>SUM(H46,H38,H20,H14)</f>
        <v>31200000</v>
      </c>
      <c r="I47" s="44"/>
    </row>
    <row r="48" spans="1:9" ht="15.95" customHeight="1" x14ac:dyDescent="0.3">
      <c r="A48" s="459" t="s">
        <v>166</v>
      </c>
      <c r="B48" s="258" t="s">
        <v>67</v>
      </c>
      <c r="C48" s="255"/>
      <c r="D48" s="44"/>
      <c r="E48" s="259" t="s">
        <v>68</v>
      </c>
      <c r="F48" s="286">
        <v>2</v>
      </c>
      <c r="G48" s="286">
        <v>300000</v>
      </c>
      <c r="H48" s="261">
        <f>F48*G48</f>
        <v>600000</v>
      </c>
      <c r="I48" s="44"/>
    </row>
    <row r="49" spans="1:19" ht="15.95" customHeight="1" x14ac:dyDescent="0.3">
      <c r="A49" s="463"/>
      <c r="B49" s="262" t="s">
        <v>185</v>
      </c>
      <c r="C49" s="263"/>
      <c r="D49" s="234"/>
      <c r="E49" s="49" t="s">
        <v>168</v>
      </c>
      <c r="F49" s="312">
        <v>20</v>
      </c>
      <c r="G49" s="287">
        <v>300000</v>
      </c>
      <c r="H49" s="233">
        <f t="shared" ref="H49:H55" si="2">F49*G49</f>
        <v>6000000</v>
      </c>
      <c r="I49" s="234"/>
    </row>
    <row r="50" spans="1:19" ht="15.95" customHeight="1" x14ac:dyDescent="0.3">
      <c r="A50" s="463"/>
      <c r="B50" s="264" t="s">
        <v>186</v>
      </c>
      <c r="C50" s="265"/>
      <c r="D50" s="37"/>
      <c r="E50" s="38" t="s">
        <v>168</v>
      </c>
      <c r="F50" s="288">
        <v>15</v>
      </c>
      <c r="G50" s="266">
        <v>300000</v>
      </c>
      <c r="H50" s="166">
        <f t="shared" si="2"/>
        <v>4500000</v>
      </c>
      <c r="I50" s="37"/>
    </row>
    <row r="51" spans="1:19" ht="15.95" customHeight="1" x14ac:dyDescent="0.3">
      <c r="A51" s="463"/>
      <c r="B51" s="264" t="s">
        <v>187</v>
      </c>
      <c r="C51" s="265"/>
      <c r="D51" s="37"/>
      <c r="E51" s="38" t="s">
        <v>168</v>
      </c>
      <c r="F51" s="288">
        <v>12</v>
      </c>
      <c r="G51" s="266">
        <v>300000</v>
      </c>
      <c r="H51" s="166">
        <f t="shared" si="2"/>
        <v>3600000</v>
      </c>
      <c r="I51" s="37"/>
    </row>
    <row r="52" spans="1:19" ht="15.95" customHeight="1" x14ac:dyDescent="0.3">
      <c r="A52" s="463"/>
      <c r="B52" s="264" t="s">
        <v>188</v>
      </c>
      <c r="C52" s="265"/>
      <c r="D52" s="37"/>
      <c r="E52" s="38" t="s">
        <v>168</v>
      </c>
      <c r="F52" s="288">
        <v>0</v>
      </c>
      <c r="G52" s="266">
        <v>300000</v>
      </c>
      <c r="H52" s="166">
        <f t="shared" si="2"/>
        <v>0</v>
      </c>
      <c r="I52" s="37"/>
      <c r="S52" s="1" t="s">
        <v>219</v>
      </c>
    </row>
    <row r="53" spans="1:19" ht="15.95" customHeight="1" x14ac:dyDescent="0.3">
      <c r="A53" s="463"/>
      <c r="B53" s="264" t="s">
        <v>189</v>
      </c>
      <c r="C53" s="265"/>
      <c r="D53" s="37"/>
      <c r="E53" s="38" t="s">
        <v>168</v>
      </c>
      <c r="F53" s="288">
        <v>0</v>
      </c>
      <c r="G53" s="266">
        <v>300000</v>
      </c>
      <c r="H53" s="166">
        <f t="shared" si="2"/>
        <v>0</v>
      </c>
      <c r="I53" s="37"/>
    </row>
    <row r="54" spans="1:19" ht="15.95" customHeight="1" x14ac:dyDescent="0.3">
      <c r="A54" s="463"/>
      <c r="B54" s="264" t="s">
        <v>190</v>
      </c>
      <c r="C54" s="265"/>
      <c r="D54" s="37"/>
      <c r="E54" s="38" t="s">
        <v>168</v>
      </c>
      <c r="F54" s="288">
        <v>0</v>
      </c>
      <c r="G54" s="266">
        <v>300000</v>
      </c>
      <c r="H54" s="166">
        <f t="shared" si="2"/>
        <v>0</v>
      </c>
      <c r="I54" s="37"/>
    </row>
    <row r="55" spans="1:19" ht="15.95" customHeight="1" x14ac:dyDescent="0.3">
      <c r="A55" s="463"/>
      <c r="B55" s="268" t="s">
        <v>191</v>
      </c>
      <c r="C55" s="269"/>
      <c r="D55" s="40"/>
      <c r="E55" s="39" t="s">
        <v>168</v>
      </c>
      <c r="F55" s="297">
        <v>3</v>
      </c>
      <c r="G55" s="282">
        <v>250000</v>
      </c>
      <c r="H55" s="176">
        <f t="shared" si="2"/>
        <v>750000</v>
      </c>
      <c r="I55" s="40"/>
    </row>
    <row r="56" spans="1:19" ht="15.95" customHeight="1" x14ac:dyDescent="0.3">
      <c r="A56" s="253"/>
      <c r="B56" s="270" t="s">
        <v>174</v>
      </c>
      <c r="C56" s="255"/>
      <c r="D56" s="44"/>
      <c r="E56" s="44"/>
      <c r="F56" s="227"/>
      <c r="G56" s="227"/>
      <c r="H56" s="227">
        <f>SUM(H48:H55)</f>
        <v>15450000</v>
      </c>
      <c r="I56" s="225"/>
    </row>
    <row r="57" spans="1:19" ht="15.95" customHeight="1" x14ac:dyDescent="0.3">
      <c r="A57" s="259"/>
      <c r="B57" s="270" t="s">
        <v>192</v>
      </c>
      <c r="C57" s="255"/>
      <c r="D57" s="44"/>
      <c r="E57" s="44"/>
      <c r="F57" s="48"/>
      <c r="G57" s="48"/>
      <c r="H57" s="257">
        <f>'단위공사별(집계)'!I10+'단위공사별(집계)'!L10</f>
        <v>962114.35023609106</v>
      </c>
      <c r="I57" s="44"/>
    </row>
    <row r="58" spans="1:19" ht="15.95" customHeight="1" x14ac:dyDescent="0.3">
      <c r="A58" s="259"/>
      <c r="B58" s="270" t="s">
        <v>93</v>
      </c>
      <c r="C58" s="255"/>
      <c r="D58" s="44"/>
      <c r="E58" s="44"/>
      <c r="F58" s="48"/>
      <c r="G58" s="272"/>
      <c r="H58" s="273">
        <f>(H56+H47)*0.05</f>
        <v>2332500</v>
      </c>
      <c r="I58" s="255"/>
    </row>
    <row r="59" spans="1:19" ht="15.95" customHeight="1" x14ac:dyDescent="0.3">
      <c r="A59" s="259"/>
      <c r="B59" s="270" t="s">
        <v>177</v>
      </c>
      <c r="C59" s="255"/>
      <c r="D59" s="44"/>
      <c r="E59" s="44"/>
      <c r="F59" s="48"/>
      <c r="G59" s="272"/>
      <c r="H59" s="273">
        <f>(H56+H47)*0.1</f>
        <v>4665000</v>
      </c>
      <c r="I59" s="255"/>
    </row>
    <row r="60" spans="1:19" ht="15.95" customHeight="1" x14ac:dyDescent="0.3">
      <c r="A60" s="259"/>
      <c r="B60" s="270" t="s">
        <v>178</v>
      </c>
      <c r="C60" s="255"/>
      <c r="D60" s="44"/>
      <c r="E60" s="44"/>
      <c r="F60" s="48"/>
      <c r="G60" s="48"/>
      <c r="H60" s="227">
        <f>H47+H56+H57+H58+H59</f>
        <v>54609614.350236088</v>
      </c>
      <c r="I60" s="44"/>
    </row>
    <row r="61" spans="1:19" x14ac:dyDescent="0.3">
      <c r="A61" s="26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4" orientation="portrait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I45"/>
  <sheetViews>
    <sheetView zoomScale="85" zoomScaleNormal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J48" sqref="J4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30.25" style="1" customWidth="1"/>
    <col min="4" max="4" width="14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30.25" style="1" customWidth="1"/>
    <col min="260" max="260" width="14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30.25" style="1" customWidth="1"/>
    <col min="516" max="516" width="14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30.25" style="1" customWidth="1"/>
    <col min="772" max="772" width="14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30.25" style="1" customWidth="1"/>
    <col min="1028" max="1028" width="14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30.25" style="1" customWidth="1"/>
    <col min="1284" max="1284" width="14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30.25" style="1" customWidth="1"/>
    <col min="1540" max="1540" width="14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30.25" style="1" customWidth="1"/>
    <col min="1796" max="1796" width="14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30.25" style="1" customWidth="1"/>
    <col min="2052" max="2052" width="14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30.25" style="1" customWidth="1"/>
    <col min="2308" max="2308" width="14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30.25" style="1" customWidth="1"/>
    <col min="2564" max="2564" width="14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30.25" style="1" customWidth="1"/>
    <col min="2820" max="2820" width="14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30.25" style="1" customWidth="1"/>
    <col min="3076" max="3076" width="14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30.25" style="1" customWidth="1"/>
    <col min="3332" max="3332" width="14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30.25" style="1" customWidth="1"/>
    <col min="3588" max="3588" width="14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30.25" style="1" customWidth="1"/>
    <col min="3844" max="3844" width="14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30.25" style="1" customWidth="1"/>
    <col min="4100" max="4100" width="14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30.25" style="1" customWidth="1"/>
    <col min="4356" max="4356" width="14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30.25" style="1" customWidth="1"/>
    <col min="4612" max="4612" width="14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30.25" style="1" customWidth="1"/>
    <col min="4868" max="4868" width="14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30.25" style="1" customWidth="1"/>
    <col min="5124" max="5124" width="14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30.25" style="1" customWidth="1"/>
    <col min="5380" max="5380" width="14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30.25" style="1" customWidth="1"/>
    <col min="5636" max="5636" width="14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30.25" style="1" customWidth="1"/>
    <col min="5892" max="5892" width="14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30.25" style="1" customWidth="1"/>
    <col min="6148" max="6148" width="14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30.25" style="1" customWidth="1"/>
    <col min="6404" max="6404" width="14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30.25" style="1" customWidth="1"/>
    <col min="6660" max="6660" width="14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30.25" style="1" customWidth="1"/>
    <col min="6916" max="6916" width="14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30.25" style="1" customWidth="1"/>
    <col min="7172" max="7172" width="14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30.25" style="1" customWidth="1"/>
    <col min="7428" max="7428" width="14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30.25" style="1" customWidth="1"/>
    <col min="7684" max="7684" width="14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30.25" style="1" customWidth="1"/>
    <col min="7940" max="7940" width="14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30.25" style="1" customWidth="1"/>
    <col min="8196" max="8196" width="14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30.25" style="1" customWidth="1"/>
    <col min="8452" max="8452" width="14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30.25" style="1" customWidth="1"/>
    <col min="8708" max="8708" width="14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30.25" style="1" customWidth="1"/>
    <col min="8964" max="8964" width="14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30.25" style="1" customWidth="1"/>
    <col min="9220" max="9220" width="14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30.25" style="1" customWidth="1"/>
    <col min="9476" max="9476" width="14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30.25" style="1" customWidth="1"/>
    <col min="9732" max="9732" width="14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30.25" style="1" customWidth="1"/>
    <col min="9988" max="9988" width="14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30.25" style="1" customWidth="1"/>
    <col min="10244" max="10244" width="14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30.25" style="1" customWidth="1"/>
    <col min="10500" max="10500" width="14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30.25" style="1" customWidth="1"/>
    <col min="10756" max="10756" width="14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30.25" style="1" customWidth="1"/>
    <col min="11012" max="11012" width="14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30.25" style="1" customWidth="1"/>
    <col min="11268" max="11268" width="14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30.25" style="1" customWidth="1"/>
    <col min="11524" max="11524" width="14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30.25" style="1" customWidth="1"/>
    <col min="11780" max="11780" width="14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30.25" style="1" customWidth="1"/>
    <col min="12036" max="12036" width="14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30.25" style="1" customWidth="1"/>
    <col min="12292" max="12292" width="14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30.25" style="1" customWidth="1"/>
    <col min="12548" max="12548" width="14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30.25" style="1" customWidth="1"/>
    <col min="12804" max="12804" width="14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30.25" style="1" customWidth="1"/>
    <col min="13060" max="13060" width="14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30.25" style="1" customWidth="1"/>
    <col min="13316" max="13316" width="14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30.25" style="1" customWidth="1"/>
    <col min="13572" max="13572" width="14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30.25" style="1" customWidth="1"/>
    <col min="13828" max="13828" width="14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30.25" style="1" customWidth="1"/>
    <col min="14084" max="14084" width="14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30.25" style="1" customWidth="1"/>
    <col min="14340" max="14340" width="14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30.25" style="1" customWidth="1"/>
    <col min="14596" max="14596" width="14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30.25" style="1" customWidth="1"/>
    <col min="14852" max="14852" width="14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30.25" style="1" customWidth="1"/>
    <col min="15108" max="15108" width="14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30.25" style="1" customWidth="1"/>
    <col min="15364" max="15364" width="14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30.25" style="1" customWidth="1"/>
    <col min="15620" max="15620" width="14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30.25" style="1" customWidth="1"/>
    <col min="15876" max="15876" width="14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30.25" style="1" customWidth="1"/>
    <col min="16132" max="16132" width="14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220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88"/>
      <c r="G3" s="266"/>
      <c r="H3" s="166">
        <f>IF(F3=0,G3,G3*F3)</f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88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88"/>
      <c r="G5" s="266"/>
      <c r="H5" s="166">
        <f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88"/>
      <c r="G6" s="266"/>
      <c r="H6" s="166">
        <f>IF(F6=0,G6,G6*F6)</f>
        <v>0</v>
      </c>
      <c r="I6" s="37"/>
    </row>
    <row r="7" spans="1:9" ht="15.95" customHeight="1" x14ac:dyDescent="0.3">
      <c r="A7" s="463"/>
      <c r="B7" s="207"/>
      <c r="C7" s="208"/>
      <c r="D7" s="208"/>
      <c r="E7" s="216"/>
      <c r="F7" s="288"/>
      <c r="G7" s="218"/>
      <c r="H7" s="166">
        <f t="shared" ref="H7:H29" si="0">IF(F7=0,G7,G7*F7)</f>
        <v>0</v>
      </c>
      <c r="I7" s="37"/>
    </row>
    <row r="8" spans="1:9" ht="15.95" customHeight="1" x14ac:dyDescent="0.3">
      <c r="A8" s="463"/>
      <c r="B8" s="207"/>
      <c r="C8" s="219"/>
      <c r="D8" s="293"/>
      <c r="E8" s="294"/>
      <c r="F8" s="295"/>
      <c r="G8" s="267"/>
      <c r="H8" s="239">
        <f t="shared" si="0"/>
        <v>0</v>
      </c>
      <c r="I8" s="240"/>
    </row>
    <row r="9" spans="1:9" ht="15.95" customHeight="1" x14ac:dyDescent="0.3">
      <c r="A9" s="463"/>
      <c r="B9" s="223"/>
      <c r="C9" s="242"/>
      <c r="D9" s="242"/>
      <c r="E9" s="243"/>
      <c r="F9" s="296"/>
      <c r="G9" s="245"/>
      <c r="H9" s="246">
        <f>SUM(H3:H8)</f>
        <v>0</v>
      </c>
      <c r="I9" s="242"/>
    </row>
    <row r="10" spans="1:9" ht="15.95" customHeight="1" x14ac:dyDescent="0.3">
      <c r="A10" s="463"/>
      <c r="B10" s="207" t="s">
        <v>181</v>
      </c>
      <c r="C10" s="209"/>
      <c r="D10" s="209"/>
      <c r="E10" s="283"/>
      <c r="F10" s="291"/>
      <c r="G10" s="215"/>
      <c r="H10" s="213">
        <f t="shared" si="0"/>
        <v>0</v>
      </c>
      <c r="I10" s="214"/>
    </row>
    <row r="11" spans="1:9" ht="15.95" customHeight="1" x14ac:dyDescent="0.3">
      <c r="A11" s="463"/>
      <c r="B11" s="207" t="s">
        <v>182</v>
      </c>
      <c r="C11" s="208"/>
      <c r="D11" s="208"/>
      <c r="E11" s="216"/>
      <c r="F11" s="28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8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08"/>
      <c r="D13" s="208"/>
      <c r="E13" s="216"/>
      <c r="F13" s="28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19"/>
      <c r="D14" s="219"/>
      <c r="E14" s="220"/>
      <c r="F14" s="297"/>
      <c r="G14" s="222"/>
      <c r="H14" s="166">
        <f t="shared" si="0"/>
        <v>0</v>
      </c>
      <c r="I14" s="40"/>
    </row>
    <row r="15" spans="1:9" ht="15.95" customHeight="1" x14ac:dyDescent="0.3">
      <c r="A15" s="463"/>
      <c r="B15" s="223"/>
      <c r="C15" s="224"/>
      <c r="D15" s="225"/>
      <c r="E15" s="204"/>
      <c r="F15" s="298"/>
      <c r="G15" s="227"/>
      <c r="H15" s="48">
        <f>SUM(H10:H14)</f>
        <v>0</v>
      </c>
      <c r="I15" s="44"/>
    </row>
    <row r="16" spans="1:9" ht="15.95" customHeight="1" x14ac:dyDescent="0.3">
      <c r="A16" s="463"/>
      <c r="B16" s="247" t="s">
        <v>183</v>
      </c>
      <c r="C16" s="277"/>
      <c r="D16" s="277"/>
      <c r="E16" s="279"/>
      <c r="F16" s="288"/>
      <c r="G16" s="266"/>
      <c r="H16" s="233">
        <f>IF(F16=0,G16,G16*F16)</f>
        <v>0</v>
      </c>
      <c r="I16" s="234"/>
    </row>
    <row r="17" spans="1:9" ht="15.95" customHeight="1" x14ac:dyDescent="0.3">
      <c r="A17" s="463"/>
      <c r="B17" s="207" t="s">
        <v>184</v>
      </c>
      <c r="C17" s="277"/>
      <c r="D17" s="277"/>
      <c r="E17" s="279"/>
      <c r="F17" s="288"/>
      <c r="G17" s="266"/>
      <c r="H17" s="166">
        <f>IF(F17=0,G17,G17*F17)</f>
        <v>0</v>
      </c>
      <c r="I17" s="37"/>
    </row>
    <row r="18" spans="1:9" ht="15.95" customHeight="1" x14ac:dyDescent="0.3">
      <c r="A18" s="463"/>
      <c r="B18" s="207"/>
      <c r="C18" s="277"/>
      <c r="D18" s="277"/>
      <c r="E18" s="279"/>
      <c r="F18" s="288"/>
      <c r="G18" s="266"/>
      <c r="H18" s="166">
        <f>IF(F18=0,G18,G18*F18)</f>
        <v>0</v>
      </c>
      <c r="I18" s="37"/>
    </row>
    <row r="19" spans="1:9" ht="15.95" customHeight="1" x14ac:dyDescent="0.3">
      <c r="A19" s="463"/>
      <c r="B19" s="207"/>
      <c r="C19" s="277"/>
      <c r="D19" s="277"/>
      <c r="E19" s="279"/>
      <c r="F19" s="288"/>
      <c r="G19" s="266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16"/>
      <c r="F20" s="28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19"/>
      <c r="D21" s="220"/>
      <c r="E21" s="220"/>
      <c r="F21" s="297"/>
      <c r="G21" s="222"/>
      <c r="H21" s="176">
        <f t="shared" si="0"/>
        <v>0</v>
      </c>
      <c r="I21" s="40"/>
    </row>
    <row r="22" spans="1:9" ht="15.95" customHeight="1" x14ac:dyDescent="0.3">
      <c r="A22" s="463"/>
      <c r="B22" s="223"/>
      <c r="C22" s="224"/>
      <c r="D22" s="225"/>
      <c r="E22" s="204"/>
      <c r="F22" s="307"/>
      <c r="G22" s="227"/>
      <c r="H22" s="48">
        <f>SUM(H16:H21)</f>
        <v>0</v>
      </c>
      <c r="I22" s="44"/>
    </row>
    <row r="23" spans="1:9" ht="15.95" customHeight="1" x14ac:dyDescent="0.3">
      <c r="A23" s="463"/>
      <c r="B23" s="247" t="s">
        <v>61</v>
      </c>
      <c r="C23" s="208"/>
      <c r="D23" s="279"/>
      <c r="E23" s="279"/>
      <c r="F23" s="288"/>
      <c r="G23" s="218"/>
      <c r="H23" s="233">
        <f t="shared" si="0"/>
        <v>0</v>
      </c>
      <c r="I23" s="234"/>
    </row>
    <row r="24" spans="1:9" ht="15.95" customHeight="1" x14ac:dyDescent="0.3">
      <c r="A24" s="463"/>
      <c r="B24" s="207"/>
      <c r="C24" s="208"/>
      <c r="D24" s="313"/>
      <c r="E24" s="279"/>
      <c r="F24" s="28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79"/>
      <c r="E25" s="279"/>
      <c r="F25" s="28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16"/>
      <c r="F26" s="28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08"/>
      <c r="D27" s="208"/>
      <c r="E27" s="216"/>
      <c r="F27" s="288"/>
      <c r="G27" s="218"/>
      <c r="H27" s="166">
        <f t="shared" si="0"/>
        <v>0</v>
      </c>
      <c r="I27" s="37"/>
    </row>
    <row r="28" spans="1:9" ht="15.95" customHeight="1" x14ac:dyDescent="0.3">
      <c r="A28" s="463"/>
      <c r="B28" s="207"/>
      <c r="C28" s="208"/>
      <c r="D28" s="208"/>
      <c r="E28" s="216"/>
      <c r="F28" s="288"/>
      <c r="G28" s="218"/>
      <c r="H28" s="166">
        <f t="shared" si="0"/>
        <v>0</v>
      </c>
      <c r="I28" s="37"/>
    </row>
    <row r="29" spans="1:9" ht="15.95" customHeight="1" x14ac:dyDescent="0.3">
      <c r="A29" s="463"/>
      <c r="B29" s="207"/>
      <c r="C29" s="219"/>
      <c r="D29" s="219"/>
      <c r="E29" s="220"/>
      <c r="F29" s="297"/>
      <c r="G29" s="222"/>
      <c r="H29" s="176">
        <f t="shared" si="0"/>
        <v>0</v>
      </c>
      <c r="I29" s="40"/>
    </row>
    <row r="30" spans="1:9" ht="15.95" customHeight="1" x14ac:dyDescent="0.3">
      <c r="A30" s="463"/>
      <c r="B30" s="223"/>
      <c r="C30" s="224"/>
      <c r="D30" s="225"/>
      <c r="E30" s="204"/>
      <c r="F30" s="227"/>
      <c r="G30" s="227"/>
      <c r="H30" s="48">
        <f>SUM(H23:H29)</f>
        <v>0</v>
      </c>
      <c r="I30" s="44"/>
    </row>
    <row r="31" spans="1:9" ht="15.95" customHeight="1" x14ac:dyDescent="0.3">
      <c r="A31" s="253"/>
      <c r="B31" s="254" t="s">
        <v>165</v>
      </c>
      <c r="C31" s="255"/>
      <c r="D31" s="44"/>
      <c r="E31" s="205"/>
      <c r="F31" s="257"/>
      <c r="G31" s="257"/>
      <c r="H31" s="48">
        <f>SUM(H30,H22,H15,H9)</f>
        <v>0</v>
      </c>
      <c r="I31" s="44"/>
    </row>
    <row r="32" spans="1:9" ht="15.95" customHeight="1" x14ac:dyDescent="0.3">
      <c r="A32" s="459" t="s">
        <v>166</v>
      </c>
      <c r="B32" s="258" t="s">
        <v>67</v>
      </c>
      <c r="C32" s="255"/>
      <c r="D32" s="44"/>
      <c r="E32" s="259" t="s">
        <v>68</v>
      </c>
      <c r="F32" s="286">
        <v>0</v>
      </c>
      <c r="G32" s="286">
        <v>300000</v>
      </c>
      <c r="H32" s="261">
        <f>F32*G32</f>
        <v>0</v>
      </c>
      <c r="I32" s="44"/>
    </row>
    <row r="33" spans="1:9" ht="15.95" customHeight="1" x14ac:dyDescent="0.3">
      <c r="A33" s="463"/>
      <c r="B33" s="262" t="s">
        <v>185</v>
      </c>
      <c r="C33" s="263"/>
      <c r="D33" s="234"/>
      <c r="E33" s="49" t="s">
        <v>168</v>
      </c>
      <c r="F33" s="312">
        <v>0</v>
      </c>
      <c r="G33" s="287">
        <v>300000</v>
      </c>
      <c r="H33" s="233">
        <f t="shared" ref="H33:H39" si="1">F33*G33</f>
        <v>0</v>
      </c>
      <c r="I33" s="234"/>
    </row>
    <row r="34" spans="1:9" ht="15.95" customHeight="1" x14ac:dyDescent="0.3">
      <c r="A34" s="463"/>
      <c r="B34" s="264" t="s">
        <v>186</v>
      </c>
      <c r="C34" s="265"/>
      <c r="D34" s="37"/>
      <c r="E34" s="38" t="s">
        <v>168</v>
      </c>
      <c r="F34" s="288">
        <v>0</v>
      </c>
      <c r="G34" s="266">
        <v>300000</v>
      </c>
      <c r="H34" s="166">
        <f t="shared" si="1"/>
        <v>0</v>
      </c>
      <c r="I34" s="37"/>
    </row>
    <row r="35" spans="1:9" ht="15.95" customHeight="1" x14ac:dyDescent="0.3">
      <c r="A35" s="463"/>
      <c r="B35" s="264" t="s">
        <v>187</v>
      </c>
      <c r="C35" s="265"/>
      <c r="D35" s="37"/>
      <c r="E35" s="38" t="s">
        <v>168</v>
      </c>
      <c r="F35" s="288">
        <v>0</v>
      </c>
      <c r="G35" s="266">
        <v>300000</v>
      </c>
      <c r="H35" s="166">
        <f t="shared" si="1"/>
        <v>0</v>
      </c>
      <c r="I35" s="37"/>
    </row>
    <row r="36" spans="1:9" ht="15.95" customHeight="1" x14ac:dyDescent="0.3">
      <c r="A36" s="463"/>
      <c r="B36" s="264" t="s">
        <v>188</v>
      </c>
      <c r="C36" s="265"/>
      <c r="D36" s="37"/>
      <c r="E36" s="38" t="s">
        <v>168</v>
      </c>
      <c r="F36" s="288">
        <v>0</v>
      </c>
      <c r="G36" s="266">
        <v>300000</v>
      </c>
      <c r="H36" s="166">
        <f t="shared" si="1"/>
        <v>0</v>
      </c>
      <c r="I36" s="37"/>
    </row>
    <row r="37" spans="1:9" ht="15.95" customHeight="1" x14ac:dyDescent="0.3">
      <c r="A37" s="463"/>
      <c r="B37" s="264" t="s">
        <v>189</v>
      </c>
      <c r="C37" s="265"/>
      <c r="D37" s="37"/>
      <c r="E37" s="38" t="s">
        <v>168</v>
      </c>
      <c r="F37" s="288">
        <v>0</v>
      </c>
      <c r="G37" s="266">
        <v>300000</v>
      </c>
      <c r="H37" s="166">
        <f t="shared" si="1"/>
        <v>0</v>
      </c>
      <c r="I37" s="37"/>
    </row>
    <row r="38" spans="1:9" ht="15.95" customHeight="1" x14ac:dyDescent="0.3">
      <c r="A38" s="463"/>
      <c r="B38" s="264" t="s">
        <v>190</v>
      </c>
      <c r="C38" s="265"/>
      <c r="D38" s="37"/>
      <c r="E38" s="38" t="s">
        <v>168</v>
      </c>
      <c r="F38" s="288">
        <v>0</v>
      </c>
      <c r="G38" s="266">
        <v>300000</v>
      </c>
      <c r="H38" s="166">
        <f t="shared" si="1"/>
        <v>0</v>
      </c>
      <c r="I38" s="37"/>
    </row>
    <row r="39" spans="1:9" ht="15.95" customHeight="1" x14ac:dyDescent="0.3">
      <c r="A39" s="463"/>
      <c r="B39" s="268" t="s">
        <v>221</v>
      </c>
      <c r="C39" s="269"/>
      <c r="D39" s="40"/>
      <c r="E39" s="39" t="s">
        <v>168</v>
      </c>
      <c r="F39" s="297">
        <v>0</v>
      </c>
      <c r="G39" s="282">
        <v>250000</v>
      </c>
      <c r="H39" s="176">
        <f t="shared" si="1"/>
        <v>0</v>
      </c>
      <c r="I39" s="40"/>
    </row>
    <row r="40" spans="1:9" ht="15.95" customHeight="1" x14ac:dyDescent="0.3">
      <c r="A40" s="253"/>
      <c r="B40" s="270" t="s">
        <v>174</v>
      </c>
      <c r="C40" s="255"/>
      <c r="D40" s="44"/>
      <c r="E40" s="44"/>
      <c r="F40" s="227"/>
      <c r="G40" s="227"/>
      <c r="H40" s="227">
        <f>SUM(H32:H39)</f>
        <v>0</v>
      </c>
      <c r="I40" s="225"/>
    </row>
    <row r="41" spans="1:9" ht="15.95" customHeight="1" x14ac:dyDescent="0.3">
      <c r="A41" s="259"/>
      <c r="B41" s="270" t="s">
        <v>192</v>
      </c>
      <c r="C41" s="255"/>
      <c r="D41" s="44"/>
      <c r="E41" s="44"/>
      <c r="F41" s="48"/>
      <c r="G41" s="48"/>
      <c r="H41" s="257">
        <f>'단위공사별(집계)'!L11+'단위공사별(집계)'!I11</f>
        <v>0</v>
      </c>
      <c r="I41" s="44"/>
    </row>
    <row r="42" spans="1:9" ht="15.95" customHeight="1" x14ac:dyDescent="0.3">
      <c r="A42" s="259"/>
      <c r="B42" s="270" t="s">
        <v>93</v>
      </c>
      <c r="C42" s="255"/>
      <c r="D42" s="44"/>
      <c r="E42" s="44"/>
      <c r="F42" s="48"/>
      <c r="G42" s="272"/>
      <c r="H42" s="273">
        <f>(H40+H31)*0.05</f>
        <v>0</v>
      </c>
      <c r="I42" s="255"/>
    </row>
    <row r="43" spans="1:9" ht="15.95" customHeight="1" x14ac:dyDescent="0.3">
      <c r="A43" s="259"/>
      <c r="B43" s="270" t="s">
        <v>177</v>
      </c>
      <c r="C43" s="255"/>
      <c r="D43" s="44"/>
      <c r="E43" s="44"/>
      <c r="F43" s="48"/>
      <c r="G43" s="272"/>
      <c r="H43" s="273">
        <f>(H40+H31)*0.1</f>
        <v>0</v>
      </c>
      <c r="I43" s="255"/>
    </row>
    <row r="44" spans="1:9" ht="15.95" customHeight="1" x14ac:dyDescent="0.3">
      <c r="A44" s="259"/>
      <c r="B44" s="270" t="s">
        <v>178</v>
      </c>
      <c r="C44" s="255"/>
      <c r="D44" s="44"/>
      <c r="E44" s="44"/>
      <c r="F44" s="48"/>
      <c r="G44" s="48"/>
      <c r="H44" s="227">
        <f>H31+H40+H41+H42+H43</f>
        <v>0</v>
      </c>
      <c r="I44" s="44"/>
    </row>
    <row r="45" spans="1:9" x14ac:dyDescent="0.3">
      <c r="A45" s="26"/>
    </row>
  </sheetData>
  <mergeCells count="3">
    <mergeCell ref="A2:B2"/>
    <mergeCell ref="A3:A30"/>
    <mergeCell ref="A32:A3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I52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H42" sqref="H42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222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233">
        <f>IF(F3=0,G3,G3*F3)</f>
        <v>0</v>
      </c>
      <c r="I3" s="234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251"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10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 t="shared" si="0"/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08"/>
      <c r="E9" s="216"/>
      <c r="F9" s="218"/>
      <c r="G9" s="218"/>
      <c r="H9" s="166">
        <f t="shared" si="0"/>
        <v>0</v>
      </c>
      <c r="I9" s="37"/>
    </row>
    <row r="10" spans="1:9" ht="15.95" customHeight="1" x14ac:dyDescent="0.3">
      <c r="A10" s="463"/>
      <c r="B10" s="207"/>
      <c r="C10" s="208"/>
      <c r="D10" s="208"/>
      <c r="E10" s="216"/>
      <c r="F10" s="218"/>
      <c r="G10" s="218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19"/>
      <c r="D11" s="293"/>
      <c r="E11" s="294"/>
      <c r="F11" s="238"/>
      <c r="G11" s="267"/>
      <c r="H11" s="314">
        <v>0</v>
      </c>
      <c r="I11" s="240"/>
    </row>
    <row r="12" spans="1:9" ht="15.95" customHeight="1" x14ac:dyDescent="0.3">
      <c r="A12" s="463"/>
      <c r="B12" s="223"/>
      <c r="C12" s="242"/>
      <c r="D12" s="242"/>
      <c r="E12" s="243"/>
      <c r="F12" s="245"/>
      <c r="G12" s="245"/>
      <c r="H12" s="246">
        <f>SUM(H3:H11)</f>
        <v>0</v>
      </c>
      <c r="I12" s="242"/>
    </row>
    <row r="13" spans="1:9" ht="15.95" customHeight="1" x14ac:dyDescent="0.3">
      <c r="A13" s="463"/>
      <c r="B13" s="207" t="s">
        <v>181</v>
      </c>
      <c r="C13" s="209"/>
      <c r="D13" s="209"/>
      <c r="E13" s="283"/>
      <c r="F13" s="215"/>
      <c r="G13" s="215"/>
      <c r="H13" s="213">
        <f>IF(F13=0,G13,G13*F13)</f>
        <v>0</v>
      </c>
      <c r="I13" s="214"/>
    </row>
    <row r="14" spans="1:9" ht="15.95" customHeight="1" x14ac:dyDescent="0.3">
      <c r="A14" s="463"/>
      <c r="B14" s="207" t="s">
        <v>182</v>
      </c>
      <c r="C14" s="208"/>
      <c r="D14" s="208"/>
      <c r="E14" s="216"/>
      <c r="F14" s="218"/>
      <c r="G14" s="218"/>
      <c r="H14" s="166">
        <f>IF(F14=0,G14,G14*F14)</f>
        <v>0</v>
      </c>
      <c r="I14" s="37"/>
    </row>
    <row r="15" spans="1:9" ht="15.95" customHeight="1" x14ac:dyDescent="0.3">
      <c r="A15" s="463"/>
      <c r="B15" s="207"/>
      <c r="C15" s="208"/>
      <c r="D15" s="208"/>
      <c r="E15" s="216"/>
      <c r="F15" s="218"/>
      <c r="G15" s="218"/>
      <c r="H15" s="166">
        <f>IF(F15=0,G15,G15*F15)</f>
        <v>0</v>
      </c>
      <c r="I15" s="37"/>
    </row>
    <row r="16" spans="1:9" ht="15.95" customHeight="1" x14ac:dyDescent="0.3">
      <c r="A16" s="463"/>
      <c r="B16" s="207"/>
      <c r="C16" s="208"/>
      <c r="D16" s="208"/>
      <c r="E16" s="216"/>
      <c r="F16" s="218"/>
      <c r="G16" s="218"/>
      <c r="H16" s="166">
        <f>IF(F16=0,G16,G16*F16)</f>
        <v>0</v>
      </c>
      <c r="I16" s="37"/>
    </row>
    <row r="17" spans="1:9" ht="15.95" customHeight="1" x14ac:dyDescent="0.3">
      <c r="A17" s="463"/>
      <c r="B17" s="207"/>
      <c r="C17" s="219"/>
      <c r="D17" s="219"/>
      <c r="E17" s="220"/>
      <c r="F17" s="222"/>
      <c r="G17" s="222"/>
      <c r="H17" s="166">
        <f>IF(F17=0,G17,G17*F17)</f>
        <v>0</v>
      </c>
      <c r="I17" s="40"/>
    </row>
    <row r="18" spans="1:9" ht="15.95" customHeight="1" x14ac:dyDescent="0.3">
      <c r="A18" s="463"/>
      <c r="B18" s="223"/>
      <c r="C18" s="224"/>
      <c r="D18" s="225"/>
      <c r="E18" s="204"/>
      <c r="F18" s="285"/>
      <c r="G18" s="227"/>
      <c r="H18" s="48">
        <f>SUM(H13:H17)</f>
        <v>0</v>
      </c>
      <c r="I18" s="44"/>
    </row>
    <row r="19" spans="1:9" ht="15.95" customHeight="1" x14ac:dyDescent="0.3">
      <c r="A19" s="463"/>
      <c r="B19" s="247" t="s">
        <v>183</v>
      </c>
      <c r="C19" s="277"/>
      <c r="D19" s="277"/>
      <c r="E19" s="279"/>
      <c r="F19" s="266"/>
      <c r="G19" s="266"/>
      <c r="H19" s="233"/>
      <c r="I19" s="37"/>
    </row>
    <row r="20" spans="1:9" ht="15.95" customHeight="1" x14ac:dyDescent="0.3">
      <c r="A20" s="463"/>
      <c r="B20" s="207" t="s">
        <v>184</v>
      </c>
      <c r="C20" s="277"/>
      <c r="D20" s="277"/>
      <c r="E20" s="279"/>
      <c r="F20" s="266"/>
      <c r="G20" s="266"/>
      <c r="H20" s="251">
        <v>0</v>
      </c>
      <c r="I20" s="37"/>
    </row>
    <row r="21" spans="1:9" ht="15.95" customHeight="1" x14ac:dyDescent="0.3">
      <c r="A21" s="463"/>
      <c r="B21" s="207"/>
      <c r="C21" s="277"/>
      <c r="D21" s="277"/>
      <c r="E21" s="279"/>
      <c r="F21" s="266"/>
      <c r="G21" s="266"/>
      <c r="H21" s="251">
        <v>0</v>
      </c>
      <c r="I21" s="37"/>
    </row>
    <row r="22" spans="1:9" ht="15.95" customHeight="1" x14ac:dyDescent="0.3">
      <c r="A22" s="463"/>
      <c r="B22" s="207"/>
      <c r="C22" s="277"/>
      <c r="D22" s="277"/>
      <c r="E22" s="279"/>
      <c r="F22" s="266"/>
      <c r="G22" s="266"/>
      <c r="H22" s="251">
        <v>0</v>
      </c>
      <c r="I22" s="37"/>
    </row>
    <row r="23" spans="1:9" ht="15.95" customHeight="1" x14ac:dyDescent="0.3">
      <c r="A23" s="463"/>
      <c r="B23" s="207"/>
      <c r="C23" s="277"/>
      <c r="D23" s="277"/>
      <c r="E23" s="279"/>
      <c r="F23" s="266"/>
      <c r="G23" s="266"/>
      <c r="H23" s="166"/>
      <c r="I23" s="37"/>
    </row>
    <row r="24" spans="1:9" ht="15.95" customHeight="1" x14ac:dyDescent="0.3">
      <c r="A24" s="463"/>
      <c r="B24" s="207"/>
      <c r="C24" s="208"/>
      <c r="D24" s="208"/>
      <c r="E24" s="279"/>
      <c r="F24" s="266"/>
      <c r="G24" s="266"/>
      <c r="H24" s="166"/>
      <c r="I24" s="37"/>
    </row>
    <row r="25" spans="1:9" ht="15.95" customHeight="1" x14ac:dyDescent="0.3">
      <c r="A25" s="463"/>
      <c r="B25" s="207"/>
      <c r="C25" s="208"/>
      <c r="D25" s="208"/>
      <c r="E25" s="279"/>
      <c r="F25" s="266"/>
      <c r="G25" s="266"/>
      <c r="H25" s="166"/>
      <c r="I25" s="37"/>
    </row>
    <row r="26" spans="1:9" ht="15.95" customHeight="1" x14ac:dyDescent="0.3">
      <c r="A26" s="463"/>
      <c r="B26" s="207"/>
      <c r="C26" s="208"/>
      <c r="D26" s="208"/>
      <c r="E26" s="216"/>
      <c r="F26" s="218"/>
      <c r="G26" s="218"/>
      <c r="H26" s="166"/>
      <c r="I26" s="37"/>
    </row>
    <row r="27" spans="1:9" ht="15.95" customHeight="1" x14ac:dyDescent="0.3">
      <c r="A27" s="463"/>
      <c r="B27" s="207"/>
      <c r="C27" s="208"/>
      <c r="D27" s="208"/>
      <c r="E27" s="216"/>
      <c r="F27" s="218"/>
      <c r="G27" s="218"/>
      <c r="H27" s="166"/>
      <c r="I27" s="37"/>
    </row>
    <row r="28" spans="1:9" ht="15.95" customHeight="1" x14ac:dyDescent="0.3">
      <c r="A28" s="463"/>
      <c r="B28" s="207"/>
      <c r="C28" s="219"/>
      <c r="D28" s="220"/>
      <c r="E28" s="220"/>
      <c r="F28" s="297"/>
      <c r="G28" s="222"/>
      <c r="H28" s="315">
        <v>0</v>
      </c>
      <c r="I28" s="40"/>
    </row>
    <row r="29" spans="1:9" ht="15.95" customHeight="1" x14ac:dyDescent="0.3">
      <c r="A29" s="463"/>
      <c r="B29" s="223"/>
      <c r="C29" s="224"/>
      <c r="D29" s="225"/>
      <c r="E29" s="204"/>
      <c r="F29" s="227"/>
      <c r="G29" s="227"/>
      <c r="H29" s="48">
        <f>SUM(H19:H28)</f>
        <v>0</v>
      </c>
      <c r="I29" s="44"/>
    </row>
    <row r="30" spans="1:9" ht="15.95" customHeight="1" x14ac:dyDescent="0.3">
      <c r="A30" s="463"/>
      <c r="B30" s="247" t="s">
        <v>61</v>
      </c>
      <c r="C30" s="208"/>
      <c r="D30" s="279"/>
      <c r="E30" s="279"/>
      <c r="F30" s="266"/>
      <c r="G30" s="218"/>
      <c r="H30" s="316">
        <v>0</v>
      </c>
      <c r="I30" s="234"/>
    </row>
    <row r="31" spans="1:9" ht="15.95" customHeight="1" x14ac:dyDescent="0.3">
      <c r="A31" s="463"/>
      <c r="B31" s="207"/>
      <c r="C31" s="208"/>
      <c r="D31" s="313"/>
      <c r="E31" s="279"/>
      <c r="F31" s="280"/>
      <c r="G31" s="218"/>
      <c r="H31" s="166"/>
      <c r="I31" s="37"/>
    </row>
    <row r="32" spans="1:9" ht="15.95" customHeight="1" x14ac:dyDescent="0.3">
      <c r="A32" s="463"/>
      <c r="B32" s="207"/>
      <c r="C32" s="208"/>
      <c r="D32" s="279"/>
      <c r="E32" s="279"/>
      <c r="F32" s="280"/>
      <c r="G32" s="218"/>
      <c r="H32" s="166"/>
      <c r="I32" s="37"/>
    </row>
    <row r="33" spans="1:9" ht="15.95" customHeight="1" x14ac:dyDescent="0.3">
      <c r="A33" s="463"/>
      <c r="B33" s="207"/>
      <c r="C33" s="208"/>
      <c r="D33" s="208"/>
      <c r="E33" s="279"/>
      <c r="F33" s="217"/>
      <c r="G33" s="218"/>
      <c r="H33" s="166"/>
      <c r="I33" s="37"/>
    </row>
    <row r="34" spans="1:9" ht="15.95" customHeight="1" x14ac:dyDescent="0.3">
      <c r="A34" s="463"/>
      <c r="B34" s="207"/>
      <c r="C34" s="208"/>
      <c r="D34" s="208"/>
      <c r="E34" s="279"/>
      <c r="F34" s="217"/>
      <c r="G34" s="218"/>
      <c r="H34" s="166"/>
      <c r="I34" s="37"/>
    </row>
    <row r="35" spans="1:9" ht="15.95" customHeight="1" x14ac:dyDescent="0.3">
      <c r="A35" s="463"/>
      <c r="B35" s="207"/>
      <c r="C35" s="208"/>
      <c r="D35" s="208"/>
      <c r="E35" s="279"/>
      <c r="F35" s="218"/>
      <c r="G35" s="218"/>
      <c r="H35" s="166"/>
      <c r="I35" s="37"/>
    </row>
    <row r="36" spans="1:9" ht="15.95" customHeight="1" x14ac:dyDescent="0.3">
      <c r="A36" s="463"/>
      <c r="B36" s="207"/>
      <c r="C36" s="219"/>
      <c r="D36" s="219"/>
      <c r="E36" s="281"/>
      <c r="F36" s="222"/>
      <c r="G36" s="222"/>
      <c r="H36" s="176"/>
      <c r="I36" s="40"/>
    </row>
    <row r="37" spans="1:9" ht="15.95" customHeight="1" x14ac:dyDescent="0.3">
      <c r="A37" s="463"/>
      <c r="B37" s="223"/>
      <c r="C37" s="224"/>
      <c r="D37" s="225"/>
      <c r="E37" s="204"/>
      <c r="F37" s="227"/>
      <c r="G37" s="227"/>
      <c r="H37" s="48"/>
      <c r="I37" s="44"/>
    </row>
    <row r="38" spans="1:9" ht="15.95" customHeight="1" x14ac:dyDescent="0.3">
      <c r="A38" s="253"/>
      <c r="B38" s="254" t="s">
        <v>165</v>
      </c>
      <c r="C38" s="255"/>
      <c r="D38" s="44"/>
      <c r="E38" s="205"/>
      <c r="F38" s="257"/>
      <c r="G38" s="257"/>
      <c r="H38" s="48">
        <f>SUM(H37,H29,H18,H12)</f>
        <v>0</v>
      </c>
      <c r="I38" s="44"/>
    </row>
    <row r="39" spans="1:9" ht="15.95" customHeight="1" x14ac:dyDescent="0.3">
      <c r="A39" s="459" t="s">
        <v>166</v>
      </c>
      <c r="B39" s="258" t="s">
        <v>67</v>
      </c>
      <c r="C39" s="255"/>
      <c r="D39" s="44"/>
      <c r="E39" s="259" t="s">
        <v>68</v>
      </c>
      <c r="F39" s="286">
        <v>0</v>
      </c>
      <c r="G39" s="286">
        <v>300000</v>
      </c>
      <c r="H39" s="261"/>
      <c r="I39" s="44"/>
    </row>
    <row r="40" spans="1:9" ht="15.95" customHeight="1" x14ac:dyDescent="0.3">
      <c r="A40" s="463"/>
      <c r="B40" s="262" t="s">
        <v>185</v>
      </c>
      <c r="C40" s="263"/>
      <c r="D40" s="234"/>
      <c r="E40" s="49" t="s">
        <v>168</v>
      </c>
      <c r="F40" s="287">
        <v>20</v>
      </c>
      <c r="G40" s="287">
        <v>300000</v>
      </c>
      <c r="H40" s="316">
        <v>0</v>
      </c>
      <c r="I40" s="234"/>
    </row>
    <row r="41" spans="1:9" ht="15.95" customHeight="1" x14ac:dyDescent="0.3">
      <c r="A41" s="463"/>
      <c r="B41" s="264" t="s">
        <v>186</v>
      </c>
      <c r="C41" s="265"/>
      <c r="D41" s="37"/>
      <c r="E41" s="38" t="s">
        <v>168</v>
      </c>
      <c r="F41" s="266">
        <v>15</v>
      </c>
      <c r="G41" s="266">
        <v>300000</v>
      </c>
      <c r="H41" s="251">
        <v>0</v>
      </c>
      <c r="I41" s="37"/>
    </row>
    <row r="42" spans="1:9" ht="15.95" customHeight="1" x14ac:dyDescent="0.3">
      <c r="A42" s="463"/>
      <c r="B42" s="264" t="s">
        <v>187</v>
      </c>
      <c r="C42" s="265"/>
      <c r="D42" s="37"/>
      <c r="E42" s="38" t="s">
        <v>168</v>
      </c>
      <c r="F42" s="266">
        <v>10</v>
      </c>
      <c r="G42" s="266">
        <v>300000</v>
      </c>
      <c r="H42" s="251">
        <v>0</v>
      </c>
      <c r="I42" s="37"/>
    </row>
    <row r="43" spans="1:9" ht="15.95" customHeight="1" x14ac:dyDescent="0.3">
      <c r="A43" s="463"/>
      <c r="B43" s="264" t="s">
        <v>188</v>
      </c>
      <c r="C43" s="265"/>
      <c r="D43" s="37"/>
      <c r="E43" s="38" t="s">
        <v>168</v>
      </c>
      <c r="F43" s="266">
        <v>0</v>
      </c>
      <c r="G43" s="266">
        <v>300000</v>
      </c>
      <c r="H43" s="166">
        <v>0</v>
      </c>
      <c r="I43" s="37"/>
    </row>
    <row r="44" spans="1:9" ht="15.95" customHeight="1" x14ac:dyDescent="0.3">
      <c r="A44" s="463"/>
      <c r="B44" s="264" t="s">
        <v>189</v>
      </c>
      <c r="C44" s="265"/>
      <c r="D44" s="37"/>
      <c r="E44" s="38" t="s">
        <v>168</v>
      </c>
      <c r="F44" s="266">
        <v>0</v>
      </c>
      <c r="G44" s="266">
        <v>300000</v>
      </c>
      <c r="H44" s="166">
        <v>0</v>
      </c>
      <c r="I44" s="37"/>
    </row>
    <row r="45" spans="1:9" ht="15.95" customHeight="1" x14ac:dyDescent="0.3">
      <c r="A45" s="463"/>
      <c r="B45" s="264" t="s">
        <v>190</v>
      </c>
      <c r="C45" s="265"/>
      <c r="D45" s="37"/>
      <c r="E45" s="38" t="s">
        <v>168</v>
      </c>
      <c r="F45" s="266">
        <v>0</v>
      </c>
      <c r="G45" s="266">
        <v>300000</v>
      </c>
      <c r="H45" s="166">
        <v>0</v>
      </c>
      <c r="I45" s="37"/>
    </row>
    <row r="46" spans="1:9" ht="15.95" customHeight="1" x14ac:dyDescent="0.3">
      <c r="A46" s="463"/>
      <c r="B46" s="268" t="s">
        <v>191</v>
      </c>
      <c r="C46" s="269"/>
      <c r="D46" s="40"/>
      <c r="E46" s="39" t="s">
        <v>168</v>
      </c>
      <c r="F46" s="282">
        <v>3</v>
      </c>
      <c r="G46" s="282">
        <v>250000</v>
      </c>
      <c r="H46" s="315">
        <v>0</v>
      </c>
      <c r="I46" s="40"/>
    </row>
    <row r="47" spans="1:9" ht="15.95" customHeight="1" x14ac:dyDescent="0.3">
      <c r="A47" s="253"/>
      <c r="B47" s="270" t="s">
        <v>174</v>
      </c>
      <c r="C47" s="255"/>
      <c r="D47" s="44"/>
      <c r="E47" s="44"/>
      <c r="F47" s="227"/>
      <c r="G47" s="227"/>
      <c r="H47" s="227">
        <f>SUM(H39:H46)</f>
        <v>0</v>
      </c>
      <c r="I47" s="225"/>
    </row>
    <row r="48" spans="1:9" ht="15.95" customHeight="1" x14ac:dyDescent="0.3">
      <c r="A48" s="259"/>
      <c r="B48" s="270" t="s">
        <v>192</v>
      </c>
      <c r="C48" s="255"/>
      <c r="D48" s="44"/>
      <c r="E48" s="44"/>
      <c r="F48" s="48"/>
      <c r="G48" s="48"/>
      <c r="H48" s="257">
        <f>'단위공사별(집계)'!L12+'단위공사별(집계)'!I12</f>
        <v>0</v>
      </c>
      <c r="I48" s="44"/>
    </row>
    <row r="49" spans="1:9" ht="15.95" customHeight="1" x14ac:dyDescent="0.3">
      <c r="A49" s="259"/>
      <c r="B49" s="270" t="s">
        <v>93</v>
      </c>
      <c r="C49" s="255"/>
      <c r="D49" s="44"/>
      <c r="E49" s="44"/>
      <c r="F49" s="48"/>
      <c r="G49" s="272"/>
      <c r="H49" s="273">
        <f>(H47+H38)*0.05</f>
        <v>0</v>
      </c>
      <c r="I49" s="255"/>
    </row>
    <row r="50" spans="1:9" ht="15.95" customHeight="1" x14ac:dyDescent="0.3">
      <c r="A50" s="259"/>
      <c r="B50" s="270" t="s">
        <v>177</v>
      </c>
      <c r="C50" s="255"/>
      <c r="D50" s="44"/>
      <c r="E50" s="44"/>
      <c r="F50" s="48"/>
      <c r="G50" s="272"/>
      <c r="H50" s="273">
        <f>(H47+H38)*0.1</f>
        <v>0</v>
      </c>
      <c r="I50" s="255"/>
    </row>
    <row r="51" spans="1:9" ht="15.95" customHeight="1" x14ac:dyDescent="0.3">
      <c r="A51" s="259"/>
      <c r="B51" s="270" t="s">
        <v>178</v>
      </c>
      <c r="C51" s="255"/>
      <c r="D51" s="44"/>
      <c r="E51" s="44"/>
      <c r="F51" s="48"/>
      <c r="G51" s="48"/>
      <c r="H51" s="227">
        <f>H38+H47+H48+H49+H50</f>
        <v>0</v>
      </c>
      <c r="I51" s="44"/>
    </row>
    <row r="52" spans="1:9" x14ac:dyDescent="0.3">
      <c r="A52" s="26"/>
    </row>
  </sheetData>
  <mergeCells count="3">
    <mergeCell ref="A2:B2"/>
    <mergeCell ref="A3:A37"/>
    <mergeCell ref="A39:A4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5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J64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G23" sqref="G23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223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 t="s">
        <v>224</v>
      </c>
      <c r="D3" s="277"/>
      <c r="E3" s="279" t="s">
        <v>203</v>
      </c>
      <c r="F3" s="266">
        <v>4</v>
      </c>
      <c r="G3" s="266">
        <v>350000</v>
      </c>
      <c r="H3" s="233">
        <f>IF(F3=0,G3,G3*F3)</f>
        <v>1400000</v>
      </c>
      <c r="I3" s="234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48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93"/>
      <c r="E9" s="317"/>
      <c r="F9" s="267"/>
      <c r="G9" s="267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08"/>
      <c r="E10" s="216"/>
      <c r="F10" s="218"/>
      <c r="G10" s="218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08"/>
      <c r="D11" s="208"/>
      <c r="E11" s="216"/>
      <c r="F11" s="21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1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08"/>
      <c r="D13" s="208"/>
      <c r="E13" s="216"/>
      <c r="F13" s="21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19"/>
      <c r="D14" s="293"/>
      <c r="E14" s="294"/>
      <c r="F14" s="238"/>
      <c r="G14" s="267"/>
      <c r="H14" s="239">
        <f t="shared" si="0"/>
        <v>0</v>
      </c>
      <c r="I14" s="240"/>
    </row>
    <row r="15" spans="1:9" ht="15.95" customHeight="1" x14ac:dyDescent="0.3">
      <c r="A15" s="463"/>
      <c r="B15" s="223"/>
      <c r="C15" s="242"/>
      <c r="D15" s="242"/>
      <c r="E15" s="243"/>
      <c r="F15" s="245"/>
      <c r="G15" s="245"/>
      <c r="H15" s="246">
        <f>SUM(H3:H14)</f>
        <v>1400000</v>
      </c>
      <c r="I15" s="242"/>
    </row>
    <row r="16" spans="1:9" ht="15.95" customHeight="1" x14ac:dyDescent="0.3">
      <c r="A16" s="463"/>
      <c r="B16" s="207" t="s">
        <v>181</v>
      </c>
      <c r="C16" s="209"/>
      <c r="D16" s="209"/>
      <c r="E16" s="283"/>
      <c r="F16" s="215"/>
      <c r="G16" s="215"/>
      <c r="H16" s="213">
        <f t="shared" si="0"/>
        <v>0</v>
      </c>
      <c r="I16" s="214"/>
    </row>
    <row r="17" spans="1:10" ht="15.95" customHeight="1" x14ac:dyDescent="0.3">
      <c r="A17" s="463"/>
      <c r="B17" s="207" t="s">
        <v>182</v>
      </c>
      <c r="C17" s="208"/>
      <c r="D17" s="208"/>
      <c r="E17" s="216"/>
      <c r="F17" s="218"/>
      <c r="G17" s="218"/>
      <c r="H17" s="166">
        <f t="shared" si="0"/>
        <v>0</v>
      </c>
      <c r="I17" s="37"/>
    </row>
    <row r="18" spans="1:10" ht="15.95" customHeight="1" x14ac:dyDescent="0.3">
      <c r="A18" s="463"/>
      <c r="B18" s="207"/>
      <c r="C18" s="208"/>
      <c r="D18" s="208"/>
      <c r="E18" s="216"/>
      <c r="F18" s="218"/>
      <c r="G18" s="218"/>
      <c r="H18" s="166">
        <f t="shared" si="0"/>
        <v>0</v>
      </c>
      <c r="I18" s="37"/>
    </row>
    <row r="19" spans="1:10" ht="15.95" customHeight="1" x14ac:dyDescent="0.3">
      <c r="A19" s="463"/>
      <c r="B19" s="207"/>
      <c r="C19" s="208"/>
      <c r="D19" s="208"/>
      <c r="E19" s="216"/>
      <c r="F19" s="218"/>
      <c r="G19" s="218"/>
      <c r="H19" s="166">
        <f t="shared" si="0"/>
        <v>0</v>
      </c>
      <c r="I19" s="37"/>
    </row>
    <row r="20" spans="1:10" ht="15.95" customHeight="1" x14ac:dyDescent="0.3">
      <c r="A20" s="463"/>
      <c r="B20" s="207"/>
      <c r="C20" s="219" t="s">
        <v>202</v>
      </c>
      <c r="D20" s="219"/>
      <c r="E20" s="220"/>
      <c r="F20" s="222"/>
      <c r="G20" s="222"/>
      <c r="H20" s="166">
        <f t="shared" si="0"/>
        <v>0</v>
      </c>
      <c r="I20" s="40"/>
    </row>
    <row r="21" spans="1:10" ht="15.95" customHeight="1" x14ac:dyDescent="0.3">
      <c r="A21" s="463"/>
      <c r="B21" s="223"/>
      <c r="C21" s="224"/>
      <c r="D21" s="225"/>
      <c r="E21" s="204"/>
      <c r="F21" s="285"/>
      <c r="G21" s="227"/>
      <c r="H21" s="48">
        <f>SUM(H16:H20)</f>
        <v>0</v>
      </c>
      <c r="I21" s="44"/>
    </row>
    <row r="22" spans="1:10" ht="15.95" customHeight="1" x14ac:dyDescent="0.3">
      <c r="A22" s="463"/>
      <c r="B22" s="247" t="s">
        <v>183</v>
      </c>
      <c r="C22" s="277" t="s">
        <v>225</v>
      </c>
      <c r="D22" s="229" t="s">
        <v>226</v>
      </c>
      <c r="E22" s="230" t="s">
        <v>59</v>
      </c>
      <c r="F22" s="232">
        <v>2</v>
      </c>
      <c r="G22" s="232">
        <v>33000000</v>
      </c>
      <c r="H22" s="233">
        <f t="shared" si="0"/>
        <v>66000000</v>
      </c>
      <c r="I22" s="234" t="s">
        <v>227</v>
      </c>
    </row>
    <row r="23" spans="1:10" ht="15.95" customHeight="1" x14ac:dyDescent="0.3">
      <c r="A23" s="463"/>
      <c r="B23" s="207" t="s">
        <v>184</v>
      </c>
      <c r="C23" s="208" t="s">
        <v>228</v>
      </c>
      <c r="D23" s="208"/>
      <c r="E23" s="279" t="s">
        <v>59</v>
      </c>
      <c r="F23" s="218">
        <v>4</v>
      </c>
      <c r="G23" s="326">
        <v>9000000</v>
      </c>
      <c r="H23" s="327">
        <f t="shared" si="0"/>
        <v>36000000</v>
      </c>
      <c r="I23" s="328" t="s">
        <v>227</v>
      </c>
      <c r="J23" s="329"/>
    </row>
    <row r="24" spans="1:10" ht="15.95" customHeight="1" x14ac:dyDescent="0.3">
      <c r="A24" s="463"/>
      <c r="B24" s="207"/>
      <c r="C24" s="208" t="s">
        <v>229</v>
      </c>
      <c r="D24" s="208" t="s">
        <v>230</v>
      </c>
      <c r="E24" s="279" t="s">
        <v>140</v>
      </c>
      <c r="F24" s="218">
        <v>1</v>
      </c>
      <c r="G24" s="218">
        <v>4000000</v>
      </c>
      <c r="H24" s="166">
        <f t="shared" si="0"/>
        <v>4000000</v>
      </c>
      <c r="I24" s="37"/>
    </row>
    <row r="25" spans="1:10" ht="15.95" customHeight="1" x14ac:dyDescent="0.3">
      <c r="A25" s="463"/>
      <c r="B25" s="207"/>
      <c r="C25" s="208"/>
      <c r="D25" s="208"/>
      <c r="E25" s="279"/>
      <c r="F25" s="218"/>
      <c r="G25" s="218"/>
      <c r="H25" s="166">
        <f t="shared" si="0"/>
        <v>0</v>
      </c>
      <c r="I25" s="37"/>
    </row>
    <row r="26" spans="1:10" ht="15.95" customHeight="1" x14ac:dyDescent="0.3">
      <c r="A26" s="463"/>
      <c r="B26" s="207"/>
      <c r="C26" s="208"/>
      <c r="D26" s="208"/>
      <c r="E26" s="279"/>
      <c r="F26" s="218"/>
      <c r="G26" s="218"/>
      <c r="H26" s="166">
        <f t="shared" si="0"/>
        <v>0</v>
      </c>
      <c r="I26" s="37"/>
    </row>
    <row r="27" spans="1:10" ht="15.95" customHeight="1" x14ac:dyDescent="0.3">
      <c r="A27" s="463"/>
      <c r="B27" s="207"/>
      <c r="C27" s="208"/>
      <c r="D27" s="208"/>
      <c r="E27" s="279"/>
      <c r="F27" s="218"/>
      <c r="G27" s="218"/>
      <c r="H27" s="166">
        <f>IF(F27=0,G27,G27*F27)</f>
        <v>0</v>
      </c>
      <c r="I27" s="37"/>
    </row>
    <row r="28" spans="1:10" ht="15.95" customHeight="1" x14ac:dyDescent="0.3">
      <c r="A28" s="463"/>
      <c r="B28" s="207"/>
      <c r="C28" s="208"/>
      <c r="D28" s="277"/>
      <c r="E28" s="279"/>
      <c r="F28" s="218"/>
      <c r="G28" s="218"/>
      <c r="H28" s="166">
        <f t="shared" si="0"/>
        <v>0</v>
      </c>
      <c r="I28" s="37"/>
    </row>
    <row r="29" spans="1:10" ht="15.95" customHeight="1" x14ac:dyDescent="0.3">
      <c r="A29" s="463"/>
      <c r="B29" s="207"/>
      <c r="C29" s="208"/>
      <c r="D29" s="208"/>
      <c r="E29" s="279"/>
      <c r="F29" s="218"/>
      <c r="G29" s="218"/>
      <c r="H29" s="166">
        <f t="shared" si="0"/>
        <v>0</v>
      </c>
      <c r="I29" s="37"/>
    </row>
    <row r="30" spans="1:10" ht="15.95" customHeight="1" x14ac:dyDescent="0.3">
      <c r="A30" s="463"/>
      <c r="B30" s="207"/>
      <c r="C30" s="277"/>
      <c r="D30" s="208"/>
      <c r="E30" s="216"/>
      <c r="F30" s="218"/>
      <c r="G30" s="218"/>
      <c r="H30" s="166">
        <f t="shared" si="0"/>
        <v>0</v>
      </c>
      <c r="I30" s="37"/>
    </row>
    <row r="31" spans="1:10" ht="15.95" customHeight="1" x14ac:dyDescent="0.3">
      <c r="A31" s="463"/>
      <c r="B31" s="207"/>
      <c r="C31" s="208"/>
      <c r="D31" s="208"/>
      <c r="E31" s="279"/>
      <c r="F31" s="218"/>
      <c r="G31" s="218"/>
      <c r="H31" s="166">
        <f t="shared" si="0"/>
        <v>0</v>
      </c>
      <c r="I31" s="37"/>
    </row>
    <row r="32" spans="1:10" ht="15.95" customHeight="1" x14ac:dyDescent="0.3">
      <c r="A32" s="463"/>
      <c r="B32" s="207"/>
      <c r="C32" s="208"/>
      <c r="D32" s="208"/>
      <c r="E32" s="279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08"/>
      <c r="D33" s="208"/>
      <c r="E33" s="279"/>
      <c r="F33" s="218"/>
      <c r="G33" s="218"/>
      <c r="H33" s="166">
        <f>IF(F33=0,G33,G33*F33)</f>
        <v>0</v>
      </c>
      <c r="I33" s="37"/>
    </row>
    <row r="34" spans="1:9" ht="15.95" customHeight="1" x14ac:dyDescent="0.3">
      <c r="A34" s="463"/>
      <c r="B34" s="207"/>
      <c r="C34" s="208"/>
      <c r="D34" s="208"/>
      <c r="E34" s="279"/>
      <c r="F34" s="218"/>
      <c r="G34" s="218"/>
      <c r="H34" s="166">
        <f>IF(F34=0,G34,G34*F34)</f>
        <v>0</v>
      </c>
      <c r="I34" s="37"/>
    </row>
    <row r="35" spans="1:9" ht="15.95" customHeight="1" x14ac:dyDescent="0.3">
      <c r="A35" s="463"/>
      <c r="B35" s="207"/>
      <c r="C35" s="208"/>
      <c r="D35" s="208"/>
      <c r="E35" s="279"/>
      <c r="F35" s="218"/>
      <c r="G35" s="218"/>
      <c r="H35" s="166">
        <f>IF(F35=0,G35,G35*F35)</f>
        <v>0</v>
      </c>
      <c r="I35" s="37"/>
    </row>
    <row r="36" spans="1:9" ht="15.95" customHeight="1" x14ac:dyDescent="0.3">
      <c r="A36" s="463"/>
      <c r="B36" s="207"/>
      <c r="C36" s="208"/>
      <c r="D36" s="208"/>
      <c r="E36" s="279"/>
      <c r="F36" s="218"/>
      <c r="G36" s="218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08"/>
      <c r="D37" s="208"/>
      <c r="E37" s="216"/>
      <c r="F37" s="218"/>
      <c r="G37" s="218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08"/>
      <c r="D38" s="208"/>
      <c r="E38" s="216"/>
      <c r="F38" s="218"/>
      <c r="G38" s="218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08"/>
      <c r="D39" s="208"/>
      <c r="E39" s="216"/>
      <c r="F39" s="218"/>
      <c r="G39" s="218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19" t="s">
        <v>231</v>
      </c>
      <c r="D40" s="220"/>
      <c r="E40" s="220" t="s">
        <v>59</v>
      </c>
      <c r="F40" s="297">
        <v>1</v>
      </c>
      <c r="G40" s="222">
        <v>1000000</v>
      </c>
      <c r="H40" s="176">
        <f t="shared" si="0"/>
        <v>1000000</v>
      </c>
      <c r="I40" s="40"/>
    </row>
    <row r="41" spans="1:9" ht="15.95" customHeight="1" x14ac:dyDescent="0.3">
      <c r="A41" s="463"/>
      <c r="B41" s="223"/>
      <c r="C41" s="224"/>
      <c r="D41" s="225"/>
      <c r="E41" s="204"/>
      <c r="F41" s="227"/>
      <c r="G41" s="227"/>
      <c r="H41" s="48">
        <f>SUM(H22:H40)</f>
        <v>107000000</v>
      </c>
      <c r="I41" s="44"/>
    </row>
    <row r="42" spans="1:9" ht="15.95" customHeight="1" x14ac:dyDescent="0.3">
      <c r="A42" s="463"/>
      <c r="B42" s="247" t="s">
        <v>61</v>
      </c>
      <c r="C42" s="208"/>
      <c r="D42" s="279"/>
      <c r="E42" s="279"/>
      <c r="F42" s="280"/>
      <c r="G42" s="218"/>
      <c r="H42" s="233">
        <f t="shared" si="0"/>
        <v>0</v>
      </c>
      <c r="I42" s="234"/>
    </row>
    <row r="43" spans="1:9" ht="15.95" customHeight="1" x14ac:dyDescent="0.3">
      <c r="A43" s="463"/>
      <c r="B43" s="207"/>
      <c r="C43" s="208"/>
      <c r="D43" s="279"/>
      <c r="E43" s="279"/>
      <c r="F43" s="280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79"/>
      <c r="E44" s="279"/>
      <c r="F44" s="280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08"/>
      <c r="E45" s="216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08"/>
      <c r="D46" s="208"/>
      <c r="E46" s="216"/>
      <c r="F46" s="218"/>
      <c r="G46" s="218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08"/>
      <c r="D47" s="208"/>
      <c r="E47" s="216"/>
      <c r="F47" s="218"/>
      <c r="G47" s="218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19" t="s">
        <v>202</v>
      </c>
      <c r="D48" s="219"/>
      <c r="E48" s="220" t="s">
        <v>203</v>
      </c>
      <c r="F48" s="221"/>
      <c r="G48" s="222"/>
      <c r="H48" s="176">
        <f t="shared" si="0"/>
        <v>0</v>
      </c>
      <c r="I48" s="40"/>
    </row>
    <row r="49" spans="1:9" ht="15.95" customHeight="1" x14ac:dyDescent="0.3">
      <c r="A49" s="463"/>
      <c r="B49" s="223"/>
      <c r="C49" s="224"/>
      <c r="D49" s="225"/>
      <c r="E49" s="204"/>
      <c r="F49" s="227"/>
      <c r="G49" s="227"/>
      <c r="H49" s="48">
        <f>SUM(H42:H48)</f>
        <v>0</v>
      </c>
      <c r="I49" s="44"/>
    </row>
    <row r="50" spans="1:9" ht="15.95" customHeight="1" x14ac:dyDescent="0.3">
      <c r="A50" s="253"/>
      <c r="B50" s="254" t="s">
        <v>165</v>
      </c>
      <c r="C50" s="255"/>
      <c r="D50" s="44"/>
      <c r="E50" s="205"/>
      <c r="F50" s="257"/>
      <c r="G50" s="257"/>
      <c r="H50" s="48">
        <f>SUM(H49,H41,H21,H15)</f>
        <v>108400000</v>
      </c>
      <c r="I50" s="44"/>
    </row>
    <row r="51" spans="1:9" ht="15.95" customHeight="1" x14ac:dyDescent="0.3">
      <c r="A51" s="459" t="s">
        <v>166</v>
      </c>
      <c r="B51" s="258" t="s">
        <v>67</v>
      </c>
      <c r="C51" s="255"/>
      <c r="D51" s="44"/>
      <c r="E51" s="259" t="s">
        <v>68</v>
      </c>
      <c r="F51" s="286">
        <v>0</v>
      </c>
      <c r="G51" s="286">
        <v>300000</v>
      </c>
      <c r="H51" s="261">
        <f>F51*G51</f>
        <v>0</v>
      </c>
      <c r="I51" s="44"/>
    </row>
    <row r="52" spans="1:9" ht="15.95" customHeight="1" x14ac:dyDescent="0.3">
      <c r="A52" s="463"/>
      <c r="B52" s="262" t="s">
        <v>185</v>
      </c>
      <c r="C52" s="263"/>
      <c r="D52" s="234"/>
      <c r="E52" s="49" t="s">
        <v>168</v>
      </c>
      <c r="F52" s="287">
        <v>0</v>
      </c>
      <c r="G52" s="287">
        <v>300000</v>
      </c>
      <c r="H52" s="233">
        <f t="shared" ref="H52:H58" si="1">F52*G52</f>
        <v>0</v>
      </c>
      <c r="I52" s="234"/>
    </row>
    <row r="53" spans="1:9" ht="15.95" customHeight="1" x14ac:dyDescent="0.3">
      <c r="A53" s="463"/>
      <c r="B53" s="264" t="s">
        <v>186</v>
      </c>
      <c r="C53" s="265"/>
      <c r="D53" s="37"/>
      <c r="E53" s="38" t="s">
        <v>168</v>
      </c>
      <c r="F53" s="266">
        <v>0</v>
      </c>
      <c r="G53" s="266">
        <v>300000</v>
      </c>
      <c r="H53" s="166">
        <f t="shared" si="1"/>
        <v>0</v>
      </c>
      <c r="I53" s="37"/>
    </row>
    <row r="54" spans="1:9" ht="15.95" customHeight="1" x14ac:dyDescent="0.3">
      <c r="A54" s="463"/>
      <c r="B54" s="264" t="s">
        <v>187</v>
      </c>
      <c r="C54" s="265"/>
      <c r="D54" s="37"/>
      <c r="E54" s="38" t="s">
        <v>168</v>
      </c>
      <c r="F54" s="266">
        <v>0</v>
      </c>
      <c r="G54" s="266">
        <v>300000</v>
      </c>
      <c r="H54" s="166">
        <f t="shared" si="1"/>
        <v>0</v>
      </c>
      <c r="I54" s="37"/>
    </row>
    <row r="55" spans="1:9" ht="15.95" customHeight="1" x14ac:dyDescent="0.3">
      <c r="A55" s="463"/>
      <c r="B55" s="264" t="s">
        <v>188</v>
      </c>
      <c r="C55" s="265"/>
      <c r="D55" s="37"/>
      <c r="E55" s="38" t="s">
        <v>168</v>
      </c>
      <c r="F55" s="266">
        <v>0</v>
      </c>
      <c r="G55" s="266">
        <v>300000</v>
      </c>
      <c r="H55" s="166">
        <f t="shared" si="1"/>
        <v>0</v>
      </c>
      <c r="I55" s="37"/>
    </row>
    <row r="56" spans="1:9" ht="15.95" customHeight="1" x14ac:dyDescent="0.3">
      <c r="A56" s="463"/>
      <c r="B56" s="264" t="s">
        <v>189</v>
      </c>
      <c r="C56" s="265"/>
      <c r="D56" s="37"/>
      <c r="E56" s="38" t="s">
        <v>168</v>
      </c>
      <c r="F56" s="266">
        <v>0</v>
      </c>
      <c r="G56" s="266">
        <v>300000</v>
      </c>
      <c r="H56" s="166">
        <f t="shared" si="1"/>
        <v>0</v>
      </c>
      <c r="I56" s="37"/>
    </row>
    <row r="57" spans="1:9" ht="15.95" customHeight="1" x14ac:dyDescent="0.3">
      <c r="A57" s="463"/>
      <c r="B57" s="264" t="s">
        <v>190</v>
      </c>
      <c r="C57" s="265"/>
      <c r="D57" s="37"/>
      <c r="E57" s="38" t="s">
        <v>168</v>
      </c>
      <c r="F57" s="266">
        <v>0</v>
      </c>
      <c r="G57" s="266">
        <v>300000</v>
      </c>
      <c r="H57" s="166">
        <f t="shared" si="1"/>
        <v>0</v>
      </c>
      <c r="I57" s="37"/>
    </row>
    <row r="58" spans="1:9" ht="15.95" customHeight="1" x14ac:dyDescent="0.3">
      <c r="A58" s="463"/>
      <c r="B58" s="268" t="s">
        <v>191</v>
      </c>
      <c r="C58" s="269"/>
      <c r="D58" s="40"/>
      <c r="E58" s="39" t="s">
        <v>168</v>
      </c>
      <c r="F58" s="282">
        <v>0</v>
      </c>
      <c r="G58" s="282">
        <v>250000</v>
      </c>
      <c r="H58" s="176">
        <f t="shared" si="1"/>
        <v>0</v>
      </c>
      <c r="I58" s="40"/>
    </row>
    <row r="59" spans="1:9" ht="15.95" customHeight="1" x14ac:dyDescent="0.3">
      <c r="A59" s="253"/>
      <c r="B59" s="270" t="s">
        <v>174</v>
      </c>
      <c r="C59" s="255"/>
      <c r="D59" s="44"/>
      <c r="E59" s="44"/>
      <c r="F59" s="227"/>
      <c r="G59" s="227"/>
      <c r="H59" s="227">
        <f>SUM(H51:H58)</f>
        <v>0</v>
      </c>
      <c r="I59" s="225"/>
    </row>
    <row r="60" spans="1:9" ht="15.95" customHeight="1" x14ac:dyDescent="0.3">
      <c r="A60" s="259"/>
      <c r="B60" s="270" t="s">
        <v>192</v>
      </c>
      <c r="C60" s="255"/>
      <c r="D60" s="44"/>
      <c r="E60" s="44"/>
      <c r="F60" s="48"/>
      <c r="G60" s="48"/>
      <c r="H60" s="257">
        <f>'단위공사별(집계)'!L13+'단위공사별(집계)'!I13</f>
        <v>2235652.6380619998</v>
      </c>
      <c r="I60" s="44"/>
    </row>
    <row r="61" spans="1:9" ht="15.95" customHeight="1" x14ac:dyDescent="0.3">
      <c r="A61" s="259"/>
      <c r="B61" s="270" t="s">
        <v>93</v>
      </c>
      <c r="C61" s="255"/>
      <c r="D61" s="44"/>
      <c r="E61" s="44"/>
      <c r="F61" s="48"/>
      <c r="G61" s="272"/>
      <c r="H61" s="273">
        <f>(H59+H50)*0.05</f>
        <v>5420000</v>
      </c>
      <c r="I61" s="255"/>
    </row>
    <row r="62" spans="1:9" ht="15.95" customHeight="1" x14ac:dyDescent="0.3">
      <c r="A62" s="259"/>
      <c r="B62" s="270" t="s">
        <v>177</v>
      </c>
      <c r="C62" s="255"/>
      <c r="D62" s="44"/>
      <c r="E62" s="44"/>
      <c r="F62" s="48"/>
      <c r="G62" s="272"/>
      <c r="H62" s="273">
        <f>(H59+H50)*0.1</f>
        <v>10840000</v>
      </c>
      <c r="I62" s="255"/>
    </row>
    <row r="63" spans="1:9" ht="15.95" customHeight="1" x14ac:dyDescent="0.3">
      <c r="A63" s="259"/>
      <c r="B63" s="270" t="s">
        <v>178</v>
      </c>
      <c r="C63" s="255"/>
      <c r="D63" s="44"/>
      <c r="E63" s="44"/>
      <c r="F63" s="48"/>
      <c r="G63" s="48"/>
      <c r="H63" s="227">
        <f>H50+H59+H60+H61+H62</f>
        <v>126895652.638062</v>
      </c>
      <c r="I63" s="44"/>
    </row>
    <row r="64" spans="1:9" x14ac:dyDescent="0.3">
      <c r="A64" s="26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K72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G20" sqref="G20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11" ht="22.5" customHeight="1" x14ac:dyDescent="0.3">
      <c r="B1" s="201" t="s">
        <v>179</v>
      </c>
      <c r="C1" s="274" t="s">
        <v>232</v>
      </c>
      <c r="F1" s="275"/>
      <c r="I1" s="1" t="s">
        <v>128</v>
      </c>
    </row>
    <row r="2" spans="1:11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11" ht="15.95" customHeight="1" x14ac:dyDescent="0.3">
      <c r="A3" s="459" t="s">
        <v>135</v>
      </c>
      <c r="B3" s="207" t="s">
        <v>136</v>
      </c>
      <c r="C3" s="277" t="s">
        <v>233</v>
      </c>
      <c r="D3" s="277" t="s">
        <v>234</v>
      </c>
      <c r="E3" s="279" t="s">
        <v>168</v>
      </c>
      <c r="F3" s="330">
        <v>15</v>
      </c>
      <c r="G3" s="330">
        <v>450000</v>
      </c>
      <c r="H3" s="331">
        <f>IF(F3=0,G3,G3*F3)</f>
        <v>6750000</v>
      </c>
      <c r="I3" s="332" t="s">
        <v>235</v>
      </c>
      <c r="J3" s="329"/>
      <c r="K3" s="329"/>
    </row>
    <row r="4" spans="1:11" ht="15.95" customHeight="1" x14ac:dyDescent="0.3">
      <c r="A4" s="463"/>
      <c r="B4" s="207"/>
      <c r="C4" s="277"/>
      <c r="D4" s="277" t="s">
        <v>236</v>
      </c>
      <c r="E4" s="279" t="s">
        <v>168</v>
      </c>
      <c r="F4" s="330">
        <v>15</v>
      </c>
      <c r="G4" s="330">
        <v>450000</v>
      </c>
      <c r="H4" s="333">
        <f t="shared" ref="H4:H24" si="0">IF(F4=0,G4,G4*F4)</f>
        <v>6750000</v>
      </c>
      <c r="I4" s="334" t="s">
        <v>235</v>
      </c>
      <c r="J4" s="329"/>
      <c r="K4" s="329"/>
    </row>
    <row r="5" spans="1:11" ht="15.95" customHeight="1" x14ac:dyDescent="0.3">
      <c r="A5" s="463"/>
      <c r="B5" s="207"/>
      <c r="C5" s="208"/>
      <c r="D5" s="293" t="s">
        <v>238</v>
      </c>
      <c r="E5" s="279" t="s">
        <v>168</v>
      </c>
      <c r="F5" s="330">
        <v>9</v>
      </c>
      <c r="G5" s="330">
        <v>450000</v>
      </c>
      <c r="H5" s="333">
        <f t="shared" si="0"/>
        <v>4050000</v>
      </c>
      <c r="I5" s="328" t="s">
        <v>262</v>
      </c>
      <c r="J5" s="329"/>
      <c r="K5" s="329"/>
    </row>
    <row r="6" spans="1:11" ht="15.95" customHeight="1" x14ac:dyDescent="0.3">
      <c r="A6" s="463"/>
      <c r="B6" s="207"/>
      <c r="C6" s="208"/>
      <c r="D6" s="293"/>
      <c r="E6" s="279"/>
      <c r="F6" s="330"/>
      <c r="G6" s="330"/>
      <c r="H6" s="333">
        <f t="shared" si="0"/>
        <v>0</v>
      </c>
      <c r="I6" s="328"/>
      <c r="J6" s="329"/>
      <c r="K6" s="329"/>
    </row>
    <row r="7" spans="1:11" ht="15.95" customHeight="1" x14ac:dyDescent="0.3">
      <c r="A7" s="463"/>
      <c r="B7" s="207"/>
      <c r="C7" s="208"/>
      <c r="D7" s="293"/>
      <c r="E7" s="279"/>
      <c r="F7" s="330"/>
      <c r="G7" s="330"/>
      <c r="H7" s="333">
        <f t="shared" si="0"/>
        <v>0</v>
      </c>
      <c r="I7" s="328"/>
      <c r="J7" s="329"/>
      <c r="K7" s="329"/>
    </row>
    <row r="8" spans="1:11" ht="15.95" customHeight="1" x14ac:dyDescent="0.3">
      <c r="A8" s="463"/>
      <c r="B8" s="207"/>
      <c r="C8" s="208" t="s">
        <v>239</v>
      </c>
      <c r="D8" s="293" t="s">
        <v>240</v>
      </c>
      <c r="E8" s="279" t="s">
        <v>168</v>
      </c>
      <c r="F8" s="330">
        <v>8</v>
      </c>
      <c r="G8" s="330">
        <v>450000</v>
      </c>
      <c r="H8" s="333">
        <f t="shared" si="0"/>
        <v>3600000</v>
      </c>
      <c r="I8" s="328" t="s">
        <v>241</v>
      </c>
      <c r="J8" s="329"/>
      <c r="K8" s="329"/>
    </row>
    <row r="9" spans="1:11" ht="15.95" customHeight="1" x14ac:dyDescent="0.3">
      <c r="A9" s="463"/>
      <c r="B9" s="207"/>
      <c r="C9" s="208"/>
      <c r="D9" s="293" t="s">
        <v>242</v>
      </c>
      <c r="E9" s="279" t="s">
        <v>168</v>
      </c>
      <c r="F9" s="330">
        <v>5</v>
      </c>
      <c r="G9" s="330">
        <v>450000</v>
      </c>
      <c r="H9" s="333">
        <f t="shared" si="0"/>
        <v>2250000</v>
      </c>
      <c r="I9" s="328" t="s">
        <v>243</v>
      </c>
      <c r="J9" s="329"/>
      <c r="K9" s="329"/>
    </row>
    <row r="10" spans="1:11" ht="15.95" customHeight="1" x14ac:dyDescent="0.3">
      <c r="A10" s="463"/>
      <c r="B10" s="207"/>
      <c r="C10" s="208"/>
      <c r="D10" s="293" t="s">
        <v>244</v>
      </c>
      <c r="E10" s="279" t="s">
        <v>168</v>
      </c>
      <c r="F10" s="330">
        <v>3</v>
      </c>
      <c r="G10" s="330">
        <v>450000</v>
      </c>
      <c r="H10" s="333">
        <f t="shared" si="0"/>
        <v>1350000</v>
      </c>
      <c r="I10" s="328" t="s">
        <v>245</v>
      </c>
      <c r="J10" s="329"/>
      <c r="K10" s="329"/>
    </row>
    <row r="11" spans="1:11" ht="15.95" customHeight="1" x14ac:dyDescent="0.3">
      <c r="A11" s="463"/>
      <c r="B11" s="207"/>
      <c r="C11" s="208"/>
      <c r="D11" s="293" t="s">
        <v>238</v>
      </c>
      <c r="E11" s="279" t="s">
        <v>168</v>
      </c>
      <c r="F11" s="330">
        <v>12</v>
      </c>
      <c r="G11" s="330">
        <v>450000</v>
      </c>
      <c r="H11" s="333">
        <f t="shared" si="0"/>
        <v>5400000</v>
      </c>
      <c r="I11" s="328" t="s">
        <v>246</v>
      </c>
      <c r="J11" s="329"/>
      <c r="K11" s="329"/>
    </row>
    <row r="12" spans="1:11" ht="15.95" customHeight="1" x14ac:dyDescent="0.3">
      <c r="A12" s="463"/>
      <c r="B12" s="207"/>
      <c r="C12" s="208"/>
      <c r="D12" s="293"/>
      <c r="E12" s="279"/>
      <c r="F12" s="330"/>
      <c r="G12" s="330"/>
      <c r="H12" s="333">
        <f t="shared" si="0"/>
        <v>0</v>
      </c>
      <c r="I12" s="328"/>
      <c r="J12" s="329"/>
      <c r="K12" s="329"/>
    </row>
    <row r="13" spans="1:11" ht="15.95" customHeight="1" x14ac:dyDescent="0.3">
      <c r="A13" s="463"/>
      <c r="B13" s="207"/>
      <c r="C13" s="277"/>
      <c r="D13" s="293"/>
      <c r="E13" s="279"/>
      <c r="F13" s="266"/>
      <c r="G13" s="266"/>
      <c r="H13" s="320">
        <f t="shared" si="0"/>
        <v>0</v>
      </c>
      <c r="I13" s="37"/>
      <c r="J13" s="319"/>
    </row>
    <row r="14" spans="1:11" ht="15.95" customHeight="1" x14ac:dyDescent="0.3">
      <c r="A14" s="463"/>
      <c r="B14" s="207"/>
      <c r="C14" s="277" t="s">
        <v>258</v>
      </c>
      <c r="D14" s="293" t="s">
        <v>233</v>
      </c>
      <c r="E14" s="279" t="s">
        <v>168</v>
      </c>
      <c r="F14" s="266">
        <v>7</v>
      </c>
      <c r="G14" s="266">
        <v>450000</v>
      </c>
      <c r="H14" s="320">
        <f t="shared" si="0"/>
        <v>3150000</v>
      </c>
      <c r="I14" s="37" t="s">
        <v>260</v>
      </c>
    </row>
    <row r="15" spans="1:11" ht="15.95" customHeight="1" x14ac:dyDescent="0.3">
      <c r="A15" s="463"/>
      <c r="B15" s="207"/>
      <c r="C15" s="277"/>
      <c r="D15" s="293" t="s">
        <v>239</v>
      </c>
      <c r="E15" s="279" t="s">
        <v>168</v>
      </c>
      <c r="F15" s="266">
        <v>7</v>
      </c>
      <c r="G15" s="266">
        <v>450000</v>
      </c>
      <c r="H15" s="320">
        <f t="shared" si="0"/>
        <v>3150000</v>
      </c>
      <c r="I15" s="37" t="s">
        <v>260</v>
      </c>
    </row>
    <row r="16" spans="1:11" ht="15.95" customHeight="1" x14ac:dyDescent="0.3">
      <c r="A16" s="463"/>
      <c r="B16" s="207"/>
      <c r="C16" s="208"/>
      <c r="D16" s="293" t="s">
        <v>259</v>
      </c>
      <c r="E16" s="279" t="s">
        <v>168</v>
      </c>
      <c r="F16" s="266">
        <v>5</v>
      </c>
      <c r="G16" s="266">
        <v>450000</v>
      </c>
      <c r="H16" s="320">
        <f t="shared" si="0"/>
        <v>2250000</v>
      </c>
      <c r="I16" s="37" t="s">
        <v>237</v>
      </c>
    </row>
    <row r="17" spans="1:10" ht="15.95" customHeight="1" x14ac:dyDescent="0.3">
      <c r="A17" s="463"/>
      <c r="B17" s="207"/>
      <c r="C17" s="208"/>
      <c r="D17" s="293" t="s">
        <v>238</v>
      </c>
      <c r="E17" s="279" t="s">
        <v>168</v>
      </c>
      <c r="F17" s="266">
        <v>9</v>
      </c>
      <c r="G17" s="266">
        <v>450000</v>
      </c>
      <c r="H17" s="320">
        <f t="shared" si="0"/>
        <v>4050000</v>
      </c>
      <c r="I17" s="37" t="s">
        <v>261</v>
      </c>
    </row>
    <row r="18" spans="1:10" ht="15.95" customHeight="1" x14ac:dyDescent="0.3">
      <c r="A18" s="463"/>
      <c r="B18" s="207"/>
      <c r="C18" s="208"/>
      <c r="D18" s="293"/>
      <c r="E18" s="279"/>
      <c r="F18" s="266"/>
      <c r="G18" s="266"/>
      <c r="H18" s="320">
        <f t="shared" si="0"/>
        <v>0</v>
      </c>
      <c r="I18" s="37"/>
    </row>
    <row r="19" spans="1:10" ht="15.95" customHeight="1" x14ac:dyDescent="0.3">
      <c r="A19" s="463"/>
      <c r="B19" s="207"/>
      <c r="C19" s="208"/>
      <c r="D19" s="293"/>
      <c r="E19" s="279"/>
      <c r="F19" s="266"/>
      <c r="G19" s="266"/>
      <c r="H19" s="320">
        <f t="shared" si="0"/>
        <v>0</v>
      </c>
      <c r="I19" s="37"/>
      <c r="J19" s="319"/>
    </row>
    <row r="20" spans="1:10" ht="15.95" customHeight="1" x14ac:dyDescent="0.3">
      <c r="A20" s="463"/>
      <c r="B20" s="207"/>
      <c r="C20" s="208"/>
      <c r="D20" s="293"/>
      <c r="E20" s="279"/>
      <c r="F20" s="266"/>
      <c r="G20" s="266"/>
      <c r="H20" s="320">
        <f t="shared" si="0"/>
        <v>0</v>
      </c>
      <c r="I20" s="37"/>
    </row>
    <row r="21" spans="1:10" ht="15.95" customHeight="1" x14ac:dyDescent="0.3">
      <c r="A21" s="463"/>
      <c r="B21" s="207"/>
      <c r="C21" s="208"/>
      <c r="D21" s="293"/>
      <c r="E21" s="279"/>
      <c r="F21" s="266"/>
      <c r="G21" s="266"/>
      <c r="H21" s="320">
        <f t="shared" si="0"/>
        <v>0</v>
      </c>
      <c r="I21" s="37"/>
    </row>
    <row r="22" spans="1:10" ht="15.95" customHeight="1" x14ac:dyDescent="0.3">
      <c r="A22" s="463"/>
      <c r="B22" s="207"/>
      <c r="C22" s="208"/>
      <c r="D22" s="208"/>
      <c r="E22" s="279"/>
      <c r="F22" s="266"/>
      <c r="G22" s="266"/>
      <c r="H22" s="320">
        <f t="shared" si="0"/>
        <v>0</v>
      </c>
      <c r="I22" s="37"/>
    </row>
    <row r="23" spans="1:10" ht="15.95" customHeight="1" x14ac:dyDescent="0.3">
      <c r="A23" s="463"/>
      <c r="B23" s="207"/>
      <c r="C23" s="208"/>
      <c r="D23" s="208"/>
      <c r="E23" s="279"/>
      <c r="F23" s="266"/>
      <c r="G23" s="266"/>
      <c r="H23" s="320">
        <f t="shared" si="0"/>
        <v>0</v>
      </c>
      <c r="I23" s="37"/>
    </row>
    <row r="24" spans="1:10" ht="15.95" customHeight="1" x14ac:dyDescent="0.3">
      <c r="A24" s="463"/>
      <c r="B24" s="207"/>
      <c r="C24" s="208"/>
      <c r="D24" s="208"/>
      <c r="E24" s="279"/>
      <c r="F24" s="266"/>
      <c r="G24" s="266"/>
      <c r="H24" s="320">
        <f t="shared" si="0"/>
        <v>0</v>
      </c>
      <c r="I24" s="37"/>
    </row>
    <row r="25" spans="1:10" ht="15.95" customHeight="1" x14ac:dyDescent="0.3">
      <c r="A25" s="463"/>
      <c r="B25" s="207"/>
      <c r="C25" s="219"/>
      <c r="D25" s="293"/>
      <c r="E25" s="294"/>
      <c r="F25" s="238"/>
      <c r="G25" s="267"/>
      <c r="H25" s="239">
        <f>IF(F25=0,G25,G25*F25)</f>
        <v>0</v>
      </c>
      <c r="I25" s="240"/>
    </row>
    <row r="26" spans="1:10" ht="15.95" customHeight="1" x14ac:dyDescent="0.3">
      <c r="A26" s="463"/>
      <c r="B26" s="223"/>
      <c r="C26" s="242"/>
      <c r="D26" s="242"/>
      <c r="E26" s="243"/>
      <c r="F26" s="245"/>
      <c r="G26" s="245"/>
      <c r="H26" s="246">
        <f>SUM(H3:H25)</f>
        <v>42750000</v>
      </c>
      <c r="I26" s="242"/>
    </row>
    <row r="27" spans="1:10" ht="15.95" customHeight="1" x14ac:dyDescent="0.3">
      <c r="A27" s="463"/>
      <c r="B27" s="207" t="s">
        <v>181</v>
      </c>
      <c r="C27" s="209"/>
      <c r="D27" s="209"/>
      <c r="E27" s="283"/>
      <c r="F27" s="215"/>
      <c r="G27" s="215"/>
      <c r="H27" s="213">
        <f>IF(F27=0,G27,G27*F27)</f>
        <v>0</v>
      </c>
      <c r="I27" s="214"/>
    </row>
    <row r="28" spans="1:10" ht="15.95" customHeight="1" x14ac:dyDescent="0.3">
      <c r="A28" s="463"/>
      <c r="B28" s="207" t="s">
        <v>182</v>
      </c>
      <c r="C28" s="208"/>
      <c r="D28" s="208"/>
      <c r="E28" s="216"/>
      <c r="F28" s="218"/>
      <c r="G28" s="218"/>
      <c r="H28" s="166">
        <f>IF(F28=0,G28,G28*F28)</f>
        <v>0</v>
      </c>
      <c r="I28" s="37"/>
    </row>
    <row r="29" spans="1:10" ht="15.95" customHeight="1" x14ac:dyDescent="0.3">
      <c r="A29" s="463"/>
      <c r="B29" s="207"/>
      <c r="C29" s="208"/>
      <c r="D29" s="208"/>
      <c r="E29" s="216"/>
      <c r="F29" s="218"/>
      <c r="G29" s="218"/>
      <c r="H29" s="166">
        <f>IF(F29=0,G29,G29*F29)</f>
        <v>0</v>
      </c>
      <c r="I29" s="37"/>
    </row>
    <row r="30" spans="1:10" ht="15.95" customHeight="1" x14ac:dyDescent="0.3">
      <c r="A30" s="463"/>
      <c r="B30" s="207"/>
      <c r="C30" s="208"/>
      <c r="D30" s="208"/>
      <c r="E30" s="216"/>
      <c r="F30" s="218"/>
      <c r="G30" s="218"/>
      <c r="H30" s="166">
        <f>IF(F30=0,G30,G30*F30)</f>
        <v>0</v>
      </c>
      <c r="I30" s="37"/>
    </row>
    <row r="31" spans="1:10" ht="15.95" customHeight="1" x14ac:dyDescent="0.3">
      <c r="A31" s="463"/>
      <c r="B31" s="207"/>
      <c r="C31" s="219" t="s">
        <v>202</v>
      </c>
      <c r="D31" s="219"/>
      <c r="E31" s="220"/>
      <c r="F31" s="222"/>
      <c r="G31" s="222"/>
      <c r="H31" s="166">
        <f>IF(F31=0,G31,G31*F31)</f>
        <v>0</v>
      </c>
      <c r="I31" s="40"/>
    </row>
    <row r="32" spans="1:10" ht="15.95" customHeight="1" x14ac:dyDescent="0.3">
      <c r="A32" s="463"/>
      <c r="B32" s="223"/>
      <c r="C32" s="224"/>
      <c r="D32" s="225"/>
      <c r="E32" s="204"/>
      <c r="F32" s="285"/>
      <c r="G32" s="227"/>
      <c r="H32" s="48">
        <f>SUM(H27:H31)</f>
        <v>0</v>
      </c>
      <c r="I32" s="44"/>
    </row>
    <row r="33" spans="1:11" ht="15.95" customHeight="1" x14ac:dyDescent="0.3">
      <c r="A33" s="463"/>
      <c r="B33" s="247" t="s">
        <v>183</v>
      </c>
      <c r="C33" s="277" t="s">
        <v>247</v>
      </c>
      <c r="D33" s="229"/>
      <c r="E33" s="230" t="s">
        <v>168</v>
      </c>
      <c r="F33" s="335">
        <v>7</v>
      </c>
      <c r="G33" s="335">
        <v>3000000</v>
      </c>
      <c r="H33" s="336">
        <f t="shared" ref="H33:H48" si="1">IF(F33=0,G33,G33*F33)</f>
        <v>21000000</v>
      </c>
      <c r="I33" s="332"/>
      <c r="J33" s="329"/>
      <c r="K33" s="329"/>
    </row>
    <row r="34" spans="1:11" ht="15.95" customHeight="1" x14ac:dyDescent="0.3">
      <c r="A34" s="463"/>
      <c r="B34" s="207" t="s">
        <v>184</v>
      </c>
      <c r="C34" s="208" t="s">
        <v>248</v>
      </c>
      <c r="D34" s="208"/>
      <c r="E34" s="279" t="s">
        <v>140</v>
      </c>
      <c r="F34" s="326">
        <v>1</v>
      </c>
      <c r="G34" s="326">
        <v>8500000</v>
      </c>
      <c r="H34" s="327">
        <f t="shared" si="1"/>
        <v>8500000</v>
      </c>
      <c r="I34" s="328"/>
      <c r="J34" s="329"/>
      <c r="K34" s="329"/>
    </row>
    <row r="35" spans="1:11" ht="15.95" customHeight="1" x14ac:dyDescent="0.3">
      <c r="A35" s="463"/>
      <c r="B35" s="207"/>
      <c r="C35" s="208" t="s">
        <v>249</v>
      </c>
      <c r="D35" s="277"/>
      <c r="E35" s="279" t="s">
        <v>140</v>
      </c>
      <c r="F35" s="326">
        <v>1</v>
      </c>
      <c r="G35" s="326">
        <v>1500000</v>
      </c>
      <c r="H35" s="327">
        <f t="shared" si="1"/>
        <v>1500000</v>
      </c>
      <c r="I35" s="328"/>
      <c r="J35" s="329"/>
      <c r="K35" s="329"/>
    </row>
    <row r="36" spans="1:11" ht="15.95" customHeight="1" x14ac:dyDescent="0.3">
      <c r="A36" s="463"/>
      <c r="B36" s="207"/>
      <c r="C36" s="208" t="s">
        <v>250</v>
      </c>
      <c r="D36" s="277"/>
      <c r="E36" s="279" t="s">
        <v>59</v>
      </c>
      <c r="F36" s="326">
        <v>1</v>
      </c>
      <c r="G36" s="326">
        <v>2000000</v>
      </c>
      <c r="H36" s="327">
        <f>IF(F36=0,G36,G36*F36)</f>
        <v>2000000</v>
      </c>
      <c r="I36" s="328"/>
      <c r="J36" s="329"/>
      <c r="K36" s="329"/>
    </row>
    <row r="37" spans="1:11" ht="15.95" customHeight="1" x14ac:dyDescent="0.3">
      <c r="A37" s="463"/>
      <c r="B37" s="207"/>
      <c r="C37" s="277"/>
      <c r="D37" s="277"/>
      <c r="E37" s="279"/>
      <c r="F37" s="330"/>
      <c r="G37" s="330"/>
      <c r="H37" s="327">
        <f t="shared" ref="H37" si="2">IF(F37=0,G37,G37*F37)</f>
        <v>0</v>
      </c>
      <c r="I37" s="328"/>
      <c r="J37" s="329"/>
      <c r="K37" s="329"/>
    </row>
    <row r="38" spans="1:11" ht="15.95" customHeight="1" x14ac:dyDescent="0.3">
      <c r="A38" s="463"/>
      <c r="B38" s="207"/>
      <c r="C38" s="208"/>
      <c r="D38" s="208"/>
      <c r="E38" s="279"/>
      <c r="F38" s="218"/>
      <c r="G38" s="218"/>
      <c r="H38" s="166">
        <f t="shared" si="1"/>
        <v>0</v>
      </c>
      <c r="I38" s="37"/>
    </row>
    <row r="39" spans="1:11" ht="15.95" customHeight="1" x14ac:dyDescent="0.3">
      <c r="A39" s="463"/>
      <c r="B39" s="207"/>
      <c r="C39" s="277" t="s">
        <v>252</v>
      </c>
      <c r="D39" s="208"/>
      <c r="E39" s="216"/>
      <c r="F39" s="218"/>
      <c r="G39" s="218"/>
      <c r="H39" s="166">
        <f t="shared" si="1"/>
        <v>0</v>
      </c>
      <c r="I39" s="37"/>
    </row>
    <row r="40" spans="1:11" ht="15.95" customHeight="1" x14ac:dyDescent="0.3">
      <c r="A40" s="463"/>
      <c r="B40" s="207"/>
      <c r="C40" s="277" t="s">
        <v>247</v>
      </c>
      <c r="D40" s="208"/>
      <c r="E40" s="216" t="s">
        <v>168</v>
      </c>
      <c r="F40" s="218">
        <v>3</v>
      </c>
      <c r="G40" s="218">
        <v>3000000</v>
      </c>
      <c r="H40" s="166">
        <f t="shared" si="1"/>
        <v>9000000</v>
      </c>
      <c r="I40" s="37"/>
    </row>
    <row r="41" spans="1:11" ht="15.95" customHeight="1" x14ac:dyDescent="0.3">
      <c r="A41" s="463"/>
      <c r="B41" s="207"/>
      <c r="C41" s="277" t="s">
        <v>248</v>
      </c>
      <c r="D41" s="208"/>
      <c r="E41" s="216" t="s">
        <v>140</v>
      </c>
      <c r="F41" s="218">
        <v>1</v>
      </c>
      <c r="G41" s="218">
        <v>2500000</v>
      </c>
      <c r="H41" s="166">
        <f t="shared" si="1"/>
        <v>2500000</v>
      </c>
      <c r="I41" s="37"/>
    </row>
    <row r="42" spans="1:11" ht="15.95" customHeight="1" x14ac:dyDescent="0.3">
      <c r="A42" s="463"/>
      <c r="B42" s="207"/>
      <c r="C42" s="277" t="s">
        <v>249</v>
      </c>
      <c r="D42" s="208"/>
      <c r="E42" s="216" t="s">
        <v>140</v>
      </c>
      <c r="F42" s="218">
        <v>1</v>
      </c>
      <c r="G42" s="218">
        <v>750000</v>
      </c>
      <c r="H42" s="166">
        <f t="shared" si="1"/>
        <v>750000</v>
      </c>
      <c r="I42" s="37"/>
    </row>
    <row r="43" spans="1:11" ht="15.95" customHeight="1" x14ac:dyDescent="0.3">
      <c r="A43" s="463"/>
      <c r="B43" s="207"/>
      <c r="C43" s="277" t="s">
        <v>251</v>
      </c>
      <c r="D43" s="208"/>
      <c r="E43" s="216" t="s">
        <v>140</v>
      </c>
      <c r="F43" s="218">
        <v>1</v>
      </c>
      <c r="G43" s="218">
        <v>500000</v>
      </c>
      <c r="H43" s="166">
        <f t="shared" si="1"/>
        <v>500000</v>
      </c>
      <c r="I43" s="37"/>
    </row>
    <row r="44" spans="1:11" ht="15.95" customHeight="1" x14ac:dyDescent="0.3">
      <c r="A44" s="463"/>
      <c r="B44" s="207"/>
      <c r="C44" s="277"/>
      <c r="D44" s="208"/>
      <c r="E44" s="216"/>
      <c r="F44" s="218"/>
      <c r="G44" s="218"/>
      <c r="H44" s="166">
        <f t="shared" si="1"/>
        <v>0</v>
      </c>
      <c r="I44" s="37"/>
    </row>
    <row r="45" spans="1:11" ht="15.95" customHeight="1" x14ac:dyDescent="0.3">
      <c r="A45" s="463"/>
      <c r="B45" s="207"/>
      <c r="C45" s="208"/>
      <c r="D45" s="208"/>
      <c r="E45" s="216"/>
      <c r="F45" s="218"/>
      <c r="G45" s="218"/>
      <c r="H45" s="166">
        <f t="shared" si="1"/>
        <v>0</v>
      </c>
      <c r="I45" s="37"/>
    </row>
    <row r="46" spans="1:11" ht="15.95" customHeight="1" x14ac:dyDescent="0.3">
      <c r="A46" s="463"/>
      <c r="B46" s="207"/>
      <c r="C46" s="208"/>
      <c r="D46" s="208"/>
      <c r="E46" s="216"/>
      <c r="F46" s="218"/>
      <c r="G46" s="218"/>
      <c r="H46" s="166">
        <f t="shared" si="1"/>
        <v>0</v>
      </c>
      <c r="I46" s="37"/>
    </row>
    <row r="47" spans="1:11" ht="15.95" customHeight="1" x14ac:dyDescent="0.3">
      <c r="A47" s="463"/>
      <c r="B47" s="207"/>
      <c r="C47" s="208"/>
      <c r="D47" s="208"/>
      <c r="E47" s="216"/>
      <c r="F47" s="218"/>
      <c r="G47" s="218"/>
      <c r="H47" s="166">
        <f t="shared" si="1"/>
        <v>0</v>
      </c>
      <c r="I47" s="37"/>
    </row>
    <row r="48" spans="1:11" ht="15.95" customHeight="1" x14ac:dyDescent="0.3">
      <c r="A48" s="463"/>
      <c r="B48" s="207"/>
      <c r="C48" s="219" t="s">
        <v>202</v>
      </c>
      <c r="D48" s="219"/>
      <c r="E48" s="220"/>
      <c r="F48" s="222"/>
      <c r="G48" s="222"/>
      <c r="H48" s="176">
        <f t="shared" si="1"/>
        <v>0</v>
      </c>
      <c r="I48" s="40"/>
    </row>
    <row r="49" spans="1:9" ht="15.95" customHeight="1" x14ac:dyDescent="0.3">
      <c r="A49" s="463"/>
      <c r="B49" s="223"/>
      <c r="C49" s="224"/>
      <c r="D49" s="225"/>
      <c r="E49" s="204"/>
      <c r="F49" s="227"/>
      <c r="G49" s="227"/>
      <c r="H49" s="48">
        <f>SUM(H33:H48)</f>
        <v>45750000</v>
      </c>
      <c r="I49" s="44"/>
    </row>
    <row r="50" spans="1:9" ht="15.95" customHeight="1" x14ac:dyDescent="0.3">
      <c r="A50" s="463"/>
      <c r="B50" s="247" t="s">
        <v>61</v>
      </c>
      <c r="C50" s="229"/>
      <c r="D50" s="229"/>
      <c r="E50" s="230"/>
      <c r="F50" s="232"/>
      <c r="G50" s="232"/>
      <c r="H50" s="233">
        <f t="shared" ref="H50:H56" si="3">IF(F50=0,G50,G50*F50)</f>
        <v>0</v>
      </c>
      <c r="I50" s="234"/>
    </row>
    <row r="51" spans="1:9" ht="15.95" customHeight="1" x14ac:dyDescent="0.3">
      <c r="A51" s="463"/>
      <c r="B51" s="207"/>
      <c r="C51" s="208"/>
      <c r="D51" s="208"/>
      <c r="E51" s="216"/>
      <c r="F51" s="218"/>
      <c r="G51" s="218"/>
      <c r="H51" s="166">
        <f t="shared" si="3"/>
        <v>0</v>
      </c>
      <c r="I51" s="37"/>
    </row>
    <row r="52" spans="1:9" ht="15.95" customHeight="1" x14ac:dyDescent="0.3">
      <c r="A52" s="463"/>
      <c r="B52" s="207"/>
      <c r="C52" s="208"/>
      <c r="D52" s="208"/>
      <c r="E52" s="216"/>
      <c r="F52" s="218"/>
      <c r="G52" s="218"/>
      <c r="H52" s="166">
        <f t="shared" si="3"/>
        <v>0</v>
      </c>
      <c r="I52" s="37"/>
    </row>
    <row r="53" spans="1:9" ht="15.95" customHeight="1" x14ac:dyDescent="0.3">
      <c r="A53" s="463"/>
      <c r="B53" s="207"/>
      <c r="C53" s="208"/>
      <c r="D53" s="208"/>
      <c r="E53" s="216"/>
      <c r="F53" s="218"/>
      <c r="G53" s="218"/>
      <c r="H53" s="166">
        <f t="shared" si="3"/>
        <v>0</v>
      </c>
      <c r="I53" s="37"/>
    </row>
    <row r="54" spans="1:9" ht="15.95" customHeight="1" x14ac:dyDescent="0.3">
      <c r="A54" s="463"/>
      <c r="B54" s="207"/>
      <c r="C54" s="208"/>
      <c r="D54" s="208"/>
      <c r="E54" s="216"/>
      <c r="F54" s="218"/>
      <c r="G54" s="218"/>
      <c r="H54" s="166">
        <f t="shared" si="3"/>
        <v>0</v>
      </c>
      <c r="I54" s="37"/>
    </row>
    <row r="55" spans="1:9" ht="15.95" customHeight="1" x14ac:dyDescent="0.3">
      <c r="A55" s="463"/>
      <c r="B55" s="207"/>
      <c r="C55" s="208"/>
      <c r="D55" s="208"/>
      <c r="E55" s="216"/>
      <c r="F55" s="218"/>
      <c r="G55" s="218"/>
      <c r="H55" s="166">
        <f t="shared" si="3"/>
        <v>0</v>
      </c>
      <c r="I55" s="37"/>
    </row>
    <row r="56" spans="1:9" ht="15.95" customHeight="1" x14ac:dyDescent="0.3">
      <c r="A56" s="463"/>
      <c r="B56" s="207"/>
      <c r="C56" s="219" t="s">
        <v>202</v>
      </c>
      <c r="D56" s="219"/>
      <c r="E56" s="220"/>
      <c r="F56" s="222"/>
      <c r="G56" s="222"/>
      <c r="H56" s="176">
        <f t="shared" si="3"/>
        <v>0</v>
      </c>
      <c r="I56" s="40"/>
    </row>
    <row r="57" spans="1:9" ht="15.95" customHeight="1" x14ac:dyDescent="0.3">
      <c r="A57" s="463"/>
      <c r="B57" s="223"/>
      <c r="C57" s="224"/>
      <c r="D57" s="225"/>
      <c r="E57" s="204"/>
      <c r="F57" s="227"/>
      <c r="G57" s="227"/>
      <c r="H57" s="48">
        <f>SUM(H50:H56)</f>
        <v>0</v>
      </c>
      <c r="I57" s="44"/>
    </row>
    <row r="58" spans="1:9" ht="15.95" customHeight="1" x14ac:dyDescent="0.3">
      <c r="A58" s="253"/>
      <c r="B58" s="254" t="s">
        <v>165</v>
      </c>
      <c r="C58" s="255"/>
      <c r="D58" s="44"/>
      <c r="E58" s="205"/>
      <c r="F58" s="257"/>
      <c r="G58" s="257"/>
      <c r="H58" s="48">
        <f>SUM(H57,H49,H32,H26)</f>
        <v>88500000</v>
      </c>
      <c r="I58" s="44"/>
    </row>
    <row r="59" spans="1:9" ht="15.95" customHeight="1" x14ac:dyDescent="0.3">
      <c r="A59" s="459" t="s">
        <v>166</v>
      </c>
      <c r="B59" s="258" t="s">
        <v>67</v>
      </c>
      <c r="C59" s="255"/>
      <c r="D59" s="44"/>
      <c r="E59" s="259" t="s">
        <v>68</v>
      </c>
      <c r="F59" s="286">
        <v>0</v>
      </c>
      <c r="G59" s="286">
        <v>300000</v>
      </c>
      <c r="H59" s="261">
        <f>F59*G59</f>
        <v>0</v>
      </c>
      <c r="I59" s="44"/>
    </row>
    <row r="60" spans="1:9" ht="15.95" customHeight="1" x14ac:dyDescent="0.3">
      <c r="A60" s="463"/>
      <c r="B60" s="262" t="s">
        <v>185</v>
      </c>
      <c r="C60" s="263"/>
      <c r="D60" s="234"/>
      <c r="E60" s="49" t="s">
        <v>168</v>
      </c>
      <c r="F60" s="287">
        <v>0</v>
      </c>
      <c r="G60" s="287">
        <v>300000</v>
      </c>
      <c r="H60" s="233">
        <f t="shared" ref="H60:H66" si="4">F60*G60</f>
        <v>0</v>
      </c>
      <c r="I60" s="234"/>
    </row>
    <row r="61" spans="1:9" ht="15.95" customHeight="1" x14ac:dyDescent="0.3">
      <c r="A61" s="463"/>
      <c r="B61" s="264" t="s">
        <v>186</v>
      </c>
      <c r="C61" s="265"/>
      <c r="D61" s="37"/>
      <c r="E61" s="38" t="s">
        <v>168</v>
      </c>
      <c r="F61" s="266">
        <v>0</v>
      </c>
      <c r="G61" s="266">
        <v>300000</v>
      </c>
      <c r="H61" s="166">
        <f t="shared" si="4"/>
        <v>0</v>
      </c>
      <c r="I61" s="37"/>
    </row>
    <row r="62" spans="1:9" ht="15.95" customHeight="1" x14ac:dyDescent="0.3">
      <c r="A62" s="463"/>
      <c r="B62" s="264" t="s">
        <v>187</v>
      </c>
      <c r="C62" s="265"/>
      <c r="D62" s="37"/>
      <c r="E62" s="38" t="s">
        <v>168</v>
      </c>
      <c r="F62" s="266">
        <v>0</v>
      </c>
      <c r="G62" s="266">
        <v>300000</v>
      </c>
      <c r="H62" s="166">
        <f t="shared" si="4"/>
        <v>0</v>
      </c>
      <c r="I62" s="37"/>
    </row>
    <row r="63" spans="1:9" ht="15.95" customHeight="1" x14ac:dyDescent="0.3">
      <c r="A63" s="463"/>
      <c r="B63" s="264" t="s">
        <v>188</v>
      </c>
      <c r="C63" s="265"/>
      <c r="D63" s="37"/>
      <c r="E63" s="38" t="s">
        <v>168</v>
      </c>
      <c r="F63" s="266">
        <v>0</v>
      </c>
      <c r="G63" s="266">
        <v>300000</v>
      </c>
      <c r="H63" s="166">
        <f t="shared" si="4"/>
        <v>0</v>
      </c>
      <c r="I63" s="37"/>
    </row>
    <row r="64" spans="1:9" ht="15.95" customHeight="1" x14ac:dyDescent="0.3">
      <c r="A64" s="463"/>
      <c r="B64" s="264" t="s">
        <v>189</v>
      </c>
      <c r="C64" s="265"/>
      <c r="D64" s="37"/>
      <c r="E64" s="38" t="s">
        <v>168</v>
      </c>
      <c r="F64" s="266">
        <v>0</v>
      </c>
      <c r="G64" s="266">
        <v>300000</v>
      </c>
      <c r="H64" s="166">
        <f t="shared" si="4"/>
        <v>0</v>
      </c>
      <c r="I64" s="37"/>
    </row>
    <row r="65" spans="1:9" ht="15.95" customHeight="1" x14ac:dyDescent="0.3">
      <c r="A65" s="463"/>
      <c r="B65" s="264" t="s">
        <v>190</v>
      </c>
      <c r="C65" s="265"/>
      <c r="D65" s="37"/>
      <c r="E65" s="38" t="s">
        <v>168</v>
      </c>
      <c r="F65" s="266">
        <v>0</v>
      </c>
      <c r="G65" s="266">
        <v>300000</v>
      </c>
      <c r="H65" s="166">
        <f t="shared" si="4"/>
        <v>0</v>
      </c>
      <c r="I65" s="37"/>
    </row>
    <row r="66" spans="1:9" ht="15.95" customHeight="1" x14ac:dyDescent="0.3">
      <c r="A66" s="463"/>
      <c r="B66" s="268" t="s">
        <v>191</v>
      </c>
      <c r="C66" s="269"/>
      <c r="D66" s="40"/>
      <c r="E66" s="39" t="s">
        <v>168</v>
      </c>
      <c r="F66" s="282">
        <v>0</v>
      </c>
      <c r="G66" s="282">
        <v>250000</v>
      </c>
      <c r="H66" s="176">
        <f t="shared" si="4"/>
        <v>0</v>
      </c>
      <c r="I66" s="40"/>
    </row>
    <row r="67" spans="1:9" ht="15.95" customHeight="1" x14ac:dyDescent="0.3">
      <c r="A67" s="253"/>
      <c r="B67" s="270" t="s">
        <v>174</v>
      </c>
      <c r="C67" s="255"/>
      <c r="D67" s="44"/>
      <c r="E67" s="44"/>
      <c r="F67" s="227"/>
      <c r="G67" s="227"/>
      <c r="H67" s="227">
        <f>SUM(H59:H66)</f>
        <v>0</v>
      </c>
      <c r="I67" s="225"/>
    </row>
    <row r="68" spans="1:9" ht="15.95" customHeight="1" x14ac:dyDescent="0.3">
      <c r="A68" s="259"/>
      <c r="B68" s="270" t="s">
        <v>192</v>
      </c>
      <c r="C68" s="255"/>
      <c r="D68" s="44"/>
      <c r="E68" s="44"/>
      <c r="F68" s="48"/>
      <c r="G68" s="48"/>
      <c r="H68" s="257">
        <f>'단위공사별(집계)'!L14+'단위공사별(집계)'!I14</f>
        <v>1825233.0117019091</v>
      </c>
      <c r="I68" s="44"/>
    </row>
    <row r="69" spans="1:9" ht="15.95" customHeight="1" x14ac:dyDescent="0.3">
      <c r="A69" s="259"/>
      <c r="B69" s="270" t="s">
        <v>93</v>
      </c>
      <c r="C69" s="255"/>
      <c r="D69" s="44"/>
      <c r="E69" s="44"/>
      <c r="F69" s="48"/>
      <c r="G69" s="272"/>
      <c r="H69" s="273">
        <f>(H67+H58)*0.05</f>
        <v>4425000</v>
      </c>
      <c r="I69" s="255"/>
    </row>
    <row r="70" spans="1:9" ht="15.95" customHeight="1" x14ac:dyDescent="0.3">
      <c r="A70" s="259"/>
      <c r="B70" s="270" t="s">
        <v>177</v>
      </c>
      <c r="C70" s="255"/>
      <c r="D70" s="44"/>
      <c r="E70" s="44"/>
      <c r="F70" s="48"/>
      <c r="G70" s="272"/>
      <c r="H70" s="273">
        <f>(H67+H58)*0.1</f>
        <v>8850000</v>
      </c>
      <c r="I70" s="255"/>
    </row>
    <row r="71" spans="1:9" ht="15.95" customHeight="1" x14ac:dyDescent="0.3">
      <c r="A71" s="259"/>
      <c r="B71" s="270" t="s">
        <v>178</v>
      </c>
      <c r="C71" s="255"/>
      <c r="D71" s="44"/>
      <c r="E71" s="44"/>
      <c r="F71" s="48"/>
      <c r="G71" s="48"/>
      <c r="H71" s="227">
        <f>H58+H67+H68+H69+H70</f>
        <v>103600233.01170191</v>
      </c>
      <c r="I71" s="44"/>
    </row>
    <row r="72" spans="1:9" x14ac:dyDescent="0.3">
      <c r="A72" s="26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9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/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93"/>
      <c r="D3" s="293"/>
      <c r="E3" s="294"/>
      <c r="F3" s="267"/>
      <c r="G3" s="267"/>
      <c r="H3" s="233"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63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 t="shared" si="0"/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66"/>
      <c r="G11" s="266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77"/>
      <c r="D12" s="277"/>
      <c r="E12" s="279"/>
      <c r="F12" s="266"/>
      <c r="G12" s="266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77"/>
      <c r="D13" s="277"/>
      <c r="E13" s="279"/>
      <c r="F13" s="266"/>
      <c r="G13" s="266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77"/>
      <c r="D14" s="277"/>
      <c r="E14" s="279"/>
      <c r="F14" s="266"/>
      <c r="G14" s="266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08"/>
      <c r="D15" s="208"/>
      <c r="E15" s="279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93"/>
      <c r="D16" s="277"/>
      <c r="E16" s="279"/>
      <c r="F16" s="266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77"/>
      <c r="D17" s="277"/>
      <c r="E17" s="279"/>
      <c r="F17" s="266"/>
      <c r="G17" s="266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93"/>
      <c r="D18" s="277"/>
      <c r="E18" s="279"/>
      <c r="F18" s="266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77"/>
      <c r="D19" s="277"/>
      <c r="E19" s="279"/>
      <c r="F19" s="266"/>
      <c r="G19" s="266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08"/>
      <c r="F20" s="21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08"/>
      <c r="D21" s="208"/>
      <c r="E21" s="208"/>
      <c r="F21" s="218"/>
      <c r="G21" s="218"/>
      <c r="H21" s="166">
        <f t="shared" si="0"/>
        <v>0</v>
      </c>
      <c r="I21" s="37"/>
    </row>
    <row r="22" spans="1:9" ht="15.95" customHeight="1" x14ac:dyDescent="0.3">
      <c r="A22" s="463"/>
      <c r="B22" s="207"/>
      <c r="C22" s="208"/>
      <c r="D22" s="208"/>
      <c r="E22" s="208"/>
      <c r="F22" s="218"/>
      <c r="G22" s="218"/>
      <c r="H22" s="166">
        <f t="shared" si="0"/>
        <v>0</v>
      </c>
      <c r="I22" s="37"/>
    </row>
    <row r="23" spans="1:9" ht="15.95" customHeight="1" x14ac:dyDescent="0.3">
      <c r="A23" s="463"/>
      <c r="B23" s="207"/>
      <c r="C23" s="208"/>
      <c r="D23" s="208"/>
      <c r="E23" s="208"/>
      <c r="F23" s="218"/>
      <c r="G23" s="218"/>
      <c r="H23" s="166">
        <f t="shared" si="0"/>
        <v>0</v>
      </c>
      <c r="I23" s="37"/>
    </row>
    <row r="24" spans="1:9" ht="15.95" customHeight="1" x14ac:dyDescent="0.3">
      <c r="A24" s="463"/>
      <c r="B24" s="207"/>
      <c r="C24" s="208"/>
      <c r="D24" s="208"/>
      <c r="E24" s="208"/>
      <c r="F24" s="21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08"/>
      <c r="E25" s="208"/>
      <c r="F25" s="21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08"/>
      <c r="F26" s="21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19"/>
      <c r="D27" s="236"/>
      <c r="E27" s="294"/>
      <c r="F27" s="238"/>
      <c r="G27" s="238"/>
      <c r="H27" s="239">
        <f t="shared" si="0"/>
        <v>0</v>
      </c>
      <c r="I27" s="240"/>
    </row>
    <row r="28" spans="1:9" ht="15.95" customHeight="1" x14ac:dyDescent="0.3">
      <c r="A28" s="463"/>
      <c r="B28" s="223"/>
      <c r="C28" s="242"/>
      <c r="D28" s="242"/>
      <c r="E28" s="242"/>
      <c r="F28" s="245"/>
      <c r="G28" s="245"/>
      <c r="H28" s="246">
        <f>SUM(H3:H27)</f>
        <v>0</v>
      </c>
      <c r="I28" s="242"/>
    </row>
    <row r="29" spans="1:9" ht="15.95" customHeight="1" x14ac:dyDescent="0.3">
      <c r="A29" s="463"/>
      <c r="B29" s="207" t="s">
        <v>181</v>
      </c>
      <c r="C29" s="209"/>
      <c r="D29" s="209"/>
      <c r="E29" s="209"/>
      <c r="F29" s="215"/>
      <c r="G29" s="215"/>
      <c r="H29" s="213">
        <f t="shared" si="0"/>
        <v>0</v>
      </c>
      <c r="I29" s="214"/>
    </row>
    <row r="30" spans="1:9" ht="15.95" customHeight="1" x14ac:dyDescent="0.3">
      <c r="A30" s="463"/>
      <c r="B30" s="207" t="s">
        <v>182</v>
      </c>
      <c r="C30" s="208"/>
      <c r="D30" s="208"/>
      <c r="E30" s="208"/>
      <c r="F30" s="218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08"/>
      <c r="D31" s="208"/>
      <c r="E31" s="208"/>
      <c r="F31" s="218"/>
      <c r="G31" s="218"/>
      <c r="H31" s="166">
        <f t="shared" si="0"/>
        <v>0</v>
      </c>
      <c r="I31" s="37"/>
    </row>
    <row r="32" spans="1:9" ht="15.95" customHeight="1" x14ac:dyDescent="0.3">
      <c r="A32" s="463"/>
      <c r="B32" s="207"/>
      <c r="C32" s="208"/>
      <c r="D32" s="208"/>
      <c r="E32" s="208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19" t="s">
        <v>202</v>
      </c>
      <c r="D33" s="219"/>
      <c r="E33" s="219"/>
      <c r="F33" s="222"/>
      <c r="G33" s="222"/>
      <c r="H33" s="166">
        <f t="shared" si="0"/>
        <v>0</v>
      </c>
      <c r="I33" s="40"/>
    </row>
    <row r="34" spans="1:9" ht="15.95" customHeight="1" x14ac:dyDescent="0.3">
      <c r="A34" s="463"/>
      <c r="B34" s="223"/>
      <c r="C34" s="224"/>
      <c r="D34" s="225"/>
      <c r="E34" s="225"/>
      <c r="F34" s="285"/>
      <c r="G34" s="227"/>
      <c r="H34" s="48">
        <f>SUM(H29:H33)</f>
        <v>0</v>
      </c>
      <c r="I34" s="44"/>
    </row>
    <row r="35" spans="1:9" ht="15.95" customHeight="1" x14ac:dyDescent="0.3">
      <c r="A35" s="463"/>
      <c r="B35" s="247" t="s">
        <v>183</v>
      </c>
      <c r="C35" s="293"/>
      <c r="D35" s="277"/>
      <c r="E35" s="279"/>
      <c r="F35" s="266"/>
      <c r="G35" s="266"/>
      <c r="H35" s="233">
        <f t="shared" si="0"/>
        <v>0</v>
      </c>
      <c r="I35" s="234"/>
    </row>
    <row r="36" spans="1:9" ht="15.95" customHeight="1" x14ac:dyDescent="0.3">
      <c r="A36" s="463"/>
      <c r="B36" s="207" t="s">
        <v>184</v>
      </c>
      <c r="C36" s="277"/>
      <c r="D36" s="277"/>
      <c r="E36" s="279"/>
      <c r="F36" s="288"/>
      <c r="G36" s="266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88"/>
      <c r="G37" s="266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266"/>
      <c r="G38" s="266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266"/>
      <c r="G39" s="266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77"/>
      <c r="D40" s="277"/>
      <c r="E40" s="279"/>
      <c r="F40" s="266"/>
      <c r="G40" s="266"/>
      <c r="H40" s="166">
        <f t="shared" si="0"/>
        <v>0</v>
      </c>
      <c r="I40" s="37"/>
    </row>
    <row r="41" spans="1:9" ht="15.95" customHeight="1" x14ac:dyDescent="0.3">
      <c r="A41" s="463"/>
      <c r="B41" s="207"/>
      <c r="C41" s="293"/>
      <c r="D41" s="208"/>
      <c r="E41" s="208"/>
      <c r="F41" s="218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77"/>
      <c r="D42" s="277"/>
      <c r="E42" s="279"/>
      <c r="F42" s="266"/>
      <c r="G42" s="266"/>
      <c r="H42" s="166">
        <f>IF(F42=0,G42,G42*F42)</f>
        <v>0</v>
      </c>
      <c r="I42" s="252"/>
    </row>
    <row r="43" spans="1:9" ht="15.95" customHeight="1" x14ac:dyDescent="0.3">
      <c r="A43" s="463"/>
      <c r="B43" s="207"/>
      <c r="C43" s="277"/>
      <c r="D43" s="277"/>
      <c r="E43" s="279"/>
      <c r="F43" s="266"/>
      <c r="G43" s="266"/>
      <c r="H43" s="166">
        <f>IF(F43=0,G43,G43*F43)</f>
        <v>0</v>
      </c>
      <c r="I43" s="37"/>
    </row>
    <row r="44" spans="1:9" ht="15.95" customHeight="1" x14ac:dyDescent="0.3">
      <c r="A44" s="463"/>
      <c r="B44" s="207"/>
      <c r="C44" s="277"/>
      <c r="D44" s="277"/>
      <c r="E44" s="279"/>
      <c r="F44" s="266"/>
      <c r="G44" s="266"/>
      <c r="H44" s="166">
        <f>IF(F44=0,G44,G44*F44)</f>
        <v>0</v>
      </c>
      <c r="I44" s="37"/>
    </row>
    <row r="45" spans="1:9" ht="15.95" customHeight="1" x14ac:dyDescent="0.3">
      <c r="A45" s="463"/>
      <c r="B45" s="207"/>
      <c r="C45" s="293"/>
      <c r="D45" s="277"/>
      <c r="E45" s="279"/>
      <c r="F45" s="266"/>
      <c r="G45" s="266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77"/>
      <c r="D46" s="277"/>
      <c r="E46" s="279"/>
      <c r="F46" s="266"/>
      <c r="G46" s="266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77"/>
      <c r="D47" s="277"/>
      <c r="E47" s="279"/>
      <c r="F47" s="266"/>
      <c r="G47" s="266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77"/>
      <c r="D48" s="277"/>
      <c r="E48" s="279"/>
      <c r="F48" s="266"/>
      <c r="G48" s="266"/>
      <c r="H48" s="166">
        <f t="shared" si="0"/>
        <v>0</v>
      </c>
      <c r="I48" s="37"/>
    </row>
    <row r="49" spans="1:9" ht="15.95" customHeight="1" x14ac:dyDescent="0.3">
      <c r="A49" s="463"/>
      <c r="B49" s="207"/>
      <c r="C49" s="277"/>
      <c r="D49" s="277"/>
      <c r="E49" s="279"/>
      <c r="F49" s="266"/>
      <c r="G49" s="266"/>
      <c r="H49" s="166">
        <f t="shared" si="0"/>
        <v>0</v>
      </c>
      <c r="I49" s="37"/>
    </row>
    <row r="50" spans="1:9" ht="15.95" customHeight="1" x14ac:dyDescent="0.3">
      <c r="A50" s="463"/>
      <c r="B50" s="207"/>
      <c r="C50" s="208"/>
      <c r="D50" s="208"/>
      <c r="E50" s="208"/>
      <c r="F50" s="218"/>
      <c r="G50" s="218"/>
      <c r="H50" s="166">
        <f t="shared" si="0"/>
        <v>0</v>
      </c>
      <c r="I50" s="37"/>
    </row>
    <row r="51" spans="1:9" ht="15.95" customHeight="1" x14ac:dyDescent="0.3">
      <c r="A51" s="463"/>
      <c r="B51" s="207"/>
      <c r="C51" s="208"/>
      <c r="D51" s="208"/>
      <c r="E51" s="208"/>
      <c r="F51" s="218"/>
      <c r="G51" s="218"/>
      <c r="H51" s="166">
        <f t="shared" si="0"/>
        <v>0</v>
      </c>
      <c r="I51" s="37"/>
    </row>
    <row r="52" spans="1:9" ht="15.95" customHeight="1" x14ac:dyDescent="0.3">
      <c r="A52" s="463"/>
      <c r="B52" s="207"/>
      <c r="C52" s="208"/>
      <c r="D52" s="208"/>
      <c r="E52" s="208"/>
      <c r="F52" s="218"/>
      <c r="G52" s="218"/>
      <c r="H52" s="166">
        <f t="shared" si="0"/>
        <v>0</v>
      </c>
      <c r="I52" s="37"/>
    </row>
    <row r="53" spans="1:9" ht="15.95" customHeight="1" x14ac:dyDescent="0.3">
      <c r="A53" s="463"/>
      <c r="B53" s="207"/>
      <c r="C53" s="208"/>
      <c r="D53" s="208"/>
      <c r="E53" s="208"/>
      <c r="F53" s="218"/>
      <c r="G53" s="218"/>
      <c r="H53" s="166">
        <f t="shared" si="0"/>
        <v>0</v>
      </c>
      <c r="I53" s="37"/>
    </row>
    <row r="54" spans="1:9" ht="15.95" customHeight="1" x14ac:dyDescent="0.3">
      <c r="A54" s="463"/>
      <c r="B54" s="207"/>
      <c r="C54" s="208"/>
      <c r="D54" s="208"/>
      <c r="E54" s="208"/>
      <c r="F54" s="218"/>
      <c r="G54" s="218"/>
      <c r="H54" s="166">
        <f t="shared" si="0"/>
        <v>0</v>
      </c>
      <c r="I54" s="37"/>
    </row>
    <row r="55" spans="1:9" ht="15.95" customHeight="1" x14ac:dyDescent="0.3">
      <c r="A55" s="463"/>
      <c r="B55" s="207"/>
      <c r="C55" s="219" t="s">
        <v>202</v>
      </c>
      <c r="D55" s="219"/>
      <c r="E55" s="219"/>
      <c r="F55" s="222"/>
      <c r="G55" s="222"/>
      <c r="H55" s="176">
        <f t="shared" si="0"/>
        <v>0</v>
      </c>
      <c r="I55" s="40"/>
    </row>
    <row r="56" spans="1:9" ht="15.95" customHeight="1" x14ac:dyDescent="0.3">
      <c r="A56" s="463"/>
      <c r="B56" s="223"/>
      <c r="C56" s="224"/>
      <c r="D56" s="225"/>
      <c r="E56" s="225"/>
      <c r="F56" s="227"/>
      <c r="G56" s="227"/>
      <c r="H56" s="48">
        <f>SUM(H35:H55)</f>
        <v>0</v>
      </c>
      <c r="I56" s="44"/>
    </row>
    <row r="57" spans="1:9" ht="15.95" customHeight="1" x14ac:dyDescent="0.3">
      <c r="A57" s="463"/>
      <c r="B57" s="247" t="s">
        <v>61</v>
      </c>
      <c r="C57" s="229"/>
      <c r="D57" s="229"/>
      <c r="E57" s="230"/>
      <c r="F57" s="232"/>
      <c r="G57" s="232"/>
      <c r="H57" s="233">
        <f t="shared" si="0"/>
        <v>0</v>
      </c>
      <c r="I57" s="234"/>
    </row>
    <row r="58" spans="1:9" ht="15.95" customHeight="1" x14ac:dyDescent="0.3">
      <c r="A58" s="463"/>
      <c r="B58" s="207"/>
      <c r="C58" s="208"/>
      <c r="D58" s="208"/>
      <c r="E58" s="208"/>
      <c r="F58" s="218"/>
      <c r="G58" s="218"/>
      <c r="H58" s="166">
        <f t="shared" si="0"/>
        <v>0</v>
      </c>
      <c r="I58" s="37"/>
    </row>
    <row r="59" spans="1:9" ht="15.95" customHeight="1" x14ac:dyDescent="0.3">
      <c r="A59" s="463"/>
      <c r="B59" s="207"/>
      <c r="C59" s="208"/>
      <c r="D59" s="208"/>
      <c r="E59" s="208"/>
      <c r="F59" s="218"/>
      <c r="G59" s="218"/>
      <c r="H59" s="166">
        <f t="shared" si="0"/>
        <v>0</v>
      </c>
      <c r="I59" s="37"/>
    </row>
    <row r="60" spans="1:9" ht="15.95" customHeight="1" x14ac:dyDescent="0.3">
      <c r="A60" s="463"/>
      <c r="B60" s="207"/>
      <c r="C60" s="208"/>
      <c r="D60" s="208"/>
      <c r="E60" s="208"/>
      <c r="F60" s="218"/>
      <c r="G60" s="218"/>
      <c r="H60" s="166">
        <f t="shared" si="0"/>
        <v>0</v>
      </c>
      <c r="I60" s="37"/>
    </row>
    <row r="61" spans="1:9" ht="15.95" customHeight="1" x14ac:dyDescent="0.3">
      <c r="A61" s="463"/>
      <c r="B61" s="207"/>
      <c r="C61" s="208"/>
      <c r="D61" s="208"/>
      <c r="E61" s="208"/>
      <c r="F61" s="218"/>
      <c r="G61" s="218"/>
      <c r="H61" s="166">
        <f t="shared" si="0"/>
        <v>0</v>
      </c>
      <c r="I61" s="37"/>
    </row>
    <row r="62" spans="1:9" ht="15.95" customHeight="1" x14ac:dyDescent="0.3">
      <c r="A62" s="463"/>
      <c r="B62" s="207"/>
      <c r="C62" s="208"/>
      <c r="D62" s="208"/>
      <c r="E62" s="208"/>
      <c r="F62" s="218"/>
      <c r="G62" s="218"/>
      <c r="H62" s="166">
        <f t="shared" si="0"/>
        <v>0</v>
      </c>
      <c r="I62" s="37"/>
    </row>
    <row r="63" spans="1:9" ht="15.95" customHeight="1" x14ac:dyDescent="0.3">
      <c r="A63" s="463"/>
      <c r="B63" s="207"/>
      <c r="C63" s="219" t="s">
        <v>202</v>
      </c>
      <c r="D63" s="219"/>
      <c r="E63" s="219"/>
      <c r="F63" s="222"/>
      <c r="G63" s="222"/>
      <c r="H63" s="176">
        <f t="shared" si="0"/>
        <v>0</v>
      </c>
      <c r="I63" s="40"/>
    </row>
    <row r="64" spans="1:9" ht="15.95" customHeight="1" x14ac:dyDescent="0.3">
      <c r="A64" s="463"/>
      <c r="B64" s="223"/>
      <c r="C64" s="224"/>
      <c r="D64" s="225"/>
      <c r="E64" s="225"/>
      <c r="F64" s="227"/>
      <c r="G64" s="227"/>
      <c r="H64" s="48">
        <f>SUM(H57:H63)</f>
        <v>0</v>
      </c>
      <c r="I64" s="44"/>
    </row>
    <row r="65" spans="1:9" ht="15.95" customHeight="1" x14ac:dyDescent="0.3">
      <c r="A65" s="253"/>
      <c r="B65" s="254" t="s">
        <v>165</v>
      </c>
      <c r="C65" s="255"/>
      <c r="D65" s="44"/>
      <c r="E65" s="44"/>
      <c r="F65" s="257"/>
      <c r="G65" s="257"/>
      <c r="H65" s="48">
        <f>SUM(H64,H56,H34,H28)</f>
        <v>0</v>
      </c>
      <c r="I65" s="44"/>
    </row>
    <row r="66" spans="1:9" ht="15.95" customHeight="1" x14ac:dyDescent="0.3">
      <c r="A66" s="459" t="s">
        <v>166</v>
      </c>
      <c r="B66" s="258" t="s">
        <v>67</v>
      </c>
      <c r="C66" s="255"/>
      <c r="D66" s="44"/>
      <c r="E66" s="258" t="s">
        <v>68</v>
      </c>
      <c r="F66" s="286">
        <v>0</v>
      </c>
      <c r="G66" s="286">
        <v>300000</v>
      </c>
      <c r="H66" s="261">
        <f>F66*G66</f>
        <v>0</v>
      </c>
      <c r="I66" s="44"/>
    </row>
    <row r="67" spans="1:9" ht="15.95" customHeight="1" x14ac:dyDescent="0.3">
      <c r="A67" s="463"/>
      <c r="B67" s="262" t="s">
        <v>185</v>
      </c>
      <c r="C67" s="263"/>
      <c r="D67" s="234"/>
      <c r="E67" s="262" t="s">
        <v>168</v>
      </c>
      <c r="F67" s="287">
        <v>0</v>
      </c>
      <c r="G67" s="287">
        <v>300000</v>
      </c>
      <c r="H67" s="233">
        <f t="shared" ref="H67:H73" si="1">F67*G67</f>
        <v>0</v>
      </c>
      <c r="I67" s="234"/>
    </row>
    <row r="68" spans="1:9" ht="15.95" customHeight="1" x14ac:dyDescent="0.3">
      <c r="A68" s="463"/>
      <c r="B68" s="264" t="s">
        <v>186</v>
      </c>
      <c r="C68" s="265"/>
      <c r="D68" s="37"/>
      <c r="E68" s="264" t="s">
        <v>168</v>
      </c>
      <c r="F68" s="266">
        <v>0</v>
      </c>
      <c r="G68" s="266">
        <v>300000</v>
      </c>
      <c r="H68" s="166">
        <f t="shared" si="1"/>
        <v>0</v>
      </c>
      <c r="I68" s="37"/>
    </row>
    <row r="69" spans="1:9" ht="15.95" customHeight="1" x14ac:dyDescent="0.3">
      <c r="A69" s="463"/>
      <c r="B69" s="264" t="s">
        <v>187</v>
      </c>
      <c r="C69" s="265"/>
      <c r="D69" s="37"/>
      <c r="E69" s="264" t="s">
        <v>168</v>
      </c>
      <c r="F69" s="266">
        <v>0</v>
      </c>
      <c r="G69" s="266">
        <v>300000</v>
      </c>
      <c r="H69" s="166">
        <f t="shared" si="1"/>
        <v>0</v>
      </c>
      <c r="I69" s="37"/>
    </row>
    <row r="70" spans="1:9" ht="15.95" customHeight="1" x14ac:dyDescent="0.3">
      <c r="A70" s="463"/>
      <c r="B70" s="264" t="s">
        <v>188</v>
      </c>
      <c r="C70" s="265"/>
      <c r="D70" s="37"/>
      <c r="E70" s="264" t="s">
        <v>168</v>
      </c>
      <c r="F70" s="266">
        <v>0</v>
      </c>
      <c r="G70" s="266">
        <v>300000</v>
      </c>
      <c r="H70" s="166">
        <f t="shared" si="1"/>
        <v>0</v>
      </c>
      <c r="I70" s="37"/>
    </row>
    <row r="71" spans="1:9" ht="15.95" customHeight="1" x14ac:dyDescent="0.3">
      <c r="A71" s="463"/>
      <c r="B71" s="264" t="s">
        <v>189</v>
      </c>
      <c r="C71" s="265"/>
      <c r="D71" s="37"/>
      <c r="E71" s="264" t="s">
        <v>168</v>
      </c>
      <c r="F71" s="266">
        <v>0</v>
      </c>
      <c r="G71" s="266">
        <v>300000</v>
      </c>
      <c r="H71" s="166">
        <f t="shared" si="1"/>
        <v>0</v>
      </c>
      <c r="I71" s="37"/>
    </row>
    <row r="72" spans="1:9" ht="15.95" customHeight="1" x14ac:dyDescent="0.3">
      <c r="A72" s="463"/>
      <c r="B72" s="264" t="s">
        <v>190</v>
      </c>
      <c r="C72" s="265"/>
      <c r="D72" s="37"/>
      <c r="E72" s="264" t="s">
        <v>168</v>
      </c>
      <c r="F72" s="266">
        <v>0</v>
      </c>
      <c r="G72" s="266">
        <v>300000</v>
      </c>
      <c r="H72" s="166">
        <f t="shared" si="1"/>
        <v>0</v>
      </c>
      <c r="I72" s="37"/>
    </row>
    <row r="73" spans="1:9" ht="15.95" customHeight="1" x14ac:dyDescent="0.3">
      <c r="A73" s="463"/>
      <c r="B73" s="268" t="s">
        <v>191</v>
      </c>
      <c r="C73" s="269"/>
      <c r="D73" s="40"/>
      <c r="E73" s="268" t="s">
        <v>168</v>
      </c>
      <c r="F73" s="222">
        <v>0</v>
      </c>
      <c r="G73" s="222">
        <v>250000</v>
      </c>
      <c r="H73" s="176">
        <f t="shared" si="1"/>
        <v>0</v>
      </c>
      <c r="I73" s="40"/>
    </row>
    <row r="74" spans="1:9" ht="15.95" customHeight="1" x14ac:dyDescent="0.3">
      <c r="A74" s="253"/>
      <c r="B74" s="270" t="s">
        <v>174</v>
      </c>
      <c r="C74" s="255"/>
      <c r="D74" s="44"/>
      <c r="E74" s="44"/>
      <c r="F74" s="227"/>
      <c r="G74" s="227"/>
      <c r="H74" s="227">
        <f>SUM(H66:H73)</f>
        <v>0</v>
      </c>
      <c r="I74" s="225"/>
    </row>
    <row r="75" spans="1:9" ht="15.95" customHeight="1" x14ac:dyDescent="0.3">
      <c r="A75" s="259"/>
      <c r="B75" s="270" t="s">
        <v>192</v>
      </c>
      <c r="C75" s="255"/>
      <c r="D75" s="44"/>
      <c r="E75" s="44"/>
      <c r="F75" s="48"/>
      <c r="G75" s="48"/>
      <c r="H75" s="257">
        <f>'단위공사별(집계)'!L16+'단위공사별(집계)'!I16</f>
        <v>0</v>
      </c>
      <c r="I75" s="44"/>
    </row>
    <row r="76" spans="1:9" ht="15.95" customHeight="1" x14ac:dyDescent="0.3">
      <c r="A76" s="259"/>
      <c r="B76" s="270" t="s">
        <v>93</v>
      </c>
      <c r="C76" s="255"/>
      <c r="D76" s="44"/>
      <c r="E76" s="44"/>
      <c r="F76" s="48"/>
      <c r="G76" s="272"/>
      <c r="H76" s="273">
        <f>(H74+H65)*0.05</f>
        <v>0</v>
      </c>
      <c r="I76" s="255"/>
    </row>
    <row r="77" spans="1:9" ht="15.95" customHeight="1" x14ac:dyDescent="0.3">
      <c r="A77" s="259"/>
      <c r="B77" s="270" t="s">
        <v>177</v>
      </c>
      <c r="C77" s="255"/>
      <c r="D77" s="44"/>
      <c r="E77" s="44"/>
      <c r="F77" s="48"/>
      <c r="G77" s="272"/>
      <c r="H77" s="273">
        <f>(H74+H65)*0.1</f>
        <v>0</v>
      </c>
      <c r="I77" s="255"/>
    </row>
    <row r="78" spans="1:9" ht="15.95" customHeight="1" x14ac:dyDescent="0.3">
      <c r="A78" s="259"/>
      <c r="B78" s="270" t="s">
        <v>178</v>
      </c>
      <c r="C78" s="255"/>
      <c r="D78" s="44"/>
      <c r="E78" s="44"/>
      <c r="F78" s="48"/>
      <c r="G78" s="48"/>
      <c r="H78" s="227">
        <f>H65+H74+H75+H76+H77</f>
        <v>0</v>
      </c>
      <c r="I78" s="44"/>
    </row>
    <row r="79" spans="1:9" x14ac:dyDescent="0.3">
      <c r="A79" s="26"/>
    </row>
  </sheetData>
  <mergeCells count="3">
    <mergeCell ref="A2:B2"/>
    <mergeCell ref="A3:A64"/>
    <mergeCell ref="A66:A73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1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74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/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166">
        <f t="shared" ref="H3:H58" si="0">IF(F3=0,G3,G3*F3)</f>
        <v>0</v>
      </c>
      <c r="I3" s="37"/>
    </row>
    <row r="4" spans="1:9" ht="15.95" customHeight="1" x14ac:dyDescent="0.3">
      <c r="A4" s="460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0"/>
      <c r="B5" s="207"/>
      <c r="C5" s="277"/>
      <c r="D5" s="277"/>
      <c r="E5" s="279"/>
      <c r="F5" s="266"/>
      <c r="G5" s="266"/>
      <c r="H5" s="166">
        <f>IF(F5=0,G5,G5*F5)</f>
        <v>0</v>
      </c>
      <c r="I5" s="37"/>
    </row>
    <row r="6" spans="1:9" ht="15.95" customHeight="1" x14ac:dyDescent="0.3">
      <c r="A6" s="460"/>
      <c r="B6" s="207"/>
      <c r="C6" s="277"/>
      <c r="D6" s="277"/>
      <c r="E6" s="279"/>
      <c r="F6" s="266"/>
      <c r="G6" s="266"/>
      <c r="H6" s="166">
        <f>IF(F6=0,G6,G6*F6)</f>
        <v>0</v>
      </c>
      <c r="I6" s="37"/>
    </row>
    <row r="7" spans="1:9" ht="15.95" customHeight="1" x14ac:dyDescent="0.3">
      <c r="A7" s="460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08"/>
      <c r="D8" s="208"/>
      <c r="E8" s="208"/>
      <c r="F8" s="218"/>
      <c r="G8" s="218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>IF(F10=0,G10,G10*F10)</f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66"/>
      <c r="G11" s="266"/>
      <c r="H11" s="166">
        <f>IF(F11=0,G11,G11*F11)</f>
        <v>0</v>
      </c>
      <c r="I11" s="37"/>
    </row>
    <row r="12" spans="1:9" ht="15.95" customHeight="1" x14ac:dyDescent="0.3">
      <c r="A12" s="463"/>
      <c r="B12" s="207"/>
      <c r="C12" s="277"/>
      <c r="D12" s="277"/>
      <c r="E12" s="279"/>
      <c r="F12" s="266"/>
      <c r="G12" s="266"/>
      <c r="H12" s="166">
        <f>IF(F12=0,G12,G12*F12)</f>
        <v>0</v>
      </c>
      <c r="I12" s="37"/>
    </row>
    <row r="13" spans="1:9" ht="15.95" customHeight="1" x14ac:dyDescent="0.3">
      <c r="A13" s="463"/>
      <c r="B13" s="207"/>
      <c r="C13" s="277"/>
      <c r="D13" s="277"/>
      <c r="E13" s="279"/>
      <c r="F13" s="266"/>
      <c r="G13" s="266"/>
      <c r="H13" s="166">
        <f>IF(F13=0,G13,G13*F13)</f>
        <v>0</v>
      </c>
      <c r="I13" s="37"/>
    </row>
    <row r="14" spans="1:9" ht="15.95" customHeight="1" x14ac:dyDescent="0.3">
      <c r="A14" s="463"/>
      <c r="B14" s="207"/>
      <c r="C14" s="277"/>
      <c r="D14" s="277"/>
      <c r="E14" s="279"/>
      <c r="F14" s="266"/>
      <c r="G14" s="266"/>
      <c r="H14" s="166">
        <f>IF(F14=0,G14,G14*F14)</f>
        <v>0</v>
      </c>
      <c r="I14" s="37"/>
    </row>
    <row r="15" spans="1:9" ht="15.95" customHeight="1" x14ac:dyDescent="0.3">
      <c r="A15" s="463"/>
      <c r="B15" s="207"/>
      <c r="C15" s="208"/>
      <c r="D15" s="208"/>
      <c r="E15" s="208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77"/>
      <c r="D16" s="277"/>
      <c r="E16" s="279"/>
      <c r="F16" s="266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08"/>
      <c r="D17" s="208"/>
      <c r="E17" s="208"/>
      <c r="F17" s="218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77"/>
      <c r="D18" s="277"/>
      <c r="E18" s="279"/>
      <c r="F18" s="266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08"/>
      <c r="F19" s="218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77"/>
      <c r="D20" s="277"/>
      <c r="E20" s="279"/>
      <c r="F20" s="266"/>
      <c r="G20" s="266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08"/>
      <c r="D21" s="208"/>
      <c r="E21" s="208"/>
      <c r="F21" s="218"/>
      <c r="G21" s="218"/>
      <c r="H21" s="166">
        <f t="shared" si="0"/>
        <v>0</v>
      </c>
      <c r="I21" s="37"/>
    </row>
    <row r="22" spans="1:9" ht="15.95" customHeight="1" x14ac:dyDescent="0.3">
      <c r="A22" s="463"/>
      <c r="B22" s="207"/>
      <c r="C22" s="277"/>
      <c r="D22" s="277"/>
      <c r="E22" s="279"/>
      <c r="F22" s="266"/>
      <c r="G22" s="266"/>
      <c r="H22" s="166">
        <f>IF(F22=0,G22,G22*F22)</f>
        <v>0</v>
      </c>
      <c r="I22" s="37"/>
    </row>
    <row r="23" spans="1:9" ht="15.95" customHeight="1" x14ac:dyDescent="0.3">
      <c r="A23" s="463"/>
      <c r="B23" s="207"/>
      <c r="C23" s="208"/>
      <c r="D23" s="208"/>
      <c r="E23" s="208"/>
      <c r="F23" s="218"/>
      <c r="G23" s="218"/>
      <c r="H23" s="166">
        <f t="shared" si="0"/>
        <v>0</v>
      </c>
      <c r="I23" s="37"/>
    </row>
    <row r="24" spans="1:9" ht="15.95" customHeight="1" x14ac:dyDescent="0.3">
      <c r="A24" s="463"/>
      <c r="B24" s="207"/>
      <c r="C24" s="208"/>
      <c r="D24" s="208"/>
      <c r="E24" s="208"/>
      <c r="F24" s="21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08"/>
      <c r="E25" s="208"/>
      <c r="F25" s="21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08"/>
      <c r="F26" s="21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19" t="s">
        <v>202</v>
      </c>
      <c r="D27" s="236"/>
      <c r="E27" s="236"/>
      <c r="F27" s="238"/>
      <c r="G27" s="238"/>
      <c r="H27" s="239">
        <f t="shared" si="0"/>
        <v>0</v>
      </c>
      <c r="I27" s="240"/>
    </row>
    <row r="28" spans="1:9" ht="15.95" customHeight="1" x14ac:dyDescent="0.3">
      <c r="A28" s="463"/>
      <c r="B28" s="223"/>
      <c r="C28" s="242"/>
      <c r="D28" s="242"/>
      <c r="E28" s="242"/>
      <c r="F28" s="245"/>
      <c r="G28" s="245"/>
      <c r="H28" s="246">
        <f>SUM(H3:H27)</f>
        <v>0</v>
      </c>
      <c r="I28" s="242"/>
    </row>
    <row r="29" spans="1:9" ht="15.95" customHeight="1" x14ac:dyDescent="0.3">
      <c r="A29" s="463"/>
      <c r="B29" s="207" t="s">
        <v>181</v>
      </c>
      <c r="C29" s="209"/>
      <c r="D29" s="209"/>
      <c r="E29" s="209"/>
      <c r="F29" s="215"/>
      <c r="G29" s="215"/>
      <c r="H29" s="213">
        <f t="shared" si="0"/>
        <v>0</v>
      </c>
      <c r="I29" s="214"/>
    </row>
    <row r="30" spans="1:9" ht="15.95" customHeight="1" x14ac:dyDescent="0.3">
      <c r="A30" s="463"/>
      <c r="B30" s="207" t="s">
        <v>182</v>
      </c>
      <c r="C30" s="208"/>
      <c r="D30" s="208"/>
      <c r="E30" s="208"/>
      <c r="F30" s="218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08"/>
      <c r="D31" s="208"/>
      <c r="E31" s="208"/>
      <c r="F31" s="218"/>
      <c r="G31" s="218"/>
      <c r="H31" s="166">
        <f t="shared" si="0"/>
        <v>0</v>
      </c>
      <c r="I31" s="37"/>
    </row>
    <row r="32" spans="1:9" ht="15.95" customHeight="1" x14ac:dyDescent="0.3">
      <c r="A32" s="463"/>
      <c r="B32" s="207"/>
      <c r="C32" s="208"/>
      <c r="D32" s="208"/>
      <c r="E32" s="208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19" t="s">
        <v>202</v>
      </c>
      <c r="D33" s="219"/>
      <c r="E33" s="219"/>
      <c r="F33" s="222"/>
      <c r="G33" s="222"/>
      <c r="H33" s="166">
        <f t="shared" si="0"/>
        <v>0</v>
      </c>
      <c r="I33" s="40"/>
    </row>
    <row r="34" spans="1:9" ht="15.95" customHeight="1" x14ac:dyDescent="0.3">
      <c r="A34" s="463"/>
      <c r="B34" s="223"/>
      <c r="C34" s="224"/>
      <c r="D34" s="225"/>
      <c r="E34" s="225"/>
      <c r="F34" s="285"/>
      <c r="G34" s="227"/>
      <c r="H34" s="48">
        <f>SUM(H29:H33)</f>
        <v>0</v>
      </c>
      <c r="I34" s="44"/>
    </row>
    <row r="35" spans="1:9" ht="15.95" customHeight="1" x14ac:dyDescent="0.3">
      <c r="A35" s="463"/>
      <c r="B35" s="247" t="s">
        <v>183</v>
      </c>
      <c r="C35" s="277"/>
      <c r="D35" s="277"/>
      <c r="E35" s="279"/>
      <c r="F35" s="266"/>
      <c r="G35" s="266"/>
      <c r="H35" s="233">
        <f t="shared" si="0"/>
        <v>0</v>
      </c>
      <c r="I35" s="234"/>
    </row>
    <row r="36" spans="1:9" ht="15.95" customHeight="1" x14ac:dyDescent="0.3">
      <c r="A36" s="463"/>
      <c r="B36" s="207" t="s">
        <v>184</v>
      </c>
      <c r="C36" s="277"/>
      <c r="D36" s="277"/>
      <c r="E36" s="279"/>
      <c r="F36" s="266"/>
      <c r="G36" s="266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66"/>
      <c r="G37" s="266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266"/>
      <c r="G38" s="266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266"/>
      <c r="G39" s="266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08"/>
      <c r="D40" s="208"/>
      <c r="E40" s="208"/>
      <c r="F40" s="218"/>
      <c r="G40" s="218"/>
      <c r="H40" s="166">
        <f t="shared" si="0"/>
        <v>0</v>
      </c>
      <c r="I40" s="37"/>
    </row>
    <row r="41" spans="1:9" ht="15.95" customHeight="1" x14ac:dyDescent="0.3">
      <c r="A41" s="463"/>
      <c r="B41" s="207"/>
      <c r="C41" s="321"/>
      <c r="D41" s="321"/>
      <c r="E41" s="321"/>
      <c r="F41" s="318"/>
      <c r="G41" s="3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321"/>
      <c r="D42" s="321"/>
      <c r="E42" s="321"/>
      <c r="F42" s="318"/>
      <c r="G42" s="3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321"/>
      <c r="D43" s="208"/>
      <c r="E43" s="208"/>
      <c r="F43" s="218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08"/>
      <c r="E44" s="208"/>
      <c r="F44" s="218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08"/>
      <c r="E45" s="208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08"/>
      <c r="D46" s="208"/>
      <c r="E46" s="208"/>
      <c r="F46" s="218"/>
      <c r="G46" s="218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08"/>
      <c r="D47" s="208"/>
      <c r="E47" s="208"/>
      <c r="F47" s="218"/>
      <c r="G47" s="218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08"/>
      <c r="D48" s="208"/>
      <c r="E48" s="208"/>
      <c r="F48" s="218"/>
      <c r="G48" s="218"/>
      <c r="H48" s="166">
        <f t="shared" si="0"/>
        <v>0</v>
      </c>
      <c r="I48" s="37"/>
    </row>
    <row r="49" spans="1:9" ht="15.95" customHeight="1" x14ac:dyDescent="0.3">
      <c r="A49" s="463"/>
      <c r="B49" s="207"/>
      <c r="C49" s="208"/>
      <c r="D49" s="208"/>
      <c r="E49" s="208"/>
      <c r="F49" s="218"/>
      <c r="G49" s="218"/>
      <c r="H49" s="166">
        <f t="shared" si="0"/>
        <v>0</v>
      </c>
      <c r="I49" s="37"/>
    </row>
    <row r="50" spans="1:9" ht="15.95" customHeight="1" x14ac:dyDescent="0.3">
      <c r="A50" s="463"/>
      <c r="B50" s="207"/>
      <c r="C50" s="219" t="s">
        <v>202</v>
      </c>
      <c r="D50" s="219"/>
      <c r="E50" s="219"/>
      <c r="F50" s="222"/>
      <c r="G50" s="222"/>
      <c r="H50" s="176">
        <f t="shared" si="0"/>
        <v>0</v>
      </c>
      <c r="I50" s="40"/>
    </row>
    <row r="51" spans="1:9" ht="15.95" customHeight="1" x14ac:dyDescent="0.3">
      <c r="A51" s="463"/>
      <c r="B51" s="223"/>
      <c r="C51" s="224"/>
      <c r="D51" s="225"/>
      <c r="E51" s="225"/>
      <c r="F51" s="227"/>
      <c r="G51" s="227"/>
      <c r="H51" s="48">
        <f>SUM(H35:H50)</f>
        <v>0</v>
      </c>
      <c r="I51" s="44"/>
    </row>
    <row r="52" spans="1:9" ht="15.95" customHeight="1" x14ac:dyDescent="0.3">
      <c r="A52" s="463"/>
      <c r="B52" s="247" t="s">
        <v>61</v>
      </c>
      <c r="C52" s="229"/>
      <c r="D52" s="229"/>
      <c r="E52" s="229"/>
      <c r="F52" s="232"/>
      <c r="G52" s="232"/>
      <c r="H52" s="233">
        <f t="shared" si="0"/>
        <v>0</v>
      </c>
      <c r="I52" s="234"/>
    </row>
    <row r="53" spans="1:9" ht="15.95" customHeight="1" x14ac:dyDescent="0.3">
      <c r="A53" s="463"/>
      <c r="B53" s="207"/>
      <c r="C53" s="208"/>
      <c r="D53" s="208"/>
      <c r="E53" s="208"/>
      <c r="F53" s="218"/>
      <c r="G53" s="218"/>
      <c r="H53" s="166">
        <f t="shared" si="0"/>
        <v>0</v>
      </c>
      <c r="I53" s="37"/>
    </row>
    <row r="54" spans="1:9" ht="15.95" customHeight="1" x14ac:dyDescent="0.3">
      <c r="A54" s="463"/>
      <c r="B54" s="207"/>
      <c r="C54" s="208"/>
      <c r="D54" s="208"/>
      <c r="E54" s="208"/>
      <c r="F54" s="218"/>
      <c r="G54" s="218"/>
      <c r="H54" s="166">
        <f t="shared" si="0"/>
        <v>0</v>
      </c>
      <c r="I54" s="37"/>
    </row>
    <row r="55" spans="1:9" ht="15.95" customHeight="1" x14ac:dyDescent="0.3">
      <c r="A55" s="463"/>
      <c r="B55" s="207"/>
      <c r="C55" s="208"/>
      <c r="D55" s="208"/>
      <c r="E55" s="208"/>
      <c r="F55" s="218"/>
      <c r="G55" s="218"/>
      <c r="H55" s="166">
        <f t="shared" si="0"/>
        <v>0</v>
      </c>
      <c r="I55" s="37"/>
    </row>
    <row r="56" spans="1:9" ht="15.95" customHeight="1" x14ac:dyDescent="0.3">
      <c r="A56" s="463"/>
      <c r="B56" s="207"/>
      <c r="C56" s="208"/>
      <c r="D56" s="208"/>
      <c r="E56" s="208"/>
      <c r="F56" s="218"/>
      <c r="G56" s="218"/>
      <c r="H56" s="166">
        <f t="shared" si="0"/>
        <v>0</v>
      </c>
      <c r="I56" s="37"/>
    </row>
    <row r="57" spans="1:9" ht="15.95" customHeight="1" x14ac:dyDescent="0.3">
      <c r="A57" s="463"/>
      <c r="B57" s="207"/>
      <c r="C57" s="208"/>
      <c r="D57" s="208"/>
      <c r="E57" s="208"/>
      <c r="F57" s="218"/>
      <c r="G57" s="218"/>
      <c r="H57" s="166">
        <f t="shared" si="0"/>
        <v>0</v>
      </c>
      <c r="I57" s="37"/>
    </row>
    <row r="58" spans="1:9" ht="15.95" customHeight="1" x14ac:dyDescent="0.3">
      <c r="A58" s="463"/>
      <c r="B58" s="207"/>
      <c r="C58" s="219" t="s">
        <v>202</v>
      </c>
      <c r="D58" s="219"/>
      <c r="E58" s="219"/>
      <c r="F58" s="222"/>
      <c r="G58" s="222"/>
      <c r="H58" s="176">
        <f t="shared" si="0"/>
        <v>0</v>
      </c>
      <c r="I58" s="40"/>
    </row>
    <row r="59" spans="1:9" ht="15.95" customHeight="1" x14ac:dyDescent="0.3">
      <c r="A59" s="463"/>
      <c r="B59" s="223"/>
      <c r="C59" s="224"/>
      <c r="D59" s="225"/>
      <c r="E59" s="225"/>
      <c r="F59" s="227"/>
      <c r="G59" s="227"/>
      <c r="H59" s="48">
        <f>SUM(H52:H58)</f>
        <v>0</v>
      </c>
      <c r="I59" s="44"/>
    </row>
    <row r="60" spans="1:9" ht="15.95" customHeight="1" x14ac:dyDescent="0.3">
      <c r="A60" s="253"/>
      <c r="B60" s="254" t="s">
        <v>165</v>
      </c>
      <c r="C60" s="255"/>
      <c r="D60" s="44"/>
      <c r="E60" s="44"/>
      <c r="F60" s="257"/>
      <c r="G60" s="257"/>
      <c r="H60" s="48">
        <f>SUM(H59,H51,H34,H28)</f>
        <v>0</v>
      </c>
      <c r="I60" s="44"/>
    </row>
    <row r="61" spans="1:9" ht="15.95" customHeight="1" x14ac:dyDescent="0.3">
      <c r="A61" s="459" t="s">
        <v>166</v>
      </c>
      <c r="B61" s="258" t="s">
        <v>67</v>
      </c>
      <c r="C61" s="255"/>
      <c r="D61" s="44"/>
      <c r="E61" s="258" t="s">
        <v>68</v>
      </c>
      <c r="F61" s="273"/>
      <c r="G61" s="286">
        <v>300000</v>
      </c>
      <c r="H61" s="261">
        <f>F61*G61</f>
        <v>0</v>
      </c>
      <c r="I61" s="44"/>
    </row>
    <row r="62" spans="1:9" ht="15.95" customHeight="1" x14ac:dyDescent="0.3">
      <c r="A62" s="463"/>
      <c r="B62" s="262" t="s">
        <v>185</v>
      </c>
      <c r="C62" s="263"/>
      <c r="D62" s="234"/>
      <c r="E62" s="262" t="s">
        <v>168</v>
      </c>
      <c r="F62" s="232"/>
      <c r="G62" s="287">
        <v>300000</v>
      </c>
      <c r="H62" s="233">
        <f t="shared" ref="H62:H68" si="1">F62*G62</f>
        <v>0</v>
      </c>
      <c r="I62" s="234"/>
    </row>
    <row r="63" spans="1:9" ht="15.95" customHeight="1" x14ac:dyDescent="0.3">
      <c r="A63" s="463"/>
      <c r="B63" s="264" t="s">
        <v>186</v>
      </c>
      <c r="C63" s="265"/>
      <c r="D63" s="37"/>
      <c r="E63" s="264" t="s">
        <v>168</v>
      </c>
      <c r="F63" s="218"/>
      <c r="G63" s="266">
        <v>300000</v>
      </c>
      <c r="H63" s="166">
        <f t="shared" si="1"/>
        <v>0</v>
      </c>
      <c r="I63" s="37"/>
    </row>
    <row r="64" spans="1:9" ht="15.95" customHeight="1" x14ac:dyDescent="0.3">
      <c r="A64" s="463"/>
      <c r="B64" s="264" t="s">
        <v>187</v>
      </c>
      <c r="C64" s="265"/>
      <c r="D64" s="37"/>
      <c r="E64" s="264" t="s">
        <v>168</v>
      </c>
      <c r="F64" s="218"/>
      <c r="G64" s="266">
        <v>300000</v>
      </c>
      <c r="H64" s="166">
        <f t="shared" si="1"/>
        <v>0</v>
      </c>
      <c r="I64" s="37"/>
    </row>
    <row r="65" spans="1:9" ht="15.95" customHeight="1" x14ac:dyDescent="0.3">
      <c r="A65" s="463"/>
      <c r="B65" s="264" t="s">
        <v>188</v>
      </c>
      <c r="C65" s="265"/>
      <c r="D65" s="37"/>
      <c r="E65" s="264" t="s">
        <v>168</v>
      </c>
      <c r="F65" s="218"/>
      <c r="G65" s="266">
        <v>300000</v>
      </c>
      <c r="H65" s="166">
        <f t="shared" si="1"/>
        <v>0</v>
      </c>
      <c r="I65" s="37"/>
    </row>
    <row r="66" spans="1:9" ht="15.95" customHeight="1" x14ac:dyDescent="0.3">
      <c r="A66" s="463"/>
      <c r="B66" s="264" t="s">
        <v>189</v>
      </c>
      <c r="C66" s="265"/>
      <c r="D66" s="37"/>
      <c r="E66" s="264" t="s">
        <v>168</v>
      </c>
      <c r="F66" s="218"/>
      <c r="G66" s="266">
        <v>300000</v>
      </c>
      <c r="H66" s="166">
        <f t="shared" si="1"/>
        <v>0</v>
      </c>
      <c r="I66" s="37"/>
    </row>
    <row r="67" spans="1:9" ht="15.95" customHeight="1" x14ac:dyDescent="0.3">
      <c r="A67" s="463"/>
      <c r="B67" s="264" t="s">
        <v>190</v>
      </c>
      <c r="C67" s="265"/>
      <c r="D67" s="37"/>
      <c r="E67" s="264" t="s">
        <v>168</v>
      </c>
      <c r="F67" s="218"/>
      <c r="G67" s="266">
        <v>300000</v>
      </c>
      <c r="H67" s="166">
        <f t="shared" si="1"/>
        <v>0</v>
      </c>
      <c r="I67" s="37"/>
    </row>
    <row r="68" spans="1:9" ht="15.95" customHeight="1" x14ac:dyDescent="0.3">
      <c r="A68" s="463"/>
      <c r="B68" s="268" t="s">
        <v>191</v>
      </c>
      <c r="C68" s="269"/>
      <c r="D68" s="40"/>
      <c r="E68" s="268" t="s">
        <v>168</v>
      </c>
      <c r="F68" s="222"/>
      <c r="G68" s="282">
        <v>250000</v>
      </c>
      <c r="H68" s="176">
        <f t="shared" si="1"/>
        <v>0</v>
      </c>
      <c r="I68" s="40"/>
    </row>
    <row r="69" spans="1:9" ht="15.95" customHeight="1" x14ac:dyDescent="0.3">
      <c r="A69" s="253"/>
      <c r="B69" s="270" t="s">
        <v>174</v>
      </c>
      <c r="C69" s="255"/>
      <c r="D69" s="44"/>
      <c r="E69" s="44"/>
      <c r="F69" s="227"/>
      <c r="G69" s="227"/>
      <c r="H69" s="227">
        <f>SUM(H61:H68)</f>
        <v>0</v>
      </c>
      <c r="I69" s="225"/>
    </row>
    <row r="70" spans="1:9" ht="15.95" customHeight="1" x14ac:dyDescent="0.3">
      <c r="A70" s="259"/>
      <c r="B70" s="270" t="s">
        <v>192</v>
      </c>
      <c r="C70" s="255"/>
      <c r="D70" s="44"/>
      <c r="E70" s="44"/>
      <c r="F70" s="48"/>
      <c r="G70" s="48"/>
      <c r="H70" s="257">
        <f>'단위공사별(집계)'!L16+'단위공사별(집계)'!I16</f>
        <v>0</v>
      </c>
      <c r="I70" s="44"/>
    </row>
    <row r="71" spans="1:9" ht="15.95" customHeight="1" x14ac:dyDescent="0.3">
      <c r="A71" s="259"/>
      <c r="B71" s="270" t="s">
        <v>93</v>
      </c>
      <c r="C71" s="255"/>
      <c r="D71" s="44"/>
      <c r="E71" s="44"/>
      <c r="F71" s="48"/>
      <c r="G71" s="272"/>
      <c r="H71" s="273">
        <f>(H69+H60)*0.05</f>
        <v>0</v>
      </c>
      <c r="I71" s="255"/>
    </row>
    <row r="72" spans="1:9" ht="15.95" customHeight="1" x14ac:dyDescent="0.3">
      <c r="A72" s="259"/>
      <c r="B72" s="270" t="s">
        <v>177</v>
      </c>
      <c r="C72" s="255"/>
      <c r="D72" s="44"/>
      <c r="E72" s="44"/>
      <c r="F72" s="48"/>
      <c r="G72" s="272"/>
      <c r="H72" s="273">
        <f>(H69+H60)*0.1</f>
        <v>0</v>
      </c>
      <c r="I72" s="255"/>
    </row>
    <row r="73" spans="1:9" ht="15.95" customHeight="1" x14ac:dyDescent="0.3">
      <c r="A73" s="259"/>
      <c r="B73" s="270" t="s">
        <v>178</v>
      </c>
      <c r="C73" s="255"/>
      <c r="D73" s="44"/>
      <c r="E73" s="44"/>
      <c r="F73" s="48"/>
      <c r="G73" s="48"/>
      <c r="H73" s="227">
        <f>H60+H69+H70+H71+H72</f>
        <v>0</v>
      </c>
      <c r="I73" s="44"/>
    </row>
    <row r="74" spans="1:9" x14ac:dyDescent="0.3">
      <c r="A74" s="26"/>
    </row>
  </sheetData>
  <mergeCells count="3">
    <mergeCell ref="A2:B2"/>
    <mergeCell ref="A3:A59"/>
    <mergeCell ref="A61:A68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5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36"/>
  <sheetViews>
    <sheetView zoomScale="85" workbookViewId="0">
      <selection activeCell="K8" sqref="K8"/>
    </sheetView>
  </sheetViews>
  <sheetFormatPr defaultRowHeight="17.25" customHeight="1" x14ac:dyDescent="0.3"/>
  <cols>
    <col min="1" max="1" width="16.5" style="1" customWidth="1"/>
    <col min="2" max="3" width="27.625" style="1" customWidth="1"/>
    <col min="4" max="4" width="11.5" style="1" customWidth="1"/>
    <col min="5" max="256" width="9" style="1"/>
    <col min="257" max="257" width="16.5" style="1" customWidth="1"/>
    <col min="258" max="259" width="27.625" style="1" customWidth="1"/>
    <col min="260" max="260" width="11.5" style="1" customWidth="1"/>
    <col min="261" max="512" width="9" style="1"/>
    <col min="513" max="513" width="16.5" style="1" customWidth="1"/>
    <col min="514" max="515" width="27.625" style="1" customWidth="1"/>
    <col min="516" max="516" width="11.5" style="1" customWidth="1"/>
    <col min="517" max="768" width="9" style="1"/>
    <col min="769" max="769" width="16.5" style="1" customWidth="1"/>
    <col min="770" max="771" width="27.625" style="1" customWidth="1"/>
    <col min="772" max="772" width="11.5" style="1" customWidth="1"/>
    <col min="773" max="1024" width="9" style="1"/>
    <col min="1025" max="1025" width="16.5" style="1" customWidth="1"/>
    <col min="1026" max="1027" width="27.625" style="1" customWidth="1"/>
    <col min="1028" max="1028" width="11.5" style="1" customWidth="1"/>
    <col min="1029" max="1280" width="9" style="1"/>
    <col min="1281" max="1281" width="16.5" style="1" customWidth="1"/>
    <col min="1282" max="1283" width="27.625" style="1" customWidth="1"/>
    <col min="1284" max="1284" width="11.5" style="1" customWidth="1"/>
    <col min="1285" max="1536" width="9" style="1"/>
    <col min="1537" max="1537" width="16.5" style="1" customWidth="1"/>
    <col min="1538" max="1539" width="27.625" style="1" customWidth="1"/>
    <col min="1540" max="1540" width="11.5" style="1" customWidth="1"/>
    <col min="1541" max="1792" width="9" style="1"/>
    <col min="1793" max="1793" width="16.5" style="1" customWidth="1"/>
    <col min="1794" max="1795" width="27.625" style="1" customWidth="1"/>
    <col min="1796" max="1796" width="11.5" style="1" customWidth="1"/>
    <col min="1797" max="2048" width="9" style="1"/>
    <col min="2049" max="2049" width="16.5" style="1" customWidth="1"/>
    <col min="2050" max="2051" width="27.625" style="1" customWidth="1"/>
    <col min="2052" max="2052" width="11.5" style="1" customWidth="1"/>
    <col min="2053" max="2304" width="9" style="1"/>
    <col min="2305" max="2305" width="16.5" style="1" customWidth="1"/>
    <col min="2306" max="2307" width="27.625" style="1" customWidth="1"/>
    <col min="2308" max="2308" width="11.5" style="1" customWidth="1"/>
    <col min="2309" max="2560" width="9" style="1"/>
    <col min="2561" max="2561" width="16.5" style="1" customWidth="1"/>
    <col min="2562" max="2563" width="27.625" style="1" customWidth="1"/>
    <col min="2564" max="2564" width="11.5" style="1" customWidth="1"/>
    <col min="2565" max="2816" width="9" style="1"/>
    <col min="2817" max="2817" width="16.5" style="1" customWidth="1"/>
    <col min="2818" max="2819" width="27.625" style="1" customWidth="1"/>
    <col min="2820" max="2820" width="11.5" style="1" customWidth="1"/>
    <col min="2821" max="3072" width="9" style="1"/>
    <col min="3073" max="3073" width="16.5" style="1" customWidth="1"/>
    <col min="3074" max="3075" width="27.625" style="1" customWidth="1"/>
    <col min="3076" max="3076" width="11.5" style="1" customWidth="1"/>
    <col min="3077" max="3328" width="9" style="1"/>
    <col min="3329" max="3329" width="16.5" style="1" customWidth="1"/>
    <col min="3330" max="3331" width="27.625" style="1" customWidth="1"/>
    <col min="3332" max="3332" width="11.5" style="1" customWidth="1"/>
    <col min="3333" max="3584" width="9" style="1"/>
    <col min="3585" max="3585" width="16.5" style="1" customWidth="1"/>
    <col min="3586" max="3587" width="27.625" style="1" customWidth="1"/>
    <col min="3588" max="3588" width="11.5" style="1" customWidth="1"/>
    <col min="3589" max="3840" width="9" style="1"/>
    <col min="3841" max="3841" width="16.5" style="1" customWidth="1"/>
    <col min="3842" max="3843" width="27.625" style="1" customWidth="1"/>
    <col min="3844" max="3844" width="11.5" style="1" customWidth="1"/>
    <col min="3845" max="4096" width="9" style="1"/>
    <col min="4097" max="4097" width="16.5" style="1" customWidth="1"/>
    <col min="4098" max="4099" width="27.625" style="1" customWidth="1"/>
    <col min="4100" max="4100" width="11.5" style="1" customWidth="1"/>
    <col min="4101" max="4352" width="9" style="1"/>
    <col min="4353" max="4353" width="16.5" style="1" customWidth="1"/>
    <col min="4354" max="4355" width="27.625" style="1" customWidth="1"/>
    <col min="4356" max="4356" width="11.5" style="1" customWidth="1"/>
    <col min="4357" max="4608" width="9" style="1"/>
    <col min="4609" max="4609" width="16.5" style="1" customWidth="1"/>
    <col min="4610" max="4611" width="27.625" style="1" customWidth="1"/>
    <col min="4612" max="4612" width="11.5" style="1" customWidth="1"/>
    <col min="4613" max="4864" width="9" style="1"/>
    <col min="4865" max="4865" width="16.5" style="1" customWidth="1"/>
    <col min="4866" max="4867" width="27.625" style="1" customWidth="1"/>
    <col min="4868" max="4868" width="11.5" style="1" customWidth="1"/>
    <col min="4869" max="5120" width="9" style="1"/>
    <col min="5121" max="5121" width="16.5" style="1" customWidth="1"/>
    <col min="5122" max="5123" width="27.625" style="1" customWidth="1"/>
    <col min="5124" max="5124" width="11.5" style="1" customWidth="1"/>
    <col min="5125" max="5376" width="9" style="1"/>
    <col min="5377" max="5377" width="16.5" style="1" customWidth="1"/>
    <col min="5378" max="5379" width="27.625" style="1" customWidth="1"/>
    <col min="5380" max="5380" width="11.5" style="1" customWidth="1"/>
    <col min="5381" max="5632" width="9" style="1"/>
    <col min="5633" max="5633" width="16.5" style="1" customWidth="1"/>
    <col min="5634" max="5635" width="27.625" style="1" customWidth="1"/>
    <col min="5636" max="5636" width="11.5" style="1" customWidth="1"/>
    <col min="5637" max="5888" width="9" style="1"/>
    <col min="5889" max="5889" width="16.5" style="1" customWidth="1"/>
    <col min="5890" max="5891" width="27.625" style="1" customWidth="1"/>
    <col min="5892" max="5892" width="11.5" style="1" customWidth="1"/>
    <col min="5893" max="6144" width="9" style="1"/>
    <col min="6145" max="6145" width="16.5" style="1" customWidth="1"/>
    <col min="6146" max="6147" width="27.625" style="1" customWidth="1"/>
    <col min="6148" max="6148" width="11.5" style="1" customWidth="1"/>
    <col min="6149" max="6400" width="9" style="1"/>
    <col min="6401" max="6401" width="16.5" style="1" customWidth="1"/>
    <col min="6402" max="6403" width="27.625" style="1" customWidth="1"/>
    <col min="6404" max="6404" width="11.5" style="1" customWidth="1"/>
    <col min="6405" max="6656" width="9" style="1"/>
    <col min="6657" max="6657" width="16.5" style="1" customWidth="1"/>
    <col min="6658" max="6659" width="27.625" style="1" customWidth="1"/>
    <col min="6660" max="6660" width="11.5" style="1" customWidth="1"/>
    <col min="6661" max="6912" width="9" style="1"/>
    <col min="6913" max="6913" width="16.5" style="1" customWidth="1"/>
    <col min="6914" max="6915" width="27.625" style="1" customWidth="1"/>
    <col min="6916" max="6916" width="11.5" style="1" customWidth="1"/>
    <col min="6917" max="7168" width="9" style="1"/>
    <col min="7169" max="7169" width="16.5" style="1" customWidth="1"/>
    <col min="7170" max="7171" width="27.625" style="1" customWidth="1"/>
    <col min="7172" max="7172" width="11.5" style="1" customWidth="1"/>
    <col min="7173" max="7424" width="9" style="1"/>
    <col min="7425" max="7425" width="16.5" style="1" customWidth="1"/>
    <col min="7426" max="7427" width="27.625" style="1" customWidth="1"/>
    <col min="7428" max="7428" width="11.5" style="1" customWidth="1"/>
    <col min="7429" max="7680" width="9" style="1"/>
    <col min="7681" max="7681" width="16.5" style="1" customWidth="1"/>
    <col min="7682" max="7683" width="27.625" style="1" customWidth="1"/>
    <col min="7684" max="7684" width="11.5" style="1" customWidth="1"/>
    <col min="7685" max="7936" width="9" style="1"/>
    <col min="7937" max="7937" width="16.5" style="1" customWidth="1"/>
    <col min="7938" max="7939" width="27.625" style="1" customWidth="1"/>
    <col min="7940" max="7940" width="11.5" style="1" customWidth="1"/>
    <col min="7941" max="8192" width="9" style="1"/>
    <col min="8193" max="8193" width="16.5" style="1" customWidth="1"/>
    <col min="8194" max="8195" width="27.625" style="1" customWidth="1"/>
    <col min="8196" max="8196" width="11.5" style="1" customWidth="1"/>
    <col min="8197" max="8448" width="9" style="1"/>
    <col min="8449" max="8449" width="16.5" style="1" customWidth="1"/>
    <col min="8450" max="8451" width="27.625" style="1" customWidth="1"/>
    <col min="8452" max="8452" width="11.5" style="1" customWidth="1"/>
    <col min="8453" max="8704" width="9" style="1"/>
    <col min="8705" max="8705" width="16.5" style="1" customWidth="1"/>
    <col min="8706" max="8707" width="27.625" style="1" customWidth="1"/>
    <col min="8708" max="8708" width="11.5" style="1" customWidth="1"/>
    <col min="8709" max="8960" width="9" style="1"/>
    <col min="8961" max="8961" width="16.5" style="1" customWidth="1"/>
    <col min="8962" max="8963" width="27.625" style="1" customWidth="1"/>
    <col min="8964" max="8964" width="11.5" style="1" customWidth="1"/>
    <col min="8965" max="9216" width="9" style="1"/>
    <col min="9217" max="9217" width="16.5" style="1" customWidth="1"/>
    <col min="9218" max="9219" width="27.625" style="1" customWidth="1"/>
    <col min="9220" max="9220" width="11.5" style="1" customWidth="1"/>
    <col min="9221" max="9472" width="9" style="1"/>
    <col min="9473" max="9473" width="16.5" style="1" customWidth="1"/>
    <col min="9474" max="9475" width="27.625" style="1" customWidth="1"/>
    <col min="9476" max="9476" width="11.5" style="1" customWidth="1"/>
    <col min="9477" max="9728" width="9" style="1"/>
    <col min="9729" max="9729" width="16.5" style="1" customWidth="1"/>
    <col min="9730" max="9731" width="27.625" style="1" customWidth="1"/>
    <col min="9732" max="9732" width="11.5" style="1" customWidth="1"/>
    <col min="9733" max="9984" width="9" style="1"/>
    <col min="9985" max="9985" width="16.5" style="1" customWidth="1"/>
    <col min="9986" max="9987" width="27.625" style="1" customWidth="1"/>
    <col min="9988" max="9988" width="11.5" style="1" customWidth="1"/>
    <col min="9989" max="10240" width="9" style="1"/>
    <col min="10241" max="10241" width="16.5" style="1" customWidth="1"/>
    <col min="10242" max="10243" width="27.625" style="1" customWidth="1"/>
    <col min="10244" max="10244" width="11.5" style="1" customWidth="1"/>
    <col min="10245" max="10496" width="9" style="1"/>
    <col min="10497" max="10497" width="16.5" style="1" customWidth="1"/>
    <col min="10498" max="10499" width="27.625" style="1" customWidth="1"/>
    <col min="10500" max="10500" width="11.5" style="1" customWidth="1"/>
    <col min="10501" max="10752" width="9" style="1"/>
    <col min="10753" max="10753" width="16.5" style="1" customWidth="1"/>
    <col min="10754" max="10755" width="27.625" style="1" customWidth="1"/>
    <col min="10756" max="10756" width="11.5" style="1" customWidth="1"/>
    <col min="10757" max="11008" width="9" style="1"/>
    <col min="11009" max="11009" width="16.5" style="1" customWidth="1"/>
    <col min="11010" max="11011" width="27.625" style="1" customWidth="1"/>
    <col min="11012" max="11012" width="11.5" style="1" customWidth="1"/>
    <col min="11013" max="11264" width="9" style="1"/>
    <col min="11265" max="11265" width="16.5" style="1" customWidth="1"/>
    <col min="11266" max="11267" width="27.625" style="1" customWidth="1"/>
    <col min="11268" max="11268" width="11.5" style="1" customWidth="1"/>
    <col min="11269" max="11520" width="9" style="1"/>
    <col min="11521" max="11521" width="16.5" style="1" customWidth="1"/>
    <col min="11522" max="11523" width="27.625" style="1" customWidth="1"/>
    <col min="11524" max="11524" width="11.5" style="1" customWidth="1"/>
    <col min="11525" max="11776" width="9" style="1"/>
    <col min="11777" max="11777" width="16.5" style="1" customWidth="1"/>
    <col min="11778" max="11779" width="27.625" style="1" customWidth="1"/>
    <col min="11780" max="11780" width="11.5" style="1" customWidth="1"/>
    <col min="11781" max="12032" width="9" style="1"/>
    <col min="12033" max="12033" width="16.5" style="1" customWidth="1"/>
    <col min="12034" max="12035" width="27.625" style="1" customWidth="1"/>
    <col min="12036" max="12036" width="11.5" style="1" customWidth="1"/>
    <col min="12037" max="12288" width="9" style="1"/>
    <col min="12289" max="12289" width="16.5" style="1" customWidth="1"/>
    <col min="12290" max="12291" width="27.625" style="1" customWidth="1"/>
    <col min="12292" max="12292" width="11.5" style="1" customWidth="1"/>
    <col min="12293" max="12544" width="9" style="1"/>
    <col min="12545" max="12545" width="16.5" style="1" customWidth="1"/>
    <col min="12546" max="12547" width="27.625" style="1" customWidth="1"/>
    <col min="12548" max="12548" width="11.5" style="1" customWidth="1"/>
    <col min="12549" max="12800" width="9" style="1"/>
    <col min="12801" max="12801" width="16.5" style="1" customWidth="1"/>
    <col min="12802" max="12803" width="27.625" style="1" customWidth="1"/>
    <col min="12804" max="12804" width="11.5" style="1" customWidth="1"/>
    <col min="12805" max="13056" width="9" style="1"/>
    <col min="13057" max="13057" width="16.5" style="1" customWidth="1"/>
    <col min="13058" max="13059" width="27.625" style="1" customWidth="1"/>
    <col min="13060" max="13060" width="11.5" style="1" customWidth="1"/>
    <col min="13061" max="13312" width="9" style="1"/>
    <col min="13313" max="13313" width="16.5" style="1" customWidth="1"/>
    <col min="13314" max="13315" width="27.625" style="1" customWidth="1"/>
    <col min="13316" max="13316" width="11.5" style="1" customWidth="1"/>
    <col min="13317" max="13568" width="9" style="1"/>
    <col min="13569" max="13569" width="16.5" style="1" customWidth="1"/>
    <col min="13570" max="13571" width="27.625" style="1" customWidth="1"/>
    <col min="13572" max="13572" width="11.5" style="1" customWidth="1"/>
    <col min="13573" max="13824" width="9" style="1"/>
    <col min="13825" max="13825" width="16.5" style="1" customWidth="1"/>
    <col min="13826" max="13827" width="27.625" style="1" customWidth="1"/>
    <col min="13828" max="13828" width="11.5" style="1" customWidth="1"/>
    <col min="13829" max="14080" width="9" style="1"/>
    <col min="14081" max="14081" width="16.5" style="1" customWidth="1"/>
    <col min="14082" max="14083" width="27.625" style="1" customWidth="1"/>
    <col min="14084" max="14084" width="11.5" style="1" customWidth="1"/>
    <col min="14085" max="14336" width="9" style="1"/>
    <col min="14337" max="14337" width="16.5" style="1" customWidth="1"/>
    <col min="14338" max="14339" width="27.625" style="1" customWidth="1"/>
    <col min="14340" max="14340" width="11.5" style="1" customWidth="1"/>
    <col min="14341" max="14592" width="9" style="1"/>
    <col min="14593" max="14593" width="16.5" style="1" customWidth="1"/>
    <col min="14594" max="14595" width="27.625" style="1" customWidth="1"/>
    <col min="14596" max="14596" width="11.5" style="1" customWidth="1"/>
    <col min="14597" max="14848" width="9" style="1"/>
    <col min="14849" max="14849" width="16.5" style="1" customWidth="1"/>
    <col min="14850" max="14851" width="27.625" style="1" customWidth="1"/>
    <col min="14852" max="14852" width="11.5" style="1" customWidth="1"/>
    <col min="14853" max="15104" width="9" style="1"/>
    <col min="15105" max="15105" width="16.5" style="1" customWidth="1"/>
    <col min="15106" max="15107" width="27.625" style="1" customWidth="1"/>
    <col min="15108" max="15108" width="11.5" style="1" customWidth="1"/>
    <col min="15109" max="15360" width="9" style="1"/>
    <col min="15361" max="15361" width="16.5" style="1" customWidth="1"/>
    <col min="15362" max="15363" width="27.625" style="1" customWidth="1"/>
    <col min="15364" max="15364" width="11.5" style="1" customWidth="1"/>
    <col min="15365" max="15616" width="9" style="1"/>
    <col min="15617" max="15617" width="16.5" style="1" customWidth="1"/>
    <col min="15618" max="15619" width="27.625" style="1" customWidth="1"/>
    <col min="15620" max="15620" width="11.5" style="1" customWidth="1"/>
    <col min="15621" max="15872" width="9" style="1"/>
    <col min="15873" max="15873" width="16.5" style="1" customWidth="1"/>
    <col min="15874" max="15875" width="27.625" style="1" customWidth="1"/>
    <col min="15876" max="15876" width="11.5" style="1" customWidth="1"/>
    <col min="15877" max="16128" width="9" style="1"/>
    <col min="16129" max="16129" width="16.5" style="1" customWidth="1"/>
    <col min="16130" max="16131" width="27.625" style="1" customWidth="1"/>
    <col min="16132" max="16132" width="11.5" style="1" customWidth="1"/>
    <col min="16133" max="16384" width="9" style="1"/>
  </cols>
  <sheetData>
    <row r="1" spans="1:4" ht="17.25" customHeight="1" x14ac:dyDescent="0.3">
      <c r="A1" s="1" t="s">
        <v>253</v>
      </c>
    </row>
    <row r="2" spans="1:4" ht="17.25" customHeight="1" x14ac:dyDescent="0.3">
      <c r="D2" s="26" t="s">
        <v>128</v>
      </c>
    </row>
    <row r="3" spans="1:4" ht="24.75" customHeight="1" x14ac:dyDescent="0.3">
      <c r="A3" s="322" t="s">
        <v>254</v>
      </c>
    </row>
    <row r="4" spans="1:4" ht="11.25" customHeight="1" x14ac:dyDescent="0.3"/>
    <row r="5" spans="1:4" s="324" customFormat="1" ht="21" customHeight="1" thickBot="1" x14ac:dyDescent="0.35">
      <c r="A5" s="323" t="s">
        <v>255</v>
      </c>
      <c r="B5" s="323" t="s">
        <v>256</v>
      </c>
      <c r="C5" s="323" t="s">
        <v>257</v>
      </c>
      <c r="D5" s="323" t="s">
        <v>29</v>
      </c>
    </row>
    <row r="6" spans="1:4" ht="17.25" customHeight="1" thickTop="1" x14ac:dyDescent="0.3">
      <c r="A6" s="325"/>
      <c r="B6" s="325"/>
      <c r="C6" s="325"/>
      <c r="D6" s="325"/>
    </row>
    <row r="7" spans="1:4" ht="17.25" customHeight="1" x14ac:dyDescent="0.3">
      <c r="A7" s="325"/>
      <c r="B7" s="325"/>
      <c r="C7" s="325"/>
      <c r="D7" s="325"/>
    </row>
    <row r="8" spans="1:4" ht="17.25" customHeight="1" x14ac:dyDescent="0.3">
      <c r="A8" s="325"/>
      <c r="B8" s="325"/>
      <c r="C8" s="325"/>
      <c r="D8" s="325"/>
    </row>
    <row r="9" spans="1:4" ht="17.25" customHeight="1" x14ac:dyDescent="0.3">
      <c r="A9" s="325"/>
      <c r="B9" s="325"/>
      <c r="C9" s="325"/>
      <c r="D9" s="325"/>
    </row>
    <row r="10" spans="1:4" ht="17.25" customHeight="1" x14ac:dyDescent="0.3">
      <c r="A10" s="325"/>
      <c r="B10" s="325"/>
      <c r="C10" s="325"/>
      <c r="D10" s="325"/>
    </row>
    <row r="11" spans="1:4" ht="17.25" customHeight="1" x14ac:dyDescent="0.3">
      <c r="A11" s="325"/>
      <c r="B11" s="325"/>
      <c r="C11" s="325"/>
      <c r="D11" s="325"/>
    </row>
    <row r="12" spans="1:4" ht="17.25" customHeight="1" x14ac:dyDescent="0.3">
      <c r="A12" s="325"/>
      <c r="B12" s="325"/>
      <c r="C12" s="325"/>
      <c r="D12" s="325"/>
    </row>
    <row r="13" spans="1:4" ht="17.25" customHeight="1" x14ac:dyDescent="0.3">
      <c r="A13" s="325"/>
      <c r="B13" s="325"/>
      <c r="C13" s="325"/>
      <c r="D13" s="325"/>
    </row>
    <row r="14" spans="1:4" ht="17.25" customHeight="1" x14ac:dyDescent="0.3">
      <c r="A14" s="325"/>
      <c r="B14" s="325"/>
      <c r="C14" s="325"/>
      <c r="D14" s="325"/>
    </row>
    <row r="15" spans="1:4" ht="17.25" customHeight="1" x14ac:dyDescent="0.3">
      <c r="A15" s="325"/>
      <c r="B15" s="325"/>
      <c r="C15" s="325"/>
      <c r="D15" s="325"/>
    </row>
    <row r="16" spans="1:4" ht="17.25" customHeight="1" x14ac:dyDescent="0.3">
      <c r="A16" s="325"/>
      <c r="B16" s="325"/>
      <c r="C16" s="325"/>
      <c r="D16" s="325"/>
    </row>
    <row r="17" spans="1:4" ht="17.25" customHeight="1" x14ac:dyDescent="0.3">
      <c r="A17" s="325"/>
      <c r="B17" s="325"/>
      <c r="C17" s="325"/>
      <c r="D17" s="325"/>
    </row>
    <row r="18" spans="1:4" ht="17.25" customHeight="1" x14ac:dyDescent="0.3">
      <c r="A18" s="325"/>
      <c r="B18" s="325"/>
      <c r="C18" s="325"/>
      <c r="D18" s="325"/>
    </row>
    <row r="19" spans="1:4" ht="17.25" customHeight="1" x14ac:dyDescent="0.3">
      <c r="A19" s="325"/>
      <c r="B19" s="325"/>
      <c r="C19" s="325"/>
      <c r="D19" s="325"/>
    </row>
    <row r="20" spans="1:4" ht="17.25" customHeight="1" x14ac:dyDescent="0.3">
      <c r="A20" s="325"/>
      <c r="B20" s="325"/>
      <c r="C20" s="325"/>
      <c r="D20" s="325"/>
    </row>
    <row r="21" spans="1:4" ht="17.25" customHeight="1" x14ac:dyDescent="0.3">
      <c r="A21" s="325"/>
      <c r="B21" s="325"/>
      <c r="C21" s="325"/>
      <c r="D21" s="325"/>
    </row>
    <row r="22" spans="1:4" ht="17.25" customHeight="1" x14ac:dyDescent="0.3">
      <c r="A22" s="325"/>
      <c r="B22" s="325"/>
      <c r="C22" s="325"/>
      <c r="D22" s="325"/>
    </row>
    <row r="23" spans="1:4" ht="17.25" customHeight="1" x14ac:dyDescent="0.3">
      <c r="A23" s="325"/>
      <c r="B23" s="325"/>
      <c r="C23" s="325"/>
      <c r="D23" s="325"/>
    </row>
    <row r="24" spans="1:4" ht="17.25" customHeight="1" x14ac:dyDescent="0.3">
      <c r="A24" s="325"/>
      <c r="B24" s="325"/>
      <c r="C24" s="325"/>
      <c r="D24" s="325"/>
    </row>
    <row r="25" spans="1:4" ht="17.25" customHeight="1" x14ac:dyDescent="0.3">
      <c r="A25" s="325"/>
      <c r="B25" s="325"/>
      <c r="C25" s="325"/>
      <c r="D25" s="325"/>
    </row>
    <row r="26" spans="1:4" ht="17.25" customHeight="1" x14ac:dyDescent="0.3">
      <c r="A26" s="325"/>
      <c r="B26" s="325"/>
      <c r="C26" s="325"/>
      <c r="D26" s="325"/>
    </row>
    <row r="27" spans="1:4" ht="17.25" customHeight="1" x14ac:dyDescent="0.3">
      <c r="A27" s="325"/>
      <c r="B27" s="325"/>
      <c r="C27" s="325"/>
      <c r="D27" s="325"/>
    </row>
    <row r="28" spans="1:4" ht="17.25" customHeight="1" x14ac:dyDescent="0.3">
      <c r="A28" s="325"/>
      <c r="B28" s="325"/>
      <c r="C28" s="325"/>
      <c r="D28" s="325"/>
    </row>
    <row r="29" spans="1:4" ht="17.25" customHeight="1" x14ac:dyDescent="0.3">
      <c r="A29" s="325"/>
      <c r="B29" s="325"/>
      <c r="C29" s="325"/>
      <c r="D29" s="325"/>
    </row>
    <row r="30" spans="1:4" ht="17.25" customHeight="1" x14ac:dyDescent="0.3">
      <c r="A30" s="325"/>
      <c r="B30" s="325"/>
      <c r="C30" s="325"/>
      <c r="D30" s="325"/>
    </row>
    <row r="31" spans="1:4" ht="17.25" customHeight="1" x14ac:dyDescent="0.3">
      <c r="A31" s="325"/>
      <c r="B31" s="325"/>
      <c r="C31" s="325"/>
      <c r="D31" s="325"/>
    </row>
    <row r="32" spans="1:4" ht="17.25" customHeight="1" x14ac:dyDescent="0.3">
      <c r="A32" s="325"/>
      <c r="B32" s="325"/>
      <c r="C32" s="325"/>
      <c r="D32" s="325"/>
    </row>
    <row r="33" spans="1:4" ht="17.25" customHeight="1" x14ac:dyDescent="0.3">
      <c r="A33" s="325"/>
      <c r="B33" s="325"/>
      <c r="C33" s="325"/>
      <c r="D33" s="325"/>
    </row>
    <row r="34" spans="1:4" ht="17.25" customHeight="1" x14ac:dyDescent="0.3">
      <c r="A34" s="325"/>
      <c r="B34" s="325"/>
      <c r="C34" s="325"/>
      <c r="D34" s="325"/>
    </row>
    <row r="35" spans="1:4" ht="17.25" customHeight="1" x14ac:dyDescent="0.3">
      <c r="A35" s="325"/>
      <c r="B35" s="325"/>
      <c r="C35" s="325"/>
      <c r="D35" s="325"/>
    </row>
    <row r="36" spans="1:4" ht="17.25" customHeight="1" x14ac:dyDescent="0.3">
      <c r="A36" s="225"/>
      <c r="B36" s="225"/>
      <c r="C36" s="225"/>
      <c r="D36" s="22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44CDFE-2524-4948-A012-CE404DA49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FD0732-73E0-4FA2-91B2-64FAD0B623F0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45EE8F6D-7F96-482E-8949-203FE200651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7</vt:i4>
      </vt:variant>
    </vt:vector>
  </HeadingPairs>
  <TitlesOfParts>
    <vt:vector size="23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Sheet1</vt:lpstr>
      <vt:lpstr>갑지!Print_Area</vt:lpstr>
      <vt:lpstr>'단위공사별(집계)'!Print_Area</vt:lpstr>
      <vt:lpstr>단위장비4!Print_Area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정주완 책임매니저 샤시생산기술팀</dc:creator>
  <cp:lastModifiedBy>박혜인 책임매니저 설비구매팀</cp:lastModifiedBy>
  <cp:lastPrinted>2026-04-03T07:29:51Z</cp:lastPrinted>
  <dcterms:created xsi:type="dcterms:W3CDTF">2026-03-19T01:09:30Z</dcterms:created>
  <dcterms:modified xsi:type="dcterms:W3CDTF">2026-04-17T06:36:46Z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