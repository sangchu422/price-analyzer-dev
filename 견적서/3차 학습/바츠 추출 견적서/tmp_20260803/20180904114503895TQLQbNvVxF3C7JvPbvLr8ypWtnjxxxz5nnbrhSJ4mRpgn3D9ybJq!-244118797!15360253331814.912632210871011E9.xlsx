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3715" windowHeight="10080"/>
  </bookViews>
  <sheets>
    <sheet name="갑지" sheetId="1" r:id="rId1"/>
    <sheet name="원가항목별(집계)" sheetId="2" state="hidden" r:id="rId2"/>
    <sheet name="단위공사별(집계)" sheetId="3" state="hidden" r:id="rId3"/>
    <sheet name="전기" sheetId="4" r:id="rId4"/>
    <sheet name="단위장비1(기계)" sheetId="5" r:id="rId5"/>
    <sheet name="단위장비2(MEXICO LOCAL)" sheetId="6" r:id="rId6"/>
    <sheet name="단위장비3" sheetId="7" state="hidden" r:id="rId7"/>
    <sheet name="단위장비4" sheetId="8" state="hidden" r:id="rId8"/>
    <sheet name="단위장비5" sheetId="9" state="hidden" r:id="rId9"/>
    <sheet name="단위장비6" sheetId="10" state="hidden" r:id="rId10"/>
    <sheet name="단위장비7" sheetId="11" state="hidden" r:id="rId11"/>
    <sheet name="단위장비8" sheetId="12" state="hidden" r:id="rId12"/>
    <sheet name="단위장비9" sheetId="13" state="hidden" r:id="rId13"/>
    <sheet name="단위장비10" sheetId="14" state="hidden" r:id="rId14"/>
    <sheet name="첨부(견적조건차이내역)" sheetId="15" state="hidden" r:id="rId15"/>
  </sheets>
  <externalReferences>
    <externalReference r:id="rId16"/>
  </externalReferences>
  <definedNames>
    <definedName name="_xlnm._FilterDatabase" localSheetId="4" hidden="1">'단위장비1(기계)'!$A$2:$I$71</definedName>
    <definedName name="_xlnm._FilterDatabase" localSheetId="5" hidden="1">'단위장비2(MEXICO LOCAL)'!$A$2:$I$59</definedName>
    <definedName name="_xlnm._FilterDatabase" localSheetId="6" hidden="1">단위장비3!$J$2:$J$69</definedName>
    <definedName name="_xlnm._FilterDatabase" localSheetId="7" hidden="1">단위장비4!$J$2:$J$69</definedName>
    <definedName name="_xlnm._FilterDatabase" localSheetId="8" hidden="1">단위장비5!$J$2:$J$69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전기!$A$2:$I$66</definedName>
    <definedName name="_xlnm.Print_Area" localSheetId="0">갑지!$B:$I</definedName>
    <definedName name="_xlnm.Print_Area" localSheetId="2">'단위공사별(집계)'!$A$1:$O$21</definedName>
    <definedName name="_xlnm.Print_Area" localSheetId="1">'원가항목별(집계)'!$A$1:$J$44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45621"/>
</workbook>
</file>

<file path=xl/calcChain.xml><?xml version="1.0" encoding="utf-8"?>
<calcChain xmlns="http://schemas.openxmlformats.org/spreadsheetml/2006/main">
  <c r="F18" i="1" l="1"/>
  <c r="G18" i="1"/>
  <c r="H18" i="1"/>
  <c r="I38" i="2"/>
  <c r="I10" i="2"/>
  <c r="I8" i="3"/>
  <c r="M8" i="3"/>
  <c r="N7" i="3"/>
  <c r="J7" i="3"/>
  <c r="M7" i="3"/>
  <c r="F7" i="3"/>
  <c r="G7" i="3"/>
  <c r="D7" i="3"/>
  <c r="H54" i="6" l="1"/>
  <c r="H53" i="6"/>
  <c r="H52" i="6"/>
  <c r="H51" i="6"/>
  <c r="I16" i="2" s="1"/>
  <c r="H50" i="6"/>
  <c r="H49" i="6"/>
  <c r="H48" i="6"/>
  <c r="H47" i="6"/>
  <c r="H44" i="6"/>
  <c r="H43" i="6"/>
  <c r="H42" i="6"/>
  <c r="H41" i="6"/>
  <c r="H45" i="6" s="1"/>
  <c r="H40" i="6"/>
  <c r="H39" i="6"/>
  <c r="H38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19" i="6"/>
  <c r="H18" i="6"/>
  <c r="H17" i="6"/>
  <c r="H16" i="6"/>
  <c r="H15" i="6"/>
  <c r="H20" i="6" s="1"/>
  <c r="H13" i="6"/>
  <c r="H12" i="6"/>
  <c r="H11" i="6"/>
  <c r="H10" i="6"/>
  <c r="H9" i="6"/>
  <c r="H8" i="6"/>
  <c r="H7" i="6"/>
  <c r="H6" i="6"/>
  <c r="H5" i="6"/>
  <c r="H4" i="6"/>
  <c r="H3" i="6"/>
  <c r="H14" i="6" s="1"/>
  <c r="H66" i="5"/>
  <c r="H65" i="5"/>
  <c r="H64" i="5"/>
  <c r="I17" i="2" s="1"/>
  <c r="H63" i="5"/>
  <c r="H62" i="5"/>
  <c r="H61" i="5"/>
  <c r="H60" i="5"/>
  <c r="I13" i="2" s="1"/>
  <c r="H59" i="5"/>
  <c r="H67" i="5" s="1"/>
  <c r="H56" i="5"/>
  <c r="H55" i="5"/>
  <c r="H54" i="5"/>
  <c r="H53" i="5"/>
  <c r="H52" i="5"/>
  <c r="H51" i="5"/>
  <c r="H50" i="5"/>
  <c r="H49" i="5"/>
  <c r="H57" i="5" s="1"/>
  <c r="H48" i="5"/>
  <c r="H47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29" i="5"/>
  <c r="H28" i="5"/>
  <c r="H27" i="5"/>
  <c r="H26" i="5"/>
  <c r="H25" i="5"/>
  <c r="H30" i="5" s="1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61" i="4"/>
  <c r="H60" i="4"/>
  <c r="H59" i="4"/>
  <c r="H58" i="4"/>
  <c r="H62" i="4" s="1"/>
  <c r="H57" i="4"/>
  <c r="H56" i="4"/>
  <c r="H55" i="4"/>
  <c r="H52" i="4"/>
  <c r="H51" i="4"/>
  <c r="H50" i="4"/>
  <c r="H49" i="4"/>
  <c r="H48" i="4"/>
  <c r="H47" i="4"/>
  <c r="H46" i="4"/>
  <c r="H45" i="4"/>
  <c r="H53" i="4" s="1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42" i="4" s="1"/>
  <c r="H15" i="4"/>
  <c r="H14" i="4"/>
  <c r="H13" i="4"/>
  <c r="H12" i="4"/>
  <c r="H16" i="4" s="1"/>
  <c r="H11" i="4"/>
  <c r="H10" i="4"/>
  <c r="H8" i="4"/>
  <c r="H7" i="4"/>
  <c r="H6" i="4"/>
  <c r="H5" i="4"/>
  <c r="H4" i="4"/>
  <c r="H9" i="4" s="1"/>
  <c r="H3" i="4"/>
  <c r="H46" i="5" l="1"/>
  <c r="H37" i="6"/>
  <c r="H46" i="6" s="1"/>
  <c r="H57" i="6" s="1"/>
  <c r="H55" i="6"/>
  <c r="H24" i="5"/>
  <c r="I7" i="2" s="1"/>
  <c r="H54" i="4"/>
  <c r="H65" i="4" s="1"/>
  <c r="H64" i="14"/>
  <c r="H63" i="14"/>
  <c r="H62" i="14"/>
  <c r="H61" i="14"/>
  <c r="H60" i="14"/>
  <c r="H59" i="14"/>
  <c r="H58" i="14"/>
  <c r="G57" i="14"/>
  <c r="H57" i="14" s="1"/>
  <c r="H65" i="14" s="1"/>
  <c r="H17" i="3" s="1"/>
  <c r="H54" i="14"/>
  <c r="H53" i="14"/>
  <c r="H52" i="14"/>
  <c r="H51" i="14"/>
  <c r="H50" i="14"/>
  <c r="H49" i="14"/>
  <c r="H48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29" i="14"/>
  <c r="H28" i="14"/>
  <c r="H27" i="14"/>
  <c r="H26" i="14"/>
  <c r="H25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64" i="13"/>
  <c r="H16" i="3" s="1"/>
  <c r="H63" i="13"/>
  <c r="H62" i="13"/>
  <c r="H61" i="13"/>
  <c r="H60" i="13"/>
  <c r="H59" i="13"/>
  <c r="H58" i="13"/>
  <c r="E16" i="3" s="1"/>
  <c r="G57" i="13"/>
  <c r="H57" i="13" s="1"/>
  <c r="H54" i="13"/>
  <c r="H53" i="13"/>
  <c r="H52" i="13"/>
  <c r="H51" i="13"/>
  <c r="H50" i="13"/>
  <c r="H49" i="13"/>
  <c r="H48" i="13"/>
  <c r="H55" i="13" s="1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47" i="13" s="1"/>
  <c r="H29" i="13"/>
  <c r="H28" i="13"/>
  <c r="H27" i="13"/>
  <c r="H26" i="13"/>
  <c r="H25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64" i="12"/>
  <c r="H63" i="12"/>
  <c r="H15" i="3" s="1"/>
  <c r="H62" i="12"/>
  <c r="H61" i="12"/>
  <c r="H60" i="12"/>
  <c r="H59" i="12"/>
  <c r="H58" i="12"/>
  <c r="G57" i="12"/>
  <c r="H57" i="12" s="1"/>
  <c r="E15" i="3" s="1"/>
  <c r="H54" i="12"/>
  <c r="H53" i="12"/>
  <c r="H52" i="12"/>
  <c r="H51" i="12"/>
  <c r="H50" i="12"/>
  <c r="H55" i="12" s="1"/>
  <c r="H49" i="12"/>
  <c r="H48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29" i="12"/>
  <c r="H28" i="12"/>
  <c r="H27" i="12"/>
  <c r="H26" i="12"/>
  <c r="H25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64" i="11"/>
  <c r="H63" i="11"/>
  <c r="H14" i="3" s="1"/>
  <c r="H62" i="11"/>
  <c r="H61" i="11"/>
  <c r="G14" i="3" s="1"/>
  <c r="H60" i="11"/>
  <c r="H59" i="11"/>
  <c r="H58" i="11"/>
  <c r="G57" i="11"/>
  <c r="H57" i="11" s="1"/>
  <c r="H54" i="11"/>
  <c r="H53" i="11"/>
  <c r="H52" i="11"/>
  <c r="H51" i="11"/>
  <c r="H50" i="11"/>
  <c r="H49" i="11"/>
  <c r="H48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29" i="11"/>
  <c r="H28" i="11"/>
  <c r="H27" i="11"/>
  <c r="H26" i="11"/>
  <c r="H25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24" i="11" s="1"/>
  <c r="H3" i="11"/>
  <c r="H64" i="10"/>
  <c r="H63" i="10"/>
  <c r="H13" i="3" s="1"/>
  <c r="H62" i="10"/>
  <c r="G13" i="3" s="1"/>
  <c r="H61" i="10"/>
  <c r="H60" i="10"/>
  <c r="H59" i="10"/>
  <c r="H58" i="10"/>
  <c r="F13" i="3" s="1"/>
  <c r="G57" i="10"/>
  <c r="H57" i="10" s="1"/>
  <c r="E13" i="3" s="1"/>
  <c r="H54" i="10"/>
  <c r="H53" i="10"/>
  <c r="H52" i="10"/>
  <c r="H51" i="10"/>
  <c r="H50" i="10"/>
  <c r="H49" i="10"/>
  <c r="H48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29" i="10"/>
  <c r="H28" i="10"/>
  <c r="H27" i="10"/>
  <c r="H26" i="10"/>
  <c r="H25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64" i="9"/>
  <c r="H63" i="9"/>
  <c r="H12" i="3" s="1"/>
  <c r="H62" i="9"/>
  <c r="H61" i="9"/>
  <c r="G12" i="3" s="1"/>
  <c r="H60" i="9"/>
  <c r="F12" i="3" s="1"/>
  <c r="H59" i="9"/>
  <c r="H58" i="9"/>
  <c r="H57" i="9"/>
  <c r="H54" i="9"/>
  <c r="H53" i="9"/>
  <c r="H52" i="9"/>
  <c r="H51" i="9"/>
  <c r="H50" i="9"/>
  <c r="H49" i="9"/>
  <c r="H48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29" i="9"/>
  <c r="H28" i="9"/>
  <c r="H27" i="9"/>
  <c r="H26" i="9"/>
  <c r="H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64" i="8"/>
  <c r="H63" i="8"/>
  <c r="H62" i="8"/>
  <c r="H61" i="8"/>
  <c r="G11" i="3" s="1"/>
  <c r="H60" i="8"/>
  <c r="H59" i="8"/>
  <c r="H58" i="8"/>
  <c r="F11" i="3" s="1"/>
  <c r="H57" i="8"/>
  <c r="E11" i="3" s="1"/>
  <c r="H54" i="8"/>
  <c r="H53" i="8"/>
  <c r="H52" i="8"/>
  <c r="H51" i="8"/>
  <c r="H55" i="8" s="1"/>
  <c r="H50" i="8"/>
  <c r="H49" i="8"/>
  <c r="H48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29" i="8"/>
  <c r="H28" i="8"/>
  <c r="H27" i="8"/>
  <c r="H26" i="8"/>
  <c r="H25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64" i="7"/>
  <c r="H63" i="7"/>
  <c r="H62" i="7"/>
  <c r="H61" i="7"/>
  <c r="H60" i="7"/>
  <c r="H59" i="7"/>
  <c r="H58" i="7"/>
  <c r="F10" i="3" s="1"/>
  <c r="H57" i="7"/>
  <c r="H54" i="7"/>
  <c r="H53" i="7"/>
  <c r="H52" i="7"/>
  <c r="H51" i="7"/>
  <c r="H50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29" i="7"/>
  <c r="H28" i="7"/>
  <c r="H27" i="7"/>
  <c r="H26" i="7"/>
  <c r="H30" i="7" s="1"/>
  <c r="H25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9" i="3"/>
  <c r="F9" i="3"/>
  <c r="E9" i="3"/>
  <c r="H8" i="3"/>
  <c r="I30" i="2"/>
  <c r="I29" i="2"/>
  <c r="I27" i="2"/>
  <c r="I26" i="2"/>
  <c r="I24" i="2"/>
  <c r="G17" i="3"/>
  <c r="E17" i="3"/>
  <c r="D17" i="3"/>
  <c r="B17" i="3"/>
  <c r="K17" i="3" s="1"/>
  <c r="B16" i="3"/>
  <c r="K16" i="3" s="1"/>
  <c r="M15" i="3"/>
  <c r="G15" i="3"/>
  <c r="B15" i="3"/>
  <c r="L15" i="3" s="1"/>
  <c r="M14" i="3"/>
  <c r="E14" i="3"/>
  <c r="B14" i="3"/>
  <c r="K14" i="3" s="1"/>
  <c r="M13" i="3"/>
  <c r="B13" i="3"/>
  <c r="L13" i="3" s="1"/>
  <c r="M12" i="3"/>
  <c r="E12" i="3"/>
  <c r="B12" i="3"/>
  <c r="K12" i="3" s="1"/>
  <c r="A12" i="3"/>
  <c r="H11" i="3"/>
  <c r="B11" i="3"/>
  <c r="L11" i="3" s="1"/>
  <c r="H10" i="3"/>
  <c r="E10" i="3"/>
  <c r="G9" i="3"/>
  <c r="G8" i="3"/>
  <c r="E8" i="3"/>
  <c r="I31" i="2"/>
  <c r="H31" i="2"/>
  <c r="G31" i="2"/>
  <c r="H30" i="2"/>
  <c r="G30" i="2"/>
  <c r="H29" i="2"/>
  <c r="G29" i="2"/>
  <c r="I28" i="2"/>
  <c r="H28" i="2"/>
  <c r="G28" i="2"/>
  <c r="H27" i="2"/>
  <c r="G27" i="2"/>
  <c r="H26" i="2"/>
  <c r="G26" i="2"/>
  <c r="H25" i="2"/>
  <c r="G25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H12" i="2"/>
  <c r="G12" i="2"/>
  <c r="G7" i="2"/>
  <c r="I8" i="2" l="1"/>
  <c r="I16" i="3"/>
  <c r="I14" i="3"/>
  <c r="A14" i="3"/>
  <c r="A16" i="3"/>
  <c r="H58" i="6"/>
  <c r="H59" i="6" s="1"/>
  <c r="H58" i="5"/>
  <c r="D8" i="3" s="1"/>
  <c r="I12" i="2"/>
  <c r="H64" i="4"/>
  <c r="H66" i="4" s="1"/>
  <c r="H18" i="3"/>
  <c r="I19" i="2"/>
  <c r="H47" i="8"/>
  <c r="H24" i="9"/>
  <c r="H55" i="9"/>
  <c r="H47" i="11"/>
  <c r="G16" i="3"/>
  <c r="H30" i="14"/>
  <c r="H47" i="14"/>
  <c r="I15" i="2"/>
  <c r="H30" i="8"/>
  <c r="H65" i="9"/>
  <c r="H55" i="11"/>
  <c r="H24" i="7"/>
  <c r="H47" i="9"/>
  <c r="H55" i="10"/>
  <c r="F14" i="3"/>
  <c r="H30" i="12"/>
  <c r="H47" i="12"/>
  <c r="I12" i="3"/>
  <c r="K15" i="3"/>
  <c r="F8" i="3"/>
  <c r="H65" i="7"/>
  <c r="G10" i="3"/>
  <c r="G18" i="3" s="1"/>
  <c r="H30" i="10"/>
  <c r="H47" i="10"/>
  <c r="F15" i="3"/>
  <c r="H24" i="13"/>
  <c r="H55" i="14"/>
  <c r="H56" i="10"/>
  <c r="I11" i="3"/>
  <c r="H66" i="8" s="1"/>
  <c r="A11" i="3"/>
  <c r="K11" i="3"/>
  <c r="I13" i="3"/>
  <c r="H66" i="10" s="1"/>
  <c r="A13" i="3"/>
  <c r="K13" i="3"/>
  <c r="I25" i="2"/>
  <c r="I32" i="2" s="1"/>
  <c r="I14" i="2"/>
  <c r="I18" i="2"/>
  <c r="H47" i="7"/>
  <c r="H55" i="7"/>
  <c r="H24" i="12"/>
  <c r="H56" i="12" s="1"/>
  <c r="H24" i="14"/>
  <c r="H56" i="14" s="1"/>
  <c r="E18" i="3"/>
  <c r="H24" i="8"/>
  <c r="H56" i="8" s="1"/>
  <c r="H65" i="8"/>
  <c r="H30" i="9"/>
  <c r="H24" i="10"/>
  <c r="H30" i="11"/>
  <c r="H56" i="11" s="1"/>
  <c r="H30" i="13"/>
  <c r="H56" i="13" s="1"/>
  <c r="I15" i="3"/>
  <c r="H66" i="12" s="1"/>
  <c r="A15" i="3"/>
  <c r="I17" i="3"/>
  <c r="A17" i="3"/>
  <c r="L17" i="3"/>
  <c r="H65" i="10"/>
  <c r="H65" i="11"/>
  <c r="H65" i="12"/>
  <c r="H65" i="13"/>
  <c r="F16" i="3" s="1"/>
  <c r="D16" i="3"/>
  <c r="L12" i="3"/>
  <c r="L14" i="3"/>
  <c r="H66" i="11" s="1"/>
  <c r="L16" i="3"/>
  <c r="I41" i="2" l="1"/>
  <c r="H66" i="9"/>
  <c r="I20" i="2"/>
  <c r="I36" i="2" s="1"/>
  <c r="H56" i="7"/>
  <c r="H68" i="7" s="1"/>
  <c r="D14" i="3"/>
  <c r="H69" i="11"/>
  <c r="H68" i="8"/>
  <c r="H67" i="8"/>
  <c r="H69" i="8" s="1"/>
  <c r="D11" i="3"/>
  <c r="H69" i="12"/>
  <c r="D15" i="3"/>
  <c r="H69" i="10"/>
  <c r="D13" i="3"/>
  <c r="H66" i="14"/>
  <c r="F17" i="3" s="1"/>
  <c r="F18" i="3" s="1"/>
  <c r="H56" i="9"/>
  <c r="J16" i="3"/>
  <c r="H66" i="13"/>
  <c r="H69" i="13" s="1"/>
  <c r="M16" i="3" s="1"/>
  <c r="P16" i="3" s="1"/>
  <c r="I9" i="2"/>
  <c r="D9" i="3"/>
  <c r="M9" i="3"/>
  <c r="I23" i="2"/>
  <c r="H67" i="7"/>
  <c r="J48" i="2" l="1"/>
  <c r="I48" i="2" s="1"/>
  <c r="I11" i="2"/>
  <c r="I40" i="2"/>
  <c r="I21" i="2"/>
  <c r="H71" i="5"/>
  <c r="D10" i="3"/>
  <c r="J39" i="2"/>
  <c r="H69" i="14"/>
  <c r="M17" i="3" s="1"/>
  <c r="P17" i="3" s="1"/>
  <c r="P9" i="3"/>
  <c r="D12" i="3"/>
  <c r="H69" i="9"/>
  <c r="J13" i="3"/>
  <c r="N13" i="3" s="1"/>
  <c r="P13" i="3"/>
  <c r="J11" i="3"/>
  <c r="J47" i="2"/>
  <c r="I47" i="2" s="1"/>
  <c r="I33" i="2"/>
  <c r="I34" i="2" s="1"/>
  <c r="N16" i="3"/>
  <c r="J17" i="3"/>
  <c r="M11" i="3"/>
  <c r="P11" i="3" s="1"/>
  <c r="P14" i="3"/>
  <c r="J14" i="3"/>
  <c r="N14" i="3" s="1"/>
  <c r="J15" i="3"/>
  <c r="N15" i="3" s="1"/>
  <c r="P15" i="3"/>
  <c r="M10" i="3"/>
  <c r="P10" i="3" s="1"/>
  <c r="I35" i="2" l="1"/>
  <c r="I37" i="2" s="1"/>
  <c r="I42" i="2" s="1"/>
  <c r="I22" i="2"/>
  <c r="N17" i="3"/>
  <c r="N11" i="3"/>
  <c r="C22" i="1" s="1"/>
  <c r="E26" i="1"/>
  <c r="G26" i="1"/>
  <c r="H26" i="1"/>
  <c r="C26" i="1"/>
  <c r="E24" i="1"/>
  <c r="G24" i="1"/>
  <c r="H24" i="1"/>
  <c r="C24" i="1"/>
  <c r="E25" i="1"/>
  <c r="G25" i="1"/>
  <c r="H25" i="1"/>
  <c r="C25" i="1"/>
  <c r="E27" i="1"/>
  <c r="G27" i="1"/>
  <c r="C27" i="1"/>
  <c r="H27" i="1"/>
  <c r="P12" i="3"/>
  <c r="J12" i="3"/>
  <c r="N12" i="3" s="1"/>
  <c r="D18" i="3"/>
  <c r="M18" i="3"/>
  <c r="E22" i="1" l="1"/>
  <c r="G22" i="1"/>
  <c r="H22" i="1"/>
  <c r="P8" i="3"/>
  <c r="P18" i="3"/>
  <c r="E23" i="1"/>
  <c r="G23" i="1"/>
  <c r="H23" i="1"/>
  <c r="C23" i="1"/>
  <c r="L8" i="3" l="1"/>
  <c r="I10" i="3"/>
  <c r="J10" i="3" s="1"/>
  <c r="L10" i="3"/>
  <c r="J9" i="3"/>
  <c r="K10" i="3"/>
  <c r="L9" i="3"/>
  <c r="F20" i="1" l="1"/>
  <c r="E20" i="1"/>
  <c r="K18" i="3"/>
  <c r="H66" i="7"/>
  <c r="H69" i="7" s="1"/>
  <c r="N10" i="3"/>
  <c r="L18" i="3"/>
  <c r="I18" i="3"/>
  <c r="J8" i="3"/>
  <c r="N9" i="3"/>
  <c r="N8" i="3" l="1"/>
  <c r="F19" i="1" s="1"/>
  <c r="F28" i="1" s="1"/>
  <c r="E19" i="1"/>
  <c r="H20" i="1"/>
  <c r="G20" i="1"/>
  <c r="J18" i="3"/>
  <c r="L19" i="3"/>
  <c r="E21" i="1"/>
  <c r="G21" i="1"/>
  <c r="H21" i="1"/>
  <c r="G19" i="1" l="1"/>
  <c r="G28" i="1" s="1"/>
  <c r="H19" i="1"/>
  <c r="N18" i="3"/>
  <c r="D19" i="3" s="1"/>
  <c r="E28" i="1"/>
  <c r="H19" i="3"/>
  <c r="E19" i="3"/>
  <c r="K19" i="3"/>
  <c r="I19" i="3" l="1"/>
  <c r="M19" i="3"/>
  <c r="G19" i="3"/>
  <c r="J19" i="3"/>
  <c r="F19" i="3"/>
  <c r="N19" i="3"/>
</calcChain>
</file>

<file path=xl/sharedStrings.xml><?xml version="1.0" encoding="utf-8"?>
<sst xmlns="http://schemas.openxmlformats.org/spreadsheetml/2006/main" count="712" uniqueCount="384">
  <si>
    <t>(현대/기아차 설비협력업체 견적통일양식)</t>
    <phoneticPr fontId="2" type="noConversion"/>
  </si>
  <si>
    <t xml:space="preserve">見  積  書   </t>
    <phoneticPr fontId="2" type="noConversion"/>
  </si>
  <si>
    <t>현대위아(주) 貴下</t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</si>
  <si>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</si>
  <si>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</si>
  <si>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</si>
  <si>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입하</t>
    <phoneticPr fontId="2" type="noConversion"/>
  </si>
  <si>
    <t>최종검수</t>
    <phoneticPr fontId="2" type="noConversion"/>
  </si>
  <si>
    <t>견적유효기간</t>
    <phoneticPr fontId="2" type="noConversion"/>
  </si>
  <si>
    <t>인도장소</t>
    <phoneticPr fontId="2" type="noConversion"/>
  </si>
  <si>
    <t>담 당 자</t>
    <phoneticPr fontId="2" type="noConversion"/>
  </si>
  <si>
    <t>설비구매팀/이찬민 님</t>
    <phoneticPr fontId="2" type="noConversion"/>
  </si>
  <si>
    <t>공 사 명:</t>
    <phoneticPr fontId="2" type="noConversion"/>
  </si>
  <si>
    <t>최종견적금액:</t>
    <phoneticPr fontId="2" type="noConversion"/>
  </si>
  <si>
    <t>번호</t>
    <phoneticPr fontId="2" type="noConversion"/>
  </si>
  <si>
    <t>상세품목내역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</si>
  <si>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</si>
  <si>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>비  고</t>
    <phoneticPr fontId="2" type="noConversion"/>
  </si>
  <si>
    <t>기계부문</t>
    <phoneticPr fontId="2" type="noConversion"/>
  </si>
  <si>
    <t>전기부문</t>
    <phoneticPr fontId="2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</si>
  <si>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</si>
  <si>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</si>
  <si>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</si>
  <si>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</si>
  <si>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특기사항</t>
    <phoneticPr fontId="2" type="noConversion"/>
  </si>
  <si>
    <t>1. VAT 제외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</si>
  <si>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</si>
  <si>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2. 기본 유틸리티공사 제외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</si>
  <si>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</si>
  <si>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</si>
  <si>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</si>
  <si>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</si>
  <si>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</si>
  <si>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</si>
  <si>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순번</t>
    <phoneticPr fontId="2" type="noConversion"/>
  </si>
  <si>
    <t>원가구분</t>
    <phoneticPr fontId="2" type="noConversion"/>
  </si>
  <si>
    <t>단위</t>
    <phoneticPr fontId="2" type="noConversion"/>
  </si>
  <si>
    <t>수량</t>
    <phoneticPr fontId="2" type="noConversion"/>
  </si>
  <si>
    <t>단가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</si>
  <si>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</si>
  <si>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</si>
  <si>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
부문</t>
    <phoneticPr fontId="2" type="noConversion"/>
  </si>
  <si>
    <t>자재비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</si>
  <si>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</si>
  <si>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kg</t>
    <phoneticPr fontId="2" type="noConversion"/>
  </si>
  <si>
    <t>加工必要資材</t>
    <phoneticPr fontId="2" type="noConversion"/>
  </si>
  <si>
    <t>일반구매품</t>
    <phoneticPr fontId="2" type="noConversion"/>
  </si>
  <si>
    <t>식</t>
    <phoneticPr fontId="2" type="noConversion"/>
  </si>
  <si>
    <t>加工不要資材</t>
    <phoneticPr fontId="2" type="noConversion"/>
  </si>
  <si>
    <t>외주제작품</t>
    <phoneticPr fontId="2" type="noConversion"/>
  </si>
  <si>
    <t>식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</si>
  <si>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</si>
  <si>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설치/해체 공사 자재</t>
    <phoneticPr fontId="2" type="noConversion"/>
  </si>
  <si>
    <t>식</t>
    <phoneticPr fontId="2" type="noConversion"/>
  </si>
  <si>
    <t>시운전 자재 포함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</si>
  <si>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</si>
  <si>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노무비</t>
    <phoneticPr fontId="2" type="noConversion"/>
  </si>
  <si>
    <t>기존설비 철거</t>
    <phoneticPr fontId="2" type="noConversion"/>
  </si>
  <si>
    <t>M/D</t>
    <phoneticPr fontId="2" type="noConversion"/>
  </si>
  <si>
    <t>개조공사時</t>
    <phoneticPr fontId="2" type="noConversion"/>
  </si>
  <si>
    <t>설계</t>
    <phoneticPr fontId="2" type="noConversion"/>
  </si>
  <si>
    <t>제작(제관,가공)</t>
    <phoneticPr fontId="2" type="noConversion"/>
  </si>
  <si>
    <t>조립</t>
    <phoneticPr fontId="2" type="noConversion"/>
  </si>
  <si>
    <t>정도검사포함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</si>
  <si>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</si>
  <si>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</si>
  <si>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</si>
  <si>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도장</t>
    <phoneticPr fontId="2" type="noConversion"/>
  </si>
  <si>
    <t>일반관리 및 이윤</t>
    <phoneticPr fontId="2" type="noConversion"/>
  </si>
  <si>
    <t>기계 소계</t>
    <phoneticPr fontId="2" type="noConversion"/>
  </si>
  <si>
    <t>전기
부문</t>
    <phoneticPr fontId="2" type="noConversion"/>
  </si>
  <si>
    <t>자재비</t>
    <phoneticPr fontId="2" type="noConversion"/>
  </si>
  <si>
    <t>기계/전기자재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</si>
  <si>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</si>
  <si>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</si>
  <si>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철거(개조시)</t>
    <phoneticPr fontId="2" type="noConversion"/>
  </si>
  <si>
    <t>설계,프로그램</t>
    <phoneticPr fontId="2" type="noConversion"/>
  </si>
  <si>
    <t>M/D</t>
    <phoneticPr fontId="2" type="noConversion"/>
  </si>
  <si>
    <t>제작</t>
    <phoneticPr fontId="2" type="noConversion"/>
  </si>
  <si>
    <t>M/D</t>
    <phoneticPr fontId="2" type="noConversion"/>
  </si>
  <si>
    <t>설치</t>
    <phoneticPr fontId="2" type="noConversion"/>
  </si>
  <si>
    <t>M/D</t>
    <phoneticPr fontId="2" type="noConversion"/>
  </si>
  <si>
    <t>시운전</t>
    <phoneticPr fontId="2" type="noConversion"/>
  </si>
  <si>
    <t>M/D</t>
    <phoneticPr fontId="2" type="noConversion"/>
  </si>
  <si>
    <t>소계</t>
    <phoneticPr fontId="2" type="noConversion"/>
  </si>
  <si>
    <t>전기 소계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</si>
  <si>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</si>
  <si>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</si>
  <si>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</si>
  <si>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포장,운송 및 중장비 사용료</t>
    <phoneticPr fontId="2" type="noConversion"/>
  </si>
  <si>
    <t>표준안전관리비</t>
  </si>
  <si>
    <t>설치/철거/수리금액 기준</t>
    <phoneticPr fontId="2" type="noConversion"/>
  </si>
  <si>
    <t>일반관리비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</si>
  <si>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</si>
  <si>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</si>
  <si>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3~7항 합계</t>
    <phoneticPr fontId="2" type="noConversion"/>
  </si>
  <si>
    <r>
      <t>주</t>
    </r>
    <r>
      <rPr>
        <sz val="11"/>
        <rFont val="굴림"/>
        <family val="3"/>
        <charset val="129"/>
      </rPr>
      <t xml:space="preserve">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 ⓐ2.66%,ⓑ1.95%+기초액,ⓒ2.02%(50억 이상일경우)</t>
    </r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</si>
  <si>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</si>
  <si>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산업안전관리비
[일반건설공사(을)]</t>
    <phoneticPr fontId="2" type="noConversion"/>
  </si>
  <si>
    <t>기준</t>
    <phoneticPr fontId="2" type="noConversion"/>
  </si>
  <si>
    <t>안전관리비</t>
    <phoneticPr fontId="2" type="noConversion"/>
  </si>
  <si>
    <t>대상액</t>
    <phoneticPr fontId="2" type="noConversion"/>
  </si>
  <si>
    <t>비고</t>
    <phoneticPr fontId="2" type="noConversion"/>
  </si>
  <si>
    <t>계상기준1</t>
    <phoneticPr fontId="2" type="noConversion"/>
  </si>
  <si>
    <t>제작/설치 전체</t>
    <phoneticPr fontId="2" type="noConversion"/>
  </si>
  <si>
    <t>계상기준2</t>
    <phoneticPr fontId="2" type="noConversion"/>
  </si>
  <si>
    <t>당사내 설치비限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</si>
  <si>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</si>
  <si>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</si>
  <si>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단위:원</t>
    <phoneticPr fontId="2" type="noConversion"/>
  </si>
  <si>
    <t>포장/운송</t>
    <phoneticPr fontId="2" type="noConversion"/>
  </si>
  <si>
    <t>표준안전</t>
    <phoneticPr fontId="2" type="noConversion"/>
  </si>
  <si>
    <t>순번</t>
    <phoneticPr fontId="2" type="noConversion"/>
  </si>
  <si>
    <t>단위장비명</t>
    <phoneticPr fontId="2" type="noConversion"/>
  </si>
  <si>
    <t>수량</t>
    <phoneticPr fontId="2" type="noConversion"/>
  </si>
  <si>
    <t>자재비</t>
    <phoneticPr fontId="2" type="noConversion"/>
  </si>
  <si>
    <t>철거</t>
    <phoneticPr fontId="2" type="noConversion"/>
  </si>
  <si>
    <t>제작</t>
    <phoneticPr fontId="2" type="noConversion"/>
  </si>
  <si>
    <t>설치/시운전</t>
    <phoneticPr fontId="2" type="noConversion"/>
  </si>
  <si>
    <t>양산대응</t>
    <phoneticPr fontId="2" type="noConversion"/>
  </si>
  <si>
    <t>중장비사용</t>
    <phoneticPr fontId="2" type="noConversion"/>
  </si>
  <si>
    <t>기계소계</t>
    <phoneticPr fontId="2" type="noConversion"/>
  </si>
  <si>
    <t>전기소계</t>
    <phoneticPr fontId="2" type="noConversion"/>
  </si>
  <si>
    <t>관리비</t>
    <phoneticPr fontId="2" type="noConversion"/>
  </si>
  <si>
    <t>이윤</t>
    <phoneticPr fontId="2" type="noConversion"/>
  </si>
  <si>
    <t>합  계</t>
    <phoneticPr fontId="2" type="noConversion"/>
  </si>
  <si>
    <t>1식</t>
    <phoneticPr fontId="2" type="noConversion"/>
  </si>
  <si>
    <t>1식</t>
    <phoneticPr fontId="2" type="noConversion"/>
  </si>
  <si>
    <t>1식</t>
  </si>
  <si>
    <t>합   계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</si>
  <si>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</si>
  <si>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□ 전기부문:</t>
    <phoneticPr fontId="2" type="noConversion"/>
  </si>
  <si>
    <t>전기부문(공통)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</si>
  <si>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</si>
  <si>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</si>
  <si>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</si>
  <si>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</si>
  <si>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</si>
  <si>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</si>
  <si>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</si>
  <si>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</si>
  <si>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</si>
  <si>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</si>
  <si>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</si>
  <si>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설치/해체/</t>
    <phoneticPr fontId="2" type="noConversion"/>
  </si>
  <si>
    <t>시운전 공사</t>
    <phoneticPr fontId="2" type="noConversion"/>
  </si>
  <si>
    <t>자재</t>
    <phoneticPr fontId="2" type="noConversion"/>
  </si>
  <si>
    <t>기타자재</t>
    <phoneticPr fontId="2" type="noConversion"/>
  </si>
  <si>
    <t>전기자재</t>
    <phoneticPr fontId="2" type="noConversion"/>
  </si>
  <si>
    <t>프로그램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</si>
  <si>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</si>
  <si>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</si>
  <si>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</si>
  <si>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</si>
  <si>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</si>
  <si>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전기 제작</t>
    <phoneticPr fontId="2" type="noConversion"/>
  </si>
  <si>
    <t>전기 조립</t>
    <phoneticPr fontId="2" type="noConversion"/>
  </si>
  <si>
    <t>M/D</t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</si>
  <si>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</si>
  <si>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</si>
  <si>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</si>
  <si>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노무비 소계</t>
    <phoneticPr fontId="2" type="noConversion"/>
  </si>
  <si>
    <t>운반및중장비사용,표준안전관리비</t>
    <phoneticPr fontId="2" type="noConversion"/>
  </si>
  <si>
    <t>* 기계부문에 포함시킴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</si>
  <si>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</si>
  <si>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</si>
  <si>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</si>
  <si>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</si>
  <si>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 xml:space="preserve"> ㅇㅇㅇㅇㅇㅇ</t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</si>
  <si>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</si>
  <si>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</si>
  <si>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</si>
  <si>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</si>
  <si>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</si>
  <si>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</si>
  <si>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</si>
  <si>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</si>
  <si>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</si>
  <si>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</si>
  <si>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</si>
  <si>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 xml:space="preserve"> 기타자재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</si>
  <si>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</si>
  <si>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</si>
  <si>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</si>
  <si>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기타자재</t>
    <phoneticPr fontId="2" type="noConversion"/>
  </si>
  <si>
    <t>구매품</t>
    <phoneticPr fontId="2" type="noConversion"/>
  </si>
  <si>
    <t>(유공압품외)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</si>
  <si>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</si>
  <si>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</si>
  <si>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</si>
  <si>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</si>
  <si>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</si>
  <si>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기계/전기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</si>
  <si>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</si>
  <si>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</si>
  <si>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</si>
  <si>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</si>
  <si>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</si>
  <si>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</si>
  <si>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</si>
  <si>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</si>
  <si>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</si>
  <si>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</si>
  <si>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</si>
  <si>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</si>
  <si>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ㅇㅇㅇㅇㅇ</t>
    <phoneticPr fontId="2" type="noConversion"/>
  </si>
  <si>
    <t xml:space="preserve"> ㅇㅇㅇㅇㅇ</t>
    <phoneticPr fontId="2" type="noConversion"/>
  </si>
  <si>
    <t xml:space="preserve"> 형강류</t>
    <phoneticPr fontId="2" type="noConversion"/>
  </si>
  <si>
    <t>Kg</t>
    <phoneticPr fontId="2" type="noConversion"/>
  </si>
  <si>
    <t xml:space="preserve"> SS41 PLATE류</t>
    <phoneticPr fontId="2" type="noConversion"/>
  </si>
  <si>
    <t xml:space="preserve"> S45C R/BAR류</t>
    <phoneticPr fontId="2" type="noConversion"/>
  </si>
  <si>
    <t xml:space="preserve"> SUS</t>
    <phoneticPr fontId="2" type="noConversion"/>
  </si>
  <si>
    <t>Kg</t>
    <phoneticPr fontId="2" type="noConversion"/>
  </si>
  <si>
    <t>식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</si>
  <si>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</si>
  <si>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</si>
  <si>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</si>
  <si>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 xml:space="preserve"> 매트</t>
    <phoneticPr fontId="2" type="noConversion"/>
  </si>
  <si>
    <t>(유공압품외)</t>
    <phoneticPr fontId="2" type="noConversion"/>
  </si>
  <si>
    <t xml:space="preserve"> 기타자재</t>
    <phoneticPr fontId="2" type="noConversion"/>
  </si>
  <si>
    <t xml:space="preserve"> 덕트</t>
    <phoneticPr fontId="2" type="noConversion"/>
  </si>
  <si>
    <t xml:space="preserve"> 100X100</t>
    <phoneticPr fontId="2" type="noConversion"/>
  </si>
  <si>
    <t xml:space="preserve"> 조작반 포스트</t>
    <phoneticPr fontId="2" type="noConversion"/>
  </si>
  <si>
    <t xml:space="preserve"> 제작</t>
    <phoneticPr fontId="2" type="noConversion"/>
  </si>
  <si>
    <t>PLC인터록설정포함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</si>
  <si>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</si>
  <si>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외주제작품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</si>
  <si>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</si>
  <si>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</si>
  <si>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</si>
  <si>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</si>
  <si>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</si>
  <si>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</si>
  <si>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</si>
  <si>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운반및중장비사용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</si>
  <si>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</si>
  <si>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</si>
  <si>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</si>
  <si>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</si>
  <si>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</si>
  <si>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</si>
  <si>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</si>
  <si>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</si>
  <si>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</si>
  <si>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</si>
  <si>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</si>
  <si>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</si>
  <si>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기타자재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</si>
  <si>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</si>
  <si>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</si>
  <si>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</si>
  <si>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</si>
  <si>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외주제작품</t>
    <phoneticPr fontId="2" type="noConversion"/>
  </si>
  <si>
    <t>기타자재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</si>
  <si>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</si>
  <si>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</si>
  <si>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</si>
  <si>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</si>
  <si>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</si>
  <si>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</si>
  <si>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</si>
  <si>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</si>
  <si>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</si>
  <si>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</si>
  <si>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</si>
  <si>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</si>
  <si>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</si>
  <si>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</si>
  <si>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</si>
  <si>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</si>
  <si>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</si>
  <si>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</si>
  <si>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</si>
  <si>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</si>
  <si>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</si>
  <si>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</si>
  <si>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</si>
  <si>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</si>
  <si>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</si>
  <si>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</si>
  <si>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</si>
  <si>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</si>
  <si>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</si>
  <si>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</si>
  <si>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</si>
  <si>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</si>
  <si>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</si>
  <si>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</si>
  <si>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</si>
  <si>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</si>
  <si>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</si>
  <si>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</si>
  <si>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</si>
  <si>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</si>
  <si>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</si>
  <si>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</si>
  <si>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</si>
  <si>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</si>
  <si>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</si>
  <si>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t>기타자재</t>
    <phoneticPr fontId="2" type="noConversion"/>
  </si>
  <si>
    <t>설치/해체/시운전</t>
    <phoneticPr fontId="2" type="noConversion"/>
  </si>
  <si>
    <t>공사 관련 자재</t>
    <phoneticPr fontId="2" type="noConversion"/>
  </si>
  <si>
    <t>구매품</t>
    <phoneticPr fontId="2" type="noConversion"/>
  </si>
  <si>
    <t>(유공압품외)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</si>
  <si>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</si>
  <si>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</si>
  <si>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</si>
  <si>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</si>
  <si>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</si>
  <si>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</si>
  <si>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</si>
  <si>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t>노무비 소계</t>
    <phoneticPr fontId="2" type="noConversion"/>
  </si>
  <si>
    <t>운반및중장비사용</t>
    <phoneticPr fontId="2" type="noConversion"/>
  </si>
  <si>
    <t>일반관리비</t>
    <phoneticPr fontId="2" type="noConversion"/>
  </si>
  <si>
    <t>이         윤</t>
    <phoneticPr fontId="2" type="noConversion"/>
  </si>
  <si>
    <t>합         계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</si>
  <si>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</si>
  <si>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(첨부)</t>
    <phoneticPr fontId="2" type="noConversion"/>
  </si>
  <si>
    <t>구분</t>
    <phoneticPr fontId="2" type="noConversion"/>
  </si>
  <si>
    <t>품  명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</si>
  <si>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</si>
  <si>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</si>
  <si>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</si>
  <si>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</si>
  <si>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</si>
  <si>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原MAKER</t>
    <phoneticPr fontId="2" type="noConversion"/>
  </si>
  <si>
    <t>자
재
비</t>
    <phoneticPr fontId="2" type="noConversion"/>
  </si>
  <si>
    <t>철자재</t>
    <phoneticPr fontId="2" type="noConversion"/>
  </si>
  <si>
    <t>외주제작품</t>
    <phoneticPr fontId="2" type="noConversion"/>
  </si>
  <si>
    <t>자재비 소계</t>
    <phoneticPr fontId="2" type="noConversion"/>
  </si>
  <si>
    <t>노
무
비</t>
    <phoneticPr fontId="2" type="noConversion"/>
  </si>
  <si>
    <t>기존설비 철거</t>
    <phoneticPr fontId="2" type="noConversion"/>
  </si>
  <si>
    <t>M/D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</si>
  <si>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</si>
  <si>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</si>
  <si>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현대/기아차 요구사양대비 견적조건 상이내역</t>
    <phoneticPr fontId="2" type="noConversion"/>
  </si>
  <si>
    <t>항   목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</si>
  <si>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</si>
  <si>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</si>
  <si>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비  고</t>
    <phoneticPr fontId="2" type="noConversion"/>
  </si>
  <si>
    <t>㈜피앤에스</t>
    <phoneticPr fontId="2" type="noConversion"/>
  </si>
  <si>
    <t>대표 : 박 봉 수 (인)</t>
    <phoneticPr fontId="2" type="noConversion"/>
  </si>
  <si>
    <t>주소 : 경기도 포천시 군내면 마전길25-11</t>
    <phoneticPr fontId="2" type="noConversion"/>
  </si>
  <si>
    <t>전화: 031-750-9331</t>
    <phoneticPr fontId="2" type="noConversion"/>
  </si>
  <si>
    <t>Fax: 031-750-9334</t>
    <phoneticPr fontId="2" type="noConversion"/>
  </si>
  <si>
    <t xml:space="preserve">    견적담당: 송우영 차장</t>
    <phoneticPr fontId="2" type="noConversion"/>
  </si>
  <si>
    <t xml:space="preserve">    연 락 처 : 010-6614-8124</t>
    <phoneticPr fontId="2" type="noConversion"/>
  </si>
  <si>
    <t>PBQ-18178-1</t>
    <phoneticPr fontId="2" type="noConversion"/>
  </si>
  <si>
    <t>견적일로부터30일</t>
    <phoneticPr fontId="2" type="noConversion"/>
  </si>
  <si>
    <t>WIA MEXICO CVJ - UST READING공정추가</t>
    <phoneticPr fontId="2" type="noConversion"/>
  </si>
  <si>
    <t xml:space="preserve"> Barcode Scanner</t>
    <phoneticPr fontId="2" type="noConversion"/>
  </si>
  <si>
    <t>Cognex DMR363X</t>
    <phoneticPr fontId="2" type="noConversion"/>
  </si>
  <si>
    <t>EA</t>
    <phoneticPr fontId="2" type="noConversion"/>
  </si>
  <si>
    <t>Electric Parts</t>
    <phoneticPr fontId="2" type="noConversion"/>
  </si>
  <si>
    <t>SET</t>
    <phoneticPr fontId="2" type="noConversion"/>
  </si>
  <si>
    <t>전기 설계/프로그램 ( PLC &amp; PC)</t>
    <phoneticPr fontId="2" type="noConversion"/>
  </si>
  <si>
    <t>READING UNIT</t>
    <phoneticPr fontId="2" type="noConversion"/>
  </si>
  <si>
    <t>SAFETY FENCE</t>
    <phoneticPr fontId="2" type="noConversion"/>
  </si>
  <si>
    <t>구동용 MOTOR</t>
    <phoneticPr fontId="2" type="noConversion"/>
  </si>
  <si>
    <t>BLM6200SHP</t>
    <phoneticPr fontId="2" type="noConversion"/>
  </si>
  <si>
    <r>
      <t>E</t>
    </r>
    <r>
      <rPr>
        <sz val="11"/>
        <rFont val="굴림"/>
        <family val="3"/>
        <charset val="129"/>
      </rPr>
      <t>A</t>
    </r>
    <phoneticPr fontId="2" type="noConversion"/>
  </si>
  <si>
    <t>CONTROLER</t>
    <phoneticPr fontId="2" type="noConversion"/>
  </si>
  <si>
    <t>BMUD 200-C</t>
    <phoneticPr fontId="2" type="noConversion"/>
  </si>
  <si>
    <t>CYLINDER외</t>
    <phoneticPr fontId="2" type="noConversion"/>
  </si>
  <si>
    <r>
      <t>F</t>
    </r>
    <r>
      <rPr>
        <sz val="11"/>
        <rFont val="굴림"/>
        <family val="3"/>
        <charset val="129"/>
      </rPr>
      <t>LIGHT</t>
    </r>
    <phoneticPr fontId="2" type="noConversion"/>
  </si>
  <si>
    <t>5인</t>
    <phoneticPr fontId="2" type="noConversion"/>
  </si>
  <si>
    <r>
      <t>S</t>
    </r>
    <r>
      <rPr>
        <sz val="11"/>
        <rFont val="굴림"/>
        <family val="3"/>
        <charset val="129"/>
      </rPr>
      <t>ET</t>
    </r>
    <phoneticPr fontId="2" type="noConversion"/>
  </si>
  <si>
    <r>
      <t>M</t>
    </r>
    <r>
      <rPr>
        <sz val="11"/>
        <rFont val="굴림"/>
        <family val="3"/>
        <charset val="129"/>
      </rPr>
      <t>EXICO STAYOVER</t>
    </r>
    <phoneticPr fontId="2" type="noConversion"/>
  </si>
  <si>
    <r>
      <t>M</t>
    </r>
    <r>
      <rPr>
        <sz val="11"/>
        <rFont val="굴림"/>
        <family val="3"/>
        <charset val="129"/>
      </rPr>
      <t>D</t>
    </r>
    <phoneticPr fontId="2" type="noConversion"/>
  </si>
  <si>
    <r>
      <t>M</t>
    </r>
    <r>
      <rPr>
        <sz val="11"/>
        <rFont val="굴림"/>
        <family val="3"/>
        <charset val="129"/>
      </rPr>
      <t>EXICO TRANSLATION</t>
    </r>
    <phoneticPr fontId="2" type="noConversion"/>
  </si>
  <si>
    <t>현지 작업</t>
    <phoneticPr fontId="2" type="noConversion"/>
  </si>
  <si>
    <t>PLC / PC Software</t>
    <phoneticPr fontId="2" type="noConversion"/>
  </si>
  <si>
    <t>ㅡ  이하여백 ㅡ</t>
    <phoneticPr fontId="2" type="noConversion"/>
  </si>
  <si>
    <t xml:space="preserve">E-mail: </t>
    <phoneticPr fontId="2" type="noConversion"/>
  </si>
  <si>
    <r>
      <t>3</t>
    </r>
    <r>
      <rPr>
        <sz val="11"/>
        <rFont val="굴림"/>
        <family val="3"/>
        <charset val="129"/>
      </rPr>
      <t>. 시설 취득 완료 후 100%결재조건</t>
    </r>
    <phoneticPr fontId="2" type="noConversion"/>
  </si>
  <si>
    <t>SET</t>
    <phoneticPr fontId="2" type="noConversion"/>
  </si>
  <si>
    <t>전기</t>
    <phoneticPr fontId="2" type="noConversion"/>
  </si>
  <si>
    <t>현지 SV</t>
    <phoneticPr fontId="2" type="noConversion"/>
  </si>
  <si>
    <t>기계</t>
    <phoneticPr fontId="2" type="noConversion"/>
  </si>
  <si>
    <t>전기</t>
    <phoneticPr fontId="2" type="noConversion"/>
  </si>
  <si>
    <t>2018.08.30</t>
    <phoneticPr fontId="2" type="noConversion"/>
  </si>
  <si>
    <t>만단위이하 절사</t>
    <phoneticPr fontId="2" type="noConversion"/>
  </si>
  <si>
    <r>
      <t xml:space="preserve"> 一金팔천이백만원整(\82,000,000)</t>
    </r>
    <r>
      <rPr>
        <b/>
        <sz val="9"/>
        <rFont val="굴림"/>
        <family val="3"/>
        <charset val="129"/>
      </rPr>
      <t>만단위이하절사</t>
    </r>
    <phoneticPr fontId="2" type="noConversion"/>
  </si>
  <si>
    <t>FCA INCHON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</si>
</sst>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_ "/>
    <numFmt numFmtId="177" formatCode="&quot;3. 산업안전관리비&quot;\ #,##0_ &quot;원 포함&quot;"/>
    <numFmt numFmtId="178" formatCode="&quot;3.산업안전관리비&quot;\ #,##0_ &quot;원 포함&quot;"/>
    <numFmt numFmtId="179" formatCode="#,##0_);[Red]\(#,##0\)"/>
    <numFmt numFmtId="180" formatCode="General&quot;상세견적&quot;"/>
    <numFmt numFmtId="181" formatCode="0.0\K\G"/>
  </numFmts>
  <fonts count="28" x14ac:knownFonts="1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30"/>
      <name val="HY견고딕"/>
      <family val="1"/>
      <charset val="129"/>
    </font>
    <font>
      <b/>
      <sz val="16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i/>
      <sz val="11"/>
      <name val="굴림"/>
      <family val="3"/>
      <charset val="129"/>
    </font>
    <font>
      <i/>
      <sz val="11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u val="double"/>
      <sz val="12"/>
      <name val="굴림"/>
      <family val="3"/>
      <charset val="129"/>
    </font>
    <font>
      <b/>
      <sz val="9"/>
      <name val="굴림"/>
      <family val="3"/>
      <charset val="129"/>
    </font>
    <font>
      <sz val="10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b/>
      <sz val="11"/>
      <color indexed="10"/>
      <name val="굴림"/>
      <family val="3"/>
      <charset val="129"/>
    </font>
    <font>
      <sz val="11"/>
      <color indexed="10"/>
      <name val="굴림"/>
      <family val="3"/>
      <charset val="129"/>
    </font>
    <font>
      <sz val="12"/>
      <name val="HY헤드라인M"/>
      <family val="1"/>
      <charset val="129"/>
    </font>
    <font>
      <b/>
      <sz val="10"/>
      <name val="굴림"/>
      <family val="3"/>
      <charset val="129"/>
    </font>
    <font>
      <sz val="14"/>
      <name val="HY헤드라인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0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176" fontId="1" fillId="0" borderId="27" xfId="0" applyNumberFormat="1" applyFont="1" applyFill="1" applyBorder="1" applyAlignment="1">
      <alignment horizontal="right" vertical="center"/>
    </xf>
    <xf numFmtId="0" fontId="0" fillId="0" borderId="28" xfId="0" applyFill="1" applyBorder="1" applyAlignment="1">
      <alignment vertical="center"/>
    </xf>
    <xf numFmtId="176" fontId="1" fillId="0" borderId="6" xfId="0" applyNumberFormat="1" applyFont="1" applyFill="1" applyBorder="1" applyAlignment="1">
      <alignment horizontal="right" vertical="center"/>
    </xf>
    <xf numFmtId="176" fontId="1" fillId="0" borderId="26" xfId="0" applyNumberFormat="1" applyFont="1" applyFill="1" applyBorder="1" applyAlignment="1">
      <alignment horizontal="right" vertical="center"/>
    </xf>
    <xf numFmtId="0" fontId="1" fillId="0" borderId="24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176" fontId="1" fillId="0" borderId="38" xfId="0" applyNumberFormat="1" applyFont="1" applyBorder="1" applyAlignment="1">
      <alignment vertical="center"/>
    </xf>
    <xf numFmtId="176" fontId="1" fillId="0" borderId="39" xfId="0" applyNumberFormat="1" applyFont="1" applyBorder="1" applyAlignment="1">
      <alignment vertical="center"/>
    </xf>
    <xf numFmtId="176" fontId="5" fillId="3" borderId="37" xfId="0" applyNumberFormat="1" applyFont="1" applyFill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3" fontId="15" fillId="0" borderId="0" xfId="0" applyNumberFormat="1" applyFont="1" applyFill="1" applyAlignment="1">
      <alignment vertical="center"/>
    </xf>
    <xf numFmtId="3" fontId="16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horizontal="center" vertical="center"/>
    </xf>
    <xf numFmtId="179" fontId="18" fillId="0" borderId="0" xfId="0" applyNumberFormat="1" applyFont="1" applyFill="1" applyAlignment="1">
      <alignment vertical="center"/>
    </xf>
    <xf numFmtId="4" fontId="19" fillId="0" borderId="0" xfId="0" applyNumberFormat="1" applyFont="1" applyFill="1" applyAlignment="1">
      <alignment vertical="center"/>
    </xf>
    <xf numFmtId="3" fontId="19" fillId="0" borderId="0" xfId="0" applyNumberFormat="1" applyFont="1" applyFill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179" fontId="1" fillId="0" borderId="51" xfId="0" applyNumberFormat="1" applyFont="1" applyFill="1" applyBorder="1" applyAlignment="1">
      <alignment horizontal="center" vertical="center"/>
    </xf>
    <xf numFmtId="3" fontId="1" fillId="0" borderId="52" xfId="0" applyNumberFormat="1" applyFont="1" applyFill="1" applyBorder="1" applyAlignment="1">
      <alignment horizontal="center" vertical="center"/>
    </xf>
    <xf numFmtId="4" fontId="1" fillId="0" borderId="0" xfId="0" applyNumberFormat="1" applyFont="1" applyFill="1" applyAlignment="1">
      <alignment horizontal="center" vertical="center"/>
    </xf>
    <xf numFmtId="3" fontId="1" fillId="0" borderId="53" xfId="0" applyNumberFormat="1" applyFont="1" applyFill="1" applyBorder="1" applyAlignment="1">
      <alignment horizontal="center" vertical="center"/>
    </xf>
    <xf numFmtId="3" fontId="1" fillId="0" borderId="57" xfId="0" applyNumberFormat="1" applyFont="1" applyFill="1" applyBorder="1" applyAlignment="1">
      <alignment horizontal="center" vertical="center"/>
    </xf>
    <xf numFmtId="179" fontId="1" fillId="0" borderId="57" xfId="0" applyNumberFormat="1" applyFont="1" applyFill="1" applyBorder="1" applyAlignment="1">
      <alignment horizontal="center" vertical="center"/>
    </xf>
    <xf numFmtId="3" fontId="1" fillId="0" borderId="58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4" fillId="0" borderId="61" xfId="0" applyNumberFormat="1" applyFont="1" applyFill="1" applyBorder="1" applyAlignment="1">
      <alignment horizontal="center" vertical="center"/>
    </xf>
    <xf numFmtId="179" fontId="1" fillId="0" borderId="61" xfId="0" applyNumberFormat="1" applyFont="1" applyFill="1" applyBorder="1" applyAlignment="1">
      <alignment horizontal="right" vertical="center"/>
    </xf>
    <xf numFmtId="179" fontId="1" fillId="0" borderId="61" xfId="0" applyNumberFormat="1" applyFont="1" applyFill="1" applyBorder="1" applyAlignment="1">
      <alignment vertical="center"/>
    </xf>
    <xf numFmtId="3" fontId="1" fillId="0" borderId="62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/>
    </xf>
    <xf numFmtId="3" fontId="14" fillId="0" borderId="6" xfId="0" applyNumberFormat="1" applyFont="1" applyFill="1" applyBorder="1" applyAlignment="1">
      <alignment horizontal="center" vertical="center"/>
    </xf>
    <xf numFmtId="179" fontId="1" fillId="0" borderId="6" xfId="2" applyNumberFormat="1" applyFont="1" applyFill="1" applyBorder="1" applyAlignment="1">
      <alignment horizontal="right" vertical="center"/>
    </xf>
    <xf numFmtId="179" fontId="1" fillId="0" borderId="6" xfId="0" applyNumberFormat="1" applyFont="1" applyFill="1" applyBorder="1" applyAlignment="1">
      <alignment vertical="center"/>
    </xf>
    <xf numFmtId="3" fontId="1" fillId="0" borderId="63" xfId="0" applyNumberFormat="1" applyFont="1" applyFill="1" applyBorder="1" applyAlignment="1">
      <alignment vertical="center"/>
    </xf>
    <xf numFmtId="179" fontId="1" fillId="0" borderId="6" xfId="0" applyNumberFormat="1" applyFont="1" applyFill="1" applyBorder="1" applyAlignment="1">
      <alignment horizontal="right" vertical="center"/>
    </xf>
    <xf numFmtId="3" fontId="0" fillId="4" borderId="6" xfId="0" applyNumberFormat="1" applyFill="1" applyBorder="1" applyAlignment="1">
      <alignment horizontal="center" vertical="center"/>
    </xf>
    <xf numFmtId="179" fontId="1" fillId="4" borderId="6" xfId="0" applyNumberFormat="1" applyFont="1" applyFill="1" applyBorder="1" applyAlignment="1">
      <alignment vertical="center"/>
    </xf>
    <xf numFmtId="3" fontId="0" fillId="0" borderId="63" xfId="0" applyNumberFormat="1" applyFill="1" applyBorder="1" applyAlignment="1">
      <alignment vertical="center"/>
    </xf>
    <xf numFmtId="3" fontId="1" fillId="0" borderId="65" xfId="0" applyNumberFormat="1" applyFont="1" applyFill="1" applyBorder="1" applyAlignment="1">
      <alignment horizontal="center" vertical="center"/>
    </xf>
    <xf numFmtId="179" fontId="5" fillId="0" borderId="6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left" vertical="center"/>
    </xf>
    <xf numFmtId="3" fontId="1" fillId="0" borderId="67" xfId="0" applyNumberFormat="1" applyFont="1" applyFill="1" applyBorder="1" applyAlignment="1">
      <alignment horizontal="center" vertical="center"/>
    </xf>
    <xf numFmtId="179" fontId="5" fillId="0" borderId="68" xfId="0" applyNumberFormat="1" applyFont="1" applyFill="1" applyBorder="1" applyAlignment="1">
      <alignment vertical="center"/>
    </xf>
    <xf numFmtId="3" fontId="1" fillId="0" borderId="69" xfId="0" applyNumberFormat="1" applyFont="1" applyFill="1" applyBorder="1" applyAlignment="1">
      <alignment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179" fontId="5" fillId="0" borderId="33" xfId="0" applyNumberFormat="1" applyFont="1" applyFill="1" applyBorder="1" applyAlignment="1">
      <alignment vertical="center"/>
    </xf>
    <xf numFmtId="3" fontId="1" fillId="0" borderId="73" xfId="0" applyNumberFormat="1" applyFont="1" applyFill="1" applyBorder="1" applyAlignment="1">
      <alignment vertical="center"/>
    </xf>
    <xf numFmtId="3" fontId="1" fillId="0" borderId="74" xfId="0" applyNumberFormat="1" applyFont="1" applyFill="1" applyBorder="1" applyAlignment="1">
      <alignment horizontal="center" vertical="center"/>
    </xf>
    <xf numFmtId="3" fontId="14" fillId="0" borderId="74" xfId="0" applyNumberFormat="1" applyFont="1" applyFill="1" applyBorder="1" applyAlignment="1">
      <alignment horizontal="center" vertical="center"/>
    </xf>
    <xf numFmtId="179" fontId="1" fillId="0" borderId="74" xfId="0" applyNumberFormat="1" applyFont="1" applyFill="1" applyBorder="1" applyAlignment="1">
      <alignment vertical="center"/>
    </xf>
    <xf numFmtId="3" fontId="1" fillId="0" borderId="75" xfId="0" applyNumberFormat="1" applyFont="1" applyFill="1" applyBorder="1" applyAlignment="1">
      <alignment vertical="center"/>
    </xf>
    <xf numFmtId="179" fontId="1" fillId="4" borderId="61" xfId="0" applyNumberFormat="1" applyFont="1" applyFill="1" applyBorder="1" applyAlignment="1">
      <alignment vertical="center"/>
    </xf>
    <xf numFmtId="179" fontId="5" fillId="0" borderId="74" xfId="0" applyNumberFormat="1" applyFont="1" applyFill="1" applyBorder="1" applyAlignment="1">
      <alignment vertical="center"/>
    </xf>
    <xf numFmtId="179" fontId="5" fillId="0" borderId="18" xfId="0" applyNumberFormat="1" applyFont="1" applyFill="1" applyBorder="1" applyAlignment="1">
      <alignment vertical="center"/>
    </xf>
    <xf numFmtId="3" fontId="1" fillId="0" borderId="80" xfId="0" applyNumberFormat="1" applyFont="1" applyFill="1" applyBorder="1" applyAlignment="1">
      <alignment vertical="center"/>
    </xf>
    <xf numFmtId="3" fontId="1" fillId="0" borderId="81" xfId="0" applyNumberFormat="1" applyFont="1" applyFill="1" applyBorder="1" applyAlignment="1">
      <alignment horizontal="center" vertical="center"/>
    </xf>
    <xf numFmtId="179" fontId="5" fillId="3" borderId="86" xfId="0" applyNumberFormat="1" applyFont="1" applyFill="1" applyBorder="1" applyAlignment="1">
      <alignment vertical="center"/>
    </xf>
    <xf numFmtId="3" fontId="1" fillId="0" borderId="87" xfId="0" applyNumberFormat="1" applyFont="1" applyFill="1" applyBorder="1" applyAlignment="1">
      <alignment vertical="center"/>
    </xf>
    <xf numFmtId="3" fontId="1" fillId="0" borderId="27" xfId="0" applyNumberFormat="1" applyFont="1" applyFill="1" applyBorder="1" applyAlignment="1">
      <alignment horizontal="center" vertical="center"/>
    </xf>
    <xf numFmtId="179" fontId="5" fillId="0" borderId="61" xfId="0" applyNumberFormat="1" applyFont="1" applyFill="1" applyBorder="1" applyAlignment="1">
      <alignment vertical="center"/>
    </xf>
    <xf numFmtId="3" fontId="14" fillId="0" borderId="63" xfId="0" applyNumberFormat="1" applyFont="1" applyFill="1" applyBorder="1" applyAlignment="1">
      <alignment vertical="center" wrapText="1"/>
    </xf>
    <xf numFmtId="10" fontId="1" fillId="0" borderId="0" xfId="2" applyNumberFormat="1" applyFont="1" applyFill="1" applyAlignment="1">
      <alignment vertical="center"/>
    </xf>
    <xf numFmtId="3" fontId="1" fillId="0" borderId="88" xfId="0" applyNumberFormat="1" applyFont="1" applyFill="1" applyBorder="1" applyAlignment="1">
      <alignment horizontal="center" vertical="center"/>
    </xf>
    <xf numFmtId="3" fontId="1" fillId="0" borderId="89" xfId="0" applyNumberFormat="1" applyFont="1" applyFill="1" applyBorder="1" applyAlignment="1">
      <alignment horizontal="left" vertical="center"/>
    </xf>
    <xf numFmtId="179" fontId="5" fillId="0" borderId="91" xfId="0" applyNumberFormat="1" applyFont="1" applyFill="1" applyBorder="1" applyAlignment="1">
      <alignment vertical="center"/>
    </xf>
    <xf numFmtId="3" fontId="1" fillId="0" borderId="93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179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24" xfId="0" applyNumberFormat="1" applyBorder="1" applyAlignment="1">
      <alignment horizontal="center" vertical="center"/>
    </xf>
    <xf numFmtId="176" fontId="0" fillId="0" borderId="24" xfId="0" applyNumberFormat="1" applyFill="1" applyBorder="1" applyAlignment="1">
      <alignment horizontal="left" vertical="center"/>
    </xf>
    <xf numFmtId="176" fontId="0" fillId="0" borderId="24" xfId="0" applyNumberFormat="1" applyFill="1" applyBorder="1" applyAlignment="1">
      <alignment horizontal="center" vertical="center"/>
    </xf>
    <xf numFmtId="176" fontId="21" fillId="0" borderId="27" xfId="0" applyNumberFormat="1" applyFont="1" applyFill="1" applyBorder="1" applyAlignment="1">
      <alignment vertical="center"/>
    </xf>
    <xf numFmtId="176" fontId="21" fillId="0" borderId="6" xfId="0" applyNumberFormat="1" applyFont="1" applyFill="1" applyBorder="1" applyAlignment="1">
      <alignment vertical="center"/>
    </xf>
    <xf numFmtId="176" fontId="21" fillId="0" borderId="63" xfId="0" applyNumberFormat="1" applyFont="1" applyFill="1" applyBorder="1" applyAlignment="1">
      <alignment vertical="center"/>
    </xf>
    <xf numFmtId="176" fontId="1" fillId="0" borderId="65" xfId="0" applyNumberFormat="1" applyFont="1" applyFill="1" applyBorder="1" applyAlignment="1">
      <alignment vertical="center"/>
    </xf>
    <xf numFmtId="176" fontId="1" fillId="0" borderId="6" xfId="0" applyNumberFormat="1" applyFont="1" applyFill="1" applyBorder="1" applyAlignment="1">
      <alignment vertical="center"/>
    </xf>
    <xf numFmtId="176" fontId="0" fillId="0" borderId="109" xfId="0" applyNumberFormat="1" applyFill="1" applyBorder="1" applyAlignment="1">
      <alignment vertical="center"/>
    </xf>
    <xf numFmtId="176" fontId="0" fillId="0" borderId="110" xfId="0" applyNumberFormat="1" applyBorder="1" applyAlignment="1">
      <alignment vertical="center"/>
    </xf>
    <xf numFmtId="176" fontId="0" fillId="0" borderId="26" xfId="0" applyNumberFormat="1" applyBorder="1" applyAlignment="1">
      <alignment vertical="center"/>
    </xf>
    <xf numFmtId="176" fontId="0" fillId="0" borderId="110" xfId="0" applyNumberFormat="1" applyFill="1" applyBorder="1" applyAlignment="1">
      <alignment vertical="center"/>
    </xf>
    <xf numFmtId="176" fontId="0" fillId="0" borderId="26" xfId="0" applyNumberFormat="1" applyFill="1" applyBorder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34" xfId="0" applyNumberFormat="1" applyFill="1" applyBorder="1" applyAlignment="1">
      <alignment horizontal="center" vertical="center"/>
    </xf>
    <xf numFmtId="176" fontId="0" fillId="0" borderId="34" xfId="0" applyNumberFormat="1" applyFill="1" applyBorder="1" applyAlignment="1">
      <alignment horizontal="left" vertical="center"/>
    </xf>
    <xf numFmtId="176" fontId="21" fillId="0" borderId="31" xfId="0" applyNumberFormat="1" applyFont="1" applyFill="1" applyBorder="1" applyAlignment="1">
      <alignment vertical="center"/>
    </xf>
    <xf numFmtId="176" fontId="21" fillId="0" borderId="33" xfId="0" applyNumberFormat="1" applyFont="1" applyFill="1" applyBorder="1" applyAlignment="1">
      <alignment vertical="center"/>
    </xf>
    <xf numFmtId="176" fontId="21" fillId="0" borderId="73" xfId="0" applyNumberFormat="1" applyFont="1" applyFill="1" applyBorder="1" applyAlignment="1">
      <alignment vertical="center"/>
    </xf>
    <xf numFmtId="176" fontId="1" fillId="0" borderId="72" xfId="0" applyNumberFormat="1" applyFont="1" applyFill="1" applyBorder="1" applyAlignment="1">
      <alignment vertical="center"/>
    </xf>
    <xf numFmtId="176" fontId="1" fillId="0" borderId="33" xfId="0" applyNumberFormat="1" applyFont="1" applyFill="1" applyBorder="1" applyAlignment="1">
      <alignment vertical="center"/>
    </xf>
    <xf numFmtId="176" fontId="0" fillId="0" borderId="111" xfId="0" applyNumberFormat="1" applyFill="1" applyBorder="1" applyAlignment="1">
      <alignment vertical="center"/>
    </xf>
    <xf numFmtId="176" fontId="0" fillId="0" borderId="112" xfId="0" applyNumberFormat="1" applyFill="1" applyBorder="1" applyAlignment="1">
      <alignment vertical="center"/>
    </xf>
    <xf numFmtId="176" fontId="0" fillId="0" borderId="30" xfId="0" applyNumberFormat="1" applyFill="1" applyBorder="1" applyAlignment="1">
      <alignment vertical="center"/>
    </xf>
    <xf numFmtId="176" fontId="21" fillId="0" borderId="48" xfId="0" applyNumberFormat="1" applyFont="1" applyBorder="1" applyAlignment="1">
      <alignment vertical="center"/>
    </xf>
    <xf numFmtId="176" fontId="21" fillId="0" borderId="51" xfId="0" applyNumberFormat="1" applyFont="1" applyBorder="1" applyAlignment="1">
      <alignment vertical="center"/>
    </xf>
    <xf numFmtId="176" fontId="21" fillId="0" borderId="52" xfId="0" applyNumberFormat="1" applyFont="1" applyBorder="1" applyAlignment="1">
      <alignment vertical="center"/>
    </xf>
    <xf numFmtId="176" fontId="5" fillId="0" borderId="50" xfId="0" applyNumberFormat="1" applyFont="1" applyBorder="1" applyAlignment="1">
      <alignment vertical="center"/>
    </xf>
    <xf numFmtId="176" fontId="5" fillId="0" borderId="51" xfId="0" applyNumberFormat="1" applyFont="1" applyFill="1" applyBorder="1" applyAlignment="1">
      <alignment vertical="center"/>
    </xf>
    <xf numFmtId="176" fontId="5" fillId="0" borderId="51" xfId="0" applyNumberFormat="1" applyFont="1" applyBorder="1" applyAlignment="1">
      <alignment vertical="center"/>
    </xf>
    <xf numFmtId="176" fontId="5" fillId="0" borderId="94" xfId="0" applyNumberFormat="1" applyFont="1" applyBorder="1" applyAlignment="1">
      <alignment vertical="center"/>
    </xf>
    <xf numFmtId="176" fontId="5" fillId="0" borderId="113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14" fillId="0" borderId="9" xfId="0" applyNumberFormat="1" applyFont="1" applyBorder="1" applyAlignment="1">
      <alignment horizontal="center" vertical="center"/>
    </xf>
    <xf numFmtId="176" fontId="14" fillId="0" borderId="10" xfId="0" applyNumberFormat="1" applyFont="1" applyBorder="1" applyAlignment="1">
      <alignment horizontal="center" vertical="center"/>
    </xf>
    <xf numFmtId="176" fontId="14" fillId="0" borderId="11" xfId="0" applyNumberFormat="1" applyFont="1" applyBorder="1" applyAlignment="1">
      <alignment horizontal="center" vertical="center"/>
    </xf>
    <xf numFmtId="9" fontId="22" fillId="0" borderId="70" xfId="2" applyFont="1" applyBorder="1" applyAlignment="1">
      <alignment vertical="center"/>
    </xf>
    <xf numFmtId="9" fontId="22" fillId="0" borderId="32" xfId="2" applyFont="1" applyBorder="1" applyAlignment="1">
      <alignment vertical="center"/>
    </xf>
    <xf numFmtId="9" fontId="22" fillId="0" borderId="114" xfId="2" applyFont="1" applyBorder="1" applyAlignment="1">
      <alignment vertical="center"/>
    </xf>
    <xf numFmtId="9" fontId="14" fillId="0" borderId="115" xfId="2" applyFont="1" applyBorder="1" applyAlignment="1">
      <alignment vertical="center"/>
    </xf>
    <xf numFmtId="9" fontId="14" fillId="0" borderId="32" xfId="2" applyFont="1" applyFill="1" applyBorder="1" applyAlignment="1">
      <alignment vertical="center"/>
    </xf>
    <xf numFmtId="9" fontId="14" fillId="0" borderId="32" xfId="2" applyFont="1" applyBorder="1" applyAlignment="1">
      <alignment vertical="center"/>
    </xf>
    <xf numFmtId="9" fontId="14" fillId="0" borderId="116" xfId="2" applyFont="1" applyBorder="1" applyAlignment="1">
      <alignment vertical="center"/>
    </xf>
    <xf numFmtId="9" fontId="14" fillId="0" borderId="117" xfId="2" applyFont="1" applyBorder="1" applyAlignment="1">
      <alignment vertical="center"/>
    </xf>
    <xf numFmtId="176" fontId="14" fillId="0" borderId="11" xfId="0" applyNumberFormat="1" applyFont="1" applyBorder="1" applyAlignment="1">
      <alignment vertical="center"/>
    </xf>
    <xf numFmtId="176" fontId="14" fillId="0" borderId="0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vertical="center"/>
    </xf>
    <xf numFmtId="0" fontId="23" fillId="0" borderId="0" xfId="0" applyFont="1" applyAlignment="1">
      <alignment vertical="center"/>
    </xf>
    <xf numFmtId="41" fontId="23" fillId="0" borderId="0" xfId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10" fillId="0" borderId="0" xfId="0" applyFont="1" applyAlignment="1">
      <alignment horizontal="right" vertical="center"/>
    </xf>
    <xf numFmtId="180" fontId="25" fillId="0" borderId="1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24" fillId="0" borderId="0" xfId="0" applyNumberFormat="1" applyFont="1" applyFill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5" borderId="24" xfId="0" applyFill="1" applyBorder="1" applyAlignment="1">
      <alignment vertical="center"/>
    </xf>
    <xf numFmtId="0" fontId="0" fillId="5" borderId="118" xfId="0" applyFill="1" applyBorder="1" applyAlignment="1">
      <alignment vertical="center"/>
    </xf>
    <xf numFmtId="0" fontId="0" fillId="5" borderId="118" xfId="0" applyFill="1" applyBorder="1" applyAlignment="1">
      <alignment horizontal="center" vertical="center"/>
    </xf>
    <xf numFmtId="176" fontId="0" fillId="5" borderId="118" xfId="0" applyNumberFormat="1" applyFill="1" applyBorder="1" applyAlignment="1">
      <alignment vertical="center"/>
    </xf>
    <xf numFmtId="176" fontId="0" fillId="0" borderId="87" xfId="0" applyNumberFormat="1" applyBorder="1" applyAlignment="1">
      <alignment vertical="center"/>
    </xf>
    <xf numFmtId="0" fontId="0" fillId="0" borderId="118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118" xfId="0" applyFill="1" applyBorder="1" applyAlignment="1">
      <alignment vertical="center"/>
    </xf>
    <xf numFmtId="0" fontId="0" fillId="2" borderId="118" xfId="0" applyFill="1" applyBorder="1" applyAlignment="1">
      <alignment horizontal="center" vertical="center"/>
    </xf>
    <xf numFmtId="176" fontId="0" fillId="2" borderId="118" xfId="0" applyNumberFormat="1" applyFill="1" applyBorder="1" applyAlignment="1">
      <alignment horizontal="right" vertical="center"/>
    </xf>
    <xf numFmtId="176" fontId="0" fillId="2" borderId="118" xfId="0" applyNumberFormat="1" applyFill="1" applyBorder="1" applyAlignment="1">
      <alignment vertical="center"/>
    </xf>
    <xf numFmtId="0" fontId="0" fillId="2" borderId="24" xfId="0" applyFill="1" applyBorder="1" applyAlignment="1">
      <alignment horizontal="center" vertical="center"/>
    </xf>
    <xf numFmtId="176" fontId="0" fillId="2" borderId="24" xfId="0" applyNumberFormat="1" applyFill="1" applyBorder="1" applyAlignment="1">
      <alignment horizontal="center" vertical="center"/>
    </xf>
    <xf numFmtId="176" fontId="0" fillId="2" borderId="24" xfId="0" applyNumberFormat="1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2" borderId="34" xfId="0" applyFill="1" applyBorder="1" applyAlignment="1">
      <alignment horizontal="center" vertical="center"/>
    </xf>
    <xf numFmtId="176" fontId="0" fillId="2" borderId="34" xfId="0" applyNumberFormat="1" applyFill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5" xfId="0" applyBorder="1" applyAlignment="1">
      <alignment vertical="center"/>
    </xf>
    <xf numFmtId="176" fontId="0" fillId="0" borderId="45" xfId="0" applyNumberFormat="1" applyBorder="1" applyAlignment="1">
      <alignment horizontal="center" vertical="center"/>
    </xf>
    <xf numFmtId="176" fontId="0" fillId="0" borderId="45" xfId="0" applyNumberFormat="1" applyBorder="1" applyAlignment="1">
      <alignment vertical="center"/>
    </xf>
    <xf numFmtId="176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19" xfId="0" applyFill="1" applyBorder="1" applyAlignment="1">
      <alignment vertical="center"/>
    </xf>
    <xf numFmtId="0" fontId="0" fillId="2" borderId="119" xfId="0" applyFill="1" applyBorder="1" applyAlignment="1">
      <alignment horizontal="center" vertical="center"/>
    </xf>
    <xf numFmtId="176" fontId="0" fillId="2" borderId="119" xfId="0" applyNumberFormat="1" applyFill="1" applyBorder="1" applyAlignment="1">
      <alignment horizontal="center" vertical="center"/>
    </xf>
    <xf numFmtId="176" fontId="0" fillId="2" borderId="119" xfId="0" applyNumberFormat="1" applyFill="1" applyBorder="1" applyAlignment="1">
      <alignment vertical="center"/>
    </xf>
    <xf numFmtId="176" fontId="0" fillId="0" borderId="44" xfId="0" applyNumberFormat="1" applyBorder="1" applyAlignment="1">
      <alignment vertical="center"/>
    </xf>
    <xf numFmtId="0" fontId="0" fillId="0" borderId="119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120" xfId="0" applyFill="1" applyBorder="1" applyAlignment="1">
      <alignment vertical="center"/>
    </xf>
    <xf numFmtId="0" fontId="0" fillId="2" borderId="120" xfId="0" applyFill="1" applyBorder="1" applyAlignment="1">
      <alignment horizontal="center" vertical="center"/>
    </xf>
    <xf numFmtId="176" fontId="0" fillId="2" borderId="120" xfId="0" applyNumberFormat="1" applyFill="1" applyBorder="1" applyAlignment="1">
      <alignment horizontal="center" vertical="center"/>
    </xf>
    <xf numFmtId="176" fontId="0" fillId="2" borderId="120" xfId="0" applyNumberFormat="1" applyFill="1" applyBorder="1" applyAlignment="1">
      <alignment vertical="center"/>
    </xf>
    <xf numFmtId="176" fontId="0" fillId="0" borderId="121" xfId="0" applyNumberFormat="1" applyBorder="1" applyAlignment="1">
      <alignment vertical="center"/>
    </xf>
    <xf numFmtId="0" fontId="0" fillId="0" borderId="120" xfId="0" applyBorder="1" applyAlignment="1">
      <alignment vertical="center"/>
    </xf>
    <xf numFmtId="0" fontId="0" fillId="6" borderId="37" xfId="0" applyFill="1" applyBorder="1" applyAlignment="1">
      <alignment vertical="center"/>
    </xf>
    <xf numFmtId="0" fontId="1" fillId="6" borderId="12" xfId="0" applyFont="1" applyFill="1" applyBorder="1" applyAlignment="1">
      <alignment vertical="center"/>
    </xf>
    <xf numFmtId="0" fontId="0" fillId="6" borderId="12" xfId="0" applyFill="1" applyBorder="1" applyAlignment="1">
      <alignment horizontal="center" vertical="center"/>
    </xf>
    <xf numFmtId="176" fontId="0" fillId="6" borderId="12" xfId="0" applyNumberFormat="1" applyFill="1" applyBorder="1" applyAlignment="1">
      <alignment horizontal="center" vertical="center"/>
    </xf>
    <xf numFmtId="176" fontId="0" fillId="6" borderId="12" xfId="0" applyNumberFormat="1" applyFill="1" applyBorder="1" applyAlignment="1">
      <alignment vertical="center"/>
    </xf>
    <xf numFmtId="176" fontId="0" fillId="6" borderId="37" xfId="0" applyNumberFormat="1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5" borderId="24" xfId="1" applyNumberFormat="1" applyFont="1" applyFill="1" applyBorder="1" applyAlignment="1">
      <alignment horizontal="left" vertical="center"/>
    </xf>
    <xf numFmtId="41" fontId="1" fillId="5" borderId="24" xfId="1" applyFont="1" applyFill="1" applyBorder="1" applyAlignment="1">
      <alignment horizontal="center" vertical="center"/>
    </xf>
    <xf numFmtId="41" fontId="1" fillId="5" borderId="24" xfId="1" applyFont="1" applyFill="1" applyBorder="1" applyAlignment="1">
      <alignment vertical="center"/>
    </xf>
    <xf numFmtId="41" fontId="1" fillId="5" borderId="24" xfId="1" applyFont="1" applyFill="1" applyBorder="1" applyAlignment="1">
      <alignment horizontal="right" vertical="center"/>
    </xf>
    <xf numFmtId="41" fontId="1" fillId="5" borderId="24" xfId="1" applyNumberFormat="1" applyFont="1" applyFill="1" applyBorder="1" applyAlignment="1">
      <alignment horizontal="right" vertical="center"/>
    </xf>
    <xf numFmtId="0" fontId="1" fillId="2" borderId="24" xfId="1" applyNumberFormat="1" applyFont="1" applyFill="1" applyBorder="1" applyAlignment="1">
      <alignment horizontal="left" vertical="center"/>
    </xf>
    <xf numFmtId="41" fontId="1" fillId="2" borderId="24" xfId="1" applyFont="1" applyFill="1" applyBorder="1" applyAlignment="1">
      <alignment horizontal="center" vertical="center"/>
    </xf>
    <xf numFmtId="41" fontId="1" fillId="2" borderId="24" xfId="1" applyNumberFormat="1" applyFont="1" applyFill="1" applyBorder="1" applyAlignment="1">
      <alignment horizontal="right" vertical="center"/>
    </xf>
    <xf numFmtId="41" fontId="1" fillId="2" borderId="24" xfId="1" applyFont="1" applyFill="1" applyBorder="1" applyAlignment="1">
      <alignment horizontal="right" vertical="center"/>
    </xf>
    <xf numFmtId="0" fontId="0" fillId="5" borderId="24" xfId="0" applyFill="1" applyBorder="1" applyAlignment="1">
      <alignment horizontal="center" vertical="center"/>
    </xf>
    <xf numFmtId="176" fontId="0" fillId="5" borderId="24" xfId="0" applyNumberFormat="1" applyFill="1" applyBorder="1" applyAlignment="1">
      <alignment vertical="center"/>
    </xf>
    <xf numFmtId="41" fontId="1" fillId="2" borderId="24" xfId="1" applyFont="1" applyFill="1" applyBorder="1" applyAlignment="1">
      <alignment horizontal="center" vertical="center" shrinkToFit="1"/>
    </xf>
    <xf numFmtId="176" fontId="0" fillId="0" borderId="30" xfId="0" applyNumberFormat="1" applyBorder="1" applyAlignment="1">
      <alignment vertical="center"/>
    </xf>
    <xf numFmtId="0" fontId="0" fillId="2" borderId="11" xfId="0" applyFill="1" applyBorder="1" applyAlignment="1">
      <alignment vertical="center"/>
    </xf>
    <xf numFmtId="176" fontId="0" fillId="2" borderId="118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vertical="center"/>
    </xf>
    <xf numFmtId="0" fontId="0" fillId="0" borderId="40" xfId="0" applyBorder="1" applyAlignment="1">
      <alignment vertical="center"/>
    </xf>
    <xf numFmtId="0" fontId="0" fillId="2" borderId="13" xfId="0" applyFill="1" applyBorder="1" applyAlignment="1">
      <alignment vertical="center"/>
    </xf>
    <xf numFmtId="176" fontId="0" fillId="0" borderId="119" xfId="0" applyNumberFormat="1" applyBorder="1" applyAlignment="1">
      <alignment vertical="center"/>
    </xf>
    <xf numFmtId="176" fontId="0" fillId="2" borderId="34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3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6" borderId="35" xfId="0" applyFill="1" applyBorder="1" applyAlignment="1">
      <alignment vertical="center"/>
    </xf>
    <xf numFmtId="176" fontId="0" fillId="5" borderId="12" xfId="0" applyNumberFormat="1" applyFill="1" applyBorder="1" applyAlignment="1">
      <alignment vertical="center"/>
    </xf>
    <xf numFmtId="176" fontId="0" fillId="2" borderId="12" xfId="0" applyNumberFormat="1" applyFill="1" applyBorder="1" applyAlignment="1">
      <alignment vertical="center"/>
    </xf>
    <xf numFmtId="176" fontId="0" fillId="0" borderId="37" xfId="0" applyNumberForma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19" xfId="0" applyFill="1" applyBorder="1" applyAlignment="1">
      <alignment vertical="center"/>
    </xf>
    <xf numFmtId="0" fontId="0" fillId="6" borderId="25" xfId="0" applyFill="1" applyBorder="1" applyAlignment="1">
      <alignment vertical="center"/>
    </xf>
    <xf numFmtId="176" fontId="0" fillId="5" borderId="119" xfId="0" applyNumberForma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4" xfId="0" applyFill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4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176" fontId="0" fillId="0" borderId="35" xfId="0" applyNumberFormat="1" applyBorder="1" applyAlignment="1">
      <alignment vertical="center"/>
    </xf>
    <xf numFmtId="176" fontId="0" fillId="0" borderId="0" xfId="0" applyNumberFormat="1" applyAlignment="1">
      <alignment horizontal="center" vertical="center"/>
    </xf>
    <xf numFmtId="180" fontId="10" fillId="2" borderId="10" xfId="0" applyNumberFormat="1" applyFont="1" applyFill="1" applyBorder="1" applyAlignment="1">
      <alignment vertical="center"/>
    </xf>
    <xf numFmtId="176" fontId="24" fillId="0" borderId="0" xfId="0" applyNumberFormat="1" applyFont="1" applyFill="1" applyAlignment="1">
      <alignment vertical="center"/>
    </xf>
    <xf numFmtId="180" fontId="0" fillId="0" borderId="0" xfId="0" applyNumberFormat="1" applyAlignment="1">
      <alignment vertical="center"/>
    </xf>
    <xf numFmtId="0" fontId="0" fillId="2" borderId="24" xfId="0" applyFill="1" applyBorder="1" applyAlignment="1">
      <alignment horizontal="left" vertical="center"/>
    </xf>
    <xf numFmtId="181" fontId="0" fillId="0" borderId="45" xfId="0" applyNumberFormat="1" applyBorder="1" applyAlignment="1">
      <alignment vertical="center"/>
    </xf>
    <xf numFmtId="0" fontId="0" fillId="2" borderId="24" xfId="0" applyFont="1" applyFill="1" applyBorder="1" applyAlignment="1">
      <alignment horizontal="left" vertical="center"/>
    </xf>
    <xf numFmtId="0" fontId="0" fillId="0" borderId="35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176" fontId="0" fillId="6" borderId="26" xfId="0" applyNumberFormat="1" applyFill="1" applyBorder="1" applyAlignment="1">
      <alignment vertical="center"/>
    </xf>
    <xf numFmtId="0" fontId="0" fillId="0" borderId="29" xfId="0" applyFill="1" applyBorder="1" applyAlignment="1">
      <alignment horizontal="center" vertical="center"/>
    </xf>
    <xf numFmtId="176" fontId="0" fillId="5" borderId="24" xfId="0" applyNumberFormat="1" applyFill="1" applyBorder="1" applyAlignment="1">
      <alignment horizontal="center" vertical="center"/>
    </xf>
    <xf numFmtId="181" fontId="0" fillId="0" borderId="45" xfId="0" applyNumberForma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176" fontId="0" fillId="5" borderId="34" xfId="0" applyNumberFormat="1" applyFill="1" applyBorder="1" applyAlignment="1">
      <alignment horizontal="center" vertical="center"/>
    </xf>
    <xf numFmtId="0" fontId="0" fillId="5" borderId="119" xfId="0" applyFill="1" applyBorder="1" applyAlignment="1">
      <alignment vertical="center"/>
    </xf>
    <xf numFmtId="0" fontId="0" fillId="5" borderId="119" xfId="0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 vertical="center"/>
    </xf>
    <xf numFmtId="176" fontId="0" fillId="5" borderId="119" xfId="0" applyNumberFormat="1" applyFill="1" applyBorder="1" applyAlignment="1">
      <alignment horizontal="center" vertical="center"/>
    </xf>
    <xf numFmtId="176" fontId="0" fillId="5" borderId="119" xfId="0" applyNumberFormat="1" applyFill="1" applyBorder="1" applyAlignment="1">
      <alignment horizontal="right" vertical="center"/>
    </xf>
    <xf numFmtId="176" fontId="0" fillId="5" borderId="24" xfId="0" applyNumberFormat="1" applyFill="1" applyBorder="1" applyAlignment="1">
      <alignment horizontal="right" vertical="center"/>
    </xf>
    <xf numFmtId="0" fontId="0" fillId="0" borderId="35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5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176" fontId="0" fillId="5" borderId="34" xfId="0" applyNumberFormat="1" applyFill="1" applyBorder="1" applyAlignment="1">
      <alignment horizontal="right" vertical="center"/>
    </xf>
    <xf numFmtId="176" fontId="0" fillId="5" borderId="34" xfId="0" applyNumberFormat="1" applyFill="1" applyBorder="1" applyAlignment="1">
      <alignment vertical="center"/>
    </xf>
    <xf numFmtId="0" fontId="27" fillId="0" borderId="0" xfId="0" applyFont="1" applyAlignment="1">
      <alignment vertical="center"/>
    </xf>
    <xf numFmtId="0" fontId="5" fillId="0" borderId="1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4" fillId="2" borderId="6" xfId="0" applyNumberFormat="1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0" fontId="0" fillId="5" borderId="24" xfId="1" applyNumberFormat="1" applyFont="1" applyFill="1" applyBorder="1" applyAlignment="1">
      <alignment horizontal="left" vertical="center"/>
    </xf>
    <xf numFmtId="41" fontId="0" fillId="5" borderId="119" xfId="1" applyFont="1" applyFill="1" applyBorder="1" applyAlignment="1">
      <alignment vertical="center"/>
    </xf>
    <xf numFmtId="0" fontId="0" fillId="2" borderId="24" xfId="1" applyNumberFormat="1" applyFont="1" applyFill="1" applyBorder="1" applyAlignment="1">
      <alignment horizontal="left" vertical="center"/>
    </xf>
    <xf numFmtId="41" fontId="0" fillId="2" borderId="24" xfId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41" fontId="0" fillId="5" borderId="24" xfId="1" applyFont="1" applyFill="1" applyBorder="1" applyAlignment="1">
      <alignment horizontal="center" vertical="center"/>
    </xf>
    <xf numFmtId="41" fontId="0" fillId="0" borderId="0" xfId="1" applyFont="1" applyAlignment="1">
      <alignment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vertical="center"/>
    </xf>
    <xf numFmtId="0" fontId="14" fillId="2" borderId="9" xfId="0" applyFont="1" applyFill="1" applyBorder="1" applyAlignment="1">
      <alignment vertical="center"/>
    </xf>
    <xf numFmtId="0" fontId="0" fillId="0" borderId="18" xfId="0" applyFont="1" applyBorder="1" applyAlignment="1">
      <alignment horizontal="center" vertical="center" wrapText="1"/>
    </xf>
    <xf numFmtId="0" fontId="0" fillId="0" borderId="103" xfId="0" applyBorder="1" applyAlignment="1">
      <alignment horizontal="center" vertical="center"/>
    </xf>
    <xf numFmtId="0" fontId="0" fillId="0" borderId="108" xfId="0" applyBorder="1" applyAlignment="1">
      <alignment horizontal="center" vertical="center"/>
    </xf>
    <xf numFmtId="176" fontId="0" fillId="0" borderId="123" xfId="0" applyNumberFormat="1" applyBorder="1" applyAlignment="1">
      <alignment vertical="center"/>
    </xf>
    <xf numFmtId="41" fontId="21" fillId="0" borderId="104" xfId="1" applyFont="1" applyBorder="1" applyAlignment="1">
      <alignment horizontal="center" vertical="center"/>
    </xf>
    <xf numFmtId="41" fontId="21" fillId="0" borderId="105" xfId="1" applyFont="1" applyBorder="1" applyAlignment="1">
      <alignment horizontal="center" vertical="center"/>
    </xf>
    <xf numFmtId="41" fontId="21" fillId="0" borderId="106" xfId="1" applyFont="1" applyBorder="1" applyAlignment="1">
      <alignment horizontal="center" vertical="center"/>
    </xf>
    <xf numFmtId="41" fontId="1" fillId="0" borderId="105" xfId="1" applyFont="1" applyFill="1" applyBorder="1" applyAlignment="1">
      <alignment horizontal="center" vertical="center"/>
    </xf>
    <xf numFmtId="41" fontId="1" fillId="0" borderId="105" xfId="1" applyFont="1" applyBorder="1" applyAlignment="1">
      <alignment horizontal="center" vertical="center"/>
    </xf>
    <xf numFmtId="41" fontId="0" fillId="0" borderId="107" xfId="1" applyFont="1" applyBorder="1" applyAlignment="1">
      <alignment horizontal="center" vertical="center"/>
    </xf>
    <xf numFmtId="0" fontId="0" fillId="0" borderId="103" xfId="0" applyBorder="1" applyAlignment="1">
      <alignment horizontal="left" vertical="center"/>
    </xf>
    <xf numFmtId="179" fontId="1" fillId="7" borderId="61" xfId="0" applyNumberFormat="1" applyFont="1" applyFill="1" applyBorder="1" applyAlignment="1">
      <alignment vertical="center"/>
    </xf>
    <xf numFmtId="179" fontId="1" fillId="7" borderId="6" xfId="0" applyNumberFormat="1" applyFont="1" applyFill="1" applyBorder="1" applyAlignment="1">
      <alignment vertical="center"/>
    </xf>
    <xf numFmtId="0" fontId="1" fillId="0" borderId="118" xfId="0" applyFont="1" applyFill="1" applyBorder="1" applyAlignment="1">
      <alignment horizontal="center" vertical="center"/>
    </xf>
    <xf numFmtId="176" fontId="1" fillId="0" borderId="81" xfId="0" applyNumberFormat="1" applyFont="1" applyFill="1" applyBorder="1" applyAlignment="1">
      <alignment horizontal="right" vertical="center"/>
    </xf>
    <xf numFmtId="176" fontId="1" fillId="0" borderId="61" xfId="0" applyNumberFormat="1" applyFont="1" applyFill="1" applyBorder="1" applyAlignment="1">
      <alignment horizontal="right" vertical="center"/>
    </xf>
    <xf numFmtId="176" fontId="1" fillId="0" borderId="87" xfId="0" applyNumberFormat="1" applyFont="1" applyFill="1" applyBorder="1" applyAlignment="1">
      <alignment horizontal="right" vertical="center"/>
    </xf>
    <xf numFmtId="0" fontId="1" fillId="0" borderId="118" xfId="0" applyFont="1" applyFill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41" fontId="1" fillId="0" borderId="22" xfId="1" applyFont="1" applyBorder="1" applyAlignment="1">
      <alignment horizontal="center" vertical="center"/>
    </xf>
    <xf numFmtId="41" fontId="1" fillId="0" borderId="23" xfId="1" applyFont="1" applyBorder="1" applyAlignment="1">
      <alignment horizontal="center" vertical="center"/>
    </xf>
    <xf numFmtId="41" fontId="1" fillId="0" borderId="27" xfId="1" applyFont="1" applyFill="1" applyBorder="1" applyAlignment="1">
      <alignment horizontal="right" vertical="center"/>
    </xf>
    <xf numFmtId="41" fontId="1" fillId="0" borderId="6" xfId="1" applyFont="1" applyFill="1" applyBorder="1" applyAlignment="1">
      <alignment horizontal="right" vertical="center"/>
    </xf>
    <xf numFmtId="41" fontId="1" fillId="0" borderId="26" xfId="1" applyFont="1" applyFill="1" applyBorder="1" applyAlignment="1">
      <alignment horizontal="right" vertical="center"/>
    </xf>
    <xf numFmtId="41" fontId="0" fillId="0" borderId="6" xfId="1" applyFont="1" applyFill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textRotation="255"/>
    </xf>
    <xf numFmtId="0" fontId="0" fillId="0" borderId="4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6" fontId="1" fillId="0" borderId="35" xfId="0" applyNumberFormat="1" applyFont="1" applyBorder="1" applyAlignment="1">
      <alignment horizontal="center" vertical="center"/>
    </xf>
    <xf numFmtId="176" fontId="1" fillId="0" borderId="36" xfId="0" applyNumberFormat="1" applyFont="1" applyBorder="1" applyAlignment="1">
      <alignment horizontal="center" vertical="center"/>
    </xf>
    <xf numFmtId="176" fontId="1" fillId="0" borderId="37" xfId="0" applyNumberFormat="1" applyFont="1" applyBorder="1" applyAlignment="1">
      <alignment horizontal="center" vertical="center"/>
    </xf>
    <xf numFmtId="0" fontId="0" fillId="0" borderId="25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5" xfId="0" applyFont="1" applyFill="1" applyBorder="1" applyAlignment="1">
      <alignment horizontal="left" vertical="center"/>
    </xf>
    <xf numFmtId="0" fontId="1" fillId="0" borderId="26" xfId="0" applyFont="1" applyFill="1" applyBorder="1" applyAlignment="1">
      <alignment horizontal="left" vertical="center"/>
    </xf>
    <xf numFmtId="0" fontId="1" fillId="0" borderId="124" xfId="0" applyFont="1" applyFill="1" applyBorder="1" applyAlignment="1">
      <alignment horizontal="left" vertical="center"/>
    </xf>
    <xf numFmtId="0" fontId="1" fillId="0" borderId="87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0" fillId="0" borderId="20" xfId="0" applyFont="1" applyBorder="1" applyAlignment="1">
      <alignment horizontal="left" vertical="center"/>
    </xf>
    <xf numFmtId="0" fontId="0" fillId="0" borderId="21" xfId="0" applyFont="1" applyBorder="1" applyAlignment="1">
      <alignment horizontal="left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176" fontId="1" fillId="0" borderId="35" xfId="0" applyNumberFormat="1" applyFont="1" applyBorder="1" applyAlignment="1">
      <alignment horizontal="center" vertical="center" wrapText="1"/>
    </xf>
    <xf numFmtId="176" fontId="1" fillId="0" borderId="37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textRotation="255"/>
    </xf>
    <xf numFmtId="0" fontId="1" fillId="0" borderId="40" xfId="0" applyFont="1" applyBorder="1" applyAlignment="1">
      <alignment horizontal="center" vertical="center" textRotation="255"/>
    </xf>
    <xf numFmtId="0" fontId="1" fillId="0" borderId="45" xfId="0" applyFont="1" applyBorder="1" applyAlignment="1">
      <alignment horizontal="center" vertical="center" textRotation="255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1" fillId="2" borderId="44" xfId="0" applyFont="1" applyFill="1" applyBorder="1" applyAlignment="1">
      <alignment vertical="center"/>
    </xf>
    <xf numFmtId="177" fontId="0" fillId="2" borderId="7" xfId="0" applyNumberFormat="1" applyFont="1" applyFill="1" applyBorder="1" applyAlignment="1">
      <alignment horizontal="left" vertical="center"/>
    </xf>
    <xf numFmtId="177" fontId="1" fillId="2" borderId="0" xfId="0" applyNumberFormat="1" applyFont="1" applyFill="1" applyBorder="1" applyAlignment="1">
      <alignment horizontal="left" vertical="center"/>
    </xf>
    <xf numFmtId="177" fontId="1" fillId="2" borderId="8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178" fontId="1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8" fontId="1" fillId="2" borderId="8" xfId="0" applyNumberFormat="1" applyFont="1" applyFill="1" applyBorder="1" applyAlignment="1">
      <alignment vertical="center"/>
    </xf>
    <xf numFmtId="3" fontId="1" fillId="0" borderId="4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5" xfId="0" applyNumberFormat="1" applyFont="1" applyFill="1" applyBorder="1" applyAlignment="1">
      <alignment horizontal="center" vertical="center"/>
    </xf>
    <xf numFmtId="3" fontId="1" fillId="0" borderId="66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/>
    </xf>
    <xf numFmtId="3" fontId="1" fillId="0" borderId="64" xfId="0" applyNumberFormat="1" applyFont="1" applyFill="1" applyBorder="1" applyAlignment="1">
      <alignment horizontal="center" vertical="center"/>
    </xf>
    <xf numFmtId="3" fontId="1" fillId="0" borderId="46" xfId="0" applyNumberFormat="1" applyFont="1" applyFill="1" applyBorder="1" applyAlignment="1">
      <alignment horizontal="center" vertical="center"/>
    </xf>
    <xf numFmtId="3" fontId="1" fillId="0" borderId="47" xfId="0" applyNumberFormat="1" applyFont="1" applyFill="1" applyBorder="1" applyAlignment="1">
      <alignment horizontal="center" vertical="center"/>
    </xf>
    <xf numFmtId="3" fontId="1" fillId="0" borderId="72" xfId="0" applyNumberFormat="1" applyFont="1" applyFill="1" applyBorder="1" applyAlignment="1">
      <alignment horizontal="center" vertical="center"/>
    </xf>
    <xf numFmtId="3" fontId="1" fillId="0" borderId="49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50" xfId="0" applyNumberFormat="1" applyFont="1" applyFill="1" applyBorder="1" applyAlignment="1">
      <alignment horizontal="center" vertical="center"/>
    </xf>
    <xf numFmtId="3" fontId="1" fillId="0" borderId="54" xfId="0" applyNumberFormat="1" applyFont="1" applyFill="1" applyBorder="1" applyAlignment="1">
      <alignment horizontal="center" vertical="center"/>
    </xf>
    <xf numFmtId="3" fontId="1" fillId="0" borderId="55" xfId="0" applyNumberFormat="1" applyFont="1" applyFill="1" applyBorder="1" applyAlignment="1">
      <alignment horizontal="center" vertical="center"/>
    </xf>
    <xf numFmtId="3" fontId="1" fillId="0" borderId="56" xfId="0" applyNumberFormat="1" applyFont="1" applyFill="1" applyBorder="1" applyAlignment="1">
      <alignment horizontal="center" vertical="center"/>
    </xf>
    <xf numFmtId="3" fontId="1" fillId="0" borderId="59" xfId="0" applyNumberFormat="1" applyFont="1" applyFill="1" applyBorder="1" applyAlignment="1">
      <alignment horizontal="center" vertical="center"/>
    </xf>
    <xf numFmtId="3" fontId="1" fillId="0" borderId="70" xfId="0" applyNumberFormat="1" applyFont="1" applyFill="1" applyBorder="1" applyAlignment="1">
      <alignment horizontal="center" vertical="center"/>
    </xf>
    <xf numFmtId="3" fontId="1" fillId="0" borderId="60" xfId="0" applyNumberFormat="1" applyFont="1" applyFill="1" applyBorder="1" applyAlignment="1">
      <alignment horizontal="center" vertical="center" wrapText="1"/>
    </xf>
    <xf numFmtId="3" fontId="1" fillId="0" borderId="71" xfId="0" applyNumberFormat="1" applyFont="1" applyFill="1" applyBorder="1" applyAlignment="1">
      <alignment horizontal="center" vertical="center"/>
    </xf>
    <xf numFmtId="3" fontId="1" fillId="0" borderId="4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 wrapText="1"/>
    </xf>
    <xf numFmtId="3" fontId="1" fillId="0" borderId="28" xfId="0" applyNumberFormat="1" applyFont="1" applyFill="1" applyBorder="1" applyAlignment="1">
      <alignment horizontal="center" vertical="center"/>
    </xf>
    <xf numFmtId="3" fontId="1" fillId="0" borderId="51" xfId="0" applyNumberFormat="1" applyFont="1" applyFill="1" applyBorder="1" applyAlignment="1">
      <alignment horizontal="center" vertical="center"/>
    </xf>
    <xf numFmtId="3" fontId="1" fillId="0" borderId="6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3" fontId="1" fillId="0" borderId="7" xfId="0" applyNumberFormat="1" applyFont="1" applyFill="1" applyBorder="1" applyAlignment="1">
      <alignment horizontal="center" vertical="center"/>
    </xf>
    <xf numFmtId="3" fontId="1" fillId="0" borderId="15" xfId="0" applyNumberFormat="1" applyFont="1" applyFill="1" applyBorder="1" applyAlignment="1">
      <alignment horizontal="center" vertical="center"/>
    </xf>
    <xf numFmtId="3" fontId="1" fillId="0" borderId="42" xfId="0" applyNumberFormat="1" applyFont="1" applyFill="1" applyBorder="1" applyAlignment="1">
      <alignment horizontal="center" vertical="center"/>
    </xf>
    <xf numFmtId="3" fontId="1" fillId="0" borderId="43" xfId="0" applyNumberFormat="1" applyFont="1" applyFill="1" applyBorder="1" applyAlignment="1">
      <alignment horizontal="center" vertical="center"/>
    </xf>
    <xf numFmtId="3" fontId="1" fillId="0" borderId="76" xfId="0" applyNumberFormat="1" applyFont="1" applyFill="1" applyBorder="1" applyAlignment="1">
      <alignment horizontal="center" vertical="center"/>
    </xf>
    <xf numFmtId="3" fontId="1" fillId="0" borderId="77" xfId="0" applyNumberFormat="1" applyFont="1" applyFill="1" applyBorder="1" applyAlignment="1">
      <alignment horizontal="center" vertical="center"/>
    </xf>
    <xf numFmtId="3" fontId="1" fillId="0" borderId="78" xfId="0" applyNumberFormat="1" applyFont="1" applyFill="1" applyBorder="1" applyAlignment="1">
      <alignment horizontal="center" vertical="center"/>
    </xf>
    <xf numFmtId="3" fontId="1" fillId="0" borderId="79" xfId="0" applyNumberFormat="1" applyFont="1" applyFill="1" applyBorder="1" applyAlignment="1">
      <alignment horizontal="center" vertical="center"/>
    </xf>
    <xf numFmtId="3" fontId="1" fillId="0" borderId="82" xfId="0" applyNumberFormat="1" applyFont="1" applyFill="1" applyBorder="1" applyAlignment="1">
      <alignment horizontal="center" vertical="center"/>
    </xf>
    <xf numFmtId="3" fontId="1" fillId="0" borderId="83" xfId="0" applyNumberFormat="1" applyFont="1" applyFill="1" applyBorder="1" applyAlignment="1">
      <alignment horizontal="center" vertical="center"/>
    </xf>
    <xf numFmtId="3" fontId="1" fillId="0" borderId="84" xfId="0" applyNumberFormat="1" applyFont="1" applyFill="1" applyBorder="1" applyAlignment="1">
      <alignment horizontal="center" vertical="center"/>
    </xf>
    <xf numFmtId="3" fontId="1" fillId="0" borderId="85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4" fillId="4" borderId="4" xfId="0" applyNumberFormat="1" applyFont="1" applyFill="1" applyBorder="1" applyAlignment="1">
      <alignment horizontal="left" vertical="center"/>
    </xf>
    <xf numFmtId="3" fontId="14" fillId="4" borderId="5" xfId="0" applyNumberFormat="1" applyFont="1" applyFill="1" applyBorder="1" applyAlignment="1">
      <alignment horizontal="left" vertical="center"/>
    </xf>
    <xf numFmtId="3" fontId="14" fillId="4" borderId="65" xfId="0" applyNumberFormat="1" applyFont="1" applyFill="1" applyBorder="1" applyAlignment="1">
      <alignment horizontal="left" vertical="center"/>
    </xf>
    <xf numFmtId="3" fontId="14" fillId="0" borderId="4" xfId="0" applyNumberFormat="1" applyFont="1" applyFill="1" applyBorder="1" applyAlignment="1">
      <alignment horizontal="left" vertical="center"/>
    </xf>
    <xf numFmtId="3" fontId="14" fillId="0" borderId="5" xfId="0" applyNumberFormat="1" applyFont="1" applyFill="1" applyBorder="1" applyAlignment="1">
      <alignment horizontal="left" vertical="center"/>
    </xf>
    <xf numFmtId="3" fontId="14" fillId="0" borderId="65" xfId="0" applyNumberFormat="1" applyFont="1" applyFill="1" applyBorder="1" applyAlignment="1">
      <alignment horizontal="left" vertical="center"/>
    </xf>
    <xf numFmtId="3" fontId="0" fillId="0" borderId="46" xfId="0" quotePrefix="1" applyNumberFormat="1" applyFill="1" applyBorder="1" applyAlignment="1">
      <alignment horizontal="left" vertical="center"/>
    </xf>
    <xf numFmtId="3" fontId="0" fillId="0" borderId="47" xfId="0" quotePrefix="1" applyNumberFormat="1" applyFill="1" applyBorder="1" applyAlignment="1">
      <alignment horizontal="left" vertical="center"/>
    </xf>
    <xf numFmtId="3" fontId="0" fillId="0" borderId="72" xfId="0" quotePrefix="1" applyNumberFormat="1" applyFill="1" applyBorder="1" applyAlignment="1">
      <alignment horizontal="left" vertical="center"/>
    </xf>
    <xf numFmtId="3" fontId="1" fillId="0" borderId="90" xfId="0" applyNumberFormat="1" applyFont="1" applyFill="1" applyBorder="1" applyAlignment="1">
      <alignment horizontal="center" vertical="center"/>
    </xf>
    <xf numFmtId="3" fontId="14" fillId="0" borderId="91" xfId="0" quotePrefix="1" applyNumberFormat="1" applyFont="1" applyFill="1" applyBorder="1" applyAlignment="1">
      <alignment horizontal="left" vertical="center"/>
    </xf>
    <xf numFmtId="3" fontId="14" fillId="0" borderId="90" xfId="0" quotePrefix="1" applyNumberFormat="1" applyFont="1" applyFill="1" applyBorder="1" applyAlignment="1">
      <alignment horizontal="left" vertical="center"/>
    </xf>
    <xf numFmtId="3" fontId="14" fillId="0" borderId="92" xfId="0" quotePrefix="1" applyNumberFormat="1" applyFont="1" applyFill="1" applyBorder="1" applyAlignment="1">
      <alignment horizontal="left" vertical="center"/>
    </xf>
    <xf numFmtId="3" fontId="0" fillId="0" borderId="68" xfId="0" applyNumberFormat="1" applyFont="1" applyFill="1" applyBorder="1" applyAlignment="1">
      <alignment horizontal="center" vertical="center" wrapText="1"/>
    </xf>
    <xf numFmtId="3" fontId="0" fillId="0" borderId="28" xfId="0" applyNumberFormat="1" applyFont="1" applyFill="1" applyBorder="1" applyAlignment="1">
      <alignment horizontal="center" vertical="center"/>
    </xf>
    <xf numFmtId="3" fontId="0" fillId="0" borderId="61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79" fontId="0" fillId="0" borderId="5" xfId="0" applyNumberFormat="1" applyFont="1" applyFill="1" applyBorder="1" applyAlignment="1">
      <alignment horizontal="center" vertical="center"/>
    </xf>
    <xf numFmtId="179" fontId="0" fillId="0" borderId="65" xfId="0" applyNumberFormat="1" applyFont="1" applyFill="1" applyBorder="1" applyAlignment="1">
      <alignment horizontal="center" vertical="center"/>
    </xf>
    <xf numFmtId="3" fontId="0" fillId="0" borderId="6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top" wrapText="1" shrinkToFit="1"/>
    </xf>
    <xf numFmtId="0" fontId="0" fillId="0" borderId="40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438900" y="0"/>
          <a:ext cx="19335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1]!값이있는행만출력하시오" textlink="">
      <xdr:nvSpPr>
        <xdr:cNvPr id="3" name="AutoShape 2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371850" y="11430"/>
          <a:ext cx="24003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9</xdr:col>
      <xdr:colOff>3403</xdr:colOff>
      <xdr:row>1</xdr:row>
      <xdr:rowOff>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SpPr>
          <a:spLocks noChangeArrowheads="1"/>
        </xdr:cNvSpPr>
      </xdr:nvSpPr>
      <xdr:spPr bwMode="auto">
        <a:xfrm>
          <a:off x="5383530" y="0"/>
          <a:ext cx="3554323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1]!값이있는행만출력하시오" textlink="">
      <xdr:nvSpPr>
        <xdr:cNvPr id="3" name="AutoShape 5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28700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57</xdr:row>
      <xdr:rowOff>0</xdr:rowOff>
    </xdr:from>
    <xdr:to>
      <xdr:col>9</xdr:col>
      <xdr:colOff>2</xdr:colOff>
      <xdr:row>57</xdr:row>
      <xdr:rowOff>0</xdr:rowOff>
    </xdr:to>
    <xdr:sp macro="" textlink="">
      <xdr:nvSpPr>
        <xdr:cNvPr id="4" name="Rectangle 15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2</xdr:col>
      <xdr:colOff>1905</xdr:colOff>
      <xdr:row>57</xdr:row>
      <xdr:rowOff>0</xdr:rowOff>
    </xdr:from>
    <xdr:to>
      <xdr:col>9</xdr:col>
      <xdr:colOff>2</xdr:colOff>
      <xdr:row>57</xdr:row>
      <xdr:rowOff>0</xdr:rowOff>
    </xdr:to>
    <xdr:sp macro="" textlink="">
      <xdr:nvSpPr>
        <xdr:cNvPr id="6" name="Rectangle 15">
          <a:extLst>
            <a:ext uri="{FF2B5EF4-FFF2-40B4-BE49-F238E27FC236}">
              <a16:creationId xmlns="" xmlns:a16="http://schemas.microsoft.com/office/drawing/2014/main" id="{16F53B4F-27F9-48AC-A612-342CC94C6AA8}"/>
            </a:ext>
          </a:extLst>
        </xdr:cNvPr>
        <xdr:cNvSpPr>
          <a:spLocks noChangeArrowheads="1"/>
        </xdr:cNvSpPr>
      </xdr:nvSpPr>
      <xdr:spPr bwMode="auto">
        <a:xfrm>
          <a:off x="1744980" y="1149667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1266825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66800" cy="264968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213360</xdr:colOff>
      <xdr:row>0</xdr:row>
      <xdr:rowOff>0</xdr:rowOff>
    </xdr:from>
    <xdr:to>
      <xdr:col>8</xdr:col>
      <xdr:colOff>718185</xdr:colOff>
      <xdr:row>1</xdr:row>
      <xdr:rowOff>0</xdr:rowOff>
    </xdr:to>
    <xdr:sp macro="" textlink="">
      <xdr:nvSpPr>
        <xdr:cNvPr id="4" name="Rectangle 15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514731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1289776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89751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5233035" y="0"/>
          <a:ext cx="3529982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1211627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11602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849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601990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4521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1251679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5165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299085</xdr:colOff>
      <xdr:row>0</xdr:row>
      <xdr:rowOff>0</xdr:rowOff>
    </xdr:from>
    <xdr:to>
      <xdr:col>8</xdr:col>
      <xdr:colOff>800117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>
          <a:spLocks noChangeArrowheads="1"/>
        </xdr:cNvSpPr>
      </xdr:nvSpPr>
      <xdr:spPr bwMode="auto">
        <a:xfrm>
          <a:off x="5233035" y="0"/>
          <a:ext cx="3529982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1184982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849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175260</xdr:colOff>
      <xdr:row>0</xdr:row>
      <xdr:rowOff>0</xdr:rowOff>
    </xdr:from>
    <xdr:to>
      <xdr:col>8</xdr:col>
      <xdr:colOff>680085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SpPr>
          <a:spLocks noChangeArrowheads="1"/>
        </xdr:cNvSpPr>
      </xdr:nvSpPr>
      <xdr:spPr bwMode="auto">
        <a:xfrm>
          <a:off x="510921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4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6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525790</xdr:colOff>
      <xdr:row>1</xdr:row>
      <xdr:rowOff>0</xdr:rowOff>
    </xdr:to>
    <xdr:sp macro="" textlink="">
      <xdr:nvSpPr>
        <xdr:cNvPr id="4" name="Rectangle 7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4521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1173529</xdr:colOff>
      <xdr:row>0</xdr:row>
      <xdr:rowOff>276398</xdr:rowOff>
    </xdr:to>
    <xdr:sp macro="[1]!값이있는행만출력하시오" textlink="">
      <xdr:nvSpPr>
        <xdr:cNvPr id="2" name="AutoShape 2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973504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1905</xdr:colOff>
      <xdr:row>55</xdr:row>
      <xdr:rowOff>0</xdr:rowOff>
    </xdr:from>
    <xdr:to>
      <xdr:col>9</xdr:col>
      <xdr:colOff>2</xdr:colOff>
      <xdr:row>55</xdr:row>
      <xdr:rowOff>0</xdr:rowOff>
    </xdr:to>
    <xdr:sp macro="" textlink="">
      <xdr:nvSpPr>
        <xdr:cNvPr id="3" name="Rectangle 3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1744980" y="11096625"/>
          <a:ext cx="718947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.%20&#50724;&#45720;&#54624;&#51068;(7.09)/1.%20&#50629;&#47924;/8.%20&#50577;&#49885;/&#50577;&#49885;_&#50948;&#50500;%20&#54364;&#51456;&#44204;&#51201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첨부(견적조건차이내역)"/>
      <sheetName val="양식_위아 표준견적서"/>
    </sheetNames>
    <definedNames>
      <definedName name="값이있는행만출력하시오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showGridLines="0" tabSelected="1" zoomScaleNormal="100" workbookViewId="0">
      <selection activeCell="D10" sqref="D10"/>
    </sheetView>
  </sheetViews>
  <sheetFormatPr defaultRowHeight="13.5" x14ac:dyDescent="0.15"/>
  <cols>
    <col min="1" max="1" width="2" style="1" customWidth="1"/>
    <col min="2" max="2" width="4.875" style="1" customWidth="1"/>
    <col min="3" max="3" width="8.5" style="1" customWidth="1"/>
    <col min="4" max="4" width="17.625" style="1" customWidth="1"/>
    <col min="5" max="6" width="13" style="1" bestFit="1" customWidth="1"/>
    <col min="7" max="7" width="12.125" style="1" customWidth="1"/>
    <col min="8" max="8" width="12.25" style="1" customWidth="1"/>
    <col min="9" max="9" width="8.5" style="1" customWidth="1"/>
    <col min="10" max="10" width="1.375" style="1" customWidth="1"/>
    <col min="11" max="11" width="9" style="1"/>
    <col min="12" max="12" width="33.25" style="1" customWidth="1"/>
    <col min="13" max="16384" width="9" style="1"/>
  </cols>
  <sheetData>
    <row r="1" spans="2:10" x14ac:dyDescent="0.15">
      <c r="B1" s="1" t="s">
        <v>0</v>
      </c>
    </row>
    <row r="2" spans="2:10" ht="38.25" x14ac:dyDescent="0.15">
      <c r="B2" s="380" t="s">
        <v>1</v>
      </c>
      <c r="C2" s="380"/>
      <c r="D2" s="380"/>
      <c r="E2" s="380"/>
      <c r="F2" s="380"/>
      <c r="G2" s="380"/>
      <c r="H2" s="380"/>
      <c r="I2" s="380"/>
    </row>
    <row r="4" spans="2:10" s="6" customFormat="1" ht="24" customHeight="1" x14ac:dyDescent="0.15">
      <c r="B4" s="381" t="s">
        <v>2</v>
      </c>
      <c r="C4" s="381"/>
      <c r="D4" s="381"/>
      <c r="E4" s="2"/>
      <c r="F4" s="2"/>
      <c r="G4" s="3" t="s">
        <v>340</v>
      </c>
      <c r="H4" s="4"/>
      <c r="I4" s="5"/>
    </row>
    <row r="5" spans="2:10" s="6" customFormat="1" ht="21.75" customHeight="1" x14ac:dyDescent="0.15">
      <c r="B5" s="378" t="s">
        <v>3</v>
      </c>
      <c r="C5" s="379"/>
      <c r="D5" s="339">
        <v>43320</v>
      </c>
      <c r="E5" s="7"/>
      <c r="F5" s="2"/>
      <c r="G5" s="348" t="s">
        <v>341</v>
      </c>
      <c r="H5" s="8"/>
      <c r="I5" s="9"/>
    </row>
    <row r="6" spans="2:10" s="6" customFormat="1" ht="21.75" customHeight="1" x14ac:dyDescent="0.15">
      <c r="B6" s="378" t="s">
        <v>4</v>
      </c>
      <c r="C6" s="379"/>
      <c r="D6" s="340" t="s">
        <v>347</v>
      </c>
      <c r="E6" s="7"/>
      <c r="F6" s="2"/>
      <c r="G6" s="348" t="s">
        <v>342</v>
      </c>
      <c r="H6" s="10"/>
      <c r="I6" s="11"/>
      <c r="J6" s="1"/>
    </row>
    <row r="7" spans="2:10" s="6" customFormat="1" ht="21.75" customHeight="1" x14ac:dyDescent="0.15">
      <c r="B7" s="382" t="s">
        <v>5</v>
      </c>
      <c r="C7" s="12" t="s">
        <v>6</v>
      </c>
      <c r="D7" s="340" t="s">
        <v>380</v>
      </c>
      <c r="E7" s="7"/>
      <c r="F7" s="2"/>
      <c r="G7" s="349" t="s">
        <v>343</v>
      </c>
      <c r="H7" s="10"/>
      <c r="I7" s="11"/>
      <c r="J7" s="1"/>
    </row>
    <row r="8" spans="2:10" s="6" customFormat="1" ht="21.75" customHeight="1" x14ac:dyDescent="0.15">
      <c r="B8" s="382"/>
      <c r="C8" s="12" t="s">
        <v>7</v>
      </c>
      <c r="D8" s="340"/>
      <c r="E8" s="7"/>
      <c r="F8" s="2"/>
      <c r="G8" s="349" t="s">
        <v>344</v>
      </c>
      <c r="H8" s="10"/>
      <c r="I8" s="11"/>
      <c r="J8" s="1"/>
    </row>
    <row r="9" spans="2:10" s="6" customFormat="1" ht="21.75" customHeight="1" x14ac:dyDescent="0.15">
      <c r="B9" s="378" t="s">
        <v>8</v>
      </c>
      <c r="C9" s="379"/>
      <c r="D9" s="340" t="s">
        <v>348</v>
      </c>
      <c r="E9" s="7"/>
      <c r="F9" s="2"/>
      <c r="G9" s="348" t="s">
        <v>373</v>
      </c>
      <c r="H9" s="10"/>
      <c r="I9" s="11"/>
      <c r="J9" s="1"/>
    </row>
    <row r="10" spans="2:10" s="6" customFormat="1" ht="21.75" customHeight="1" x14ac:dyDescent="0.15">
      <c r="B10" s="378" t="s">
        <v>9</v>
      </c>
      <c r="C10" s="379"/>
      <c r="D10" s="340" t="s">
        <v>383</v>
      </c>
      <c r="E10" s="7"/>
      <c r="G10" s="349" t="s">
        <v>345</v>
      </c>
      <c r="H10" s="13"/>
      <c r="I10" s="14"/>
    </row>
    <row r="11" spans="2:10" s="6" customFormat="1" ht="21.75" customHeight="1" x14ac:dyDescent="0.15">
      <c r="B11" s="383" t="s">
        <v>10</v>
      </c>
      <c r="C11" s="379"/>
      <c r="D11" s="340" t="s">
        <v>11</v>
      </c>
      <c r="E11" s="7"/>
      <c r="G11" s="350" t="s">
        <v>346</v>
      </c>
      <c r="H11" s="15"/>
      <c r="I11" s="16"/>
    </row>
    <row r="12" spans="2:10" s="18" customFormat="1" ht="10.5" customHeight="1" x14ac:dyDescent="0.15">
      <c r="B12" s="17"/>
      <c r="I12" s="19"/>
    </row>
    <row r="13" spans="2:10" s="23" customFormat="1" ht="24.95" customHeight="1" x14ac:dyDescent="0.15">
      <c r="B13" s="20" t="s">
        <v>12</v>
      </c>
      <c r="C13" s="20"/>
      <c r="D13" s="21" t="s">
        <v>349</v>
      </c>
      <c r="E13" s="21"/>
      <c r="F13" s="21"/>
      <c r="G13" s="21"/>
      <c r="H13" s="22"/>
    </row>
    <row r="14" spans="2:10" s="23" customFormat="1" ht="24.95" customHeight="1" x14ac:dyDescent="0.15">
      <c r="B14" s="384" t="s">
        <v>13</v>
      </c>
      <c r="C14" s="385"/>
      <c r="D14" s="21" t="s">
        <v>382</v>
      </c>
      <c r="E14" s="21"/>
      <c r="F14" s="21"/>
      <c r="G14" s="21"/>
      <c r="H14" s="22"/>
    </row>
    <row r="15" spans="2:10" s="6" customFormat="1" ht="8.25" customHeight="1" x14ac:dyDescent="0.15"/>
    <row r="16" spans="2:10" s="24" customFormat="1" ht="24.95" customHeight="1" x14ac:dyDescent="0.15">
      <c r="B16" s="386" t="s">
        <v>14</v>
      </c>
      <c r="C16" s="388" t="s">
        <v>15</v>
      </c>
      <c r="D16" s="389"/>
      <c r="E16" s="402" t="s">
        <v>16</v>
      </c>
      <c r="F16" s="402"/>
      <c r="G16" s="402"/>
      <c r="H16" s="402"/>
      <c r="I16" s="386" t="s">
        <v>17</v>
      </c>
    </row>
    <row r="17" spans="1:10" s="24" customFormat="1" ht="29.25" customHeight="1" thickBot="1" x14ac:dyDescent="0.2">
      <c r="B17" s="387"/>
      <c r="C17" s="390"/>
      <c r="D17" s="391"/>
      <c r="E17" s="25" t="s">
        <v>18</v>
      </c>
      <c r="F17" s="26" t="s">
        <v>19</v>
      </c>
      <c r="G17" s="351" t="s">
        <v>20</v>
      </c>
      <c r="H17" s="27" t="s">
        <v>21</v>
      </c>
      <c r="I17" s="387"/>
    </row>
    <row r="18" spans="1:10" s="24" customFormat="1" ht="29.25" customHeight="1" x14ac:dyDescent="0.15">
      <c r="B18" s="29">
        <v>1</v>
      </c>
      <c r="C18" s="403" t="s">
        <v>379</v>
      </c>
      <c r="D18" s="404"/>
      <c r="E18" s="371"/>
      <c r="F18" s="372">
        <f>'단위공사별(집계)'!J7/1000</f>
        <v>25000</v>
      </c>
      <c r="G18" s="374">
        <f>'단위공사별(집계)'!M7/1000</f>
        <v>2500</v>
      </c>
      <c r="H18" s="375">
        <f>IF('단위공사별(집계)'!N7&gt;0,'단위공사별(집계)'!N7/1000,"")</f>
        <v>27500</v>
      </c>
      <c r="I18" s="369"/>
    </row>
    <row r="19" spans="1:10" s="28" customFormat="1" ht="24.95" customHeight="1" x14ac:dyDescent="0.15">
      <c r="B19" s="30">
        <v>2</v>
      </c>
      <c r="C19" s="395" t="s">
        <v>378</v>
      </c>
      <c r="D19" s="396"/>
      <c r="E19" s="373">
        <f>'단위공사별(집계)'!J8/1000</f>
        <v>25678</v>
      </c>
      <c r="F19" s="374">
        <f>IF('단위공사별(집계)'!N8&gt;0,'단위공사별(집계)'!K18/1000,"")</f>
        <v>0</v>
      </c>
      <c r="G19" s="374">
        <f>IF('단위공사별(집계)'!N8&gt;0,('단위공사별(집계)'!L8+'단위공사별(집계)'!M8)/1000,"")</f>
        <v>2658</v>
      </c>
      <c r="H19" s="375">
        <f>IF('단위공사별(집계)'!N8&gt;0,'단위공사별(집계)'!N8/1000,"")</f>
        <v>28336</v>
      </c>
      <c r="I19" s="35"/>
    </row>
    <row r="20" spans="1:10" s="28" customFormat="1" ht="24.95" customHeight="1" x14ac:dyDescent="0.15">
      <c r="B20" s="30">
        <v>3</v>
      </c>
      <c r="C20" s="397" t="s">
        <v>377</v>
      </c>
      <c r="D20" s="398"/>
      <c r="E20" s="373">
        <f>'단위공사별(집계)'!J9*0.7/1000</f>
        <v>16659.999999999996</v>
      </c>
      <c r="F20" s="376">
        <f>'단위공사별(집계)'!J9*0.3/1000</f>
        <v>7140</v>
      </c>
      <c r="G20" s="374">
        <f>IF('단위공사별(집계)'!N9&gt;0,('단위공사별(집계)'!L9+'단위공사별(집계)'!M9)/1000,"")</f>
        <v>2380</v>
      </c>
      <c r="H20" s="375">
        <f>IF('단위공사별(집계)'!N9&gt;0,'단위공사별(집계)'!N9/1000,"")</f>
        <v>26180</v>
      </c>
      <c r="I20" s="35"/>
    </row>
    <row r="21" spans="1:10" s="28" customFormat="1" ht="24.95" customHeight="1" x14ac:dyDescent="0.15">
      <c r="B21" s="30">
        <v>4</v>
      </c>
      <c r="C21" s="397" t="s">
        <v>372</v>
      </c>
      <c r="D21" s="398"/>
      <c r="E21" s="31" t="str">
        <f>IF('단위공사별(집계)'!N10&gt;1,('단위공사별(집계)'!D10+'단위공사별(집계)'!E10+'단위공사별(집계)'!F10+'단위공사별(집계)'!G10+'단위공사별(집계)'!H10+'단위공사별(집계)'!I10)/1000," ")</f>
        <v xml:space="preserve"> </v>
      </c>
      <c r="F21" s="370"/>
      <c r="G21" s="33" t="str">
        <f>IF('단위공사별(집계)'!N10&gt;0,('단위공사별(집계)'!L10+'단위공사별(집계)'!M10)/1000,"")</f>
        <v/>
      </c>
      <c r="H21" s="34" t="str">
        <f>IF('단위공사별(집계)'!N10&gt;0,'단위공사별(집계)'!N10/1000,"")</f>
        <v/>
      </c>
      <c r="I21" s="35"/>
    </row>
    <row r="22" spans="1:10" s="28" customFormat="1" ht="24.95" customHeight="1" x14ac:dyDescent="0.15">
      <c r="B22" s="364">
        <v>5</v>
      </c>
      <c r="C22" s="399" t="str">
        <f>IF('단위공사별(집계)'!N11&gt;0,'단위공사별(집계)'!B11,"")</f>
        <v/>
      </c>
      <c r="D22" s="400"/>
      <c r="E22" s="365" t="str">
        <f>IF('단위공사별(집계)'!N11&gt;1,('단위공사별(집계)'!D11+'단위공사별(집계)'!E11+'단위공사별(집계)'!F11+'단위공사별(집계)'!G11+'단위공사별(집계)'!H11+'단위공사별(집계)'!I11)/1000," ")</f>
        <v xml:space="preserve"> </v>
      </c>
      <c r="F22" s="32"/>
      <c r="G22" s="366" t="str">
        <f>IF('단위공사별(집계)'!N11&gt;0,('단위공사별(집계)'!L11+'단위공사별(집계)'!M11)/1000,"")</f>
        <v/>
      </c>
      <c r="H22" s="367" t="str">
        <f>IF('단위공사별(집계)'!N11&gt;0,'단위공사별(집계)'!N11/1000,"")</f>
        <v/>
      </c>
      <c r="I22" s="368"/>
    </row>
    <row r="23" spans="1:10" s="28" customFormat="1" ht="24.95" customHeight="1" x14ac:dyDescent="0.15">
      <c r="B23" s="30">
        <v>6</v>
      </c>
      <c r="C23" s="401" t="str">
        <f>IF('단위공사별(집계)'!N12&gt;0,'단위공사별(집계)'!B12,"")</f>
        <v/>
      </c>
      <c r="D23" s="398"/>
      <c r="E23" s="31" t="str">
        <f>IF('단위공사별(집계)'!N12&gt;1,('단위공사별(집계)'!D12+'단위공사별(집계)'!E12+'단위공사별(집계)'!F12+'단위공사별(집계)'!G12+'단위공사별(집계)'!H12+'단위공사별(집계)'!I12)/1000," ")</f>
        <v xml:space="preserve"> </v>
      </c>
      <c r="F23" s="32"/>
      <c r="G23" s="33" t="str">
        <f>IF('단위공사별(집계)'!N12&gt;0,('단위공사별(집계)'!L12+'단위공사별(집계)'!M12)/1000,"")</f>
        <v/>
      </c>
      <c r="H23" s="34" t="str">
        <f>IF('단위공사별(집계)'!N12&gt;0,'단위공사별(집계)'!N12/1000,"")</f>
        <v/>
      </c>
      <c r="I23" s="35"/>
    </row>
    <row r="24" spans="1:10" s="28" customFormat="1" ht="24.95" customHeight="1" x14ac:dyDescent="0.15">
      <c r="B24" s="30">
        <v>7</v>
      </c>
      <c r="C24" s="401" t="str">
        <f>IF('단위공사별(집계)'!N13&gt;0,'단위공사별(집계)'!B13,"")</f>
        <v/>
      </c>
      <c r="D24" s="398"/>
      <c r="E24" s="31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32"/>
      <c r="G24" s="33" t="str">
        <f>IF('단위공사별(집계)'!N13&gt;0,('단위공사별(집계)'!L13+'단위공사별(집계)'!M13)/1000,"")</f>
        <v/>
      </c>
      <c r="H24" s="34" t="str">
        <f>IF('단위공사별(집계)'!N13&gt;0,'단위공사별(집계)'!N13/1000,"")</f>
        <v/>
      </c>
      <c r="I24" s="35"/>
    </row>
    <row r="25" spans="1:10" s="28" customFormat="1" ht="24.95" customHeight="1" x14ac:dyDescent="0.15">
      <c r="B25" s="36">
        <v>8</v>
      </c>
      <c r="C25" s="401" t="str">
        <f>IF('단위공사별(집계)'!N14&gt;0,'단위공사별(집계)'!B14,"")</f>
        <v/>
      </c>
      <c r="D25" s="398"/>
      <c r="E25" s="31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32"/>
      <c r="G25" s="33" t="str">
        <f>IF('단위공사별(집계)'!N14&gt;0,('단위공사별(집계)'!L14+'단위공사별(집계)'!M14)/1000,"")</f>
        <v/>
      </c>
      <c r="H25" s="34" t="str">
        <f>IF('단위공사별(집계)'!N14&gt;0,'단위공사별(집계)'!N14/1000,"")</f>
        <v/>
      </c>
      <c r="I25" s="35"/>
    </row>
    <row r="26" spans="1:10" s="28" customFormat="1" ht="24.95" customHeight="1" x14ac:dyDescent="0.15">
      <c r="B26" s="36">
        <v>9</v>
      </c>
      <c r="C26" s="401" t="str">
        <f>IF('단위공사별(집계)'!N15&gt;0,'단위공사별(집계)'!B15,"")</f>
        <v/>
      </c>
      <c r="D26" s="398"/>
      <c r="E26" s="31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32"/>
      <c r="G26" s="33" t="str">
        <f>IF('단위공사별(집계)'!N15&gt;0,('단위공사별(집계)'!L15+'단위공사별(집계)'!M15)/1000,"")</f>
        <v/>
      </c>
      <c r="H26" s="34" t="str">
        <f>IF('단위공사별(집계)'!N15&gt;0,'단위공사별(집계)'!N15/1000,"")</f>
        <v/>
      </c>
      <c r="I26" s="35"/>
    </row>
    <row r="27" spans="1:10" s="28" customFormat="1" ht="24.95" customHeight="1" x14ac:dyDescent="0.15">
      <c r="B27" s="37">
        <v>10</v>
      </c>
      <c r="C27" s="401" t="str">
        <f>IF('단위공사별(집계)'!N16&gt;0,'단위공사별(집계)'!B16,"")</f>
        <v/>
      </c>
      <c r="D27" s="398"/>
      <c r="E27" s="31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32"/>
      <c r="G27" s="33" t="str">
        <f>IF('단위공사별(집계)'!N16&gt;0,('단위공사별(집계)'!L16+'단위공사별(집계)'!M16)/1000,"")</f>
        <v/>
      </c>
      <c r="H27" s="34" t="str">
        <f>IF('단위공사별(집계)'!N16&gt;0,'단위공사별(집계)'!N16/1000,"")</f>
        <v/>
      </c>
      <c r="I27" s="35"/>
    </row>
    <row r="28" spans="1:10" ht="24.95" customHeight="1" x14ac:dyDescent="0.15">
      <c r="B28" s="392" t="s">
        <v>22</v>
      </c>
      <c r="C28" s="393"/>
      <c r="D28" s="394"/>
      <c r="E28" s="38">
        <f>SUM(E18:E25)</f>
        <v>42338</v>
      </c>
      <c r="F28" s="39">
        <f>SUM(F18:F25)</f>
        <v>32140</v>
      </c>
      <c r="G28" s="39">
        <f>SUM(G18:G25)</f>
        <v>7538</v>
      </c>
      <c r="H28" s="40">
        <v>82000</v>
      </c>
      <c r="I28" s="377" t="s">
        <v>381</v>
      </c>
      <c r="J28" s="41"/>
    </row>
    <row r="29" spans="1:10" ht="4.5" customHeight="1" x14ac:dyDescent="0.15">
      <c r="A29" s="42"/>
      <c r="B29" s="43"/>
      <c r="C29" s="44"/>
      <c r="D29" s="44"/>
      <c r="E29" s="45"/>
      <c r="F29" s="45"/>
      <c r="G29" s="45"/>
      <c r="H29" s="45"/>
      <c r="I29" s="42"/>
    </row>
    <row r="30" spans="1:10" ht="24" customHeight="1" x14ac:dyDescent="0.15">
      <c r="A30" s="42"/>
      <c r="B30" s="44"/>
      <c r="C30" s="44"/>
      <c r="D30" s="44"/>
      <c r="E30" s="45"/>
      <c r="F30" s="411" t="s">
        <v>23</v>
      </c>
      <c r="G30" s="412"/>
      <c r="H30" s="46"/>
      <c r="I30" s="42"/>
    </row>
    <row r="31" spans="1:10" ht="15" customHeight="1" x14ac:dyDescent="0.15">
      <c r="A31" s="42"/>
      <c r="B31" s="44"/>
      <c r="C31" s="44"/>
      <c r="D31" s="44"/>
      <c r="E31" s="45"/>
      <c r="F31" s="45"/>
      <c r="G31" s="45"/>
      <c r="H31" s="45"/>
      <c r="I31" s="42"/>
    </row>
    <row r="32" spans="1:10" ht="22.5" customHeight="1" x14ac:dyDescent="0.15">
      <c r="B32" s="413" t="s">
        <v>24</v>
      </c>
      <c r="C32" s="416" t="s">
        <v>25</v>
      </c>
      <c r="D32" s="417"/>
      <c r="E32" s="418"/>
      <c r="F32" s="419" t="s">
        <v>26</v>
      </c>
      <c r="G32" s="420"/>
      <c r="H32" s="420"/>
      <c r="I32" s="421"/>
    </row>
    <row r="33" spans="2:9" ht="22.5" customHeight="1" x14ac:dyDescent="0.15">
      <c r="B33" s="414"/>
      <c r="C33" s="422" t="s">
        <v>27</v>
      </c>
      <c r="D33" s="423"/>
      <c r="E33" s="424"/>
      <c r="F33" s="47" t="s">
        <v>28</v>
      </c>
      <c r="G33" s="425"/>
      <c r="H33" s="426"/>
      <c r="I33" s="427"/>
    </row>
    <row r="34" spans="2:9" ht="22.5" customHeight="1" x14ac:dyDescent="0.15">
      <c r="B34" s="414"/>
      <c r="C34" s="428" t="s">
        <v>374</v>
      </c>
      <c r="D34" s="429"/>
      <c r="E34" s="430"/>
      <c r="F34" s="48" t="s">
        <v>29</v>
      </c>
      <c r="G34" s="431"/>
      <c r="H34" s="432"/>
      <c r="I34" s="433"/>
    </row>
    <row r="35" spans="2:9" ht="22.5" customHeight="1" x14ac:dyDescent="0.15">
      <c r="B35" s="414"/>
      <c r="C35" s="434"/>
      <c r="D35" s="435"/>
      <c r="E35" s="436"/>
      <c r="F35" s="48" t="s">
        <v>30</v>
      </c>
      <c r="G35" s="431"/>
      <c r="H35" s="432"/>
      <c r="I35" s="433"/>
    </row>
    <row r="36" spans="2:9" ht="22.5" customHeight="1" x14ac:dyDescent="0.15">
      <c r="B36" s="415"/>
      <c r="C36" s="405"/>
      <c r="D36" s="406"/>
      <c r="E36" s="407"/>
      <c r="F36" s="49" t="s">
        <v>31</v>
      </c>
      <c r="G36" s="408"/>
      <c r="H36" s="409"/>
      <c r="I36" s="410"/>
    </row>
  </sheetData>
  <mergeCells count="36">
    <mergeCell ref="C36:E36"/>
    <mergeCell ref="G36:I36"/>
    <mergeCell ref="F30:G30"/>
    <mergeCell ref="B32:B36"/>
    <mergeCell ref="C32:E32"/>
    <mergeCell ref="F32:I32"/>
    <mergeCell ref="C33:E33"/>
    <mergeCell ref="G33:I33"/>
    <mergeCell ref="C34:E34"/>
    <mergeCell ref="G34:I34"/>
    <mergeCell ref="C35:E35"/>
    <mergeCell ref="G35:I35"/>
    <mergeCell ref="B28:D28"/>
    <mergeCell ref="I16:I17"/>
    <mergeCell ref="C19:D19"/>
    <mergeCell ref="C20:D20"/>
    <mergeCell ref="C21:D21"/>
    <mergeCell ref="C22:D22"/>
    <mergeCell ref="C23:D23"/>
    <mergeCell ref="E16:H16"/>
    <mergeCell ref="C24:D24"/>
    <mergeCell ref="C25:D25"/>
    <mergeCell ref="C26:D26"/>
    <mergeCell ref="C27:D27"/>
    <mergeCell ref="C18:D18"/>
    <mergeCell ref="B10:C10"/>
    <mergeCell ref="B11:C11"/>
    <mergeCell ref="B14:C14"/>
    <mergeCell ref="B16:B17"/>
    <mergeCell ref="C16:D17"/>
    <mergeCell ref="B9:C9"/>
    <mergeCell ref="B2:I2"/>
    <mergeCell ref="B4:D4"/>
    <mergeCell ref="B5:C5"/>
    <mergeCell ref="B6:C6"/>
    <mergeCell ref="B7:B8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K49"/>
  <sheetViews>
    <sheetView showGridLines="0" zoomScale="80" workbookViewId="0">
      <pane ySplit="6" topLeftCell="A22" activePane="bottomLeft" state="frozen"/>
      <selection activeCell="L14" sqref="L14"/>
      <selection pane="bottomLeft" activeCell="L40" sqref="L40"/>
    </sheetView>
  </sheetViews>
  <sheetFormatPr defaultRowHeight="19.5" customHeight="1" x14ac:dyDescent="0.15"/>
  <cols>
    <col min="1" max="1" width="0.5" style="59" customWidth="1"/>
    <col min="2" max="2" width="5.25" style="59" bestFit="1" customWidth="1"/>
    <col min="3" max="3" width="7.375" style="59" customWidth="1"/>
    <col min="4" max="4" width="8.875" style="59" customWidth="1"/>
    <col min="5" max="5" width="17.75" style="59" customWidth="1"/>
    <col min="6" max="6" width="6.375" style="61" customWidth="1"/>
    <col min="7" max="7" width="8.875" style="62" customWidth="1"/>
    <col min="8" max="8" width="9.75" style="63" customWidth="1"/>
    <col min="9" max="9" width="17.5" style="63" bestFit="1" customWidth="1"/>
    <col min="10" max="10" width="15.625" style="59" customWidth="1"/>
    <col min="11" max="11" width="13.75" style="64" bestFit="1" customWidth="1"/>
    <col min="12" max="16384" width="9" style="59"/>
  </cols>
  <sheetData>
    <row r="2" spans="2:11" s="57" customFormat="1" ht="26.25" customHeight="1" x14ac:dyDescent="0.15">
      <c r="B2" s="50"/>
      <c r="C2" s="51" t="s">
        <v>32</v>
      </c>
      <c r="D2" s="52"/>
      <c r="E2" s="52"/>
      <c r="F2" s="53"/>
      <c r="G2" s="54"/>
      <c r="H2" s="55"/>
      <c r="I2" s="55"/>
      <c r="J2" s="52"/>
      <c r="K2" s="56"/>
    </row>
    <row r="3" spans="2:11" s="57" customFormat="1" ht="19.5" customHeight="1" x14ac:dyDescent="0.15">
      <c r="B3" s="50"/>
      <c r="C3" s="51"/>
      <c r="D3" s="52"/>
      <c r="E3" s="52"/>
      <c r="F3" s="53"/>
      <c r="G3" s="54"/>
      <c r="H3" s="55"/>
      <c r="I3" s="55"/>
      <c r="J3" s="52"/>
      <c r="K3" s="56"/>
    </row>
    <row r="4" spans="2:11" ht="30" customHeight="1" x14ac:dyDescent="0.15">
      <c r="B4" s="58" t="s">
        <v>33</v>
      </c>
      <c r="D4" s="60"/>
      <c r="J4" s="61"/>
    </row>
    <row r="5" spans="2:11" s="61" customFormat="1" ht="8.25" customHeight="1" x14ac:dyDescent="0.15">
      <c r="B5" s="65"/>
      <c r="C5" s="446"/>
      <c r="D5" s="447"/>
      <c r="E5" s="448"/>
      <c r="F5" s="66"/>
      <c r="G5" s="67"/>
      <c r="H5" s="67"/>
      <c r="I5" s="67"/>
      <c r="J5" s="68"/>
      <c r="K5" s="69"/>
    </row>
    <row r="6" spans="2:11" s="61" customFormat="1" ht="22.5" customHeight="1" thickBot="1" x14ac:dyDescent="0.2">
      <c r="B6" s="70" t="s">
        <v>34</v>
      </c>
      <c r="C6" s="449" t="s">
        <v>35</v>
      </c>
      <c r="D6" s="450"/>
      <c r="E6" s="451"/>
      <c r="F6" s="71" t="s">
        <v>36</v>
      </c>
      <c r="G6" s="72" t="s">
        <v>37</v>
      </c>
      <c r="H6" s="72" t="s">
        <v>38</v>
      </c>
      <c r="I6" s="72" t="s">
        <v>39</v>
      </c>
      <c r="J6" s="73" t="s">
        <v>40</v>
      </c>
      <c r="K6" s="69"/>
    </row>
    <row r="7" spans="2:11" ht="19.5" customHeight="1" thickTop="1" x14ac:dyDescent="0.15">
      <c r="B7" s="452">
        <v>1</v>
      </c>
      <c r="C7" s="454" t="s">
        <v>41</v>
      </c>
      <c r="D7" s="441" t="s">
        <v>42</v>
      </c>
      <c r="E7" s="74" t="s">
        <v>43</v>
      </c>
      <c r="F7" s="75" t="s">
        <v>44</v>
      </c>
      <c r="G7" s="76">
        <f>'단위장비1(기계)'!F30+'단위장비2(MEXICO LOCAL)'!F20+단위장비3!F30+단위장비4!F30+단위장비5!F30+단위장비6!F30+단위장비7!F30+단위장비8!F30+단위장비9!F30+단위장비10!F30</f>
        <v>0</v>
      </c>
      <c r="H7" s="77"/>
      <c r="I7" s="362">
        <f>'단위장비1(기계)'!H24+'단위장비2(MEXICO LOCAL)'!H14</f>
        <v>11100000</v>
      </c>
      <c r="J7" s="78" t="s">
        <v>45</v>
      </c>
    </row>
    <row r="8" spans="2:11" ht="19.5" customHeight="1" x14ac:dyDescent="0.15">
      <c r="B8" s="452"/>
      <c r="C8" s="441"/>
      <c r="D8" s="441"/>
      <c r="E8" s="79" t="s">
        <v>46</v>
      </c>
      <c r="F8" s="80" t="s">
        <v>47</v>
      </c>
      <c r="G8" s="81">
        <v>1</v>
      </c>
      <c r="H8" s="82"/>
      <c r="I8" s="363">
        <f>'단위장비1(기계)'!H46+'단위장비2(MEXICO LOCAL)'!H37</f>
        <v>23478000</v>
      </c>
      <c r="J8" s="83" t="s">
        <v>48</v>
      </c>
    </row>
    <row r="9" spans="2:11" ht="19.5" customHeight="1" x14ac:dyDescent="0.15">
      <c r="B9" s="452"/>
      <c r="C9" s="441"/>
      <c r="D9" s="441"/>
      <c r="E9" s="79" t="s">
        <v>49</v>
      </c>
      <c r="F9" s="80" t="s">
        <v>50</v>
      </c>
      <c r="G9" s="84">
        <v>1</v>
      </c>
      <c r="H9" s="82"/>
      <c r="I9" s="82">
        <f>'단위장비1(기계)'!H57+'단위장비2(MEXICO LOCAL)'!H45+단위장비3!H55+단위장비4!H55+단위장비5!H55+단위장비6!H55+단위장비7!H55+단위장비8!H55+단위장비9!H55+단위장비10!H55</f>
        <v>0</v>
      </c>
      <c r="J9" s="83" t="s">
        <v>51</v>
      </c>
    </row>
    <row r="10" spans="2:11" ht="19.5" customHeight="1" x14ac:dyDescent="0.15">
      <c r="B10" s="452"/>
      <c r="C10" s="441"/>
      <c r="D10" s="441"/>
      <c r="E10" s="85" t="s">
        <v>52</v>
      </c>
      <c r="F10" s="80" t="s">
        <v>53</v>
      </c>
      <c r="G10" s="84">
        <v>1</v>
      </c>
      <c r="H10" s="82"/>
      <c r="I10" s="86">
        <f>'단위장비1(기계)'!H30+'단위장비2(MEXICO LOCAL)'!H20</f>
        <v>100000</v>
      </c>
      <c r="J10" s="87" t="s">
        <v>54</v>
      </c>
    </row>
    <row r="11" spans="2:11" ht="19.5" customHeight="1" x14ac:dyDescent="0.15">
      <c r="B11" s="452"/>
      <c r="C11" s="441"/>
      <c r="D11" s="442"/>
      <c r="E11" s="88" t="s">
        <v>55</v>
      </c>
      <c r="F11" s="437"/>
      <c r="G11" s="438"/>
      <c r="H11" s="439"/>
      <c r="I11" s="89">
        <f>SUM(I7:I10)</f>
        <v>34678000</v>
      </c>
      <c r="J11" s="83"/>
    </row>
    <row r="12" spans="2:11" ht="19.5" customHeight="1" x14ac:dyDescent="0.15">
      <c r="B12" s="452"/>
      <c r="C12" s="441"/>
      <c r="D12" s="440" t="s">
        <v>56</v>
      </c>
      <c r="E12" s="79" t="s">
        <v>57</v>
      </c>
      <c r="F12" s="80" t="s">
        <v>58</v>
      </c>
      <c r="G12" s="82">
        <f>'단위장비1(기계)'!F59+'단위장비2(MEXICO LOCAL)'!F47+단위장비3!F57+단위장비4!F57+단위장비5!F57+단위장비6!F57+단위장비7!F57+단위장비8!F57+단위장비9!F57+단위장비10!F57</f>
        <v>0</v>
      </c>
      <c r="H12" s="82" t="str">
        <f>IF('단위장비1(기계)'!G59&gt;0,'단위장비1(기계)'!G59,"")</f>
        <v/>
      </c>
      <c r="I12" s="82">
        <f>'단위장비1(기계)'!H59+'단위장비2(MEXICO LOCAL)'!H47+단위장비3!H57+단위장비4!H57+단위장비5!H57+단위장비6!H57+단위장비7!H57+단위장비8!H57+단위장비9!H57+단위장비10!H57</f>
        <v>0</v>
      </c>
      <c r="J12" s="83" t="s">
        <v>59</v>
      </c>
    </row>
    <row r="13" spans="2:11" ht="19.5" customHeight="1" x14ac:dyDescent="0.15">
      <c r="B13" s="452"/>
      <c r="C13" s="441"/>
      <c r="D13" s="441"/>
      <c r="E13" s="79" t="s">
        <v>60</v>
      </c>
      <c r="F13" s="80" t="s">
        <v>58</v>
      </c>
      <c r="G13" s="82">
        <v>40</v>
      </c>
      <c r="H13" s="82">
        <f>IF('단위장비1(기계)'!G60&gt;0,'단위장비1(기계)'!G60,"")</f>
        <v>250000</v>
      </c>
      <c r="I13" s="363">
        <f>'단위장비1(기계)'!H60+'단위장비2(MEXICO LOCAL)'!H48</f>
        <v>10800000</v>
      </c>
      <c r="J13" s="83"/>
    </row>
    <row r="14" spans="2:11" ht="19.5" customHeight="1" x14ac:dyDescent="0.15">
      <c r="B14" s="452"/>
      <c r="C14" s="441"/>
      <c r="D14" s="441"/>
      <c r="E14" s="79" t="s">
        <v>61</v>
      </c>
      <c r="F14" s="80" t="s">
        <v>58</v>
      </c>
      <c r="G14" s="82">
        <f>'단위장비1(기계)'!F61+'단위장비2(MEXICO LOCAL)'!F49+단위장비3!F59+단위장비4!F59+단위장비5!F59+단위장비6!F59+단위장비7!F59+단위장비8!F59+단위장비9!F59+단위장비10!F59</f>
        <v>0</v>
      </c>
      <c r="H14" s="82" t="str">
        <f>IF('단위장비1(기계)'!G61&gt;0,'단위장비1(기계)'!G61,"")</f>
        <v/>
      </c>
      <c r="I14" s="82">
        <f>'단위장비1(기계)'!H61+'단위장비2(MEXICO LOCAL)'!H49+단위장비3!H59+단위장비4!H59+단위장비5!H59+단위장비6!H59+단위장비7!H59+단위장비8!H59+단위장비9!H59+단위장비10!H59</f>
        <v>0</v>
      </c>
      <c r="J14" s="83"/>
    </row>
    <row r="15" spans="2:11" ht="19.5" customHeight="1" x14ac:dyDescent="0.15">
      <c r="B15" s="452"/>
      <c r="C15" s="441"/>
      <c r="D15" s="441"/>
      <c r="E15" s="79" t="s">
        <v>62</v>
      </c>
      <c r="F15" s="80" t="s">
        <v>58</v>
      </c>
      <c r="G15" s="82">
        <f>'단위장비1(기계)'!F62+'단위장비2(MEXICO LOCAL)'!F50+단위장비3!F60+단위장비4!F60+단위장비5!F60+단위장비6!F60+단위장비7!F60+단위장비8!F60+단위장비9!F60+단위장비10!F60</f>
        <v>0</v>
      </c>
      <c r="H15" s="82" t="str">
        <f>IF('단위장비1(기계)'!G62&gt;0,'단위장비1(기계)'!G62,"")</f>
        <v/>
      </c>
      <c r="I15" s="82">
        <f>'단위장비1(기계)'!H62+'단위장비2(MEXICO LOCAL)'!H50+단위장비3!H60+단위장비4!H60+단위장비5!H60+단위장비6!H60+단위장비7!H60+단위장비8!H60+단위장비9!H60+단위장비10!H60</f>
        <v>0</v>
      </c>
      <c r="J15" s="83" t="s">
        <v>63</v>
      </c>
    </row>
    <row r="16" spans="2:11" ht="19.5" customHeight="1" x14ac:dyDescent="0.15">
      <c r="B16" s="452"/>
      <c r="C16" s="441"/>
      <c r="D16" s="441"/>
      <c r="E16" s="79" t="s">
        <v>64</v>
      </c>
      <c r="F16" s="80" t="s">
        <v>58</v>
      </c>
      <c r="G16" s="82">
        <f>'단위장비1(기계)'!F63+'단위장비2(MEXICO LOCAL)'!F51+단위장비3!F61+단위장비4!F61+단위장비5!F61+단위장비6!F61+단위장비7!F61+단위장비8!F61+단위장비9!F61+단위장비10!F61</f>
        <v>10</v>
      </c>
      <c r="H16" s="82">
        <f>IF('단위장비1(기계)'!G63&gt;0,'단위장비1(기계)'!G63,"")</f>
        <v>200000</v>
      </c>
      <c r="I16" s="363">
        <f>'단위장비1(기계)'!H63+'단위장비2(MEXICO LOCAL)'!H51</f>
        <v>2000000</v>
      </c>
      <c r="J16" s="83"/>
    </row>
    <row r="17" spans="2:10" ht="19.5" customHeight="1" x14ac:dyDescent="0.15">
      <c r="B17" s="452"/>
      <c r="C17" s="441"/>
      <c r="D17" s="441"/>
      <c r="E17" s="79" t="s">
        <v>65</v>
      </c>
      <c r="F17" s="80" t="s">
        <v>58</v>
      </c>
      <c r="G17" s="82">
        <f>'단위장비1(기계)'!F64+'단위장비2(MEXICO LOCAL)'!F52+단위장비3!F62+단위장비4!F62+단위장비5!F62+단위장비6!F62+단위장비7!F62+단위장비8!F62+단위장비9!F62+단위장비10!F62</f>
        <v>5</v>
      </c>
      <c r="H17" s="82">
        <f>IF('단위장비1(기계)'!G64&gt;0,'단위장비1(기계)'!G64,"")</f>
        <v>200000</v>
      </c>
      <c r="I17" s="363">
        <f>'단위장비1(기계)'!H64+'단위장비2(MEXICO LOCAL)'!H52</f>
        <v>1000000</v>
      </c>
      <c r="J17" s="83"/>
    </row>
    <row r="18" spans="2:10" ht="19.5" customHeight="1" x14ac:dyDescent="0.15">
      <c r="B18" s="452"/>
      <c r="C18" s="441"/>
      <c r="D18" s="441"/>
      <c r="E18" s="79" t="s">
        <v>66</v>
      </c>
      <c r="F18" s="80" t="s">
        <v>58</v>
      </c>
      <c r="G18" s="82">
        <f>'단위장비1(기계)'!F65+'단위장비2(MEXICO LOCAL)'!F53+단위장비3!F63+단위장비4!F63+단위장비5!F63+단위장비6!F63+단위장비7!F63+단위장비8!F63+단위장비9!F63+단위장비10!F63</f>
        <v>0</v>
      </c>
      <c r="H18" s="82" t="str">
        <f>IF('단위장비1(기계)'!G65&gt;0,'단위장비1(기계)'!G65,"")</f>
        <v/>
      </c>
      <c r="I18" s="82">
        <f>'단위장비1(기계)'!H65+'단위장비2(MEXICO LOCAL)'!H53+단위장비3!H63+단위장비4!H63+단위장비5!H63+단위장비6!H63+단위장비7!H63+단위장비8!H63+단위장비9!H63+단위장비10!H63</f>
        <v>0</v>
      </c>
      <c r="J18" s="83"/>
    </row>
    <row r="19" spans="2:10" ht="19.5" customHeight="1" x14ac:dyDescent="0.15">
      <c r="B19" s="452"/>
      <c r="C19" s="441"/>
      <c r="D19" s="441"/>
      <c r="E19" s="79" t="s">
        <v>67</v>
      </c>
      <c r="F19" s="80" t="s">
        <v>58</v>
      </c>
      <c r="G19" s="82">
        <f>'단위장비1(기계)'!F66+'단위장비2(MEXICO LOCAL)'!F54+단위장비3!F64+단위장비4!F64+단위장비5!F64+단위장비6!F64+단위장비7!F64+단위장비8!F64+단위장비9!F64+단위장비10!F64</f>
        <v>0</v>
      </c>
      <c r="H19" s="82" t="str">
        <f>IF('단위장비1(기계)'!G66&gt;0,'단위장비1(기계)'!G66,"")</f>
        <v/>
      </c>
      <c r="I19" s="82">
        <f>'단위장비1(기계)'!H66+'단위장비2(MEXICO LOCAL)'!H54+단위장비3!H64+단위장비4!H64+단위장비5!H64+단위장비6!H64+단위장비7!H64+단위장비8!H64+단위장비9!H64+단위장비10!H64</f>
        <v>0</v>
      </c>
      <c r="J19" s="83"/>
    </row>
    <row r="20" spans="2:10" ht="19.5" customHeight="1" x14ac:dyDescent="0.15">
      <c r="B20" s="452"/>
      <c r="C20" s="441"/>
      <c r="D20" s="442"/>
      <c r="E20" s="88" t="s">
        <v>55</v>
      </c>
      <c r="F20" s="437"/>
      <c r="G20" s="438"/>
      <c r="H20" s="439"/>
      <c r="I20" s="89">
        <f>SUM(I12:I19)</f>
        <v>13800000</v>
      </c>
      <c r="J20" s="83"/>
    </row>
    <row r="21" spans="2:10" ht="19.5" customHeight="1" x14ac:dyDescent="0.15">
      <c r="B21" s="452"/>
      <c r="C21" s="441"/>
      <c r="D21" s="90" t="s">
        <v>68</v>
      </c>
      <c r="E21" s="91"/>
      <c r="F21" s="437"/>
      <c r="G21" s="438"/>
      <c r="H21" s="439"/>
      <c r="I21" s="92">
        <f>'단위장비1(기계)'!H69+'단위장비1(기계)'!H70+'단위장비2(MEXICO LOCAL)'!H57</f>
        <v>3848000</v>
      </c>
      <c r="J21" s="93"/>
    </row>
    <row r="22" spans="2:10" ht="19.5" customHeight="1" x14ac:dyDescent="0.15">
      <c r="B22" s="453"/>
      <c r="C22" s="455"/>
      <c r="D22" s="94"/>
      <c r="E22" s="95" t="s">
        <v>69</v>
      </c>
      <c r="F22" s="443"/>
      <c r="G22" s="444"/>
      <c r="H22" s="445"/>
      <c r="I22" s="96">
        <f>I20+I11+I21</f>
        <v>52326000</v>
      </c>
      <c r="J22" s="97"/>
    </row>
    <row r="23" spans="2:10" ht="19.5" customHeight="1" x14ac:dyDescent="0.15">
      <c r="B23" s="456">
        <v>2</v>
      </c>
      <c r="C23" s="457" t="s">
        <v>70</v>
      </c>
      <c r="D23" s="460" t="s">
        <v>71</v>
      </c>
      <c r="E23" s="98" t="s">
        <v>72</v>
      </c>
      <c r="F23" s="99" t="s">
        <v>53</v>
      </c>
      <c r="G23" s="100">
        <v>1</v>
      </c>
      <c r="H23" s="100"/>
      <c r="I23" s="100">
        <f>전기!H54-I24</f>
        <v>13000000</v>
      </c>
      <c r="J23" s="101"/>
    </row>
    <row r="24" spans="2:10" ht="19.5" customHeight="1" x14ac:dyDescent="0.15">
      <c r="B24" s="452"/>
      <c r="C24" s="458"/>
      <c r="D24" s="461"/>
      <c r="E24" s="85" t="s">
        <v>73</v>
      </c>
      <c r="F24" s="75" t="s">
        <v>47</v>
      </c>
      <c r="G24" s="77">
        <v>1</v>
      </c>
      <c r="H24" s="77"/>
      <c r="I24" s="102">
        <f>전기!H16</f>
        <v>0</v>
      </c>
      <c r="J24" s="87" t="s">
        <v>74</v>
      </c>
    </row>
    <row r="25" spans="2:10" ht="19.5" customHeight="1" x14ac:dyDescent="0.15">
      <c r="B25" s="452"/>
      <c r="C25" s="459"/>
      <c r="D25" s="440" t="s">
        <v>56</v>
      </c>
      <c r="E25" s="79" t="s">
        <v>75</v>
      </c>
      <c r="F25" s="80" t="s">
        <v>58</v>
      </c>
      <c r="G25" s="82">
        <f>전기!F55</f>
        <v>0</v>
      </c>
      <c r="H25" s="82" t="str">
        <f>IF(전기!G55&gt;0,전기!G55,"")</f>
        <v/>
      </c>
      <c r="I25" s="82">
        <f>전기!H55</f>
        <v>0</v>
      </c>
      <c r="J25" s="83"/>
    </row>
    <row r="26" spans="2:10" ht="19.5" customHeight="1" x14ac:dyDescent="0.15">
      <c r="B26" s="452"/>
      <c r="C26" s="459"/>
      <c r="D26" s="441"/>
      <c r="E26" s="79" t="s">
        <v>76</v>
      </c>
      <c r="F26" s="80" t="s">
        <v>77</v>
      </c>
      <c r="G26" s="82">
        <f>전기!F56</f>
        <v>20</v>
      </c>
      <c r="H26" s="82">
        <f>IF(전기!G56&gt;0,전기!G56,"")</f>
        <v>300000</v>
      </c>
      <c r="I26" s="363">
        <f>전기!H56</f>
        <v>6000000</v>
      </c>
      <c r="J26" s="83"/>
    </row>
    <row r="27" spans="2:10" ht="19.5" customHeight="1" x14ac:dyDescent="0.15">
      <c r="B27" s="452"/>
      <c r="C27" s="459"/>
      <c r="D27" s="441"/>
      <c r="E27" s="79" t="s">
        <v>78</v>
      </c>
      <c r="F27" s="80" t="s">
        <v>79</v>
      </c>
      <c r="G27" s="82">
        <f>전기!F57</f>
        <v>0</v>
      </c>
      <c r="H27" s="82" t="str">
        <f>IF(전기!G57&gt;0,전기!G57,"")</f>
        <v/>
      </c>
      <c r="I27" s="82">
        <f>전기!H57</f>
        <v>0</v>
      </c>
      <c r="J27" s="83"/>
    </row>
    <row r="28" spans="2:10" ht="19.5" customHeight="1" x14ac:dyDescent="0.15">
      <c r="B28" s="452"/>
      <c r="C28" s="459"/>
      <c r="D28" s="441"/>
      <c r="E28" s="79" t="s">
        <v>62</v>
      </c>
      <c r="F28" s="80" t="s">
        <v>58</v>
      </c>
      <c r="G28" s="82">
        <f>전기!F58</f>
        <v>0</v>
      </c>
      <c r="H28" s="82" t="str">
        <f>IF(전기!G58&gt;0,전기!G58,"")</f>
        <v/>
      </c>
      <c r="I28" s="82">
        <f>전기!H58</f>
        <v>0</v>
      </c>
      <c r="J28" s="83"/>
    </row>
    <row r="29" spans="2:10" ht="19.5" customHeight="1" x14ac:dyDescent="0.15">
      <c r="B29" s="452"/>
      <c r="C29" s="459"/>
      <c r="D29" s="441"/>
      <c r="E29" s="79" t="s">
        <v>80</v>
      </c>
      <c r="F29" s="80" t="s">
        <v>81</v>
      </c>
      <c r="G29" s="82">
        <f>전기!F59</f>
        <v>12</v>
      </c>
      <c r="H29" s="82">
        <f>IF(전기!G59&gt;0,전기!G59,"")</f>
        <v>250000</v>
      </c>
      <c r="I29" s="363">
        <f>전기!H59</f>
        <v>3000000</v>
      </c>
      <c r="J29" s="83"/>
    </row>
    <row r="30" spans="2:10" ht="19.5" customHeight="1" x14ac:dyDescent="0.15">
      <c r="B30" s="452"/>
      <c r="C30" s="459"/>
      <c r="D30" s="441"/>
      <c r="E30" s="79" t="s">
        <v>82</v>
      </c>
      <c r="F30" s="80" t="s">
        <v>83</v>
      </c>
      <c r="G30" s="82">
        <f>전기!F60</f>
        <v>12</v>
      </c>
      <c r="H30" s="82">
        <f>IF(전기!G60&gt;0,전기!G60,"")</f>
        <v>250000</v>
      </c>
      <c r="I30" s="363">
        <f>전기!H60</f>
        <v>3000000</v>
      </c>
      <c r="J30" s="83"/>
    </row>
    <row r="31" spans="2:10" ht="19.5" customHeight="1" x14ac:dyDescent="0.15">
      <c r="B31" s="452"/>
      <c r="C31" s="459"/>
      <c r="D31" s="441"/>
      <c r="E31" s="79" t="s">
        <v>66</v>
      </c>
      <c r="F31" s="80" t="s">
        <v>58</v>
      </c>
      <c r="G31" s="82">
        <f>전기!F61</f>
        <v>0</v>
      </c>
      <c r="H31" s="82" t="str">
        <f>IF(전기!G61&gt;0,전기!G61,"")</f>
        <v/>
      </c>
      <c r="I31" s="82">
        <f>전기!H61</f>
        <v>0</v>
      </c>
      <c r="J31" s="83"/>
    </row>
    <row r="32" spans="2:10" ht="19.5" customHeight="1" x14ac:dyDescent="0.15">
      <c r="B32" s="452"/>
      <c r="C32" s="459"/>
      <c r="D32" s="442"/>
      <c r="E32" s="88" t="s">
        <v>84</v>
      </c>
      <c r="F32" s="437"/>
      <c r="G32" s="438"/>
      <c r="H32" s="439"/>
      <c r="I32" s="89">
        <f>SUM(I25:I31)</f>
        <v>12000000</v>
      </c>
      <c r="J32" s="83"/>
    </row>
    <row r="33" spans="2:11" ht="19.5" customHeight="1" x14ac:dyDescent="0.15">
      <c r="B33" s="452"/>
      <c r="C33" s="441"/>
      <c r="D33" s="90" t="s">
        <v>68</v>
      </c>
      <c r="E33" s="91"/>
      <c r="F33" s="437"/>
      <c r="G33" s="438"/>
      <c r="H33" s="439"/>
      <c r="I33" s="92">
        <f>전기!H64+전기!H65</f>
        <v>2500000</v>
      </c>
      <c r="J33" s="93"/>
    </row>
    <row r="34" spans="2:11" ht="19.5" customHeight="1" x14ac:dyDescent="0.15">
      <c r="B34" s="453"/>
      <c r="C34" s="455"/>
      <c r="D34" s="94"/>
      <c r="E34" s="95" t="s">
        <v>85</v>
      </c>
      <c r="F34" s="443"/>
      <c r="G34" s="444"/>
      <c r="H34" s="445"/>
      <c r="I34" s="96">
        <f>I32+I23+I33+I24</f>
        <v>27500000</v>
      </c>
      <c r="J34" s="97"/>
    </row>
    <row r="35" spans="2:11" ht="19.5" customHeight="1" x14ac:dyDescent="0.15">
      <c r="B35" s="462">
        <v>3</v>
      </c>
      <c r="C35" s="465" t="s">
        <v>86</v>
      </c>
      <c r="D35" s="466"/>
      <c r="E35" s="467"/>
      <c r="F35" s="465"/>
      <c r="G35" s="466"/>
      <c r="H35" s="467"/>
      <c r="I35" s="103">
        <f>I23+I11+I24</f>
        <v>47678000</v>
      </c>
      <c r="J35" s="101"/>
    </row>
    <row r="36" spans="2:11" ht="19.5" customHeight="1" x14ac:dyDescent="0.15">
      <c r="B36" s="463"/>
      <c r="C36" s="437" t="s">
        <v>87</v>
      </c>
      <c r="D36" s="438"/>
      <c r="E36" s="439"/>
      <c r="F36" s="437"/>
      <c r="G36" s="438"/>
      <c r="H36" s="439"/>
      <c r="I36" s="89">
        <f>I32+I20</f>
        <v>25800000</v>
      </c>
      <c r="J36" s="83"/>
    </row>
    <row r="37" spans="2:11" ht="19.5" customHeight="1" thickBot="1" x14ac:dyDescent="0.2">
      <c r="B37" s="464"/>
      <c r="C37" s="468" t="s">
        <v>88</v>
      </c>
      <c r="D37" s="468"/>
      <c r="E37" s="469"/>
      <c r="F37" s="470"/>
      <c r="G37" s="468"/>
      <c r="H37" s="469"/>
      <c r="I37" s="104">
        <f>I36+I35</f>
        <v>73478000</v>
      </c>
      <c r="J37" s="105"/>
    </row>
    <row r="38" spans="2:11" ht="20.25" customHeight="1" x14ac:dyDescent="0.15">
      <c r="B38" s="106">
        <v>4</v>
      </c>
      <c r="C38" s="442" t="s">
        <v>89</v>
      </c>
      <c r="D38" s="471"/>
      <c r="E38" s="472"/>
      <c r="F38" s="473"/>
      <c r="G38" s="474"/>
      <c r="H38" s="475"/>
      <c r="I38" s="107">
        <f>'단위장비1(기계)'!H68</f>
        <v>1000000</v>
      </c>
      <c r="J38" s="108"/>
    </row>
    <row r="39" spans="2:11" ht="22.5" customHeight="1" x14ac:dyDescent="0.15">
      <c r="B39" s="109">
        <v>5</v>
      </c>
      <c r="C39" s="437" t="s">
        <v>90</v>
      </c>
      <c r="D39" s="438"/>
      <c r="E39" s="439"/>
      <c r="F39" s="476" t="s">
        <v>91</v>
      </c>
      <c r="G39" s="477"/>
      <c r="H39" s="478"/>
      <c r="I39" s="110"/>
      <c r="J39" s="111">
        <f>I30+I29+I25+I24+I17+I16+I12+I10</f>
        <v>9100000</v>
      </c>
      <c r="K39" s="112"/>
    </row>
    <row r="40" spans="2:11" ht="20.25" customHeight="1" x14ac:dyDescent="0.15">
      <c r="B40" s="109">
        <v>6</v>
      </c>
      <c r="C40" s="437" t="s">
        <v>92</v>
      </c>
      <c r="D40" s="438"/>
      <c r="E40" s="439"/>
      <c r="F40" s="479"/>
      <c r="G40" s="480"/>
      <c r="H40" s="481"/>
      <c r="I40" s="89">
        <f>전기!H64+'단위장비1(기계)'!H69+'단위장비2(MEXICO LOCAL)'!H57</f>
        <v>3769000</v>
      </c>
      <c r="J40" s="83"/>
    </row>
    <row r="41" spans="2:11" ht="20.25" customHeight="1" x14ac:dyDescent="0.15">
      <c r="B41" s="113">
        <v>7</v>
      </c>
      <c r="C41" s="443" t="s">
        <v>93</v>
      </c>
      <c r="D41" s="444"/>
      <c r="E41" s="445"/>
      <c r="F41" s="482"/>
      <c r="G41" s="483"/>
      <c r="H41" s="484"/>
      <c r="I41" s="92">
        <f>전기!H65+'단위장비1(기계)'!H70+'단위장비2(MEXICO LOCAL)'!H58</f>
        <v>3769000</v>
      </c>
      <c r="J41" s="93"/>
      <c r="K41" s="59"/>
    </row>
    <row r="42" spans="2:11" ht="28.5" customHeight="1" thickBot="1" x14ac:dyDescent="0.2">
      <c r="B42" s="114"/>
      <c r="C42" s="485" t="s">
        <v>94</v>
      </c>
      <c r="D42" s="485"/>
      <c r="E42" s="485"/>
      <c r="F42" s="486" t="s">
        <v>95</v>
      </c>
      <c r="G42" s="487"/>
      <c r="H42" s="488"/>
      <c r="I42" s="115">
        <f>I37+I38+I40+I41</f>
        <v>82016000</v>
      </c>
      <c r="J42" s="116"/>
      <c r="K42" s="59"/>
    </row>
    <row r="43" spans="2:11" ht="19.5" customHeight="1" x14ac:dyDescent="0.15">
      <c r="B43" s="117" t="s">
        <v>96</v>
      </c>
      <c r="C43" s="61"/>
      <c r="D43" s="61"/>
      <c r="E43" s="61"/>
    </row>
    <row r="44" spans="2:11" ht="19.5" customHeight="1" x14ac:dyDescent="0.15">
      <c r="B44" s="59" t="s">
        <v>97</v>
      </c>
      <c r="C44" s="61"/>
      <c r="D44" s="61"/>
      <c r="E44" s="61"/>
    </row>
    <row r="45" spans="2:11" ht="19.5" customHeight="1" x14ac:dyDescent="0.15">
      <c r="C45" s="61"/>
      <c r="D45" s="61"/>
      <c r="E45" s="61"/>
    </row>
    <row r="46" spans="2:11" ht="19.5" customHeight="1" x14ac:dyDescent="0.15">
      <c r="C46" s="61"/>
      <c r="D46" s="61"/>
      <c r="E46" s="489" t="s">
        <v>98</v>
      </c>
      <c r="F46" s="492" t="s">
        <v>99</v>
      </c>
      <c r="G46" s="493"/>
      <c r="H46" s="494"/>
      <c r="I46" s="118" t="s">
        <v>100</v>
      </c>
      <c r="J46" s="119" t="s">
        <v>101</v>
      </c>
      <c r="K46" s="120" t="s">
        <v>102</v>
      </c>
    </row>
    <row r="47" spans="2:11" ht="19.5" customHeight="1" x14ac:dyDescent="0.15">
      <c r="C47" s="61"/>
      <c r="D47" s="61"/>
      <c r="E47" s="490"/>
      <c r="F47" s="495" t="s">
        <v>103</v>
      </c>
      <c r="G47" s="496"/>
      <c r="H47" s="496"/>
      <c r="I47" s="89">
        <f>IF(J47&lt;500000000,J47*0.0309,1)+IF(J47&gt;500000000,J47*0.0199+5499000)*IF(J47&gt;5000000000,0,1)+IF(J47&gt;5000000000,J47*0.021,0)</f>
        <v>2301370.2000000002</v>
      </c>
      <c r="J47" s="121">
        <f>SUM(I7:I10,I12:I17,I23:I30,I38,I19)</f>
        <v>74478000</v>
      </c>
      <c r="K47" s="121" t="s">
        <v>104</v>
      </c>
    </row>
    <row r="48" spans="2:11" ht="19.5" customHeight="1" x14ac:dyDescent="0.15">
      <c r="E48" s="491"/>
      <c r="F48" s="495" t="s">
        <v>105</v>
      </c>
      <c r="G48" s="496"/>
      <c r="H48" s="496"/>
      <c r="I48" s="89">
        <f>(IF(J48&lt;500000000,J48*0.0309,1)+IF(J48&gt;500000000,J48*0.0199+5499000)*IF(J48&gt;5000000000,0,1)+IF(J48&gt;5000000000,J48*0.021,0))*1.2</f>
        <v>337428</v>
      </c>
      <c r="J48" s="121">
        <f>SUM(I10,I24,I12,I16:I17,I25,I29:I30)</f>
        <v>9100000</v>
      </c>
      <c r="K48" s="121" t="s">
        <v>106</v>
      </c>
    </row>
    <row r="49" spans="7:7" ht="19.5" customHeight="1" x14ac:dyDescent="0.15">
      <c r="G49" s="122" t="s">
        <v>107</v>
      </c>
    </row>
  </sheetData>
  <mergeCells count="38">
    <mergeCell ref="C41:E41"/>
    <mergeCell ref="F41:H41"/>
    <mergeCell ref="C42:E42"/>
    <mergeCell ref="F42:H42"/>
    <mergeCell ref="E46:E48"/>
    <mergeCell ref="F46:H46"/>
    <mergeCell ref="F47:H47"/>
    <mergeCell ref="F48:H48"/>
    <mergeCell ref="C38:E38"/>
    <mergeCell ref="F38:H38"/>
    <mergeCell ref="C39:E39"/>
    <mergeCell ref="F39:H39"/>
    <mergeCell ref="C40:E40"/>
    <mergeCell ref="F40:H40"/>
    <mergeCell ref="B35:B37"/>
    <mergeCell ref="C35:E35"/>
    <mergeCell ref="F35:H35"/>
    <mergeCell ref="C36:E36"/>
    <mergeCell ref="F36:H36"/>
    <mergeCell ref="C37:E37"/>
    <mergeCell ref="F37:H37"/>
    <mergeCell ref="B23:B34"/>
    <mergeCell ref="C23:C34"/>
    <mergeCell ref="D23:D24"/>
    <mergeCell ref="D25:D32"/>
    <mergeCell ref="F32:H32"/>
    <mergeCell ref="F33:H33"/>
    <mergeCell ref="F34:H34"/>
    <mergeCell ref="C5:E5"/>
    <mergeCell ref="C6:E6"/>
    <mergeCell ref="B7:B22"/>
    <mergeCell ref="C7:C22"/>
    <mergeCell ref="D7:D11"/>
    <mergeCell ref="F11:H11"/>
    <mergeCell ref="D12:D20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6" orientation="portrait" horizontalDpi="4294967292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2:P23"/>
  <sheetViews>
    <sheetView zoomScale="80" workbookViewId="0">
      <selection activeCell="K28" sqref="K28"/>
    </sheetView>
  </sheetViews>
  <sheetFormatPr defaultRowHeight="17.25" customHeight="1" x14ac:dyDescent="0.15"/>
  <cols>
    <col min="1" max="1" width="5" style="123" customWidth="1"/>
    <col min="2" max="2" width="20.125" style="123" customWidth="1"/>
    <col min="3" max="3" width="6.25" style="123" customWidth="1"/>
    <col min="4" max="8" width="11.875" style="123" customWidth="1"/>
    <col min="9" max="9" width="13" style="123" customWidth="1"/>
    <col min="10" max="11" width="13.875" style="123" customWidth="1"/>
    <col min="12" max="12" width="12.5" style="123" bestFit="1" customWidth="1"/>
    <col min="13" max="13" width="15" style="123" bestFit="1" customWidth="1"/>
    <col min="14" max="14" width="13.875" style="123" customWidth="1"/>
    <col min="15" max="15" width="9.625" style="123" customWidth="1"/>
    <col min="16" max="16" width="11.5" style="123" hidden="1" customWidth="1"/>
    <col min="17" max="17" width="10" style="123" customWidth="1"/>
    <col min="18" max="16384" width="9" style="123"/>
  </cols>
  <sheetData>
    <row r="2" spans="1:16" ht="31.5" customHeight="1" x14ac:dyDescent="0.15">
      <c r="A2" s="51" t="s">
        <v>108</v>
      </c>
    </row>
    <row r="3" spans="1:16" ht="17.25" customHeight="1" thickBot="1" x14ac:dyDescent="0.2">
      <c r="N3" s="123" t="s">
        <v>109</v>
      </c>
    </row>
    <row r="4" spans="1:16" s="130" customFormat="1" ht="8.25" customHeight="1" x14ac:dyDescent="0.15">
      <c r="A4" s="124"/>
      <c r="B4" s="124"/>
      <c r="C4" s="124"/>
      <c r="D4" s="497"/>
      <c r="E4" s="498"/>
      <c r="F4" s="498"/>
      <c r="G4" s="498"/>
      <c r="H4" s="498"/>
      <c r="I4" s="498"/>
      <c r="J4" s="499"/>
      <c r="K4" s="125"/>
      <c r="L4" s="126"/>
      <c r="M4" s="127"/>
      <c r="N4" s="128"/>
      <c r="O4" s="129"/>
    </row>
    <row r="5" spans="1:16" s="141" customFormat="1" ht="25.5" customHeight="1" x14ac:dyDescent="0.15">
      <c r="A5" s="131"/>
      <c r="B5" s="131"/>
      <c r="C5" s="131"/>
      <c r="D5" s="132"/>
      <c r="E5" s="133"/>
      <c r="F5" s="133"/>
      <c r="G5" s="133"/>
      <c r="H5" s="133"/>
      <c r="I5" s="134" t="s">
        <v>110</v>
      </c>
      <c r="J5" s="135"/>
      <c r="K5" s="136"/>
      <c r="L5" s="137" t="s">
        <v>111</v>
      </c>
      <c r="M5" s="138" t="s">
        <v>92</v>
      </c>
      <c r="N5" s="139"/>
      <c r="O5" s="140"/>
    </row>
    <row r="6" spans="1:16" s="141" customFormat="1" ht="25.5" customHeight="1" thickBot="1" x14ac:dyDescent="0.2">
      <c r="A6" s="142" t="s">
        <v>112</v>
      </c>
      <c r="B6" s="142" t="s">
        <v>113</v>
      </c>
      <c r="C6" s="142" t="s">
        <v>114</v>
      </c>
      <c r="D6" s="143" t="s">
        <v>115</v>
      </c>
      <c r="E6" s="144" t="s">
        <v>116</v>
      </c>
      <c r="F6" s="144" t="s">
        <v>117</v>
      </c>
      <c r="G6" s="144" t="s">
        <v>118</v>
      </c>
      <c r="H6" s="144" t="s">
        <v>119</v>
      </c>
      <c r="I6" s="145" t="s">
        <v>120</v>
      </c>
      <c r="J6" s="146" t="s">
        <v>121</v>
      </c>
      <c r="K6" s="147" t="s">
        <v>122</v>
      </c>
      <c r="L6" s="148" t="s">
        <v>123</v>
      </c>
      <c r="M6" s="149" t="s">
        <v>124</v>
      </c>
      <c r="N6" s="150" t="s">
        <v>125</v>
      </c>
      <c r="O6" s="151" t="s">
        <v>17</v>
      </c>
    </row>
    <row r="7" spans="1:16" s="141" customFormat="1" ht="25.5" customHeight="1" thickTop="1" x14ac:dyDescent="0.15">
      <c r="A7" s="352">
        <v>1</v>
      </c>
      <c r="B7" s="361" t="s">
        <v>376</v>
      </c>
      <c r="C7" s="155" t="s">
        <v>126</v>
      </c>
      <c r="D7" s="355">
        <f>전기!H54</f>
        <v>13000000</v>
      </c>
      <c r="E7" s="356">
        <v>0</v>
      </c>
      <c r="F7" s="356">
        <f>SUM('단위장비1(기계)'!H60)</f>
        <v>6000000</v>
      </c>
      <c r="G7" s="356">
        <f>SUM(전기!H59,전기!H60)</f>
        <v>6000000</v>
      </c>
      <c r="H7" s="356">
        <v>0</v>
      </c>
      <c r="I7" s="357">
        <v>0</v>
      </c>
      <c r="J7" s="159">
        <f>SUM(D7:I7)</f>
        <v>25000000</v>
      </c>
      <c r="K7" s="358"/>
      <c r="L7" s="359">
        <v>0</v>
      </c>
      <c r="M7" s="360">
        <f>SUM(전기!H64,전기!H65)</f>
        <v>2500000</v>
      </c>
      <c r="N7" s="354">
        <f>SUM(J7:M7)</f>
        <v>27500000</v>
      </c>
      <c r="O7" s="353"/>
    </row>
    <row r="8" spans="1:16" s="152" customFormat="1" ht="25.5" customHeight="1" x14ac:dyDescent="0.15">
      <c r="A8" s="153">
        <v>2</v>
      </c>
      <c r="B8" s="154" t="s">
        <v>378</v>
      </c>
      <c r="C8" s="155" t="s">
        <v>126</v>
      </c>
      <c r="D8" s="156">
        <f>'단위장비1(기계)'!H58</f>
        <v>15678000</v>
      </c>
      <c r="E8" s="157">
        <f>'단위장비1(기계)'!H59</f>
        <v>0</v>
      </c>
      <c r="F8" s="157">
        <f>'단위장비1(기계)'!H60+'단위장비1(기계)'!H61+'단위장비1(기계)'!H62+'단위장비1(기계)'!H66</f>
        <v>6000000</v>
      </c>
      <c r="G8" s="157">
        <f>'단위장비1(기계)'!H63+'단위장비1(기계)'!H64</f>
        <v>3000000</v>
      </c>
      <c r="H8" s="157">
        <f>'단위장비1(기계)'!H65</f>
        <v>0</v>
      </c>
      <c r="I8" s="158">
        <f>'단위장비1(기계)'!H68</f>
        <v>1000000</v>
      </c>
      <c r="J8" s="159">
        <f>SUM(D8:I8)</f>
        <v>25678000</v>
      </c>
      <c r="K8" s="160"/>
      <c r="L8" s="160">
        <f>IF($B8&gt;0,'원가항목별(집계)'!I$39*$P8/$P$18,0)</f>
        <v>0</v>
      </c>
      <c r="M8" s="161">
        <f>'단위장비1(기계)'!H69+'단위장비1(기계)'!H70</f>
        <v>2658000</v>
      </c>
      <c r="N8" s="354">
        <f>SUM(J8:M8)</f>
        <v>28336000</v>
      </c>
      <c r="O8" s="163"/>
      <c r="P8" s="152">
        <f t="shared" ref="P8:P18" si="0">D8+E8+F8+G8+H8+M8</f>
        <v>27336000</v>
      </c>
    </row>
    <row r="9" spans="1:16" s="152" customFormat="1" ht="25.5" customHeight="1" x14ac:dyDescent="0.15">
      <c r="A9" s="153">
        <v>3</v>
      </c>
      <c r="B9" s="154" t="s">
        <v>377</v>
      </c>
      <c r="C9" s="155" t="s">
        <v>127</v>
      </c>
      <c r="D9" s="156">
        <f>'단위장비2(MEXICO LOCAL)'!H46</f>
        <v>19000000</v>
      </c>
      <c r="E9" s="157">
        <f>'단위장비2(MEXICO LOCAL)'!H47</f>
        <v>0</v>
      </c>
      <c r="F9" s="157">
        <f>'단위장비2(MEXICO LOCAL)'!H48+'단위장비2(MEXICO LOCAL)'!H49+'단위장비2(MEXICO LOCAL)'!H50+'단위장비2(MEXICO LOCAL)'!H54</f>
        <v>4800000</v>
      </c>
      <c r="G9" s="157">
        <f>'단위장비2(MEXICO LOCAL)'!H51+'단위장비2(MEXICO LOCAL)'!H52</f>
        <v>0</v>
      </c>
      <c r="H9" s="157">
        <f>'단위장비2(MEXICO LOCAL)'!H53</f>
        <v>0</v>
      </c>
      <c r="I9" s="158"/>
      <c r="J9" s="159">
        <f>SUM(D9:I9)</f>
        <v>23800000</v>
      </c>
      <c r="K9" s="160"/>
      <c r="L9" s="160">
        <f>IF($B9&gt;0,'원가항목별(집계)'!I$39*$P9/$P$18,0)</f>
        <v>0</v>
      </c>
      <c r="M9" s="161">
        <f>'단위장비2(MEXICO LOCAL)'!H57+'단위장비2(MEXICO LOCAL)'!H58</f>
        <v>2380000</v>
      </c>
      <c r="N9" s="354">
        <f t="shared" ref="N9:N17" si="1">SUM(J9:M9)</f>
        <v>26180000</v>
      </c>
      <c r="O9" s="163"/>
      <c r="P9" s="152">
        <f t="shared" si="0"/>
        <v>26180000</v>
      </c>
    </row>
    <row r="10" spans="1:16" s="152" customFormat="1" ht="25.5" customHeight="1" x14ac:dyDescent="0.15">
      <c r="A10" s="153"/>
      <c r="B10" s="154">
        <v>0</v>
      </c>
      <c r="C10" s="155" t="s">
        <v>128</v>
      </c>
      <c r="D10" s="156">
        <f>단위장비3!H56</f>
        <v>0</v>
      </c>
      <c r="E10" s="157">
        <f>단위장비3!H57</f>
        <v>0</v>
      </c>
      <c r="F10" s="157">
        <f>단위장비3!H58+단위장비3!H59+단위장비3!H60+단위장비3!H64</f>
        <v>0</v>
      </c>
      <c r="G10" s="157">
        <f>단위장비3!H61+단위장비3!H62</f>
        <v>0</v>
      </c>
      <c r="H10" s="157">
        <f>단위장비3!H63</f>
        <v>0</v>
      </c>
      <c r="I10" s="158">
        <f>IF($B10&gt;0,'원가항목별(집계)'!I$38*$P10/$P$18,0)</f>
        <v>0</v>
      </c>
      <c r="J10" s="159">
        <f t="shared" ref="J10:J18" si="2">SUM(D10:I10)</f>
        <v>0</v>
      </c>
      <c r="K10" s="160">
        <f>IF(B10&gt;0,'원가항목별(집계)'!I$34*P10/P$18,0)</f>
        <v>0</v>
      </c>
      <c r="L10" s="160">
        <f>IF($B10&gt;0,'원가항목별(집계)'!I$39*$P10/$P$18,0)</f>
        <v>0</v>
      </c>
      <c r="M10" s="161">
        <f>단위장비3!H67+단위장비3!H68</f>
        <v>0</v>
      </c>
      <c r="N10" s="162">
        <f t="shared" si="1"/>
        <v>0</v>
      </c>
      <c r="O10" s="163"/>
      <c r="P10" s="152">
        <f t="shared" si="0"/>
        <v>0</v>
      </c>
    </row>
    <row r="11" spans="1:16" s="152" customFormat="1" ht="25.5" customHeight="1" x14ac:dyDescent="0.15">
      <c r="A11" s="153" t="str">
        <f>IF(B11&gt;0,A10+1,"")</f>
        <v/>
      </c>
      <c r="B11" s="154">
        <f>단위장비4!C$1</f>
        <v>0</v>
      </c>
      <c r="C11" s="155" t="s">
        <v>128</v>
      </c>
      <c r="D11" s="156">
        <f>단위장비4!H56</f>
        <v>0</v>
      </c>
      <c r="E11" s="157">
        <f>단위장비4!H57</f>
        <v>0</v>
      </c>
      <c r="F11" s="157">
        <f>단위장비4!H58+단위장비4!H59+단위장비4!H60+단위장비4!H64</f>
        <v>0</v>
      </c>
      <c r="G11" s="157">
        <f>단위장비4!H61+단위장비4!H62</f>
        <v>0</v>
      </c>
      <c r="H11" s="157">
        <f>단위장비4!H63</f>
        <v>0</v>
      </c>
      <c r="I11" s="158">
        <f>IF($B11&gt;0,'원가항목별(집계)'!I$38*$P11/$P$18,0)</f>
        <v>0</v>
      </c>
      <c r="J11" s="159">
        <f t="shared" si="2"/>
        <v>0</v>
      </c>
      <c r="K11" s="160">
        <f>IF(B11&gt;0,'원가항목별(집계)'!I$34*P11/P$18,0)</f>
        <v>0</v>
      </c>
      <c r="L11" s="160">
        <f>IF($B11&gt;0,'원가항목별(집계)'!I$39*$P11/$P$18,0)</f>
        <v>0</v>
      </c>
      <c r="M11" s="161">
        <f>단위장비4!H67+단위장비4!H68</f>
        <v>0</v>
      </c>
      <c r="N11" s="162">
        <f t="shared" si="1"/>
        <v>0</v>
      </c>
      <c r="O11" s="163"/>
      <c r="P11" s="152">
        <f t="shared" si="0"/>
        <v>0</v>
      </c>
    </row>
    <row r="12" spans="1:16" s="152" customFormat="1" ht="25.5" customHeight="1" x14ac:dyDescent="0.15">
      <c r="A12" s="153" t="str">
        <f>IF(B12&gt;0,A11+1,"")</f>
        <v/>
      </c>
      <c r="B12" s="154">
        <f>단위장비5!C$1</f>
        <v>0</v>
      </c>
      <c r="C12" s="155" t="s">
        <v>128</v>
      </c>
      <c r="D12" s="156">
        <f>단위장비5!H56</f>
        <v>0</v>
      </c>
      <c r="E12" s="157">
        <f>단위장비5!H57</f>
        <v>0</v>
      </c>
      <c r="F12" s="157">
        <f>단위장비5!H58+단위장비5!H59+단위장비5!H60+단위장비5!H64</f>
        <v>0</v>
      </c>
      <c r="G12" s="157">
        <f>단위장비5!H61+단위장비5!H62</f>
        <v>0</v>
      </c>
      <c r="H12" s="157">
        <f>단위장비5!H63</f>
        <v>0</v>
      </c>
      <c r="I12" s="158">
        <f>IF($B12&gt;0,'원가항목별(집계)'!I$38*$P12/$P$18,0)</f>
        <v>0</v>
      </c>
      <c r="J12" s="159">
        <f t="shared" si="2"/>
        <v>0</v>
      </c>
      <c r="K12" s="160">
        <f>IF(B12&gt;0,'원가항목별(집계)'!I$34*P12/P$18,0)</f>
        <v>0</v>
      </c>
      <c r="L12" s="160">
        <f>IF($B12&gt;0,'원가항목별(집계)'!I$39*$P12/$P$18,0)</f>
        <v>0</v>
      </c>
      <c r="M12" s="161">
        <f>단위장비5!H67+단위장비5!H68</f>
        <v>0</v>
      </c>
      <c r="N12" s="162">
        <f t="shared" si="1"/>
        <v>0</v>
      </c>
      <c r="O12" s="163"/>
      <c r="P12" s="152">
        <f t="shared" si="0"/>
        <v>0</v>
      </c>
    </row>
    <row r="13" spans="1:16" s="152" customFormat="1" ht="25.5" customHeight="1" x14ac:dyDescent="0.15">
      <c r="A13" s="153" t="str">
        <f>IF(B13&gt;0,A12+1,"")</f>
        <v/>
      </c>
      <c r="B13" s="154">
        <f>단위장비6!C$1</f>
        <v>0</v>
      </c>
      <c r="C13" s="155" t="s">
        <v>128</v>
      </c>
      <c r="D13" s="156">
        <f>단위장비6!H56</f>
        <v>0</v>
      </c>
      <c r="E13" s="157">
        <f>단위장비6!H57</f>
        <v>0</v>
      </c>
      <c r="F13" s="157">
        <f>단위장비6!H58+단위장비6!H59+단위장비6!H60+단위장비6!H64</f>
        <v>0</v>
      </c>
      <c r="G13" s="157">
        <f>단위장비6!H61+단위장비6!H62</f>
        <v>0</v>
      </c>
      <c r="H13" s="157">
        <f>단위장비6!H63</f>
        <v>0</v>
      </c>
      <c r="I13" s="158">
        <f>IF($B13&gt;0,'원가항목별(집계)'!I$38*$P13/$P$18,0)</f>
        <v>0</v>
      </c>
      <c r="J13" s="159">
        <f t="shared" si="2"/>
        <v>0</v>
      </c>
      <c r="K13" s="160">
        <f>IF(B13&gt;0,'원가항목별(집계)'!I$34*P13/P$18,0)</f>
        <v>0</v>
      </c>
      <c r="L13" s="160">
        <f>IF($B13&gt;0,'원가항목별(집계)'!I$39*$P13/$P$18,0)</f>
        <v>0</v>
      </c>
      <c r="M13" s="161">
        <f>단위장비6!H67+단위장비6!H68</f>
        <v>0</v>
      </c>
      <c r="N13" s="162">
        <f t="shared" si="1"/>
        <v>0</v>
      </c>
      <c r="O13" s="163"/>
      <c r="P13" s="152">
        <f t="shared" si="0"/>
        <v>0</v>
      </c>
    </row>
    <row r="14" spans="1:16" s="152" customFormat="1" ht="25.5" customHeight="1" x14ac:dyDescent="0.15">
      <c r="A14" s="153" t="str">
        <f>IF(B14&gt;0,A9+1,"")</f>
        <v/>
      </c>
      <c r="B14" s="154">
        <f>단위장비7!C$1</f>
        <v>0</v>
      </c>
      <c r="C14" s="155" t="s">
        <v>128</v>
      </c>
      <c r="D14" s="156">
        <f>단위장비7!H56</f>
        <v>0</v>
      </c>
      <c r="E14" s="157">
        <f>단위장비7!H57</f>
        <v>0</v>
      </c>
      <c r="F14" s="157">
        <f>단위장비7!H58+단위장비7!H59+단위장비7!H60+단위장비7!H64</f>
        <v>0</v>
      </c>
      <c r="G14" s="157">
        <f>단위장비7!H61+단위장비7!H62</f>
        <v>0</v>
      </c>
      <c r="H14" s="157">
        <f>단위장비7!H63</f>
        <v>0</v>
      </c>
      <c r="I14" s="158">
        <f>IF($B14&gt;0,'원가항목별(집계)'!I$38*$P14/$P$18,0)</f>
        <v>0</v>
      </c>
      <c r="J14" s="159">
        <f t="shared" si="2"/>
        <v>0</v>
      </c>
      <c r="K14" s="160">
        <f>IF(B14&gt;0,'원가항목별(집계)'!I$34*P14/P$18,0)</f>
        <v>0</v>
      </c>
      <c r="L14" s="160">
        <f>IF($B14&gt;0,'원가항목별(집계)'!I$39*$P14/$P$18,0)</f>
        <v>0</v>
      </c>
      <c r="M14" s="161">
        <f>단위장비7!H67+단위장비7!H68</f>
        <v>0</v>
      </c>
      <c r="N14" s="162">
        <f t="shared" si="1"/>
        <v>0</v>
      </c>
      <c r="O14" s="163"/>
      <c r="P14" s="152">
        <f t="shared" si="0"/>
        <v>0</v>
      </c>
    </row>
    <row r="15" spans="1:16" s="152" customFormat="1" ht="25.5" customHeight="1" x14ac:dyDescent="0.15">
      <c r="A15" s="153" t="str">
        <f>IF(B15&gt;0,A14+1,"")</f>
        <v/>
      </c>
      <c r="B15" s="154">
        <f>단위장비8!C$1</f>
        <v>0</v>
      </c>
      <c r="C15" s="155" t="s">
        <v>128</v>
      </c>
      <c r="D15" s="156">
        <f>단위장비8!H56</f>
        <v>0</v>
      </c>
      <c r="E15" s="157">
        <f>단위장비8!H57</f>
        <v>0</v>
      </c>
      <c r="F15" s="157">
        <f>단위장비8!H58+단위장비8!H59+단위장비8!H60+단위장비8!H64</f>
        <v>0</v>
      </c>
      <c r="G15" s="157">
        <f>단위장비8!H61+단위장비8!H62</f>
        <v>0</v>
      </c>
      <c r="H15" s="157">
        <f>단위장비8!H63</f>
        <v>0</v>
      </c>
      <c r="I15" s="158">
        <f>IF($B15&gt;0,'원가항목별(집계)'!I$38*$P15/$P$18,0)</f>
        <v>0</v>
      </c>
      <c r="J15" s="159">
        <f t="shared" si="2"/>
        <v>0</v>
      </c>
      <c r="K15" s="160">
        <f>IF(B15&gt;0,'원가항목별(집계)'!I$34*P15/P$18,0)</f>
        <v>0</v>
      </c>
      <c r="L15" s="160">
        <f>IF($B15&gt;0,'원가항목별(집계)'!I$39*$P15/$P$18,0)</f>
        <v>0</v>
      </c>
      <c r="M15" s="161">
        <f>단위장비8!H67+단위장비8!H68</f>
        <v>0</v>
      </c>
      <c r="N15" s="162">
        <f t="shared" si="1"/>
        <v>0</v>
      </c>
      <c r="O15" s="163"/>
      <c r="P15" s="152">
        <f t="shared" si="0"/>
        <v>0</v>
      </c>
    </row>
    <row r="16" spans="1:16" s="166" customFormat="1" ht="25.5" customHeight="1" x14ac:dyDescent="0.15">
      <c r="A16" s="155" t="str">
        <f>IF(B16&gt;0,A15+1,"")</f>
        <v/>
      </c>
      <c r="B16" s="154">
        <f>단위장비9!C$1</f>
        <v>0</v>
      </c>
      <c r="C16" s="155" t="s">
        <v>128</v>
      </c>
      <c r="D16" s="156">
        <f>단위장비9!H57</f>
        <v>0</v>
      </c>
      <c r="E16" s="157">
        <f>단위장비9!H58</f>
        <v>0</v>
      </c>
      <c r="F16" s="157">
        <f>단위장비9!H59+단위장비9!H60+단위장비9!H61+단위장비9!H65</f>
        <v>0</v>
      </c>
      <c r="G16" s="157">
        <f>단위장비9!H62+단위장비9!H63</f>
        <v>0</v>
      </c>
      <c r="H16" s="157">
        <f>단위장비9!H64</f>
        <v>0</v>
      </c>
      <c r="I16" s="158">
        <f>IF($B16&gt;0,'원가항목별(집계)'!I$38*$P16/$P$18,0)</f>
        <v>0</v>
      </c>
      <c r="J16" s="159">
        <f t="shared" si="2"/>
        <v>0</v>
      </c>
      <c r="K16" s="160">
        <f>IF(B16&gt;0,'원가항목별(집계)'!I$34*P16/P$18,0)</f>
        <v>0</v>
      </c>
      <c r="L16" s="160">
        <f>IF($B16&gt;0,'원가항목별(집계)'!I$39*$P16/$P$18,0)</f>
        <v>0</v>
      </c>
      <c r="M16" s="161">
        <f>단위장비9!H68+단위장비9!H69</f>
        <v>0</v>
      </c>
      <c r="N16" s="164">
        <f t="shared" si="1"/>
        <v>0</v>
      </c>
      <c r="O16" s="165"/>
      <c r="P16" s="152">
        <f t="shared" si="0"/>
        <v>0</v>
      </c>
    </row>
    <row r="17" spans="1:16" s="166" customFormat="1" ht="25.5" customHeight="1" x14ac:dyDescent="0.15">
      <c r="A17" s="167" t="str">
        <f>IF(B17&gt;0,A16+1,"")</f>
        <v/>
      </c>
      <c r="B17" s="168">
        <f>단위장비10!C$1</f>
        <v>0</v>
      </c>
      <c r="C17" s="167" t="s">
        <v>128</v>
      </c>
      <c r="D17" s="169">
        <f>단위장비10!H58</f>
        <v>0</v>
      </c>
      <c r="E17" s="170">
        <f>단위장비10!H59</f>
        <v>0</v>
      </c>
      <c r="F17" s="170">
        <f>단위장비10!H60+단위장비10!H61+단위장비10!H62+단위장비10!H66</f>
        <v>0</v>
      </c>
      <c r="G17" s="170">
        <f>단위장비10!H63+단위장비10!H64</f>
        <v>0</v>
      </c>
      <c r="H17" s="170">
        <f>단위장비10!H65</f>
        <v>0</v>
      </c>
      <c r="I17" s="171">
        <f>IF($B17&gt;0,'원가항목별(집계)'!I$38*$P17/$P$18,0)</f>
        <v>0</v>
      </c>
      <c r="J17" s="172">
        <f t="shared" si="2"/>
        <v>0</v>
      </c>
      <c r="K17" s="173">
        <f>IF(B17&gt;0,'원가항목별(집계)'!I$34*P17/P$18,0)</f>
        <v>0</v>
      </c>
      <c r="L17" s="173">
        <f>IF($B17&gt;0,'원가항목별(집계)'!I$39*$P17/$P$18,0)</f>
        <v>0</v>
      </c>
      <c r="M17" s="174">
        <f>단위장비10!H69+단위장비10!H70</f>
        <v>0</v>
      </c>
      <c r="N17" s="175">
        <f t="shared" si="1"/>
        <v>0</v>
      </c>
      <c r="O17" s="176"/>
      <c r="P17" s="152">
        <f t="shared" si="0"/>
        <v>0</v>
      </c>
    </row>
    <row r="18" spans="1:16" s="152" customFormat="1" ht="33" customHeight="1" x14ac:dyDescent="0.15">
      <c r="A18" s="500" t="s">
        <v>129</v>
      </c>
      <c r="B18" s="501"/>
      <c r="C18" s="502"/>
      <c r="D18" s="177">
        <f t="shared" ref="D18:M18" si="3">SUM(D8:D17)</f>
        <v>34678000</v>
      </c>
      <c r="E18" s="178">
        <f t="shared" si="3"/>
        <v>0</v>
      </c>
      <c r="F18" s="178">
        <f t="shared" si="3"/>
        <v>10800000</v>
      </c>
      <c r="G18" s="178">
        <f t="shared" si="3"/>
        <v>3000000</v>
      </c>
      <c r="H18" s="178">
        <f t="shared" si="3"/>
        <v>0</v>
      </c>
      <c r="I18" s="179">
        <f t="shared" si="3"/>
        <v>1000000</v>
      </c>
      <c r="J18" s="180">
        <f t="shared" si="2"/>
        <v>49478000</v>
      </c>
      <c r="K18" s="181">
        <f>SUM(K8:K17)</f>
        <v>0</v>
      </c>
      <c r="L18" s="182">
        <f t="shared" si="3"/>
        <v>0</v>
      </c>
      <c r="M18" s="183">
        <f t="shared" si="3"/>
        <v>5038000</v>
      </c>
      <c r="N18" s="184">
        <f>SUM(N7:N15)</f>
        <v>82016000</v>
      </c>
      <c r="O18" s="185"/>
      <c r="P18" s="152">
        <f t="shared" si="0"/>
        <v>53516000</v>
      </c>
    </row>
    <row r="19" spans="1:16" s="198" customFormat="1" ht="18.75" customHeight="1" x14ac:dyDescent="0.15">
      <c r="A19" s="186"/>
      <c r="B19" s="187"/>
      <c r="C19" s="188"/>
      <c r="D19" s="189">
        <f t="shared" ref="D19:N19" si="4">IF(D18=0,"",D18/$N18)</f>
        <v>0.42281993757315645</v>
      </c>
      <c r="E19" s="190" t="str">
        <f t="shared" si="4"/>
        <v/>
      </c>
      <c r="F19" s="190">
        <f t="shared" si="4"/>
        <v>0.1316816230979321</v>
      </c>
      <c r="G19" s="190">
        <f t="shared" si="4"/>
        <v>3.6578228638314475E-2</v>
      </c>
      <c r="H19" s="190" t="str">
        <f t="shared" si="4"/>
        <v/>
      </c>
      <c r="I19" s="191">
        <f t="shared" si="4"/>
        <v>1.2192742879438159E-2</v>
      </c>
      <c r="J19" s="192">
        <f t="shared" si="4"/>
        <v>0.60327253218884125</v>
      </c>
      <c r="K19" s="193" t="str">
        <f t="shared" si="4"/>
        <v/>
      </c>
      <c r="L19" s="194" t="str">
        <f t="shared" si="4"/>
        <v/>
      </c>
      <c r="M19" s="195">
        <f t="shared" si="4"/>
        <v>6.1427038626609441E-2</v>
      </c>
      <c r="N19" s="196">
        <f t="shared" si="4"/>
        <v>1</v>
      </c>
      <c r="O19" s="197"/>
    </row>
    <row r="20" spans="1:16" ht="28.5" customHeight="1" x14ac:dyDescent="0.15">
      <c r="A20" s="123" t="s">
        <v>130</v>
      </c>
      <c r="H20" s="199"/>
      <c r="I20" s="199"/>
      <c r="J20" s="199"/>
      <c r="K20" s="199"/>
      <c r="L20" s="199"/>
    </row>
    <row r="21" spans="1:16" ht="17.25" customHeight="1" x14ac:dyDescent="0.15">
      <c r="H21" s="200"/>
      <c r="I21" s="200"/>
      <c r="J21" s="200"/>
      <c r="K21" s="200"/>
      <c r="L21" s="200"/>
      <c r="M21" s="201"/>
      <c r="N21" s="202"/>
    </row>
    <row r="22" spans="1:16" ht="17.25" customHeight="1" x14ac:dyDescent="0.15">
      <c r="H22" s="203"/>
      <c r="I22" s="203"/>
      <c r="J22" s="203"/>
      <c r="K22" s="203"/>
      <c r="L22" s="203"/>
      <c r="N22" s="203"/>
    </row>
    <row r="23" spans="1:16" ht="17.25" customHeight="1" x14ac:dyDescent="0.15">
      <c r="H23" s="152"/>
      <c r="I23" s="152"/>
      <c r="J23" s="152"/>
      <c r="L23" s="152"/>
    </row>
  </sheetData>
  <mergeCells count="2">
    <mergeCell ref="D4:J4"/>
    <mergeCell ref="A18:C18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7" orientation="landscape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  <pageSetUpPr fitToPage="1"/>
  </sheetPr>
  <dimension ref="A1:I67"/>
  <sheetViews>
    <sheetView zoomScale="85" workbookViewId="0">
      <pane xSplit="3" ySplit="2" topLeftCell="D15" activePane="bottomRight" state="frozen"/>
      <selection activeCell="M57" sqref="M57"/>
      <selection pane="topRight" activeCell="M57" sqref="M57"/>
      <selection pane="bottomLeft" activeCell="M57" sqref="M57"/>
      <selection pane="bottomRight" activeCell="K50" sqref="K50"/>
    </sheetView>
  </sheetViews>
  <sheetFormatPr defaultRowHeight="13.5" x14ac:dyDescent="0.15"/>
  <cols>
    <col min="1" max="1" width="5" style="123" customWidth="1"/>
    <col min="2" max="2" width="13" style="123" customWidth="1"/>
    <col min="3" max="3" width="23.625" style="123" customWidth="1"/>
    <col min="4" max="4" width="18.25" style="123" customWidth="1"/>
    <col min="5" max="5" width="5.25" style="141" bestFit="1" customWidth="1"/>
    <col min="6" max="6" width="6.75" style="308" customWidth="1"/>
    <col min="7" max="7" width="11.875" style="152" customWidth="1"/>
    <col min="8" max="8" width="13.625" style="152" customWidth="1"/>
    <col min="9" max="9" width="12.75" style="123" customWidth="1"/>
    <col min="10" max="10" width="9.25" style="123" customWidth="1"/>
    <col min="11" max="16384" width="9" style="123"/>
  </cols>
  <sheetData>
    <row r="1" spans="1:9" ht="22.5" customHeight="1" x14ac:dyDescent="0.15">
      <c r="B1" s="204" t="s">
        <v>131</v>
      </c>
      <c r="C1" s="205" t="s">
        <v>132</v>
      </c>
      <c r="D1" s="206"/>
      <c r="E1" s="207"/>
      <c r="F1" s="208"/>
      <c r="G1" s="166"/>
      <c r="I1" s="123" t="s">
        <v>133</v>
      </c>
    </row>
    <row r="2" spans="1:9" s="141" customFormat="1" ht="16.5" customHeight="1" x14ac:dyDescent="0.15">
      <c r="A2" s="419" t="s">
        <v>134</v>
      </c>
      <c r="B2" s="503"/>
      <c r="C2" s="209" t="s">
        <v>135</v>
      </c>
      <c r="D2" s="210" t="s">
        <v>136</v>
      </c>
      <c r="E2" s="210" t="s">
        <v>137</v>
      </c>
      <c r="F2" s="211" t="s">
        <v>138</v>
      </c>
      <c r="G2" s="211" t="s">
        <v>139</v>
      </c>
      <c r="H2" s="211" t="s">
        <v>140</v>
      </c>
      <c r="I2" s="210" t="s">
        <v>141</v>
      </c>
    </row>
    <row r="3" spans="1:9" ht="15.95" customHeight="1" x14ac:dyDescent="0.15">
      <c r="A3" s="504" t="s">
        <v>142</v>
      </c>
      <c r="B3" s="212" t="s">
        <v>146</v>
      </c>
      <c r="C3" s="213" t="s">
        <v>350</v>
      </c>
      <c r="D3" s="214" t="s">
        <v>351</v>
      </c>
      <c r="E3" s="215" t="s">
        <v>352</v>
      </c>
      <c r="F3" s="216">
        <v>2</v>
      </c>
      <c r="G3" s="216">
        <v>5500000</v>
      </c>
      <c r="H3" s="217">
        <f t="shared" ref="H3:H8" si="0">IF(F3=0,G3,G3*F3)</f>
        <v>11000000</v>
      </c>
      <c r="I3" s="218"/>
    </row>
    <row r="4" spans="1:9" ht="15.95" customHeight="1" x14ac:dyDescent="0.15">
      <c r="A4" s="505"/>
      <c r="B4" s="212"/>
      <c r="C4" s="213"/>
      <c r="D4" s="214"/>
      <c r="E4" s="215"/>
      <c r="F4" s="216"/>
      <c r="G4" s="216"/>
      <c r="H4" s="163">
        <f t="shared" si="0"/>
        <v>0</v>
      </c>
      <c r="I4" s="219"/>
    </row>
    <row r="5" spans="1:9" ht="15.95" customHeight="1" x14ac:dyDescent="0.15">
      <c r="A5" s="505"/>
      <c r="B5" s="212"/>
      <c r="C5" s="220"/>
      <c r="D5" s="221"/>
      <c r="E5" s="222"/>
      <c r="F5" s="223"/>
      <c r="G5" s="224"/>
      <c r="H5" s="163">
        <f t="shared" si="0"/>
        <v>0</v>
      </c>
      <c r="I5" s="219"/>
    </row>
    <row r="6" spans="1:9" ht="15.95" customHeight="1" x14ac:dyDescent="0.15">
      <c r="A6" s="505"/>
      <c r="B6" s="212"/>
      <c r="C6" s="220"/>
      <c r="D6" s="221"/>
      <c r="E6" s="222"/>
      <c r="F6" s="223"/>
      <c r="G6" s="224"/>
      <c r="H6" s="163">
        <f t="shared" si="0"/>
        <v>0</v>
      </c>
      <c r="I6" s="219"/>
    </row>
    <row r="7" spans="1:9" ht="15.95" customHeight="1" x14ac:dyDescent="0.15">
      <c r="A7" s="505"/>
      <c r="B7" s="212"/>
      <c r="C7" s="220"/>
      <c r="D7" s="220"/>
      <c r="E7" s="225"/>
      <c r="F7" s="226"/>
      <c r="G7" s="227"/>
      <c r="H7" s="163">
        <f t="shared" si="0"/>
        <v>0</v>
      </c>
      <c r="I7" s="219"/>
    </row>
    <row r="8" spans="1:9" ht="15.95" customHeight="1" x14ac:dyDescent="0.15">
      <c r="A8" s="505"/>
      <c r="B8" s="212"/>
      <c r="C8" s="228"/>
      <c r="D8" s="228"/>
      <c r="E8" s="229"/>
      <c r="F8" s="230"/>
      <c r="G8" s="230"/>
      <c r="H8" s="163">
        <f t="shared" si="0"/>
        <v>0</v>
      </c>
      <c r="I8" s="231"/>
    </row>
    <row r="9" spans="1:9" ht="15.95" customHeight="1" x14ac:dyDescent="0.15">
      <c r="A9" s="505"/>
      <c r="B9" s="232"/>
      <c r="C9" s="233"/>
      <c r="D9" s="234"/>
      <c r="E9" s="209"/>
      <c r="F9" s="235"/>
      <c r="G9" s="236"/>
      <c r="H9" s="237">
        <f>SUM(H3:H8)</f>
        <v>11000000</v>
      </c>
      <c r="I9" s="238"/>
    </row>
    <row r="10" spans="1:9" ht="15.95" customHeight="1" x14ac:dyDescent="0.15">
      <c r="A10" s="505"/>
      <c r="B10" s="239" t="s">
        <v>144</v>
      </c>
      <c r="C10" s="240"/>
      <c r="D10" s="240"/>
      <c r="E10" s="241"/>
      <c r="F10" s="242"/>
      <c r="G10" s="243"/>
      <c r="H10" s="244">
        <f t="shared" ref="H10:H52" si="1">IF(F10=0,G10,G10*F10)</f>
        <v>0</v>
      </c>
      <c r="I10" s="245"/>
    </row>
    <row r="11" spans="1:9" ht="15.95" customHeight="1" x14ac:dyDescent="0.15">
      <c r="A11" s="505"/>
      <c r="B11" s="246" t="s">
        <v>145</v>
      </c>
      <c r="C11" s="220"/>
      <c r="D11" s="220"/>
      <c r="E11" s="225"/>
      <c r="F11" s="226"/>
      <c r="G11" s="227"/>
      <c r="H11" s="163">
        <f t="shared" si="1"/>
        <v>0</v>
      </c>
      <c r="I11" s="219"/>
    </row>
    <row r="12" spans="1:9" ht="15.95" customHeight="1" x14ac:dyDescent="0.15">
      <c r="A12" s="505"/>
      <c r="B12" s="246" t="s">
        <v>146</v>
      </c>
      <c r="C12" s="220"/>
      <c r="D12" s="220"/>
      <c r="E12" s="225"/>
      <c r="F12" s="226"/>
      <c r="G12" s="227"/>
      <c r="H12" s="163">
        <f t="shared" si="1"/>
        <v>0</v>
      </c>
      <c r="I12" s="219"/>
    </row>
    <row r="13" spans="1:9" ht="15.95" customHeight="1" x14ac:dyDescent="0.15">
      <c r="A13" s="505"/>
      <c r="B13" s="212"/>
      <c r="C13" s="220"/>
      <c r="D13" s="220"/>
      <c r="E13" s="225"/>
      <c r="F13" s="226"/>
      <c r="G13" s="227"/>
      <c r="H13" s="163">
        <f t="shared" si="1"/>
        <v>0</v>
      </c>
      <c r="I13" s="219"/>
    </row>
    <row r="14" spans="1:9" ht="15.95" customHeight="1" x14ac:dyDescent="0.15">
      <c r="A14" s="505"/>
      <c r="B14" s="212"/>
      <c r="C14" s="220"/>
      <c r="D14" s="220"/>
      <c r="E14" s="225"/>
      <c r="F14" s="226"/>
      <c r="G14" s="227"/>
      <c r="H14" s="163">
        <f t="shared" si="1"/>
        <v>0</v>
      </c>
      <c r="I14" s="219"/>
    </row>
    <row r="15" spans="1:9" ht="15.95" customHeight="1" x14ac:dyDescent="0.15">
      <c r="A15" s="505"/>
      <c r="B15" s="212"/>
      <c r="C15" s="228" t="s">
        <v>147</v>
      </c>
      <c r="D15" s="247"/>
      <c r="E15" s="248"/>
      <c r="F15" s="249"/>
      <c r="G15" s="250"/>
      <c r="H15" s="251">
        <f t="shared" si="1"/>
        <v>0</v>
      </c>
      <c r="I15" s="252"/>
    </row>
    <row r="16" spans="1:9" ht="15.95" customHeight="1" x14ac:dyDescent="0.15">
      <c r="A16" s="505"/>
      <c r="B16" s="212"/>
      <c r="C16" s="253"/>
      <c r="D16" s="254"/>
      <c r="E16" s="255"/>
      <c r="F16" s="256"/>
      <c r="G16" s="257"/>
      <c r="H16" s="258">
        <f>SUM(H10:H15)</f>
        <v>0</v>
      </c>
      <c r="I16" s="259"/>
    </row>
    <row r="17" spans="1:9" ht="15.95" customHeight="1" x14ac:dyDescent="0.15">
      <c r="A17" s="505"/>
      <c r="B17" s="260" t="s">
        <v>148</v>
      </c>
      <c r="C17" s="341" t="s">
        <v>353</v>
      </c>
      <c r="D17" s="342"/>
      <c r="E17" s="215" t="s">
        <v>354</v>
      </c>
      <c r="F17" s="263">
        <v>1</v>
      </c>
      <c r="G17" s="264">
        <v>2000000</v>
      </c>
      <c r="H17" s="244">
        <f>IF(F17=0,G17,G17*F17)</f>
        <v>2000000</v>
      </c>
      <c r="I17" s="245"/>
    </row>
    <row r="18" spans="1:9" ht="15.95" customHeight="1" x14ac:dyDescent="0.15">
      <c r="A18" s="505"/>
      <c r="B18" s="212"/>
      <c r="C18" s="261"/>
      <c r="D18" s="213"/>
      <c r="E18" s="262"/>
      <c r="F18" s="265"/>
      <c r="G18" s="264"/>
      <c r="H18" s="163">
        <f t="shared" si="1"/>
        <v>0</v>
      </c>
      <c r="I18" s="219"/>
    </row>
    <row r="19" spans="1:9" ht="15.95" customHeight="1" x14ac:dyDescent="0.15">
      <c r="A19" s="505"/>
      <c r="B19" s="212"/>
      <c r="C19" s="266"/>
      <c r="D19" s="220"/>
      <c r="E19" s="267"/>
      <c r="F19" s="268"/>
      <c r="G19" s="269"/>
      <c r="H19" s="163">
        <f t="shared" si="1"/>
        <v>0</v>
      </c>
      <c r="I19" s="219"/>
    </row>
    <row r="20" spans="1:9" ht="15.95" customHeight="1" x14ac:dyDescent="0.15">
      <c r="A20" s="505"/>
      <c r="B20" s="212"/>
      <c r="C20" s="266"/>
      <c r="D20" s="220"/>
      <c r="E20" s="267"/>
      <c r="F20" s="268"/>
      <c r="G20" s="269"/>
      <c r="H20" s="163">
        <f t="shared" si="1"/>
        <v>0</v>
      </c>
      <c r="I20" s="219"/>
    </row>
    <row r="21" spans="1:9" ht="15.95" customHeight="1" x14ac:dyDescent="0.15">
      <c r="A21" s="505"/>
      <c r="B21" s="212"/>
      <c r="C21" s="261"/>
      <c r="D21" s="213"/>
      <c r="E21" s="262"/>
      <c r="F21" s="265"/>
      <c r="G21" s="264"/>
      <c r="H21" s="163">
        <f t="shared" si="1"/>
        <v>0</v>
      </c>
      <c r="I21" s="219"/>
    </row>
    <row r="22" spans="1:9" ht="15.95" customHeight="1" x14ac:dyDescent="0.15">
      <c r="A22" s="505"/>
      <c r="B22" s="212"/>
      <c r="C22" s="261"/>
      <c r="D22" s="213"/>
      <c r="E22" s="262"/>
      <c r="F22" s="265"/>
      <c r="G22" s="264"/>
      <c r="H22" s="163">
        <f t="shared" si="1"/>
        <v>0</v>
      </c>
      <c r="I22" s="219"/>
    </row>
    <row r="23" spans="1:9" ht="15.95" customHeight="1" x14ac:dyDescent="0.15">
      <c r="A23" s="505"/>
      <c r="B23" s="212"/>
      <c r="C23" s="261"/>
      <c r="D23" s="213"/>
      <c r="E23" s="262"/>
      <c r="F23" s="265"/>
      <c r="G23" s="264"/>
      <c r="H23" s="163">
        <f t="shared" si="1"/>
        <v>0</v>
      </c>
      <c r="I23" s="219"/>
    </row>
    <row r="24" spans="1:9" ht="15.95" customHeight="1" x14ac:dyDescent="0.15">
      <c r="A24" s="505"/>
      <c r="B24" s="212"/>
      <c r="C24" s="213"/>
      <c r="D24" s="213"/>
      <c r="E24" s="270"/>
      <c r="F24" s="265"/>
      <c r="G24" s="271"/>
      <c r="H24" s="163">
        <f t="shared" si="1"/>
        <v>0</v>
      </c>
      <c r="I24" s="219"/>
    </row>
    <row r="25" spans="1:9" ht="15.95" customHeight="1" x14ac:dyDescent="0.15">
      <c r="A25" s="505"/>
      <c r="B25" s="212"/>
      <c r="C25" s="213"/>
      <c r="D25" s="213"/>
      <c r="E25" s="270"/>
      <c r="F25" s="265"/>
      <c r="G25" s="271"/>
      <c r="H25" s="163">
        <f t="shared" si="1"/>
        <v>0</v>
      </c>
      <c r="I25" s="219"/>
    </row>
    <row r="26" spans="1:9" ht="15.95" customHeight="1" x14ac:dyDescent="0.15">
      <c r="A26" s="505"/>
      <c r="B26" s="212"/>
      <c r="C26" s="213"/>
      <c r="D26" s="213"/>
      <c r="E26" s="270"/>
      <c r="F26" s="271"/>
      <c r="G26" s="271"/>
      <c r="H26" s="163">
        <f t="shared" si="1"/>
        <v>0</v>
      </c>
      <c r="I26" s="219"/>
    </row>
    <row r="27" spans="1:9" ht="15.95" customHeight="1" x14ac:dyDescent="0.15">
      <c r="A27" s="505"/>
      <c r="B27" s="212"/>
      <c r="C27" s="266"/>
      <c r="D27" s="220"/>
      <c r="E27" s="272"/>
      <c r="F27" s="268"/>
      <c r="G27" s="269"/>
      <c r="H27" s="163">
        <f t="shared" si="1"/>
        <v>0</v>
      </c>
      <c r="I27" s="219"/>
    </row>
    <row r="28" spans="1:9" ht="15.95" customHeight="1" x14ac:dyDescent="0.15">
      <c r="A28" s="505"/>
      <c r="B28" s="212"/>
      <c r="C28" s="220"/>
      <c r="D28" s="220"/>
      <c r="E28" s="225"/>
      <c r="F28" s="227"/>
      <c r="G28" s="227"/>
      <c r="H28" s="163">
        <f t="shared" si="1"/>
        <v>0</v>
      </c>
      <c r="I28" s="219"/>
    </row>
    <row r="29" spans="1:9" ht="15.95" customHeight="1" x14ac:dyDescent="0.15">
      <c r="A29" s="505"/>
      <c r="B29" s="212"/>
      <c r="C29" s="220"/>
      <c r="D29" s="220"/>
      <c r="E29" s="225"/>
      <c r="F29" s="227"/>
      <c r="G29" s="227"/>
      <c r="H29" s="163">
        <f t="shared" si="1"/>
        <v>0</v>
      </c>
      <c r="I29" s="219"/>
    </row>
    <row r="30" spans="1:9" ht="15.95" customHeight="1" x14ac:dyDescent="0.15">
      <c r="A30" s="505"/>
      <c r="B30" s="212"/>
      <c r="C30" s="220"/>
      <c r="D30" s="220"/>
      <c r="E30" s="225"/>
      <c r="F30" s="226"/>
      <c r="G30" s="227"/>
      <c r="H30" s="163">
        <f t="shared" si="1"/>
        <v>0</v>
      </c>
      <c r="I30" s="219"/>
    </row>
    <row r="31" spans="1:9" ht="15.95" customHeight="1" x14ac:dyDescent="0.15">
      <c r="A31" s="505"/>
      <c r="B31" s="212"/>
      <c r="C31" s="220"/>
      <c r="D31" s="220"/>
      <c r="E31" s="225"/>
      <c r="F31" s="226"/>
      <c r="G31" s="227"/>
      <c r="H31" s="163">
        <f t="shared" si="1"/>
        <v>0</v>
      </c>
      <c r="I31" s="219"/>
    </row>
    <row r="32" spans="1:9" ht="15.95" customHeight="1" x14ac:dyDescent="0.15">
      <c r="A32" s="505"/>
      <c r="B32" s="212"/>
      <c r="C32" s="220"/>
      <c r="D32" s="220"/>
      <c r="E32" s="225"/>
      <c r="F32" s="226"/>
      <c r="G32" s="227"/>
      <c r="H32" s="163">
        <f t="shared" si="1"/>
        <v>0</v>
      </c>
      <c r="I32" s="219"/>
    </row>
    <row r="33" spans="1:9" ht="15.95" customHeight="1" x14ac:dyDescent="0.15">
      <c r="A33" s="505"/>
      <c r="B33" s="212"/>
      <c r="C33" s="220"/>
      <c r="D33" s="220"/>
      <c r="E33" s="225"/>
      <c r="F33" s="226"/>
      <c r="G33" s="227"/>
      <c r="H33" s="163">
        <f t="shared" si="1"/>
        <v>0</v>
      </c>
      <c r="I33" s="219"/>
    </row>
    <row r="34" spans="1:9" ht="15.95" customHeight="1" x14ac:dyDescent="0.15">
      <c r="A34" s="505"/>
      <c r="B34" s="212"/>
      <c r="C34" s="220"/>
      <c r="D34" s="220"/>
      <c r="E34" s="225"/>
      <c r="F34" s="226"/>
      <c r="G34" s="227"/>
      <c r="H34" s="163">
        <f t="shared" si="1"/>
        <v>0</v>
      </c>
      <c r="I34" s="219"/>
    </row>
    <row r="35" spans="1:9" ht="15.95" customHeight="1" x14ac:dyDescent="0.15">
      <c r="A35" s="505"/>
      <c r="B35" s="212"/>
      <c r="C35" s="220"/>
      <c r="D35" s="220"/>
      <c r="E35" s="225"/>
      <c r="F35" s="226"/>
      <c r="G35" s="227"/>
      <c r="H35" s="163">
        <f t="shared" si="1"/>
        <v>0</v>
      </c>
      <c r="I35" s="219"/>
    </row>
    <row r="36" spans="1:9" ht="15.95" customHeight="1" x14ac:dyDescent="0.15">
      <c r="A36" s="505"/>
      <c r="B36" s="212"/>
      <c r="C36" s="220"/>
      <c r="D36" s="220"/>
      <c r="E36" s="225"/>
      <c r="F36" s="226"/>
      <c r="G36" s="227"/>
      <c r="H36" s="163">
        <f t="shared" si="1"/>
        <v>0</v>
      </c>
      <c r="I36" s="219"/>
    </row>
    <row r="37" spans="1:9" ht="15.95" customHeight="1" x14ac:dyDescent="0.15">
      <c r="A37" s="505"/>
      <c r="B37" s="212"/>
      <c r="C37" s="220"/>
      <c r="D37" s="220"/>
      <c r="E37" s="225"/>
      <c r="F37" s="226"/>
      <c r="G37" s="227"/>
      <c r="H37" s="163">
        <f t="shared" si="1"/>
        <v>0</v>
      </c>
      <c r="I37" s="219"/>
    </row>
    <row r="38" spans="1:9" ht="15.95" customHeight="1" x14ac:dyDescent="0.15">
      <c r="A38" s="505"/>
      <c r="B38" s="212"/>
      <c r="C38" s="220"/>
      <c r="D38" s="220"/>
      <c r="E38" s="225"/>
      <c r="F38" s="226"/>
      <c r="G38" s="227"/>
      <c r="H38" s="163">
        <f t="shared" si="1"/>
        <v>0</v>
      </c>
      <c r="I38" s="219"/>
    </row>
    <row r="39" spans="1:9" ht="15.95" customHeight="1" x14ac:dyDescent="0.15">
      <c r="A39" s="505"/>
      <c r="B39" s="212"/>
      <c r="C39" s="220"/>
      <c r="D39" s="220"/>
      <c r="E39" s="225"/>
      <c r="F39" s="226"/>
      <c r="G39" s="227"/>
      <c r="H39" s="163">
        <f t="shared" si="1"/>
        <v>0</v>
      </c>
      <c r="I39" s="219"/>
    </row>
    <row r="40" spans="1:9" ht="15.95" customHeight="1" x14ac:dyDescent="0.15">
      <c r="A40" s="505"/>
      <c r="B40" s="212"/>
      <c r="C40" s="220"/>
      <c r="D40" s="220"/>
      <c r="E40" s="222"/>
      <c r="F40" s="227"/>
      <c r="G40" s="227"/>
      <c r="H40" s="163">
        <f t="shared" si="1"/>
        <v>0</v>
      </c>
      <c r="I40" s="219"/>
    </row>
    <row r="41" spans="1:9" ht="15.95" customHeight="1" x14ac:dyDescent="0.15">
      <c r="A41" s="505"/>
      <c r="B41" s="212"/>
      <c r="C41" s="228"/>
      <c r="D41" s="228"/>
      <c r="E41" s="229"/>
      <c r="F41" s="230"/>
      <c r="G41" s="230"/>
      <c r="H41" s="273">
        <f t="shared" si="1"/>
        <v>0</v>
      </c>
      <c r="I41" s="231"/>
    </row>
    <row r="42" spans="1:9" ht="15.95" customHeight="1" x14ac:dyDescent="0.15">
      <c r="A42" s="505"/>
      <c r="B42" s="212"/>
      <c r="C42" s="274"/>
      <c r="D42" s="221"/>
      <c r="E42" s="222"/>
      <c r="F42" s="275"/>
      <c r="G42" s="224"/>
      <c r="H42" s="276">
        <f>SUM(H17:H41)</f>
        <v>2000000</v>
      </c>
      <c r="I42" s="277"/>
    </row>
    <row r="43" spans="1:9" ht="15.95" customHeight="1" x14ac:dyDescent="0.15">
      <c r="A43" s="505"/>
      <c r="B43" s="260" t="s">
        <v>149</v>
      </c>
      <c r="C43" s="278"/>
      <c r="D43" s="240"/>
      <c r="E43" s="241"/>
      <c r="F43" s="242"/>
      <c r="G43" s="243"/>
      <c r="H43" s="279"/>
      <c r="I43" s="245"/>
    </row>
    <row r="44" spans="1:9" ht="15.95" customHeight="1" x14ac:dyDescent="0.15">
      <c r="A44" s="505"/>
      <c r="B44" s="212"/>
      <c r="C44" s="220"/>
      <c r="D44" s="220"/>
      <c r="E44" s="241"/>
      <c r="F44" s="242"/>
      <c r="G44" s="227"/>
      <c r="H44" s="163"/>
      <c r="I44" s="219"/>
    </row>
    <row r="45" spans="1:9" ht="15.95" customHeight="1" x14ac:dyDescent="0.15">
      <c r="A45" s="505"/>
      <c r="B45" s="212"/>
      <c r="C45" s="220"/>
      <c r="D45" s="220"/>
      <c r="E45" s="225"/>
      <c r="F45" s="226"/>
      <c r="G45" s="227"/>
      <c r="H45" s="163">
        <f t="shared" si="1"/>
        <v>0</v>
      </c>
      <c r="I45" s="219"/>
    </row>
    <row r="46" spans="1:9" ht="15.95" customHeight="1" x14ac:dyDescent="0.15">
      <c r="A46" s="505"/>
      <c r="B46" s="212"/>
      <c r="C46" s="220"/>
      <c r="D46" s="220"/>
      <c r="E46" s="225"/>
      <c r="F46" s="226"/>
      <c r="G46" s="227"/>
      <c r="H46" s="163">
        <f t="shared" si="1"/>
        <v>0</v>
      </c>
      <c r="I46" s="219"/>
    </row>
    <row r="47" spans="1:9" ht="15.95" customHeight="1" x14ac:dyDescent="0.15">
      <c r="A47" s="505"/>
      <c r="B47" s="212"/>
      <c r="C47" s="220"/>
      <c r="D47" s="220"/>
      <c r="E47" s="225"/>
      <c r="F47" s="226"/>
      <c r="G47" s="227"/>
      <c r="H47" s="163">
        <f t="shared" si="1"/>
        <v>0</v>
      </c>
      <c r="I47" s="219"/>
    </row>
    <row r="48" spans="1:9" ht="15.95" customHeight="1" x14ac:dyDescent="0.15">
      <c r="A48" s="505"/>
      <c r="B48" s="212"/>
      <c r="C48" s="220"/>
      <c r="D48" s="220"/>
      <c r="E48" s="225"/>
      <c r="F48" s="226"/>
      <c r="G48" s="227"/>
      <c r="H48" s="163">
        <f t="shared" si="1"/>
        <v>0</v>
      </c>
      <c r="I48" s="219"/>
    </row>
    <row r="49" spans="1:9" ht="15.95" customHeight="1" x14ac:dyDescent="0.15">
      <c r="A49" s="505"/>
      <c r="B49" s="212"/>
      <c r="C49" s="220"/>
      <c r="D49" s="220"/>
      <c r="E49" s="225"/>
      <c r="F49" s="226"/>
      <c r="G49" s="227"/>
      <c r="H49" s="163">
        <f t="shared" si="1"/>
        <v>0</v>
      </c>
      <c r="I49" s="219"/>
    </row>
    <row r="50" spans="1:9" ht="15.95" customHeight="1" x14ac:dyDescent="0.15">
      <c r="A50" s="505"/>
      <c r="B50" s="212"/>
      <c r="C50" s="220"/>
      <c r="D50" s="220"/>
      <c r="E50" s="225"/>
      <c r="F50" s="226"/>
      <c r="G50" s="227"/>
      <c r="H50" s="163">
        <f t="shared" si="1"/>
        <v>0</v>
      </c>
      <c r="I50" s="219"/>
    </row>
    <row r="51" spans="1:9" ht="15.95" customHeight="1" x14ac:dyDescent="0.15">
      <c r="A51" s="505"/>
      <c r="B51" s="212"/>
      <c r="C51" s="220"/>
      <c r="D51" s="220"/>
      <c r="E51" s="225"/>
      <c r="F51" s="226"/>
      <c r="G51" s="227"/>
      <c r="H51" s="163">
        <f t="shared" si="1"/>
        <v>0</v>
      </c>
      <c r="I51" s="219"/>
    </row>
    <row r="52" spans="1:9" ht="15.95" customHeight="1" x14ac:dyDescent="0.15">
      <c r="A52" s="505"/>
      <c r="B52" s="212"/>
      <c r="C52" s="228" t="s">
        <v>147</v>
      </c>
      <c r="D52" s="228"/>
      <c r="E52" s="229"/>
      <c r="F52" s="280"/>
      <c r="G52" s="230"/>
      <c r="H52" s="273">
        <f t="shared" si="1"/>
        <v>0</v>
      </c>
      <c r="I52" s="231"/>
    </row>
    <row r="53" spans="1:9" ht="15.95" customHeight="1" x14ac:dyDescent="0.15">
      <c r="A53" s="505"/>
      <c r="B53" s="232"/>
      <c r="C53" s="233"/>
      <c r="D53" s="234"/>
      <c r="E53" s="209"/>
      <c r="F53" s="235"/>
      <c r="G53" s="236"/>
      <c r="H53" s="237">
        <f>SUM(H43:H52)</f>
        <v>0</v>
      </c>
      <c r="I53" s="238"/>
    </row>
    <row r="54" spans="1:9" ht="15.95" customHeight="1" x14ac:dyDescent="0.15">
      <c r="A54" s="281"/>
      <c r="B54" s="282" t="s">
        <v>151</v>
      </c>
      <c r="C54" s="283"/>
      <c r="D54" s="238"/>
      <c r="E54" s="210"/>
      <c r="F54" s="284"/>
      <c r="G54" s="285"/>
      <c r="H54" s="237">
        <f>SUM(H53,H9,H42)</f>
        <v>13000000</v>
      </c>
      <c r="I54" s="238"/>
    </row>
    <row r="55" spans="1:9" ht="15.95" customHeight="1" x14ac:dyDescent="0.15">
      <c r="A55" s="506" t="s">
        <v>152</v>
      </c>
      <c r="B55" s="286" t="s">
        <v>57</v>
      </c>
      <c r="C55" s="283"/>
      <c r="D55" s="287"/>
      <c r="E55" s="288" t="s">
        <v>58</v>
      </c>
      <c r="F55" s="289"/>
      <c r="G55" s="290"/>
      <c r="H55" s="291">
        <f t="shared" ref="H55:H61" si="2">F55*G55</f>
        <v>0</v>
      </c>
      <c r="I55" s="238"/>
    </row>
    <row r="56" spans="1:9" ht="15.95" customHeight="1" x14ac:dyDescent="0.15">
      <c r="A56" s="507"/>
      <c r="B56" s="292" t="s">
        <v>355</v>
      </c>
      <c r="C56" s="293"/>
      <c r="D56" s="294"/>
      <c r="E56" s="295" t="s">
        <v>58</v>
      </c>
      <c r="F56" s="296">
        <v>20</v>
      </c>
      <c r="G56" s="243">
        <v>300000</v>
      </c>
      <c r="H56" s="244">
        <f t="shared" si="2"/>
        <v>6000000</v>
      </c>
      <c r="I56" s="245"/>
    </row>
    <row r="57" spans="1:9" ht="15.95" customHeight="1" x14ac:dyDescent="0.15">
      <c r="A57" s="507"/>
      <c r="B57" s="297" t="s">
        <v>155</v>
      </c>
      <c r="C57" s="298"/>
      <c r="D57" s="299"/>
      <c r="E57" s="295" t="s">
        <v>58</v>
      </c>
      <c r="F57" s="271"/>
      <c r="G57" s="227"/>
      <c r="H57" s="163">
        <f t="shared" si="2"/>
        <v>0</v>
      </c>
      <c r="I57" s="219"/>
    </row>
    <row r="58" spans="1:9" ht="15.95" customHeight="1" x14ac:dyDescent="0.15">
      <c r="A58" s="507"/>
      <c r="B58" s="297" t="s">
        <v>156</v>
      </c>
      <c r="C58" s="298"/>
      <c r="D58" s="299"/>
      <c r="E58" s="295" t="s">
        <v>157</v>
      </c>
      <c r="F58" s="271"/>
      <c r="G58" s="227"/>
      <c r="H58" s="163">
        <f>F58*G58</f>
        <v>0</v>
      </c>
      <c r="I58" s="219"/>
    </row>
    <row r="59" spans="1:9" ht="15.95" customHeight="1" x14ac:dyDescent="0.15">
      <c r="A59" s="507"/>
      <c r="B59" s="297" t="s">
        <v>158</v>
      </c>
      <c r="C59" s="298"/>
      <c r="D59" s="299"/>
      <c r="E59" s="295" t="s">
        <v>157</v>
      </c>
      <c r="F59" s="271">
        <v>12</v>
      </c>
      <c r="G59" s="227">
        <v>250000</v>
      </c>
      <c r="H59" s="163">
        <f t="shared" si="2"/>
        <v>3000000</v>
      </c>
      <c r="I59" s="219"/>
    </row>
    <row r="60" spans="1:9" ht="15.95" customHeight="1" x14ac:dyDescent="0.15">
      <c r="A60" s="507"/>
      <c r="B60" s="297" t="s">
        <v>159</v>
      </c>
      <c r="C60" s="298"/>
      <c r="D60" s="299"/>
      <c r="E60" s="295" t="s">
        <v>157</v>
      </c>
      <c r="F60" s="227">
        <v>12</v>
      </c>
      <c r="G60" s="227">
        <v>250000</v>
      </c>
      <c r="H60" s="163">
        <f t="shared" si="2"/>
        <v>3000000</v>
      </c>
      <c r="I60" s="219"/>
    </row>
    <row r="61" spans="1:9" ht="15.95" customHeight="1" x14ac:dyDescent="0.15">
      <c r="A61" s="507"/>
      <c r="B61" s="300" t="s">
        <v>160</v>
      </c>
      <c r="C61" s="301"/>
      <c r="D61" s="302"/>
      <c r="E61" s="303" t="s">
        <v>157</v>
      </c>
      <c r="F61" s="230"/>
      <c r="G61" s="230"/>
      <c r="H61" s="273">
        <f t="shared" si="2"/>
        <v>0</v>
      </c>
      <c r="I61" s="231"/>
    </row>
    <row r="62" spans="1:9" ht="15.95" customHeight="1" x14ac:dyDescent="0.15">
      <c r="A62" s="281"/>
      <c r="B62" s="304" t="s">
        <v>161</v>
      </c>
      <c r="C62" s="283"/>
      <c r="D62" s="238"/>
      <c r="E62" s="210"/>
      <c r="F62" s="235"/>
      <c r="G62" s="236"/>
      <c r="H62" s="237">
        <f>SUM(H55:H61)</f>
        <v>12000000</v>
      </c>
      <c r="I62" s="238"/>
    </row>
    <row r="63" spans="1:9" ht="15.95" customHeight="1" x14ac:dyDescent="0.15">
      <c r="A63" s="305"/>
      <c r="B63" s="304" t="s">
        <v>162</v>
      </c>
      <c r="C63" s="283"/>
      <c r="D63" s="238"/>
      <c r="E63" s="210"/>
      <c r="F63" s="211"/>
      <c r="G63" s="306" t="s">
        <v>163</v>
      </c>
      <c r="H63" s="285">
        <v>0</v>
      </c>
      <c r="I63" s="238"/>
    </row>
    <row r="64" spans="1:9" ht="15.95" customHeight="1" x14ac:dyDescent="0.15">
      <c r="A64" s="305"/>
      <c r="B64" s="304" t="s">
        <v>92</v>
      </c>
      <c r="C64" s="283"/>
      <c r="D64" s="238"/>
      <c r="E64" s="210"/>
      <c r="F64" s="211"/>
      <c r="G64" s="307"/>
      <c r="H64" s="290">
        <f>SUM(H54,H62) * 0.05</f>
        <v>1250000</v>
      </c>
      <c r="I64" s="283"/>
    </row>
    <row r="65" spans="1:9" ht="15.95" customHeight="1" x14ac:dyDescent="0.15">
      <c r="A65" s="305"/>
      <c r="B65" s="304" t="s">
        <v>165</v>
      </c>
      <c r="C65" s="283"/>
      <c r="D65" s="238"/>
      <c r="E65" s="210"/>
      <c r="F65" s="211"/>
      <c r="G65" s="307"/>
      <c r="H65" s="290">
        <f>SUM(H54,H62) * 0.05</f>
        <v>1250000</v>
      </c>
      <c r="I65" s="283"/>
    </row>
    <row r="66" spans="1:9" ht="15.95" customHeight="1" x14ac:dyDescent="0.15">
      <c r="A66" s="305"/>
      <c r="B66" s="304" t="s">
        <v>166</v>
      </c>
      <c r="C66" s="283"/>
      <c r="D66" s="238"/>
      <c r="E66" s="210"/>
      <c r="F66" s="211"/>
      <c r="G66" s="237"/>
      <c r="H66" s="236">
        <f>H54+H62+H63+H64+H65</f>
        <v>27500000</v>
      </c>
      <c r="I66" s="238"/>
    </row>
    <row r="67" spans="1:9" x14ac:dyDescent="0.15">
      <c r="A67" s="141"/>
    </row>
  </sheetData>
  <mergeCells count="3">
    <mergeCell ref="A2:B2"/>
    <mergeCell ref="A3:A53"/>
    <mergeCell ref="A55:A61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70C0"/>
    <pageSetUpPr fitToPage="1"/>
  </sheetPr>
  <dimension ref="A1:K72"/>
  <sheetViews>
    <sheetView zoomScale="85" workbookViewId="0">
      <pane xSplit="2" ySplit="2" topLeftCell="C21" activePane="bottomRight" state="frozen"/>
      <selection activeCell="M57" sqref="M57"/>
      <selection pane="topRight" activeCell="M57" sqref="M57"/>
      <selection pane="bottomLeft" activeCell="M57" sqref="M57"/>
      <selection pane="bottomRight" activeCell="C4" sqref="C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41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0" width="9" style="123"/>
    <col min="11" max="11" width="10" style="123" bestFit="1" customWidth="1"/>
    <col min="12" max="16384" width="9" style="123"/>
  </cols>
  <sheetData>
    <row r="1" spans="1:11" ht="22.5" customHeight="1" x14ac:dyDescent="0.15">
      <c r="B1" s="204" t="s">
        <v>167</v>
      </c>
      <c r="C1" s="309" t="s">
        <v>168</v>
      </c>
      <c r="D1" s="206"/>
      <c r="E1" s="207"/>
      <c r="F1" s="310"/>
      <c r="G1" s="166"/>
      <c r="I1" s="123" t="s">
        <v>169</v>
      </c>
      <c r="K1" s="311"/>
    </row>
    <row r="2" spans="1:11" s="141" customFormat="1" ht="16.5" customHeight="1" x14ac:dyDescent="0.15">
      <c r="A2" s="419" t="s">
        <v>170</v>
      </c>
      <c r="B2" s="503"/>
      <c r="C2" s="131" t="s">
        <v>171</v>
      </c>
      <c r="D2" s="124" t="s">
        <v>172</v>
      </c>
      <c r="E2" s="124" t="s">
        <v>173</v>
      </c>
      <c r="F2" s="284" t="s">
        <v>174</v>
      </c>
      <c r="G2" s="284" t="s">
        <v>175</v>
      </c>
      <c r="H2" s="284" t="s">
        <v>176</v>
      </c>
      <c r="I2" s="124" t="s">
        <v>177</v>
      </c>
    </row>
    <row r="3" spans="1:11" ht="15.95" customHeight="1" x14ac:dyDescent="0.15">
      <c r="A3" s="504" t="s">
        <v>178</v>
      </c>
      <c r="B3" s="212" t="s">
        <v>146</v>
      </c>
      <c r="C3" s="220" t="s">
        <v>356</v>
      </c>
      <c r="D3" s="312"/>
      <c r="E3" s="225" t="s">
        <v>354</v>
      </c>
      <c r="F3" s="227">
        <v>1</v>
      </c>
      <c r="G3" s="227">
        <v>6500000</v>
      </c>
      <c r="H3" s="244">
        <f>IF(F3=0,G3,G3*F3)</f>
        <v>6500000</v>
      </c>
      <c r="I3" s="245"/>
    </row>
    <row r="4" spans="1:11" ht="15.95" customHeight="1" x14ac:dyDescent="0.15">
      <c r="A4" s="508"/>
      <c r="B4" s="212"/>
      <c r="C4" s="220" t="s">
        <v>357</v>
      </c>
      <c r="D4" s="225"/>
      <c r="E4" s="225" t="s">
        <v>354</v>
      </c>
      <c r="F4" s="227">
        <v>1</v>
      </c>
      <c r="G4" s="227">
        <v>4100000</v>
      </c>
      <c r="H4" s="163">
        <f>IF(F4=0,G4,G4*F4)</f>
        <v>4100000</v>
      </c>
      <c r="I4" s="219"/>
    </row>
    <row r="5" spans="1:11" ht="15.95" customHeight="1" x14ac:dyDescent="0.15">
      <c r="A5" s="508"/>
      <c r="B5" s="212"/>
      <c r="C5" s="220"/>
      <c r="D5" s="225"/>
      <c r="E5" s="225"/>
      <c r="F5" s="227"/>
      <c r="G5" s="227"/>
      <c r="H5" s="163">
        <f t="shared" ref="H5:H56" si="0">IF(F5=0,G5,G5*F5)</f>
        <v>0</v>
      </c>
      <c r="I5" s="219"/>
    </row>
    <row r="6" spans="1:11" ht="15.95" customHeight="1" x14ac:dyDescent="0.15">
      <c r="A6" s="508"/>
      <c r="B6" s="212"/>
      <c r="C6" s="220"/>
      <c r="D6" s="225"/>
      <c r="E6" s="225"/>
      <c r="F6" s="227"/>
      <c r="G6" s="227"/>
      <c r="H6" s="163">
        <f t="shared" si="0"/>
        <v>0</v>
      </c>
      <c r="I6" s="219"/>
    </row>
    <row r="7" spans="1:11" ht="15.95" customHeight="1" x14ac:dyDescent="0.15">
      <c r="A7" s="508"/>
      <c r="B7" s="212"/>
      <c r="C7" s="220"/>
      <c r="D7" s="225"/>
      <c r="E7" s="225"/>
      <c r="F7" s="227"/>
      <c r="G7" s="227"/>
      <c r="H7" s="163">
        <f t="shared" si="0"/>
        <v>0</v>
      </c>
      <c r="I7" s="219"/>
    </row>
    <row r="8" spans="1:11" ht="15.95" customHeight="1" x14ac:dyDescent="0.15">
      <c r="A8" s="508"/>
      <c r="B8" s="212"/>
      <c r="C8" s="220"/>
      <c r="D8" s="220"/>
      <c r="E8" s="225"/>
      <c r="F8" s="227"/>
      <c r="G8" s="227"/>
      <c r="H8" s="163">
        <f t="shared" si="0"/>
        <v>0</v>
      </c>
      <c r="I8" s="219"/>
    </row>
    <row r="9" spans="1:11" ht="15.95" customHeight="1" x14ac:dyDescent="0.15">
      <c r="A9" s="508"/>
      <c r="B9" s="212"/>
      <c r="C9" s="220"/>
      <c r="D9" s="220"/>
      <c r="E9" s="225"/>
      <c r="F9" s="227"/>
      <c r="G9" s="227"/>
      <c r="H9" s="163">
        <f t="shared" si="0"/>
        <v>0</v>
      </c>
      <c r="I9" s="219"/>
    </row>
    <row r="10" spans="1:11" ht="15.95" customHeight="1" x14ac:dyDescent="0.15">
      <c r="A10" s="508"/>
      <c r="B10" s="212"/>
      <c r="C10" s="220"/>
      <c r="D10" s="220"/>
      <c r="E10" s="225"/>
      <c r="F10" s="227"/>
      <c r="G10" s="227"/>
      <c r="H10" s="163">
        <f t="shared" si="0"/>
        <v>0</v>
      </c>
      <c r="I10" s="219"/>
    </row>
    <row r="11" spans="1:11" ht="15.95" customHeight="1" x14ac:dyDescent="0.15">
      <c r="A11" s="508"/>
      <c r="B11" s="212"/>
      <c r="C11" s="220"/>
      <c r="D11" s="220"/>
      <c r="E11" s="225"/>
      <c r="F11" s="227"/>
      <c r="G11" s="227"/>
      <c r="H11" s="163">
        <f t="shared" si="0"/>
        <v>0</v>
      </c>
      <c r="I11" s="219"/>
    </row>
    <row r="12" spans="1:11" ht="15.95" customHeight="1" x14ac:dyDescent="0.15">
      <c r="A12" s="508"/>
      <c r="B12" s="212"/>
      <c r="C12" s="220"/>
      <c r="D12" s="220"/>
      <c r="E12" s="225"/>
      <c r="F12" s="227"/>
      <c r="G12" s="227"/>
      <c r="H12" s="163">
        <f t="shared" si="0"/>
        <v>0</v>
      </c>
      <c r="I12" s="219"/>
    </row>
    <row r="13" spans="1:11" ht="15.95" customHeight="1" x14ac:dyDescent="0.15">
      <c r="A13" s="508"/>
      <c r="B13" s="212"/>
      <c r="C13" s="220"/>
      <c r="D13" s="220"/>
      <c r="E13" s="225"/>
      <c r="F13" s="227"/>
      <c r="G13" s="227"/>
      <c r="H13" s="163">
        <f t="shared" si="0"/>
        <v>0</v>
      </c>
      <c r="I13" s="219"/>
    </row>
    <row r="14" spans="1:11" ht="15.95" customHeight="1" x14ac:dyDescent="0.15">
      <c r="A14" s="508"/>
      <c r="B14" s="212"/>
      <c r="C14" s="220"/>
      <c r="D14" s="220"/>
      <c r="E14" s="225"/>
      <c r="F14" s="227"/>
      <c r="G14" s="227"/>
      <c r="H14" s="163">
        <f t="shared" si="0"/>
        <v>0</v>
      </c>
      <c r="I14" s="219"/>
    </row>
    <row r="15" spans="1:11" ht="15.95" customHeight="1" x14ac:dyDescent="0.15">
      <c r="A15" s="508"/>
      <c r="B15" s="212"/>
      <c r="C15" s="220"/>
      <c r="D15" s="220"/>
      <c r="E15" s="225"/>
      <c r="F15" s="227"/>
      <c r="G15" s="227"/>
      <c r="H15" s="163">
        <f t="shared" si="0"/>
        <v>0</v>
      </c>
      <c r="I15" s="219"/>
    </row>
    <row r="16" spans="1:11" ht="15.95" customHeight="1" x14ac:dyDescent="0.15">
      <c r="A16" s="508"/>
      <c r="B16" s="212"/>
      <c r="C16" s="220"/>
      <c r="D16" s="220"/>
      <c r="E16" s="225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5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5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0"/>
      <c r="D19" s="220"/>
      <c r="E19" s="225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8"/>
      <c r="B20" s="212"/>
      <c r="C20" s="220"/>
      <c r="D20" s="220"/>
      <c r="E20" s="225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8"/>
      <c r="B21" s="212"/>
      <c r="C21" s="220"/>
      <c r="D21" s="220"/>
      <c r="E21" s="225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8"/>
      <c r="B22" s="212"/>
      <c r="C22" s="220"/>
      <c r="D22" s="220"/>
      <c r="E22" s="225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8"/>
      <c r="B23" s="212"/>
      <c r="C23" s="228" t="s">
        <v>180</v>
      </c>
      <c r="D23" s="228"/>
      <c r="E23" s="229" t="s">
        <v>47</v>
      </c>
      <c r="F23" s="230">
        <v>1</v>
      </c>
      <c r="G23" s="230">
        <v>500000</v>
      </c>
      <c r="H23" s="251">
        <f t="shared" si="0"/>
        <v>500000</v>
      </c>
      <c r="I23" s="252"/>
    </row>
    <row r="24" spans="1:9" ht="15.95" customHeight="1" x14ac:dyDescent="0.15">
      <c r="A24" s="508"/>
      <c r="B24" s="232"/>
      <c r="C24" s="259"/>
      <c r="D24" s="259"/>
      <c r="E24" s="255"/>
      <c r="F24" s="257"/>
      <c r="G24" s="257"/>
      <c r="H24" s="258">
        <f>SUM(H3:H23)</f>
        <v>11100000</v>
      </c>
      <c r="I24" s="259"/>
    </row>
    <row r="25" spans="1:9" ht="15.95" customHeight="1" x14ac:dyDescent="0.15">
      <c r="A25" s="508"/>
      <c r="B25" s="212" t="s">
        <v>182</v>
      </c>
      <c r="C25" s="221"/>
      <c r="D25" s="221"/>
      <c r="E25" s="222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8"/>
      <c r="B26" s="212" t="s">
        <v>183</v>
      </c>
      <c r="C26" s="220"/>
      <c r="D26" s="220"/>
      <c r="E26" s="225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20"/>
      <c r="D27" s="220"/>
      <c r="E27" s="225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20"/>
      <c r="D28" s="220"/>
      <c r="E28" s="225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8"/>
      <c r="D29" s="228"/>
      <c r="E29" s="229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8"/>
      <c r="B30" s="232"/>
      <c r="C30" s="233"/>
      <c r="D30" s="234"/>
      <c r="E30" s="209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8"/>
      <c r="B31" s="260" t="s">
        <v>185</v>
      </c>
      <c r="C31" s="343" t="s">
        <v>358</v>
      </c>
      <c r="D31" s="220" t="s">
        <v>359</v>
      </c>
      <c r="E31" s="344" t="s">
        <v>360</v>
      </c>
      <c r="F31" s="268">
        <v>1</v>
      </c>
      <c r="G31" s="269">
        <v>490000</v>
      </c>
      <c r="H31" s="244">
        <f t="shared" si="0"/>
        <v>490000</v>
      </c>
      <c r="I31" s="245"/>
    </row>
    <row r="32" spans="1:9" ht="15.95" customHeight="1" x14ac:dyDescent="0.15">
      <c r="A32" s="508"/>
      <c r="B32" s="212" t="s">
        <v>186</v>
      </c>
      <c r="C32" s="343" t="s">
        <v>361</v>
      </c>
      <c r="D32" s="220" t="s">
        <v>362</v>
      </c>
      <c r="E32" s="344" t="s">
        <v>360</v>
      </c>
      <c r="F32" s="268">
        <v>1</v>
      </c>
      <c r="G32" s="269">
        <v>88000</v>
      </c>
      <c r="H32" s="163">
        <f t="shared" si="0"/>
        <v>88000</v>
      </c>
      <c r="I32" s="219"/>
    </row>
    <row r="33" spans="1:9" ht="15.95" customHeight="1" x14ac:dyDescent="0.15">
      <c r="A33" s="508"/>
      <c r="B33" s="212"/>
      <c r="C33" s="220" t="s">
        <v>363</v>
      </c>
      <c r="D33" s="220"/>
      <c r="E33" s="225" t="s">
        <v>354</v>
      </c>
      <c r="F33" s="268">
        <v>1</v>
      </c>
      <c r="G33" s="227">
        <v>4000000</v>
      </c>
      <c r="H33" s="163">
        <f t="shared" si="0"/>
        <v>4000000</v>
      </c>
      <c r="I33" s="219"/>
    </row>
    <row r="34" spans="1:9" ht="15.95" customHeight="1" x14ac:dyDescent="0.15">
      <c r="A34" s="508"/>
      <c r="B34" s="212"/>
      <c r="C34" s="220"/>
      <c r="D34" s="314"/>
      <c r="E34" s="225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20"/>
      <c r="D35" s="314"/>
      <c r="E35" s="225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20"/>
      <c r="D36" s="220"/>
      <c r="E36" s="225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8"/>
      <c r="B37" s="212"/>
      <c r="C37" s="220"/>
      <c r="D37" s="220"/>
      <c r="E37" s="225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8"/>
      <c r="B38" s="212"/>
      <c r="C38" s="220"/>
      <c r="D38" s="220"/>
      <c r="E38" s="225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8"/>
      <c r="B39" s="212"/>
      <c r="C39" s="220"/>
      <c r="D39" s="220"/>
      <c r="E39" s="225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5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5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5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5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0"/>
      <c r="D44" s="220"/>
      <c r="E44" s="222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8"/>
      <c r="B45" s="212"/>
      <c r="C45" s="228"/>
      <c r="D45" s="228"/>
      <c r="E45" s="229"/>
      <c r="F45" s="230"/>
      <c r="G45" s="230"/>
      <c r="H45" s="273">
        <f t="shared" si="0"/>
        <v>0</v>
      </c>
      <c r="I45" s="231"/>
    </row>
    <row r="46" spans="1:9" ht="15.95" customHeight="1" x14ac:dyDescent="0.15">
      <c r="A46" s="508"/>
      <c r="B46" s="232"/>
      <c r="C46" s="233"/>
      <c r="D46" s="234"/>
      <c r="E46" s="209"/>
      <c r="F46" s="236"/>
      <c r="G46" s="236"/>
      <c r="H46" s="237">
        <f>SUM(H31:H45)</f>
        <v>4578000</v>
      </c>
      <c r="I46" s="238"/>
    </row>
    <row r="47" spans="1:9" ht="15.95" customHeight="1" x14ac:dyDescent="0.15">
      <c r="A47" s="508"/>
      <c r="B47" s="260" t="s">
        <v>49</v>
      </c>
      <c r="C47" s="220"/>
      <c r="D47" s="220"/>
      <c r="E47" s="225"/>
      <c r="F47" s="226"/>
      <c r="G47" s="227"/>
      <c r="H47" s="244">
        <f t="shared" si="0"/>
        <v>0</v>
      </c>
      <c r="I47" s="245"/>
    </row>
    <row r="48" spans="1:9" ht="15.95" customHeight="1" x14ac:dyDescent="0.15">
      <c r="A48" s="508"/>
      <c r="B48" s="212"/>
      <c r="C48" s="220"/>
      <c r="D48" s="220"/>
      <c r="E48" s="225"/>
      <c r="F48" s="226"/>
      <c r="G48" s="227"/>
      <c r="H48" s="163">
        <f t="shared" si="0"/>
        <v>0</v>
      </c>
      <c r="I48" s="219"/>
    </row>
    <row r="49" spans="1:9" ht="15.95" customHeight="1" x14ac:dyDescent="0.15">
      <c r="A49" s="508"/>
      <c r="B49" s="212"/>
      <c r="C49" s="220"/>
      <c r="D49" s="220"/>
      <c r="E49" s="225"/>
      <c r="F49" s="226"/>
      <c r="G49" s="227"/>
      <c r="H49" s="163">
        <f>IF(F49=0,G49,G49*F49)</f>
        <v>0</v>
      </c>
      <c r="I49" s="219"/>
    </row>
    <row r="50" spans="1:9" ht="15.95" customHeight="1" x14ac:dyDescent="0.15">
      <c r="A50" s="508"/>
      <c r="B50" s="212"/>
      <c r="C50" s="220"/>
      <c r="D50" s="220"/>
      <c r="E50" s="225"/>
      <c r="F50" s="226"/>
      <c r="G50" s="227"/>
      <c r="H50" s="163">
        <f>IF(F50=0,G50,G50*F50)</f>
        <v>0</v>
      </c>
      <c r="I50" s="219"/>
    </row>
    <row r="51" spans="1:9" ht="15.95" customHeight="1" x14ac:dyDescent="0.15">
      <c r="A51" s="508"/>
      <c r="B51" s="212"/>
      <c r="C51" s="220"/>
      <c r="D51" s="220"/>
      <c r="E51" s="225"/>
      <c r="F51" s="226"/>
      <c r="G51" s="227"/>
      <c r="H51" s="163">
        <f>IF(F51=0,G51,G51*F51)</f>
        <v>0</v>
      </c>
      <c r="I51" s="219"/>
    </row>
    <row r="52" spans="1:9" ht="15.95" customHeight="1" x14ac:dyDescent="0.15">
      <c r="A52" s="508"/>
      <c r="B52" s="212"/>
      <c r="C52" s="220"/>
      <c r="D52" s="220"/>
      <c r="E52" s="225"/>
      <c r="F52" s="226"/>
      <c r="G52" s="227"/>
      <c r="H52" s="163">
        <f t="shared" si="0"/>
        <v>0</v>
      </c>
      <c r="I52" s="219"/>
    </row>
    <row r="53" spans="1:9" ht="15.95" customHeight="1" x14ac:dyDescent="0.15">
      <c r="A53" s="508"/>
      <c r="B53" s="212"/>
      <c r="C53" s="220"/>
      <c r="D53" s="220"/>
      <c r="E53" s="225"/>
      <c r="F53" s="226"/>
      <c r="G53" s="227"/>
      <c r="H53" s="163">
        <f t="shared" si="0"/>
        <v>0</v>
      </c>
      <c r="I53" s="219"/>
    </row>
    <row r="54" spans="1:9" ht="15.95" customHeight="1" x14ac:dyDescent="0.15">
      <c r="A54" s="508"/>
      <c r="B54" s="212"/>
      <c r="C54" s="220"/>
      <c r="D54" s="220"/>
      <c r="E54" s="225"/>
      <c r="F54" s="226"/>
      <c r="G54" s="227"/>
      <c r="H54" s="163">
        <f t="shared" si="0"/>
        <v>0</v>
      </c>
      <c r="I54" s="219"/>
    </row>
    <row r="55" spans="1:9" ht="15.95" customHeight="1" x14ac:dyDescent="0.15">
      <c r="A55" s="508"/>
      <c r="B55" s="212"/>
      <c r="C55" s="220"/>
      <c r="D55" s="220"/>
      <c r="E55" s="225"/>
      <c r="F55" s="227"/>
      <c r="G55" s="227"/>
      <c r="H55" s="163">
        <f t="shared" si="0"/>
        <v>0</v>
      </c>
      <c r="I55" s="219"/>
    </row>
    <row r="56" spans="1:9" ht="15.95" customHeight="1" x14ac:dyDescent="0.15">
      <c r="A56" s="508"/>
      <c r="B56" s="212"/>
      <c r="C56" s="228" t="s">
        <v>147</v>
      </c>
      <c r="D56" s="228"/>
      <c r="E56" s="229"/>
      <c r="F56" s="230"/>
      <c r="G56" s="230"/>
      <c r="H56" s="273">
        <f t="shared" si="0"/>
        <v>0</v>
      </c>
      <c r="I56" s="231"/>
    </row>
    <row r="57" spans="1:9" ht="15.95" customHeight="1" x14ac:dyDescent="0.15">
      <c r="A57" s="508"/>
      <c r="B57" s="232"/>
      <c r="C57" s="233"/>
      <c r="D57" s="234"/>
      <c r="E57" s="209"/>
      <c r="F57" s="236"/>
      <c r="G57" s="236"/>
      <c r="H57" s="237">
        <f>SUM(H47:H56)</f>
        <v>0</v>
      </c>
      <c r="I57" s="238"/>
    </row>
    <row r="58" spans="1:9" ht="15.95" customHeight="1" x14ac:dyDescent="0.15">
      <c r="A58" s="281"/>
      <c r="B58" s="282" t="s">
        <v>151</v>
      </c>
      <c r="C58" s="283"/>
      <c r="D58" s="238"/>
      <c r="E58" s="210"/>
      <c r="F58" s="285"/>
      <c r="G58" s="285"/>
      <c r="H58" s="237">
        <f>SUM(H57,H46,H30,H24)</f>
        <v>15678000</v>
      </c>
      <c r="I58" s="238"/>
    </row>
    <row r="59" spans="1:9" ht="15.95" customHeight="1" x14ac:dyDescent="0.15">
      <c r="A59" s="504" t="s">
        <v>189</v>
      </c>
      <c r="B59" s="286" t="s">
        <v>57</v>
      </c>
      <c r="C59" s="283"/>
      <c r="D59" s="287"/>
      <c r="E59" s="315" t="s">
        <v>58</v>
      </c>
      <c r="F59" s="289"/>
      <c r="G59" s="290"/>
      <c r="H59" s="291">
        <f>F59*G59</f>
        <v>0</v>
      </c>
      <c r="I59" s="238" t="s">
        <v>192</v>
      </c>
    </row>
    <row r="60" spans="1:9" ht="15.95" customHeight="1" x14ac:dyDescent="0.15">
      <c r="A60" s="508"/>
      <c r="B60" s="292" t="s">
        <v>193</v>
      </c>
      <c r="C60" s="293"/>
      <c r="D60" s="294"/>
      <c r="E60" s="316" t="s">
        <v>157</v>
      </c>
      <c r="F60" s="296">
        <v>24</v>
      </c>
      <c r="G60" s="243">
        <v>250000</v>
      </c>
      <c r="H60" s="244">
        <f t="shared" ref="H60:H66" si="1">F60*G60</f>
        <v>6000000</v>
      </c>
      <c r="I60" s="245"/>
    </row>
    <row r="61" spans="1:9" ht="15.95" customHeight="1" x14ac:dyDescent="0.15">
      <c r="A61" s="508"/>
      <c r="B61" s="297" t="s">
        <v>194</v>
      </c>
      <c r="C61" s="298"/>
      <c r="D61" s="299"/>
      <c r="E61" s="317" t="s">
        <v>157</v>
      </c>
      <c r="F61" s="271"/>
      <c r="G61" s="227"/>
      <c r="H61" s="318">
        <f t="shared" si="1"/>
        <v>0</v>
      </c>
      <c r="I61" s="219"/>
    </row>
    <row r="62" spans="1:9" ht="15.95" customHeight="1" x14ac:dyDescent="0.15">
      <c r="A62" s="508"/>
      <c r="B62" s="297" t="s">
        <v>195</v>
      </c>
      <c r="C62" s="298"/>
      <c r="D62" s="299"/>
      <c r="E62" s="317" t="s">
        <v>157</v>
      </c>
      <c r="F62" s="271"/>
      <c r="G62" s="227"/>
      <c r="H62" s="163">
        <f t="shared" si="1"/>
        <v>0</v>
      </c>
      <c r="I62" s="219"/>
    </row>
    <row r="63" spans="1:9" ht="15.95" customHeight="1" x14ac:dyDescent="0.15">
      <c r="A63" s="508"/>
      <c r="B63" s="297" t="s">
        <v>196</v>
      </c>
      <c r="C63" s="298"/>
      <c r="D63" s="299"/>
      <c r="E63" s="317" t="s">
        <v>157</v>
      </c>
      <c r="F63" s="271">
        <v>10</v>
      </c>
      <c r="G63" s="227">
        <v>200000</v>
      </c>
      <c r="H63" s="163">
        <f t="shared" si="1"/>
        <v>2000000</v>
      </c>
      <c r="I63" s="219"/>
    </row>
    <row r="64" spans="1:9" ht="15.95" customHeight="1" x14ac:dyDescent="0.15">
      <c r="A64" s="508"/>
      <c r="B64" s="297" t="s">
        <v>197</v>
      </c>
      <c r="C64" s="298"/>
      <c r="D64" s="299"/>
      <c r="E64" s="317" t="s">
        <v>157</v>
      </c>
      <c r="F64" s="227">
        <v>5</v>
      </c>
      <c r="G64" s="227">
        <v>200000</v>
      </c>
      <c r="H64" s="163">
        <f t="shared" si="1"/>
        <v>1000000</v>
      </c>
      <c r="I64" s="219"/>
    </row>
    <row r="65" spans="1:9" ht="15.95" customHeight="1" x14ac:dyDescent="0.15">
      <c r="A65" s="508"/>
      <c r="B65" s="297" t="s">
        <v>198</v>
      </c>
      <c r="C65" s="298"/>
      <c r="D65" s="299"/>
      <c r="E65" s="317" t="s">
        <v>58</v>
      </c>
      <c r="F65" s="271"/>
      <c r="G65" s="227"/>
      <c r="H65" s="163">
        <f t="shared" si="1"/>
        <v>0</v>
      </c>
      <c r="I65" s="219"/>
    </row>
    <row r="66" spans="1:9" ht="15.95" customHeight="1" x14ac:dyDescent="0.15">
      <c r="A66" s="508"/>
      <c r="B66" s="300" t="s">
        <v>199</v>
      </c>
      <c r="C66" s="301"/>
      <c r="D66" s="302"/>
      <c r="E66" s="319" t="s">
        <v>47</v>
      </c>
      <c r="F66" s="230"/>
      <c r="G66" s="230"/>
      <c r="H66" s="273">
        <f t="shared" si="1"/>
        <v>0</v>
      </c>
      <c r="I66" s="231"/>
    </row>
    <row r="67" spans="1:9" ht="15.95" customHeight="1" x14ac:dyDescent="0.15">
      <c r="A67" s="281"/>
      <c r="B67" s="304" t="s">
        <v>161</v>
      </c>
      <c r="C67" s="283"/>
      <c r="D67" s="238"/>
      <c r="E67" s="210"/>
      <c r="F67" s="236"/>
      <c r="G67" s="236"/>
      <c r="H67" s="236">
        <f>SUM(H59:H66)</f>
        <v>9000000</v>
      </c>
      <c r="I67" s="234"/>
    </row>
    <row r="68" spans="1:9" ht="15.95" customHeight="1" x14ac:dyDescent="0.15">
      <c r="A68" s="305"/>
      <c r="B68" s="304" t="s">
        <v>201</v>
      </c>
      <c r="C68" s="283"/>
      <c r="D68" s="238"/>
      <c r="E68" s="210"/>
      <c r="F68" s="237"/>
      <c r="G68" s="237"/>
      <c r="H68" s="285">
        <v>1000000</v>
      </c>
      <c r="I68" s="238"/>
    </row>
    <row r="69" spans="1:9" ht="15.95" customHeight="1" x14ac:dyDescent="0.15">
      <c r="A69" s="305"/>
      <c r="B69" s="304" t="s">
        <v>92</v>
      </c>
      <c r="C69" s="283"/>
      <c r="D69" s="238"/>
      <c r="E69" s="210"/>
      <c r="F69" s="237"/>
      <c r="G69" s="307"/>
      <c r="H69" s="290">
        <v>1329000</v>
      </c>
      <c r="I69" s="283"/>
    </row>
    <row r="70" spans="1:9" ht="15.95" customHeight="1" x14ac:dyDescent="0.15">
      <c r="A70" s="305"/>
      <c r="B70" s="304" t="s">
        <v>165</v>
      </c>
      <c r="C70" s="283"/>
      <c r="D70" s="238"/>
      <c r="E70" s="210"/>
      <c r="F70" s="237"/>
      <c r="G70" s="307"/>
      <c r="H70" s="290">
        <v>1329000</v>
      </c>
      <c r="I70" s="283"/>
    </row>
    <row r="71" spans="1:9" ht="15.95" customHeight="1" x14ac:dyDescent="0.15">
      <c r="A71" s="305"/>
      <c r="B71" s="304" t="s">
        <v>166</v>
      </c>
      <c r="C71" s="283"/>
      <c r="D71" s="238"/>
      <c r="E71" s="210"/>
      <c r="F71" s="237"/>
      <c r="G71" s="237"/>
      <c r="H71" s="236">
        <f>H58+H67+H68+H69+H70</f>
        <v>28336000</v>
      </c>
      <c r="I71" s="238"/>
    </row>
    <row r="72" spans="1:9" x14ac:dyDescent="0.15">
      <c r="A72" s="141"/>
    </row>
  </sheetData>
  <mergeCells count="3">
    <mergeCell ref="A2:B2"/>
    <mergeCell ref="A3:A57"/>
    <mergeCell ref="A59:A6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7" orientation="portrait" horizontalDpi="4294967292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70C0"/>
    <pageSetUpPr fitToPage="1"/>
  </sheetPr>
  <dimension ref="A1:L60"/>
  <sheetViews>
    <sheetView zoomScale="85" workbookViewId="0">
      <pane xSplit="2" ySplit="2" topLeftCell="C3" activePane="bottomRight" state="frozen"/>
      <selection activeCell="K60" sqref="K60"/>
      <selection pane="topRight" activeCell="K60" sqref="K60"/>
      <selection pane="bottomLeft" activeCell="K60" sqref="K60"/>
      <selection pane="bottomRight" activeCell="M16" sqref="M16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20.25" style="123" customWidth="1"/>
    <col min="5" max="5" width="6.75" style="141" customWidth="1"/>
    <col min="6" max="6" width="9" style="308"/>
    <col min="7" max="7" width="11.875" style="152" customWidth="1"/>
    <col min="8" max="8" width="13.625" style="152" customWidth="1"/>
    <col min="9" max="9" width="12.75" style="123" customWidth="1"/>
    <col min="10" max="11" width="13" style="123" bestFit="1" customWidth="1"/>
    <col min="12" max="12" width="11.5" style="123" bestFit="1" customWidth="1"/>
    <col min="13" max="16384" width="9" style="123"/>
  </cols>
  <sheetData>
    <row r="1" spans="1:9" ht="22.5" customHeight="1" x14ac:dyDescent="0.15">
      <c r="B1" s="204" t="s">
        <v>167</v>
      </c>
      <c r="C1" s="309" t="s">
        <v>205</v>
      </c>
      <c r="D1" s="206"/>
      <c r="E1" s="207"/>
      <c r="F1" s="208"/>
      <c r="G1" s="166"/>
      <c r="I1" s="123" t="s">
        <v>169</v>
      </c>
    </row>
    <row r="2" spans="1:9" s="141" customFormat="1" ht="16.5" customHeight="1" x14ac:dyDescent="0.15">
      <c r="A2" s="419" t="s">
        <v>170</v>
      </c>
      <c r="B2" s="503"/>
      <c r="C2" s="131" t="s">
        <v>171</v>
      </c>
      <c r="D2" s="124" t="s">
        <v>172</v>
      </c>
      <c r="E2" s="124" t="s">
        <v>173</v>
      </c>
      <c r="F2" s="284" t="s">
        <v>174</v>
      </c>
      <c r="G2" s="284" t="s">
        <v>175</v>
      </c>
      <c r="H2" s="284" t="s">
        <v>176</v>
      </c>
      <c r="I2" s="124" t="s">
        <v>177</v>
      </c>
    </row>
    <row r="3" spans="1:9" ht="15.95" customHeight="1" x14ac:dyDescent="0.15">
      <c r="A3" s="504" t="s">
        <v>178</v>
      </c>
      <c r="B3" s="212" t="s">
        <v>143</v>
      </c>
      <c r="C3" s="220"/>
      <c r="D3" s="312"/>
      <c r="E3" s="225"/>
      <c r="F3" s="227"/>
      <c r="G3" s="227"/>
      <c r="H3" s="244">
        <f>IF(F3=0,G3,G3*F3)</f>
        <v>0</v>
      </c>
      <c r="I3" s="245"/>
    </row>
    <row r="4" spans="1:9" ht="15.95" customHeight="1" x14ac:dyDescent="0.15">
      <c r="A4" s="508"/>
      <c r="B4" s="212"/>
      <c r="C4" s="220"/>
      <c r="D4" s="225"/>
      <c r="E4" s="225"/>
      <c r="F4" s="227"/>
      <c r="G4" s="227"/>
      <c r="H4" s="163">
        <f>IF(F4=0,G4,G4*F4)</f>
        <v>0</v>
      </c>
      <c r="I4" s="219"/>
    </row>
    <row r="5" spans="1:9" ht="15.95" customHeight="1" x14ac:dyDescent="0.15">
      <c r="A5" s="508"/>
      <c r="B5" s="212"/>
      <c r="C5" s="213"/>
      <c r="D5" s="214"/>
      <c r="E5" s="215"/>
      <c r="F5" s="216"/>
      <c r="G5" s="216"/>
      <c r="H5" s="163">
        <f t="shared" ref="H5:H44" si="0">IF(F5=0,G5,G5*F5)</f>
        <v>0</v>
      </c>
      <c r="I5" s="219"/>
    </row>
    <row r="6" spans="1:9" ht="15.95" customHeight="1" x14ac:dyDescent="0.15">
      <c r="A6" s="508"/>
      <c r="B6" s="212"/>
      <c r="C6" s="213"/>
      <c r="D6" s="214"/>
      <c r="E6" s="215"/>
      <c r="F6" s="216"/>
      <c r="G6" s="216"/>
      <c r="H6" s="163">
        <f t="shared" si="0"/>
        <v>0</v>
      </c>
      <c r="I6" s="219"/>
    </row>
    <row r="7" spans="1:9" ht="15.95" customHeight="1" x14ac:dyDescent="0.15">
      <c r="A7" s="508"/>
      <c r="B7" s="212"/>
      <c r="C7" s="213"/>
      <c r="D7" s="213"/>
      <c r="E7" s="270"/>
      <c r="F7" s="320"/>
      <c r="G7" s="271"/>
      <c r="H7" s="163">
        <f t="shared" si="0"/>
        <v>0</v>
      </c>
      <c r="I7" s="219"/>
    </row>
    <row r="8" spans="1:9" ht="15.95" customHeight="1" x14ac:dyDescent="0.15">
      <c r="A8" s="508"/>
      <c r="B8" s="212"/>
      <c r="C8" s="213"/>
      <c r="D8" s="213"/>
      <c r="E8" s="270"/>
      <c r="F8" s="320"/>
      <c r="G8" s="271"/>
      <c r="H8" s="163">
        <f t="shared" si="0"/>
        <v>0</v>
      </c>
      <c r="I8" s="219"/>
    </row>
    <row r="9" spans="1:9" ht="15.95" customHeight="1" x14ac:dyDescent="0.15">
      <c r="A9" s="508"/>
      <c r="B9" s="212"/>
      <c r="C9" s="220"/>
      <c r="D9" s="220"/>
      <c r="E9" s="225"/>
      <c r="F9" s="226"/>
      <c r="G9" s="227"/>
      <c r="H9" s="163">
        <f t="shared" si="0"/>
        <v>0</v>
      </c>
      <c r="I9" s="219"/>
    </row>
    <row r="10" spans="1:9" ht="15.95" customHeight="1" x14ac:dyDescent="0.15">
      <c r="A10" s="508"/>
      <c r="B10" s="212"/>
      <c r="C10" s="220"/>
      <c r="D10" s="220"/>
      <c r="E10" s="225"/>
      <c r="F10" s="226"/>
      <c r="G10" s="227"/>
      <c r="H10" s="163">
        <f t="shared" si="0"/>
        <v>0</v>
      </c>
      <c r="I10" s="219"/>
    </row>
    <row r="11" spans="1:9" ht="15.95" customHeight="1" x14ac:dyDescent="0.15">
      <c r="A11" s="508"/>
      <c r="B11" s="212"/>
      <c r="C11" s="220"/>
      <c r="D11" s="220"/>
      <c r="E11" s="225"/>
      <c r="F11" s="226"/>
      <c r="G11" s="227"/>
      <c r="H11" s="163">
        <f t="shared" si="0"/>
        <v>0</v>
      </c>
      <c r="I11" s="219"/>
    </row>
    <row r="12" spans="1:9" ht="15.95" customHeight="1" x14ac:dyDescent="0.15">
      <c r="A12" s="508"/>
      <c r="B12" s="212"/>
      <c r="C12" s="220"/>
      <c r="D12" s="220"/>
      <c r="E12" s="225"/>
      <c r="F12" s="226"/>
      <c r="G12" s="227"/>
      <c r="H12" s="163">
        <f t="shared" si="0"/>
        <v>0</v>
      </c>
      <c r="I12" s="219"/>
    </row>
    <row r="13" spans="1:9" ht="15.95" customHeight="1" x14ac:dyDescent="0.15">
      <c r="A13" s="508"/>
      <c r="B13" s="212"/>
      <c r="C13" s="228"/>
      <c r="D13" s="247"/>
      <c r="E13" s="248"/>
      <c r="F13" s="249"/>
      <c r="G13" s="250"/>
      <c r="H13" s="251">
        <f t="shared" si="0"/>
        <v>0</v>
      </c>
      <c r="I13" s="252"/>
    </row>
    <row r="14" spans="1:9" ht="15.95" customHeight="1" x14ac:dyDescent="0.15">
      <c r="A14" s="508"/>
      <c r="B14" s="232"/>
      <c r="C14" s="259"/>
      <c r="D14" s="259"/>
      <c r="E14" s="255"/>
      <c r="F14" s="256"/>
      <c r="G14" s="257"/>
      <c r="H14" s="258">
        <f>SUM(H3:H13)</f>
        <v>0</v>
      </c>
      <c r="I14" s="259"/>
    </row>
    <row r="15" spans="1:9" ht="15.95" customHeight="1" x14ac:dyDescent="0.15">
      <c r="A15" s="508"/>
      <c r="B15" s="212" t="s">
        <v>182</v>
      </c>
      <c r="C15" s="221"/>
      <c r="D15" s="221"/>
      <c r="E15" s="222" t="s">
        <v>375</v>
      </c>
      <c r="F15" s="275">
        <v>1</v>
      </c>
      <c r="G15" s="224">
        <v>100000</v>
      </c>
      <c r="H15" s="217">
        <f t="shared" si="0"/>
        <v>100000</v>
      </c>
      <c r="I15" s="218"/>
    </row>
    <row r="16" spans="1:9" ht="15.95" customHeight="1" x14ac:dyDescent="0.15">
      <c r="A16" s="508"/>
      <c r="B16" s="212" t="s">
        <v>183</v>
      </c>
      <c r="C16" s="220"/>
      <c r="D16" s="220"/>
      <c r="E16" s="225"/>
      <c r="F16" s="226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5"/>
      <c r="F17" s="226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5"/>
      <c r="F18" s="226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8"/>
      <c r="D19" s="228"/>
      <c r="E19" s="229"/>
      <c r="F19" s="280"/>
      <c r="G19" s="230"/>
      <c r="H19" s="163">
        <f t="shared" si="0"/>
        <v>0</v>
      </c>
      <c r="I19" s="231"/>
    </row>
    <row r="20" spans="1:9" ht="15.95" customHeight="1" x14ac:dyDescent="0.15">
      <c r="A20" s="508"/>
      <c r="B20" s="232"/>
      <c r="C20" s="233"/>
      <c r="D20" s="234"/>
      <c r="E20" s="209"/>
      <c r="F20" s="321"/>
      <c r="G20" s="236"/>
      <c r="H20" s="237">
        <f>SUM(H15:H19)</f>
        <v>100000</v>
      </c>
      <c r="I20" s="238"/>
    </row>
    <row r="21" spans="1:9" ht="15.95" customHeight="1" x14ac:dyDescent="0.15">
      <c r="A21" s="508"/>
      <c r="B21" s="260" t="s">
        <v>185</v>
      </c>
      <c r="C21" s="341" t="s">
        <v>364</v>
      </c>
      <c r="D21" s="345" t="s">
        <v>365</v>
      </c>
      <c r="E21" s="346" t="s">
        <v>366</v>
      </c>
      <c r="F21" s="263">
        <v>1</v>
      </c>
      <c r="G21" s="264">
        <v>11000000</v>
      </c>
      <c r="H21" s="244">
        <f t="shared" si="0"/>
        <v>11000000</v>
      </c>
      <c r="I21" s="245"/>
    </row>
    <row r="22" spans="1:9" ht="15.95" customHeight="1" x14ac:dyDescent="0.15">
      <c r="A22" s="508"/>
      <c r="B22" s="212" t="s">
        <v>186</v>
      </c>
      <c r="C22" s="341" t="s">
        <v>367</v>
      </c>
      <c r="D22" s="270"/>
      <c r="E22" s="346" t="s">
        <v>368</v>
      </c>
      <c r="F22" s="265">
        <v>42</v>
      </c>
      <c r="G22" s="264">
        <v>150000</v>
      </c>
      <c r="H22" s="163">
        <f t="shared" si="0"/>
        <v>6300000</v>
      </c>
      <c r="I22" s="219"/>
    </row>
    <row r="23" spans="1:9" ht="15.95" customHeight="1" x14ac:dyDescent="0.15">
      <c r="A23" s="508"/>
      <c r="B23" s="212"/>
      <c r="C23" s="341" t="s">
        <v>369</v>
      </c>
      <c r="D23" s="213"/>
      <c r="E23" s="346" t="s">
        <v>366</v>
      </c>
      <c r="F23" s="265">
        <v>1</v>
      </c>
      <c r="G23" s="264">
        <v>1600000</v>
      </c>
      <c r="H23" s="163">
        <f t="shared" si="0"/>
        <v>1600000</v>
      </c>
      <c r="I23" s="219"/>
    </row>
    <row r="24" spans="1:9" ht="15.95" customHeight="1" x14ac:dyDescent="0.15">
      <c r="A24" s="508"/>
      <c r="B24" s="212"/>
      <c r="C24" s="341"/>
      <c r="D24" s="213"/>
      <c r="E24" s="262"/>
      <c r="F24" s="265"/>
      <c r="G24" s="264"/>
      <c r="H24" s="163">
        <f t="shared" si="0"/>
        <v>0</v>
      </c>
      <c r="I24" s="219"/>
    </row>
    <row r="25" spans="1:9" ht="15.95" customHeight="1" x14ac:dyDescent="0.15">
      <c r="A25" s="508"/>
      <c r="B25" s="212"/>
      <c r="C25" s="261"/>
      <c r="D25" s="213"/>
      <c r="E25" s="262"/>
      <c r="F25" s="265"/>
      <c r="G25" s="264"/>
      <c r="H25" s="163">
        <f t="shared" si="0"/>
        <v>0</v>
      </c>
      <c r="I25" s="219"/>
    </row>
    <row r="26" spans="1:9" ht="15.95" customHeight="1" x14ac:dyDescent="0.15">
      <c r="A26" s="508"/>
      <c r="B26" s="212"/>
      <c r="C26" s="213"/>
      <c r="D26" s="213"/>
      <c r="E26" s="270"/>
      <c r="F26" s="265"/>
      <c r="G26" s="271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13"/>
      <c r="D27" s="213"/>
      <c r="E27" s="270"/>
      <c r="F27" s="265"/>
      <c r="G27" s="271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13"/>
      <c r="D28" s="213"/>
      <c r="E28" s="270"/>
      <c r="F28" s="271"/>
      <c r="G28" s="271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0"/>
      <c r="D29" s="220"/>
      <c r="E29" s="225"/>
      <c r="F29" s="226"/>
      <c r="G29" s="227"/>
      <c r="H29" s="163">
        <f t="shared" si="0"/>
        <v>0</v>
      </c>
      <c r="I29" s="219"/>
    </row>
    <row r="30" spans="1:9" ht="15.95" customHeight="1" x14ac:dyDescent="0.15">
      <c r="A30" s="508"/>
      <c r="B30" s="212"/>
      <c r="C30" s="220"/>
      <c r="D30" s="220"/>
      <c r="E30" s="225"/>
      <c r="F30" s="226"/>
      <c r="G30" s="227"/>
      <c r="H30" s="163">
        <f t="shared" si="0"/>
        <v>0</v>
      </c>
      <c r="I30" s="219"/>
    </row>
    <row r="31" spans="1:9" ht="15.95" customHeight="1" x14ac:dyDescent="0.15">
      <c r="A31" s="508"/>
      <c r="B31" s="212"/>
      <c r="C31" s="220"/>
      <c r="D31" s="220"/>
      <c r="E31" s="225"/>
      <c r="F31" s="226"/>
      <c r="G31" s="227"/>
      <c r="H31" s="163">
        <f t="shared" si="0"/>
        <v>0</v>
      </c>
      <c r="I31" s="219"/>
    </row>
    <row r="32" spans="1:9" ht="15.95" customHeight="1" x14ac:dyDescent="0.15">
      <c r="A32" s="508"/>
      <c r="B32" s="212"/>
      <c r="C32" s="220"/>
      <c r="D32" s="220"/>
      <c r="E32" s="225"/>
      <c r="F32" s="226"/>
      <c r="G32" s="227"/>
      <c r="H32" s="163">
        <f t="shared" si="0"/>
        <v>0</v>
      </c>
      <c r="I32" s="219"/>
    </row>
    <row r="33" spans="1:9" ht="15.95" customHeight="1" x14ac:dyDescent="0.15">
      <c r="A33" s="508"/>
      <c r="B33" s="212"/>
      <c r="C33" s="220"/>
      <c r="D33" s="220"/>
      <c r="E33" s="225"/>
      <c r="F33" s="226"/>
      <c r="G33" s="227"/>
      <c r="H33" s="163">
        <f t="shared" si="0"/>
        <v>0</v>
      </c>
      <c r="I33" s="219"/>
    </row>
    <row r="34" spans="1:9" ht="15.95" customHeight="1" x14ac:dyDescent="0.15">
      <c r="A34" s="508"/>
      <c r="B34" s="212"/>
      <c r="C34" s="220"/>
      <c r="D34" s="220"/>
      <c r="E34" s="225"/>
      <c r="F34" s="226"/>
      <c r="G34" s="227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20"/>
      <c r="D35" s="220"/>
      <c r="E35" s="225"/>
      <c r="F35" s="226"/>
      <c r="G35" s="227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28"/>
      <c r="D36" s="228"/>
      <c r="E36" s="229"/>
      <c r="F36" s="230"/>
      <c r="G36" s="230"/>
      <c r="H36" s="273">
        <f t="shared" si="0"/>
        <v>0</v>
      </c>
      <c r="I36" s="231"/>
    </row>
    <row r="37" spans="1:9" ht="15.95" customHeight="1" x14ac:dyDescent="0.15">
      <c r="A37" s="508"/>
      <c r="B37" s="232"/>
      <c r="C37" s="233"/>
      <c r="D37" s="234"/>
      <c r="E37" s="209"/>
      <c r="F37" s="235"/>
      <c r="G37" s="236"/>
      <c r="H37" s="237">
        <f>SUM(H21:H36)</f>
        <v>18900000</v>
      </c>
      <c r="I37" s="238"/>
    </row>
    <row r="38" spans="1:9" ht="15.95" customHeight="1" x14ac:dyDescent="0.15">
      <c r="A38" s="508"/>
      <c r="B38" s="260" t="s">
        <v>49</v>
      </c>
      <c r="C38" s="220"/>
      <c r="D38" s="220"/>
      <c r="E38" s="225"/>
      <c r="F38" s="226"/>
      <c r="G38" s="227"/>
      <c r="H38" s="244">
        <f t="shared" si="0"/>
        <v>0</v>
      </c>
      <c r="I38" s="245"/>
    </row>
    <row r="39" spans="1:9" ht="15.95" customHeight="1" x14ac:dyDescent="0.15">
      <c r="A39" s="508"/>
      <c r="B39" s="212"/>
      <c r="C39" s="220"/>
      <c r="D39" s="220"/>
      <c r="E39" s="225"/>
      <c r="F39" s="226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5"/>
      <c r="F40" s="226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5"/>
      <c r="F41" s="226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5"/>
      <c r="F42" s="226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5"/>
      <c r="F43" s="226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8"/>
      <c r="D44" s="228"/>
      <c r="E44" s="229"/>
      <c r="F44" s="280"/>
      <c r="G44" s="230"/>
      <c r="H44" s="273">
        <f t="shared" si="0"/>
        <v>0</v>
      </c>
      <c r="I44" s="231"/>
    </row>
    <row r="45" spans="1:9" ht="15.95" customHeight="1" x14ac:dyDescent="0.15">
      <c r="A45" s="508"/>
      <c r="B45" s="232"/>
      <c r="C45" s="233"/>
      <c r="D45" s="234"/>
      <c r="E45" s="209"/>
      <c r="F45" s="235"/>
      <c r="G45" s="236"/>
      <c r="H45" s="237">
        <f>SUM(H38:H44)</f>
        <v>0</v>
      </c>
      <c r="I45" s="238"/>
    </row>
    <row r="46" spans="1:9" ht="15.95" customHeight="1" x14ac:dyDescent="0.15">
      <c r="A46" s="281"/>
      <c r="B46" s="282" t="s">
        <v>151</v>
      </c>
      <c r="C46" s="283"/>
      <c r="D46" s="238"/>
      <c r="E46" s="210"/>
      <c r="F46" s="284"/>
      <c r="G46" s="285"/>
      <c r="H46" s="237">
        <f>SUM(H45,H37,H20,H14)</f>
        <v>19000000</v>
      </c>
      <c r="I46" s="238"/>
    </row>
    <row r="47" spans="1:9" ht="15.95" customHeight="1" x14ac:dyDescent="0.15">
      <c r="A47" s="509" t="s">
        <v>189</v>
      </c>
      <c r="B47" s="286" t="s">
        <v>57</v>
      </c>
      <c r="C47" s="283"/>
      <c r="D47" s="287"/>
      <c r="E47" s="315" t="s">
        <v>58</v>
      </c>
      <c r="F47" s="290"/>
      <c r="G47" s="290"/>
      <c r="H47" s="291">
        <f>F47*G47</f>
        <v>0</v>
      </c>
      <c r="I47" s="238"/>
    </row>
    <row r="48" spans="1:9" ht="15.95" customHeight="1" x14ac:dyDescent="0.15">
      <c r="A48" s="508"/>
      <c r="B48" s="292" t="s">
        <v>370</v>
      </c>
      <c r="C48" s="293" t="s">
        <v>371</v>
      </c>
      <c r="D48" s="294"/>
      <c r="E48" s="316" t="s">
        <v>157</v>
      </c>
      <c r="F48" s="243">
        <v>16</v>
      </c>
      <c r="G48" s="243">
        <v>300000</v>
      </c>
      <c r="H48" s="244">
        <f t="shared" ref="H48:H54" si="1">F48*G48</f>
        <v>4800000</v>
      </c>
      <c r="I48" s="245"/>
    </row>
    <row r="49" spans="1:12" ht="15.95" customHeight="1" x14ac:dyDescent="0.15">
      <c r="A49" s="508"/>
      <c r="B49" s="322" t="s">
        <v>194</v>
      </c>
      <c r="C49" s="298"/>
      <c r="D49" s="299"/>
      <c r="E49" s="317" t="s">
        <v>157</v>
      </c>
      <c r="F49" s="227"/>
      <c r="G49" s="227"/>
      <c r="H49" s="163">
        <f t="shared" si="1"/>
        <v>0</v>
      </c>
      <c r="I49" s="219"/>
    </row>
    <row r="50" spans="1:12" ht="15.95" customHeight="1" x14ac:dyDescent="0.15">
      <c r="A50" s="508"/>
      <c r="B50" s="297" t="s">
        <v>195</v>
      </c>
      <c r="C50" s="298"/>
      <c r="D50" s="299"/>
      <c r="E50" s="317" t="s">
        <v>157</v>
      </c>
      <c r="F50" s="227"/>
      <c r="G50" s="227"/>
      <c r="H50" s="163">
        <f t="shared" si="1"/>
        <v>0</v>
      </c>
      <c r="I50" s="219"/>
    </row>
    <row r="51" spans="1:12" ht="15.95" customHeight="1" x14ac:dyDescent="0.15">
      <c r="A51" s="508"/>
      <c r="B51" s="297" t="s">
        <v>196</v>
      </c>
      <c r="C51" s="298"/>
      <c r="D51" s="299"/>
      <c r="E51" s="317" t="s">
        <v>157</v>
      </c>
      <c r="F51" s="227"/>
      <c r="G51" s="227"/>
      <c r="H51" s="163">
        <f t="shared" si="1"/>
        <v>0</v>
      </c>
      <c r="I51" s="219"/>
    </row>
    <row r="52" spans="1:12" ht="15.95" customHeight="1" x14ac:dyDescent="0.15">
      <c r="A52" s="508"/>
      <c r="B52" s="297" t="s">
        <v>197</v>
      </c>
      <c r="C52" s="298"/>
      <c r="D52" s="299"/>
      <c r="E52" s="317" t="s">
        <v>157</v>
      </c>
      <c r="F52" s="227"/>
      <c r="G52" s="227"/>
      <c r="H52" s="163">
        <f t="shared" si="1"/>
        <v>0</v>
      </c>
      <c r="I52" s="219"/>
    </row>
    <row r="53" spans="1:12" ht="15.95" customHeight="1" x14ac:dyDescent="0.15">
      <c r="A53" s="508"/>
      <c r="B53" s="297" t="s">
        <v>198</v>
      </c>
      <c r="C53" s="298"/>
      <c r="D53" s="299"/>
      <c r="E53" s="317" t="s">
        <v>58</v>
      </c>
      <c r="F53" s="227"/>
      <c r="G53" s="227"/>
      <c r="H53" s="163">
        <f t="shared" si="1"/>
        <v>0</v>
      </c>
      <c r="I53" s="219"/>
    </row>
    <row r="54" spans="1:12" ht="15.95" customHeight="1" x14ac:dyDescent="0.15">
      <c r="A54" s="508"/>
      <c r="B54" s="300" t="s">
        <v>199</v>
      </c>
      <c r="C54" s="301"/>
      <c r="D54" s="302"/>
      <c r="E54" s="319"/>
      <c r="F54" s="323"/>
      <c r="G54" s="230"/>
      <c r="H54" s="273">
        <f t="shared" si="1"/>
        <v>0</v>
      </c>
      <c r="I54" s="231"/>
    </row>
    <row r="55" spans="1:12" ht="15.95" customHeight="1" x14ac:dyDescent="0.15">
      <c r="A55" s="281"/>
      <c r="B55" s="304" t="s">
        <v>161</v>
      </c>
      <c r="C55" s="283"/>
      <c r="D55" s="238"/>
      <c r="E55" s="210"/>
      <c r="F55" s="235"/>
      <c r="G55" s="236"/>
      <c r="H55" s="236">
        <f>SUM(H47:H54)</f>
        <v>4800000</v>
      </c>
      <c r="I55" s="234"/>
    </row>
    <row r="56" spans="1:12" ht="15.95" customHeight="1" x14ac:dyDescent="0.15">
      <c r="A56" s="305"/>
      <c r="B56" s="304" t="s">
        <v>201</v>
      </c>
      <c r="C56" s="283"/>
      <c r="D56" s="238"/>
      <c r="E56" s="210"/>
      <c r="F56" s="211"/>
      <c r="G56" s="237"/>
      <c r="H56" s="285"/>
      <c r="I56" s="238"/>
    </row>
    <row r="57" spans="1:12" ht="15.95" customHeight="1" x14ac:dyDescent="0.15">
      <c r="A57" s="305"/>
      <c r="B57" s="304" t="s">
        <v>92</v>
      </c>
      <c r="C57" s="283"/>
      <c r="D57" s="238"/>
      <c r="E57" s="210"/>
      <c r="F57" s="211"/>
      <c r="G57" s="307"/>
      <c r="H57" s="290">
        <f>SUM(H46,H55) * 0.05</f>
        <v>1190000</v>
      </c>
      <c r="I57" s="283"/>
    </row>
    <row r="58" spans="1:12" ht="15.95" customHeight="1" x14ac:dyDescent="0.15">
      <c r="A58" s="305"/>
      <c r="B58" s="304" t="s">
        <v>165</v>
      </c>
      <c r="C58" s="283"/>
      <c r="D58" s="238"/>
      <c r="E58" s="210"/>
      <c r="F58" s="211"/>
      <c r="G58" s="307"/>
      <c r="H58" s="290">
        <f>SUM(H46,H55) * 0.05</f>
        <v>1190000</v>
      </c>
      <c r="I58" s="283"/>
    </row>
    <row r="59" spans="1:12" ht="15.95" customHeight="1" x14ac:dyDescent="0.15">
      <c r="A59" s="305"/>
      <c r="B59" s="304" t="s">
        <v>166</v>
      </c>
      <c r="C59" s="283"/>
      <c r="D59" s="238"/>
      <c r="E59" s="210"/>
      <c r="F59" s="211"/>
      <c r="G59" s="237"/>
      <c r="H59" s="236">
        <f>H46+H55+H56+H57+H58</f>
        <v>26180000</v>
      </c>
      <c r="I59" s="238"/>
      <c r="J59" s="347"/>
      <c r="K59" s="347"/>
      <c r="L59" s="152"/>
    </row>
    <row r="60" spans="1:12" x14ac:dyDescent="0.15">
      <c r="A60" s="141"/>
    </row>
  </sheetData>
  <mergeCells count="3">
    <mergeCell ref="A2:B2"/>
    <mergeCell ref="A3:A45"/>
    <mergeCell ref="A47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L14" sqref="L14"/>
      <selection pane="topRight" activeCell="L14" sqref="L14"/>
      <selection pane="bottomLeft" activeCell="L14" sqref="L14"/>
      <selection pane="bottomRight" activeCell="K66" sqref="K66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167</v>
      </c>
      <c r="C1" s="309" t="s">
        <v>206</v>
      </c>
      <c r="D1" s="206"/>
      <c r="E1" s="206"/>
      <c r="F1" s="310"/>
      <c r="G1" s="166"/>
      <c r="I1" s="123" t="s">
        <v>169</v>
      </c>
    </row>
    <row r="2" spans="1:9" s="141" customFormat="1" ht="16.5" customHeight="1" x14ac:dyDescent="0.15">
      <c r="A2" s="419" t="s">
        <v>170</v>
      </c>
      <c r="B2" s="503"/>
      <c r="C2" s="131" t="s">
        <v>171</v>
      </c>
      <c r="D2" s="124" t="s">
        <v>172</v>
      </c>
      <c r="E2" s="124" t="s">
        <v>173</v>
      </c>
      <c r="F2" s="284" t="s">
        <v>174</v>
      </c>
      <c r="G2" s="284" t="s">
        <v>175</v>
      </c>
      <c r="H2" s="284" t="s">
        <v>176</v>
      </c>
      <c r="I2" s="124" t="s">
        <v>177</v>
      </c>
    </row>
    <row r="3" spans="1:9" ht="15.95" customHeight="1" x14ac:dyDescent="0.15">
      <c r="A3" s="504" t="s">
        <v>178</v>
      </c>
      <c r="B3" s="212" t="s">
        <v>179</v>
      </c>
      <c r="C3" s="324" t="s">
        <v>207</v>
      </c>
      <c r="D3" s="324"/>
      <c r="E3" s="325" t="s">
        <v>208</v>
      </c>
      <c r="F3" s="226"/>
      <c r="G3" s="227"/>
      <c r="H3" s="244">
        <f>IF(F3=0,G3,G3*F3)</f>
        <v>0</v>
      </c>
      <c r="I3" s="245"/>
    </row>
    <row r="4" spans="1:9" ht="15.95" customHeight="1" x14ac:dyDescent="0.15">
      <c r="A4" s="508"/>
      <c r="B4" s="212"/>
      <c r="C4" s="213" t="s">
        <v>209</v>
      </c>
      <c r="D4" s="213"/>
      <c r="E4" s="270" t="s">
        <v>208</v>
      </c>
      <c r="F4" s="226"/>
      <c r="G4" s="227"/>
      <c r="H4" s="163">
        <f>IF(F4=0,G4,G4*F4)</f>
        <v>0</v>
      </c>
      <c r="I4" s="219"/>
    </row>
    <row r="5" spans="1:9" ht="15.95" customHeight="1" x14ac:dyDescent="0.15">
      <c r="A5" s="508"/>
      <c r="B5" s="212"/>
      <c r="C5" s="213" t="s">
        <v>210</v>
      </c>
      <c r="D5" s="213"/>
      <c r="E5" s="270" t="s">
        <v>208</v>
      </c>
      <c r="F5" s="226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8"/>
      <c r="B6" s="212"/>
      <c r="C6" s="213" t="s">
        <v>211</v>
      </c>
      <c r="D6" s="213"/>
      <c r="E6" s="270" t="s">
        <v>212</v>
      </c>
      <c r="F6" s="227"/>
      <c r="G6" s="227"/>
      <c r="H6" s="163">
        <f t="shared" si="0"/>
        <v>0</v>
      </c>
      <c r="I6" s="219"/>
    </row>
    <row r="7" spans="1:9" ht="15.95" customHeight="1" x14ac:dyDescent="0.15">
      <c r="A7" s="508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8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8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8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8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8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8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8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8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8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8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8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8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8"/>
      <c r="B23" s="212"/>
      <c r="C23" s="228" t="s">
        <v>150</v>
      </c>
      <c r="D23" s="247"/>
      <c r="E23" s="248" t="s">
        <v>213</v>
      </c>
      <c r="F23" s="249">
        <v>1</v>
      </c>
      <c r="G23" s="250"/>
      <c r="H23" s="251">
        <f t="shared" si="0"/>
        <v>0</v>
      </c>
      <c r="I23" s="252"/>
    </row>
    <row r="24" spans="1:9" ht="15.95" customHeight="1" x14ac:dyDescent="0.15">
      <c r="A24" s="508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8"/>
      <c r="B25" s="212" t="s">
        <v>214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8"/>
      <c r="B26" s="212" t="s">
        <v>215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8" t="s">
        <v>150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8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8"/>
      <c r="B31" s="260" t="s">
        <v>216</v>
      </c>
      <c r="C31" s="220" t="s">
        <v>217</v>
      </c>
      <c r="D31" s="220"/>
      <c r="E31" s="225" t="s">
        <v>213</v>
      </c>
      <c r="F31" s="226">
        <v>1</v>
      </c>
      <c r="G31" s="227"/>
      <c r="H31" s="244">
        <v>0</v>
      </c>
      <c r="I31" s="245"/>
    </row>
    <row r="32" spans="1:9" ht="15.95" customHeight="1" x14ac:dyDescent="0.15">
      <c r="A32" s="508"/>
      <c r="B32" s="212" t="s">
        <v>218</v>
      </c>
      <c r="C32" s="220" t="s">
        <v>219</v>
      </c>
      <c r="D32" s="220"/>
      <c r="E32" s="225" t="s">
        <v>213</v>
      </c>
      <c r="F32" s="226">
        <v>1</v>
      </c>
      <c r="G32" s="227"/>
      <c r="H32" s="163">
        <v>0</v>
      </c>
      <c r="I32" s="219"/>
    </row>
    <row r="33" spans="1:9" ht="15.95" customHeight="1" x14ac:dyDescent="0.15">
      <c r="A33" s="508"/>
      <c r="B33" s="212"/>
      <c r="C33" s="220"/>
      <c r="D33" s="220"/>
      <c r="E33" s="225"/>
      <c r="F33" s="226"/>
      <c r="G33" s="227"/>
      <c r="H33" s="163">
        <f t="shared" si="0"/>
        <v>0</v>
      </c>
      <c r="I33" s="219"/>
    </row>
    <row r="34" spans="1:9" ht="15.95" customHeight="1" x14ac:dyDescent="0.15">
      <c r="A34" s="508"/>
      <c r="B34" s="212"/>
      <c r="C34" s="220"/>
      <c r="D34" s="314"/>
      <c r="E34" s="225"/>
      <c r="F34" s="226"/>
      <c r="G34" s="227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20"/>
      <c r="D35" s="314"/>
      <c r="E35" s="225"/>
      <c r="F35" s="226"/>
      <c r="G35" s="227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20"/>
      <c r="D36" s="220"/>
      <c r="E36" s="225"/>
      <c r="F36" s="226"/>
      <c r="G36" s="227"/>
      <c r="H36" s="163">
        <f t="shared" si="0"/>
        <v>0</v>
      </c>
      <c r="I36" s="219"/>
    </row>
    <row r="37" spans="1:9" ht="15.95" customHeight="1" x14ac:dyDescent="0.15">
      <c r="A37" s="508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8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8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8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8"/>
      <c r="B46" s="212"/>
      <c r="C46" s="228"/>
      <c r="D46" s="228"/>
      <c r="E46" s="229"/>
      <c r="F46" s="280"/>
      <c r="G46" s="230"/>
      <c r="H46" s="273">
        <f t="shared" si="0"/>
        <v>0</v>
      </c>
      <c r="I46" s="231"/>
    </row>
    <row r="47" spans="1:9" ht="15.95" customHeight="1" x14ac:dyDescent="0.15">
      <c r="A47" s="508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8"/>
      <c r="B48" s="260" t="s">
        <v>187</v>
      </c>
      <c r="C48" s="240" t="s">
        <v>220</v>
      </c>
      <c r="D48" s="240" t="s">
        <v>221</v>
      </c>
      <c r="E48" s="241" t="s">
        <v>181</v>
      </c>
      <c r="F48" s="242">
        <v>1</v>
      </c>
      <c r="G48" s="243"/>
      <c r="H48" s="244">
        <v>0</v>
      </c>
      <c r="I48" s="245"/>
    </row>
    <row r="49" spans="1:9" ht="15.95" customHeight="1" x14ac:dyDescent="0.15">
      <c r="A49" s="508"/>
      <c r="B49" s="212"/>
      <c r="C49" s="220" t="s">
        <v>222</v>
      </c>
      <c r="D49" s="220" t="s">
        <v>223</v>
      </c>
      <c r="E49" s="225" t="s">
        <v>181</v>
      </c>
      <c r="F49" s="226">
        <v>1</v>
      </c>
      <c r="G49" s="227"/>
      <c r="H49" s="163">
        <v>0</v>
      </c>
      <c r="I49" s="219"/>
    </row>
    <row r="50" spans="1:9" ht="15.95" customHeight="1" x14ac:dyDescent="0.15">
      <c r="A50" s="508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8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8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8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8"/>
      <c r="B54" s="212"/>
      <c r="C54" s="228" t="s">
        <v>184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8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188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9" t="s">
        <v>189</v>
      </c>
      <c r="B57" s="286" t="s">
        <v>190</v>
      </c>
      <c r="C57" s="283"/>
      <c r="D57" s="287"/>
      <c r="E57" s="315" t="s">
        <v>191</v>
      </c>
      <c r="F57" s="326"/>
      <c r="G57" s="290">
        <v>230000</v>
      </c>
      <c r="H57" s="291">
        <f>F57*G57</f>
        <v>0</v>
      </c>
      <c r="I57" s="238"/>
    </row>
    <row r="58" spans="1:9" ht="15.95" customHeight="1" x14ac:dyDescent="0.15">
      <c r="A58" s="508"/>
      <c r="B58" s="292" t="s">
        <v>193</v>
      </c>
      <c r="C58" s="293"/>
      <c r="D58" s="294" t="s">
        <v>224</v>
      </c>
      <c r="E58" s="316" t="s">
        <v>157</v>
      </c>
      <c r="F58" s="327"/>
      <c r="G58" s="243">
        <v>250000</v>
      </c>
      <c r="H58" s="244">
        <f t="shared" ref="H58:H64" si="1">F58*G58</f>
        <v>0</v>
      </c>
      <c r="I58" s="245"/>
    </row>
    <row r="59" spans="1:9" ht="15.95" customHeight="1" x14ac:dyDescent="0.15">
      <c r="A59" s="508"/>
      <c r="B59" s="322" t="s">
        <v>194</v>
      </c>
      <c r="C59" s="298"/>
      <c r="D59" s="299"/>
      <c r="E59" s="317" t="s">
        <v>157</v>
      </c>
      <c r="F59" s="320"/>
      <c r="G59" s="227">
        <v>230000</v>
      </c>
      <c r="H59" s="163">
        <f t="shared" si="1"/>
        <v>0</v>
      </c>
      <c r="I59" s="219"/>
    </row>
    <row r="60" spans="1:9" ht="15.95" customHeight="1" x14ac:dyDescent="0.15">
      <c r="A60" s="508"/>
      <c r="B60" s="297" t="s">
        <v>195</v>
      </c>
      <c r="C60" s="298"/>
      <c r="D60" s="299"/>
      <c r="E60" s="317" t="s">
        <v>157</v>
      </c>
      <c r="F60" s="320"/>
      <c r="G60" s="227">
        <v>230000</v>
      </c>
      <c r="H60" s="163">
        <f t="shared" si="1"/>
        <v>0</v>
      </c>
      <c r="I60" s="219"/>
    </row>
    <row r="61" spans="1:9" ht="15.95" customHeight="1" x14ac:dyDescent="0.15">
      <c r="A61" s="508"/>
      <c r="B61" s="297" t="s">
        <v>196</v>
      </c>
      <c r="C61" s="298"/>
      <c r="D61" s="299"/>
      <c r="E61" s="317" t="s">
        <v>157</v>
      </c>
      <c r="F61" s="320"/>
      <c r="G61" s="227">
        <v>300000</v>
      </c>
      <c r="H61" s="163">
        <f t="shared" si="1"/>
        <v>0</v>
      </c>
      <c r="I61" s="219"/>
    </row>
    <row r="62" spans="1:9" ht="15.95" customHeight="1" x14ac:dyDescent="0.15">
      <c r="A62" s="508"/>
      <c r="B62" s="297" t="s">
        <v>197</v>
      </c>
      <c r="C62" s="298"/>
      <c r="D62" s="299"/>
      <c r="E62" s="317" t="s">
        <v>157</v>
      </c>
      <c r="F62" s="320"/>
      <c r="G62" s="227">
        <v>300000</v>
      </c>
      <c r="H62" s="163">
        <f t="shared" si="1"/>
        <v>0</v>
      </c>
      <c r="I62" s="219"/>
    </row>
    <row r="63" spans="1:9" ht="15.95" customHeight="1" x14ac:dyDescent="0.15">
      <c r="A63" s="508"/>
      <c r="B63" s="297" t="s">
        <v>198</v>
      </c>
      <c r="C63" s="298"/>
      <c r="D63" s="299"/>
      <c r="E63" s="317" t="s">
        <v>157</v>
      </c>
      <c r="F63" s="320"/>
      <c r="G63" s="227">
        <v>300000</v>
      </c>
      <c r="H63" s="163">
        <f t="shared" si="1"/>
        <v>0</v>
      </c>
      <c r="I63" s="219"/>
    </row>
    <row r="64" spans="1:9" ht="15.95" customHeight="1" x14ac:dyDescent="0.15">
      <c r="A64" s="508"/>
      <c r="B64" s="300" t="s">
        <v>199</v>
      </c>
      <c r="C64" s="301"/>
      <c r="D64" s="302"/>
      <c r="E64" s="319" t="s">
        <v>157</v>
      </c>
      <c r="F64" s="323"/>
      <c r="G64" s="230">
        <v>180000</v>
      </c>
      <c r="H64" s="273">
        <f t="shared" si="1"/>
        <v>0</v>
      </c>
      <c r="I64" s="231"/>
    </row>
    <row r="65" spans="1:9" ht="15.95" customHeight="1" x14ac:dyDescent="0.15">
      <c r="A65" s="281"/>
      <c r="B65" s="304" t="s">
        <v>200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201</v>
      </c>
      <c r="C66" s="283"/>
      <c r="D66" s="238"/>
      <c r="E66" s="238"/>
      <c r="F66" s="237"/>
      <c r="G66" s="237"/>
      <c r="H66" s="285">
        <f>'단위공사별(집계)'!L10+'단위공사별(집계)'!I10</f>
        <v>0</v>
      </c>
      <c r="I66" s="238"/>
    </row>
    <row r="67" spans="1:9" ht="15.95" customHeight="1" x14ac:dyDescent="0.15">
      <c r="A67" s="305"/>
      <c r="B67" s="304" t="s">
        <v>202</v>
      </c>
      <c r="C67" s="283"/>
      <c r="D67" s="238"/>
      <c r="E67" s="238"/>
      <c r="F67" s="237"/>
      <c r="G67" s="307"/>
      <c r="H67" s="290">
        <f>SUM(H56,H65) * 0.05</f>
        <v>0</v>
      </c>
      <c r="I67" s="283"/>
    </row>
    <row r="68" spans="1:9" ht="15.95" customHeight="1" x14ac:dyDescent="0.15">
      <c r="A68" s="305"/>
      <c r="B68" s="304" t="s">
        <v>203</v>
      </c>
      <c r="C68" s="283"/>
      <c r="D68" s="238"/>
      <c r="E68" s="238"/>
      <c r="F68" s="237"/>
      <c r="G68" s="307"/>
      <c r="H68" s="290">
        <f>SUM(H56,H65) * 0.1</f>
        <v>0</v>
      </c>
      <c r="I68" s="283"/>
    </row>
    <row r="69" spans="1:9" ht="15.95" customHeight="1" x14ac:dyDescent="0.15">
      <c r="A69" s="305"/>
      <c r="B69" s="304" t="s">
        <v>204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  <pageSetUpPr fitToPage="1"/>
  </sheetPr>
  <dimension ref="A1:I70"/>
  <sheetViews>
    <sheetView zoomScale="85" workbookViewId="0">
      <pane xSplit="2" ySplit="2" topLeftCell="C30" activePane="bottomRight" state="frozen"/>
      <selection activeCell="L14" sqref="L14"/>
      <selection pane="topRight" activeCell="L14" sqref="L14"/>
      <selection pane="bottomLeft" activeCell="L14" sqref="L14"/>
      <selection pane="bottomRight" activeCell="K60" sqref="K60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225</v>
      </c>
      <c r="C1" s="309"/>
      <c r="D1" s="206"/>
      <c r="E1" s="206"/>
      <c r="F1" s="310"/>
      <c r="G1" s="166"/>
      <c r="I1" s="123" t="s">
        <v>133</v>
      </c>
    </row>
    <row r="2" spans="1:9" s="141" customFormat="1" ht="16.5" customHeight="1" x14ac:dyDescent="0.15">
      <c r="A2" s="419" t="s">
        <v>134</v>
      </c>
      <c r="B2" s="503"/>
      <c r="C2" s="131" t="s">
        <v>135</v>
      </c>
      <c r="D2" s="124" t="s">
        <v>136</v>
      </c>
      <c r="E2" s="124" t="s">
        <v>137</v>
      </c>
      <c r="F2" s="284" t="s">
        <v>138</v>
      </c>
      <c r="G2" s="284" t="s">
        <v>139</v>
      </c>
      <c r="H2" s="284" t="s">
        <v>140</v>
      </c>
      <c r="I2" s="124" t="s">
        <v>141</v>
      </c>
    </row>
    <row r="3" spans="1:9" ht="15.95" customHeight="1" x14ac:dyDescent="0.15">
      <c r="A3" s="504" t="s">
        <v>142</v>
      </c>
      <c r="B3" s="212" t="s">
        <v>143</v>
      </c>
      <c r="C3" s="324"/>
      <c r="D3" s="324"/>
      <c r="E3" s="325"/>
      <c r="F3" s="328"/>
      <c r="G3" s="296"/>
      <c r="H3" s="244">
        <f>IF(F3=0,G3,G3*F3)</f>
        <v>0</v>
      </c>
      <c r="I3" s="245"/>
    </row>
    <row r="4" spans="1:9" ht="15.95" customHeight="1" x14ac:dyDescent="0.15">
      <c r="A4" s="508"/>
      <c r="B4" s="212"/>
      <c r="C4" s="213"/>
      <c r="D4" s="213"/>
      <c r="E4" s="270"/>
      <c r="F4" s="329"/>
      <c r="G4" s="271"/>
      <c r="H4" s="163">
        <f>IF(F4=0,G4,G4*F4)</f>
        <v>0</v>
      </c>
      <c r="I4" s="219"/>
    </row>
    <row r="5" spans="1:9" ht="15.95" customHeight="1" x14ac:dyDescent="0.15">
      <c r="A5" s="508"/>
      <c r="B5" s="212"/>
      <c r="C5" s="213"/>
      <c r="D5" s="213"/>
      <c r="E5" s="270"/>
      <c r="F5" s="271"/>
      <c r="G5" s="271"/>
      <c r="H5" s="163">
        <f t="shared" ref="H5:H54" si="0">IF(F5=0,G5,G5*F5)</f>
        <v>0</v>
      </c>
      <c r="I5" s="219"/>
    </row>
    <row r="6" spans="1:9" ht="15.95" customHeight="1" x14ac:dyDescent="0.15">
      <c r="A6" s="508"/>
      <c r="B6" s="212"/>
      <c r="C6" s="213"/>
      <c r="D6" s="213"/>
      <c r="E6" s="270"/>
      <c r="F6" s="271"/>
      <c r="G6" s="271"/>
      <c r="H6" s="163">
        <f t="shared" si="0"/>
        <v>0</v>
      </c>
      <c r="I6" s="219"/>
    </row>
    <row r="7" spans="1:9" ht="15.95" customHeight="1" x14ac:dyDescent="0.15">
      <c r="A7" s="508"/>
      <c r="B7" s="212"/>
      <c r="C7" s="213"/>
      <c r="D7" s="213"/>
      <c r="E7" s="270"/>
      <c r="F7" s="271"/>
      <c r="G7" s="271"/>
      <c r="H7" s="163">
        <f t="shared" si="0"/>
        <v>0</v>
      </c>
      <c r="I7" s="219"/>
    </row>
    <row r="8" spans="1:9" ht="15.95" customHeight="1" x14ac:dyDescent="0.15">
      <c r="A8" s="508"/>
      <c r="B8" s="212"/>
      <c r="C8" s="213"/>
      <c r="D8" s="213"/>
      <c r="E8" s="270"/>
      <c r="F8" s="271"/>
      <c r="G8" s="271"/>
      <c r="H8" s="163">
        <f t="shared" si="0"/>
        <v>0</v>
      </c>
      <c r="I8" s="219"/>
    </row>
    <row r="9" spans="1:9" ht="15.95" customHeight="1" x14ac:dyDescent="0.15">
      <c r="A9" s="508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8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8"/>
      <c r="B11" s="212"/>
      <c r="C11" s="213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8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8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8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8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8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8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8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8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8"/>
      <c r="B23" s="212"/>
      <c r="C23" s="228" t="s">
        <v>150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8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8"/>
      <c r="B25" s="212" t="s">
        <v>214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8"/>
      <c r="B26" s="212" t="s">
        <v>215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8" t="s">
        <v>150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8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8"/>
      <c r="B31" s="260" t="s">
        <v>216</v>
      </c>
      <c r="C31" s="324"/>
      <c r="D31" s="324"/>
      <c r="E31" s="324"/>
      <c r="F31" s="296"/>
      <c r="G31" s="296"/>
      <c r="H31" s="244">
        <f t="shared" si="0"/>
        <v>0</v>
      </c>
      <c r="I31" s="245"/>
    </row>
    <row r="32" spans="1:9" ht="15.95" customHeight="1" x14ac:dyDescent="0.15">
      <c r="A32" s="508"/>
      <c r="B32" s="212" t="s">
        <v>218</v>
      </c>
      <c r="C32" s="213"/>
      <c r="D32" s="213"/>
      <c r="E32" s="213"/>
      <c r="F32" s="271"/>
      <c r="G32" s="271"/>
      <c r="H32" s="163">
        <f t="shared" si="0"/>
        <v>0</v>
      </c>
      <c r="I32" s="219"/>
    </row>
    <row r="33" spans="1:9" ht="15.95" customHeight="1" x14ac:dyDescent="0.15">
      <c r="A33" s="508"/>
      <c r="B33" s="212"/>
      <c r="C33" s="213"/>
      <c r="D33" s="213"/>
      <c r="E33" s="213"/>
      <c r="F33" s="271"/>
      <c r="G33" s="271"/>
      <c r="H33" s="163">
        <f t="shared" si="0"/>
        <v>0</v>
      </c>
      <c r="I33" s="219"/>
    </row>
    <row r="34" spans="1:9" ht="15.95" customHeight="1" x14ac:dyDescent="0.15">
      <c r="A34" s="508"/>
      <c r="B34" s="212"/>
      <c r="C34" s="213"/>
      <c r="D34" s="213"/>
      <c r="E34" s="213"/>
      <c r="F34" s="271"/>
      <c r="G34" s="271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13"/>
      <c r="D35" s="213"/>
      <c r="E35" s="213"/>
      <c r="F35" s="271"/>
      <c r="G35" s="271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13"/>
      <c r="D36" s="213"/>
      <c r="E36" s="213"/>
      <c r="F36" s="271"/>
      <c r="G36" s="271"/>
      <c r="H36" s="163">
        <f t="shared" si="0"/>
        <v>0</v>
      </c>
      <c r="I36" s="219"/>
    </row>
    <row r="37" spans="1:9" ht="15.95" customHeight="1" x14ac:dyDescent="0.15">
      <c r="A37" s="508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8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8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8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8"/>
      <c r="B46" s="212"/>
      <c r="C46" s="228"/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8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8"/>
      <c r="B48" s="260" t="s">
        <v>226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8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8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8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8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8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8"/>
      <c r="B54" s="212"/>
      <c r="C54" s="228" t="s">
        <v>150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8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151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9" t="s">
        <v>152</v>
      </c>
      <c r="B57" s="286" t="s">
        <v>153</v>
      </c>
      <c r="C57" s="283"/>
      <c r="D57" s="287"/>
      <c r="E57" s="330" t="s">
        <v>154</v>
      </c>
      <c r="F57" s="290"/>
      <c r="G57" s="290"/>
      <c r="H57" s="291">
        <f>F57*G57</f>
        <v>0</v>
      </c>
      <c r="I57" s="238"/>
    </row>
    <row r="58" spans="1:9" ht="15.95" customHeight="1" x14ac:dyDescent="0.15">
      <c r="A58" s="508"/>
      <c r="B58" s="292" t="s">
        <v>227</v>
      </c>
      <c r="C58" s="293"/>
      <c r="D58" s="294"/>
      <c r="E58" s="331" t="s">
        <v>157</v>
      </c>
      <c r="F58" s="328"/>
      <c r="G58" s="296">
        <v>250000</v>
      </c>
      <c r="H58" s="244">
        <f t="shared" ref="H58:H64" si="1">F58*G58</f>
        <v>0</v>
      </c>
      <c r="I58" s="245"/>
    </row>
    <row r="59" spans="1:9" ht="15.95" customHeight="1" x14ac:dyDescent="0.15">
      <c r="A59" s="508"/>
      <c r="B59" s="322" t="s">
        <v>228</v>
      </c>
      <c r="C59" s="298"/>
      <c r="D59" s="299"/>
      <c r="E59" s="332" t="s">
        <v>157</v>
      </c>
      <c r="F59" s="329"/>
      <c r="G59" s="271">
        <v>230000</v>
      </c>
      <c r="H59" s="163">
        <f t="shared" si="1"/>
        <v>0</v>
      </c>
      <c r="I59" s="219"/>
    </row>
    <row r="60" spans="1:9" ht="15.95" customHeight="1" x14ac:dyDescent="0.15">
      <c r="A60" s="508"/>
      <c r="B60" s="297" t="s">
        <v>229</v>
      </c>
      <c r="C60" s="298"/>
      <c r="D60" s="299"/>
      <c r="E60" s="332" t="s">
        <v>157</v>
      </c>
      <c r="F60" s="329"/>
      <c r="G60" s="271">
        <v>230000</v>
      </c>
      <c r="H60" s="163">
        <f t="shared" si="1"/>
        <v>0</v>
      </c>
      <c r="I60" s="219"/>
    </row>
    <row r="61" spans="1:9" ht="15.95" customHeight="1" x14ac:dyDescent="0.15">
      <c r="A61" s="508"/>
      <c r="B61" s="297" t="s">
        <v>230</v>
      </c>
      <c r="C61" s="298"/>
      <c r="D61" s="299"/>
      <c r="E61" s="332" t="s">
        <v>157</v>
      </c>
      <c r="F61" s="329"/>
      <c r="G61" s="227">
        <v>300000</v>
      </c>
      <c r="H61" s="163">
        <f t="shared" si="1"/>
        <v>0</v>
      </c>
      <c r="I61" s="219"/>
    </row>
    <row r="62" spans="1:9" ht="15.95" customHeight="1" x14ac:dyDescent="0.15">
      <c r="A62" s="508"/>
      <c r="B62" s="297" t="s">
        <v>231</v>
      </c>
      <c r="C62" s="298"/>
      <c r="D62" s="299"/>
      <c r="E62" s="332" t="s">
        <v>157</v>
      </c>
      <c r="F62" s="329"/>
      <c r="G62" s="227">
        <v>300000</v>
      </c>
      <c r="H62" s="163">
        <f t="shared" si="1"/>
        <v>0</v>
      </c>
      <c r="I62" s="219"/>
    </row>
    <row r="63" spans="1:9" ht="15.95" customHeight="1" x14ac:dyDescent="0.15">
      <c r="A63" s="508"/>
      <c r="B63" s="297" t="s">
        <v>232</v>
      </c>
      <c r="C63" s="298"/>
      <c r="D63" s="299"/>
      <c r="E63" s="332" t="s">
        <v>157</v>
      </c>
      <c r="F63" s="329"/>
      <c r="G63" s="227">
        <v>300000</v>
      </c>
      <c r="H63" s="163">
        <f t="shared" si="1"/>
        <v>0</v>
      </c>
      <c r="I63" s="219"/>
    </row>
    <row r="64" spans="1:9" ht="15.95" customHeight="1" x14ac:dyDescent="0.15">
      <c r="A64" s="508"/>
      <c r="B64" s="300" t="s">
        <v>233</v>
      </c>
      <c r="C64" s="301"/>
      <c r="D64" s="302"/>
      <c r="E64" s="333" t="s">
        <v>157</v>
      </c>
      <c r="F64" s="334"/>
      <c r="G64" s="335">
        <v>180000</v>
      </c>
      <c r="H64" s="273">
        <f t="shared" si="1"/>
        <v>0</v>
      </c>
      <c r="I64" s="231"/>
    </row>
    <row r="65" spans="1:9" ht="15.95" customHeight="1" x14ac:dyDescent="0.15">
      <c r="A65" s="281"/>
      <c r="B65" s="304" t="s">
        <v>161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234</v>
      </c>
      <c r="C66" s="283"/>
      <c r="D66" s="238"/>
      <c r="E66" s="238"/>
      <c r="F66" s="237"/>
      <c r="G66" s="237"/>
      <c r="H66" s="285">
        <f>'단위공사별(집계)'!L11+'단위공사별(집계)'!I11</f>
        <v>0</v>
      </c>
      <c r="I66" s="238"/>
    </row>
    <row r="67" spans="1:9" ht="15.95" customHeight="1" x14ac:dyDescent="0.15">
      <c r="A67" s="305"/>
      <c r="B67" s="304" t="s">
        <v>164</v>
      </c>
      <c r="C67" s="283"/>
      <c r="D67" s="238"/>
      <c r="E67" s="238"/>
      <c r="F67" s="237"/>
      <c r="G67" s="307"/>
      <c r="H67" s="290">
        <f>(H56+H65)*0.05</f>
        <v>0</v>
      </c>
      <c r="I67" s="283"/>
    </row>
    <row r="68" spans="1:9" ht="15.95" customHeight="1" x14ac:dyDescent="0.15">
      <c r="A68" s="305"/>
      <c r="B68" s="304" t="s">
        <v>165</v>
      </c>
      <c r="C68" s="283"/>
      <c r="D68" s="238"/>
      <c r="E68" s="238"/>
      <c r="F68" s="237"/>
      <c r="G68" s="307"/>
      <c r="H68" s="290">
        <f>(H56+H65)*0.1</f>
        <v>0</v>
      </c>
      <c r="I68" s="283"/>
    </row>
    <row r="69" spans="1:9" ht="15.95" customHeight="1" x14ac:dyDescent="0.15">
      <c r="A69" s="305"/>
      <c r="B69" s="304" t="s">
        <v>166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235</v>
      </c>
      <c r="C1" s="309"/>
      <c r="D1" s="206"/>
      <c r="E1" s="206"/>
      <c r="F1" s="310"/>
      <c r="G1" s="166"/>
      <c r="I1" s="123" t="s">
        <v>236</v>
      </c>
    </row>
    <row r="2" spans="1:9" s="141" customFormat="1" ht="16.5" customHeight="1" x14ac:dyDescent="0.15">
      <c r="A2" s="419" t="s">
        <v>237</v>
      </c>
      <c r="B2" s="503"/>
      <c r="C2" s="131" t="s">
        <v>238</v>
      </c>
      <c r="D2" s="124" t="s">
        <v>239</v>
      </c>
      <c r="E2" s="124" t="s">
        <v>240</v>
      </c>
      <c r="F2" s="284" t="s">
        <v>241</v>
      </c>
      <c r="G2" s="284" t="s">
        <v>242</v>
      </c>
      <c r="H2" s="284" t="s">
        <v>243</v>
      </c>
      <c r="I2" s="124" t="s">
        <v>244</v>
      </c>
    </row>
    <row r="3" spans="1:9" ht="15.95" customHeight="1" x14ac:dyDescent="0.15">
      <c r="A3" s="504" t="s">
        <v>245</v>
      </c>
      <c r="B3" s="212" t="s">
        <v>246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8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8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8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8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8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8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8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8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8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8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8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8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8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8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8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8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8"/>
      <c r="B23" s="212"/>
      <c r="C23" s="228" t="s">
        <v>247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8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8"/>
      <c r="B25" s="212" t="s">
        <v>248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8"/>
      <c r="B26" s="212" t="s">
        <v>249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8" t="s">
        <v>247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8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8"/>
      <c r="B31" s="260" t="s">
        <v>250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8"/>
      <c r="B32" s="212" t="s">
        <v>251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8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8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8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8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8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8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8"/>
      <c r="B46" s="212"/>
      <c r="C46" s="228" t="s">
        <v>247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8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8"/>
      <c r="B48" s="260" t="s">
        <v>252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8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8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8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8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8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8"/>
      <c r="B54" s="212"/>
      <c r="C54" s="228" t="s">
        <v>253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8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254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9" t="s">
        <v>255</v>
      </c>
      <c r="B57" s="286" t="s">
        <v>256</v>
      </c>
      <c r="C57" s="283"/>
      <c r="D57" s="287"/>
      <c r="E57" s="330" t="s">
        <v>257</v>
      </c>
      <c r="F57" s="290"/>
      <c r="G57" s="290"/>
      <c r="H57" s="291">
        <f>F57*G57</f>
        <v>0</v>
      </c>
      <c r="I57" s="238"/>
    </row>
    <row r="58" spans="1:9" ht="15.95" customHeight="1" x14ac:dyDescent="0.15">
      <c r="A58" s="508"/>
      <c r="B58" s="292" t="s">
        <v>258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8"/>
      <c r="B59" s="322" t="s">
        <v>259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8"/>
      <c r="B60" s="297" t="s">
        <v>260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8"/>
      <c r="B61" s="297" t="s">
        <v>261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8"/>
      <c r="B62" s="297" t="s">
        <v>262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8"/>
      <c r="B63" s="297" t="s">
        <v>263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8"/>
      <c r="B64" s="300" t="s">
        <v>264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265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266</v>
      </c>
      <c r="C66" s="283"/>
      <c r="D66" s="238"/>
      <c r="E66" s="238"/>
      <c r="F66" s="237"/>
      <c r="G66" s="237"/>
      <c r="H66" s="285">
        <f>'단위공사별(집계)'!I12+'단위공사별(집계)'!L12</f>
        <v>0</v>
      </c>
      <c r="I66" s="238"/>
    </row>
    <row r="67" spans="1:9" ht="15.95" customHeight="1" x14ac:dyDescent="0.15">
      <c r="A67" s="305"/>
      <c r="B67" s="304" t="s">
        <v>267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268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269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  <pageSetUpPr fitToPage="1"/>
  </sheetPr>
  <dimension ref="A1:I70"/>
  <sheetViews>
    <sheetView zoomScale="85" workbookViewId="0">
      <pane xSplit="2" ySplit="2" topLeftCell="C3" activePane="bottomRight" state="frozen"/>
      <selection activeCell="L14" sqref="L14"/>
      <selection pane="topRight" activeCell="L14" sqref="L14"/>
      <selection pane="bottomLeft" activeCell="L14" sqref="L14"/>
      <selection pane="bottomRight" activeCell="K37" sqref="K37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270</v>
      </c>
      <c r="C1" s="309"/>
      <c r="D1" s="206"/>
      <c r="E1" s="206"/>
      <c r="F1" s="310"/>
      <c r="G1" s="166"/>
      <c r="I1" s="123" t="s">
        <v>271</v>
      </c>
    </row>
    <row r="2" spans="1:9" s="141" customFormat="1" ht="16.5" customHeight="1" x14ac:dyDescent="0.15">
      <c r="A2" s="419" t="s">
        <v>272</v>
      </c>
      <c r="B2" s="503"/>
      <c r="C2" s="131" t="s">
        <v>273</v>
      </c>
      <c r="D2" s="124" t="s">
        <v>274</v>
      </c>
      <c r="E2" s="124" t="s">
        <v>275</v>
      </c>
      <c r="F2" s="284" t="s">
        <v>276</v>
      </c>
      <c r="G2" s="284" t="s">
        <v>277</v>
      </c>
      <c r="H2" s="284" t="s">
        <v>278</v>
      </c>
      <c r="I2" s="124" t="s">
        <v>279</v>
      </c>
    </row>
    <row r="3" spans="1:9" ht="15.95" customHeight="1" x14ac:dyDescent="0.15">
      <c r="A3" s="504" t="s">
        <v>280</v>
      </c>
      <c r="B3" s="212" t="s">
        <v>281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8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8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8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8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8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8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8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8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8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8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8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8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8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8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8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8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8"/>
      <c r="B23" s="212"/>
      <c r="C23" s="228" t="s">
        <v>247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8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8"/>
      <c r="B25" s="212" t="s">
        <v>248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8"/>
      <c r="B26" s="212" t="s">
        <v>249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8" t="s">
        <v>247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8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8"/>
      <c r="B31" s="260" t="s">
        <v>250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8"/>
      <c r="B32" s="212" t="s">
        <v>251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8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8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8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8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8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8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8"/>
      <c r="B46" s="212"/>
      <c r="C46" s="228" t="s">
        <v>247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8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8"/>
      <c r="B48" s="260" t="s">
        <v>282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8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8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8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8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8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8"/>
      <c r="B54" s="212"/>
      <c r="C54" s="228" t="s">
        <v>247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8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283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9" t="s">
        <v>284</v>
      </c>
      <c r="B57" s="286" t="s">
        <v>285</v>
      </c>
      <c r="C57" s="283"/>
      <c r="D57" s="287"/>
      <c r="E57" s="330" t="s">
        <v>286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8"/>
      <c r="B58" s="292" t="s">
        <v>287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8"/>
      <c r="B59" s="322" t="s">
        <v>288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8"/>
      <c r="B60" s="297" t="s">
        <v>289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8"/>
      <c r="B61" s="297" t="s">
        <v>290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8"/>
      <c r="B62" s="297" t="s">
        <v>291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8"/>
      <c r="B63" s="297" t="s">
        <v>292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8"/>
      <c r="B64" s="300" t="s">
        <v>293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294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295</v>
      </c>
      <c r="C66" s="283"/>
      <c r="D66" s="238"/>
      <c r="E66" s="238"/>
      <c r="F66" s="237"/>
      <c r="G66" s="237"/>
      <c r="H66" s="285">
        <f>'단위공사별(집계)'!L13+'단위공사별(집계)'!I13</f>
        <v>0</v>
      </c>
      <c r="I66" s="238"/>
    </row>
    <row r="67" spans="1:9" ht="15.95" customHeight="1" x14ac:dyDescent="0.15">
      <c r="A67" s="305"/>
      <c r="B67" s="304" t="s">
        <v>296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297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298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50"/>
    <pageSetUpPr fitToPage="1"/>
  </sheetPr>
  <dimension ref="A1:I70"/>
  <sheetViews>
    <sheetView zoomScale="85" workbookViewId="0">
      <pane xSplit="2" ySplit="2" topLeftCell="C12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270</v>
      </c>
      <c r="C1" s="309"/>
      <c r="D1" s="206"/>
      <c r="E1" s="206"/>
      <c r="F1" s="310"/>
      <c r="G1" s="166"/>
      <c r="I1" s="123" t="s">
        <v>271</v>
      </c>
    </row>
    <row r="2" spans="1:9" s="141" customFormat="1" ht="16.5" customHeight="1" x14ac:dyDescent="0.15">
      <c r="A2" s="419" t="s">
        <v>272</v>
      </c>
      <c r="B2" s="503"/>
      <c r="C2" s="131" t="s">
        <v>273</v>
      </c>
      <c r="D2" s="124" t="s">
        <v>274</v>
      </c>
      <c r="E2" s="124" t="s">
        <v>275</v>
      </c>
      <c r="F2" s="284" t="s">
        <v>276</v>
      </c>
      <c r="G2" s="284" t="s">
        <v>277</v>
      </c>
      <c r="H2" s="284" t="s">
        <v>278</v>
      </c>
      <c r="I2" s="124" t="s">
        <v>279</v>
      </c>
    </row>
    <row r="3" spans="1:9" ht="15.95" customHeight="1" x14ac:dyDescent="0.15">
      <c r="A3" s="504" t="s">
        <v>280</v>
      </c>
      <c r="B3" s="212" t="s">
        <v>281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8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8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8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8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8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8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8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8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8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8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8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8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8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8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8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8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8"/>
      <c r="B23" s="212"/>
      <c r="C23" s="228" t="s">
        <v>247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8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8"/>
      <c r="B25" s="212" t="s">
        <v>248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8"/>
      <c r="B26" s="212" t="s">
        <v>249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8" t="s">
        <v>247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8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8"/>
      <c r="B31" s="260" t="s">
        <v>250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8"/>
      <c r="B32" s="212" t="s">
        <v>251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8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8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8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8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8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8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8"/>
      <c r="B46" s="212"/>
      <c r="C46" s="228" t="s">
        <v>247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8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8"/>
      <c r="B48" s="260" t="s">
        <v>282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8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8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8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8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8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8"/>
      <c r="B54" s="212"/>
      <c r="C54" s="228" t="s">
        <v>247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8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283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9" t="s">
        <v>284</v>
      </c>
      <c r="B57" s="286" t="s">
        <v>285</v>
      </c>
      <c r="C57" s="283"/>
      <c r="D57" s="287"/>
      <c r="E57" s="330" t="s">
        <v>286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8"/>
      <c r="B58" s="292" t="s">
        <v>287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8"/>
      <c r="B59" s="322" t="s">
        <v>288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8"/>
      <c r="B60" s="297" t="s">
        <v>289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8"/>
      <c r="B61" s="297" t="s">
        <v>290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8"/>
      <c r="B62" s="297" t="s">
        <v>291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8"/>
      <c r="B63" s="297" t="s">
        <v>292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8"/>
      <c r="B64" s="300" t="s">
        <v>293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294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295</v>
      </c>
      <c r="C66" s="283"/>
      <c r="D66" s="238"/>
      <c r="E66" s="238"/>
      <c r="F66" s="237"/>
      <c r="G66" s="237"/>
      <c r="H66" s="285">
        <f>'단위공사별(집계)'!L14+'단위공사별(집계)'!I14</f>
        <v>0</v>
      </c>
      <c r="I66" s="238"/>
    </row>
    <row r="67" spans="1:9" ht="15.95" customHeight="1" x14ac:dyDescent="0.15">
      <c r="A67" s="305"/>
      <c r="B67" s="304" t="s">
        <v>296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297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298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50"/>
    <pageSetUpPr fitToPage="1"/>
  </sheetPr>
  <dimension ref="A1:I70"/>
  <sheetViews>
    <sheetView zoomScale="85" workbookViewId="0">
      <pane xSplit="2" ySplit="2" topLeftCell="C42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270</v>
      </c>
      <c r="C1" s="309"/>
      <c r="D1" s="206"/>
      <c r="E1" s="206"/>
      <c r="F1" s="310"/>
      <c r="G1" s="166"/>
      <c r="I1" s="123" t="s">
        <v>271</v>
      </c>
    </row>
    <row r="2" spans="1:9" s="141" customFormat="1" ht="16.5" customHeight="1" x14ac:dyDescent="0.15">
      <c r="A2" s="419" t="s">
        <v>272</v>
      </c>
      <c r="B2" s="503"/>
      <c r="C2" s="131" t="s">
        <v>273</v>
      </c>
      <c r="D2" s="124" t="s">
        <v>274</v>
      </c>
      <c r="E2" s="124" t="s">
        <v>275</v>
      </c>
      <c r="F2" s="284" t="s">
        <v>276</v>
      </c>
      <c r="G2" s="284" t="s">
        <v>277</v>
      </c>
      <c r="H2" s="284" t="s">
        <v>278</v>
      </c>
      <c r="I2" s="124" t="s">
        <v>279</v>
      </c>
    </row>
    <row r="3" spans="1:9" ht="15.95" customHeight="1" x14ac:dyDescent="0.15">
      <c r="A3" s="504" t="s">
        <v>280</v>
      </c>
      <c r="B3" s="212" t="s">
        <v>281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8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8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8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8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8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8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8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8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8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8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8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8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8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8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8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8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8"/>
      <c r="B23" s="212"/>
      <c r="C23" s="228" t="s">
        <v>247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8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8"/>
      <c r="B25" s="212" t="s">
        <v>248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8"/>
      <c r="B26" s="212" t="s">
        <v>249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8" t="s">
        <v>247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8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8"/>
      <c r="B31" s="260" t="s">
        <v>250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8"/>
      <c r="B32" s="212" t="s">
        <v>251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8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8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8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8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8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8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8"/>
      <c r="B46" s="212"/>
      <c r="C46" s="228" t="s">
        <v>247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8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8"/>
      <c r="B48" s="260" t="s">
        <v>282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8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8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8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8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8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8"/>
      <c r="B54" s="212"/>
      <c r="C54" s="228" t="s">
        <v>247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8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283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9" t="s">
        <v>284</v>
      </c>
      <c r="B57" s="286" t="s">
        <v>285</v>
      </c>
      <c r="C57" s="283"/>
      <c r="D57" s="287"/>
      <c r="E57" s="330" t="s">
        <v>286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8"/>
      <c r="B58" s="292" t="s">
        <v>287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8"/>
      <c r="B59" s="322" t="s">
        <v>288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8"/>
      <c r="B60" s="297" t="s">
        <v>289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8"/>
      <c r="B61" s="297" t="s">
        <v>290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8"/>
      <c r="B62" s="297" t="s">
        <v>291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8"/>
      <c r="B63" s="297" t="s">
        <v>292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8"/>
      <c r="B64" s="300" t="s">
        <v>293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294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295</v>
      </c>
      <c r="C66" s="283"/>
      <c r="D66" s="238"/>
      <c r="E66" s="238"/>
      <c r="F66" s="237"/>
      <c r="G66" s="237"/>
      <c r="H66" s="285">
        <f>'단위공사별(집계)'!L15+'단위공사별(집계)'!I15</f>
        <v>0</v>
      </c>
      <c r="I66" s="238"/>
    </row>
    <row r="67" spans="1:9" ht="15.95" customHeight="1" x14ac:dyDescent="0.15">
      <c r="A67" s="305"/>
      <c r="B67" s="304" t="s">
        <v>296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297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298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270</v>
      </c>
      <c r="C1" s="309"/>
      <c r="D1" s="206"/>
      <c r="E1" s="206"/>
      <c r="F1" s="310"/>
      <c r="G1" s="166"/>
      <c r="I1" s="123" t="s">
        <v>271</v>
      </c>
    </row>
    <row r="2" spans="1:9" s="141" customFormat="1" ht="16.5" customHeight="1" x14ac:dyDescent="0.15">
      <c r="A2" s="419" t="s">
        <v>272</v>
      </c>
      <c r="B2" s="503"/>
      <c r="C2" s="131" t="s">
        <v>273</v>
      </c>
      <c r="D2" s="124" t="s">
        <v>274</v>
      </c>
      <c r="E2" s="124" t="s">
        <v>275</v>
      </c>
      <c r="F2" s="284" t="s">
        <v>276</v>
      </c>
      <c r="G2" s="284" t="s">
        <v>277</v>
      </c>
      <c r="H2" s="284" t="s">
        <v>278</v>
      </c>
      <c r="I2" s="124" t="s">
        <v>279</v>
      </c>
    </row>
    <row r="3" spans="1:9" ht="15.95" customHeight="1" x14ac:dyDescent="0.15">
      <c r="A3" s="504" t="s">
        <v>280</v>
      </c>
      <c r="B3" s="212" t="s">
        <v>281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8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8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8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8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8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8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8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8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8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8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8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8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8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8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8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8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8"/>
      <c r="B23" s="212"/>
      <c r="C23" s="228" t="s">
        <v>299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8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8"/>
      <c r="B25" s="212" t="s">
        <v>300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8"/>
      <c r="B26" s="212" t="s">
        <v>301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8" t="s">
        <v>299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8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8"/>
      <c r="B31" s="260" t="s">
        <v>302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8"/>
      <c r="B32" s="212" t="s">
        <v>303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8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8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8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8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8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8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8"/>
      <c r="B46" s="212"/>
      <c r="C46" s="228" t="s">
        <v>299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8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8"/>
      <c r="B48" s="260" t="s">
        <v>282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8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8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8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8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8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8"/>
      <c r="B54" s="212"/>
      <c r="C54" s="228" t="s">
        <v>247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8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283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9" t="s">
        <v>284</v>
      </c>
      <c r="B57" s="286" t="s">
        <v>285</v>
      </c>
      <c r="C57" s="283"/>
      <c r="D57" s="287"/>
      <c r="E57" s="330" t="s">
        <v>286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8"/>
      <c r="B58" s="292" t="s">
        <v>304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8"/>
      <c r="B59" s="322" t="s">
        <v>305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8"/>
      <c r="B60" s="297" t="s">
        <v>306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8"/>
      <c r="B61" s="297" t="s">
        <v>307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8"/>
      <c r="B62" s="297" t="s">
        <v>308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8"/>
      <c r="B63" s="297" t="s">
        <v>309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8"/>
      <c r="B64" s="300" t="s">
        <v>310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311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312</v>
      </c>
      <c r="C66" s="283"/>
      <c r="D66" s="238"/>
      <c r="E66" s="238"/>
      <c r="F66" s="237"/>
      <c r="G66" s="237"/>
      <c r="H66" s="285">
        <f>'단위공사별(집계)'!L15+'단위공사별(집계)'!I15</f>
        <v>0</v>
      </c>
      <c r="I66" s="238"/>
    </row>
    <row r="67" spans="1:9" ht="15.95" customHeight="1" x14ac:dyDescent="0.15">
      <c r="A67" s="305"/>
      <c r="B67" s="304" t="s">
        <v>313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314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315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00B050"/>
    <pageSetUpPr fitToPage="1"/>
  </sheetPr>
  <dimension ref="A1:I70"/>
  <sheetViews>
    <sheetView zoomScale="85" workbookViewId="0">
      <pane xSplit="2" ySplit="2" topLeftCell="C33" activePane="bottomRight" state="frozen"/>
      <selection activeCell="L14" sqref="L14"/>
      <selection pane="topRight" activeCell="L14" sqref="L14"/>
      <selection pane="bottomLeft" activeCell="L14" sqref="L14"/>
      <selection pane="bottomRight" activeCell="L14" sqref="L14"/>
    </sheetView>
  </sheetViews>
  <sheetFormatPr defaultRowHeight="13.5" x14ac:dyDescent="0.15"/>
  <cols>
    <col min="1" max="1" width="5" style="123" customWidth="1"/>
    <col min="2" max="2" width="17.875" style="123" bestFit="1" customWidth="1"/>
    <col min="3" max="3" width="23.625" style="123" customWidth="1"/>
    <col min="4" max="4" width="18.25" style="123" customWidth="1"/>
    <col min="5" max="5" width="5.25" style="123" bestFit="1" customWidth="1"/>
    <col min="6" max="6" width="9" style="152"/>
    <col min="7" max="7" width="11.875" style="152" customWidth="1"/>
    <col min="8" max="8" width="13.625" style="152" customWidth="1"/>
    <col min="9" max="9" width="12.75" style="123" customWidth="1"/>
    <col min="10" max="16384" width="9" style="123"/>
  </cols>
  <sheetData>
    <row r="1" spans="1:9" ht="22.5" customHeight="1" x14ac:dyDescent="0.15">
      <c r="B1" s="204" t="s">
        <v>316</v>
      </c>
      <c r="C1" s="309"/>
      <c r="D1" s="206"/>
      <c r="E1" s="206"/>
      <c r="F1" s="310"/>
      <c r="G1" s="166"/>
      <c r="I1" s="123" t="s">
        <v>317</v>
      </c>
    </row>
    <row r="2" spans="1:9" s="141" customFormat="1" ht="16.5" customHeight="1" x14ac:dyDescent="0.15">
      <c r="A2" s="419" t="s">
        <v>318</v>
      </c>
      <c r="B2" s="503"/>
      <c r="C2" s="131" t="s">
        <v>319</v>
      </c>
      <c r="D2" s="124" t="s">
        <v>320</v>
      </c>
      <c r="E2" s="124" t="s">
        <v>321</v>
      </c>
      <c r="F2" s="284" t="s">
        <v>322</v>
      </c>
      <c r="G2" s="284" t="s">
        <v>323</v>
      </c>
      <c r="H2" s="284" t="s">
        <v>324</v>
      </c>
      <c r="I2" s="124" t="s">
        <v>325</v>
      </c>
    </row>
    <row r="3" spans="1:9" ht="15.95" customHeight="1" x14ac:dyDescent="0.15">
      <c r="A3" s="504" t="s">
        <v>326</v>
      </c>
      <c r="B3" s="212" t="s">
        <v>327</v>
      </c>
      <c r="C3" s="240"/>
      <c r="D3" s="240"/>
      <c r="E3" s="240"/>
      <c r="F3" s="243"/>
      <c r="G3" s="243"/>
      <c r="H3" s="244">
        <f>IF(F3=0,G3,G3*F3)</f>
        <v>0</v>
      </c>
      <c r="I3" s="245"/>
    </row>
    <row r="4" spans="1:9" ht="15.95" customHeight="1" x14ac:dyDescent="0.15">
      <c r="A4" s="508"/>
      <c r="B4" s="212"/>
      <c r="C4" s="220"/>
      <c r="D4" s="220"/>
      <c r="E4" s="220"/>
      <c r="F4" s="227"/>
      <c r="G4" s="227"/>
      <c r="H4" s="163">
        <f>IF(F4=0,G4,G4*F4)</f>
        <v>0</v>
      </c>
      <c r="I4" s="219"/>
    </row>
    <row r="5" spans="1:9" ht="15.95" customHeight="1" x14ac:dyDescent="0.15">
      <c r="A5" s="508"/>
      <c r="B5" s="212"/>
      <c r="C5" s="220"/>
      <c r="D5" s="220"/>
      <c r="E5" s="220"/>
      <c r="F5" s="227"/>
      <c r="G5" s="227"/>
      <c r="H5" s="163">
        <f t="shared" ref="H5:H54" si="0">IF(F5=0,G5,G5*F5)</f>
        <v>0</v>
      </c>
      <c r="I5" s="219"/>
    </row>
    <row r="6" spans="1:9" ht="15.95" customHeight="1" x14ac:dyDescent="0.15">
      <c r="A6" s="508"/>
      <c r="B6" s="212"/>
      <c r="C6" s="220"/>
      <c r="D6" s="220"/>
      <c r="E6" s="220"/>
      <c r="F6" s="227"/>
      <c r="G6" s="227"/>
      <c r="H6" s="163">
        <f t="shared" si="0"/>
        <v>0</v>
      </c>
      <c r="I6" s="219"/>
    </row>
    <row r="7" spans="1:9" ht="15.95" customHeight="1" x14ac:dyDescent="0.15">
      <c r="A7" s="508"/>
      <c r="B7" s="212"/>
      <c r="C7" s="220"/>
      <c r="D7" s="220"/>
      <c r="E7" s="220"/>
      <c r="F7" s="227"/>
      <c r="G7" s="227"/>
      <c r="H7" s="163">
        <f t="shared" si="0"/>
        <v>0</v>
      </c>
      <c r="I7" s="219"/>
    </row>
    <row r="8" spans="1:9" ht="15.95" customHeight="1" x14ac:dyDescent="0.15">
      <c r="A8" s="508"/>
      <c r="B8" s="212"/>
      <c r="C8" s="220"/>
      <c r="D8" s="220"/>
      <c r="E8" s="220"/>
      <c r="F8" s="227"/>
      <c r="G8" s="227"/>
      <c r="H8" s="163">
        <f t="shared" si="0"/>
        <v>0</v>
      </c>
      <c r="I8" s="219"/>
    </row>
    <row r="9" spans="1:9" ht="15.95" customHeight="1" x14ac:dyDescent="0.15">
      <c r="A9" s="508"/>
      <c r="B9" s="212"/>
      <c r="C9" s="220"/>
      <c r="D9" s="220"/>
      <c r="E9" s="220"/>
      <c r="F9" s="227"/>
      <c r="G9" s="227"/>
      <c r="H9" s="163">
        <f t="shared" si="0"/>
        <v>0</v>
      </c>
      <c r="I9" s="219"/>
    </row>
    <row r="10" spans="1:9" ht="15.95" customHeight="1" x14ac:dyDescent="0.15">
      <c r="A10" s="508"/>
      <c r="B10" s="212"/>
      <c r="C10" s="220"/>
      <c r="D10" s="220"/>
      <c r="E10" s="220"/>
      <c r="F10" s="227"/>
      <c r="G10" s="227"/>
      <c r="H10" s="163">
        <f t="shared" si="0"/>
        <v>0</v>
      </c>
      <c r="I10" s="219"/>
    </row>
    <row r="11" spans="1:9" ht="15.95" customHeight="1" x14ac:dyDescent="0.15">
      <c r="A11" s="508"/>
      <c r="B11" s="212"/>
      <c r="C11" s="220"/>
      <c r="D11" s="220"/>
      <c r="E11" s="220"/>
      <c r="F11" s="227"/>
      <c r="G11" s="227"/>
      <c r="H11" s="163">
        <f t="shared" si="0"/>
        <v>0</v>
      </c>
      <c r="I11" s="219"/>
    </row>
    <row r="12" spans="1:9" ht="15.95" customHeight="1" x14ac:dyDescent="0.15">
      <c r="A12" s="508"/>
      <c r="B12" s="212"/>
      <c r="C12" s="220"/>
      <c r="D12" s="220"/>
      <c r="E12" s="220"/>
      <c r="F12" s="227"/>
      <c r="G12" s="227"/>
      <c r="H12" s="163">
        <f t="shared" si="0"/>
        <v>0</v>
      </c>
      <c r="I12" s="219"/>
    </row>
    <row r="13" spans="1:9" ht="15.95" customHeight="1" x14ac:dyDescent="0.15">
      <c r="A13" s="508"/>
      <c r="B13" s="212"/>
      <c r="C13" s="220"/>
      <c r="D13" s="220"/>
      <c r="E13" s="220"/>
      <c r="F13" s="227"/>
      <c r="G13" s="227"/>
      <c r="H13" s="163">
        <f t="shared" si="0"/>
        <v>0</v>
      </c>
      <c r="I13" s="219"/>
    </row>
    <row r="14" spans="1:9" ht="15.95" customHeight="1" x14ac:dyDescent="0.15">
      <c r="A14" s="508"/>
      <c r="B14" s="212"/>
      <c r="C14" s="220"/>
      <c r="D14" s="220"/>
      <c r="E14" s="220"/>
      <c r="F14" s="227"/>
      <c r="G14" s="227"/>
      <c r="H14" s="163">
        <f t="shared" si="0"/>
        <v>0</v>
      </c>
      <c r="I14" s="219"/>
    </row>
    <row r="15" spans="1:9" ht="15.95" customHeight="1" x14ac:dyDescent="0.15">
      <c r="A15" s="508"/>
      <c r="B15" s="212"/>
      <c r="C15" s="220"/>
      <c r="D15" s="220"/>
      <c r="E15" s="220"/>
      <c r="F15" s="227"/>
      <c r="G15" s="227"/>
      <c r="H15" s="163">
        <f t="shared" si="0"/>
        <v>0</v>
      </c>
      <c r="I15" s="219"/>
    </row>
    <row r="16" spans="1:9" ht="15.95" customHeight="1" x14ac:dyDescent="0.15">
      <c r="A16" s="508"/>
      <c r="B16" s="212"/>
      <c r="C16" s="220"/>
      <c r="D16" s="220"/>
      <c r="E16" s="220"/>
      <c r="F16" s="227"/>
      <c r="G16" s="227"/>
      <c r="H16" s="163">
        <f t="shared" si="0"/>
        <v>0</v>
      </c>
      <c r="I16" s="219"/>
    </row>
    <row r="17" spans="1:9" ht="15.95" customHeight="1" x14ac:dyDescent="0.15">
      <c r="A17" s="508"/>
      <c r="B17" s="212"/>
      <c r="C17" s="220"/>
      <c r="D17" s="220"/>
      <c r="E17" s="220"/>
      <c r="F17" s="227"/>
      <c r="G17" s="227"/>
      <c r="H17" s="163">
        <f t="shared" si="0"/>
        <v>0</v>
      </c>
      <c r="I17" s="219"/>
    </row>
    <row r="18" spans="1:9" ht="15.95" customHeight="1" x14ac:dyDescent="0.15">
      <c r="A18" s="508"/>
      <c r="B18" s="212"/>
      <c r="C18" s="220"/>
      <c r="D18" s="220"/>
      <c r="E18" s="220"/>
      <c r="F18" s="227"/>
      <c r="G18" s="227"/>
      <c r="H18" s="163">
        <f t="shared" si="0"/>
        <v>0</v>
      </c>
      <c r="I18" s="219"/>
    </row>
    <row r="19" spans="1:9" ht="15.95" customHeight="1" x14ac:dyDescent="0.15">
      <c r="A19" s="508"/>
      <c r="B19" s="212"/>
      <c r="C19" s="220"/>
      <c r="D19" s="220"/>
      <c r="E19" s="220"/>
      <c r="F19" s="227"/>
      <c r="G19" s="227"/>
      <c r="H19" s="163">
        <f t="shared" si="0"/>
        <v>0</v>
      </c>
      <c r="I19" s="219"/>
    </row>
    <row r="20" spans="1:9" ht="15.95" customHeight="1" x14ac:dyDescent="0.15">
      <c r="A20" s="508"/>
      <c r="B20" s="212"/>
      <c r="C20" s="220"/>
      <c r="D20" s="220"/>
      <c r="E20" s="220"/>
      <c r="F20" s="227"/>
      <c r="G20" s="227"/>
      <c r="H20" s="163">
        <f t="shared" si="0"/>
        <v>0</v>
      </c>
      <c r="I20" s="219"/>
    </row>
    <row r="21" spans="1:9" ht="15.95" customHeight="1" x14ac:dyDescent="0.15">
      <c r="A21" s="508"/>
      <c r="B21" s="212"/>
      <c r="C21" s="220"/>
      <c r="D21" s="220"/>
      <c r="E21" s="220"/>
      <c r="F21" s="227"/>
      <c r="G21" s="227"/>
      <c r="H21" s="163">
        <f t="shared" si="0"/>
        <v>0</v>
      </c>
      <c r="I21" s="219"/>
    </row>
    <row r="22" spans="1:9" ht="15.95" customHeight="1" x14ac:dyDescent="0.15">
      <c r="A22" s="508"/>
      <c r="B22" s="212"/>
      <c r="C22" s="220"/>
      <c r="D22" s="220"/>
      <c r="E22" s="220"/>
      <c r="F22" s="227"/>
      <c r="G22" s="227"/>
      <c r="H22" s="163">
        <f t="shared" si="0"/>
        <v>0</v>
      </c>
      <c r="I22" s="219"/>
    </row>
    <row r="23" spans="1:9" ht="15.95" customHeight="1" x14ac:dyDescent="0.15">
      <c r="A23" s="508"/>
      <c r="B23" s="212"/>
      <c r="C23" s="228" t="s">
        <v>299</v>
      </c>
      <c r="D23" s="247"/>
      <c r="E23" s="247"/>
      <c r="F23" s="250"/>
      <c r="G23" s="250"/>
      <c r="H23" s="251">
        <f t="shared" si="0"/>
        <v>0</v>
      </c>
      <c r="I23" s="252"/>
    </row>
    <row r="24" spans="1:9" ht="15.95" customHeight="1" x14ac:dyDescent="0.15">
      <c r="A24" s="508"/>
      <c r="B24" s="232"/>
      <c r="C24" s="259"/>
      <c r="D24" s="259"/>
      <c r="E24" s="259"/>
      <c r="F24" s="257"/>
      <c r="G24" s="257"/>
      <c r="H24" s="258">
        <f>SUM(H3:H23)</f>
        <v>0</v>
      </c>
      <c r="I24" s="259"/>
    </row>
    <row r="25" spans="1:9" ht="15.95" customHeight="1" x14ac:dyDescent="0.15">
      <c r="A25" s="508"/>
      <c r="B25" s="212" t="s">
        <v>300</v>
      </c>
      <c r="C25" s="221"/>
      <c r="D25" s="221"/>
      <c r="E25" s="221"/>
      <c r="F25" s="224"/>
      <c r="G25" s="224"/>
      <c r="H25" s="217">
        <f t="shared" si="0"/>
        <v>0</v>
      </c>
      <c r="I25" s="218"/>
    </row>
    <row r="26" spans="1:9" ht="15.95" customHeight="1" x14ac:dyDescent="0.15">
      <c r="A26" s="508"/>
      <c r="B26" s="212" t="s">
        <v>301</v>
      </c>
      <c r="C26" s="220"/>
      <c r="D26" s="220"/>
      <c r="E26" s="220"/>
      <c r="F26" s="227"/>
      <c r="G26" s="227"/>
      <c r="H26" s="163">
        <f t="shared" si="0"/>
        <v>0</v>
      </c>
      <c r="I26" s="219"/>
    </row>
    <row r="27" spans="1:9" ht="15.95" customHeight="1" x14ac:dyDescent="0.15">
      <c r="A27" s="508"/>
      <c r="B27" s="212"/>
      <c r="C27" s="220"/>
      <c r="D27" s="220"/>
      <c r="E27" s="220"/>
      <c r="F27" s="227"/>
      <c r="G27" s="227"/>
      <c r="H27" s="163">
        <f t="shared" si="0"/>
        <v>0</v>
      </c>
      <c r="I27" s="219"/>
    </row>
    <row r="28" spans="1:9" ht="15.95" customHeight="1" x14ac:dyDescent="0.15">
      <c r="A28" s="508"/>
      <c r="B28" s="212"/>
      <c r="C28" s="220"/>
      <c r="D28" s="220"/>
      <c r="E28" s="220"/>
      <c r="F28" s="227"/>
      <c r="G28" s="227"/>
      <c r="H28" s="163">
        <f t="shared" si="0"/>
        <v>0</v>
      </c>
      <c r="I28" s="219"/>
    </row>
    <row r="29" spans="1:9" ht="15.95" customHeight="1" x14ac:dyDescent="0.15">
      <c r="A29" s="508"/>
      <c r="B29" s="212"/>
      <c r="C29" s="228" t="s">
        <v>299</v>
      </c>
      <c r="D29" s="228"/>
      <c r="E29" s="228"/>
      <c r="F29" s="230"/>
      <c r="G29" s="230"/>
      <c r="H29" s="163">
        <f t="shared" si="0"/>
        <v>0</v>
      </c>
      <c r="I29" s="231"/>
    </row>
    <row r="30" spans="1:9" ht="15.95" customHeight="1" x14ac:dyDescent="0.15">
      <c r="A30" s="508"/>
      <c r="B30" s="232"/>
      <c r="C30" s="233"/>
      <c r="D30" s="234"/>
      <c r="E30" s="234"/>
      <c r="F30" s="313"/>
      <c r="G30" s="236"/>
      <c r="H30" s="237">
        <f>SUM(H25:H29)</f>
        <v>0</v>
      </c>
      <c r="I30" s="238"/>
    </row>
    <row r="31" spans="1:9" ht="15.95" customHeight="1" x14ac:dyDescent="0.15">
      <c r="A31" s="508"/>
      <c r="B31" s="260" t="s">
        <v>302</v>
      </c>
      <c r="C31" s="240"/>
      <c r="D31" s="240"/>
      <c r="E31" s="240"/>
      <c r="F31" s="243"/>
      <c r="G31" s="243"/>
      <c r="H31" s="244">
        <f t="shared" si="0"/>
        <v>0</v>
      </c>
      <c r="I31" s="245"/>
    </row>
    <row r="32" spans="1:9" ht="15.95" customHeight="1" x14ac:dyDescent="0.15">
      <c r="A32" s="508"/>
      <c r="B32" s="212" t="s">
        <v>303</v>
      </c>
      <c r="C32" s="220"/>
      <c r="D32" s="220"/>
      <c r="E32" s="220"/>
      <c r="F32" s="227"/>
      <c r="G32" s="227"/>
      <c r="H32" s="163">
        <f t="shared" si="0"/>
        <v>0</v>
      </c>
      <c r="I32" s="219"/>
    </row>
    <row r="33" spans="1:9" ht="15.95" customHeight="1" x14ac:dyDescent="0.15">
      <c r="A33" s="508"/>
      <c r="B33" s="212"/>
      <c r="C33" s="220"/>
      <c r="D33" s="220"/>
      <c r="E33" s="220"/>
      <c r="F33" s="227"/>
      <c r="G33" s="227"/>
      <c r="H33" s="163">
        <f t="shared" si="0"/>
        <v>0</v>
      </c>
      <c r="I33" s="219"/>
    </row>
    <row r="34" spans="1:9" ht="15.95" customHeight="1" x14ac:dyDescent="0.15">
      <c r="A34" s="508"/>
      <c r="B34" s="212"/>
      <c r="C34" s="220"/>
      <c r="D34" s="220"/>
      <c r="E34" s="220"/>
      <c r="F34" s="227"/>
      <c r="G34" s="227"/>
      <c r="H34" s="163">
        <f t="shared" si="0"/>
        <v>0</v>
      </c>
      <c r="I34" s="219"/>
    </row>
    <row r="35" spans="1:9" ht="15.95" customHeight="1" x14ac:dyDescent="0.15">
      <c r="A35" s="508"/>
      <c r="B35" s="212"/>
      <c r="C35" s="220"/>
      <c r="D35" s="220"/>
      <c r="E35" s="220"/>
      <c r="F35" s="227"/>
      <c r="G35" s="227"/>
      <c r="H35" s="163">
        <f t="shared" si="0"/>
        <v>0</v>
      </c>
      <c r="I35" s="219"/>
    </row>
    <row r="36" spans="1:9" ht="15.95" customHeight="1" x14ac:dyDescent="0.15">
      <c r="A36" s="508"/>
      <c r="B36" s="212"/>
      <c r="C36" s="220"/>
      <c r="D36" s="220"/>
      <c r="E36" s="220"/>
      <c r="F36" s="227"/>
      <c r="G36" s="227"/>
      <c r="H36" s="163">
        <f t="shared" si="0"/>
        <v>0</v>
      </c>
      <c r="I36" s="219"/>
    </row>
    <row r="37" spans="1:9" ht="15.95" customHeight="1" x14ac:dyDescent="0.15">
      <c r="A37" s="508"/>
      <c r="B37" s="212"/>
      <c r="C37" s="220"/>
      <c r="D37" s="220"/>
      <c r="E37" s="220"/>
      <c r="F37" s="227"/>
      <c r="G37" s="227"/>
      <c r="H37" s="163">
        <f t="shared" si="0"/>
        <v>0</v>
      </c>
      <c r="I37" s="219"/>
    </row>
    <row r="38" spans="1:9" ht="15.95" customHeight="1" x14ac:dyDescent="0.15">
      <c r="A38" s="508"/>
      <c r="B38" s="212"/>
      <c r="C38" s="220"/>
      <c r="D38" s="220"/>
      <c r="E38" s="220"/>
      <c r="F38" s="227"/>
      <c r="G38" s="227"/>
      <c r="H38" s="163">
        <f t="shared" si="0"/>
        <v>0</v>
      </c>
      <c r="I38" s="219"/>
    </row>
    <row r="39" spans="1:9" ht="15.95" customHeight="1" x14ac:dyDescent="0.15">
      <c r="A39" s="508"/>
      <c r="B39" s="212"/>
      <c r="C39" s="220"/>
      <c r="D39" s="220"/>
      <c r="E39" s="220"/>
      <c r="F39" s="227"/>
      <c r="G39" s="227"/>
      <c r="H39" s="163">
        <f t="shared" si="0"/>
        <v>0</v>
      </c>
      <c r="I39" s="219"/>
    </row>
    <row r="40" spans="1:9" ht="15.95" customHeight="1" x14ac:dyDescent="0.15">
      <c r="A40" s="508"/>
      <c r="B40" s="212"/>
      <c r="C40" s="220"/>
      <c r="D40" s="220"/>
      <c r="E40" s="220"/>
      <c r="F40" s="227"/>
      <c r="G40" s="227"/>
      <c r="H40" s="163">
        <f t="shared" si="0"/>
        <v>0</v>
      </c>
      <c r="I40" s="219"/>
    </row>
    <row r="41" spans="1:9" ht="15.95" customHeight="1" x14ac:dyDescent="0.15">
      <c r="A41" s="508"/>
      <c r="B41" s="212"/>
      <c r="C41" s="220"/>
      <c r="D41" s="220"/>
      <c r="E41" s="220"/>
      <c r="F41" s="227"/>
      <c r="G41" s="227"/>
      <c r="H41" s="163">
        <f t="shared" si="0"/>
        <v>0</v>
      </c>
      <c r="I41" s="219"/>
    </row>
    <row r="42" spans="1:9" ht="15.95" customHeight="1" x14ac:dyDescent="0.15">
      <c r="A42" s="508"/>
      <c r="B42" s="212"/>
      <c r="C42" s="220"/>
      <c r="D42" s="220"/>
      <c r="E42" s="220"/>
      <c r="F42" s="227"/>
      <c r="G42" s="227"/>
      <c r="H42" s="163">
        <f t="shared" si="0"/>
        <v>0</v>
      </c>
      <c r="I42" s="219"/>
    </row>
    <row r="43" spans="1:9" ht="15.95" customHeight="1" x14ac:dyDescent="0.15">
      <c r="A43" s="508"/>
      <c r="B43" s="212"/>
      <c r="C43" s="220"/>
      <c r="D43" s="220"/>
      <c r="E43" s="220"/>
      <c r="F43" s="227"/>
      <c r="G43" s="227"/>
      <c r="H43" s="163">
        <f t="shared" si="0"/>
        <v>0</v>
      </c>
      <c r="I43" s="219"/>
    </row>
    <row r="44" spans="1:9" ht="15.95" customHeight="1" x14ac:dyDescent="0.15">
      <c r="A44" s="508"/>
      <c r="B44" s="212"/>
      <c r="C44" s="220"/>
      <c r="D44" s="220"/>
      <c r="E44" s="220"/>
      <c r="F44" s="227"/>
      <c r="G44" s="227"/>
      <c r="H44" s="163">
        <f t="shared" si="0"/>
        <v>0</v>
      </c>
      <c r="I44" s="219"/>
    </row>
    <row r="45" spans="1:9" ht="15.95" customHeight="1" x14ac:dyDescent="0.15">
      <c r="A45" s="508"/>
      <c r="B45" s="212"/>
      <c r="C45" s="220"/>
      <c r="D45" s="220"/>
      <c r="E45" s="220"/>
      <c r="F45" s="227"/>
      <c r="G45" s="227"/>
      <c r="H45" s="163">
        <f t="shared" si="0"/>
        <v>0</v>
      </c>
      <c r="I45" s="219"/>
    </row>
    <row r="46" spans="1:9" ht="15.95" customHeight="1" x14ac:dyDescent="0.15">
      <c r="A46" s="508"/>
      <c r="B46" s="212"/>
      <c r="C46" s="228" t="s">
        <v>299</v>
      </c>
      <c r="D46" s="228"/>
      <c r="E46" s="228"/>
      <c r="F46" s="230"/>
      <c r="G46" s="230"/>
      <c r="H46" s="273">
        <f t="shared" si="0"/>
        <v>0</v>
      </c>
      <c r="I46" s="231"/>
    </row>
    <row r="47" spans="1:9" ht="15.95" customHeight="1" x14ac:dyDescent="0.15">
      <c r="A47" s="508"/>
      <c r="B47" s="232"/>
      <c r="C47" s="233"/>
      <c r="D47" s="234"/>
      <c r="E47" s="234"/>
      <c r="F47" s="236"/>
      <c r="G47" s="236"/>
      <c r="H47" s="237">
        <f>SUM(H31:H46)</f>
        <v>0</v>
      </c>
      <c r="I47" s="238"/>
    </row>
    <row r="48" spans="1:9" ht="15.95" customHeight="1" x14ac:dyDescent="0.15">
      <c r="A48" s="508"/>
      <c r="B48" s="260" t="s">
        <v>328</v>
      </c>
      <c r="C48" s="240"/>
      <c r="D48" s="240"/>
      <c r="E48" s="240"/>
      <c r="F48" s="243"/>
      <c r="G48" s="243"/>
      <c r="H48" s="244">
        <f t="shared" si="0"/>
        <v>0</v>
      </c>
      <c r="I48" s="245"/>
    </row>
    <row r="49" spans="1:9" ht="15.95" customHeight="1" x14ac:dyDescent="0.15">
      <c r="A49" s="508"/>
      <c r="B49" s="212"/>
      <c r="C49" s="220"/>
      <c r="D49" s="220"/>
      <c r="E49" s="220"/>
      <c r="F49" s="227"/>
      <c r="G49" s="227"/>
      <c r="H49" s="163">
        <f t="shared" si="0"/>
        <v>0</v>
      </c>
      <c r="I49" s="219"/>
    </row>
    <row r="50" spans="1:9" ht="15.95" customHeight="1" x14ac:dyDescent="0.15">
      <c r="A50" s="508"/>
      <c r="B50" s="212"/>
      <c r="C50" s="220"/>
      <c r="D50" s="220"/>
      <c r="E50" s="220"/>
      <c r="F50" s="227"/>
      <c r="G50" s="227"/>
      <c r="H50" s="163">
        <f t="shared" si="0"/>
        <v>0</v>
      </c>
      <c r="I50" s="219"/>
    </row>
    <row r="51" spans="1:9" ht="15.95" customHeight="1" x14ac:dyDescent="0.15">
      <c r="A51" s="508"/>
      <c r="B51" s="212"/>
      <c r="C51" s="220"/>
      <c r="D51" s="220"/>
      <c r="E51" s="220"/>
      <c r="F51" s="227"/>
      <c r="G51" s="227"/>
      <c r="H51" s="163">
        <f t="shared" si="0"/>
        <v>0</v>
      </c>
      <c r="I51" s="219"/>
    </row>
    <row r="52" spans="1:9" ht="15.95" customHeight="1" x14ac:dyDescent="0.15">
      <c r="A52" s="508"/>
      <c r="B52" s="212"/>
      <c r="C52" s="220"/>
      <c r="D52" s="220"/>
      <c r="E52" s="220"/>
      <c r="F52" s="227"/>
      <c r="G52" s="227"/>
      <c r="H52" s="163">
        <f t="shared" si="0"/>
        <v>0</v>
      </c>
      <c r="I52" s="219"/>
    </row>
    <row r="53" spans="1:9" ht="15.95" customHeight="1" x14ac:dyDescent="0.15">
      <c r="A53" s="508"/>
      <c r="B53" s="212"/>
      <c r="C53" s="220"/>
      <c r="D53" s="220"/>
      <c r="E53" s="220"/>
      <c r="F53" s="227"/>
      <c r="G53" s="227"/>
      <c r="H53" s="163">
        <f t="shared" si="0"/>
        <v>0</v>
      </c>
      <c r="I53" s="219"/>
    </row>
    <row r="54" spans="1:9" ht="15.95" customHeight="1" x14ac:dyDescent="0.15">
      <c r="A54" s="508"/>
      <c r="B54" s="212"/>
      <c r="C54" s="228" t="s">
        <v>299</v>
      </c>
      <c r="D54" s="228"/>
      <c r="E54" s="228"/>
      <c r="F54" s="230"/>
      <c r="G54" s="230"/>
      <c r="H54" s="273">
        <f t="shared" si="0"/>
        <v>0</v>
      </c>
      <c r="I54" s="231"/>
    </row>
    <row r="55" spans="1:9" ht="15.95" customHeight="1" x14ac:dyDescent="0.15">
      <c r="A55" s="508"/>
      <c r="B55" s="232"/>
      <c r="C55" s="233"/>
      <c r="D55" s="234"/>
      <c r="E55" s="234"/>
      <c r="F55" s="236"/>
      <c r="G55" s="236"/>
      <c r="H55" s="237">
        <f>SUM(H48:H54)</f>
        <v>0</v>
      </c>
      <c r="I55" s="238"/>
    </row>
    <row r="56" spans="1:9" ht="15.95" customHeight="1" x14ac:dyDescent="0.15">
      <c r="A56" s="281"/>
      <c r="B56" s="282" t="s">
        <v>329</v>
      </c>
      <c r="C56" s="283"/>
      <c r="D56" s="238"/>
      <c r="E56" s="238"/>
      <c r="F56" s="285"/>
      <c r="G56" s="285"/>
      <c r="H56" s="237">
        <f>SUM(H55,H47,H30,H24)</f>
        <v>0</v>
      </c>
      <c r="I56" s="238"/>
    </row>
    <row r="57" spans="1:9" ht="15.95" customHeight="1" x14ac:dyDescent="0.15">
      <c r="A57" s="509" t="s">
        <v>330</v>
      </c>
      <c r="B57" s="286" t="s">
        <v>331</v>
      </c>
      <c r="C57" s="283"/>
      <c r="D57" s="287"/>
      <c r="E57" s="330" t="s">
        <v>332</v>
      </c>
      <c r="F57" s="290"/>
      <c r="G57" s="290">
        <f>전기!G55</f>
        <v>0</v>
      </c>
      <c r="H57" s="291">
        <f>F57*G57</f>
        <v>0</v>
      </c>
      <c r="I57" s="238"/>
    </row>
    <row r="58" spans="1:9" ht="15.95" customHeight="1" x14ac:dyDescent="0.15">
      <c r="A58" s="508"/>
      <c r="B58" s="292" t="s">
        <v>304</v>
      </c>
      <c r="C58" s="293"/>
      <c r="D58" s="294"/>
      <c r="E58" s="331" t="s">
        <v>157</v>
      </c>
      <c r="F58" s="243"/>
      <c r="G58" s="243"/>
      <c r="H58" s="244">
        <f t="shared" ref="H58:H64" si="1">F58*G58</f>
        <v>0</v>
      </c>
      <c r="I58" s="245"/>
    </row>
    <row r="59" spans="1:9" ht="15.95" customHeight="1" x14ac:dyDescent="0.15">
      <c r="A59" s="508"/>
      <c r="B59" s="322" t="s">
        <v>305</v>
      </c>
      <c r="C59" s="298"/>
      <c r="D59" s="299"/>
      <c r="E59" s="332" t="s">
        <v>157</v>
      </c>
      <c r="F59" s="227"/>
      <c r="G59" s="227"/>
      <c r="H59" s="163">
        <f t="shared" si="1"/>
        <v>0</v>
      </c>
      <c r="I59" s="219"/>
    </row>
    <row r="60" spans="1:9" ht="15.95" customHeight="1" x14ac:dyDescent="0.15">
      <c r="A60" s="508"/>
      <c r="B60" s="297" t="s">
        <v>306</v>
      </c>
      <c r="C60" s="298"/>
      <c r="D60" s="299"/>
      <c r="E60" s="332" t="s">
        <v>157</v>
      </c>
      <c r="F60" s="227"/>
      <c r="G60" s="227"/>
      <c r="H60" s="163">
        <f t="shared" si="1"/>
        <v>0</v>
      </c>
      <c r="I60" s="219"/>
    </row>
    <row r="61" spans="1:9" ht="15.95" customHeight="1" x14ac:dyDescent="0.15">
      <c r="A61" s="508"/>
      <c r="B61" s="297" t="s">
        <v>307</v>
      </c>
      <c r="C61" s="298"/>
      <c r="D61" s="299"/>
      <c r="E61" s="332" t="s">
        <v>157</v>
      </c>
      <c r="F61" s="227"/>
      <c r="G61" s="227"/>
      <c r="H61" s="163">
        <f t="shared" si="1"/>
        <v>0</v>
      </c>
      <c r="I61" s="219"/>
    </row>
    <row r="62" spans="1:9" ht="15.95" customHeight="1" x14ac:dyDescent="0.15">
      <c r="A62" s="508"/>
      <c r="B62" s="297" t="s">
        <v>308</v>
      </c>
      <c r="C62" s="298"/>
      <c r="D62" s="299"/>
      <c r="E62" s="332" t="s">
        <v>157</v>
      </c>
      <c r="F62" s="227"/>
      <c r="G62" s="227"/>
      <c r="H62" s="163">
        <f t="shared" si="1"/>
        <v>0</v>
      </c>
      <c r="I62" s="219"/>
    </row>
    <row r="63" spans="1:9" ht="15.95" customHeight="1" x14ac:dyDescent="0.15">
      <c r="A63" s="508"/>
      <c r="B63" s="297" t="s">
        <v>309</v>
      </c>
      <c r="C63" s="298"/>
      <c r="D63" s="299"/>
      <c r="E63" s="332" t="s">
        <v>157</v>
      </c>
      <c r="F63" s="227"/>
      <c r="G63" s="227"/>
      <c r="H63" s="163">
        <f t="shared" si="1"/>
        <v>0</v>
      </c>
      <c r="I63" s="219"/>
    </row>
    <row r="64" spans="1:9" ht="15.95" customHeight="1" x14ac:dyDescent="0.15">
      <c r="A64" s="508"/>
      <c r="B64" s="300" t="s">
        <v>310</v>
      </c>
      <c r="C64" s="301"/>
      <c r="D64" s="302"/>
      <c r="E64" s="333" t="s">
        <v>157</v>
      </c>
      <c r="F64" s="230"/>
      <c r="G64" s="230"/>
      <c r="H64" s="273">
        <f t="shared" si="1"/>
        <v>0</v>
      </c>
      <c r="I64" s="231"/>
    </row>
    <row r="65" spans="1:9" ht="15.95" customHeight="1" x14ac:dyDescent="0.15">
      <c r="A65" s="281"/>
      <c r="B65" s="304" t="s">
        <v>311</v>
      </c>
      <c r="C65" s="283"/>
      <c r="D65" s="238"/>
      <c r="E65" s="238"/>
      <c r="F65" s="236"/>
      <c r="G65" s="236"/>
      <c r="H65" s="236">
        <f>SUM(H57:H64)</f>
        <v>0</v>
      </c>
      <c r="I65" s="234"/>
    </row>
    <row r="66" spans="1:9" ht="15.95" customHeight="1" x14ac:dyDescent="0.15">
      <c r="A66" s="305"/>
      <c r="B66" s="304" t="s">
        <v>312</v>
      </c>
      <c r="C66" s="283"/>
      <c r="D66" s="238"/>
      <c r="E66" s="238"/>
      <c r="F66" s="237"/>
      <c r="G66" s="237"/>
      <c r="H66" s="285">
        <f>'단위공사별(집계)'!L15+'단위공사별(집계)'!I15</f>
        <v>0</v>
      </c>
      <c r="I66" s="238"/>
    </row>
    <row r="67" spans="1:9" ht="15.95" customHeight="1" x14ac:dyDescent="0.15">
      <c r="A67" s="305"/>
      <c r="B67" s="304" t="s">
        <v>313</v>
      </c>
      <c r="C67" s="283"/>
      <c r="D67" s="238"/>
      <c r="E67" s="238"/>
      <c r="F67" s="237"/>
      <c r="G67" s="307"/>
      <c r="H67" s="290"/>
      <c r="I67" s="283"/>
    </row>
    <row r="68" spans="1:9" ht="15.95" customHeight="1" x14ac:dyDescent="0.15">
      <c r="A68" s="305"/>
      <c r="B68" s="304" t="s">
        <v>314</v>
      </c>
      <c r="C68" s="283"/>
      <c r="D68" s="238"/>
      <c r="E68" s="238"/>
      <c r="F68" s="237"/>
      <c r="G68" s="307"/>
      <c r="H68" s="290"/>
      <c r="I68" s="283"/>
    </row>
    <row r="69" spans="1:9" ht="15.95" customHeight="1" x14ac:dyDescent="0.15">
      <c r="A69" s="305"/>
      <c r="B69" s="304" t="s">
        <v>315</v>
      </c>
      <c r="C69" s="283"/>
      <c r="D69" s="238"/>
      <c r="E69" s="238"/>
      <c r="F69" s="237"/>
      <c r="G69" s="237"/>
      <c r="H69" s="236">
        <f>H56+H65+H66+H67+H68</f>
        <v>0</v>
      </c>
      <c r="I69" s="238"/>
    </row>
    <row r="70" spans="1:9" x14ac:dyDescent="0.15">
      <c r="A70" s="141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36"/>
  <sheetViews>
    <sheetView zoomScale="85" workbookViewId="0">
      <selection activeCell="L14" sqref="L14"/>
    </sheetView>
  </sheetViews>
  <sheetFormatPr defaultRowHeight="17.25" customHeight="1" x14ac:dyDescent="0.15"/>
  <cols>
    <col min="1" max="1" width="16.5" style="123" customWidth="1"/>
    <col min="2" max="3" width="27.625" style="123" customWidth="1"/>
    <col min="4" max="4" width="11.5" style="123" customWidth="1"/>
    <col min="5" max="16384" width="9" style="123"/>
  </cols>
  <sheetData>
    <row r="1" spans="1:4" ht="17.25" customHeight="1" x14ac:dyDescent="0.15">
      <c r="A1" s="123" t="s">
        <v>333</v>
      </c>
    </row>
    <row r="2" spans="1:4" ht="17.25" customHeight="1" x14ac:dyDescent="0.15">
      <c r="D2" s="141" t="s">
        <v>334</v>
      </c>
    </row>
    <row r="3" spans="1:4" ht="24.75" customHeight="1" x14ac:dyDescent="0.15">
      <c r="A3" s="336" t="s">
        <v>335</v>
      </c>
    </row>
    <row r="4" spans="1:4" ht="11.25" customHeight="1" x14ac:dyDescent="0.15"/>
    <row r="5" spans="1:4" s="338" customFormat="1" ht="21" customHeight="1" thickBot="1" x14ac:dyDescent="0.2">
      <c r="A5" s="337" t="s">
        <v>336</v>
      </c>
      <c r="B5" s="337" t="s">
        <v>337</v>
      </c>
      <c r="C5" s="337" t="s">
        <v>338</v>
      </c>
      <c r="D5" s="337" t="s">
        <v>339</v>
      </c>
    </row>
    <row r="6" spans="1:4" ht="17.25" customHeight="1" thickTop="1" x14ac:dyDescent="0.15">
      <c r="A6" s="277"/>
      <c r="B6" s="277"/>
      <c r="C6" s="277"/>
      <c r="D6" s="277"/>
    </row>
    <row r="7" spans="1:4" ht="17.25" customHeight="1" x14ac:dyDescent="0.15">
      <c r="A7" s="277"/>
      <c r="B7" s="277"/>
      <c r="C7" s="277"/>
      <c r="D7" s="277"/>
    </row>
    <row r="8" spans="1:4" ht="17.25" customHeight="1" x14ac:dyDescent="0.15">
      <c r="A8" s="277"/>
      <c r="B8" s="277"/>
      <c r="C8" s="277"/>
      <c r="D8" s="277"/>
    </row>
    <row r="9" spans="1:4" ht="17.25" customHeight="1" x14ac:dyDescent="0.15">
      <c r="A9" s="277"/>
      <c r="B9" s="277"/>
      <c r="C9" s="277"/>
      <c r="D9" s="277"/>
    </row>
    <row r="10" spans="1:4" ht="17.25" customHeight="1" x14ac:dyDescent="0.15">
      <c r="A10" s="277"/>
      <c r="B10" s="277"/>
      <c r="C10" s="277"/>
      <c r="D10" s="277"/>
    </row>
    <row r="11" spans="1:4" ht="17.25" customHeight="1" x14ac:dyDescent="0.15">
      <c r="A11" s="277"/>
      <c r="B11" s="277"/>
      <c r="C11" s="277"/>
      <c r="D11" s="277"/>
    </row>
    <row r="12" spans="1:4" ht="17.25" customHeight="1" x14ac:dyDescent="0.15">
      <c r="A12" s="277"/>
      <c r="B12" s="277"/>
      <c r="C12" s="277"/>
      <c r="D12" s="277"/>
    </row>
    <row r="13" spans="1:4" ht="17.25" customHeight="1" x14ac:dyDescent="0.15">
      <c r="A13" s="277"/>
      <c r="B13" s="277"/>
      <c r="C13" s="277"/>
      <c r="D13" s="277"/>
    </row>
    <row r="14" spans="1:4" ht="17.25" customHeight="1" x14ac:dyDescent="0.15">
      <c r="A14" s="277"/>
      <c r="B14" s="277"/>
      <c r="C14" s="277"/>
      <c r="D14" s="277"/>
    </row>
    <row r="15" spans="1:4" ht="17.25" customHeight="1" x14ac:dyDescent="0.15">
      <c r="A15" s="277"/>
      <c r="B15" s="277"/>
      <c r="C15" s="277"/>
      <c r="D15" s="277"/>
    </row>
    <row r="16" spans="1:4" ht="17.25" customHeight="1" x14ac:dyDescent="0.15">
      <c r="A16" s="277"/>
      <c r="B16" s="277"/>
      <c r="C16" s="277"/>
      <c r="D16" s="277"/>
    </row>
    <row r="17" spans="1:4" ht="17.25" customHeight="1" x14ac:dyDescent="0.15">
      <c r="A17" s="277"/>
      <c r="B17" s="277"/>
      <c r="C17" s="277"/>
      <c r="D17" s="277"/>
    </row>
    <row r="18" spans="1:4" ht="17.25" customHeight="1" x14ac:dyDescent="0.15">
      <c r="A18" s="277"/>
      <c r="B18" s="277"/>
      <c r="C18" s="277"/>
      <c r="D18" s="277"/>
    </row>
    <row r="19" spans="1:4" ht="17.25" customHeight="1" x14ac:dyDescent="0.15">
      <c r="A19" s="277"/>
      <c r="B19" s="277"/>
      <c r="C19" s="277"/>
      <c r="D19" s="277"/>
    </row>
    <row r="20" spans="1:4" ht="17.25" customHeight="1" x14ac:dyDescent="0.15">
      <c r="A20" s="277"/>
      <c r="B20" s="277"/>
      <c r="C20" s="277"/>
      <c r="D20" s="277"/>
    </row>
    <row r="21" spans="1:4" ht="17.25" customHeight="1" x14ac:dyDescent="0.15">
      <c r="A21" s="277"/>
      <c r="B21" s="277"/>
      <c r="C21" s="277"/>
      <c r="D21" s="277"/>
    </row>
    <row r="22" spans="1:4" ht="17.25" customHeight="1" x14ac:dyDescent="0.15">
      <c r="A22" s="277"/>
      <c r="B22" s="277"/>
      <c r="C22" s="277"/>
      <c r="D22" s="277"/>
    </row>
    <row r="23" spans="1:4" ht="17.25" customHeight="1" x14ac:dyDescent="0.15">
      <c r="A23" s="277"/>
      <c r="B23" s="277"/>
      <c r="C23" s="277"/>
      <c r="D23" s="277"/>
    </row>
    <row r="24" spans="1:4" ht="17.25" customHeight="1" x14ac:dyDescent="0.15">
      <c r="A24" s="277"/>
      <c r="B24" s="277"/>
      <c r="C24" s="277"/>
      <c r="D24" s="277"/>
    </row>
    <row r="25" spans="1:4" ht="17.25" customHeight="1" x14ac:dyDescent="0.15">
      <c r="A25" s="277"/>
      <c r="B25" s="277"/>
      <c r="C25" s="277"/>
      <c r="D25" s="277"/>
    </row>
    <row r="26" spans="1:4" ht="17.25" customHeight="1" x14ac:dyDescent="0.15">
      <c r="A26" s="277"/>
      <c r="B26" s="277"/>
      <c r="C26" s="277"/>
      <c r="D26" s="277"/>
    </row>
    <row r="27" spans="1:4" ht="17.25" customHeight="1" x14ac:dyDescent="0.15">
      <c r="A27" s="277"/>
      <c r="B27" s="277"/>
      <c r="C27" s="277"/>
      <c r="D27" s="277"/>
    </row>
    <row r="28" spans="1:4" ht="17.25" customHeight="1" x14ac:dyDescent="0.15">
      <c r="A28" s="277"/>
      <c r="B28" s="277"/>
      <c r="C28" s="277"/>
      <c r="D28" s="277"/>
    </row>
    <row r="29" spans="1:4" ht="17.25" customHeight="1" x14ac:dyDescent="0.15">
      <c r="A29" s="277"/>
      <c r="B29" s="277"/>
      <c r="C29" s="277"/>
      <c r="D29" s="277"/>
    </row>
    <row r="30" spans="1:4" ht="17.25" customHeight="1" x14ac:dyDescent="0.15">
      <c r="A30" s="277"/>
      <c r="B30" s="277"/>
      <c r="C30" s="277"/>
      <c r="D30" s="277"/>
    </row>
    <row r="31" spans="1:4" ht="17.25" customHeight="1" x14ac:dyDescent="0.15">
      <c r="A31" s="277"/>
      <c r="B31" s="277"/>
      <c r="C31" s="277"/>
      <c r="D31" s="277"/>
    </row>
    <row r="32" spans="1:4" ht="17.25" customHeight="1" x14ac:dyDescent="0.15">
      <c r="A32" s="277"/>
      <c r="B32" s="277"/>
      <c r="C32" s="277"/>
      <c r="D32" s="277"/>
    </row>
    <row r="33" spans="1:4" ht="17.25" customHeight="1" x14ac:dyDescent="0.15">
      <c r="A33" s="277"/>
      <c r="B33" s="277"/>
      <c r="C33" s="277"/>
      <c r="D33" s="277"/>
    </row>
    <row r="34" spans="1:4" ht="17.25" customHeight="1" x14ac:dyDescent="0.15">
      <c r="A34" s="277"/>
      <c r="B34" s="277"/>
      <c r="C34" s="277"/>
      <c r="D34" s="277"/>
    </row>
    <row r="35" spans="1:4" ht="17.25" customHeight="1" x14ac:dyDescent="0.15">
      <c r="A35" s="277"/>
      <c r="B35" s="277"/>
      <c r="C35" s="277"/>
      <c r="D35" s="277"/>
    </row>
    <row r="36" spans="1:4" ht="17.25" customHeight="1" x14ac:dyDescent="0.15">
      <c r="A36" s="234"/>
      <c r="B36" s="234"/>
      <c r="C36" s="234"/>
      <c r="D36" s="234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단위장비1(기계)</vt:lpstr>
      <vt:lpstr>단위장비2(MEXICO LOCAL)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이찬민</dc:creator>
  <cp:lastModifiedBy>WIA</cp:lastModifiedBy>
  <cp:lastPrinted>2018-08-08T04:26:42Z</cp:lastPrinted>
  <dcterms:created xsi:type="dcterms:W3CDTF">2018-07-27T02:42:16Z</dcterms:created>
  <dcterms:modified xsi:type="dcterms:W3CDTF">2018-09-04T01:51:07Z</dcterms:modified>
</cp:coreProperties>
</file>