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wiakr-my.sharepoint.com/personal/honor509_hyundai-wia_com/Documents/설비구매팀/외주수리 업무자료/"/>
    </mc:Choice>
  </mc:AlternateContent>
  <xr:revisionPtr revIDLastSave="0" documentId="8_{838A966B-B846-45B7-89CA-DB2FB5688CA1}" xr6:coauthVersionLast="47" xr6:coauthVersionMax="47" xr10:uidLastSave="{00000000-0000-0000-0000-000000000000}"/>
  <bookViews>
    <workbookView xWindow="-57720" yWindow="-120" windowWidth="29040" windowHeight="15840" xr2:uid="{5C1D7275-7527-4086-ABBE-57996D7E841E}"/>
  </bookViews>
  <sheets>
    <sheet name="커버" sheetId="49" r:id="rId1"/>
    <sheet name="총괄" sheetId="60" r:id="rId2"/>
    <sheet name="세부내역" sheetId="61" r:id="rId3"/>
  </sheets>
  <definedNames>
    <definedName name="_xlnm.Print_Area" localSheetId="2">세부내역!$A$1:$K$210</definedName>
    <definedName name="_xlnm.Print_Area" localSheetId="1">총괄!$A$1:$F$14</definedName>
    <definedName name="_xlnm.Print_Area" localSheetId="0">커버!$A$1:$M$15</definedName>
    <definedName name="_xlnm.Print_Titles" localSheetId="2">세부내역!$2:$3</definedName>
    <definedName name="_xlnm.Print_Titles" localSheetId="1">총괄!$3:$3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4" i="61" l="1"/>
  <c r="I197" i="61"/>
  <c r="I72" i="61" l="1"/>
  <c r="I195" i="61"/>
  <c r="I196" i="61"/>
  <c r="I194" i="61"/>
  <c r="I96" i="61" l="1"/>
  <c r="I105" i="61"/>
  <c r="I104" i="61"/>
  <c r="I103" i="61"/>
  <c r="I89" i="61"/>
  <c r="I175" i="61"/>
  <c r="I90" i="61"/>
  <c r="I187" i="61"/>
  <c r="I188" i="61"/>
  <c r="I190" i="61"/>
  <c r="I189" i="61"/>
  <c r="I158" i="61" l="1"/>
  <c r="I157" i="61"/>
  <c r="I159" i="61"/>
  <c r="I160" i="61"/>
  <c r="I161" i="61"/>
  <c r="I162" i="61"/>
  <c r="I163" i="61"/>
  <c r="I155" i="61"/>
  <c r="I154" i="61"/>
  <c r="I110" i="61"/>
  <c r="I156" i="61"/>
  <c r="I201" i="61" l="1"/>
  <c r="I126" i="61"/>
  <c r="I127" i="61"/>
  <c r="I119" i="61"/>
  <c r="I120" i="61"/>
  <c r="I121" i="61"/>
  <c r="I122" i="61"/>
  <c r="I191" i="61"/>
  <c r="I77" i="61" l="1"/>
  <c r="I83" i="61"/>
  <c r="I86" i="61"/>
  <c r="I84" i="61"/>
  <c r="I168" i="61"/>
  <c r="I167" i="61"/>
  <c r="I170" i="61"/>
  <c r="I97" i="61"/>
  <c r="I153" i="61"/>
  <c r="I106" i="61"/>
  <c r="I99" i="61" l="1"/>
  <c r="I91" i="61" l="1"/>
  <c r="I109" i="61"/>
  <c r="I139" i="61" l="1"/>
  <c r="I131" i="61"/>
  <c r="I132" i="61"/>
  <c r="I133" i="61"/>
  <c r="I134" i="61"/>
  <c r="I135" i="61"/>
  <c r="I136" i="61"/>
  <c r="I137" i="61"/>
  <c r="I138" i="61"/>
  <c r="I129" i="61"/>
  <c r="I128" i="61"/>
  <c r="I124" i="61"/>
  <c r="I123" i="61"/>
  <c r="I112" i="61"/>
  <c r="I111" i="61"/>
  <c r="I184" i="61"/>
  <c r="I185" i="61"/>
  <c r="I183" i="61"/>
  <c r="I102" i="61"/>
  <c r="I101" i="61"/>
  <c r="I82" i="61"/>
  <c r="I81" i="61"/>
  <c r="I80" i="61"/>
  <c r="I100" i="61"/>
  <c r="I98" i="61"/>
  <c r="I95" i="61"/>
  <c r="I94" i="61"/>
  <c r="I93" i="61"/>
  <c r="I92" i="61"/>
  <c r="I88" i="61"/>
  <c r="I87" i="61"/>
  <c r="I85" i="61"/>
  <c r="I36" i="61"/>
  <c r="I130" i="61"/>
  <c r="I182" i="61"/>
  <c r="I181" i="61"/>
  <c r="I174" i="61"/>
  <c r="I171" i="61"/>
  <c r="I199" i="61"/>
  <c r="I200" i="61"/>
  <c r="I79" i="61" l="1"/>
  <c r="I78" i="61"/>
  <c r="I9" i="61"/>
  <c r="I24" i="61"/>
  <c r="I23" i="61"/>
  <c r="I21" i="61"/>
  <c r="I13" i="61"/>
  <c r="I14" i="61"/>
  <c r="I15" i="61"/>
  <c r="I16" i="61"/>
  <c r="I17" i="61"/>
  <c r="I12" i="61"/>
  <c r="I10" i="61"/>
  <c r="I8" i="61"/>
  <c r="I7" i="61"/>
  <c r="I34" i="61" l="1"/>
  <c r="I33" i="61"/>
  <c r="I28" i="61" l="1"/>
  <c r="I202" i="61"/>
  <c r="I45" i="61"/>
  <c r="I44" i="61"/>
  <c r="I43" i="61"/>
  <c r="I42" i="61"/>
  <c r="I169" i="61" l="1"/>
  <c r="I203" i="61"/>
  <c r="I205" i="61"/>
  <c r="I116" i="61" l="1"/>
  <c r="I207" i="61"/>
  <c r="I198" i="61"/>
  <c r="I193" i="61"/>
  <c r="I192" i="61"/>
  <c r="I186" i="61"/>
  <c r="I180" i="61"/>
  <c r="I179" i="61"/>
  <c r="I178" i="61"/>
  <c r="I177" i="61"/>
  <c r="I176" i="61"/>
  <c r="I173" i="61"/>
  <c r="I172" i="61"/>
  <c r="I166" i="61"/>
  <c r="I164" i="61"/>
  <c r="I152" i="61"/>
  <c r="I151" i="61"/>
  <c r="I150" i="61"/>
  <c r="I149" i="61"/>
  <c r="I148" i="61"/>
  <c r="I147" i="61"/>
  <c r="I146" i="61"/>
  <c r="I145" i="61"/>
  <c r="I144" i="61"/>
  <c r="I143" i="61"/>
  <c r="I142" i="61"/>
  <c r="I141" i="61"/>
  <c r="I125" i="61"/>
  <c r="I118" i="61"/>
  <c r="I117" i="61"/>
  <c r="I115" i="61"/>
  <c r="I114" i="61"/>
  <c r="I113" i="61"/>
  <c r="I108" i="61"/>
  <c r="I76" i="61"/>
  <c r="I75" i="61"/>
  <c r="I73" i="61"/>
  <c r="I71" i="61"/>
  <c r="I70" i="61"/>
  <c r="I69" i="61"/>
  <c r="I68" i="61"/>
  <c r="I67" i="61"/>
  <c r="I66" i="61"/>
  <c r="I65" i="61"/>
  <c r="I64" i="61"/>
  <c r="I63" i="61"/>
  <c r="I62" i="61"/>
  <c r="I61" i="61"/>
  <c r="I60" i="61"/>
  <c r="I59" i="61"/>
  <c r="I58" i="61"/>
  <c r="I57" i="61"/>
  <c r="I56" i="61"/>
  <c r="I55" i="61"/>
  <c r="I54" i="61"/>
  <c r="I53" i="61"/>
  <c r="I52" i="61"/>
  <c r="I51" i="61"/>
  <c r="I50" i="61"/>
  <c r="I49" i="61"/>
  <c r="I48" i="61"/>
  <c r="I47" i="61"/>
  <c r="I46" i="61"/>
  <c r="I41" i="61"/>
  <c r="I40" i="61"/>
  <c r="I39" i="61"/>
  <c r="I38" i="61"/>
  <c r="I37" i="61"/>
  <c r="I35" i="61"/>
  <c r="I32" i="61"/>
  <c r="I31" i="61"/>
  <c r="I30" i="61"/>
  <c r="I29" i="61"/>
  <c r="I27" i="61"/>
  <c r="I26" i="61"/>
  <c r="I25" i="61"/>
  <c r="I22" i="61"/>
  <c r="I20" i="61"/>
  <c r="I19" i="61"/>
  <c r="I18" i="61"/>
  <c r="I11" i="61"/>
  <c r="I6" i="61"/>
  <c r="I4" i="61"/>
  <c r="I5" i="61" s="1"/>
  <c r="E4" i="60" s="1"/>
  <c r="I208" i="61" l="1"/>
  <c r="E10" i="60" s="1"/>
  <c r="I165" i="61"/>
  <c r="E8" i="60" s="1"/>
  <c r="I206" i="61"/>
  <c r="E9" i="60" s="1"/>
  <c r="I107" i="61"/>
  <c r="E6" i="60" s="1"/>
  <c r="I140" i="61"/>
  <c r="E7" i="60" s="1"/>
  <c r="I74" i="61"/>
  <c r="E5" i="60" s="1"/>
  <c r="E12" i="60" l="1"/>
  <c r="I209" i="61"/>
  <c r="E11" i="60"/>
  <c r="E13" i="60" l="1"/>
  <c r="I8" i="49" s="1"/>
  <c r="K2" i="49" l="1"/>
  <c r="E8" i="49" l="1"/>
</calcChain>
</file>

<file path=xl/sharedStrings.xml><?xml version="1.0" encoding="utf-8"?>
<sst xmlns="http://schemas.openxmlformats.org/spreadsheetml/2006/main" count="574" uniqueCount="344">
  <si>
    <t>구    분</t>
    <phoneticPr fontId="2" type="noConversion"/>
  </si>
  <si>
    <t>내    용</t>
    <phoneticPr fontId="2" type="noConversion"/>
  </si>
  <si>
    <t>총계 (VAT 별도)</t>
    <phoneticPr fontId="2" type="noConversion"/>
  </si>
  <si>
    <t>합 계</t>
    <phoneticPr fontId="2" type="noConversion"/>
  </si>
  <si>
    <t xml:space="preserve">E S T I M A T E  </t>
    <phoneticPr fontId="5" type="noConversion"/>
  </si>
  <si>
    <t xml:space="preserve">▶ Client </t>
    <phoneticPr fontId="5" type="noConversion"/>
  </si>
  <si>
    <t>:</t>
    <phoneticPr fontId="5" type="noConversion"/>
  </si>
  <si>
    <t>▶ 행  사   명</t>
    <phoneticPr fontId="5" type="noConversion"/>
  </si>
  <si>
    <t>▶ 행 사 기 간</t>
    <phoneticPr fontId="5" type="noConversion"/>
  </si>
  <si>
    <t>▶ 행 사 장 소</t>
    <phoneticPr fontId="5" type="noConversion"/>
  </si>
  <si>
    <t>:</t>
    <phoneticPr fontId="2" type="noConversion"/>
  </si>
  <si>
    <t>▶ 행 사 금 액</t>
    <phoneticPr fontId="5" type="noConversion"/>
  </si>
  <si>
    <t xml:space="preserve">원정  </t>
    <phoneticPr fontId="2" type="noConversion"/>
  </si>
  <si>
    <t>▶ 비       고</t>
    <phoneticPr fontId="2" type="noConversion"/>
  </si>
  <si>
    <t>▶ 기       타</t>
    <phoneticPr fontId="2" type="noConversion"/>
  </si>
  <si>
    <t xml:space="preserve">: </t>
    <phoneticPr fontId="2" type="noConversion"/>
  </si>
  <si>
    <t>:</t>
    <phoneticPr fontId="2" type="noConversion"/>
  </si>
  <si>
    <t>구분</t>
    <phoneticPr fontId="2" type="noConversion"/>
  </si>
  <si>
    <t>내용</t>
    <phoneticPr fontId="2" type="noConversion"/>
  </si>
  <si>
    <t>단위</t>
    <phoneticPr fontId="2" type="noConversion"/>
  </si>
  <si>
    <t>단가</t>
    <phoneticPr fontId="2" type="noConversion"/>
  </si>
  <si>
    <t>금액</t>
    <phoneticPr fontId="2" type="noConversion"/>
  </si>
  <si>
    <t>비고</t>
    <phoneticPr fontId="2" type="noConversion"/>
  </si>
  <si>
    <t>원화(KRW)</t>
    <phoneticPr fontId="2" type="noConversion"/>
  </si>
  <si>
    <t>소 계</t>
    <phoneticPr fontId="2" type="noConversion"/>
  </si>
  <si>
    <t xml:space="preserve"> 합 계</t>
    <phoneticPr fontId="2" type="noConversion"/>
  </si>
  <si>
    <t>식</t>
  </si>
  <si>
    <t>일수</t>
    <phoneticPr fontId="2" type="noConversion"/>
  </si>
  <si>
    <t>수량</t>
    <phoneticPr fontId="2" type="noConversion"/>
  </si>
  <si>
    <t>기획</t>
    <phoneticPr fontId="2" type="noConversion"/>
  </si>
  <si>
    <t>식</t>
    <phoneticPr fontId="2" type="noConversion"/>
  </si>
  <si>
    <t>ㅐ</t>
    <phoneticPr fontId="2" type="noConversion"/>
  </si>
  <si>
    <t>VAT 및 대행료 별도</t>
    <phoneticPr fontId="2" type="noConversion"/>
  </si>
  <si>
    <t>인</t>
  </si>
  <si>
    <t>연출 영상</t>
    <phoneticPr fontId="2" type="noConversion"/>
  </si>
  <si>
    <t>전기 공사</t>
    <phoneticPr fontId="2" type="noConversion"/>
  </si>
  <si>
    <t>135-937 서울특별시 강남구 강남대로 308 랜드마크타워  T:02 2016 2300</t>
    <phoneticPr fontId="2" type="noConversion"/>
  </si>
  <si>
    <t>VAT 별도</t>
    <phoneticPr fontId="2" type="noConversion"/>
  </si>
  <si>
    <t>금  액(원)</t>
    <phoneticPr fontId="2" type="noConversion"/>
  </si>
  <si>
    <t>2026년 1월 6일 ~ 1월 9일 (총 4일)</t>
    <phoneticPr fontId="2" type="noConversion"/>
  </si>
  <si>
    <t>미국 네바다주, 라스베가스 컨벤션 센터 (LVCC) 웨스트홀</t>
    <phoneticPr fontId="2" type="noConversion"/>
  </si>
  <si>
    <t>현대위아</t>
    <phoneticPr fontId="2" type="noConversion"/>
  </si>
  <si>
    <t>CES2026 현대위아관</t>
    <phoneticPr fontId="2" type="noConversion"/>
  </si>
  <si>
    <t>기획 / 디자인</t>
    <phoneticPr fontId="2" type="noConversion"/>
  </si>
  <si>
    <t>전시관 제작</t>
    <phoneticPr fontId="2" type="noConversion"/>
  </si>
  <si>
    <t>콘텐츠 제작</t>
    <phoneticPr fontId="2" type="noConversion"/>
  </si>
  <si>
    <t>시스템</t>
    <phoneticPr fontId="2" type="noConversion"/>
  </si>
  <si>
    <t>인력 / 운영</t>
    <phoneticPr fontId="2" type="noConversion"/>
  </si>
  <si>
    <t>출장비</t>
    <phoneticPr fontId="2" type="noConversion"/>
  </si>
  <si>
    <t>전시관 기획 및 2D, 3D 디자인 등</t>
    <phoneticPr fontId="2" type="noConversion"/>
  </si>
  <si>
    <t>전시관 설계 및 전시관 제작 (자재비, 인건비 등)</t>
    <phoneticPr fontId="2" type="noConversion"/>
  </si>
  <si>
    <t>영상 및 전시 콘텐츠 등</t>
    <phoneticPr fontId="2" type="noConversion"/>
  </si>
  <si>
    <t>전시관 LED 영상 시스템, 조명, 음향 및 오퍼레이팅 등</t>
    <phoneticPr fontId="2" type="noConversion"/>
  </si>
  <si>
    <t>PDP, 인쇄물, 출력물 등 번역작업</t>
  </si>
  <si>
    <t xml:space="preserve">리시버, 무전기, 노트북, 미니 냉장고, 차단봉 등 물자 렌탈 </t>
  </si>
  <si>
    <t>프로그램 안내 제품/사인물 출력 (배너 / POP 등)</t>
  </si>
  <si>
    <t>진행스탭 유니폼 (상의/하의/스니커즈) 구매</t>
  </si>
  <si>
    <t>랜야드 제작 (100개 기준)</t>
  </si>
  <si>
    <t>사전 준비, 업무 통신비, 스탭 식음대, 현장 운영비 등</t>
    <phoneticPr fontId="2" type="noConversion"/>
  </si>
  <si>
    <t>케이터링</t>
    <phoneticPr fontId="2" type="noConversion"/>
  </si>
  <si>
    <t>구매</t>
    <phoneticPr fontId="2" type="noConversion"/>
  </si>
  <si>
    <t>인건비</t>
    <phoneticPr fontId="2" type="noConversion"/>
  </si>
  <si>
    <t>일반 운영</t>
    <phoneticPr fontId="2" type="noConversion"/>
  </si>
  <si>
    <t>진행비</t>
    <phoneticPr fontId="2" type="noConversion"/>
  </si>
  <si>
    <t>예비비</t>
    <phoneticPr fontId="2" type="noConversion"/>
  </si>
  <si>
    <t>슈퍼바이저_전시품 및 관람객 안전관리</t>
    <phoneticPr fontId="2" type="noConversion"/>
  </si>
  <si>
    <t>스태프_고객 체험 / 클리닝 / 전체 물자 관리</t>
    <phoneticPr fontId="2" type="noConversion"/>
  </si>
  <si>
    <t>운영감독_전시 운영관리</t>
    <phoneticPr fontId="2" type="noConversion"/>
  </si>
  <si>
    <t>인포메이션_전시관 안내, 미팅룸 안내</t>
    <phoneticPr fontId="2" type="noConversion"/>
  </si>
  <si>
    <t xml:space="preserve">영상 </t>
    <phoneticPr fontId="2" type="noConversion"/>
  </si>
  <si>
    <t>32" 터치 스크린</t>
  </si>
  <si>
    <t>55" TV</t>
  </si>
  <si>
    <t>음향</t>
    <phoneticPr fontId="2" type="noConversion"/>
  </si>
  <si>
    <t>중계</t>
    <phoneticPr fontId="2" type="noConversion"/>
  </si>
  <si>
    <t>ea</t>
    <phoneticPr fontId="2" type="noConversion"/>
  </si>
  <si>
    <t>조명</t>
    <phoneticPr fontId="2" type="noConversion"/>
  </si>
  <si>
    <t>대행수수료(1~6 합계의 10%)</t>
    <phoneticPr fontId="2" type="noConversion"/>
  </si>
  <si>
    <t>쇼서비스</t>
    <phoneticPr fontId="2" type="noConversion"/>
  </si>
  <si>
    <t>LVCC 현장 설치, 운영 지원 서비스 비용</t>
    <phoneticPr fontId="2" type="noConversion"/>
  </si>
  <si>
    <t>2대 x 1일 x 8시간</t>
  </si>
  <si>
    <t>2대 x 1일 x 4시간</t>
  </si>
  <si>
    <t>2대 x 2일 x 8시간</t>
  </si>
  <si>
    <t>1대 x 2일 x 8시간</t>
  </si>
  <si>
    <t>material handling fee / per 100lbs</t>
  </si>
  <si>
    <t>Cable, Extension cord, Tail(male/female) 등</t>
  </si>
  <si>
    <t>Condor / High lift (ST)</t>
    <phoneticPr fontId="2" type="noConversion"/>
  </si>
  <si>
    <t>Scissor Lift (ST)</t>
    <phoneticPr fontId="2" type="noConversion"/>
  </si>
  <si>
    <t>Scissor Lift (OT)</t>
    <phoneticPr fontId="2" type="noConversion"/>
  </si>
  <si>
    <t>forklift (ST)</t>
    <phoneticPr fontId="2" type="noConversion"/>
  </si>
  <si>
    <t>Drayage</t>
    <phoneticPr fontId="2" type="noConversion"/>
  </si>
  <si>
    <t>리깅 작업자</t>
    <phoneticPr fontId="2" type="noConversion"/>
  </si>
  <si>
    <t>8인 x 2일 x 8시간 (Standard Time)</t>
    <phoneticPr fontId="2" type="noConversion"/>
  </si>
  <si>
    <t>8인 x 1일 x 4시간 (Over Time)</t>
    <phoneticPr fontId="2" type="noConversion"/>
  </si>
  <si>
    <t>철거(OT) 2인 x 4시간 x 1일</t>
    <phoneticPr fontId="2" type="noConversion"/>
  </si>
  <si>
    <t>철거(ST) 2인 x 8시간 x 2일</t>
    <phoneticPr fontId="2" type="noConversion"/>
  </si>
  <si>
    <t>설치(ST) 바닥작업, 간선,제품전력 연결 (2인 x 8시간 x 3일)</t>
    <phoneticPr fontId="2" type="noConversion"/>
  </si>
  <si>
    <t>설치(OT) 간선작업, 제품전력 연결 (2인 x 4시간 x 1일)</t>
    <phoneticPr fontId="2" type="noConversion"/>
  </si>
  <si>
    <t>전기 소재</t>
    <phoneticPr fontId="2" type="noConversion"/>
  </si>
  <si>
    <t>time</t>
    <phoneticPr fontId="2" type="noConversion"/>
  </si>
  <si>
    <t>ibs</t>
    <phoneticPr fontId="2" type="noConversion"/>
  </si>
  <si>
    <t>전시관 연출 영상 제작 (타이틀, VJ영상 등)</t>
    <phoneticPr fontId="2" type="noConversion"/>
  </si>
  <si>
    <t>제작 가구 공사</t>
    <phoneticPr fontId="2" type="noConversion"/>
  </si>
  <si>
    <t>트러스 공사</t>
    <phoneticPr fontId="2" type="noConversion"/>
  </si>
  <si>
    <t>실링 공사</t>
    <phoneticPr fontId="2" type="noConversion"/>
  </si>
  <si>
    <t>사인 그래픽 공사</t>
    <phoneticPr fontId="2" type="noConversion"/>
  </si>
  <si>
    <t>렌탈 가구 공사</t>
    <phoneticPr fontId="2" type="noConversion"/>
  </si>
  <si>
    <t>전시관 및 룸 천장 구조</t>
    <phoneticPr fontId="2" type="noConversion"/>
  </si>
  <si>
    <t>인포메이션 데스크</t>
    <phoneticPr fontId="2" type="noConversion"/>
  </si>
  <si>
    <t>HVAC 키오스크</t>
    <phoneticPr fontId="2" type="noConversion"/>
  </si>
  <si>
    <t>블랙 스틸 트러스</t>
    <phoneticPr fontId="2" type="noConversion"/>
  </si>
  <si>
    <t>체인 모터</t>
    <phoneticPr fontId="2" type="noConversion"/>
  </si>
  <si>
    <t>컨트롤 박스</t>
    <phoneticPr fontId="2" type="noConversion"/>
  </si>
  <si>
    <t>리깅 하드웨어 (Grapple, Shackles, GAC Flex Turn buckle 등)</t>
    <phoneticPr fontId="2" type="noConversion"/>
  </si>
  <si>
    <t>잔넬 리깅 프레임</t>
    <phoneticPr fontId="2" type="noConversion"/>
  </si>
  <si>
    <t>현대위아 메인로고(리깅)</t>
  </si>
  <si>
    <t>스카시 및 시트커팅, 실사출력</t>
    <phoneticPr fontId="2" type="noConversion"/>
  </si>
  <si>
    <t>다운라이트</t>
  </si>
  <si>
    <t>VIP 룸 팬던트</t>
  </si>
  <si>
    <t>디밍스위치</t>
  </si>
  <si>
    <t>파워소켓</t>
  </si>
  <si>
    <t>트러스 부착 조명</t>
    <phoneticPr fontId="2" type="noConversion"/>
  </si>
  <si>
    <t>내부 라인 LED 조명</t>
    <phoneticPr fontId="2" type="noConversion"/>
  </si>
  <si>
    <t>전시 구간 별 T5 조명</t>
    <phoneticPr fontId="2" type="noConversion"/>
  </si>
  <si>
    <t>스탭룸 테이블(4인용)</t>
  </si>
  <si>
    <t>스탭룸의자</t>
  </si>
  <si>
    <t>INFO 스툴</t>
  </si>
  <si>
    <t>VIP룸 쇼파(3인용)</t>
  </si>
  <si>
    <t>VIP룸 쇼파(1인용)</t>
  </si>
  <si>
    <t>VIP룸 티테이블</t>
  </si>
  <si>
    <t>콘솔 테이블</t>
  </si>
  <si>
    <t>콘솔 의자</t>
  </si>
  <si>
    <t>잡자재비</t>
    <phoneticPr fontId="2" type="noConversion"/>
  </si>
  <si>
    <t>기타 비용</t>
    <phoneticPr fontId="2" type="noConversion"/>
  </si>
  <si>
    <t>Booth Labor_Installation</t>
  </si>
  <si>
    <t>Booth Labor_Installation over time</t>
  </si>
  <si>
    <t>Booth Labor_Dismantle</t>
  </si>
  <si>
    <t>Electric Labor_Installation</t>
  </si>
  <si>
    <t>Electric Labor_Installation over time</t>
  </si>
  <si>
    <t>Electric Labor_Dismantle</t>
  </si>
  <si>
    <t>Sign Labor_Installation</t>
  </si>
  <si>
    <t>Sign Labor_Dismantle</t>
  </si>
  <si>
    <t>m</t>
    <phoneticPr fontId="2" type="noConversion"/>
  </si>
  <si>
    <t>set</t>
    <phoneticPr fontId="2" type="noConversion"/>
  </si>
  <si>
    <t>설치/철거 인건비</t>
    <phoneticPr fontId="2" type="noConversion"/>
  </si>
  <si>
    <t>현장 감리 / Engineering Drawing</t>
    <phoneticPr fontId="2" type="noConversion"/>
  </si>
  <si>
    <t>대행사 현장 출장비 등</t>
    <phoneticPr fontId="2" type="noConversion"/>
  </si>
  <si>
    <t>콘텐츠 시연용 테블릿</t>
    <phoneticPr fontId="2" type="noConversion"/>
  </si>
  <si>
    <t>대행사 출장비</t>
    <phoneticPr fontId="2" type="noConversion"/>
  </si>
  <si>
    <t>현지 운영 및 안내 인력, 기타 운영 제반 사항 및 진행비, 예비비 등</t>
    <phoneticPr fontId="2" type="noConversion"/>
  </si>
  <si>
    <t>TMS 전시 집기</t>
    <phoneticPr fontId="2" type="noConversion"/>
  </si>
  <si>
    <t>AMR 전시대</t>
    <phoneticPr fontId="2" type="noConversion"/>
  </si>
  <si>
    <t>리깅 오브제 Option1. 프랙탈 패브릭 조형물 구조 및 오브제 제작</t>
    <phoneticPr fontId="2" type="noConversion"/>
  </si>
  <si>
    <t>리깅 오브제 Option1. 프랙탈 패브릭 조형물 자동화 연출 조명 시스템</t>
    <phoneticPr fontId="2" type="noConversion"/>
  </si>
  <si>
    <t>WDS 목공 구조 집기, 마감</t>
    <phoneticPr fontId="2" type="noConversion"/>
  </si>
  <si>
    <t>Dual CVJ 목공 구조 집기, 마감</t>
    <phoneticPr fontId="2" type="noConversion"/>
  </si>
  <si>
    <t>WDS 디스플레이, 시연 집기</t>
    <phoneticPr fontId="2" type="noConversion"/>
  </si>
  <si>
    <t>AMR 현대자동차관 CCTV option1. 웹 CCTV 설치 형</t>
    <phoneticPr fontId="2" type="noConversion"/>
  </si>
  <si>
    <t>AMR 현대자동차관 CCTV option2. 무선 중계카메라 설치 형</t>
    <phoneticPr fontId="2" type="noConversion"/>
  </si>
  <si>
    <t>리깅 오브제 Option1. 프랙탈 패브릭 조형물 연출 조명 시스템</t>
    <phoneticPr fontId="2" type="noConversion"/>
  </si>
  <si>
    <t>설치 철거 보양재</t>
    <phoneticPr fontId="2" type="noConversion"/>
  </si>
  <si>
    <t>바닥 18T 합판 2PLY / 바닥 몰딩 등</t>
    <phoneticPr fontId="2" type="noConversion"/>
  </si>
  <si>
    <t>바닥 공사</t>
    <phoneticPr fontId="2" type="noConversion"/>
  </si>
  <si>
    <t>외부 목공 구조</t>
    <phoneticPr fontId="2" type="noConversion"/>
  </si>
  <si>
    <t>후면 외부 구조 (15,240mmL x 5,000mmH x 70mmD)</t>
    <phoneticPr fontId="2" type="noConversion"/>
  </si>
  <si>
    <t>우측면 외부 구조 (6,731mmL x 5,000mmH x 70mmD)</t>
    <phoneticPr fontId="2" type="noConversion"/>
  </si>
  <si>
    <t>벽체 구조</t>
    <phoneticPr fontId="2" type="noConversion"/>
  </si>
  <si>
    <t>Enginerring Drawing</t>
    <phoneticPr fontId="2" type="noConversion"/>
  </si>
  <si>
    <t>Shipping</t>
    <phoneticPr fontId="2" type="noConversion"/>
  </si>
  <si>
    <t>목공구조, 라미네이트 마감 / 25,000mm x 5,000mmH</t>
  </si>
  <si>
    <t>목공구조, 라미네이트 마감 / 18,000mm x 3,000mmH</t>
  </si>
  <si>
    <t>Seamless Comport Zone 금속 프레임</t>
  </si>
  <si>
    <t>우든도어</t>
  </si>
  <si>
    <t>유리 강화 도어 / 손잡이  / 힌지</t>
  </si>
  <si>
    <t>유리프레임</t>
  </si>
  <si>
    <t>VIP룸 유리</t>
  </si>
  <si>
    <t>메인 LED 프레임 제작</t>
    <phoneticPr fontId="2" type="noConversion"/>
  </si>
  <si>
    <t>Control, Connection Zone 구조천장 / 목공구조, 라미네이트  마감</t>
    <phoneticPr fontId="2" type="noConversion"/>
  </si>
  <si>
    <t>미팅, 스태프 룸 구조 천장 / 목공구조, 라미네이트  마감</t>
    <phoneticPr fontId="2" type="noConversion"/>
  </si>
  <si>
    <t>제작 드로잉</t>
  </si>
  <si>
    <t>구조 계산 및 Wet Stamp</t>
  </si>
  <si>
    <t xml:space="preserve">현지 운송비 / LA ~ Las Vegas </t>
  </si>
  <si>
    <t>㎡</t>
    <phoneticPr fontId="2" type="noConversion"/>
  </si>
  <si>
    <t>자평</t>
    <phoneticPr fontId="2" type="noConversion"/>
  </si>
  <si>
    <t>Seamless Connection Zone 개별 목공구조, 라미네이트 마감</t>
    <phoneticPr fontId="2" type="noConversion"/>
  </si>
  <si>
    <t>우든 크레이트 &amp; 팔레트 제작 / 팩킹</t>
    <phoneticPr fontId="2" type="noConversion"/>
  </si>
  <si>
    <t>메인 LED</t>
    <phoneticPr fontId="2" type="noConversion"/>
  </si>
  <si>
    <t>option. 현대자동차관 설치 컨디션에 따라 변동</t>
    <phoneticPr fontId="2" type="noConversion"/>
  </si>
  <si>
    <t>온스테이지 1인, 2교대 기준으로 반영</t>
    <phoneticPr fontId="2" type="noConversion"/>
  </si>
  <si>
    <t>발표자료 (키노트)</t>
    <phoneticPr fontId="2" type="noConversion"/>
  </si>
  <si>
    <t>발표자료 제작</t>
    <phoneticPr fontId="2" type="noConversion"/>
  </si>
  <si>
    <t>15~30초 분량의 모션 그래픽, 1안 기준, 촬영 미포함 기준</t>
    <phoneticPr fontId="2" type="noConversion"/>
  </si>
  <si>
    <t>발표자료 오퍼레이터, 오퍼레이팅 장비, 현지 출장 비용 등</t>
    <phoneticPr fontId="2" type="noConversion"/>
  </si>
  <si>
    <t>제작 분량에 따라 변동</t>
    <phoneticPr fontId="2" type="noConversion"/>
  </si>
  <si>
    <t>쇼케이스 연출 지원 인력</t>
    <phoneticPr fontId="2" type="noConversion"/>
  </si>
  <si>
    <t>전시관 현장 보안관리, 현장 경호</t>
    <phoneticPr fontId="2" type="noConversion"/>
  </si>
  <si>
    <t>헤리티지 존 전시 집기 (테이블, HW등)</t>
    <phoneticPr fontId="2" type="noConversion"/>
  </si>
  <si>
    <t>뱃지 스캐너</t>
    <phoneticPr fontId="2" type="noConversion"/>
  </si>
  <si>
    <t>28일 얼리무브인 적용, 일수 상승</t>
    <phoneticPr fontId="2" type="noConversion"/>
  </si>
  <si>
    <t>트러스 천장 가림막 (설치 작업 포함)</t>
    <phoneticPr fontId="2" type="noConversion"/>
  </si>
  <si>
    <t>리깅 오브제 Option2. Line LED + 아크릴 구조물 구조</t>
    <phoneticPr fontId="2" type="noConversion"/>
  </si>
  <si>
    <t>리깅 오브제 Option2. Line LED + 아크릴 구조물 구조 조명 연출 SW</t>
    <phoneticPr fontId="2" type="noConversion"/>
  </si>
  <si>
    <t>체험프로그램</t>
    <phoneticPr fontId="2" type="noConversion"/>
  </si>
  <si>
    <t>쇼케이스 서베이</t>
    <phoneticPr fontId="2" type="noConversion"/>
  </si>
  <si>
    <t>SNS 팔로우 이벤트</t>
    <phoneticPr fontId="2" type="noConversion"/>
  </si>
  <si>
    <t>AMR</t>
    <phoneticPr fontId="2" type="noConversion"/>
  </si>
  <si>
    <t>WDS</t>
    <phoneticPr fontId="2" type="noConversion"/>
  </si>
  <si>
    <t>Dual CVJ</t>
    <phoneticPr fontId="2" type="noConversion"/>
  </si>
  <si>
    <t>WDS 물리 손잡이 통신, 신호 제어, 영상 연동 SW 개발</t>
    <phoneticPr fontId="2" type="noConversion"/>
  </si>
  <si>
    <t>Dual CVJ 차량 부착형 레일 시스템</t>
    <phoneticPr fontId="2" type="noConversion"/>
  </si>
  <si>
    <t>ARS</t>
    <phoneticPr fontId="2" type="noConversion"/>
  </si>
  <si>
    <t>Control Zone 3종</t>
    <phoneticPr fontId="2" type="noConversion"/>
  </si>
  <si>
    <t>디스플레이 영상 2D, 3D 모션그래픽 디자인</t>
    <phoneticPr fontId="2" type="noConversion"/>
  </si>
  <si>
    <t>미디어 테이블 HW, 인터랙션 오브젝트 (원형 퍽) 제작</t>
    <phoneticPr fontId="2" type="noConversion"/>
  </si>
  <si>
    <t>2D 모션 그래픽 디자인</t>
    <phoneticPr fontId="2" type="noConversion"/>
  </si>
  <si>
    <t>큐브 인식 및 연동 컨텐츠 개발</t>
    <phoneticPr fontId="2" type="noConversion"/>
  </si>
  <si>
    <t>Control Zone 기타 제품 (IDA, e-LSD, e-TVTC) 전시 테이블</t>
    <phoneticPr fontId="2" type="noConversion"/>
  </si>
  <si>
    <t>ARS 전시 집기 목공 구조 집기, 마감 / 구조 보강 등</t>
    <phoneticPr fontId="2" type="noConversion"/>
  </si>
  <si>
    <t>대</t>
    <phoneticPr fontId="2" type="noConversion"/>
  </si>
  <si>
    <t>참가 직원 수송 차량 option.1 15인승 포드 드랜짓 / 1일 10시간 / 한인 드라이버 포함</t>
    <phoneticPr fontId="2" type="noConversion"/>
  </si>
  <si>
    <t>참가 직원 수송 차량 option.2 15인승 벤츠 스프린터 / 1일 10시간 / 한인 드라이버 포함</t>
    <phoneticPr fontId="2" type="noConversion"/>
  </si>
  <si>
    <t>참가 직원 수송 차량 option.3 25인승 코치 버스 / 1일 10시간 / 한인 드라이버 포함</t>
    <phoneticPr fontId="2" type="noConversion"/>
  </si>
  <si>
    <t>참가 직원 수송 차량 option.4 33인승 리무진 버스 / 1일 10시간 / 한인 드라이버 포함</t>
    <phoneticPr fontId="2" type="noConversion"/>
  </si>
  <si>
    <t>오퍼레이팅 시스템, 오퍼레이터</t>
    <phoneticPr fontId="2" type="noConversion"/>
  </si>
  <si>
    <t>오퍼레이터 현지 출장비</t>
    <phoneticPr fontId="2" type="noConversion"/>
  </si>
  <si>
    <t>(옵션 1) HD 카메라 - 목업 차량 내부 : 인캠 1대 + 목업 차량 외부 : 핸드헬드 카메라 2대</t>
  </si>
  <si>
    <t>(옵션 2) HD 카메라 - 목업 차량 내부 : 핸드핼드 카메라 1대 + 목업 차량 외부 : 촬영 용 핸드헬드 카메라 1대</t>
  </si>
  <si>
    <t>(옵션 1/2 동일) HD 카메라 및 전체 장비 운송료 (항공 운송 기준 약 40일간)</t>
  </si>
  <si>
    <t>(옵션 3) 4K 카메라 - 목업 차량 내부 : 인캠 1대 + 목업 차량 외부 : 핸드헬드 카메라 2대</t>
  </si>
  <si>
    <t>(옵션 4) 4K 카메라 - 목업 차량 내부 : 핸드핼드 카메라 1대 + 목업 차량 외부 : 촬영 용 핸드헬드 카메라 1대</t>
  </si>
  <si>
    <t>(옵션 3/4 동일) 4K 카메라 및 전체 장비 운송료 (항공 운송 기준 약 40일간)</t>
  </si>
  <si>
    <t>(공통) 카메라 렌즈, RECORDER, 메인 스위처, LCD &amp; LED Monitor, CCU, Remote, 케이블 등</t>
  </si>
  <si>
    <t>(공통) 중계 촬영 _ 카메라 감독료 _ 세팅 및 리허설 2일 + 쇼케이스 4일</t>
  </si>
  <si>
    <t>(공통) 중계 촬영 _ 중계 기술 감독료 _ 세팅 및 리허설 2일 + 쇼케이스 4일</t>
  </si>
  <si>
    <t>쇼케이스 연출 감독 및 연출 보조</t>
    <phoneticPr fontId="2" type="noConversion"/>
  </si>
  <si>
    <t>인</t>
    <phoneticPr fontId="2" type="noConversion"/>
  </si>
  <si>
    <t>연출감독 출장비</t>
    <phoneticPr fontId="2" type="noConversion"/>
  </si>
  <si>
    <t>(공통) 중계 감독 출장비_카메라 감독 2인, 중계 기술 감독 1인</t>
    <phoneticPr fontId="2" type="noConversion"/>
  </si>
  <si>
    <t>국내 기술 감독</t>
    <phoneticPr fontId="2" type="noConversion"/>
  </si>
  <si>
    <t>쇼케이스 MC (1인, 일 5회 진행, 리허설 2일)</t>
    <phoneticPr fontId="2" type="noConversion"/>
  </si>
  <si>
    <t>Condor / High lift (OT)</t>
    <phoneticPr fontId="2" type="noConversion"/>
  </si>
  <si>
    <t>LED 스크린 HW (5m*3m)</t>
    <phoneticPr fontId="2" type="noConversion"/>
  </si>
  <si>
    <t>디스플레이 프로세싱 (LED Controller, Disguise System, Barco E2 등)</t>
    <phoneticPr fontId="2" type="noConversion"/>
  </si>
  <si>
    <t>WDS 3D 부품 목업 제작</t>
    <phoneticPr fontId="2" type="noConversion"/>
  </si>
  <si>
    <t>제작비 발생 X</t>
    <phoneticPr fontId="2" type="noConversion"/>
  </si>
  <si>
    <t>전력 간선 작업자</t>
    <phoneticPr fontId="2" type="noConversion"/>
  </si>
  <si>
    <t>투명 디스플레이 시스템 HW (2ea)</t>
    <phoneticPr fontId="2" type="noConversion"/>
  </si>
  <si>
    <t>투명 디스플레이 시스템 HW 예비 (1ea)</t>
    <phoneticPr fontId="2" type="noConversion"/>
  </si>
  <si>
    <t>현장 파손 등 발생시 예비부품</t>
    <phoneticPr fontId="2" type="noConversion"/>
  </si>
  <si>
    <t>인터랙티브 컨택츠 제작 및 현장 검수, 검수 규모에 따라 변동</t>
    <phoneticPr fontId="2" type="noConversion"/>
  </si>
  <si>
    <t>컨텐츠 공통</t>
    <phoneticPr fontId="2" type="noConversion"/>
  </si>
  <si>
    <t>Dual CVJ 핸들 연동 통신, 순차 라이팅 시스템 개발</t>
    <phoneticPr fontId="2" type="noConversion"/>
  </si>
  <si>
    <t>영상 연출 오퍼레이터</t>
    <phoneticPr fontId="2" type="noConversion"/>
  </si>
  <si>
    <t>Freeman LED 영상 쇼서비스 비용</t>
    <phoneticPr fontId="2" type="noConversion"/>
  </si>
  <si>
    <t>쇼케이스 MC 취소비용</t>
    <phoneticPr fontId="2" type="noConversion"/>
  </si>
  <si>
    <t>쇼케이스 항목 분리</t>
    <phoneticPr fontId="2" type="noConversion"/>
  </si>
  <si>
    <t>바닥 마감</t>
    <phoneticPr fontId="2" type="noConversion"/>
  </si>
  <si>
    <t>영상 플레이어 SW 개발 (물리 인터랙션 통신형 영상 플레이) / 컨텐츠 별 적용 (Dual CVJ, WDS)</t>
    <phoneticPr fontId="2" type="noConversion"/>
  </si>
  <si>
    <t>삭제 추천</t>
    <phoneticPr fontId="2" type="noConversion"/>
  </si>
  <si>
    <t>쇼케이스 취소 시 적용</t>
    <phoneticPr fontId="2" type="noConversion"/>
  </si>
  <si>
    <t>온스테이지 1인, 2교대 기준으로 반영 / 인원 수정 반영</t>
    <phoneticPr fontId="2" type="noConversion"/>
  </si>
  <si>
    <t>기념품 4) VIP 대상 (방짜유기)</t>
    <phoneticPr fontId="2" type="noConversion"/>
  </si>
  <si>
    <t>기념품 3) 영업지원용 일반 고객 대상 (페이퍼 크래프트)</t>
    <phoneticPr fontId="2" type="noConversion"/>
  </si>
  <si>
    <t>기념품 1) SNS 팔로우 인증 참가자 대상 (타포린 백)</t>
    <phoneticPr fontId="2" type="noConversion"/>
  </si>
  <si>
    <t>기념품 2) 이벤트 참가자 대상 (사쉐)</t>
    <phoneticPr fontId="2" type="noConversion"/>
  </si>
  <si>
    <t>■ CES 2026 현대위아관_세부예산 내역</t>
    <phoneticPr fontId="2" type="noConversion"/>
  </si>
  <si>
    <t>브랜드 존</t>
    <phoneticPr fontId="2" type="noConversion"/>
  </si>
  <si>
    <t>ARS 디스플레이, 시연 집기 (아크릴 패널 등)</t>
    <phoneticPr fontId="2" type="noConversion"/>
  </si>
  <si>
    <t>연동형 영상 플레이어 삭제</t>
    <phoneticPr fontId="2" type="noConversion"/>
  </si>
  <si>
    <t>컨텐츠 제작, 검수, 연출 감수자 출장비 (브랜드 존 등)</t>
    <phoneticPr fontId="2" type="noConversion"/>
  </si>
  <si>
    <t>제품 설명 QR로 대체, 삭제</t>
    <phoneticPr fontId="2" type="noConversion"/>
  </si>
  <si>
    <t>납품 비용 (TV 구매, 테이블 보강, 콘솔 PC 구매)</t>
    <phoneticPr fontId="2" type="noConversion"/>
  </si>
  <si>
    <t>납품 진행 시</t>
    <phoneticPr fontId="2" type="noConversion"/>
  </si>
  <si>
    <t>확정 단가 적용</t>
    <phoneticPr fontId="2" type="noConversion"/>
  </si>
  <si>
    <t>AMR 현대자동차관 현장 촬영, 컷편집</t>
    <phoneticPr fontId="2" type="noConversion"/>
  </si>
  <si>
    <t>원형 퍽 3D 모형 제작 (예비 포함 6기)</t>
    <phoneticPr fontId="2" type="noConversion"/>
  </si>
  <si>
    <t>■ CES 2026 현대위아관_총괄예산 내역</t>
    <phoneticPr fontId="2" type="noConversion"/>
  </si>
  <si>
    <t>부</t>
    <phoneticPr fontId="2" type="noConversion"/>
  </si>
  <si>
    <t>제작 비용 확인 중</t>
    <phoneticPr fontId="2" type="noConversion"/>
  </si>
  <si>
    <t>리플렛 제작</t>
    <phoneticPr fontId="2" type="noConversion"/>
  </si>
  <si>
    <t>Rental : Robe Spiider or an equivalent model</t>
    <phoneticPr fontId="2" type="noConversion"/>
  </si>
  <si>
    <t>Rental : Grand MA2 Commend wing (Console 등)</t>
    <phoneticPr fontId="2" type="noConversion"/>
  </si>
  <si>
    <t>Production Planning (Lighting)</t>
    <phoneticPr fontId="2" type="noConversion"/>
  </si>
  <si>
    <t>Production Planning (Audio / Sound)</t>
    <phoneticPr fontId="2" type="noConversion"/>
  </si>
  <si>
    <t>축소 규모 적용</t>
    <phoneticPr fontId="2" type="noConversion"/>
  </si>
  <si>
    <t>Rental : QSC K23.2 or equivalent model</t>
    <phoneticPr fontId="2" type="noConversion"/>
  </si>
  <si>
    <t>Rental : midas M32R or an equivalent model (Console 등)</t>
    <phoneticPr fontId="2" type="noConversion"/>
  </si>
  <si>
    <t>Rental : shure ULXD wireless with DPA headset</t>
    <phoneticPr fontId="2" type="noConversion"/>
  </si>
  <si>
    <t>Rental : intercom system 3 wire, and 5 wirelsss / DX210 system</t>
    <phoneticPr fontId="2" type="noConversion"/>
  </si>
  <si>
    <t>삭제</t>
    <phoneticPr fontId="2" type="noConversion"/>
  </si>
  <si>
    <t>미니PC</t>
    <phoneticPr fontId="2" type="noConversion"/>
  </si>
  <si>
    <t>개별 영상 콘솔 기기</t>
    <phoneticPr fontId="2" type="noConversion"/>
  </si>
  <si>
    <t>디자인 설계비 적용, 수량 감소에 따른 단가 상승</t>
    <phoneticPr fontId="2" type="noConversion"/>
  </si>
  <si>
    <t>포장 비용 포함</t>
    <phoneticPr fontId="2" type="noConversion"/>
  </si>
  <si>
    <t>LED 프리맨 쇼서비스</t>
    <phoneticPr fontId="2" type="noConversion"/>
  </si>
  <si>
    <t>음향, 조명 프리맨 쇼서비스</t>
    <phoneticPr fontId="2" type="noConversion"/>
  </si>
  <si>
    <t>설치, 철거 운송비</t>
    <phoneticPr fontId="2" type="noConversion"/>
  </si>
  <si>
    <t>설치 인건비 프리맨 항목 분리</t>
    <phoneticPr fontId="2" type="noConversion"/>
  </si>
  <si>
    <t>Freeman LED Labor</t>
    <phoneticPr fontId="2" type="noConversion"/>
  </si>
  <si>
    <t>Consumables Total, etcs</t>
    <phoneticPr fontId="2" type="noConversion"/>
  </si>
  <si>
    <t>Labor : Sound tech</t>
    <phoneticPr fontId="2" type="noConversion"/>
  </si>
  <si>
    <t>Rental : Cable package /  Accessory</t>
    <phoneticPr fontId="2" type="noConversion"/>
  </si>
  <si>
    <t>Labor : set up, and dismantle superviser</t>
    <phoneticPr fontId="2" type="noConversion"/>
  </si>
  <si>
    <t>Labor : Lighting tech</t>
    <phoneticPr fontId="2" type="noConversion"/>
  </si>
  <si>
    <t>Labor : Sysyem Electrical Labor</t>
    <phoneticPr fontId="2" type="noConversion"/>
  </si>
  <si>
    <t>Labor : Union Labor for install &amp; Dismantle(Freeman)</t>
    <phoneticPr fontId="2" type="noConversion"/>
  </si>
  <si>
    <t>10day travel cost</t>
    <phoneticPr fontId="2" type="noConversion"/>
  </si>
  <si>
    <t>기획, 섭외, 운영, 매뉴얼 개발</t>
    <phoneticPr fontId="2" type="noConversion"/>
  </si>
  <si>
    <t>오퍼레이터 출장비</t>
    <phoneticPr fontId="2" type="noConversion"/>
  </si>
  <si>
    <t xml:space="preserve">리플렛 그래픽 디자인 비용 등 </t>
    <phoneticPr fontId="2" type="noConversion"/>
  </si>
  <si>
    <t>리플렛 제작 (국문)</t>
    <phoneticPr fontId="2" type="noConversion"/>
  </si>
  <si>
    <t>리플렛 제작 (영문)</t>
    <phoneticPr fontId="2" type="noConversion"/>
  </si>
  <si>
    <t>리플렛 제작 (별지)</t>
    <phoneticPr fontId="2" type="noConversion"/>
  </si>
  <si>
    <t>리플렛 가공 공임비</t>
    <phoneticPr fontId="2" type="noConversion"/>
  </si>
  <si>
    <t>리플렛 별지 삽지 및 접지 비용 등</t>
    <phoneticPr fontId="2" type="noConversion"/>
  </si>
  <si>
    <t>국내 운송료, 감리비용 일체 포함</t>
    <phoneticPr fontId="2" type="noConversion"/>
  </si>
  <si>
    <t>쇼케이스 진행 시 배우 + 상시 설명 보조 역할 수행</t>
    <phoneticPr fontId="2" type="noConversion"/>
  </si>
  <si>
    <t>WDS 3D 부품 목업_운송 중 파손 보완</t>
    <phoneticPr fontId="2" type="noConversion"/>
  </si>
  <si>
    <t>중계 DSLR 활용 현장 촬영 후 컷 편집</t>
    <phoneticPr fontId="2" type="noConversion"/>
  </si>
  <si>
    <t>온스테이지 2인, 2교대 기준 반영</t>
    <phoneticPr fontId="2" type="noConversion"/>
  </si>
  <si>
    <t>현지 렌탈 단가 / 환율 상승</t>
    <phoneticPr fontId="2" type="noConversion"/>
  </si>
  <si>
    <t>현장 스케치 포토그래퍼 촬영 (1인 2일)</t>
    <phoneticPr fontId="2" type="noConversion"/>
  </si>
  <si>
    <t>3종 영상 선택 키오스크, 미디어 테이블 개발 등</t>
    <phoneticPr fontId="2" type="noConversion"/>
  </si>
  <si>
    <t>Control Zone 기타 제품 (IDA, e-LSD, 2속ATC) 레이어드 아크릴 패널, 라이팅 HW 시스템 / 버튼 선택 시스템</t>
    <phoneticPr fontId="2" type="noConversion"/>
  </si>
  <si>
    <t>Dual CVJ 디스플레이, 시연 집기 (핸들 및 실리콘 라이팅 등)</t>
    <phoneticPr fontId="2" type="noConversion"/>
  </si>
  <si>
    <t>핸들 스위치 SW, 라이팅 애니메이션 제작</t>
    <phoneticPr fontId="2" type="noConversion"/>
  </si>
  <si>
    <t>마이크로 사이트</t>
    <phoneticPr fontId="2" type="noConversion"/>
  </si>
  <si>
    <t>컨텐츠 설명 마이크로 사이트 제작, 설계</t>
    <phoneticPr fontId="2" type="noConversion"/>
  </si>
  <si>
    <t>세부 제작 분량에 따라 변경</t>
    <phoneticPr fontId="2" type="noConversion"/>
  </si>
  <si>
    <t>사이트 구축 고정 비용 (프론트 엔드 개발 및 서버비용 등)</t>
    <phoneticPr fontId="2" type="noConversion"/>
  </si>
  <si>
    <t>WDS 라이팅 박스, 신호 시스템 제작</t>
    <phoneticPr fontId="2" type="noConversion"/>
  </si>
  <si>
    <t>스케치 포토그래퍼 추가</t>
    <phoneticPr fontId="2" type="noConversion"/>
  </si>
  <si>
    <t>현장 발생 예비비</t>
    <phoneticPr fontId="2" type="noConversion"/>
  </si>
  <si>
    <t>임직원 유니폼 (상의)</t>
    <phoneticPr fontId="2" type="noConversion"/>
  </si>
  <si>
    <t>MC, 연출모델 유니폼 (상/하의/스니커즈) 구매</t>
    <phoneticPr fontId="2" type="noConversion"/>
  </si>
  <si>
    <t>인포메이션 유니폼 (상의/하의/신발) 구매</t>
    <phoneticPr fontId="2" type="noConversion"/>
  </si>
  <si>
    <t>사전 제작 운송 (국내 제작 물품 해외 운송비)</t>
    <phoneticPr fontId="2" type="noConversion"/>
  </si>
  <si>
    <t>선반, 사무용품, 포장용 박스, 테이프, 멀티탭 등 운영 필요 물품 / 럭키드로우 등 이벤트 물품 구매</t>
    <phoneticPr fontId="2" type="noConversion"/>
  </si>
  <si>
    <t>현대위아 뱃지 제작 (24mm)</t>
    <phoneticPr fontId="2" type="noConversion"/>
  </si>
  <si>
    <t>TMS존 테블릿 PC</t>
    <phoneticPr fontId="2" type="noConversion"/>
  </si>
  <si>
    <t>미팅/휴게공간</t>
    <phoneticPr fontId="2" type="noConversion"/>
  </si>
  <si>
    <t>BOH 물품 렌탈 및 구매</t>
    <phoneticPr fontId="2" type="noConversion"/>
  </si>
  <si>
    <t>MC, 스태프 인력 or 위아 임직원 회의 및 휴게 공간 임대 / 임대료 및 집기 구성비용</t>
    <phoneticPr fontId="2" type="noConversion"/>
  </si>
  <si>
    <t>제외</t>
    <phoneticPr fontId="2" type="noConversion"/>
  </si>
  <si>
    <t>3종 버튼 선택 시스템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</si>
</sst>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\$#,##0.00"/>
    <numFmt numFmtId="178" formatCode="&quot;₩&quot;#,##0"/>
    <numFmt numFmtId="179" formatCode="[DBNum4][$-412]General"/>
    <numFmt numFmtId="180" formatCode="_-* #,##0_-;\-* #,##0_-;_-* &quot;-&quot;??_-;_-@_-"/>
    <numFmt numFmtId="181" formatCode="#.##"/>
    <numFmt numFmtId="182" formatCode="#,##0.000;[Red]&quot;-&quot;#,##0.000"/>
    <numFmt numFmtId="183" formatCode="_ &quot;₩&quot;* #,##0.00_ ;_ &quot;₩&quot;* &quot;₩&quot;&quot;₩&quot;&quot;₩&quot;&quot;₩&quot;&quot;₩&quot;&quot;₩&quot;&quot;₩&quot;&quot;₩&quot;\-#,##0.00_ ;_ &quot;₩&quot;* &quot;-&quot;??_ ;_ @_ "/>
  </numFmts>
  <fonts count="6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b/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8"/>
      <name val="맑은 고딕"/>
      <family val="3"/>
      <charset val="129"/>
    </font>
    <font>
      <sz val="11"/>
      <name val="굴림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19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0"/>
      <name val="Arial"/>
      <family val="2"/>
    </font>
    <font>
      <sz val="12"/>
      <name val="굴림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11"/>
      <name val="바탕체"/>
      <family val="1"/>
      <charset val="129"/>
    </font>
    <font>
      <b/>
      <sz val="11"/>
      <name val="현대하모니 L"/>
      <family val="1"/>
      <charset val="129"/>
    </font>
    <font>
      <b/>
      <sz val="9"/>
      <name val="현대하모니 L"/>
      <family val="1"/>
      <charset val="129"/>
    </font>
    <font>
      <b/>
      <sz val="12"/>
      <name val="현대하모니 L"/>
      <family val="1"/>
      <charset val="129"/>
    </font>
    <font>
      <b/>
      <sz val="22"/>
      <name val="현대하모니 L"/>
      <family val="1"/>
      <charset val="129"/>
    </font>
    <font>
      <b/>
      <sz val="14"/>
      <name val="현대하모니 L"/>
      <family val="1"/>
      <charset val="129"/>
    </font>
    <font>
      <sz val="12"/>
      <name val="현대하모니 L"/>
      <family val="1"/>
      <charset val="129"/>
    </font>
    <font>
      <sz val="11"/>
      <name val="현대하모니 L"/>
      <family val="1"/>
      <charset val="129"/>
    </font>
    <font>
      <b/>
      <sz val="13"/>
      <name val="현대하모니 L"/>
      <family val="1"/>
      <charset val="129"/>
    </font>
    <font>
      <sz val="22"/>
      <name val="현대하모니 B"/>
      <family val="1"/>
      <charset val="129"/>
    </font>
    <font>
      <sz val="14"/>
      <name val="현대하모니 B"/>
      <family val="1"/>
      <charset val="129"/>
    </font>
    <font>
      <sz val="12"/>
      <name val="현대하모니 B"/>
      <family val="1"/>
      <charset val="129"/>
    </font>
    <font>
      <sz val="11"/>
      <name val="현대하모니 B"/>
      <family val="1"/>
      <charset val="129"/>
    </font>
    <font>
      <sz val="16"/>
      <name val="현대하모니 B"/>
      <family val="1"/>
      <charset val="129"/>
    </font>
    <font>
      <sz val="16"/>
      <name val="현대하모니 M"/>
      <family val="1"/>
      <charset val="129"/>
    </font>
    <font>
      <sz val="14"/>
      <name val="현대하모니 M"/>
      <family val="1"/>
      <charset val="129"/>
    </font>
    <font>
      <b/>
      <sz val="10"/>
      <name val="현대하모니 M"/>
      <family val="1"/>
      <charset val="129"/>
    </font>
    <font>
      <b/>
      <sz val="11"/>
      <name val="현대하모니 M"/>
      <family val="1"/>
      <charset val="129"/>
    </font>
    <font>
      <sz val="11"/>
      <name val="현대하모니 M"/>
      <family val="1"/>
      <charset val="129"/>
    </font>
    <font>
      <b/>
      <sz val="12"/>
      <name val="현대하모니 M"/>
      <family val="1"/>
      <charset val="129"/>
    </font>
    <font>
      <b/>
      <sz val="14"/>
      <name val="현대하모니 M"/>
      <family val="1"/>
      <charset val="129"/>
    </font>
    <font>
      <sz val="18"/>
      <name val="현대하모니 L"/>
      <family val="1"/>
      <charset val="129"/>
    </font>
    <font>
      <sz val="18"/>
      <name val="현대하모니 B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현대하모니 L"/>
      <family val="1"/>
      <charset val="129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7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ck">
        <color indexed="22"/>
      </top>
      <bottom style="thick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86">
    <xf numFmtId="0" fontId="0" fillId="0" borderId="0"/>
    <xf numFmtId="0" fontId="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0" borderId="0"/>
    <xf numFmtId="0" fontId="34" fillId="0" borderId="0"/>
    <xf numFmtId="0" fontId="37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38" fontId="38" fillId="19" borderId="0" applyNumberFormat="0" applyBorder="0" applyAlignment="0" applyProtection="0"/>
    <xf numFmtId="0" fontId="39" fillId="0" borderId="0">
      <alignment horizontal="left"/>
    </xf>
    <xf numFmtId="0" fontId="40" fillId="0" borderId="1" applyNumberFormat="0" applyAlignment="0" applyProtection="0">
      <alignment horizontal="left" vertical="center"/>
    </xf>
    <xf numFmtId="0" fontId="40" fillId="0" borderId="2">
      <alignment horizontal="left" vertical="center"/>
    </xf>
    <xf numFmtId="10" fontId="38" fillId="20" borderId="3" applyNumberFormat="0" applyBorder="0" applyAlignment="0" applyProtection="0"/>
    <xf numFmtId="0" fontId="41" fillId="0" borderId="4"/>
    <xf numFmtId="37" fontId="42" fillId="0" borderId="0"/>
    <xf numFmtId="183" fontId="43" fillId="0" borderId="0"/>
    <xf numFmtId="0" fontId="34" fillId="0" borderId="0"/>
    <xf numFmtId="10" fontId="34" fillId="0" borderId="0" applyFont="0" applyFill="0" applyBorder="0" applyAlignment="0" applyProtection="0"/>
    <xf numFmtId="0" fontId="41" fillId="0" borderId="0"/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5" applyNumberFormat="0" applyAlignment="0" applyProtection="0">
      <alignment vertical="center"/>
    </xf>
    <xf numFmtId="0" fontId="26" fillId="27" borderId="5" applyNumberFormat="0" applyAlignment="0" applyProtection="0">
      <alignment vertical="center"/>
    </xf>
    <xf numFmtId="0" fontId="10" fillId="26" borderId="5" applyNumberFormat="0" applyAlignment="0" applyProtection="0">
      <alignment vertical="center"/>
    </xf>
    <xf numFmtId="0" fontId="10" fillId="26" borderId="5" applyNumberFormat="0" applyAlignment="0" applyProtection="0">
      <alignment vertical="center"/>
    </xf>
    <xf numFmtId="0" fontId="26" fillId="27" borderId="5" applyNumberFormat="0" applyAlignment="0" applyProtection="0">
      <alignment vertical="center"/>
    </xf>
    <xf numFmtId="0" fontId="10" fillId="26" borderId="5" applyNumberFormat="0" applyAlignment="0" applyProtection="0">
      <alignment vertical="center"/>
    </xf>
    <xf numFmtId="0" fontId="26" fillId="27" borderId="5" applyNumberFormat="0" applyAlignment="0" applyProtection="0">
      <alignment vertical="center"/>
    </xf>
    <xf numFmtId="0" fontId="26" fillId="27" borderId="5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1" fillId="7" borderId="6" applyNumberFormat="0" applyFont="0" applyAlignment="0" applyProtection="0">
      <alignment vertical="center"/>
    </xf>
    <xf numFmtId="0" fontId="1" fillId="7" borderId="6" applyNumberFormat="0" applyFont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1" fillId="7" borderId="6" applyNumberFormat="0" applyFont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2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3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8" borderId="7" applyNumberFormat="0" applyAlignment="0" applyProtection="0">
      <alignment vertical="center"/>
    </xf>
    <xf numFmtId="0" fontId="14" fillId="28" borderId="7" applyNumberFormat="0" applyAlignment="0" applyProtection="0">
      <alignment vertical="center"/>
    </xf>
    <xf numFmtId="0" fontId="14" fillId="28" borderId="7" applyNumberFormat="0" applyAlignment="0" applyProtection="0">
      <alignment vertical="center"/>
    </xf>
    <xf numFmtId="0" fontId="14" fillId="28" borderId="7" applyNumberFormat="0" applyAlignment="0" applyProtection="0">
      <alignment vertical="center"/>
    </xf>
    <xf numFmtId="0" fontId="14" fillId="28" borderId="7" applyNumberFormat="0" applyAlignment="0" applyProtection="0">
      <alignment vertical="center"/>
    </xf>
    <xf numFmtId="0" fontId="14" fillId="28" borderId="7" applyNumberFormat="0" applyAlignment="0" applyProtection="0">
      <alignment vertical="center"/>
    </xf>
    <xf numFmtId="41" fontId="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34" fillId="0" borderId="0"/>
    <xf numFmtId="0" fontId="15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" fillId="0" borderId="0"/>
    <xf numFmtId="0" fontId="23" fillId="26" borderId="18" applyNumberFormat="0" applyAlignment="0" applyProtection="0">
      <alignment vertical="center"/>
    </xf>
    <xf numFmtId="0" fontId="23" fillId="27" borderId="18" applyNumberFormat="0" applyAlignment="0" applyProtection="0">
      <alignment vertical="center"/>
    </xf>
    <xf numFmtId="0" fontId="23" fillId="26" borderId="18" applyNumberFormat="0" applyAlignment="0" applyProtection="0">
      <alignment vertical="center"/>
    </xf>
    <xf numFmtId="0" fontId="23" fillId="26" borderId="18" applyNumberFormat="0" applyAlignment="0" applyProtection="0">
      <alignment vertical="center"/>
    </xf>
    <xf numFmtId="0" fontId="23" fillId="27" borderId="18" applyNumberFormat="0" applyAlignment="0" applyProtection="0">
      <alignment vertical="center"/>
    </xf>
    <xf numFmtId="0" fontId="23" fillId="26" borderId="18" applyNumberFormat="0" applyAlignment="0" applyProtection="0">
      <alignment vertical="center"/>
    </xf>
    <xf numFmtId="0" fontId="23" fillId="27" borderId="18" applyNumberFormat="0" applyAlignment="0" applyProtection="0">
      <alignment vertical="center"/>
    </xf>
    <xf numFmtId="0" fontId="23" fillId="27" borderId="18" applyNumberFormat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93">
    <xf numFmtId="0" fontId="0" fillId="0" borderId="0" xfId="0"/>
    <xf numFmtId="41" fontId="25" fillId="0" borderId="0" xfId="261" applyFont="1" applyAlignment="1">
      <alignment horizontal="center" vertical="center"/>
    </xf>
    <xf numFmtId="41" fontId="25" fillId="0" borderId="0" xfId="261" applyFont="1" applyAlignment="1">
      <alignment horizontal="left" vertical="center"/>
    </xf>
    <xf numFmtId="41" fontId="1" fillId="0" borderId="0" xfId="261" applyFont="1" applyAlignment="1">
      <alignment horizontal="center" vertical="center"/>
    </xf>
    <xf numFmtId="41" fontId="1" fillId="0" borderId="0" xfId="261" applyFont="1" applyAlignment="1">
      <alignment vertical="center"/>
    </xf>
    <xf numFmtId="0" fontId="24" fillId="0" borderId="0" xfId="383" applyFont="1">
      <alignment vertical="center"/>
    </xf>
    <xf numFmtId="0" fontId="6" fillId="0" borderId="0" xfId="383" applyFont="1">
      <alignment vertical="center"/>
    </xf>
    <xf numFmtId="0" fontId="25" fillId="0" borderId="0" xfId="383" applyFont="1" applyAlignment="1">
      <alignment horizontal="left" vertical="center"/>
    </xf>
    <xf numFmtId="41" fontId="25" fillId="0" borderId="0" xfId="383" applyNumberFormat="1" applyFont="1" applyAlignment="1">
      <alignment horizontal="right" vertical="center"/>
    </xf>
    <xf numFmtId="0" fontId="25" fillId="0" borderId="0" xfId="383" applyFont="1" applyAlignment="1">
      <alignment horizontal="center" vertical="center"/>
    </xf>
    <xf numFmtId="0" fontId="1" fillId="0" borderId="0" xfId="383">
      <alignment vertical="center"/>
    </xf>
    <xf numFmtId="0" fontId="1" fillId="0" borderId="0" xfId="383" applyAlignment="1">
      <alignment horizontal="left" vertical="center"/>
    </xf>
    <xf numFmtId="0" fontId="44" fillId="0" borderId="0" xfId="0" applyFont="1"/>
    <xf numFmtId="0" fontId="46" fillId="29" borderId="19" xfId="0" applyFont="1" applyFill="1" applyBorder="1" applyAlignment="1">
      <alignment vertical="center"/>
    </xf>
    <xf numFmtId="0" fontId="47" fillId="29" borderId="19" xfId="0" applyFont="1" applyFill="1" applyBorder="1" applyAlignment="1">
      <alignment vertical="center"/>
    </xf>
    <xf numFmtId="0" fontId="46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6" fillId="0" borderId="20" xfId="0" applyFont="1" applyBorder="1" applyAlignment="1">
      <alignment vertical="center"/>
    </xf>
    <xf numFmtId="0" fontId="46" fillId="0" borderId="2" xfId="0" applyFont="1" applyBorder="1" applyAlignment="1">
      <alignment vertical="center"/>
    </xf>
    <xf numFmtId="177" fontId="46" fillId="0" borderId="2" xfId="0" applyNumberFormat="1" applyFont="1" applyBorder="1" applyAlignment="1">
      <alignment vertical="center"/>
    </xf>
    <xf numFmtId="0" fontId="49" fillId="0" borderId="21" xfId="0" applyFont="1" applyBorder="1" applyAlignment="1">
      <alignment vertical="center"/>
    </xf>
    <xf numFmtId="0" fontId="46" fillId="0" borderId="0" xfId="0" applyFont="1" applyAlignment="1">
      <alignment horizontal="left" vertical="center"/>
    </xf>
    <xf numFmtId="41" fontId="51" fillId="0" borderId="20" xfId="261" applyFont="1" applyBorder="1" applyAlignment="1">
      <alignment horizontal="left" vertical="center"/>
    </xf>
    <xf numFmtId="0" fontId="44" fillId="0" borderId="20" xfId="0" applyFont="1" applyBorder="1"/>
    <xf numFmtId="0" fontId="46" fillId="0" borderId="20" xfId="0" applyFont="1" applyBorder="1" applyAlignment="1">
      <alignment horizontal="left" vertical="center"/>
    </xf>
    <xf numFmtId="0" fontId="52" fillId="29" borderId="19" xfId="0" applyFont="1" applyFill="1" applyBorder="1" applyAlignment="1">
      <alignment horizontal="left" vertical="center"/>
    </xf>
    <xf numFmtId="14" fontId="46" fillId="29" borderId="19" xfId="0" applyNumberFormat="1" applyFont="1" applyFill="1" applyBorder="1" applyAlignment="1">
      <alignment horizontal="right" vertical="center"/>
    </xf>
    <xf numFmtId="41" fontId="53" fillId="0" borderId="20" xfId="261" applyFont="1" applyBorder="1" applyAlignment="1">
      <alignment horizontal="left" vertical="center"/>
    </xf>
    <xf numFmtId="41" fontId="53" fillId="0" borderId="2" xfId="261" applyFont="1" applyBorder="1" applyAlignment="1">
      <alignment horizontal="left" vertical="center"/>
    </xf>
    <xf numFmtId="41" fontId="53" fillId="0" borderId="21" xfId="261" applyFont="1" applyBorder="1" applyAlignment="1">
      <alignment horizontal="left" vertical="center"/>
    </xf>
    <xf numFmtId="41" fontId="53" fillId="0" borderId="2" xfId="261" applyFont="1" applyBorder="1" applyAlignment="1">
      <alignment vertical="center"/>
    </xf>
    <xf numFmtId="41" fontId="53" fillId="0" borderId="0" xfId="261" applyFont="1" applyBorder="1" applyAlignment="1">
      <alignment horizontal="left" vertical="center"/>
    </xf>
    <xf numFmtId="177" fontId="54" fillId="0" borderId="2" xfId="0" applyNumberFormat="1" applyFont="1" applyBorder="1" applyAlignment="1">
      <alignment horizontal="left" vertical="center"/>
    </xf>
    <xf numFmtId="178" fontId="55" fillId="0" borderId="2" xfId="0" applyNumberFormat="1" applyFont="1" applyBorder="1" applyAlignment="1">
      <alignment horizontal="center" vertical="center"/>
    </xf>
    <xf numFmtId="177" fontId="54" fillId="0" borderId="2" xfId="0" applyNumberFormat="1" applyFont="1" applyBorder="1" applyAlignment="1">
      <alignment horizontal="right" vertical="center"/>
    </xf>
    <xf numFmtId="0" fontId="57" fillId="19" borderId="22" xfId="0" applyFont="1" applyFill="1" applyBorder="1" applyAlignment="1">
      <alignment horizontal="center" vertical="center"/>
    </xf>
    <xf numFmtId="0" fontId="58" fillId="0" borderId="23" xfId="0" applyFont="1" applyBorder="1" applyAlignment="1">
      <alignment horizontal="center" vertical="center" shrinkToFit="1"/>
    </xf>
    <xf numFmtId="0" fontId="58" fillId="0" borderId="24" xfId="0" applyFont="1" applyBorder="1" applyAlignment="1">
      <alignment horizontal="center" vertical="center" shrinkToFit="1"/>
    </xf>
    <xf numFmtId="0" fontId="58" fillId="0" borderId="25" xfId="0" applyFont="1" applyBorder="1" applyAlignment="1">
      <alignment horizontal="center" vertical="center" shrinkToFit="1"/>
    </xf>
    <xf numFmtId="0" fontId="59" fillId="0" borderId="0" xfId="0" applyFont="1" applyAlignment="1">
      <alignment vertical="center"/>
    </xf>
    <xf numFmtId="3" fontId="60" fillId="0" borderId="0" xfId="0" applyNumberFormat="1" applyFont="1" applyAlignment="1">
      <alignment horizontal="right" wrapText="1"/>
    </xf>
    <xf numFmtId="41" fontId="60" fillId="0" borderId="0" xfId="261" applyFont="1" applyFill="1" applyBorder="1" applyAlignment="1">
      <alignment horizontal="center" vertical="center"/>
    </xf>
    <xf numFmtId="0" fontId="60" fillId="0" borderId="0" xfId="0" applyFont="1" applyAlignment="1">
      <alignment vertical="center"/>
    </xf>
    <xf numFmtId="0" fontId="61" fillId="0" borderId="0" xfId="0" applyFont="1" applyAlignment="1">
      <alignment horizontal="right" vertical="center"/>
    </xf>
    <xf numFmtId="0" fontId="61" fillId="0" borderId="0" xfId="0" applyFont="1" applyAlignment="1">
      <alignment horizontal="center" vertical="center"/>
    </xf>
    <xf numFmtId="41" fontId="61" fillId="0" borderId="0" xfId="261" applyFont="1" applyFill="1" applyBorder="1" applyAlignment="1">
      <alignment horizontal="right" vertical="center"/>
    </xf>
    <xf numFmtId="0" fontId="60" fillId="0" borderId="0" xfId="0" applyFont="1"/>
    <xf numFmtId="0" fontId="62" fillId="0" borderId="0" xfId="0" applyFont="1"/>
    <xf numFmtId="43" fontId="62" fillId="0" borderId="0" xfId="0" applyNumberFormat="1" applyFont="1"/>
    <xf numFmtId="180" fontId="62" fillId="0" borderId="0" xfId="0" applyNumberFormat="1" applyFont="1"/>
    <xf numFmtId="0" fontId="63" fillId="0" borderId="0" xfId="0" applyFont="1" applyAlignment="1">
      <alignment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right" vertical="center"/>
    </xf>
    <xf numFmtId="41" fontId="60" fillId="0" borderId="0" xfId="261" applyFont="1" applyFill="1" applyBorder="1" applyAlignment="1">
      <alignment horizontal="right" vertical="center"/>
    </xf>
    <xf numFmtId="0" fontId="60" fillId="0" borderId="0" xfId="0" applyFont="1" applyAlignment="1">
      <alignment horizontal="center"/>
    </xf>
    <xf numFmtId="0" fontId="61" fillId="0" borderId="0" xfId="384" applyFont="1">
      <alignment vertical="center"/>
    </xf>
    <xf numFmtId="41" fontId="61" fillId="0" borderId="0" xfId="261" applyFont="1"/>
    <xf numFmtId="41" fontId="60" fillId="0" borderId="0" xfId="261" applyFont="1"/>
    <xf numFmtId="0" fontId="64" fillId="0" borderId="0" xfId="383" applyFont="1">
      <alignment vertical="center"/>
    </xf>
    <xf numFmtId="0" fontId="44" fillId="0" borderId="0" xfId="383" applyFont="1">
      <alignment vertical="center"/>
    </xf>
    <xf numFmtId="3" fontId="50" fillId="19" borderId="3" xfId="383" applyNumberFormat="1" applyFont="1" applyFill="1" applyBorder="1" applyAlignment="1">
      <alignment horizontal="center" vertical="center" shrinkToFit="1"/>
    </xf>
    <xf numFmtId="0" fontId="50" fillId="30" borderId="26" xfId="383" applyFont="1" applyFill="1" applyBorder="1" applyAlignment="1">
      <alignment horizontal="left" vertical="center" shrinkToFit="1"/>
    </xf>
    <xf numFmtId="0" fontId="50" fillId="30" borderId="27" xfId="383" applyFont="1" applyFill="1" applyBorder="1" applyAlignment="1">
      <alignment horizontal="center" vertical="center" shrinkToFit="1"/>
    </xf>
    <xf numFmtId="41" fontId="50" fillId="30" borderId="27" xfId="261" applyFont="1" applyFill="1" applyBorder="1" applyAlignment="1">
      <alignment horizontal="center" vertical="center" shrinkToFit="1"/>
    </xf>
    <xf numFmtId="176" fontId="50" fillId="30" borderId="27" xfId="383" applyNumberFormat="1" applyFont="1" applyFill="1" applyBorder="1" applyAlignment="1">
      <alignment horizontal="right" vertical="center"/>
    </xf>
    <xf numFmtId="41" fontId="50" fillId="30" borderId="27" xfId="383" applyNumberFormat="1" applyFont="1" applyFill="1" applyBorder="1" applyAlignment="1">
      <alignment horizontal="right" vertical="center"/>
    </xf>
    <xf numFmtId="3" fontId="50" fillId="30" borderId="28" xfId="383" applyNumberFormat="1" applyFont="1" applyFill="1" applyBorder="1" applyAlignment="1">
      <alignment horizontal="left" vertical="center" shrinkToFit="1"/>
    </xf>
    <xf numFmtId="41" fontId="50" fillId="29" borderId="3" xfId="383" applyNumberFormat="1" applyFont="1" applyFill="1" applyBorder="1" applyAlignment="1">
      <alignment horizontal="right" vertical="center"/>
    </xf>
    <xf numFmtId="0" fontId="50" fillId="29" borderId="3" xfId="383" applyFont="1" applyFill="1" applyBorder="1" applyAlignment="1">
      <alignment horizontal="left" vertical="center"/>
    </xf>
    <xf numFmtId="0" fontId="50" fillId="30" borderId="29" xfId="383" applyFont="1" applyFill="1" applyBorder="1" applyAlignment="1">
      <alignment horizontal="left" vertical="center" shrinkToFit="1"/>
    </xf>
    <xf numFmtId="0" fontId="50" fillId="30" borderId="30" xfId="383" applyFont="1" applyFill="1" applyBorder="1" applyAlignment="1">
      <alignment horizontal="center" vertical="center" shrinkToFit="1"/>
    </xf>
    <xf numFmtId="41" fontId="50" fillId="30" borderId="30" xfId="261" applyFont="1" applyFill="1" applyBorder="1" applyAlignment="1">
      <alignment horizontal="center" vertical="center" shrinkToFit="1"/>
    </xf>
    <xf numFmtId="176" fontId="50" fillId="30" borderId="30" xfId="383" applyNumberFormat="1" applyFont="1" applyFill="1" applyBorder="1" applyAlignment="1">
      <alignment horizontal="right" vertical="center"/>
    </xf>
    <xf numFmtId="41" fontId="50" fillId="30" borderId="31" xfId="383" applyNumberFormat="1" applyFont="1" applyFill="1" applyBorder="1" applyAlignment="1">
      <alignment horizontal="right" vertical="center"/>
    </xf>
    <xf numFmtId="3" fontId="50" fillId="30" borderId="32" xfId="383" applyNumberFormat="1" applyFont="1" applyFill="1" applyBorder="1" applyAlignment="1">
      <alignment horizontal="left" vertical="center" shrinkToFit="1"/>
    </xf>
    <xf numFmtId="0" fontId="50" fillId="30" borderId="33" xfId="383" applyFont="1" applyFill="1" applyBorder="1" applyAlignment="1">
      <alignment horizontal="center" vertical="center" shrinkToFit="1"/>
    </xf>
    <xf numFmtId="41" fontId="50" fillId="30" borderId="33" xfId="261" applyFont="1" applyFill="1" applyBorder="1" applyAlignment="1">
      <alignment horizontal="center" vertical="center" shrinkToFit="1"/>
    </xf>
    <xf numFmtId="176" fontId="50" fillId="32" borderId="33" xfId="383" applyNumberFormat="1" applyFont="1" applyFill="1" applyBorder="1" applyAlignment="1">
      <alignment horizontal="right" vertical="center"/>
    </xf>
    <xf numFmtId="3" fontId="50" fillId="30" borderId="34" xfId="383" applyNumberFormat="1" applyFont="1" applyFill="1" applyBorder="1" applyAlignment="1">
      <alignment horizontal="left" vertical="center" wrapText="1" shrinkToFit="1"/>
    </xf>
    <xf numFmtId="0" fontId="50" fillId="30" borderId="35" xfId="383" applyFont="1" applyFill="1" applyBorder="1" applyAlignment="1">
      <alignment horizontal="left" vertical="center" shrinkToFit="1"/>
    </xf>
    <xf numFmtId="3" fontId="50" fillId="30" borderId="34" xfId="383" applyNumberFormat="1" applyFont="1" applyFill="1" applyBorder="1" applyAlignment="1">
      <alignment horizontal="left" vertical="center" shrinkToFit="1"/>
    </xf>
    <xf numFmtId="176" fontId="50" fillId="32" borderId="30" xfId="383" applyNumberFormat="1" applyFont="1" applyFill="1" applyBorder="1" applyAlignment="1">
      <alignment horizontal="right" vertical="center"/>
    </xf>
    <xf numFmtId="41" fontId="50" fillId="31" borderId="37" xfId="383" applyNumberFormat="1" applyFont="1" applyFill="1" applyBorder="1" applyAlignment="1">
      <alignment horizontal="right" vertical="center"/>
    </xf>
    <xf numFmtId="0" fontId="50" fillId="31" borderId="38" xfId="383" applyFont="1" applyFill="1" applyBorder="1" applyAlignment="1">
      <alignment horizontal="center" vertical="center"/>
    </xf>
    <xf numFmtId="41" fontId="57" fillId="19" borderId="39" xfId="261" applyFont="1" applyFill="1" applyBorder="1" applyAlignment="1">
      <alignment horizontal="center" vertical="center"/>
    </xf>
    <xf numFmtId="0" fontId="58" fillId="33" borderId="40" xfId="0" applyFont="1" applyFill="1" applyBorder="1" applyAlignment="1">
      <alignment horizontal="center" vertical="center"/>
    </xf>
    <xf numFmtId="41" fontId="58" fillId="33" borderId="23" xfId="261" applyFont="1" applyFill="1" applyBorder="1" applyAlignment="1">
      <alignment horizontal="center" vertical="center"/>
    </xf>
    <xf numFmtId="0" fontId="58" fillId="33" borderId="41" xfId="0" applyFont="1" applyFill="1" applyBorder="1" applyAlignment="1">
      <alignment horizontal="center" vertical="center"/>
    </xf>
    <xf numFmtId="41" fontId="58" fillId="33" borderId="24" xfId="261" applyFont="1" applyFill="1" applyBorder="1" applyAlignment="1">
      <alignment horizontal="center" vertical="center"/>
    </xf>
    <xf numFmtId="0" fontId="58" fillId="33" borderId="42" xfId="0" applyFont="1" applyFill="1" applyBorder="1" applyAlignment="1">
      <alignment horizontal="center" vertical="center"/>
    </xf>
    <xf numFmtId="41" fontId="58" fillId="33" borderId="25" xfId="261" applyFont="1" applyFill="1" applyBorder="1" applyAlignment="1">
      <alignment horizontal="center" vertical="center"/>
    </xf>
    <xf numFmtId="41" fontId="57" fillId="0" borderId="43" xfId="261" applyFont="1" applyFill="1" applyBorder="1" applyAlignment="1">
      <alignment horizontal="distributed" vertical="center" wrapText="1"/>
    </xf>
    <xf numFmtId="41" fontId="57" fillId="0" borderId="44" xfId="261" applyFont="1" applyFill="1" applyBorder="1" applyAlignment="1">
      <alignment horizontal="distributed" vertical="center" wrapText="1"/>
    </xf>
    <xf numFmtId="41" fontId="57" fillId="0" borderId="45" xfId="261" applyFont="1" applyFill="1" applyBorder="1" applyAlignment="1">
      <alignment horizontal="distributed" vertical="center" wrapText="1"/>
    </xf>
    <xf numFmtId="41" fontId="56" fillId="29" borderId="46" xfId="261" applyFont="1" applyFill="1" applyBorder="1" applyAlignment="1">
      <alignment horizontal="distributed" vertical="center"/>
    </xf>
    <xf numFmtId="41" fontId="56" fillId="29" borderId="47" xfId="261" applyFont="1" applyFill="1" applyBorder="1" applyAlignment="1">
      <alignment horizontal="distributed" vertical="center"/>
    </xf>
    <xf numFmtId="0" fontId="50" fillId="30" borderId="56" xfId="383" applyFont="1" applyFill="1" applyBorder="1" applyAlignment="1">
      <alignment horizontal="center" vertical="center" shrinkToFit="1"/>
    </xf>
    <xf numFmtId="0" fontId="50" fillId="0" borderId="54" xfId="0" applyFont="1" applyBorder="1" applyAlignment="1">
      <alignment horizontal="center" vertical="center"/>
    </xf>
    <xf numFmtId="0" fontId="50" fillId="0" borderId="35" xfId="383" applyFont="1" applyBorder="1" applyAlignment="1">
      <alignment horizontal="left" vertical="center" shrinkToFit="1"/>
    </xf>
    <xf numFmtId="0" fontId="50" fillId="0" borderId="33" xfId="383" applyFont="1" applyBorder="1" applyAlignment="1">
      <alignment horizontal="center" vertical="center" shrinkToFit="1"/>
    </xf>
    <xf numFmtId="41" fontId="50" fillId="0" borderId="30" xfId="261" applyFont="1" applyFill="1" applyBorder="1" applyAlignment="1">
      <alignment horizontal="center" vertical="center" shrinkToFit="1"/>
    </xf>
    <xf numFmtId="176" fontId="50" fillId="0" borderId="30" xfId="383" applyNumberFormat="1" applyFont="1" applyBorder="1" applyAlignment="1">
      <alignment horizontal="right" vertical="center"/>
    </xf>
    <xf numFmtId="41" fontId="50" fillId="0" borderId="31" xfId="383" applyNumberFormat="1" applyFont="1" applyBorder="1" applyAlignment="1">
      <alignment horizontal="right" vertical="center"/>
    </xf>
    <xf numFmtId="3" fontId="50" fillId="0" borderId="34" xfId="383" applyNumberFormat="1" applyFont="1" applyBorder="1" applyAlignment="1">
      <alignment horizontal="left" vertical="center" wrapText="1" shrinkToFit="1"/>
    </xf>
    <xf numFmtId="0" fontId="50" fillId="0" borderId="30" xfId="383" applyFont="1" applyBorder="1" applyAlignment="1">
      <alignment horizontal="center" vertical="center" shrinkToFit="1"/>
    </xf>
    <xf numFmtId="3" fontId="50" fillId="0" borderId="34" xfId="383" applyNumberFormat="1" applyFont="1" applyBorder="1" applyAlignment="1">
      <alignment horizontal="left" vertical="center" shrinkToFit="1"/>
    </xf>
    <xf numFmtId="0" fontId="50" fillId="0" borderId="29" xfId="383" applyFont="1" applyBorder="1" applyAlignment="1">
      <alignment horizontal="left" vertical="center" shrinkToFit="1"/>
    </xf>
    <xf numFmtId="3" fontId="50" fillId="0" borderId="32" xfId="383" applyNumberFormat="1" applyFont="1" applyBorder="1" applyAlignment="1">
      <alignment horizontal="left" vertical="center" shrinkToFit="1"/>
    </xf>
    <xf numFmtId="176" fontId="50" fillId="0" borderId="33" xfId="383" applyNumberFormat="1" applyFont="1" applyBorder="1" applyAlignment="1">
      <alignment horizontal="right" vertical="center"/>
    </xf>
    <xf numFmtId="41" fontId="50" fillId="0" borderId="33" xfId="261" applyFont="1" applyFill="1" applyBorder="1" applyAlignment="1">
      <alignment horizontal="center" vertical="center" shrinkToFit="1"/>
    </xf>
    <xf numFmtId="0" fontId="67" fillId="0" borderId="35" xfId="383" applyFont="1" applyBorder="1" applyAlignment="1">
      <alignment horizontal="left" vertical="center" shrinkToFit="1"/>
    </xf>
    <xf numFmtId="0" fontId="67" fillId="0" borderId="33" xfId="383" applyFont="1" applyBorder="1" applyAlignment="1">
      <alignment horizontal="center" vertical="center" shrinkToFit="1"/>
    </xf>
    <xf numFmtId="41" fontId="67" fillId="0" borderId="30" xfId="261" applyFont="1" applyFill="1" applyBorder="1" applyAlignment="1">
      <alignment horizontal="center" vertical="center" shrinkToFit="1"/>
    </xf>
    <xf numFmtId="176" fontId="67" fillId="0" borderId="30" xfId="383" applyNumberFormat="1" applyFont="1" applyBorder="1" applyAlignment="1">
      <alignment horizontal="right" vertical="center"/>
    </xf>
    <xf numFmtId="41" fontId="67" fillId="0" borderId="31" xfId="383" applyNumberFormat="1" applyFont="1" applyBorder="1" applyAlignment="1">
      <alignment horizontal="right" vertical="center"/>
    </xf>
    <xf numFmtId="3" fontId="67" fillId="0" borderId="34" xfId="383" applyNumberFormat="1" applyFont="1" applyBorder="1" applyAlignment="1">
      <alignment horizontal="left" vertical="center" shrinkToFit="1"/>
    </xf>
    <xf numFmtId="0" fontId="67" fillId="0" borderId="29" xfId="383" applyFont="1" applyBorder="1" applyAlignment="1">
      <alignment horizontal="left" vertical="center" shrinkToFit="1"/>
    </xf>
    <xf numFmtId="0" fontId="67" fillId="0" borderId="30" xfId="383" applyFont="1" applyBorder="1" applyAlignment="1">
      <alignment horizontal="center" vertical="center" shrinkToFit="1"/>
    </xf>
    <xf numFmtId="3" fontId="67" fillId="0" borderId="32" xfId="383" applyNumberFormat="1" applyFont="1" applyBorder="1" applyAlignment="1">
      <alignment horizontal="left" vertical="center" shrinkToFit="1"/>
    </xf>
    <xf numFmtId="176" fontId="67" fillId="0" borderId="33" xfId="383" applyNumberFormat="1" applyFont="1" applyBorder="1" applyAlignment="1">
      <alignment horizontal="right" vertical="center"/>
    </xf>
    <xf numFmtId="0" fontId="50" fillId="0" borderId="26" xfId="383" applyFont="1" applyBorder="1" applyAlignment="1">
      <alignment horizontal="center" vertical="center" shrinkToFit="1"/>
    </xf>
    <xf numFmtId="0" fontId="50" fillId="0" borderId="29" xfId="383" applyFont="1" applyBorder="1" applyAlignment="1">
      <alignment horizontal="left" vertical="center" wrapText="1" shrinkToFit="1"/>
    </xf>
    <xf numFmtId="0" fontId="50" fillId="0" borderId="67" xfId="0" applyFont="1" applyBorder="1" applyAlignment="1">
      <alignment horizontal="center" vertical="center"/>
    </xf>
    <xf numFmtId="0" fontId="50" fillId="0" borderId="56" xfId="383" applyFont="1" applyBorder="1" applyAlignment="1">
      <alignment horizontal="center" vertical="center" shrinkToFit="1"/>
    </xf>
    <xf numFmtId="0" fontId="50" fillId="0" borderId="36" xfId="383" applyFont="1" applyBorder="1" applyAlignment="1">
      <alignment horizontal="left" vertical="center" shrinkToFit="1"/>
    </xf>
    <xf numFmtId="41" fontId="67" fillId="0" borderId="33" xfId="261" applyFont="1" applyFill="1" applyBorder="1" applyAlignment="1">
      <alignment horizontal="center" vertical="center" shrinkToFit="1"/>
    </xf>
    <xf numFmtId="3" fontId="50" fillId="0" borderId="34" xfId="383" applyNumberFormat="1" applyFont="1" applyBorder="1" applyAlignment="1">
      <alignment vertical="center" shrinkToFit="1"/>
    </xf>
    <xf numFmtId="3" fontId="50" fillId="0" borderId="68" xfId="383" applyNumberFormat="1" applyFont="1" applyBorder="1" applyAlignment="1">
      <alignment vertical="center" shrinkToFit="1"/>
    </xf>
    <xf numFmtId="3" fontId="50" fillId="0" borderId="38" xfId="383" applyNumberFormat="1" applyFont="1" applyBorder="1" applyAlignment="1">
      <alignment vertical="center" shrinkToFit="1"/>
    </xf>
    <xf numFmtId="0" fontId="50" fillId="0" borderId="35" xfId="383" applyFont="1" applyBorder="1" applyAlignment="1">
      <alignment horizontal="left" vertical="center" wrapText="1" shrinkToFit="1"/>
    </xf>
    <xf numFmtId="3" fontId="67" fillId="0" borderId="34" xfId="383" applyNumberFormat="1" applyFont="1" applyBorder="1" applyAlignment="1">
      <alignment horizontal="left" vertical="center" wrapText="1" shrinkToFit="1"/>
    </xf>
    <xf numFmtId="0" fontId="50" fillId="30" borderId="36" xfId="383" applyFont="1" applyFill="1" applyBorder="1" applyAlignment="1">
      <alignment horizontal="left" vertical="center" shrinkToFit="1"/>
    </xf>
    <xf numFmtId="0" fontId="49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179" fontId="54" fillId="0" borderId="2" xfId="0" applyNumberFormat="1" applyFont="1" applyBorder="1" applyAlignment="1">
      <alignment horizontal="right" vertical="center"/>
    </xf>
    <xf numFmtId="0" fontId="45" fillId="0" borderId="0" xfId="0" applyFont="1" applyAlignment="1">
      <alignment horizontal="right" vertical="center"/>
    </xf>
    <xf numFmtId="0" fontId="54" fillId="0" borderId="20" xfId="0" applyFont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31" fontId="54" fillId="0" borderId="2" xfId="0" applyNumberFormat="1" applyFont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65" fillId="0" borderId="4" xfId="0" applyFont="1" applyBorder="1" applyAlignment="1">
      <alignment vertical="center"/>
    </xf>
    <xf numFmtId="0" fontId="57" fillId="19" borderId="51" xfId="0" applyFont="1" applyFill="1" applyBorder="1" applyAlignment="1">
      <alignment horizontal="center" vertical="center"/>
    </xf>
    <xf numFmtId="0" fontId="57" fillId="19" borderId="22" xfId="0" applyFont="1" applyFill="1" applyBorder="1" applyAlignment="1">
      <alignment horizontal="center" vertical="center"/>
    </xf>
    <xf numFmtId="0" fontId="56" fillId="29" borderId="52" xfId="383" applyFont="1" applyFill="1" applyBorder="1" applyAlignment="1">
      <alignment horizontal="center" vertical="center"/>
    </xf>
    <xf numFmtId="0" fontId="56" fillId="29" borderId="2" xfId="383" applyFont="1" applyFill="1" applyBorder="1" applyAlignment="1">
      <alignment horizontal="center" vertical="center"/>
    </xf>
    <xf numFmtId="0" fontId="56" fillId="29" borderId="53" xfId="383" applyFont="1" applyFill="1" applyBorder="1" applyAlignment="1">
      <alignment horizontal="center" vertical="center"/>
    </xf>
    <xf numFmtId="0" fontId="56" fillId="29" borderId="48" xfId="383" applyFont="1" applyFill="1" applyBorder="1" applyAlignment="1">
      <alignment horizontal="center" vertical="center"/>
    </xf>
    <xf numFmtId="0" fontId="56" fillId="29" borderId="49" xfId="383" applyFont="1" applyFill="1" applyBorder="1" applyAlignment="1">
      <alignment horizontal="center" vertical="center"/>
    </xf>
    <xf numFmtId="0" fontId="56" fillId="29" borderId="50" xfId="383" applyFont="1" applyFill="1" applyBorder="1" applyAlignment="1">
      <alignment horizontal="center" vertical="center"/>
    </xf>
    <xf numFmtId="0" fontId="50" fillId="0" borderId="65" xfId="383" applyFont="1" applyBorder="1" applyAlignment="1">
      <alignment horizontal="center" vertical="center" shrinkToFit="1"/>
    </xf>
    <xf numFmtId="0" fontId="50" fillId="0" borderId="57" xfId="383" applyFont="1" applyBorder="1" applyAlignment="1">
      <alignment horizontal="center" vertical="center" shrinkToFit="1"/>
    </xf>
    <xf numFmtId="0" fontId="50" fillId="0" borderId="56" xfId="383" applyFont="1" applyBorder="1" applyAlignment="1">
      <alignment horizontal="center" vertical="center" wrapText="1" shrinkToFit="1"/>
    </xf>
    <xf numFmtId="0" fontId="50" fillId="0" borderId="57" xfId="383" applyFont="1" applyBorder="1" applyAlignment="1">
      <alignment horizontal="center" vertical="center" wrapText="1" shrinkToFit="1"/>
    </xf>
    <xf numFmtId="0" fontId="50" fillId="0" borderId="59" xfId="383" applyFont="1" applyBorder="1" applyAlignment="1">
      <alignment horizontal="center" vertical="center" wrapText="1" shrinkToFit="1"/>
    </xf>
    <xf numFmtId="0" fontId="50" fillId="30" borderId="64" xfId="383" applyFont="1" applyFill="1" applyBorder="1" applyAlignment="1">
      <alignment horizontal="center" vertical="center" wrapText="1" shrinkToFit="1"/>
    </xf>
    <xf numFmtId="0" fontId="50" fillId="30" borderId="61" xfId="383" applyFont="1" applyFill="1" applyBorder="1" applyAlignment="1">
      <alignment horizontal="center" vertical="center" wrapText="1" shrinkToFit="1"/>
    </xf>
    <xf numFmtId="0" fontId="50" fillId="29" borderId="64" xfId="383" applyFont="1" applyFill="1" applyBorder="1" applyAlignment="1">
      <alignment horizontal="center" vertical="center"/>
    </xf>
    <xf numFmtId="0" fontId="50" fillId="29" borderId="2" xfId="383" applyFont="1" applyFill="1" applyBorder="1" applyAlignment="1">
      <alignment horizontal="center" vertical="center"/>
    </xf>
    <xf numFmtId="0" fontId="50" fillId="29" borderId="53" xfId="383" applyFont="1" applyFill="1" applyBorder="1" applyAlignment="1">
      <alignment horizontal="center" vertical="center"/>
    </xf>
    <xf numFmtId="0" fontId="50" fillId="0" borderId="54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0" fontId="50" fillId="30" borderId="56" xfId="383" applyFont="1" applyFill="1" applyBorder="1" applyAlignment="1">
      <alignment horizontal="center" vertical="center" shrinkToFit="1"/>
    </xf>
    <xf numFmtId="0" fontId="50" fillId="30" borderId="57" xfId="383" applyFont="1" applyFill="1" applyBorder="1" applyAlignment="1">
      <alignment horizontal="center" vertical="center" shrinkToFit="1"/>
    </xf>
    <xf numFmtId="0" fontId="50" fillId="30" borderId="58" xfId="383" applyFont="1" applyFill="1" applyBorder="1" applyAlignment="1">
      <alignment horizontal="center" vertical="center" shrinkToFit="1"/>
    </xf>
    <xf numFmtId="0" fontId="50" fillId="30" borderId="65" xfId="383" applyFont="1" applyFill="1" applyBorder="1" applyAlignment="1">
      <alignment horizontal="center" vertical="center" shrinkToFit="1"/>
    </xf>
    <xf numFmtId="0" fontId="50" fillId="0" borderId="56" xfId="383" applyFont="1" applyBorder="1" applyAlignment="1">
      <alignment horizontal="center" vertical="center" shrinkToFit="1"/>
    </xf>
    <xf numFmtId="0" fontId="50" fillId="0" borderId="58" xfId="383" applyFont="1" applyBorder="1" applyAlignment="1">
      <alignment horizontal="center" vertical="center" shrinkToFit="1"/>
    </xf>
    <xf numFmtId="0" fontId="50" fillId="0" borderId="59" xfId="383" applyFont="1" applyBorder="1" applyAlignment="1">
      <alignment horizontal="center" vertical="center" shrinkToFit="1"/>
    </xf>
    <xf numFmtId="0" fontId="65" fillId="0" borderId="0" xfId="383" applyFont="1" applyAlignment="1">
      <alignment horizontal="left" vertical="center" wrapText="1" shrinkToFit="1"/>
    </xf>
    <xf numFmtId="0" fontId="65" fillId="0" borderId="0" xfId="383" applyFont="1" applyAlignment="1">
      <alignment horizontal="left" vertical="center" shrinkToFit="1"/>
    </xf>
    <xf numFmtId="0" fontId="50" fillId="19" borderId="53" xfId="383" applyFont="1" applyFill="1" applyBorder="1" applyAlignment="1">
      <alignment horizontal="center" vertical="center" shrinkToFit="1"/>
    </xf>
    <xf numFmtId="0" fontId="50" fillId="19" borderId="3" xfId="383" applyFont="1" applyFill="1" applyBorder="1" applyAlignment="1">
      <alignment horizontal="center" vertical="center" shrinkToFit="1"/>
    </xf>
    <xf numFmtId="41" fontId="50" fillId="19" borderId="3" xfId="261" applyFont="1" applyFill="1" applyBorder="1" applyAlignment="1">
      <alignment horizontal="center" vertical="center" shrinkToFit="1"/>
    </xf>
    <xf numFmtId="3" fontId="50" fillId="19" borderId="3" xfId="383" applyNumberFormat="1" applyFont="1" applyFill="1" applyBorder="1" applyAlignment="1">
      <alignment horizontal="center" vertical="center" shrinkToFit="1"/>
    </xf>
    <xf numFmtId="0" fontId="50" fillId="19" borderId="69" xfId="383" applyFont="1" applyFill="1" applyBorder="1" applyAlignment="1">
      <alignment horizontal="center" vertical="center" shrinkToFit="1"/>
    </xf>
    <xf numFmtId="0" fontId="50" fillId="19" borderId="70" xfId="383" applyFont="1" applyFill="1" applyBorder="1" applyAlignment="1">
      <alignment horizontal="center" vertical="center" shrinkToFit="1"/>
    </xf>
    <xf numFmtId="0" fontId="50" fillId="19" borderId="71" xfId="383" applyFont="1" applyFill="1" applyBorder="1" applyAlignment="1">
      <alignment horizontal="center" vertical="center" shrinkToFit="1"/>
    </xf>
    <xf numFmtId="0" fontId="50" fillId="19" borderId="72" xfId="383" applyFont="1" applyFill="1" applyBorder="1" applyAlignment="1">
      <alignment horizontal="center" vertical="center" shrinkToFit="1"/>
    </xf>
    <xf numFmtId="0" fontId="50" fillId="31" borderId="60" xfId="383" applyFont="1" applyFill="1" applyBorder="1" applyAlignment="1">
      <alignment horizontal="center" vertical="center"/>
    </xf>
    <xf numFmtId="0" fontId="50" fillId="31" borderId="61" xfId="383" applyFont="1" applyFill="1" applyBorder="1" applyAlignment="1">
      <alignment horizontal="center" vertical="center"/>
    </xf>
    <xf numFmtId="0" fontId="50" fillId="31" borderId="62" xfId="383" applyFont="1" applyFill="1" applyBorder="1" applyAlignment="1">
      <alignment horizontal="center" vertical="center"/>
    </xf>
    <xf numFmtId="0" fontId="50" fillId="31" borderId="63" xfId="383" applyFont="1" applyFill="1" applyBorder="1" applyAlignment="1">
      <alignment horizontal="center" vertical="center"/>
    </xf>
    <xf numFmtId="0" fontId="25" fillId="0" borderId="0" xfId="383" applyFont="1" applyAlignment="1">
      <alignment horizontal="left" vertical="center"/>
    </xf>
    <xf numFmtId="0" fontId="1" fillId="0" borderId="0" xfId="383" applyAlignment="1">
      <alignment horizontal="left" vertical="center"/>
    </xf>
    <xf numFmtId="0" fontId="50" fillId="29" borderId="3" xfId="383" applyFont="1" applyFill="1" applyBorder="1" applyAlignment="1">
      <alignment horizontal="center" vertical="center"/>
    </xf>
    <xf numFmtId="0" fontId="50" fillId="0" borderId="35" xfId="383" applyFont="1" applyBorder="1" applyAlignment="1">
      <alignment horizontal="center" vertical="center" shrinkToFit="1"/>
    </xf>
    <xf numFmtId="0" fontId="50" fillId="0" borderId="36" xfId="383" applyFont="1" applyBorder="1" applyAlignment="1">
      <alignment horizontal="center" vertical="center" shrinkToFit="1"/>
    </xf>
    <xf numFmtId="0" fontId="50" fillId="30" borderId="35" xfId="383" applyFont="1" applyFill="1" applyBorder="1" applyAlignment="1">
      <alignment horizontal="center" vertical="center" shrinkToFit="1"/>
    </xf>
    <xf numFmtId="0" fontId="50" fillId="30" borderId="66" xfId="383" applyFont="1" applyFill="1" applyBorder="1" applyAlignment="1">
      <alignment horizontal="center" vertical="center" shrinkToFit="1"/>
    </xf>
    <xf numFmtId="0" fontId="50" fillId="0" borderId="66" xfId="383" applyFont="1" applyBorder="1" applyAlignment="1">
      <alignment horizontal="center" vertical="center" shrinkToFit="1"/>
    </xf>
    <xf numFmtId="3" fontId="50" fillId="0" borderId="34" xfId="383" applyNumberFormat="1" applyFont="1" applyBorder="1" applyAlignment="1">
      <alignment horizontal="left" vertical="center" shrinkToFit="1"/>
    </xf>
    <xf numFmtId="3" fontId="50" fillId="0" borderId="28" xfId="383" applyNumberFormat="1" applyFont="1" applyBorder="1" applyAlignment="1">
      <alignment horizontal="left" vertical="center" shrinkToFit="1"/>
    </xf>
    <xf numFmtId="0" fontId="50" fillId="30" borderId="59" xfId="383" applyFont="1" applyFill="1" applyBorder="1" applyAlignment="1">
      <alignment horizontal="center" vertical="center" shrinkToFit="1"/>
    </xf>
  </cellXfs>
  <cellStyles count="386">
    <cellStyle name="??&amp;O?&amp;H?_x0008_??_x0007__x0001__x0001_" xfId="1" xr:uid="{7FF66CE7-8898-4F7E-AECF-C41D358CA22D}"/>
    <cellStyle name="20% - 강조색1" xfId="2" builtinId="30" customBuiltin="1"/>
    <cellStyle name="20% - 강조색1 2" xfId="3" xr:uid="{C0026314-DA1F-4E7B-AE49-4CB67566FC81}"/>
    <cellStyle name="20% - 강조색1 2 2" xfId="4" xr:uid="{3F5A6097-60A8-4218-B6C0-E7C9C10B65D2}"/>
    <cellStyle name="20% - 강조색1 2 3" xfId="5" xr:uid="{971592C6-B2C8-4B75-B703-4AB74758A1B9}"/>
    <cellStyle name="20% - 강조색1 3" xfId="6" xr:uid="{23E2B41E-BB12-4CC6-981A-AB4B47990D63}"/>
    <cellStyle name="20% - 강조색1 3 2" xfId="7" xr:uid="{419BEAA3-C0B8-469C-BB1D-6C1B7277559B}"/>
    <cellStyle name="20% - 강조색1 4" xfId="8" xr:uid="{E65459C2-C065-4361-9A4E-810092DE326D}"/>
    <cellStyle name="20% - 강조색1 5" xfId="9" xr:uid="{52B5FE36-5B77-4A8F-B71B-AB4BACD439D3}"/>
    <cellStyle name="20% - 강조색2" xfId="10" builtinId="34" customBuiltin="1"/>
    <cellStyle name="20% - 강조색2 2" xfId="11" xr:uid="{7D24E321-66A4-442A-8849-E59D3365DF01}"/>
    <cellStyle name="20% - 강조색2 2 2" xfId="12" xr:uid="{2FC89CDA-CB14-4365-B3CC-8D1C95FA98A7}"/>
    <cellStyle name="20% - 강조색2 2 3" xfId="13" xr:uid="{91964E51-030F-4AC5-9B5F-FC0BD25F1132}"/>
    <cellStyle name="20% - 강조색2 3" xfId="14" xr:uid="{486A7EC0-C0E0-4614-99AE-967272E4E028}"/>
    <cellStyle name="20% - 강조색2 3 2" xfId="15" xr:uid="{9250779A-56C1-41DA-A889-3BFE7D1A871F}"/>
    <cellStyle name="20% - 강조색2 4" xfId="16" xr:uid="{E9956528-AA5A-4AC4-A0C4-ACD4DC2C9BC7}"/>
    <cellStyle name="20% - 강조색2 5" xfId="17" xr:uid="{28786D4F-1480-4AF6-A8EB-1E3BAAAE9F88}"/>
    <cellStyle name="20% - 강조색3" xfId="18" builtinId="38" customBuiltin="1"/>
    <cellStyle name="20% - 강조색3 2" xfId="19" xr:uid="{A532B88F-126B-4EA3-B19B-F1D9D9E2D709}"/>
    <cellStyle name="20% - 강조색3 2 2" xfId="20" xr:uid="{33FBEF15-A02F-4FE3-91D7-7C1FB1F9A2AA}"/>
    <cellStyle name="20% - 강조색3 2 3" xfId="21" xr:uid="{D935884D-F811-4750-9D32-B806A23784FF}"/>
    <cellStyle name="20% - 강조색3 3" xfId="22" xr:uid="{8B138C3C-C0B5-448F-9A3B-FA5D0709B73C}"/>
    <cellStyle name="20% - 강조색3 3 2" xfId="23" xr:uid="{F93DBA9A-6266-406E-A96F-49E6DD923472}"/>
    <cellStyle name="20% - 강조색3 4" xfId="24" xr:uid="{D4D47D6F-5647-4312-B163-8BB5FE2ED73E}"/>
    <cellStyle name="20% - 강조색3 5" xfId="25" xr:uid="{8A0A064F-E932-437B-B6CA-E5CA89E4F012}"/>
    <cellStyle name="20% - 강조색4" xfId="26" builtinId="42" customBuiltin="1"/>
    <cellStyle name="20% - 강조색4 2" xfId="27" xr:uid="{7B3F7DE7-C05F-4977-AC57-B0661F93D45D}"/>
    <cellStyle name="20% - 강조색4 2 2" xfId="28" xr:uid="{DC863BED-F276-428E-BBAC-746833AD78BC}"/>
    <cellStyle name="20% - 강조색4 2 3" xfId="29" xr:uid="{9E9F36CE-B099-4D43-910D-22F430F93A75}"/>
    <cellStyle name="20% - 강조색4 3" xfId="30" xr:uid="{BBFDABA7-EF74-4519-99CB-B39FE5EBE8B0}"/>
    <cellStyle name="20% - 강조색4 3 2" xfId="31" xr:uid="{BBC40EAD-DBE3-45AB-ACA2-B221B6D11FFC}"/>
    <cellStyle name="20% - 강조색4 4" xfId="32" xr:uid="{1F55435F-ED72-48A2-898C-8427078268FE}"/>
    <cellStyle name="20% - 강조색4 5" xfId="33" xr:uid="{F5F9137B-932A-43C5-A1C3-E327861C874E}"/>
    <cellStyle name="20% - 강조색5" xfId="34" builtinId="46" customBuiltin="1"/>
    <cellStyle name="20% - 강조색5 2" xfId="35" xr:uid="{30777329-F7F4-46F4-8EDD-EE26F210937E}"/>
    <cellStyle name="20% - 강조색5 2 2" xfId="36" xr:uid="{C2A54936-EBEF-451E-A064-2F294AD60387}"/>
    <cellStyle name="20% - 강조색5 3" xfId="37" xr:uid="{C3902B29-F84A-4D57-B939-8A2255FAA2F8}"/>
    <cellStyle name="20% - 강조색5 4" xfId="38" xr:uid="{A60AEB2B-EA36-470E-86E4-E47E3E5DDCEB}"/>
    <cellStyle name="20% - 강조색5 5" xfId="39" xr:uid="{B85260A9-E4C8-43C5-A90E-A0D2A1F0EB29}"/>
    <cellStyle name="20% - 강조색6" xfId="40" builtinId="50" customBuiltin="1"/>
    <cellStyle name="20% - 강조색6 2" xfId="41" xr:uid="{5E942744-6678-4735-BA22-8CAE5294CE11}"/>
    <cellStyle name="20% - 강조색6 2 2" xfId="42" xr:uid="{21711ECB-08AF-42AE-96B0-124742EC7A45}"/>
    <cellStyle name="20% - 강조색6 2 3" xfId="43" xr:uid="{2F82BB51-C593-4B40-8C6E-426CB1DC7CC5}"/>
    <cellStyle name="20% - 강조색6 3" xfId="44" xr:uid="{2EEBCA46-925B-42C2-9697-7764A7FABDEB}"/>
    <cellStyle name="20% - 강조색6 3 2" xfId="45" xr:uid="{DB67B3EA-622E-42BB-AB51-82B297605261}"/>
    <cellStyle name="20% - 강조색6 4" xfId="46" xr:uid="{722EF908-7E46-4BEF-9E4B-4393B7E13A59}"/>
    <cellStyle name="20% - 강조색6 5" xfId="47" xr:uid="{AE8E1DE1-600E-4F82-9C31-11A83840A7CA}"/>
    <cellStyle name="40% - 강조색1" xfId="48" builtinId="31" customBuiltin="1"/>
    <cellStyle name="40% - 강조색1 2" xfId="49" xr:uid="{5F792FF3-5A30-4973-9E6E-207F500C3DB8}"/>
    <cellStyle name="40% - 강조색1 2 2" xfId="50" xr:uid="{66E60E6E-F445-4594-998E-AACE3FE46446}"/>
    <cellStyle name="40% - 강조색1 2 3" xfId="51" xr:uid="{C022D54E-F21E-42B3-AB01-7FDB35F0E6E2}"/>
    <cellStyle name="40% - 강조색1 3" xfId="52" xr:uid="{C3EB99A1-61E3-4081-AEBB-2EC71146CE67}"/>
    <cellStyle name="40% - 강조색1 3 2" xfId="53" xr:uid="{523E7EED-A42C-4FA4-9B76-1FD1DFBA5919}"/>
    <cellStyle name="40% - 강조색1 4" xfId="54" xr:uid="{CB3C3F93-284C-4402-AB97-6CD787FFFB95}"/>
    <cellStyle name="40% - 강조색1 5" xfId="55" xr:uid="{A118D2C3-867E-4DE5-89D6-CCA3C63758C5}"/>
    <cellStyle name="40% - 강조색2" xfId="56" builtinId="35" customBuiltin="1"/>
    <cellStyle name="40% - 강조색2 2" xfId="57" xr:uid="{D49DE22A-C29D-4E9E-B327-2D139A14FB35}"/>
    <cellStyle name="40% - 강조색2 2 2" xfId="58" xr:uid="{C253AD25-70F0-4CA2-A654-0DC9057B5BFB}"/>
    <cellStyle name="40% - 강조색2 3" xfId="59" xr:uid="{A7D2CF1E-EA77-4A05-9651-BDA1EEA6EFF0}"/>
    <cellStyle name="40% - 강조색2 4" xfId="60" xr:uid="{0232C53E-54CD-44D9-AB8B-2B8568B6B350}"/>
    <cellStyle name="40% - 강조색2 5" xfId="61" xr:uid="{97DD1B52-EE8B-4FA3-9B49-EC3DA4B66213}"/>
    <cellStyle name="40% - 강조색3" xfId="62" builtinId="39" customBuiltin="1"/>
    <cellStyle name="40% - 강조색3 2" xfId="63" xr:uid="{C1F72BA4-D599-4E3F-9F40-7D7DEF21A9FE}"/>
    <cellStyle name="40% - 강조색3 2 2" xfId="64" xr:uid="{1CCFD4B2-EF7C-4EFB-B41A-F38843C41D9E}"/>
    <cellStyle name="40% - 강조색3 2 3" xfId="65" xr:uid="{DAEFB5EA-F011-4912-9F68-B8A56AAED568}"/>
    <cellStyle name="40% - 강조색3 3" xfId="66" xr:uid="{75211EB8-000F-4D06-BE26-32228244A40C}"/>
    <cellStyle name="40% - 강조색3 3 2" xfId="67" xr:uid="{D6D03676-DEC6-4201-A888-28546D55FEBC}"/>
    <cellStyle name="40% - 강조색3 4" xfId="68" xr:uid="{DF13EFB7-FCBB-4535-BD29-6502AF319998}"/>
    <cellStyle name="40% - 강조색3 5" xfId="69" xr:uid="{98217E37-D833-4644-A411-2FF61FC20141}"/>
    <cellStyle name="40% - 강조색4" xfId="70" builtinId="43" customBuiltin="1"/>
    <cellStyle name="40% - 강조색4 2" xfId="71" xr:uid="{E7FBE950-2A5B-4709-8043-2B93642D432C}"/>
    <cellStyle name="40% - 강조색4 2 2" xfId="72" xr:uid="{09250309-C6D7-44CF-936C-9333469871D5}"/>
    <cellStyle name="40% - 강조색4 2 3" xfId="73" xr:uid="{1FC3C016-9A54-48DD-954F-F537743448FE}"/>
    <cellStyle name="40% - 강조색4 3" xfId="74" xr:uid="{AE35951F-7EE0-417D-BFCB-999483724CA2}"/>
    <cellStyle name="40% - 강조색4 3 2" xfId="75" xr:uid="{91268A81-5E9C-459E-983B-8B88923B4017}"/>
    <cellStyle name="40% - 강조색4 4" xfId="76" xr:uid="{5741C804-AB22-4B69-AA6C-7234E5E83DE6}"/>
    <cellStyle name="40% - 강조색4 5" xfId="77" xr:uid="{ECE2ECC5-CE22-47E1-8D01-121C47B3292A}"/>
    <cellStyle name="40% - 강조색5" xfId="78" builtinId="47" customBuiltin="1"/>
    <cellStyle name="40% - 강조색5 2" xfId="79" xr:uid="{A40C3084-E5F3-4BD5-8A24-001CBCD3EE8F}"/>
    <cellStyle name="40% - 강조색5 2 2" xfId="80" xr:uid="{792CD4AF-FE5B-406E-94E8-AFDDE81640CF}"/>
    <cellStyle name="40% - 강조색5 2 3" xfId="81" xr:uid="{3EFCE5EE-0A91-49C0-A657-5BE4F6398184}"/>
    <cellStyle name="40% - 강조색5 3" xfId="82" xr:uid="{254F30CC-A861-41B7-A7B8-E83DB0EADA2B}"/>
    <cellStyle name="40% - 강조색5 3 2" xfId="83" xr:uid="{983954BF-5B7B-443F-8D02-9B5CD86FA70B}"/>
    <cellStyle name="40% - 강조색5 4" xfId="84" xr:uid="{F015C1CA-9608-4AC0-90EA-53E97D29C6F5}"/>
    <cellStyle name="40% - 강조색5 5" xfId="85" xr:uid="{3FECF729-531F-46A8-90AA-8D4B16ECB7C8}"/>
    <cellStyle name="40% - 강조색6" xfId="86" builtinId="51" customBuiltin="1"/>
    <cellStyle name="40% - 강조색6 2" xfId="87" xr:uid="{994C3148-C857-4B5F-9985-30A5447EBEDF}"/>
    <cellStyle name="40% - 강조색6 2 2" xfId="88" xr:uid="{82D26CBF-69DB-45D0-ADB5-1893DAA3B9FE}"/>
    <cellStyle name="40% - 강조색6 2 3" xfId="89" xr:uid="{1F163944-8998-4F0C-AECC-ED92F405A227}"/>
    <cellStyle name="40% - 강조색6 3" xfId="90" xr:uid="{B940E2AB-8B80-4110-9972-E3E01DC23E53}"/>
    <cellStyle name="40% - 강조색6 3 2" xfId="91" xr:uid="{AF7513CC-0FA1-4D64-8225-1374414D640C}"/>
    <cellStyle name="40% - 강조색6 4" xfId="92" xr:uid="{83C949E6-B44C-4470-BF63-4BBD37CFFED9}"/>
    <cellStyle name="40% - 강조색6 5" xfId="93" xr:uid="{3A423B3D-66D3-49AF-A3BA-791C1384AF4F}"/>
    <cellStyle name="60% - 강조색1" xfId="94" builtinId="32" customBuiltin="1"/>
    <cellStyle name="60% - 강조색1 2" xfId="95" xr:uid="{470E034F-1B88-446E-9D20-C4F8EDC7B0E5}"/>
    <cellStyle name="60% - 강조색1 2 2" xfId="96" xr:uid="{BB0DA7E0-4D3D-40B9-A108-22040F54D926}"/>
    <cellStyle name="60% - 강조색1 2 3" xfId="97" xr:uid="{5F98F8A2-871E-464A-82DD-7BBDA2A3D9AE}"/>
    <cellStyle name="60% - 강조색1 3" xfId="98" xr:uid="{5EA9B0FB-8F8F-49AB-B9AD-6927221B3943}"/>
    <cellStyle name="60% - 강조색1 3 2" xfId="99" xr:uid="{6B6E834E-6B93-4FC2-9C67-CC0217A4A065}"/>
    <cellStyle name="60% - 강조색1 4" xfId="100" xr:uid="{C9E93B9D-F493-4F9D-8DEE-0F5907DC84B0}"/>
    <cellStyle name="60% - 강조색1 5" xfId="101" xr:uid="{3BC62AB6-CA16-4C06-A7F5-B3B17E0E182C}"/>
    <cellStyle name="60% - 강조색2" xfId="102" builtinId="36" customBuiltin="1"/>
    <cellStyle name="60% - 강조색2 2" xfId="103" xr:uid="{FF34A976-9A8A-431F-842A-0FD642C9C6B7}"/>
    <cellStyle name="60% - 강조색2 2 2" xfId="104" xr:uid="{033F438C-411B-4645-A591-49508C7C416C}"/>
    <cellStyle name="60% - 강조색2 2 3" xfId="105" xr:uid="{7A360039-EA04-45BB-9B74-79B51B3BCD8C}"/>
    <cellStyle name="60% - 강조색2 3" xfId="106" xr:uid="{F6E6B0B2-D328-4AC0-A264-DE1DDA634AB4}"/>
    <cellStyle name="60% - 강조색2 3 2" xfId="107" xr:uid="{3F5DD4C7-1953-4462-9779-3277D1E4D1BD}"/>
    <cellStyle name="60% - 강조색2 4" xfId="108" xr:uid="{6750C676-A533-47F6-9A92-F9CB1A83B950}"/>
    <cellStyle name="60% - 강조색2 5" xfId="109" xr:uid="{B91EAF91-ABA7-44A5-AD12-52366C67CB1C}"/>
    <cellStyle name="60% - 강조색3" xfId="110" builtinId="40" customBuiltin="1"/>
    <cellStyle name="60% - 강조색3 2" xfId="111" xr:uid="{252A6E92-9A72-4DF7-AC3F-81B3152810E6}"/>
    <cellStyle name="60% - 강조색3 2 2" xfId="112" xr:uid="{5D96A765-B4D6-47A5-B88B-5470647BF000}"/>
    <cellStyle name="60% - 강조색3 2 3" xfId="113" xr:uid="{7515ECD9-781D-4A51-859B-0B7E5F234E54}"/>
    <cellStyle name="60% - 강조색3 3" xfId="114" xr:uid="{2B937890-F603-4004-A1C0-232C6C0F6877}"/>
    <cellStyle name="60% - 강조색3 3 2" xfId="115" xr:uid="{907D7430-A13C-47A0-9B2D-EB6C899DF874}"/>
    <cellStyle name="60% - 강조색3 4" xfId="116" xr:uid="{FF2126DB-15B6-4008-AC4D-7520B451B4F7}"/>
    <cellStyle name="60% - 강조색3 5" xfId="117" xr:uid="{B6636554-C111-43D3-8AF7-660647BB3C20}"/>
    <cellStyle name="60% - 강조색4" xfId="118" builtinId="44" customBuiltin="1"/>
    <cellStyle name="60% - 강조색4 2" xfId="119" xr:uid="{67B9986D-4A84-40E6-9187-53E370922345}"/>
    <cellStyle name="60% - 강조색4 2 2" xfId="120" xr:uid="{9275E588-866A-40EF-99DB-F844366D6E93}"/>
    <cellStyle name="60% - 강조색4 2 3" xfId="121" xr:uid="{9D060523-643D-4572-9172-D1503CB9BD23}"/>
    <cellStyle name="60% - 강조색4 3" xfId="122" xr:uid="{66DC2249-CA60-48B8-BACC-D875FC298316}"/>
    <cellStyle name="60% - 강조색4 3 2" xfId="123" xr:uid="{9CC6EBA4-B605-4240-A41F-990F10853693}"/>
    <cellStyle name="60% - 강조색4 4" xfId="124" xr:uid="{D408C151-E8D3-499F-BB42-DFD4A9ADE8D3}"/>
    <cellStyle name="60% - 강조색4 5" xfId="125" xr:uid="{D256798D-F0CA-4860-800E-9408B7CF27B1}"/>
    <cellStyle name="60% - 강조색5" xfId="126" builtinId="48" customBuiltin="1"/>
    <cellStyle name="60% - 강조색5 2" xfId="127" xr:uid="{7CB8999B-7794-48C0-A885-19881F24EA14}"/>
    <cellStyle name="60% - 강조색5 2 2" xfId="128" xr:uid="{000753D5-6176-4D6A-9FEB-BFE555EC7710}"/>
    <cellStyle name="60% - 강조색5 2 3" xfId="129" xr:uid="{F35A2E9E-91F5-4671-8A96-CA76AA20C700}"/>
    <cellStyle name="60% - 강조색5 3" xfId="130" xr:uid="{037F924B-1EAB-486B-A338-C4021415B08C}"/>
    <cellStyle name="60% - 강조색5 3 2" xfId="131" xr:uid="{D9051049-76E1-4D08-AF17-153867C39CF2}"/>
    <cellStyle name="60% - 강조색5 4" xfId="132" xr:uid="{B33D5FF2-E315-4B97-B1D8-8FBAC7117064}"/>
    <cellStyle name="60% - 강조색5 5" xfId="133" xr:uid="{EB98965C-0168-4896-918D-2C1180A520D3}"/>
    <cellStyle name="60% - 강조색6" xfId="134" builtinId="52" customBuiltin="1"/>
    <cellStyle name="60% - 강조색6 2" xfId="135" xr:uid="{0EF49EA6-7C4B-4C12-A078-DE1A5E5AE205}"/>
    <cellStyle name="60% - 강조색6 2 2" xfId="136" xr:uid="{BA100C32-D898-4BC6-BB82-08D0FA7F24E3}"/>
    <cellStyle name="60% - 강조색6 2 3" xfId="137" xr:uid="{ABEDFBCE-8ED1-4C9C-9A8C-F20FC920176F}"/>
    <cellStyle name="60% - 강조색6 3" xfId="138" xr:uid="{A54CCD5E-6BCB-46E0-9DB1-238B22851150}"/>
    <cellStyle name="60% - 강조색6 3 2" xfId="139" xr:uid="{BE4679FB-7F99-4B80-8816-A9D74A3F4E3C}"/>
    <cellStyle name="60% - 강조색6 4" xfId="140" xr:uid="{CEE2055D-30AB-4A8A-8C64-F78CCF1F048C}"/>
    <cellStyle name="60% - 강조색6 5" xfId="141" xr:uid="{0EEBFB85-3FA3-4BE0-9604-6519830EA715}"/>
    <cellStyle name="AeE­ [0]_PERSONAL" xfId="142" xr:uid="{DF5A8D74-FB4B-4BFF-B672-EBAD4B5C6572}"/>
    <cellStyle name="AeE­_PERSONAL" xfId="143" xr:uid="{414BDF54-A18D-4E41-AB6A-CDD6233894CD}"/>
    <cellStyle name="ALIGNMENT" xfId="144" xr:uid="{076EB5A9-237B-483F-A083-88A42669ADA4}"/>
    <cellStyle name="C￥AØ_PERSONAL" xfId="145" xr:uid="{7BA14B85-B0DF-4E65-ADD4-E6DC9C4F3CAE}"/>
    <cellStyle name="category" xfId="146" xr:uid="{C442BF60-B089-4430-87C6-ED55048BCD30}"/>
    <cellStyle name="Comma [0]_ SG&amp;A Bridge " xfId="147" xr:uid="{56BC54AE-4CD7-4C39-ACBE-D49E2A1194D2}"/>
    <cellStyle name="Comma_ SG&amp;A Bridge " xfId="148" xr:uid="{30331356-020A-4B36-B679-48FEA3E2C113}"/>
    <cellStyle name="Currency [0]_ SG&amp;A Bridge " xfId="149" xr:uid="{715F4338-51E5-4F38-954B-670CC7A02DFA}"/>
    <cellStyle name="Currency_ SG&amp;A Bridge " xfId="150" xr:uid="{C1FAF66F-83F3-48CF-A6AD-E3492A1BC5FA}"/>
    <cellStyle name="Grey" xfId="151" xr:uid="{1EDF2936-5FC3-452F-9753-71CBC94B0419}"/>
    <cellStyle name="HEADER" xfId="152" xr:uid="{950EEBD5-B2AE-4292-9784-2312471D2F25}"/>
    <cellStyle name="Header1" xfId="153" xr:uid="{178AAA95-4785-4ADC-B156-EB9F1EE70B92}"/>
    <cellStyle name="Header2" xfId="154" xr:uid="{6440FEF2-A744-471C-B080-34E2FECFA4ED}"/>
    <cellStyle name="Input [yellow]" xfId="155" xr:uid="{487F5A31-76C2-4F43-9398-4636C431F415}"/>
    <cellStyle name="Model" xfId="156" xr:uid="{1879E281-5A76-4B6B-9F24-26754A69B0D7}"/>
    <cellStyle name="no dec" xfId="157" xr:uid="{48A3E68E-486C-4182-B446-83DE77B5E2A9}"/>
    <cellStyle name="Normal - Style1" xfId="158" xr:uid="{C26C1DCF-77F1-4904-AB60-A30E89DCBC3B}"/>
    <cellStyle name="Normal_ SG&amp;A Bridge " xfId="159" xr:uid="{22999D99-DAF5-45AA-8F9F-0FE5B7E2A3A0}"/>
    <cellStyle name="Percent [2]" xfId="160" xr:uid="{5DF5945A-0D2F-4113-A684-D328C85581AA}"/>
    <cellStyle name="subhead" xfId="161" xr:uid="{3D45565E-FF91-41DE-ABC3-77D7F7258784}"/>
    <cellStyle name="강조색1" xfId="162" builtinId="29" customBuiltin="1"/>
    <cellStyle name="강조색1 2" xfId="163" xr:uid="{BE72D6BF-D980-432E-B1B8-5243F88E7589}"/>
    <cellStyle name="강조색1 2 2" xfId="164" xr:uid="{564D3C5C-D9D0-41D7-AD10-6191C3DB81EF}"/>
    <cellStyle name="강조색1 2 3" xfId="165" xr:uid="{D14C3FB6-0F1C-4109-8C5C-7AD8D221C809}"/>
    <cellStyle name="강조색1 3" xfId="166" xr:uid="{E2F8F1F0-81B4-411E-852F-BF60E39FFAB7}"/>
    <cellStyle name="강조색1 3 2" xfId="167" xr:uid="{DA5CE207-FA1F-4E53-A33C-3D4B1730AC90}"/>
    <cellStyle name="강조색1 4" xfId="168" xr:uid="{F8AA4488-27B8-42B0-8E0F-F3021BB90F24}"/>
    <cellStyle name="강조색1 5" xfId="169" xr:uid="{CF4136E9-906C-4769-BCD7-DB809503082F}"/>
    <cellStyle name="강조색2" xfId="170" builtinId="33" customBuiltin="1"/>
    <cellStyle name="강조색2 2" xfId="171" xr:uid="{693008C7-9171-4083-B103-AFCF251DCBCF}"/>
    <cellStyle name="강조색2 2 2" xfId="172" xr:uid="{051C07E9-8DD0-4522-AE93-B9B1AAAC7270}"/>
    <cellStyle name="강조색2 2 3" xfId="173" xr:uid="{71E332E2-AF8F-4D14-8D0B-A34BABDC2912}"/>
    <cellStyle name="강조색2 3" xfId="174" xr:uid="{A9D90CA1-BB8D-4275-9640-3EE31CC0BAD7}"/>
    <cellStyle name="강조색2 3 2" xfId="175" xr:uid="{C759AB33-7F49-4575-8F2C-D14AF0AAFE47}"/>
    <cellStyle name="강조색2 4" xfId="176" xr:uid="{702468DE-76E4-41BE-A7B5-DF66B62FA2C8}"/>
    <cellStyle name="강조색2 5" xfId="177" xr:uid="{B978102C-1E8C-4A9C-91AE-33924690EDB0}"/>
    <cellStyle name="강조색3" xfId="178" builtinId="37" customBuiltin="1"/>
    <cellStyle name="강조색3 2" xfId="179" xr:uid="{084579C2-156D-42EB-A435-18DC17154C2E}"/>
    <cellStyle name="강조색3 2 2" xfId="180" xr:uid="{B5607BBF-03DF-4404-817E-186AFBBE2446}"/>
    <cellStyle name="강조색3 2 3" xfId="181" xr:uid="{A5B04BAB-28CD-4F29-BA30-E1B1BA21707C}"/>
    <cellStyle name="강조색3 3" xfId="182" xr:uid="{09571092-B9AB-4E32-9A15-42CC7451DB2D}"/>
    <cellStyle name="강조색3 3 2" xfId="183" xr:uid="{1BD676CB-507B-4025-A147-479FD727C57E}"/>
    <cellStyle name="강조색3 4" xfId="184" xr:uid="{522DAEBB-691D-4B52-862C-DF32D847373D}"/>
    <cellStyle name="강조색3 5" xfId="185" xr:uid="{A0444D7D-126C-4FF4-BEEA-DA56FF9B2E92}"/>
    <cellStyle name="강조색4" xfId="186" builtinId="41" customBuiltin="1"/>
    <cellStyle name="강조색4 2" xfId="187" xr:uid="{1F15EF7D-9B92-4DBE-BE86-A83E9B412B1B}"/>
    <cellStyle name="강조색4 2 2" xfId="188" xr:uid="{CE0ACFB2-8E51-4156-972B-2E0B9D164F87}"/>
    <cellStyle name="강조색4 2 3" xfId="189" xr:uid="{A4EDBBEF-2A30-41D4-932D-C99F1D8357A0}"/>
    <cellStyle name="강조색4 3" xfId="190" xr:uid="{B9FD738C-F93F-4CF1-9AC6-9D2DF7AC6B08}"/>
    <cellStyle name="강조색4 3 2" xfId="191" xr:uid="{F35599EA-5DBB-4998-9AD2-1307AC4EB65F}"/>
    <cellStyle name="강조색4 4" xfId="192" xr:uid="{874D795A-4A23-4BAB-8CDC-A37493761AE6}"/>
    <cellStyle name="강조색4 5" xfId="193" xr:uid="{76AEBD4B-9FA8-4269-B651-FA5F752D9BE9}"/>
    <cellStyle name="강조색5" xfId="194" builtinId="45" customBuiltin="1"/>
    <cellStyle name="강조색5 2" xfId="195" xr:uid="{D8C6AA70-C4B7-4FDB-8B25-B7821C80095D}"/>
    <cellStyle name="강조색5 2 2" xfId="196" xr:uid="{5B549D17-FE39-4697-8938-9A1CEAC2C5B0}"/>
    <cellStyle name="강조색5 3" xfId="197" xr:uid="{08848D1B-6B9C-4672-B43C-9FC078D38815}"/>
    <cellStyle name="강조색5 4" xfId="198" xr:uid="{4C627382-A6B4-45A6-8471-99D97DE90089}"/>
    <cellStyle name="강조색5 5" xfId="199" xr:uid="{4132125A-6CD4-42D6-84DE-64C7DC9D8186}"/>
    <cellStyle name="강조색6" xfId="200" builtinId="49" customBuiltin="1"/>
    <cellStyle name="강조색6 2" xfId="201" xr:uid="{E57AB3FD-4813-4079-9DB3-4F87B9D3A19B}"/>
    <cellStyle name="강조색6 2 2" xfId="202" xr:uid="{6BC9424C-3BF7-4E2A-A92A-D2E13C9EDF01}"/>
    <cellStyle name="강조색6 2 3" xfId="203" xr:uid="{79D499C7-3C0B-4898-9A8D-A131150EFD2E}"/>
    <cellStyle name="강조색6 3" xfId="204" xr:uid="{A11E414B-5D01-42ED-9FB4-2E6C8176881D}"/>
    <cellStyle name="강조색6 3 2" xfId="205" xr:uid="{2F91E3BA-1AE7-43EF-B3B9-66A50130ED47}"/>
    <cellStyle name="강조색6 4" xfId="206" xr:uid="{21C12355-0BA7-4B20-A1A5-9408332DC67C}"/>
    <cellStyle name="강조색6 5" xfId="207" xr:uid="{EDFD99DD-0304-4E76-A2B5-E2C8CB62784C}"/>
    <cellStyle name="경고문" xfId="208" builtinId="11" customBuiltin="1"/>
    <cellStyle name="경고문 2" xfId="209" xr:uid="{0707F807-70D6-41DA-98EA-4B8F05F7DE17}"/>
    <cellStyle name="경고문 2 2" xfId="210" xr:uid="{DA01B85D-A83A-4652-807C-4C102F0302DA}"/>
    <cellStyle name="경고문 3" xfId="211" xr:uid="{BD4A584A-6B47-4430-8D77-C2AC5730DDE4}"/>
    <cellStyle name="경고문 4" xfId="212" xr:uid="{59056FDC-6AA2-4237-99F7-F0C2BED794DE}"/>
    <cellStyle name="경고문 5" xfId="213" xr:uid="{36026AC1-B9F6-42BF-A4CD-453DE8FF03CD}"/>
    <cellStyle name="계산" xfId="214" builtinId="22" customBuiltin="1"/>
    <cellStyle name="계산 2" xfId="215" xr:uid="{8C3E1D24-F4B7-4CAB-9B23-7F3D8CC7A898}"/>
    <cellStyle name="계산 2 2" xfId="216" xr:uid="{E310D875-F447-4184-9128-A797EC11C159}"/>
    <cellStyle name="계산 2 3" xfId="217" xr:uid="{2C4DE3CC-3419-40EB-B9F0-6954ABA38B17}"/>
    <cellStyle name="계산 3" xfId="218" xr:uid="{794535C4-9D46-47FF-B308-5265649E0AA8}"/>
    <cellStyle name="계산 3 2" xfId="219" xr:uid="{0E980DC8-24ED-4830-B072-2886A2786468}"/>
    <cellStyle name="계산 4" xfId="220" xr:uid="{7232C60E-4214-43D0-9E64-66FADB71BF22}"/>
    <cellStyle name="계산 5" xfId="221" xr:uid="{20681172-5864-4D96-84F2-3EB315680A9D}"/>
    <cellStyle name="나쁨" xfId="222" builtinId="27" customBuiltin="1"/>
    <cellStyle name="나쁨 2" xfId="223" xr:uid="{5A7D16B7-C93F-4CBF-9D72-D9A8979FF36C}"/>
    <cellStyle name="나쁨 2 2" xfId="224" xr:uid="{7325C6E8-ACA9-4E21-8F6F-FD777981012C}"/>
    <cellStyle name="나쁨 2 3" xfId="225" xr:uid="{FA48C998-2EFF-4A8E-B91E-7B3129BC1F64}"/>
    <cellStyle name="나쁨 3" xfId="226" xr:uid="{E6EA84D0-FF87-4F0C-B25E-49EEC2C1471E}"/>
    <cellStyle name="나쁨 3 2" xfId="227" xr:uid="{D345F415-22CB-40BD-A031-16DF12B1ABA4}"/>
    <cellStyle name="나쁨 4" xfId="228" xr:uid="{E59413B8-D732-481E-97B2-47B0B077093F}"/>
    <cellStyle name="나쁨 5" xfId="229" xr:uid="{60048645-64A7-4475-BBDA-3817B9DA0E83}"/>
    <cellStyle name="메모" xfId="230" builtinId="10" customBuiltin="1"/>
    <cellStyle name="메모 2" xfId="231" xr:uid="{24EDD14C-CC6F-47B2-AEB3-7A38BD71FF67}"/>
    <cellStyle name="메모 2 2" xfId="232" xr:uid="{FBE00A04-22FB-4C1C-9ADE-0885C773B357}"/>
    <cellStyle name="메모 2 3" xfId="233" xr:uid="{170605C7-9201-4DCC-BA38-48F0DB3AE0FC}"/>
    <cellStyle name="메모 3" xfId="234" xr:uid="{706FDF81-1A0F-4FDE-96AC-5224B2641619}"/>
    <cellStyle name="메모 3 2" xfId="235" xr:uid="{9C4D904A-5EA8-41A0-98AA-C48590A8EB6F}"/>
    <cellStyle name="메모 4" xfId="236" xr:uid="{4D03DB22-6D0F-490E-BF7D-BFE5EAE8ADEA}"/>
    <cellStyle name="메모 5" xfId="237" xr:uid="{DAE70AD1-6B2E-40DB-83EE-491B75A08C7F}"/>
    <cellStyle name="믅됞 [0.00]_PRODUCT DETAIL Q1" xfId="238" xr:uid="{0F2BE587-9CC6-4A0C-B28E-770DE86CDB48}"/>
    <cellStyle name="믅됞_PRODUCT DETAIL Q1" xfId="239" xr:uid="{459E5183-30FC-4D25-9AC6-F3EFAC1E1112}"/>
    <cellStyle name="보통" xfId="240" builtinId="28" customBuiltin="1"/>
    <cellStyle name="보통 2" xfId="241" xr:uid="{21CA3B3E-32D6-4605-BE36-B87202349CCB}"/>
    <cellStyle name="보통 2 2" xfId="242" xr:uid="{3E8EABC1-606A-41AA-95EB-D44DD0B60252}"/>
    <cellStyle name="보통 2 3" xfId="243" xr:uid="{574B3487-2759-40AC-803E-E8A0401B5479}"/>
    <cellStyle name="보통 3" xfId="244" xr:uid="{C4E87887-E614-49BC-8E62-FE9D6B649CD2}"/>
    <cellStyle name="보통 3 2" xfId="245" xr:uid="{1D47A449-E246-49CF-AE67-4D693FE8FCD1}"/>
    <cellStyle name="보통 4" xfId="246" xr:uid="{9F775172-575B-466B-9856-364B5018721E}"/>
    <cellStyle name="보통 5" xfId="247" xr:uid="{988FE562-5CDA-4F11-AAA3-6FD55FCFEB1D}"/>
    <cellStyle name="뷭?_BOOKSHIP" xfId="248" xr:uid="{0FBA7A14-0FDD-47B4-B847-B87F15D177D2}"/>
    <cellStyle name="설명 텍스트" xfId="249" builtinId="53" customBuiltin="1"/>
    <cellStyle name="설명 텍스트 2" xfId="250" xr:uid="{8E2A2307-45C5-4628-8021-42FBCD19112A}"/>
    <cellStyle name="설명 텍스트 2 2" xfId="251" xr:uid="{DA5C0689-9374-4921-925E-79210557D7D8}"/>
    <cellStyle name="설명 텍스트 3" xfId="252" xr:uid="{68AE3820-63D9-43CB-A6C3-1B83A6E20C9C}"/>
    <cellStyle name="설명 텍스트 4" xfId="253" xr:uid="{0F1DD989-260F-4434-8514-2332EA2BD538}"/>
    <cellStyle name="설명 텍스트 5" xfId="254" xr:uid="{0AF93341-1262-4EFB-9EBC-DC4272A9ADB9}"/>
    <cellStyle name="셀 확인" xfId="255" builtinId="23" customBuiltin="1"/>
    <cellStyle name="셀 확인 2" xfId="256" xr:uid="{39A7E337-41E3-485B-A801-B1590275CF85}"/>
    <cellStyle name="셀 확인 2 2" xfId="257" xr:uid="{BE10AFB8-B968-477B-8667-0D61B388EC6D}"/>
    <cellStyle name="셀 확인 3" xfId="258" xr:uid="{96597304-6E0A-4F05-82B4-E1850D9B4DC3}"/>
    <cellStyle name="셀 확인 4" xfId="259" xr:uid="{7D982DCF-B002-482A-A1AA-8D76F7EB9D0F}"/>
    <cellStyle name="셀 확인 5" xfId="260" xr:uid="{07B7AE18-D5BB-4AC3-9005-848ABBBE6ED2}"/>
    <cellStyle name="쉼표 [0]" xfId="261" builtinId="6"/>
    <cellStyle name="쉼표 [0] 2" xfId="262" xr:uid="{604054F0-8BC6-4FD1-8A2D-3101813D8C19}"/>
    <cellStyle name="쉼표 [0] 2 2" xfId="263" xr:uid="{5F961104-236D-4491-B231-4B1CE9ECE29B}"/>
    <cellStyle name="쉼표 [0] 2 2 2" xfId="264" xr:uid="{3D252194-3BE5-41F4-81F2-9B4C567735AD}"/>
    <cellStyle name="쉼표 [0] 2 2 2 2" xfId="265" xr:uid="{6CD658BB-1F75-4B6E-A183-0E39E3090EB1}"/>
    <cellStyle name="쉼표 [0] 2 3" xfId="266" xr:uid="{F2817645-7F82-45AD-AE8B-00CB1064FA65}"/>
    <cellStyle name="쉼표 [0] 2 4" xfId="267" xr:uid="{8C1F0A0E-3C67-43D5-A81F-622B7B2F3777}"/>
    <cellStyle name="쉼표 [0] 3" xfId="268" xr:uid="{8732382D-EDAC-4C5E-8E9E-949BF3B9FFD9}"/>
    <cellStyle name="쉼표 [0] 4" xfId="269" xr:uid="{922BAD48-DECD-47A2-A41C-EA48F89CF31B}"/>
    <cellStyle name="쉼표 [0] 5" xfId="270" xr:uid="{6D11C4D8-F140-4AB8-881A-1D8643773924}"/>
    <cellStyle name="쉼표 [0] 6" xfId="271" xr:uid="{718C53AB-D9AE-436A-8A35-8B7975FC628B}"/>
    <cellStyle name="쉼표 [0] 7" xfId="272" xr:uid="{ABFFBAA9-E0B1-4DF9-A79F-B76426B23576}"/>
    <cellStyle name="스타일 1" xfId="273" xr:uid="{2AA9879A-D023-4968-AC8E-8AFFE13DCD4E}"/>
    <cellStyle name="연결된 셀" xfId="274" builtinId="24" customBuiltin="1"/>
    <cellStyle name="연결된 셀 2" xfId="275" xr:uid="{78483C3A-9EA2-4C3F-BC03-8AE789112D1D}"/>
    <cellStyle name="연결된 셀 2 2" xfId="276" xr:uid="{9A4FF6CC-8519-4D81-876B-56659705F727}"/>
    <cellStyle name="연결된 셀 2 3" xfId="277" xr:uid="{889F12DD-890D-46DA-A5A7-6C7196D55213}"/>
    <cellStyle name="연결된 셀 3" xfId="278" xr:uid="{62BB9A60-DE5C-4F94-A715-80348929AB82}"/>
    <cellStyle name="연결된 셀 3 2" xfId="279" xr:uid="{CA48F8B4-B12A-4E67-BA94-2D787859FFC3}"/>
    <cellStyle name="연결된 셀 4" xfId="280" xr:uid="{8DB20D68-DD93-4694-9F50-18713731DB51}"/>
    <cellStyle name="연결된 셀 5" xfId="281" xr:uid="{797A61C7-9F32-4466-B746-CF3A5D31576B}"/>
    <cellStyle name="요약" xfId="282" builtinId="25" customBuiltin="1"/>
    <cellStyle name="요약 2" xfId="283" xr:uid="{59A0DC7F-1BCA-4BD1-851E-71D30A58906A}"/>
    <cellStyle name="요약 2 2" xfId="284" xr:uid="{DA292EF9-3BB2-4058-8DE7-383FDC10E627}"/>
    <cellStyle name="요약 2 3" xfId="285" xr:uid="{0657D9B3-0058-4661-857B-B21E12B7493D}"/>
    <cellStyle name="요약 3" xfId="286" xr:uid="{40A0F75B-81C3-4CD5-8841-C419A6DD6699}"/>
    <cellStyle name="요약 3 2" xfId="287" xr:uid="{838A786D-1A2D-4F6F-BE07-9CB3F105B903}"/>
    <cellStyle name="요약 4" xfId="288" xr:uid="{FA0A41D3-9A59-44EA-9E99-A493DBDDDB4C}"/>
    <cellStyle name="요약 5" xfId="289" xr:uid="{2CDAFBEF-133A-4373-8314-8090BDEB8CFB}"/>
    <cellStyle name="입력" xfId="290" builtinId="20" customBuiltin="1"/>
    <cellStyle name="입력 2" xfId="291" xr:uid="{03E0339A-FB2D-498B-9167-6DECB457C081}"/>
    <cellStyle name="입력 2 2" xfId="292" xr:uid="{24C740F5-1992-4500-8FDA-548118FBCC07}"/>
    <cellStyle name="입력 2 3" xfId="293" xr:uid="{6F402AC9-73FE-4A02-9C08-0046FCE03EBB}"/>
    <cellStyle name="입력 3" xfId="294" xr:uid="{C215D6A4-0AD8-431A-AC68-9CE6BD666D2C}"/>
    <cellStyle name="입력 3 2" xfId="295" xr:uid="{CC25D197-4C9B-431F-AD89-122A9A48AE09}"/>
    <cellStyle name="입력 4" xfId="296" xr:uid="{6A5E4861-3963-4082-AD8E-A8DD3790BB3B}"/>
    <cellStyle name="입력 5" xfId="297" xr:uid="{A470D82B-2656-4027-944E-CA91A01C43B9}"/>
    <cellStyle name="제목" xfId="298" builtinId="15" customBuiltin="1"/>
    <cellStyle name="제목 1" xfId="299" builtinId="16" customBuiltin="1"/>
    <cellStyle name="제목 1 2" xfId="300" xr:uid="{FC6165BB-B01A-4416-B5AE-B3B5D61BE99E}"/>
    <cellStyle name="제목 1 2 2" xfId="301" xr:uid="{6F5E576C-CF22-4AE8-9B8A-BECD8905AB78}"/>
    <cellStyle name="제목 1 2 3" xfId="302" xr:uid="{5E6B7295-1360-4AC0-B1E3-370120982EF3}"/>
    <cellStyle name="제목 1 3" xfId="303" xr:uid="{4A820D0A-42CC-4AD7-AA38-B6BD15F2067A}"/>
    <cellStyle name="제목 1 3 2" xfId="304" xr:uid="{70F88036-5A40-43EB-8363-1E25F248E148}"/>
    <cellStyle name="제목 1 4" xfId="305" xr:uid="{CFDB3E66-02D3-4660-9E4C-D0E04EBF7590}"/>
    <cellStyle name="제목 1 5" xfId="306" xr:uid="{D594457A-2108-4DC6-BF5E-F5CC14ED551E}"/>
    <cellStyle name="제목 2" xfId="307" builtinId="17" customBuiltin="1"/>
    <cellStyle name="제목 2 2" xfId="308" xr:uid="{CE206D90-A77E-4138-A436-1BB68CC23081}"/>
    <cellStyle name="제목 2 2 2" xfId="309" xr:uid="{3224DB9A-ACC5-4DFE-9873-8477A85577A8}"/>
    <cellStyle name="제목 2 2 3" xfId="310" xr:uid="{837F3C71-FE73-471D-8543-53074A4C98E0}"/>
    <cellStyle name="제목 2 3" xfId="311" xr:uid="{C5B5ADC4-815D-458E-B3E2-56567509AF37}"/>
    <cellStyle name="제목 2 3 2" xfId="312" xr:uid="{9B0E2385-09E4-46F1-95FB-50F2471DFCD0}"/>
    <cellStyle name="제목 2 4" xfId="313" xr:uid="{EE91640C-15E5-4E60-A63B-4AD645A29FF7}"/>
    <cellStyle name="제목 2 5" xfId="314" xr:uid="{F0BD9ED5-ED04-4172-9E6C-3A429DF4842F}"/>
    <cellStyle name="제목 3" xfId="315" builtinId="18" customBuiltin="1"/>
    <cellStyle name="제목 3 2" xfId="316" xr:uid="{7E8D3A99-9652-49CB-AD3F-1EAE45C7D80C}"/>
    <cellStyle name="제목 3 2 2" xfId="317" xr:uid="{732435D0-BA17-4C89-8CAE-5FCD0185AD2E}"/>
    <cellStyle name="제목 3 2 3" xfId="318" xr:uid="{2135179B-3E3E-4406-87B1-DB0FFA591911}"/>
    <cellStyle name="제목 3 3" xfId="319" xr:uid="{E7D08E0B-1910-4D6B-BCF8-80DB66EE8311}"/>
    <cellStyle name="제목 3 3 2" xfId="320" xr:uid="{3CCD9D4F-FD8B-4C00-9520-F9E3249F23A0}"/>
    <cellStyle name="제목 3 4" xfId="321" xr:uid="{94E387AC-496A-483B-92ED-0B4120009E0E}"/>
    <cellStyle name="제목 3 5" xfId="322" xr:uid="{B15F61F0-0CE7-46F7-A094-C07F152E3B2E}"/>
    <cellStyle name="제목 4" xfId="323" builtinId="19" customBuiltin="1"/>
    <cellStyle name="제목 4 2" xfId="324" xr:uid="{47B1A0C9-E864-4071-898B-4238E191D3FD}"/>
    <cellStyle name="제목 4 2 2" xfId="325" xr:uid="{5B0D0C17-2881-4E91-A201-B4C1D6CB4A87}"/>
    <cellStyle name="제목 4 2 3" xfId="326" xr:uid="{59B7C73D-F6EF-4D7B-934E-B8BD82481727}"/>
    <cellStyle name="제목 4 3" xfId="327" xr:uid="{5D666BFC-2BE9-4573-8C51-232DA2B5200E}"/>
    <cellStyle name="제목 4 3 2" xfId="328" xr:uid="{82D6E8C9-FBC4-4961-A993-95DBCB4100DD}"/>
    <cellStyle name="제목 4 4" xfId="329" xr:uid="{0E5BFCD3-00EA-4FD4-B5B0-EB44347F0B23}"/>
    <cellStyle name="제목 4 5" xfId="330" xr:uid="{A804CAEE-4D0F-4927-823F-4A7D55F58C0B}"/>
    <cellStyle name="제목 5" xfId="331" xr:uid="{AF0FD32E-79B7-49D0-8D66-B850B9328098}"/>
    <cellStyle name="제목 5 2" xfId="332" xr:uid="{8BE51686-B3C5-42AB-9892-E8BEBB799D55}"/>
    <cellStyle name="제목 5 3" xfId="333" xr:uid="{BCE35ADB-7D86-4A6B-82C5-23497B4B6F56}"/>
    <cellStyle name="제목 6" xfId="334" xr:uid="{0F5244E5-EE88-4437-BA54-6C7DF7DE01BB}"/>
    <cellStyle name="제목 6 2" xfId="335" xr:uid="{F693A216-CFC6-4233-AC4C-64453E27E9B5}"/>
    <cellStyle name="제목 7" xfId="336" xr:uid="{B51213DB-3AD4-4389-AC64-F56EA43AE09F}"/>
    <cellStyle name="제목 8" xfId="337" xr:uid="{E65B0275-E88E-495B-B61A-62A82A8496B5}"/>
    <cellStyle name="좋음" xfId="338" builtinId="26" customBuiltin="1"/>
    <cellStyle name="좋음 2" xfId="339" xr:uid="{FB2DC6D1-496B-4EE0-81DC-320B263BE9FB}"/>
    <cellStyle name="좋음 2 2" xfId="340" xr:uid="{6A3D2962-D59A-47D6-A1E3-8227754EF0BF}"/>
    <cellStyle name="좋음 2 3" xfId="341" xr:uid="{A104E7CB-82B0-4BDA-B09C-0ED1A7EE43A8}"/>
    <cellStyle name="좋음 3" xfId="342" xr:uid="{573AB4CE-1297-4CEE-A22B-899CBF0249D7}"/>
    <cellStyle name="좋음 3 2" xfId="343" xr:uid="{CAF23A19-886D-4BA0-BA15-7C53EAD5005B}"/>
    <cellStyle name="좋음 4" xfId="344" xr:uid="{E386A362-8891-402E-8DF0-45BC62F0EDB1}"/>
    <cellStyle name="좋음 5" xfId="345" xr:uid="{F8DBDD9D-8DE9-437C-A7C0-3B27ABE9E312}"/>
    <cellStyle name="지정되지 않음" xfId="346" xr:uid="{F08A3E72-E6FD-4DF8-8695-EF302C1E9FBB}"/>
    <cellStyle name="출력" xfId="347" builtinId="21" customBuiltin="1"/>
    <cellStyle name="출력 2" xfId="348" xr:uid="{42C68D2E-D686-414B-90B8-01FE1FBA34BE}"/>
    <cellStyle name="출력 2 2" xfId="349" xr:uid="{1F7B2CA4-9541-4877-8DE8-48D362E2E3E7}"/>
    <cellStyle name="출력 2 3" xfId="350" xr:uid="{98C25538-A5EF-4518-8DD8-3C14BFD45A03}"/>
    <cellStyle name="출력 3" xfId="351" xr:uid="{516023EF-58AD-4802-91EA-0C8A20748C7C}"/>
    <cellStyle name="출력 3 2" xfId="352" xr:uid="{88977C20-543B-47D5-A425-748FD993C2FA}"/>
    <cellStyle name="출력 4" xfId="353" xr:uid="{2316BF87-7F7A-495A-BD7C-90B03925F0F5}"/>
    <cellStyle name="출력 5" xfId="354" xr:uid="{3E4F7017-EF8E-4623-AC31-C158229A4A1A}"/>
    <cellStyle name="콤마 [0]_0726" xfId="355" xr:uid="{14EEB65A-558D-4A71-B390-0C65EFF87A02}"/>
    <cellStyle name="콤마_0726" xfId="356" xr:uid="{1928EAB9-0F8A-41F7-9B3B-02AC990B5740}"/>
    <cellStyle name="통화 [0] 2" xfId="357" xr:uid="{C8ADF70B-6170-4DDB-970B-C5416D111253}"/>
    <cellStyle name="표준" xfId="0" builtinId="0"/>
    <cellStyle name="표준 10" xfId="358" xr:uid="{15E66028-6F97-4263-B13A-8F98A56A7D75}"/>
    <cellStyle name="표준 11" xfId="359" xr:uid="{5129FB80-2DA8-4151-9046-83F6F4030DED}"/>
    <cellStyle name="표준 12" xfId="360" xr:uid="{C3B2FA1F-CD32-4874-98B1-84CD5A6CA826}"/>
    <cellStyle name="표준 13" xfId="361" xr:uid="{35A1C528-9D4B-433D-ABC0-0A15323DF7C1}"/>
    <cellStyle name="표준 14" xfId="362" xr:uid="{36BB83F0-3245-4935-AB1C-C036F54FF733}"/>
    <cellStyle name="표준 15" xfId="363" xr:uid="{CD022518-0A1D-4092-A8A8-0737E2189301}"/>
    <cellStyle name="표준 16" xfId="364" xr:uid="{F4766CC9-2E79-4F96-9C0B-66692E6652C1}"/>
    <cellStyle name="표준 17" xfId="365" xr:uid="{05593F09-87E4-4E9B-B82B-86CB1377C252}"/>
    <cellStyle name="표준 18" xfId="366" xr:uid="{9EA58585-505B-4C7A-940D-0296E1277350}"/>
    <cellStyle name="표준 19" xfId="367" xr:uid="{AF270E0D-E35B-4A55-A1CF-5891B3C6FDEF}"/>
    <cellStyle name="표준 2" xfId="368" xr:uid="{879B6D03-0D7D-4D50-9F16-743427277EA3}"/>
    <cellStyle name="표준 2 2" xfId="369" xr:uid="{D060BEE7-42B5-498E-B78F-39A50D3E6284}"/>
    <cellStyle name="표준 2 2 2" xfId="370" xr:uid="{808504A9-5B11-4FE1-B2B9-9E01738E24FA}"/>
    <cellStyle name="표준 2 2 2 2" xfId="371" xr:uid="{702F191F-37D5-49D7-8BB4-55BADD931D66}"/>
    <cellStyle name="표준 2 3" xfId="372" xr:uid="{A86BFA3D-03C7-4932-A2B0-F996124AC220}"/>
    <cellStyle name="표준 2 4" xfId="373" xr:uid="{0E82173B-5AA4-493A-ACDD-9CF7DAE5CF50}"/>
    <cellStyle name="표준 2 5" xfId="374" xr:uid="{C667A491-BB93-4F74-82B2-A7D6A1997693}"/>
    <cellStyle name="표준 3" xfId="375" xr:uid="{0CF6D6D6-D5BA-4963-9323-3B22BDCB3FE1}"/>
    <cellStyle name="표준 4" xfId="376" xr:uid="{D382D5E2-229D-4403-AFA2-BDF04784C3C2}"/>
    <cellStyle name="표준 5" xfId="377" xr:uid="{FFE12C61-FC89-4A3F-AAAD-C3C60507CFEF}"/>
    <cellStyle name="표준 6" xfId="378" xr:uid="{CE52E023-C271-4455-ADAC-4051FBBC2949}"/>
    <cellStyle name="표준 7" xfId="379" xr:uid="{FDA1D768-180F-49E8-A73D-ECAE91EF4130}"/>
    <cellStyle name="표준 8" xfId="380" xr:uid="{A19A5772-4F78-45B3-9320-5365448A5284}"/>
    <cellStyle name="표준 9" xfId="381" xr:uid="{5127466F-1FAA-40D5-A75B-C5AF4F6AD957}"/>
    <cellStyle name="標準_Akia(F）-8" xfId="382" xr:uid="{373DFC4A-48FC-49AE-BF2B-8277FA617277}"/>
    <cellStyle name="표준_기아차부산국제영화제프로모션예산 (090928)_기아" xfId="383" xr:uid="{1010E0A4-304A-4633-BEC6-BDC3C7A98359}"/>
    <cellStyle name="표준_인피니-09서울모터쇼견적서(0219)" xfId="384" xr:uid="{087FBC59-BE28-482D-9A59-75786AD03E4E}"/>
    <cellStyle name="하이퍼링크 2" xfId="385" xr:uid="{F1E6E5A1-8A28-4707-A2DD-D9A13C8B02D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504825</xdr:colOff>
      <xdr:row>12</xdr:row>
      <xdr:rowOff>171450</xdr:rowOff>
    </xdr:from>
    <xdr:to>
      <xdr:col>11</xdr:col>
      <xdr:colOff>9525</xdr:colOff>
      <xdr:row>13</xdr:row>
      <xdr:rowOff>70485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A2F0E743-0429-430A-BD55-137C57A93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4933950"/>
          <a:ext cx="148590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9D32-9878-4294-AE78-3BB8672903E1}">
  <dimension ref="A1:L15"/>
  <sheetViews>
    <sheetView showGridLines="0" tabSelected="1" view="pageBreakPreview" zoomScale="115" zoomScaleNormal="100" zoomScaleSheetLayoutView="115" workbookViewId="0">
      <selection activeCell="E8" sqref="E8:G8"/>
    </sheetView>
  </sheetViews>
  <sheetFormatPr defaultColWidth="8.8984375" defaultRowHeight="13.2"/>
  <cols>
    <col min="1" max="1" width="5.69921875" style="12" customWidth="1"/>
    <col min="2" max="2" width="1.8984375" style="12" customWidth="1"/>
    <col min="3" max="3" width="18.19921875" style="12" customWidth="1"/>
    <col min="4" max="4" width="7.796875" style="12" customWidth="1"/>
    <col min="5" max="7" width="8.8984375" style="12"/>
    <col min="8" max="8" width="7.19921875" style="12" customWidth="1"/>
    <col min="9" max="9" width="15.69921875" style="12" customWidth="1"/>
    <col min="10" max="10" width="9" style="12" customWidth="1"/>
    <col min="11" max="11" width="14.09765625" style="12" bestFit="1" customWidth="1"/>
    <col min="12" max="12" width="7.09765625" style="12" customWidth="1"/>
    <col min="13" max="13" width="0.3984375" style="12" customWidth="1"/>
    <col min="14" max="16384" width="8.8984375" style="12"/>
  </cols>
  <sheetData>
    <row r="1" spans="1:12" ht="21" customHeight="1" thickBot="1">
      <c r="B1" s="135" t="s">
        <v>36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</row>
    <row r="2" spans="1:12" ht="39.75" customHeight="1" thickTop="1" thickBot="1">
      <c r="A2" s="13"/>
      <c r="B2" s="14"/>
      <c r="C2" s="25" t="s">
        <v>4</v>
      </c>
      <c r="D2" s="13"/>
      <c r="E2" s="13"/>
      <c r="F2" s="13"/>
      <c r="G2" s="13"/>
      <c r="H2" s="13"/>
      <c r="I2" s="13"/>
      <c r="J2" s="13"/>
      <c r="K2" s="26">
        <f ca="1">TODAY()</f>
        <v>46017</v>
      </c>
      <c r="L2" s="13"/>
    </row>
    <row r="3" spans="1:12" ht="35.1" customHeight="1" thickTop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33" customHeight="1">
      <c r="A4" s="16"/>
      <c r="B4" s="16"/>
      <c r="C4" s="27" t="s">
        <v>5</v>
      </c>
      <c r="D4" s="17" t="s">
        <v>6</v>
      </c>
      <c r="E4" s="136" t="s">
        <v>41</v>
      </c>
      <c r="F4" s="136"/>
      <c r="G4" s="136"/>
      <c r="H4" s="136"/>
      <c r="I4" s="136"/>
      <c r="J4" s="136"/>
      <c r="K4" s="17"/>
      <c r="L4" s="16"/>
    </row>
    <row r="5" spans="1:12" ht="33" customHeight="1">
      <c r="A5" s="16"/>
      <c r="B5" s="16"/>
      <c r="C5" s="27" t="s">
        <v>7</v>
      </c>
      <c r="D5" s="17" t="s">
        <v>6</v>
      </c>
      <c r="E5" s="137" t="s">
        <v>42</v>
      </c>
      <c r="F5" s="137"/>
      <c r="G5" s="137"/>
      <c r="H5" s="137"/>
      <c r="I5" s="137"/>
      <c r="J5" s="137"/>
      <c r="K5" s="17"/>
      <c r="L5" s="16"/>
    </row>
    <row r="6" spans="1:12" ht="33" customHeight="1">
      <c r="A6" s="16"/>
      <c r="B6" s="16"/>
      <c r="C6" s="28" t="s">
        <v>8</v>
      </c>
      <c r="D6" s="18" t="s">
        <v>6</v>
      </c>
      <c r="E6" s="138" t="s">
        <v>39</v>
      </c>
      <c r="F6" s="137"/>
      <c r="G6" s="137"/>
      <c r="H6" s="137"/>
      <c r="I6" s="137"/>
      <c r="J6" s="137"/>
      <c r="K6" s="18"/>
      <c r="L6" s="16"/>
    </row>
    <row r="7" spans="1:12" ht="24" customHeight="1">
      <c r="A7" s="16"/>
      <c r="B7" s="16"/>
      <c r="C7" s="29" t="s">
        <v>9</v>
      </c>
      <c r="D7" s="18" t="s">
        <v>16</v>
      </c>
      <c r="E7" s="137" t="s">
        <v>40</v>
      </c>
      <c r="F7" s="137"/>
      <c r="G7" s="137"/>
      <c r="H7" s="137"/>
      <c r="I7" s="137"/>
      <c r="J7" s="137"/>
      <c r="K7" s="18"/>
      <c r="L7" s="16"/>
    </row>
    <row r="8" spans="1:12" ht="33" customHeight="1">
      <c r="A8" s="16"/>
      <c r="B8" s="16"/>
      <c r="C8" s="28" t="s">
        <v>11</v>
      </c>
      <c r="D8" s="18" t="s">
        <v>10</v>
      </c>
      <c r="E8" s="134">
        <f>I8</f>
        <v>2286800000</v>
      </c>
      <c r="F8" s="134"/>
      <c r="G8" s="134"/>
      <c r="H8" s="32" t="s">
        <v>12</v>
      </c>
      <c r="I8" s="33">
        <f>총괄!E13</f>
        <v>2286800000</v>
      </c>
      <c r="J8" s="34" t="s">
        <v>37</v>
      </c>
      <c r="K8" s="19"/>
      <c r="L8" s="16"/>
    </row>
    <row r="9" spans="1:12" ht="33" customHeight="1">
      <c r="A9" s="16"/>
      <c r="B9" s="16"/>
      <c r="C9" s="30" t="s">
        <v>13</v>
      </c>
      <c r="D9" s="18" t="s">
        <v>15</v>
      </c>
      <c r="E9" s="132"/>
      <c r="F9" s="133"/>
      <c r="G9" s="133"/>
      <c r="H9" s="133"/>
      <c r="I9" s="133"/>
      <c r="J9" s="133"/>
      <c r="K9" s="133"/>
      <c r="L9" s="16"/>
    </row>
    <row r="10" spans="1:12" ht="33" customHeight="1">
      <c r="A10" s="16"/>
      <c r="B10" s="16"/>
      <c r="C10" s="31" t="s">
        <v>14</v>
      </c>
      <c r="D10" s="15" t="s">
        <v>15</v>
      </c>
      <c r="E10" s="20"/>
      <c r="F10" s="20"/>
      <c r="G10" s="20"/>
      <c r="H10" s="20"/>
      <c r="I10" s="20"/>
      <c r="J10" s="20"/>
      <c r="K10" s="21"/>
      <c r="L10" s="16"/>
    </row>
    <row r="11" spans="1:12" ht="33" customHeight="1">
      <c r="A11" s="16"/>
      <c r="B11" s="16"/>
      <c r="C11" s="22"/>
      <c r="D11" s="23"/>
      <c r="E11" s="24"/>
      <c r="F11" s="24"/>
      <c r="G11" s="24"/>
      <c r="H11" s="24"/>
      <c r="I11" s="24"/>
      <c r="J11" s="24"/>
      <c r="K11" s="24"/>
      <c r="L11" s="16"/>
    </row>
    <row r="12" spans="1:12" ht="24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24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24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4.5" customHeight="1"/>
  </sheetData>
  <mergeCells count="7">
    <mergeCell ref="E9:K9"/>
    <mergeCell ref="E8:G8"/>
    <mergeCell ref="B1:L1"/>
    <mergeCell ref="E4:J4"/>
    <mergeCell ref="E5:J5"/>
    <mergeCell ref="E6:J6"/>
    <mergeCell ref="E7:J7"/>
  </mergeCells>
  <phoneticPr fontId="2" type="noConversion"/>
  <pageMargins left="0.83" right="0.17" top="1.02" bottom="0.61" header="0.5" footer="0.5"/>
  <pageSetup paperSize="9" scale="10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D701-87F5-439B-A2D8-49327D9AF071}">
  <dimension ref="B1:H21"/>
  <sheetViews>
    <sheetView showGridLines="0" view="pageBreakPreview" topLeftCell="A4" zoomScale="115" zoomScaleNormal="100" zoomScaleSheetLayoutView="115" zoomScalePageLayoutView="55" workbookViewId="0">
      <selection activeCell="E13" sqref="E13"/>
    </sheetView>
  </sheetViews>
  <sheetFormatPr defaultColWidth="8.8984375" defaultRowHeight="13.2"/>
  <cols>
    <col min="1" max="1" width="0.796875" style="46" customWidth="1"/>
    <col min="2" max="2" width="6.796875" style="46" customWidth="1"/>
    <col min="3" max="3" width="20.59765625" style="54" customWidth="1"/>
    <col min="4" max="4" width="76" style="46" customWidth="1"/>
    <col min="5" max="5" width="21.59765625" style="46" customWidth="1"/>
    <col min="6" max="6" width="0.796875" style="46" customWidth="1"/>
    <col min="7" max="7" width="18.59765625" style="46" bestFit="1" customWidth="1"/>
    <col min="8" max="16384" width="8.8984375" style="46"/>
  </cols>
  <sheetData>
    <row r="1" spans="2:8" s="42" customFormat="1" ht="45" customHeight="1" thickBot="1">
      <c r="B1" s="140" t="s">
        <v>275</v>
      </c>
      <c r="C1" s="140"/>
      <c r="D1" s="140"/>
      <c r="E1" s="140"/>
      <c r="F1" s="39"/>
      <c r="G1" s="40"/>
      <c r="H1" s="41"/>
    </row>
    <row r="2" spans="2:8" ht="21" customHeight="1" thickBot="1">
      <c r="B2" s="43"/>
      <c r="C2" s="44"/>
      <c r="D2" s="44"/>
      <c r="E2" s="45"/>
    </row>
    <row r="3" spans="2:8" s="47" customFormat="1" ht="37.5" customHeight="1">
      <c r="B3" s="141" t="s">
        <v>0</v>
      </c>
      <c r="C3" s="142"/>
      <c r="D3" s="35" t="s">
        <v>1</v>
      </c>
      <c r="E3" s="84" t="s">
        <v>38</v>
      </c>
    </row>
    <row r="4" spans="2:8" s="47" customFormat="1" ht="37.5" customHeight="1">
      <c r="B4" s="85">
        <v>1</v>
      </c>
      <c r="C4" s="86" t="s">
        <v>43</v>
      </c>
      <c r="D4" s="36" t="s">
        <v>49</v>
      </c>
      <c r="E4" s="91">
        <f>세부내역!I5</f>
        <v>8000000</v>
      </c>
    </row>
    <row r="5" spans="2:8" s="47" customFormat="1" ht="37.5" customHeight="1">
      <c r="B5" s="87">
        <v>2</v>
      </c>
      <c r="C5" s="88" t="s">
        <v>44</v>
      </c>
      <c r="D5" s="37" t="s">
        <v>50</v>
      </c>
      <c r="E5" s="92">
        <f>세부내역!I74</f>
        <v>825076000</v>
      </c>
    </row>
    <row r="6" spans="2:8" s="47" customFormat="1" ht="37.5" customHeight="1">
      <c r="B6" s="87">
        <v>3</v>
      </c>
      <c r="C6" s="88" t="s">
        <v>45</v>
      </c>
      <c r="D6" s="37" t="s">
        <v>51</v>
      </c>
      <c r="E6" s="92">
        <f>세부내역!I107</f>
        <v>285900000</v>
      </c>
    </row>
    <row r="7" spans="2:8" s="47" customFormat="1" ht="37.5" customHeight="1">
      <c r="B7" s="87">
        <v>4</v>
      </c>
      <c r="C7" s="88" t="s">
        <v>46</v>
      </c>
      <c r="D7" s="37" t="s">
        <v>52</v>
      </c>
      <c r="E7" s="92">
        <f>세부내역!I140</f>
        <v>312600000</v>
      </c>
    </row>
    <row r="8" spans="2:8" s="47" customFormat="1" ht="37.5" customHeight="1">
      <c r="B8" s="87">
        <v>5</v>
      </c>
      <c r="C8" s="88" t="s">
        <v>77</v>
      </c>
      <c r="D8" s="37" t="s">
        <v>78</v>
      </c>
      <c r="E8" s="92">
        <f>세부내역!I165</f>
        <v>374354910</v>
      </c>
    </row>
    <row r="9" spans="2:8" s="47" customFormat="1" ht="37.5" customHeight="1">
      <c r="B9" s="87">
        <v>6</v>
      </c>
      <c r="C9" s="88" t="s">
        <v>47</v>
      </c>
      <c r="D9" s="37" t="s">
        <v>148</v>
      </c>
      <c r="E9" s="92">
        <f>세부내역!I206</f>
        <v>236635000</v>
      </c>
    </row>
    <row r="10" spans="2:8" s="47" customFormat="1" ht="37.5" customHeight="1">
      <c r="B10" s="89">
        <v>7</v>
      </c>
      <c r="C10" s="90" t="s">
        <v>48</v>
      </c>
      <c r="D10" s="38" t="s">
        <v>147</v>
      </c>
      <c r="E10" s="93">
        <f>세부내역!I208</f>
        <v>40000000</v>
      </c>
    </row>
    <row r="11" spans="2:8" s="47" customFormat="1" ht="37.5" customHeight="1">
      <c r="B11" s="143" t="s">
        <v>3</v>
      </c>
      <c r="C11" s="144"/>
      <c r="D11" s="145"/>
      <c r="E11" s="94">
        <f>SUM(E4:E10)</f>
        <v>2082565910</v>
      </c>
      <c r="G11" s="48"/>
    </row>
    <row r="12" spans="2:8" s="47" customFormat="1" ht="37.5" customHeight="1">
      <c r="B12" s="143" t="s">
        <v>76</v>
      </c>
      <c r="C12" s="144"/>
      <c r="D12" s="145"/>
      <c r="E12" s="94">
        <f>SUM(E4:E9)*0.1</f>
        <v>204256591</v>
      </c>
      <c r="G12" s="48"/>
    </row>
    <row r="13" spans="2:8" s="47" customFormat="1" ht="37.5" customHeight="1" thickBot="1">
      <c r="B13" s="146" t="s">
        <v>2</v>
      </c>
      <c r="C13" s="147"/>
      <c r="D13" s="148"/>
      <c r="E13" s="95">
        <f>ROUNDDOWN(SUM(E11:E12),-5)</f>
        <v>2286800000</v>
      </c>
      <c r="G13" s="49"/>
    </row>
    <row r="14" spans="2:8" s="42" customFormat="1" ht="6.75" customHeight="1">
      <c r="B14" s="139"/>
      <c r="C14" s="139"/>
      <c r="D14" s="139"/>
      <c r="E14" s="139"/>
      <c r="F14" s="39"/>
      <c r="G14" s="40"/>
      <c r="H14" s="41"/>
    </row>
    <row r="15" spans="2:8" s="42" customFormat="1" ht="27" customHeight="1">
      <c r="B15" s="50"/>
      <c r="C15" s="51"/>
      <c r="D15" s="52"/>
      <c r="E15" s="53"/>
      <c r="F15" s="39"/>
      <c r="G15" s="40"/>
      <c r="H15" s="41"/>
    </row>
    <row r="16" spans="2:8" ht="27" customHeight="1"/>
    <row r="17" spans="4:5" ht="27" customHeight="1">
      <c r="D17" s="55"/>
    </row>
    <row r="18" spans="4:5">
      <c r="D18" s="55"/>
    </row>
    <row r="19" spans="4:5">
      <c r="D19" s="55"/>
      <c r="E19" s="56"/>
    </row>
    <row r="20" spans="4:5">
      <c r="E20" s="57"/>
    </row>
    <row r="21" spans="4:5">
      <c r="E21" s="57"/>
    </row>
  </sheetData>
  <mergeCells count="6">
    <mergeCell ref="B14:E14"/>
    <mergeCell ref="B1:E1"/>
    <mergeCell ref="B3:C3"/>
    <mergeCell ref="B11:D11"/>
    <mergeCell ref="B12:D12"/>
    <mergeCell ref="B13:D13"/>
  </mergeCells>
  <phoneticPr fontId="2" type="noConversion"/>
  <printOptions horizontalCentered="1"/>
  <pageMargins left="0" right="0" top="0.19685039370078741" bottom="0" header="0.15748031496062992" footer="0.15748031496062992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5D13-0EE1-4437-8FD4-B83187D3EF8C}">
  <dimension ref="A1:J210"/>
  <sheetViews>
    <sheetView view="pageBreakPreview" zoomScale="85" zoomScaleNormal="85" zoomScaleSheetLayoutView="85" workbookViewId="0">
      <pane ySplit="3" topLeftCell="A188" activePane="bottomLeft" state="frozen"/>
      <selection activeCell="E8" sqref="E8"/>
      <selection pane="bottomLeft" activeCell="D17" sqref="D17"/>
    </sheetView>
  </sheetViews>
  <sheetFormatPr defaultColWidth="8.8984375" defaultRowHeight="14.4"/>
  <cols>
    <col min="1" max="1" width="0.69921875" style="10" customWidth="1"/>
    <col min="2" max="2" width="18.296875" style="10" customWidth="1"/>
    <col min="3" max="3" width="19.19921875" style="11" bestFit="1" customWidth="1"/>
    <col min="4" max="4" width="83.19921875" style="11" customWidth="1"/>
    <col min="5" max="5" width="5.796875" style="10" customWidth="1"/>
    <col min="6" max="6" width="7.09765625" style="3" customWidth="1"/>
    <col min="7" max="7" width="6.8984375" style="4" customWidth="1"/>
    <col min="8" max="8" width="15.69921875" style="10" customWidth="1"/>
    <col min="9" max="9" width="16.09765625" style="10" customWidth="1"/>
    <col min="10" max="10" width="54.09765625" style="10" customWidth="1"/>
    <col min="11" max="11" width="1" style="10" customWidth="1"/>
    <col min="12" max="16384" width="8.8984375" style="10"/>
  </cols>
  <sheetData>
    <row r="1" spans="1:10" s="5" customFormat="1" ht="45" customHeight="1">
      <c r="A1" s="58"/>
      <c r="B1" s="168" t="s">
        <v>264</v>
      </c>
      <c r="C1" s="168"/>
      <c r="D1" s="169"/>
      <c r="E1" s="169"/>
      <c r="F1" s="169"/>
      <c r="G1" s="169"/>
      <c r="H1" s="169"/>
      <c r="I1" s="169"/>
      <c r="J1" s="169"/>
    </row>
    <row r="2" spans="1:10" s="6" customFormat="1" ht="16.5" customHeight="1">
      <c r="A2" s="59"/>
      <c r="B2" s="174" t="s">
        <v>17</v>
      </c>
      <c r="C2" s="175"/>
      <c r="D2" s="170" t="s">
        <v>18</v>
      </c>
      <c r="E2" s="171" t="s">
        <v>19</v>
      </c>
      <c r="F2" s="172" t="s">
        <v>27</v>
      </c>
      <c r="G2" s="172" t="s">
        <v>28</v>
      </c>
      <c r="H2" s="60" t="s">
        <v>20</v>
      </c>
      <c r="I2" s="60" t="s">
        <v>21</v>
      </c>
      <c r="J2" s="173" t="s">
        <v>22</v>
      </c>
    </row>
    <row r="3" spans="1:10" s="6" customFormat="1" ht="16.5" customHeight="1">
      <c r="A3" s="59"/>
      <c r="B3" s="176"/>
      <c r="C3" s="177"/>
      <c r="D3" s="170"/>
      <c r="E3" s="171"/>
      <c r="F3" s="172"/>
      <c r="G3" s="172"/>
      <c r="H3" s="60" t="s">
        <v>23</v>
      </c>
      <c r="I3" s="60" t="s">
        <v>23</v>
      </c>
      <c r="J3" s="173"/>
    </row>
    <row r="4" spans="1:10" s="6" customFormat="1" ht="17.25" customHeight="1">
      <c r="A4" s="59"/>
      <c r="B4" s="154" t="s">
        <v>29</v>
      </c>
      <c r="C4" s="155"/>
      <c r="D4" s="61" t="s">
        <v>306</v>
      </c>
      <c r="E4" s="62" t="s">
        <v>26</v>
      </c>
      <c r="F4" s="63">
        <v>1</v>
      </c>
      <c r="G4" s="63">
        <v>1</v>
      </c>
      <c r="H4" s="64">
        <v>8000000</v>
      </c>
      <c r="I4" s="65">
        <f>H4</f>
        <v>8000000</v>
      </c>
      <c r="J4" s="66"/>
    </row>
    <row r="5" spans="1:10" s="6" customFormat="1" ht="17.25" customHeight="1">
      <c r="A5" s="59"/>
      <c r="B5" s="156" t="s">
        <v>24</v>
      </c>
      <c r="C5" s="157"/>
      <c r="D5" s="157"/>
      <c r="E5" s="157"/>
      <c r="F5" s="157"/>
      <c r="G5" s="157"/>
      <c r="H5" s="158"/>
      <c r="I5" s="67">
        <f>SUM(I4:I4)</f>
        <v>8000000</v>
      </c>
      <c r="J5" s="68"/>
    </row>
    <row r="6" spans="1:10" s="6" customFormat="1" ht="17.25" customHeight="1">
      <c r="A6" s="59" t="s">
        <v>31</v>
      </c>
      <c r="B6" s="159" t="s">
        <v>44</v>
      </c>
      <c r="C6" s="149" t="s">
        <v>161</v>
      </c>
      <c r="D6" s="106" t="s">
        <v>160</v>
      </c>
      <c r="E6" s="104" t="s">
        <v>181</v>
      </c>
      <c r="F6" s="100">
        <v>1</v>
      </c>
      <c r="G6" s="100">
        <v>140</v>
      </c>
      <c r="H6" s="101">
        <v>168000</v>
      </c>
      <c r="I6" s="102">
        <f>H6*G6*F6</f>
        <v>23520000</v>
      </c>
      <c r="J6" s="107"/>
    </row>
    <row r="7" spans="1:10" s="6" customFormat="1" ht="17.25" customHeight="1">
      <c r="A7" s="59"/>
      <c r="B7" s="160"/>
      <c r="C7" s="150"/>
      <c r="D7" s="106" t="s">
        <v>255</v>
      </c>
      <c r="E7" s="104" t="s">
        <v>181</v>
      </c>
      <c r="F7" s="100">
        <v>1</v>
      </c>
      <c r="G7" s="100">
        <v>140</v>
      </c>
      <c r="H7" s="101">
        <v>124000</v>
      </c>
      <c r="I7" s="102">
        <f>H7*G7*F7</f>
        <v>17360000</v>
      </c>
      <c r="J7" s="107"/>
    </row>
    <row r="8" spans="1:10" s="6" customFormat="1" ht="17.25" customHeight="1">
      <c r="A8" s="59"/>
      <c r="B8" s="160"/>
      <c r="C8" s="150"/>
      <c r="D8" s="106" t="s">
        <v>159</v>
      </c>
      <c r="E8" s="104" t="s">
        <v>181</v>
      </c>
      <c r="F8" s="100">
        <v>1</v>
      </c>
      <c r="G8" s="100">
        <v>140</v>
      </c>
      <c r="H8" s="101">
        <v>15000</v>
      </c>
      <c r="I8" s="102">
        <f>H8*G8*F8</f>
        <v>2100000</v>
      </c>
      <c r="J8" s="107"/>
    </row>
    <row r="9" spans="1:10" s="6" customFormat="1" ht="17.25" customHeight="1">
      <c r="A9" s="59" t="s">
        <v>31</v>
      </c>
      <c r="B9" s="160"/>
      <c r="C9" s="165" t="s">
        <v>162</v>
      </c>
      <c r="D9" s="106" t="s">
        <v>163</v>
      </c>
      <c r="E9" s="104" t="s">
        <v>181</v>
      </c>
      <c r="F9" s="100">
        <v>1</v>
      </c>
      <c r="G9" s="100">
        <v>77</v>
      </c>
      <c r="H9" s="101">
        <v>380000</v>
      </c>
      <c r="I9" s="102">
        <f>H9*G9*F9</f>
        <v>29260000</v>
      </c>
      <c r="J9" s="107"/>
    </row>
    <row r="10" spans="1:10" s="6" customFormat="1" ht="17.25" customHeight="1">
      <c r="A10" s="59"/>
      <c r="B10" s="160"/>
      <c r="C10" s="150"/>
      <c r="D10" s="106" t="s">
        <v>164</v>
      </c>
      <c r="E10" s="104" t="s">
        <v>181</v>
      </c>
      <c r="F10" s="100">
        <v>1</v>
      </c>
      <c r="G10" s="100">
        <v>34</v>
      </c>
      <c r="H10" s="101">
        <v>300000</v>
      </c>
      <c r="I10" s="102">
        <f>H10*G10*F10</f>
        <v>10200000</v>
      </c>
      <c r="J10" s="107"/>
    </row>
    <row r="11" spans="1:10" s="6" customFormat="1" ht="17.25" customHeight="1">
      <c r="A11" s="59"/>
      <c r="B11" s="160"/>
      <c r="C11" s="165" t="s">
        <v>165</v>
      </c>
      <c r="D11" s="106" t="s">
        <v>168</v>
      </c>
      <c r="E11" s="104" t="s">
        <v>181</v>
      </c>
      <c r="F11" s="100">
        <v>1</v>
      </c>
      <c r="G11" s="100">
        <v>102</v>
      </c>
      <c r="H11" s="108">
        <v>300000</v>
      </c>
      <c r="I11" s="102">
        <f t="shared" ref="I11:I73" si="0">H11*G11*F11</f>
        <v>30600000</v>
      </c>
      <c r="J11" s="107"/>
    </row>
    <row r="12" spans="1:10" s="6" customFormat="1" ht="17.25" customHeight="1">
      <c r="A12" s="59"/>
      <c r="B12" s="160"/>
      <c r="C12" s="150"/>
      <c r="D12" s="106" t="s">
        <v>169</v>
      </c>
      <c r="E12" s="104" t="s">
        <v>181</v>
      </c>
      <c r="F12" s="100">
        <v>1</v>
      </c>
      <c r="G12" s="100">
        <v>42</v>
      </c>
      <c r="H12" s="101">
        <v>300000</v>
      </c>
      <c r="I12" s="102">
        <f>H12*G12*F12</f>
        <v>12600000</v>
      </c>
      <c r="J12" s="107"/>
    </row>
    <row r="13" spans="1:10" s="6" customFormat="1" ht="17.25" hidden="1" customHeight="1">
      <c r="A13" s="59"/>
      <c r="B13" s="160"/>
      <c r="C13" s="150"/>
      <c r="D13" s="106" t="s">
        <v>170</v>
      </c>
      <c r="E13" s="104" t="s">
        <v>181</v>
      </c>
      <c r="F13" s="100">
        <v>0</v>
      </c>
      <c r="G13" s="100">
        <v>40</v>
      </c>
      <c r="H13" s="101">
        <v>420000</v>
      </c>
      <c r="I13" s="102">
        <f t="shared" ref="I13:I17" si="1">H13*G13*F13</f>
        <v>0</v>
      </c>
      <c r="J13" s="107"/>
    </row>
    <row r="14" spans="1:10" s="6" customFormat="1" ht="17.25" customHeight="1">
      <c r="A14" s="59"/>
      <c r="B14" s="160"/>
      <c r="C14" s="150"/>
      <c r="D14" s="106" t="s">
        <v>171</v>
      </c>
      <c r="E14" s="104" t="s">
        <v>26</v>
      </c>
      <c r="F14" s="100">
        <v>1</v>
      </c>
      <c r="G14" s="100">
        <v>1</v>
      </c>
      <c r="H14" s="101">
        <v>800000</v>
      </c>
      <c r="I14" s="102">
        <f t="shared" si="1"/>
        <v>800000</v>
      </c>
      <c r="J14" s="107"/>
    </row>
    <row r="15" spans="1:10" s="6" customFormat="1" ht="17.25" customHeight="1">
      <c r="A15" s="59"/>
      <c r="B15" s="160"/>
      <c r="C15" s="150"/>
      <c r="D15" s="106" t="s">
        <v>172</v>
      </c>
      <c r="E15" s="104" t="s">
        <v>26</v>
      </c>
      <c r="F15" s="100">
        <v>1</v>
      </c>
      <c r="G15" s="100">
        <v>1</v>
      </c>
      <c r="H15" s="101">
        <v>1200000</v>
      </c>
      <c r="I15" s="102">
        <f t="shared" si="1"/>
        <v>1200000</v>
      </c>
      <c r="J15" s="107"/>
    </row>
    <row r="16" spans="1:10" s="6" customFormat="1" ht="17.25" customHeight="1">
      <c r="A16" s="59"/>
      <c r="B16" s="160"/>
      <c r="C16" s="150"/>
      <c r="D16" s="106" t="s">
        <v>173</v>
      </c>
      <c r="E16" s="104" t="s">
        <v>181</v>
      </c>
      <c r="F16" s="100">
        <v>1</v>
      </c>
      <c r="G16" s="100">
        <v>16</v>
      </c>
      <c r="H16" s="101">
        <v>360000</v>
      </c>
      <c r="I16" s="102">
        <f t="shared" si="1"/>
        <v>5760000</v>
      </c>
      <c r="J16" s="107"/>
    </row>
    <row r="17" spans="1:10" s="6" customFormat="1" ht="17.25" customHeight="1">
      <c r="A17" s="59"/>
      <c r="B17" s="160"/>
      <c r="C17" s="150"/>
      <c r="D17" s="106" t="s">
        <v>174</v>
      </c>
      <c r="E17" s="104" t="s">
        <v>182</v>
      </c>
      <c r="F17" s="100">
        <v>1</v>
      </c>
      <c r="G17" s="100">
        <v>172</v>
      </c>
      <c r="H17" s="101">
        <v>45000</v>
      </c>
      <c r="I17" s="102">
        <f t="shared" si="1"/>
        <v>7740000</v>
      </c>
      <c r="J17" s="107"/>
    </row>
    <row r="18" spans="1:10" s="6" customFormat="1" ht="17.25" customHeight="1">
      <c r="A18" s="59"/>
      <c r="B18" s="160"/>
      <c r="C18" s="150"/>
      <c r="D18" s="106" t="s">
        <v>183</v>
      </c>
      <c r="E18" s="104" t="s">
        <v>26</v>
      </c>
      <c r="F18" s="100">
        <v>1</v>
      </c>
      <c r="G18" s="100">
        <v>1</v>
      </c>
      <c r="H18" s="108">
        <v>11000000</v>
      </c>
      <c r="I18" s="102">
        <f t="shared" si="0"/>
        <v>11000000</v>
      </c>
      <c r="J18" s="107"/>
    </row>
    <row r="19" spans="1:10" s="6" customFormat="1" ht="17.399999999999999">
      <c r="A19" s="59"/>
      <c r="B19" s="160"/>
      <c r="C19" s="166"/>
      <c r="D19" s="106" t="s">
        <v>175</v>
      </c>
      <c r="E19" s="99" t="s">
        <v>26</v>
      </c>
      <c r="F19" s="109">
        <v>1</v>
      </c>
      <c r="G19" s="100">
        <v>1</v>
      </c>
      <c r="H19" s="108">
        <v>3500000</v>
      </c>
      <c r="I19" s="102">
        <f t="shared" si="0"/>
        <v>3500000</v>
      </c>
      <c r="J19" s="103"/>
    </row>
    <row r="20" spans="1:10" s="6" customFormat="1" ht="17.25" customHeight="1">
      <c r="A20" s="59" t="s">
        <v>31</v>
      </c>
      <c r="B20" s="160"/>
      <c r="C20" s="150" t="s">
        <v>106</v>
      </c>
      <c r="D20" s="106" t="s">
        <v>176</v>
      </c>
      <c r="E20" s="104" t="s">
        <v>181</v>
      </c>
      <c r="F20" s="100">
        <v>1</v>
      </c>
      <c r="G20" s="100">
        <v>28</v>
      </c>
      <c r="H20" s="101">
        <v>300000</v>
      </c>
      <c r="I20" s="102">
        <f t="shared" si="0"/>
        <v>8400000</v>
      </c>
      <c r="J20" s="107"/>
    </row>
    <row r="21" spans="1:10" s="6" customFormat="1" ht="17.25" customHeight="1">
      <c r="A21" s="59"/>
      <c r="B21" s="160"/>
      <c r="C21" s="150"/>
      <c r="D21" s="98" t="s">
        <v>177</v>
      </c>
      <c r="E21" s="104" t="s">
        <v>181</v>
      </c>
      <c r="F21" s="100">
        <v>1</v>
      </c>
      <c r="G21" s="100">
        <v>12</v>
      </c>
      <c r="H21" s="101">
        <v>300000</v>
      </c>
      <c r="I21" s="102">
        <f>H21*G21*F21</f>
        <v>3600000</v>
      </c>
      <c r="J21" s="105"/>
    </row>
    <row r="22" spans="1:10" s="6" customFormat="1" ht="17.25" customHeight="1">
      <c r="A22" s="59"/>
      <c r="B22" s="160"/>
      <c r="C22" s="165" t="s">
        <v>166</v>
      </c>
      <c r="D22" s="98" t="s">
        <v>178</v>
      </c>
      <c r="E22" s="99" t="s">
        <v>26</v>
      </c>
      <c r="F22" s="109">
        <v>1</v>
      </c>
      <c r="G22" s="100">
        <v>1</v>
      </c>
      <c r="H22" s="108">
        <v>2600000</v>
      </c>
      <c r="I22" s="102">
        <f t="shared" si="0"/>
        <v>2600000</v>
      </c>
      <c r="J22" s="105"/>
    </row>
    <row r="23" spans="1:10" s="6" customFormat="1" ht="17.25" customHeight="1">
      <c r="A23" s="59"/>
      <c r="B23" s="160"/>
      <c r="C23" s="166"/>
      <c r="D23" s="98" t="s">
        <v>179</v>
      </c>
      <c r="E23" s="104" t="s">
        <v>26</v>
      </c>
      <c r="F23" s="100">
        <v>1</v>
      </c>
      <c r="G23" s="100">
        <v>1</v>
      </c>
      <c r="H23" s="101">
        <v>2000000</v>
      </c>
      <c r="I23" s="102">
        <f>H23*G23*F23</f>
        <v>2000000</v>
      </c>
      <c r="J23" s="105"/>
    </row>
    <row r="24" spans="1:10" s="6" customFormat="1" ht="17.25" customHeight="1">
      <c r="A24" s="59"/>
      <c r="B24" s="160"/>
      <c r="C24" s="150" t="s">
        <v>167</v>
      </c>
      <c r="D24" s="98" t="s">
        <v>184</v>
      </c>
      <c r="E24" s="104" t="s">
        <v>26</v>
      </c>
      <c r="F24" s="100">
        <v>1</v>
      </c>
      <c r="G24" s="100">
        <v>1</v>
      </c>
      <c r="H24" s="101">
        <v>2000000</v>
      </c>
      <c r="I24" s="102">
        <f>H24*G24*F24</f>
        <v>2000000</v>
      </c>
      <c r="J24" s="105"/>
    </row>
    <row r="25" spans="1:10" s="6" customFormat="1" ht="17.25" customHeight="1">
      <c r="A25" s="59"/>
      <c r="B25" s="160"/>
      <c r="C25" s="166"/>
      <c r="D25" s="98" t="s">
        <v>180</v>
      </c>
      <c r="E25" s="99" t="s">
        <v>26</v>
      </c>
      <c r="F25" s="109">
        <v>1</v>
      </c>
      <c r="G25" s="100">
        <v>5</v>
      </c>
      <c r="H25" s="108">
        <v>3500000</v>
      </c>
      <c r="I25" s="102">
        <f t="shared" si="0"/>
        <v>17500000</v>
      </c>
      <c r="J25" s="105"/>
    </row>
    <row r="26" spans="1:10" s="6" customFormat="1" ht="17.399999999999999">
      <c r="A26" s="59"/>
      <c r="B26" s="160"/>
      <c r="C26" s="161" t="s">
        <v>101</v>
      </c>
      <c r="D26" s="69" t="s">
        <v>107</v>
      </c>
      <c r="E26" s="75" t="s">
        <v>26</v>
      </c>
      <c r="F26" s="76">
        <v>1</v>
      </c>
      <c r="G26" s="71">
        <v>1</v>
      </c>
      <c r="H26" s="77">
        <v>4000000</v>
      </c>
      <c r="I26" s="73">
        <f t="shared" si="0"/>
        <v>4000000</v>
      </c>
      <c r="J26" s="78"/>
    </row>
    <row r="27" spans="1:10" s="6" customFormat="1" ht="17.399999999999999">
      <c r="A27" s="59"/>
      <c r="B27" s="160"/>
      <c r="C27" s="162"/>
      <c r="D27" s="69" t="s">
        <v>108</v>
      </c>
      <c r="E27" s="75" t="s">
        <v>26</v>
      </c>
      <c r="F27" s="71">
        <v>1</v>
      </c>
      <c r="G27" s="71">
        <v>1</v>
      </c>
      <c r="H27" s="81">
        <v>3200000</v>
      </c>
      <c r="I27" s="73">
        <f t="shared" si="0"/>
        <v>3200000</v>
      </c>
      <c r="J27" s="74"/>
    </row>
    <row r="28" spans="1:10" s="6" customFormat="1" ht="17.399999999999999">
      <c r="A28" s="59"/>
      <c r="B28" s="160"/>
      <c r="C28" s="162"/>
      <c r="D28" s="106" t="s">
        <v>149</v>
      </c>
      <c r="E28" s="99" t="s">
        <v>26</v>
      </c>
      <c r="F28" s="100">
        <v>1</v>
      </c>
      <c r="G28" s="100">
        <v>1</v>
      </c>
      <c r="H28" s="101">
        <v>5500000</v>
      </c>
      <c r="I28" s="102">
        <f t="shared" ref="I28" si="2">H28*G28*F28</f>
        <v>5500000</v>
      </c>
      <c r="J28" s="107"/>
    </row>
    <row r="29" spans="1:10" s="6" customFormat="1" ht="17.25" customHeight="1">
      <c r="A29" s="59"/>
      <c r="B29" s="160"/>
      <c r="C29" s="162"/>
      <c r="D29" s="106" t="s">
        <v>150</v>
      </c>
      <c r="E29" s="99" t="s">
        <v>26</v>
      </c>
      <c r="F29" s="100">
        <v>1</v>
      </c>
      <c r="G29" s="100">
        <v>1</v>
      </c>
      <c r="H29" s="108">
        <v>2800000</v>
      </c>
      <c r="I29" s="102">
        <f t="shared" si="0"/>
        <v>2800000</v>
      </c>
      <c r="J29" s="105"/>
    </row>
    <row r="30" spans="1:10" s="6" customFormat="1" ht="17.25" customHeight="1">
      <c r="A30" s="59"/>
      <c r="B30" s="160"/>
      <c r="C30" s="162"/>
      <c r="D30" s="106" t="s">
        <v>153</v>
      </c>
      <c r="E30" s="99" t="s">
        <v>26</v>
      </c>
      <c r="F30" s="100">
        <v>1</v>
      </c>
      <c r="G30" s="100">
        <v>1</v>
      </c>
      <c r="H30" s="108">
        <v>2000000</v>
      </c>
      <c r="I30" s="102">
        <f t="shared" si="0"/>
        <v>2000000</v>
      </c>
      <c r="J30" s="105"/>
    </row>
    <row r="31" spans="1:10" s="6" customFormat="1" ht="17.25" customHeight="1">
      <c r="A31" s="59"/>
      <c r="B31" s="160"/>
      <c r="C31" s="162"/>
      <c r="D31" s="106" t="s">
        <v>154</v>
      </c>
      <c r="E31" s="99" t="s">
        <v>26</v>
      </c>
      <c r="F31" s="100">
        <v>1</v>
      </c>
      <c r="G31" s="100">
        <v>1</v>
      </c>
      <c r="H31" s="108">
        <v>2800000</v>
      </c>
      <c r="I31" s="102">
        <f t="shared" si="0"/>
        <v>2800000</v>
      </c>
      <c r="J31" s="105"/>
    </row>
    <row r="32" spans="1:10" s="6" customFormat="1" ht="17.25" customHeight="1">
      <c r="A32" s="59"/>
      <c r="B32" s="160"/>
      <c r="C32" s="162"/>
      <c r="D32" s="106" t="s">
        <v>216</v>
      </c>
      <c r="E32" s="99" t="s">
        <v>26</v>
      </c>
      <c r="F32" s="100">
        <v>1</v>
      </c>
      <c r="G32" s="100">
        <v>1</v>
      </c>
      <c r="H32" s="108">
        <v>6800000</v>
      </c>
      <c r="I32" s="102">
        <f t="shared" si="0"/>
        <v>6800000</v>
      </c>
      <c r="J32" s="105"/>
    </row>
    <row r="33" spans="1:10" s="6" customFormat="1" ht="17.25" customHeight="1">
      <c r="A33" s="59"/>
      <c r="B33" s="160"/>
      <c r="C33" s="162"/>
      <c r="D33" s="116" t="s">
        <v>215</v>
      </c>
      <c r="E33" s="111" t="s">
        <v>26</v>
      </c>
      <c r="F33" s="112">
        <v>1</v>
      </c>
      <c r="G33" s="112">
        <v>1</v>
      </c>
      <c r="H33" s="119">
        <v>5500000</v>
      </c>
      <c r="I33" s="114">
        <f t="shared" ref="I33" si="3">H33*G33*F33</f>
        <v>5500000</v>
      </c>
      <c r="J33" s="115"/>
    </row>
    <row r="34" spans="1:10" s="6" customFormat="1" ht="17.25" customHeight="1">
      <c r="A34" s="59"/>
      <c r="B34" s="160"/>
      <c r="C34" s="162"/>
      <c r="D34" s="116" t="s">
        <v>195</v>
      </c>
      <c r="E34" s="111" t="s">
        <v>26</v>
      </c>
      <c r="F34" s="112">
        <v>1</v>
      </c>
      <c r="G34" s="112">
        <v>1</v>
      </c>
      <c r="H34" s="119">
        <v>4500000</v>
      </c>
      <c r="I34" s="114">
        <f t="shared" ref="I34" si="4">H34*G34*F34</f>
        <v>4500000</v>
      </c>
      <c r="J34" s="115"/>
    </row>
    <row r="35" spans="1:10" s="6" customFormat="1" ht="17.399999999999999">
      <c r="A35" s="59"/>
      <c r="B35" s="160"/>
      <c r="C35" s="161" t="s">
        <v>102</v>
      </c>
      <c r="D35" s="106" t="s">
        <v>109</v>
      </c>
      <c r="E35" s="99" t="s">
        <v>141</v>
      </c>
      <c r="F35" s="100">
        <v>1</v>
      </c>
      <c r="G35" s="100">
        <v>130</v>
      </c>
      <c r="H35" s="101">
        <v>380000</v>
      </c>
      <c r="I35" s="102">
        <f t="shared" si="0"/>
        <v>49400000</v>
      </c>
      <c r="J35" s="103"/>
    </row>
    <row r="36" spans="1:10" s="6" customFormat="1" ht="17.399999999999999">
      <c r="A36" s="59"/>
      <c r="B36" s="160"/>
      <c r="C36" s="162"/>
      <c r="D36" s="106" t="s">
        <v>198</v>
      </c>
      <c r="E36" s="99" t="s">
        <v>26</v>
      </c>
      <c r="F36" s="100">
        <v>1</v>
      </c>
      <c r="G36" s="100">
        <v>1</v>
      </c>
      <c r="H36" s="101">
        <v>24000000</v>
      </c>
      <c r="I36" s="102">
        <f t="shared" ref="I36" si="5">H36*G36*F36</f>
        <v>24000000</v>
      </c>
      <c r="J36" s="103"/>
    </row>
    <row r="37" spans="1:10" s="6" customFormat="1" ht="17.399999999999999">
      <c r="A37" s="59"/>
      <c r="B37" s="160"/>
      <c r="C37" s="162"/>
      <c r="D37" s="69" t="s">
        <v>110</v>
      </c>
      <c r="E37" s="75" t="s">
        <v>74</v>
      </c>
      <c r="F37" s="71">
        <v>1</v>
      </c>
      <c r="G37" s="71">
        <v>16</v>
      </c>
      <c r="H37" s="77">
        <v>1250000</v>
      </c>
      <c r="I37" s="73">
        <f t="shared" si="0"/>
        <v>20000000</v>
      </c>
      <c r="J37" s="78"/>
    </row>
    <row r="38" spans="1:10" s="6" customFormat="1" ht="17.399999999999999">
      <c r="A38" s="59"/>
      <c r="B38" s="160"/>
      <c r="C38" s="162"/>
      <c r="D38" s="69" t="s">
        <v>111</v>
      </c>
      <c r="E38" s="75" t="s">
        <v>74</v>
      </c>
      <c r="F38" s="71">
        <v>1</v>
      </c>
      <c r="G38" s="71">
        <v>2</v>
      </c>
      <c r="H38" s="81">
        <v>2500000</v>
      </c>
      <c r="I38" s="73">
        <f t="shared" si="0"/>
        <v>5000000</v>
      </c>
      <c r="J38" s="78"/>
    </row>
    <row r="39" spans="1:10" s="6" customFormat="1" ht="17.399999999999999">
      <c r="A39" s="59"/>
      <c r="B39" s="160"/>
      <c r="C39" s="162"/>
      <c r="D39" s="69" t="s">
        <v>112</v>
      </c>
      <c r="E39" s="75" t="s">
        <v>26</v>
      </c>
      <c r="F39" s="71">
        <v>1</v>
      </c>
      <c r="G39" s="71">
        <v>1</v>
      </c>
      <c r="H39" s="81">
        <v>5000000</v>
      </c>
      <c r="I39" s="73">
        <f t="shared" si="0"/>
        <v>5000000</v>
      </c>
      <c r="J39" s="78"/>
    </row>
    <row r="40" spans="1:10" s="6" customFormat="1" ht="17.25" customHeight="1">
      <c r="A40" s="59" t="s">
        <v>31</v>
      </c>
      <c r="B40" s="160"/>
      <c r="C40" s="163"/>
      <c r="D40" s="69" t="s">
        <v>113</v>
      </c>
      <c r="E40" s="75" t="s">
        <v>142</v>
      </c>
      <c r="F40" s="71">
        <v>1</v>
      </c>
      <c r="G40" s="71">
        <v>2</v>
      </c>
      <c r="H40" s="81">
        <v>3500000</v>
      </c>
      <c r="I40" s="73">
        <f t="shared" si="0"/>
        <v>7000000</v>
      </c>
      <c r="J40" s="74"/>
    </row>
    <row r="41" spans="1:10" s="6" customFormat="1" ht="17.25" customHeight="1">
      <c r="A41" s="59"/>
      <c r="B41" s="160"/>
      <c r="C41" s="161" t="s">
        <v>103</v>
      </c>
      <c r="D41" s="110" t="s">
        <v>151</v>
      </c>
      <c r="E41" s="111" t="s">
        <v>30</v>
      </c>
      <c r="F41" s="112">
        <v>1</v>
      </c>
      <c r="G41" s="112">
        <v>1</v>
      </c>
      <c r="H41" s="113">
        <v>32000000</v>
      </c>
      <c r="I41" s="114">
        <f t="shared" si="0"/>
        <v>32000000</v>
      </c>
      <c r="J41" s="115"/>
    </row>
    <row r="42" spans="1:10" s="6" customFormat="1" ht="17.25" customHeight="1">
      <c r="A42" s="59"/>
      <c r="B42" s="160"/>
      <c r="C42" s="162"/>
      <c r="D42" s="110" t="s">
        <v>158</v>
      </c>
      <c r="E42" s="111" t="s">
        <v>30</v>
      </c>
      <c r="F42" s="112">
        <v>1</v>
      </c>
      <c r="G42" s="112">
        <v>1</v>
      </c>
      <c r="H42" s="113">
        <v>48000000</v>
      </c>
      <c r="I42" s="114">
        <f t="shared" ref="I42:I45" si="6">H42*G42*F42</f>
        <v>48000000</v>
      </c>
      <c r="J42" s="115"/>
    </row>
    <row r="43" spans="1:10" s="6" customFormat="1" ht="17.25" hidden="1" customHeight="1">
      <c r="A43" s="59"/>
      <c r="B43" s="160"/>
      <c r="C43" s="162"/>
      <c r="D43" s="98" t="s">
        <v>152</v>
      </c>
      <c r="E43" s="99" t="s">
        <v>30</v>
      </c>
      <c r="F43" s="100">
        <v>1</v>
      </c>
      <c r="G43" s="100">
        <v>0</v>
      </c>
      <c r="H43" s="101">
        <v>78000000</v>
      </c>
      <c r="I43" s="102">
        <f t="shared" si="6"/>
        <v>0</v>
      </c>
      <c r="J43" s="105"/>
    </row>
    <row r="44" spans="1:10" s="6" customFormat="1" ht="17.25" hidden="1" customHeight="1">
      <c r="A44" s="59"/>
      <c r="B44" s="160"/>
      <c r="C44" s="162"/>
      <c r="D44" s="98" t="s">
        <v>199</v>
      </c>
      <c r="E44" s="99" t="s">
        <v>30</v>
      </c>
      <c r="F44" s="100">
        <v>1</v>
      </c>
      <c r="G44" s="100">
        <v>0</v>
      </c>
      <c r="H44" s="101">
        <v>72000000</v>
      </c>
      <c r="I44" s="102">
        <f t="shared" si="6"/>
        <v>0</v>
      </c>
      <c r="J44" s="105"/>
    </row>
    <row r="45" spans="1:10" s="6" customFormat="1" ht="17.25" hidden="1" customHeight="1">
      <c r="A45" s="59"/>
      <c r="B45" s="160"/>
      <c r="C45" s="163"/>
      <c r="D45" s="98" t="s">
        <v>200</v>
      </c>
      <c r="E45" s="99" t="s">
        <v>30</v>
      </c>
      <c r="F45" s="100">
        <v>1</v>
      </c>
      <c r="G45" s="100">
        <v>0</v>
      </c>
      <c r="H45" s="101">
        <v>38000000</v>
      </c>
      <c r="I45" s="102">
        <f t="shared" si="6"/>
        <v>0</v>
      </c>
      <c r="J45" s="105"/>
    </row>
    <row r="46" spans="1:10" s="6" customFormat="1" ht="17.25" customHeight="1">
      <c r="A46" s="59"/>
      <c r="B46" s="160"/>
      <c r="C46" s="161" t="s">
        <v>104</v>
      </c>
      <c r="D46" s="69" t="s">
        <v>114</v>
      </c>
      <c r="E46" s="75" t="s">
        <v>142</v>
      </c>
      <c r="F46" s="71">
        <v>1</v>
      </c>
      <c r="G46" s="71">
        <v>2</v>
      </c>
      <c r="H46" s="81">
        <v>6500000</v>
      </c>
      <c r="I46" s="73">
        <f t="shared" si="0"/>
        <v>13000000</v>
      </c>
      <c r="J46" s="80"/>
    </row>
    <row r="47" spans="1:10" s="6" customFormat="1" ht="17.25" customHeight="1">
      <c r="A47" s="59"/>
      <c r="B47" s="160"/>
      <c r="C47" s="162"/>
      <c r="D47" s="69" t="s">
        <v>115</v>
      </c>
      <c r="E47" s="75" t="s">
        <v>26</v>
      </c>
      <c r="F47" s="71">
        <v>1</v>
      </c>
      <c r="G47" s="71">
        <v>1</v>
      </c>
      <c r="H47" s="81">
        <v>15000000</v>
      </c>
      <c r="I47" s="73">
        <f t="shared" si="0"/>
        <v>15000000</v>
      </c>
      <c r="J47" s="80"/>
    </row>
    <row r="48" spans="1:10" s="6" customFormat="1" ht="17.25" customHeight="1">
      <c r="A48" s="59"/>
      <c r="B48" s="160"/>
      <c r="C48" s="161" t="s">
        <v>35</v>
      </c>
      <c r="D48" s="69" t="s">
        <v>120</v>
      </c>
      <c r="E48" s="75" t="s">
        <v>74</v>
      </c>
      <c r="F48" s="71">
        <v>1</v>
      </c>
      <c r="G48" s="71">
        <v>15</v>
      </c>
      <c r="H48" s="81">
        <v>950000</v>
      </c>
      <c r="I48" s="73">
        <f t="shared" si="0"/>
        <v>14250000</v>
      </c>
      <c r="J48" s="80"/>
    </row>
    <row r="49" spans="1:10" s="6" customFormat="1" ht="17.25" customHeight="1">
      <c r="A49" s="59"/>
      <c r="B49" s="160"/>
      <c r="C49" s="162"/>
      <c r="D49" s="69" t="s">
        <v>116</v>
      </c>
      <c r="E49" s="75" t="s">
        <v>74</v>
      </c>
      <c r="F49" s="71">
        <v>1</v>
      </c>
      <c r="G49" s="71">
        <v>40</v>
      </c>
      <c r="H49" s="81">
        <v>250000</v>
      </c>
      <c r="I49" s="73">
        <f t="shared" si="0"/>
        <v>10000000</v>
      </c>
      <c r="J49" s="80"/>
    </row>
    <row r="50" spans="1:10" s="6" customFormat="1" ht="17.25" customHeight="1">
      <c r="A50" s="59"/>
      <c r="B50" s="160"/>
      <c r="C50" s="162"/>
      <c r="D50" s="69" t="s">
        <v>121</v>
      </c>
      <c r="E50" s="75" t="s">
        <v>141</v>
      </c>
      <c r="F50" s="71">
        <v>1</v>
      </c>
      <c r="G50" s="71">
        <v>40</v>
      </c>
      <c r="H50" s="81">
        <v>220000</v>
      </c>
      <c r="I50" s="73">
        <f t="shared" si="0"/>
        <v>8800000</v>
      </c>
      <c r="J50" s="80"/>
    </row>
    <row r="51" spans="1:10" s="6" customFormat="1" ht="17.25" customHeight="1">
      <c r="A51" s="59"/>
      <c r="B51" s="160"/>
      <c r="C51" s="162"/>
      <c r="D51" s="106" t="s">
        <v>122</v>
      </c>
      <c r="E51" s="99" t="s">
        <v>74</v>
      </c>
      <c r="F51" s="100">
        <v>1</v>
      </c>
      <c r="G51" s="100">
        <v>220</v>
      </c>
      <c r="H51" s="101">
        <v>180000</v>
      </c>
      <c r="I51" s="102">
        <f t="shared" si="0"/>
        <v>39600000</v>
      </c>
      <c r="J51" s="105"/>
    </row>
    <row r="52" spans="1:10" s="6" customFormat="1" ht="17.25" customHeight="1">
      <c r="A52" s="59"/>
      <c r="B52" s="160"/>
      <c r="C52" s="162"/>
      <c r="D52" s="69" t="s">
        <v>117</v>
      </c>
      <c r="E52" s="75" t="s">
        <v>74</v>
      </c>
      <c r="F52" s="71">
        <v>1</v>
      </c>
      <c r="G52" s="71">
        <v>1</v>
      </c>
      <c r="H52" s="81">
        <v>700000</v>
      </c>
      <c r="I52" s="73">
        <f t="shared" si="0"/>
        <v>700000</v>
      </c>
      <c r="J52" s="80"/>
    </row>
    <row r="53" spans="1:10" s="6" customFormat="1" ht="17.25" customHeight="1">
      <c r="A53" s="59"/>
      <c r="B53" s="160"/>
      <c r="C53" s="162"/>
      <c r="D53" s="69" t="s">
        <v>118</v>
      </c>
      <c r="E53" s="75" t="s">
        <v>74</v>
      </c>
      <c r="F53" s="71">
        <v>1</v>
      </c>
      <c r="G53" s="71">
        <v>1</v>
      </c>
      <c r="H53" s="81">
        <v>340000</v>
      </c>
      <c r="I53" s="73">
        <f t="shared" si="0"/>
        <v>340000</v>
      </c>
      <c r="J53" s="80"/>
    </row>
    <row r="54" spans="1:10" s="6" customFormat="1" ht="17.399999999999999">
      <c r="A54" s="59"/>
      <c r="B54" s="160"/>
      <c r="C54" s="163"/>
      <c r="D54" s="69" t="s">
        <v>119</v>
      </c>
      <c r="E54" s="75" t="s">
        <v>30</v>
      </c>
      <c r="F54" s="71">
        <v>1</v>
      </c>
      <c r="G54" s="71">
        <v>1</v>
      </c>
      <c r="H54" s="81">
        <v>1500000</v>
      </c>
      <c r="I54" s="73">
        <f t="shared" si="0"/>
        <v>1500000</v>
      </c>
      <c r="J54" s="78"/>
    </row>
    <row r="55" spans="1:10" s="6" customFormat="1" ht="17.399999999999999">
      <c r="A55" s="59"/>
      <c r="B55" s="160"/>
      <c r="C55" s="161" t="s">
        <v>105</v>
      </c>
      <c r="D55" s="79" t="s">
        <v>123</v>
      </c>
      <c r="E55" s="75" t="s">
        <v>74</v>
      </c>
      <c r="F55" s="71">
        <v>1</v>
      </c>
      <c r="G55" s="71">
        <v>1</v>
      </c>
      <c r="H55" s="81">
        <v>350000</v>
      </c>
      <c r="I55" s="73">
        <f t="shared" si="0"/>
        <v>350000</v>
      </c>
      <c r="J55" s="78"/>
    </row>
    <row r="56" spans="1:10" s="6" customFormat="1" ht="17.399999999999999">
      <c r="A56" s="59"/>
      <c r="B56" s="160"/>
      <c r="C56" s="162"/>
      <c r="D56" s="79" t="s">
        <v>124</v>
      </c>
      <c r="E56" s="75" t="s">
        <v>74</v>
      </c>
      <c r="F56" s="71">
        <v>1</v>
      </c>
      <c r="G56" s="71">
        <v>4</v>
      </c>
      <c r="H56" s="81">
        <v>220000</v>
      </c>
      <c r="I56" s="73">
        <f t="shared" si="0"/>
        <v>880000</v>
      </c>
      <c r="J56" s="78"/>
    </row>
    <row r="57" spans="1:10" s="6" customFormat="1" ht="17.399999999999999">
      <c r="A57" s="59"/>
      <c r="B57" s="160"/>
      <c r="C57" s="162"/>
      <c r="D57" s="79" t="s">
        <v>125</v>
      </c>
      <c r="E57" s="75" t="s">
        <v>74</v>
      </c>
      <c r="F57" s="71">
        <v>1</v>
      </c>
      <c r="G57" s="71">
        <v>2</v>
      </c>
      <c r="H57" s="81">
        <v>220000</v>
      </c>
      <c r="I57" s="73">
        <f t="shared" si="0"/>
        <v>440000</v>
      </c>
      <c r="J57" s="78"/>
    </row>
    <row r="58" spans="1:10" s="6" customFormat="1" ht="17.399999999999999">
      <c r="A58" s="59"/>
      <c r="B58" s="160"/>
      <c r="C58" s="162"/>
      <c r="D58" s="79" t="s">
        <v>126</v>
      </c>
      <c r="E58" s="75" t="s">
        <v>74</v>
      </c>
      <c r="F58" s="71">
        <v>1</v>
      </c>
      <c r="G58" s="71">
        <v>2</v>
      </c>
      <c r="H58" s="81">
        <v>1400000</v>
      </c>
      <c r="I58" s="73">
        <f t="shared" si="0"/>
        <v>2800000</v>
      </c>
      <c r="J58" s="78"/>
    </row>
    <row r="59" spans="1:10" s="6" customFormat="1" ht="17.399999999999999">
      <c r="A59" s="59"/>
      <c r="B59" s="160"/>
      <c r="C59" s="162"/>
      <c r="D59" s="79" t="s">
        <v>127</v>
      </c>
      <c r="E59" s="75" t="s">
        <v>74</v>
      </c>
      <c r="F59" s="71">
        <v>1</v>
      </c>
      <c r="G59" s="71">
        <v>1</v>
      </c>
      <c r="H59" s="81">
        <v>840000</v>
      </c>
      <c r="I59" s="73">
        <f t="shared" si="0"/>
        <v>840000</v>
      </c>
      <c r="J59" s="78"/>
    </row>
    <row r="60" spans="1:10" s="6" customFormat="1" ht="17.399999999999999">
      <c r="A60" s="59"/>
      <c r="B60" s="160"/>
      <c r="C60" s="162"/>
      <c r="D60" s="79" t="s">
        <v>128</v>
      </c>
      <c r="E60" s="75" t="s">
        <v>74</v>
      </c>
      <c r="F60" s="71">
        <v>1</v>
      </c>
      <c r="G60" s="71">
        <v>1</v>
      </c>
      <c r="H60" s="81">
        <v>840000</v>
      </c>
      <c r="I60" s="73">
        <f t="shared" si="0"/>
        <v>840000</v>
      </c>
      <c r="J60" s="78"/>
    </row>
    <row r="61" spans="1:10" s="6" customFormat="1" ht="17.399999999999999">
      <c r="A61" s="59"/>
      <c r="B61" s="160"/>
      <c r="C61" s="162"/>
      <c r="D61" s="79" t="s">
        <v>129</v>
      </c>
      <c r="E61" s="75" t="s">
        <v>74</v>
      </c>
      <c r="F61" s="71">
        <v>1</v>
      </c>
      <c r="G61" s="71">
        <v>2</v>
      </c>
      <c r="H61" s="81">
        <v>250000</v>
      </c>
      <c r="I61" s="73">
        <f t="shared" si="0"/>
        <v>500000</v>
      </c>
      <c r="J61" s="78"/>
    </row>
    <row r="62" spans="1:10" s="6" customFormat="1" ht="17.399999999999999">
      <c r="A62" s="59"/>
      <c r="B62" s="160"/>
      <c r="C62" s="163"/>
      <c r="D62" s="79" t="s">
        <v>130</v>
      </c>
      <c r="E62" s="75" t="s">
        <v>74</v>
      </c>
      <c r="F62" s="71">
        <v>1</v>
      </c>
      <c r="G62" s="71">
        <v>4</v>
      </c>
      <c r="H62" s="81">
        <v>200000</v>
      </c>
      <c r="I62" s="73">
        <f t="shared" si="0"/>
        <v>800000</v>
      </c>
      <c r="J62" s="78"/>
    </row>
    <row r="63" spans="1:10" s="6" customFormat="1" ht="17.399999999999999">
      <c r="A63" s="59"/>
      <c r="B63" s="160"/>
      <c r="C63" s="165" t="s">
        <v>143</v>
      </c>
      <c r="D63" s="98" t="s">
        <v>133</v>
      </c>
      <c r="E63" s="99" t="s">
        <v>98</v>
      </c>
      <c r="F63" s="100">
        <v>50</v>
      </c>
      <c r="G63" s="100">
        <v>10</v>
      </c>
      <c r="H63" s="101">
        <v>132550</v>
      </c>
      <c r="I63" s="102">
        <f t="shared" si="0"/>
        <v>66275000</v>
      </c>
      <c r="J63" s="103" t="s">
        <v>197</v>
      </c>
    </row>
    <row r="64" spans="1:10" s="6" customFormat="1" ht="17.399999999999999">
      <c r="A64" s="59"/>
      <c r="B64" s="160"/>
      <c r="C64" s="150"/>
      <c r="D64" s="98" t="s">
        <v>134</v>
      </c>
      <c r="E64" s="99" t="s">
        <v>98</v>
      </c>
      <c r="F64" s="100">
        <v>28</v>
      </c>
      <c r="G64" s="100">
        <v>10</v>
      </c>
      <c r="H64" s="101">
        <v>199550</v>
      </c>
      <c r="I64" s="102">
        <f t="shared" si="0"/>
        <v>55874000</v>
      </c>
      <c r="J64" s="103" t="s">
        <v>197</v>
      </c>
    </row>
    <row r="65" spans="1:10" s="6" customFormat="1" ht="17.399999999999999">
      <c r="A65" s="59"/>
      <c r="B65" s="160"/>
      <c r="C65" s="150"/>
      <c r="D65" s="98" t="s">
        <v>135</v>
      </c>
      <c r="E65" s="99" t="s">
        <v>98</v>
      </c>
      <c r="F65" s="100">
        <v>18</v>
      </c>
      <c r="G65" s="100">
        <v>8</v>
      </c>
      <c r="H65" s="101">
        <v>132550</v>
      </c>
      <c r="I65" s="102">
        <f t="shared" si="0"/>
        <v>19087200</v>
      </c>
      <c r="J65" s="103"/>
    </row>
    <row r="66" spans="1:10" s="6" customFormat="1" ht="17.399999999999999">
      <c r="A66" s="59"/>
      <c r="B66" s="160"/>
      <c r="C66" s="150"/>
      <c r="D66" s="98" t="s">
        <v>136</v>
      </c>
      <c r="E66" s="99" t="s">
        <v>98</v>
      </c>
      <c r="F66" s="100">
        <v>38</v>
      </c>
      <c r="G66" s="100">
        <v>4</v>
      </c>
      <c r="H66" s="101">
        <v>180200</v>
      </c>
      <c r="I66" s="102">
        <f t="shared" si="0"/>
        <v>27390400</v>
      </c>
      <c r="J66" s="103" t="s">
        <v>197</v>
      </c>
    </row>
    <row r="67" spans="1:10" s="6" customFormat="1" ht="17.399999999999999">
      <c r="A67" s="59"/>
      <c r="B67" s="160"/>
      <c r="C67" s="150"/>
      <c r="D67" s="98" t="s">
        <v>137</v>
      </c>
      <c r="E67" s="99" t="s">
        <v>98</v>
      </c>
      <c r="F67" s="100">
        <v>23</v>
      </c>
      <c r="G67" s="100">
        <v>4</v>
      </c>
      <c r="H67" s="101">
        <v>299450</v>
      </c>
      <c r="I67" s="102">
        <f t="shared" si="0"/>
        <v>27549400</v>
      </c>
      <c r="J67" s="103" t="s">
        <v>197</v>
      </c>
    </row>
    <row r="68" spans="1:10" s="6" customFormat="1" ht="17.399999999999999">
      <c r="A68" s="59"/>
      <c r="B68" s="160"/>
      <c r="C68" s="150"/>
      <c r="D68" s="98" t="s">
        <v>138</v>
      </c>
      <c r="E68" s="99" t="s">
        <v>98</v>
      </c>
      <c r="F68" s="100">
        <v>15</v>
      </c>
      <c r="G68" s="100">
        <v>4</v>
      </c>
      <c r="H68" s="101">
        <v>180200</v>
      </c>
      <c r="I68" s="102">
        <f t="shared" si="0"/>
        <v>10812000</v>
      </c>
      <c r="J68" s="103"/>
    </row>
    <row r="69" spans="1:10" s="6" customFormat="1" ht="17.399999999999999">
      <c r="A69" s="59"/>
      <c r="B69" s="160"/>
      <c r="C69" s="150"/>
      <c r="D69" s="98" t="s">
        <v>139</v>
      </c>
      <c r="E69" s="99" t="s">
        <v>98</v>
      </c>
      <c r="F69" s="100">
        <v>30</v>
      </c>
      <c r="G69" s="100">
        <v>4</v>
      </c>
      <c r="H69" s="101">
        <v>132550</v>
      </c>
      <c r="I69" s="102">
        <f t="shared" si="0"/>
        <v>15906000</v>
      </c>
      <c r="J69" s="103" t="s">
        <v>197</v>
      </c>
    </row>
    <row r="70" spans="1:10" s="6" customFormat="1" ht="17.399999999999999">
      <c r="A70" s="59"/>
      <c r="B70" s="160"/>
      <c r="C70" s="166"/>
      <c r="D70" s="98" t="s">
        <v>140</v>
      </c>
      <c r="E70" s="99" t="s">
        <v>98</v>
      </c>
      <c r="F70" s="100">
        <v>10</v>
      </c>
      <c r="G70" s="100">
        <v>4</v>
      </c>
      <c r="H70" s="101">
        <v>132550</v>
      </c>
      <c r="I70" s="102">
        <f t="shared" si="0"/>
        <v>5302000</v>
      </c>
      <c r="J70" s="103"/>
    </row>
    <row r="71" spans="1:10" s="6" customFormat="1" ht="17.399999999999999">
      <c r="A71" s="59"/>
      <c r="B71" s="160"/>
      <c r="C71" s="162" t="s">
        <v>132</v>
      </c>
      <c r="D71" s="98" t="s">
        <v>144</v>
      </c>
      <c r="E71" s="99" t="s">
        <v>26</v>
      </c>
      <c r="F71" s="100">
        <v>7</v>
      </c>
      <c r="G71" s="100">
        <v>2</v>
      </c>
      <c r="H71" s="101">
        <v>3000000</v>
      </c>
      <c r="I71" s="102">
        <f t="shared" si="0"/>
        <v>42000000</v>
      </c>
      <c r="J71" s="103" t="s">
        <v>197</v>
      </c>
    </row>
    <row r="72" spans="1:10" s="6" customFormat="1" ht="17.399999999999999">
      <c r="A72" s="59"/>
      <c r="B72" s="160"/>
      <c r="C72" s="162"/>
      <c r="D72" s="69" t="s">
        <v>335</v>
      </c>
      <c r="E72" s="75" t="s">
        <v>26</v>
      </c>
      <c r="F72" s="71">
        <v>1</v>
      </c>
      <c r="G72" s="71">
        <v>1</v>
      </c>
      <c r="H72" s="81">
        <v>20000000</v>
      </c>
      <c r="I72" s="73">
        <f t="shared" ref="I72" si="7">H72*G72*F72</f>
        <v>20000000</v>
      </c>
      <c r="J72" s="103"/>
    </row>
    <row r="73" spans="1:10" s="6" customFormat="1" ht="17.399999999999999">
      <c r="A73" s="59"/>
      <c r="B73" s="160"/>
      <c r="C73" s="192"/>
      <c r="D73" s="79" t="s">
        <v>131</v>
      </c>
      <c r="E73" s="75" t="s">
        <v>26</v>
      </c>
      <c r="F73" s="71">
        <v>1</v>
      </c>
      <c r="G73" s="71">
        <v>1</v>
      </c>
      <c r="H73" s="77">
        <v>5000000</v>
      </c>
      <c r="I73" s="73">
        <f t="shared" si="0"/>
        <v>5000000</v>
      </c>
      <c r="J73" s="78"/>
    </row>
    <row r="74" spans="1:10" s="6" customFormat="1" ht="17.25" customHeight="1">
      <c r="A74" s="59"/>
      <c r="B74" s="184" t="s">
        <v>24</v>
      </c>
      <c r="C74" s="184"/>
      <c r="D74" s="184"/>
      <c r="E74" s="184"/>
      <c r="F74" s="184"/>
      <c r="G74" s="184"/>
      <c r="H74" s="184"/>
      <c r="I74" s="67">
        <f>SUM(I6:I73)</f>
        <v>825076000</v>
      </c>
      <c r="J74" s="68"/>
    </row>
    <row r="75" spans="1:10" s="6" customFormat="1" ht="17.25" customHeight="1">
      <c r="A75" s="59" t="s">
        <v>31</v>
      </c>
      <c r="B75" s="159" t="s">
        <v>45</v>
      </c>
      <c r="C75" s="120" t="s">
        <v>34</v>
      </c>
      <c r="D75" s="116" t="s">
        <v>100</v>
      </c>
      <c r="E75" s="117" t="s">
        <v>26</v>
      </c>
      <c r="F75" s="112">
        <v>1</v>
      </c>
      <c r="G75" s="112">
        <v>1</v>
      </c>
      <c r="H75" s="113">
        <v>40000000</v>
      </c>
      <c r="I75" s="114">
        <f t="shared" ref="I75:I79" si="8">H75*G75*F75</f>
        <v>40000000</v>
      </c>
      <c r="J75" s="118" t="s">
        <v>190</v>
      </c>
    </row>
    <row r="76" spans="1:10" s="6" customFormat="1" ht="17.25" hidden="1" customHeight="1">
      <c r="A76" s="59"/>
      <c r="B76" s="160"/>
      <c r="C76" s="187" t="s">
        <v>201</v>
      </c>
      <c r="D76" s="98" t="s">
        <v>202</v>
      </c>
      <c r="E76" s="99" t="s">
        <v>26</v>
      </c>
      <c r="F76" s="109">
        <v>1</v>
      </c>
      <c r="G76" s="109">
        <v>1</v>
      </c>
      <c r="H76" s="108">
        <v>0</v>
      </c>
      <c r="I76" s="102">
        <f t="shared" si="8"/>
        <v>0</v>
      </c>
      <c r="J76" s="105" t="s">
        <v>243</v>
      </c>
    </row>
    <row r="77" spans="1:10" s="6" customFormat="1" ht="17.25" hidden="1" customHeight="1">
      <c r="A77" s="59"/>
      <c r="B77" s="160"/>
      <c r="C77" s="188"/>
      <c r="D77" s="98" t="s">
        <v>203</v>
      </c>
      <c r="E77" s="99" t="s">
        <v>26</v>
      </c>
      <c r="F77" s="109">
        <v>1</v>
      </c>
      <c r="G77" s="109">
        <v>1</v>
      </c>
      <c r="H77" s="108">
        <v>0</v>
      </c>
      <c r="I77" s="102">
        <f t="shared" si="8"/>
        <v>0</v>
      </c>
      <c r="J77" s="105" t="s">
        <v>243</v>
      </c>
    </row>
    <row r="78" spans="1:10" s="6" customFormat="1" ht="17.25" customHeight="1">
      <c r="A78" s="59"/>
      <c r="B78" s="160"/>
      <c r="C78" s="185" t="s">
        <v>188</v>
      </c>
      <c r="D78" s="98" t="s">
        <v>189</v>
      </c>
      <c r="E78" s="99" t="s">
        <v>26</v>
      </c>
      <c r="F78" s="109">
        <v>1</v>
      </c>
      <c r="G78" s="109">
        <v>1</v>
      </c>
      <c r="H78" s="108">
        <v>45000000</v>
      </c>
      <c r="I78" s="102">
        <f t="shared" si="8"/>
        <v>45000000</v>
      </c>
      <c r="J78" s="190" t="s">
        <v>254</v>
      </c>
    </row>
    <row r="79" spans="1:10" s="6" customFormat="1" ht="16.95" customHeight="1">
      <c r="A79" s="59"/>
      <c r="B79" s="160"/>
      <c r="C79" s="186"/>
      <c r="D79" s="98" t="s">
        <v>191</v>
      </c>
      <c r="E79" s="99" t="s">
        <v>26</v>
      </c>
      <c r="F79" s="109">
        <v>1</v>
      </c>
      <c r="G79" s="109">
        <v>1</v>
      </c>
      <c r="H79" s="108">
        <v>13000000</v>
      </c>
      <c r="I79" s="102">
        <f t="shared" si="8"/>
        <v>13000000</v>
      </c>
      <c r="J79" s="191"/>
    </row>
    <row r="80" spans="1:10" s="6" customFormat="1" ht="17.25" customHeight="1">
      <c r="A80" s="59"/>
      <c r="B80" s="160"/>
      <c r="C80" s="161" t="s">
        <v>265</v>
      </c>
      <c r="D80" s="98" t="s">
        <v>212</v>
      </c>
      <c r="E80" s="99" t="s">
        <v>26</v>
      </c>
      <c r="F80" s="100">
        <v>1</v>
      </c>
      <c r="G80" s="100">
        <v>1</v>
      </c>
      <c r="H80" s="108">
        <v>14500000</v>
      </c>
      <c r="I80" s="102">
        <f t="shared" ref="I80:I82" si="9">H80*G80*F80</f>
        <v>14500000</v>
      </c>
      <c r="J80" s="105"/>
    </row>
    <row r="81" spans="1:10" s="6" customFormat="1" ht="17.25" customHeight="1">
      <c r="A81" s="59"/>
      <c r="B81" s="160"/>
      <c r="C81" s="162"/>
      <c r="D81" s="98" t="s">
        <v>213</v>
      </c>
      <c r="E81" s="99" t="s">
        <v>26</v>
      </c>
      <c r="F81" s="100">
        <v>1</v>
      </c>
      <c r="G81" s="100">
        <v>1</v>
      </c>
      <c r="H81" s="108">
        <v>34000000</v>
      </c>
      <c r="I81" s="102">
        <f t="shared" si="9"/>
        <v>34000000</v>
      </c>
      <c r="J81" s="105" t="s">
        <v>192</v>
      </c>
    </row>
    <row r="82" spans="1:10" s="6" customFormat="1" ht="17.25" customHeight="1">
      <c r="A82" s="59"/>
      <c r="B82" s="160"/>
      <c r="C82" s="162"/>
      <c r="D82" s="98" t="s">
        <v>214</v>
      </c>
      <c r="E82" s="99" t="s">
        <v>26</v>
      </c>
      <c r="F82" s="100">
        <v>1</v>
      </c>
      <c r="G82" s="100">
        <v>1</v>
      </c>
      <c r="H82" s="108">
        <v>11000000</v>
      </c>
      <c r="I82" s="102">
        <f t="shared" si="9"/>
        <v>11000000</v>
      </c>
      <c r="J82" s="105"/>
    </row>
    <row r="83" spans="1:10" s="6" customFormat="1" ht="17.25" customHeight="1">
      <c r="A83" s="59"/>
      <c r="B83" s="160"/>
      <c r="C83" s="162"/>
      <c r="D83" s="98" t="s">
        <v>274</v>
      </c>
      <c r="E83" s="99" t="s">
        <v>26</v>
      </c>
      <c r="F83" s="100">
        <v>1</v>
      </c>
      <c r="G83" s="100">
        <v>1</v>
      </c>
      <c r="H83" s="108">
        <v>10000000</v>
      </c>
      <c r="I83" s="102">
        <f t="shared" ref="I83" si="10">H83*G83*F83</f>
        <v>10000000</v>
      </c>
      <c r="J83" s="105"/>
    </row>
    <row r="84" spans="1:10" s="6" customFormat="1" ht="17.25" customHeight="1">
      <c r="A84" s="59"/>
      <c r="B84" s="160"/>
      <c r="C84" s="163"/>
      <c r="D84" s="98" t="s">
        <v>270</v>
      </c>
      <c r="E84" s="99" t="s">
        <v>26</v>
      </c>
      <c r="F84" s="100">
        <v>1</v>
      </c>
      <c r="G84" s="100">
        <v>1</v>
      </c>
      <c r="H84" s="108">
        <v>7000000</v>
      </c>
      <c r="I84" s="102">
        <f t="shared" ref="I84" si="11">H84*G84*F84</f>
        <v>7000000</v>
      </c>
      <c r="J84" s="105" t="s">
        <v>271</v>
      </c>
    </row>
    <row r="85" spans="1:10" s="6" customFormat="1" ht="28.95" customHeight="1">
      <c r="A85" s="59"/>
      <c r="B85" s="160"/>
      <c r="C85" s="185" t="s">
        <v>204</v>
      </c>
      <c r="D85" s="116" t="s">
        <v>273</v>
      </c>
      <c r="E85" s="111" t="s">
        <v>26</v>
      </c>
      <c r="F85" s="112">
        <v>1</v>
      </c>
      <c r="G85" s="125">
        <v>1</v>
      </c>
      <c r="H85" s="113">
        <v>5000000</v>
      </c>
      <c r="I85" s="114">
        <f t="shared" ref="I85:I90" si="12">H85*G85*F85</f>
        <v>5000000</v>
      </c>
      <c r="J85" s="130" t="s">
        <v>317</v>
      </c>
    </row>
    <row r="86" spans="1:10" s="6" customFormat="1" ht="17.25" hidden="1" customHeight="1">
      <c r="A86" s="59"/>
      <c r="B86" s="160"/>
      <c r="C86" s="189"/>
      <c r="D86" s="116" t="s">
        <v>156</v>
      </c>
      <c r="E86" s="111" t="s">
        <v>26</v>
      </c>
      <c r="F86" s="112">
        <v>1</v>
      </c>
      <c r="G86" s="125">
        <v>0</v>
      </c>
      <c r="H86" s="113">
        <v>20000000</v>
      </c>
      <c r="I86" s="114">
        <f t="shared" ref="I86" si="13">H86*G86*F86</f>
        <v>0</v>
      </c>
      <c r="J86" s="130" t="s">
        <v>186</v>
      </c>
    </row>
    <row r="87" spans="1:10" s="6" customFormat="1" ht="17.399999999999999" hidden="1" customHeight="1">
      <c r="A87" s="59"/>
      <c r="B87" s="160"/>
      <c r="C87" s="189"/>
      <c r="D87" s="116" t="s">
        <v>157</v>
      </c>
      <c r="E87" s="111" t="s">
        <v>26</v>
      </c>
      <c r="F87" s="112">
        <v>0</v>
      </c>
      <c r="G87" s="125">
        <v>0</v>
      </c>
      <c r="H87" s="113">
        <v>28000000</v>
      </c>
      <c r="I87" s="114">
        <f t="shared" si="12"/>
        <v>0</v>
      </c>
      <c r="J87" s="130" t="s">
        <v>186</v>
      </c>
    </row>
    <row r="88" spans="1:10" s="6" customFormat="1" ht="17.25" customHeight="1">
      <c r="A88" s="59"/>
      <c r="B88" s="160"/>
      <c r="C88" s="185" t="s">
        <v>205</v>
      </c>
      <c r="D88" s="106" t="s">
        <v>155</v>
      </c>
      <c r="E88" s="99" t="s">
        <v>26</v>
      </c>
      <c r="F88" s="100">
        <v>1</v>
      </c>
      <c r="G88" s="100">
        <v>1</v>
      </c>
      <c r="H88" s="108">
        <v>3800000</v>
      </c>
      <c r="I88" s="102">
        <f t="shared" si="12"/>
        <v>3800000</v>
      </c>
      <c r="J88" s="105"/>
    </row>
    <row r="89" spans="1:10" s="6" customFormat="1" ht="17.25" customHeight="1">
      <c r="A89" s="59"/>
      <c r="B89" s="160"/>
      <c r="C89" s="189"/>
      <c r="D89" s="98" t="s">
        <v>329</v>
      </c>
      <c r="E89" s="99" t="s">
        <v>26</v>
      </c>
      <c r="F89" s="100">
        <v>1</v>
      </c>
      <c r="G89" s="100">
        <v>1</v>
      </c>
      <c r="H89" s="108">
        <v>5000000</v>
      </c>
      <c r="I89" s="102">
        <f t="shared" ref="I89" si="14">H89*G89*F89</f>
        <v>5000000</v>
      </c>
      <c r="J89" s="105"/>
    </row>
    <row r="90" spans="1:10" s="6" customFormat="1" ht="17.25" customHeight="1">
      <c r="A90" s="59"/>
      <c r="B90" s="160"/>
      <c r="C90" s="189"/>
      <c r="D90" s="98" t="s">
        <v>242</v>
      </c>
      <c r="E90" s="99" t="s">
        <v>26</v>
      </c>
      <c r="F90" s="100">
        <v>1</v>
      </c>
      <c r="G90" s="100">
        <v>1</v>
      </c>
      <c r="H90" s="108">
        <v>4500000</v>
      </c>
      <c r="I90" s="102">
        <f t="shared" si="12"/>
        <v>4500000</v>
      </c>
      <c r="J90" s="105"/>
    </row>
    <row r="91" spans="1:10" s="6" customFormat="1" ht="17.25" customHeight="1">
      <c r="A91" s="59"/>
      <c r="B91" s="160"/>
      <c r="C91" s="189"/>
      <c r="D91" s="98" t="s">
        <v>316</v>
      </c>
      <c r="E91" s="99" t="s">
        <v>26</v>
      </c>
      <c r="F91" s="100">
        <v>1</v>
      </c>
      <c r="G91" s="100">
        <v>1</v>
      </c>
      <c r="H91" s="108">
        <v>500000</v>
      </c>
      <c r="I91" s="102">
        <f t="shared" ref="I91" si="15">H91*G91*F91</f>
        <v>500000</v>
      </c>
      <c r="J91" s="105"/>
    </row>
    <row r="92" spans="1:10" s="6" customFormat="1" ht="17.25" hidden="1" customHeight="1">
      <c r="A92" s="59"/>
      <c r="B92" s="160"/>
      <c r="C92" s="186"/>
      <c r="D92" s="98" t="s">
        <v>207</v>
      </c>
      <c r="E92" s="99" t="s">
        <v>26</v>
      </c>
      <c r="F92" s="100">
        <v>1</v>
      </c>
      <c r="G92" s="100">
        <v>0</v>
      </c>
      <c r="H92" s="108">
        <v>16000000</v>
      </c>
      <c r="I92" s="102">
        <f t="shared" ref="I92:I93" si="16">H92*G92*F92</f>
        <v>0</v>
      </c>
      <c r="J92" s="105" t="s">
        <v>288</v>
      </c>
    </row>
    <row r="93" spans="1:10" s="6" customFormat="1" ht="17.25" customHeight="1">
      <c r="A93" s="59"/>
      <c r="B93" s="160"/>
      <c r="C93" s="165" t="s">
        <v>206</v>
      </c>
      <c r="D93" s="106" t="s">
        <v>323</v>
      </c>
      <c r="E93" s="99" t="s">
        <v>26</v>
      </c>
      <c r="F93" s="100">
        <v>1</v>
      </c>
      <c r="G93" s="100">
        <v>1</v>
      </c>
      <c r="H93" s="108">
        <v>3800000</v>
      </c>
      <c r="I93" s="102">
        <f t="shared" si="16"/>
        <v>3800000</v>
      </c>
      <c r="J93" s="105"/>
    </row>
    <row r="94" spans="1:10" s="6" customFormat="1" ht="17.25" hidden="1" customHeight="1">
      <c r="A94" s="59"/>
      <c r="B94" s="160"/>
      <c r="C94" s="150"/>
      <c r="D94" s="98" t="s">
        <v>250</v>
      </c>
      <c r="E94" s="99" t="s">
        <v>26</v>
      </c>
      <c r="F94" s="100">
        <v>1</v>
      </c>
      <c r="G94" s="100">
        <v>0</v>
      </c>
      <c r="H94" s="108">
        <v>16000000</v>
      </c>
      <c r="I94" s="102">
        <f t="shared" ref="I94" si="17">H94*G94*F94</f>
        <v>0</v>
      </c>
      <c r="J94" s="105" t="s">
        <v>288</v>
      </c>
    </row>
    <row r="95" spans="1:10" s="6" customFormat="1" ht="17.25" hidden="1" customHeight="1">
      <c r="A95" s="59"/>
      <c r="B95" s="160"/>
      <c r="C95" s="150"/>
      <c r="D95" s="98" t="s">
        <v>208</v>
      </c>
      <c r="E95" s="99" t="s">
        <v>26</v>
      </c>
      <c r="F95" s="100">
        <v>1</v>
      </c>
      <c r="G95" s="100">
        <v>0</v>
      </c>
      <c r="H95" s="108">
        <v>14000000</v>
      </c>
      <c r="I95" s="102">
        <f t="shared" ref="I95:I97" si="18">H95*G95*F95</f>
        <v>0</v>
      </c>
      <c r="J95" s="105" t="s">
        <v>288</v>
      </c>
    </row>
    <row r="96" spans="1:10" s="6" customFormat="1" ht="17.25" customHeight="1">
      <c r="A96" s="59"/>
      <c r="B96" s="160"/>
      <c r="C96" s="166"/>
      <c r="D96" s="98" t="s">
        <v>324</v>
      </c>
      <c r="E96" s="99" t="s">
        <v>26</v>
      </c>
      <c r="F96" s="100">
        <v>1</v>
      </c>
      <c r="G96" s="100">
        <v>1</v>
      </c>
      <c r="H96" s="108">
        <v>13000000</v>
      </c>
      <c r="I96" s="102">
        <f t="shared" si="18"/>
        <v>13000000</v>
      </c>
      <c r="J96" s="105"/>
    </row>
    <row r="97" spans="1:10" s="6" customFormat="1" ht="17.25" customHeight="1">
      <c r="A97" s="59"/>
      <c r="B97" s="160"/>
      <c r="C97" s="165" t="s">
        <v>209</v>
      </c>
      <c r="D97" s="106" t="s">
        <v>266</v>
      </c>
      <c r="E97" s="99" t="s">
        <v>26</v>
      </c>
      <c r="F97" s="100">
        <v>1</v>
      </c>
      <c r="G97" s="100">
        <v>1</v>
      </c>
      <c r="H97" s="108">
        <v>3800000</v>
      </c>
      <c r="I97" s="102">
        <f t="shared" si="18"/>
        <v>3800000</v>
      </c>
      <c r="J97" s="105"/>
    </row>
    <row r="98" spans="1:10" s="6" customFormat="1" ht="17.25" hidden="1" customHeight="1">
      <c r="A98" s="59"/>
      <c r="B98" s="160"/>
      <c r="C98" s="150"/>
      <c r="D98" s="98" t="s">
        <v>245</v>
      </c>
      <c r="E98" s="99" t="s">
        <v>26</v>
      </c>
      <c r="F98" s="100">
        <v>1</v>
      </c>
      <c r="G98" s="100">
        <v>0</v>
      </c>
      <c r="H98" s="108">
        <v>12750000</v>
      </c>
      <c r="I98" s="102">
        <f t="shared" ref="I98" si="19">H98*G98*F98</f>
        <v>0</v>
      </c>
      <c r="J98" s="105" t="s">
        <v>257</v>
      </c>
    </row>
    <row r="99" spans="1:10" s="6" customFormat="1" ht="17.25" hidden="1" customHeight="1">
      <c r="A99" s="59"/>
      <c r="B99" s="160"/>
      <c r="C99" s="150"/>
      <c r="D99" s="98" t="s">
        <v>246</v>
      </c>
      <c r="E99" s="99" t="s">
        <v>26</v>
      </c>
      <c r="F99" s="100">
        <v>1</v>
      </c>
      <c r="G99" s="100">
        <v>0</v>
      </c>
      <c r="H99" s="108">
        <v>12750000</v>
      </c>
      <c r="I99" s="102">
        <f t="shared" ref="I99" si="20">H99*G99*F99</f>
        <v>0</v>
      </c>
      <c r="J99" s="105" t="s">
        <v>247</v>
      </c>
    </row>
    <row r="100" spans="1:10" s="6" customFormat="1" ht="17.25" hidden="1" customHeight="1">
      <c r="A100" s="59"/>
      <c r="B100" s="160"/>
      <c r="C100" s="166"/>
      <c r="D100" s="98" t="s">
        <v>211</v>
      </c>
      <c r="E100" s="99" t="s">
        <v>26</v>
      </c>
      <c r="F100" s="100">
        <v>1</v>
      </c>
      <c r="G100" s="100">
        <v>0</v>
      </c>
      <c r="H100" s="108">
        <v>22000000</v>
      </c>
      <c r="I100" s="102">
        <f t="shared" ref="I100" si="21">H100*G100*F100</f>
        <v>0</v>
      </c>
      <c r="J100" s="105" t="s">
        <v>257</v>
      </c>
    </row>
    <row r="101" spans="1:10" s="6" customFormat="1" ht="17.25" customHeight="1">
      <c r="A101" s="59"/>
      <c r="B101" s="160"/>
      <c r="C101" s="165" t="s">
        <v>210</v>
      </c>
      <c r="D101" s="116" t="s">
        <v>322</v>
      </c>
      <c r="E101" s="111" t="s">
        <v>26</v>
      </c>
      <c r="F101" s="112">
        <v>1</v>
      </c>
      <c r="G101" s="112">
        <v>1</v>
      </c>
      <c r="H101" s="119">
        <v>5000000</v>
      </c>
      <c r="I101" s="114">
        <f t="shared" ref="I101:I104" si="22">H101*G101*F101</f>
        <v>5000000</v>
      </c>
      <c r="J101" s="105" t="s">
        <v>343</v>
      </c>
    </row>
    <row r="102" spans="1:10" s="6" customFormat="1" ht="17.25" customHeight="1">
      <c r="A102" s="59"/>
      <c r="B102" s="160"/>
      <c r="C102" s="166"/>
      <c r="D102" s="116" t="s">
        <v>321</v>
      </c>
      <c r="E102" s="111" t="s">
        <v>26</v>
      </c>
      <c r="F102" s="112">
        <v>1</v>
      </c>
      <c r="G102" s="112">
        <v>1</v>
      </c>
      <c r="H102" s="119">
        <v>25000000</v>
      </c>
      <c r="I102" s="114">
        <f t="shared" si="22"/>
        <v>25000000</v>
      </c>
      <c r="J102" s="105"/>
    </row>
    <row r="103" spans="1:10" s="6" customFormat="1" ht="17.25" customHeight="1">
      <c r="A103" s="59"/>
      <c r="B103" s="160"/>
      <c r="C103" s="165" t="s">
        <v>249</v>
      </c>
      <c r="D103" s="116" t="s">
        <v>256</v>
      </c>
      <c r="E103" s="111" t="s">
        <v>26</v>
      </c>
      <c r="F103" s="112">
        <v>1</v>
      </c>
      <c r="G103" s="112">
        <v>0</v>
      </c>
      <c r="H103" s="119">
        <v>12000000</v>
      </c>
      <c r="I103" s="114">
        <f t="shared" si="22"/>
        <v>0</v>
      </c>
      <c r="J103" s="105" t="s">
        <v>267</v>
      </c>
    </row>
    <row r="104" spans="1:10" s="6" customFormat="1" ht="17.25" customHeight="1">
      <c r="A104" s="59"/>
      <c r="B104" s="160"/>
      <c r="C104" s="166"/>
      <c r="D104" s="116" t="s">
        <v>268</v>
      </c>
      <c r="E104" s="111" t="s">
        <v>26</v>
      </c>
      <c r="F104" s="112">
        <v>1</v>
      </c>
      <c r="G104" s="112">
        <v>1</v>
      </c>
      <c r="H104" s="119">
        <v>28000000</v>
      </c>
      <c r="I104" s="114">
        <f t="shared" si="22"/>
        <v>28000000</v>
      </c>
      <c r="J104" s="115" t="s">
        <v>248</v>
      </c>
    </row>
    <row r="105" spans="1:10" s="6" customFormat="1" ht="17.25" customHeight="1">
      <c r="A105" s="59"/>
      <c r="B105" s="160"/>
      <c r="C105" s="165" t="s">
        <v>325</v>
      </c>
      <c r="D105" s="116" t="s">
        <v>328</v>
      </c>
      <c r="E105" s="111" t="s">
        <v>26</v>
      </c>
      <c r="F105" s="112">
        <v>1</v>
      </c>
      <c r="G105" s="112">
        <v>1</v>
      </c>
      <c r="H105" s="119">
        <v>6000000</v>
      </c>
      <c r="I105" s="114">
        <f t="shared" ref="I105" si="23">H105*G105*F105</f>
        <v>6000000</v>
      </c>
      <c r="J105" s="115"/>
    </row>
    <row r="106" spans="1:10" s="6" customFormat="1" ht="17.25" customHeight="1">
      <c r="A106" s="59"/>
      <c r="B106" s="160"/>
      <c r="C106" s="167"/>
      <c r="D106" s="116" t="s">
        <v>326</v>
      </c>
      <c r="E106" s="111" t="s">
        <v>26</v>
      </c>
      <c r="F106" s="112">
        <v>1</v>
      </c>
      <c r="G106" s="112">
        <v>10</v>
      </c>
      <c r="H106" s="119">
        <v>800000</v>
      </c>
      <c r="I106" s="114">
        <f t="shared" ref="I106" si="24">H106*G106*F106</f>
        <v>8000000</v>
      </c>
      <c r="J106" s="105" t="s">
        <v>327</v>
      </c>
    </row>
    <row r="107" spans="1:10" s="6" customFormat="1" ht="17.25" customHeight="1">
      <c r="A107" s="59"/>
      <c r="B107" s="184" t="s">
        <v>24</v>
      </c>
      <c r="C107" s="184"/>
      <c r="D107" s="184"/>
      <c r="E107" s="184"/>
      <c r="F107" s="184"/>
      <c r="G107" s="184"/>
      <c r="H107" s="184"/>
      <c r="I107" s="67">
        <f>SUM(I75:I106)</f>
        <v>285900000</v>
      </c>
      <c r="J107" s="68"/>
    </row>
    <row r="108" spans="1:10" s="6" customFormat="1" ht="17.25" customHeight="1">
      <c r="A108" s="59" t="s">
        <v>31</v>
      </c>
      <c r="B108" s="159" t="s">
        <v>46</v>
      </c>
      <c r="C108" s="164" t="s">
        <v>69</v>
      </c>
      <c r="D108" s="106" t="s">
        <v>240</v>
      </c>
      <c r="E108" s="104" t="s">
        <v>30</v>
      </c>
      <c r="F108" s="100">
        <v>1</v>
      </c>
      <c r="G108" s="100">
        <v>1</v>
      </c>
      <c r="H108" s="101">
        <v>40000000</v>
      </c>
      <c r="I108" s="102">
        <f t="shared" ref="I108:I129" si="25">H108*G108*F108</f>
        <v>40000000</v>
      </c>
      <c r="J108" s="107" t="s">
        <v>185</v>
      </c>
    </row>
    <row r="109" spans="1:10" s="6" customFormat="1" ht="17.25" customHeight="1">
      <c r="A109" s="59"/>
      <c r="B109" s="160"/>
      <c r="C109" s="162"/>
      <c r="D109" s="98" t="s">
        <v>241</v>
      </c>
      <c r="E109" s="104" t="s">
        <v>30</v>
      </c>
      <c r="F109" s="100">
        <v>1</v>
      </c>
      <c r="G109" s="100">
        <v>1</v>
      </c>
      <c r="H109" s="101">
        <v>36000000</v>
      </c>
      <c r="I109" s="102">
        <f t="shared" ref="I109:I110" si="26">H109*G109*F109</f>
        <v>36000000</v>
      </c>
      <c r="J109" s="105"/>
    </row>
    <row r="110" spans="1:10" s="6" customFormat="1" ht="17.25" customHeight="1">
      <c r="A110" s="59"/>
      <c r="B110" s="160"/>
      <c r="C110" s="162"/>
      <c r="D110" s="98" t="s">
        <v>295</v>
      </c>
      <c r="E110" s="99" t="s">
        <v>26</v>
      </c>
      <c r="F110" s="109">
        <v>2</v>
      </c>
      <c r="G110" s="100">
        <v>3</v>
      </c>
      <c r="H110" s="108">
        <v>3500000</v>
      </c>
      <c r="I110" s="102">
        <f t="shared" si="26"/>
        <v>21000000</v>
      </c>
      <c r="J110" s="105" t="s">
        <v>296</v>
      </c>
    </row>
    <row r="111" spans="1:10" s="6" customFormat="1" ht="17.25" customHeight="1">
      <c r="A111" s="59"/>
      <c r="B111" s="160"/>
      <c r="C111" s="162"/>
      <c r="D111" s="98" t="s">
        <v>251</v>
      </c>
      <c r="E111" s="104" t="s">
        <v>30</v>
      </c>
      <c r="F111" s="100">
        <v>1</v>
      </c>
      <c r="G111" s="100">
        <v>2</v>
      </c>
      <c r="H111" s="101">
        <v>8000000</v>
      </c>
      <c r="I111" s="102">
        <f t="shared" ref="I111:I112" si="27">H111*G111*F111</f>
        <v>16000000</v>
      </c>
      <c r="J111" s="105" t="s">
        <v>237</v>
      </c>
    </row>
    <row r="112" spans="1:10" s="6" customFormat="1" ht="17.25" customHeight="1">
      <c r="A112" s="59"/>
      <c r="B112" s="160"/>
      <c r="C112" s="162"/>
      <c r="D112" s="98" t="s">
        <v>223</v>
      </c>
      <c r="E112" s="104" t="s">
        <v>30</v>
      </c>
      <c r="F112" s="100">
        <v>1</v>
      </c>
      <c r="G112" s="100">
        <v>2</v>
      </c>
      <c r="H112" s="101">
        <v>7000000</v>
      </c>
      <c r="I112" s="102">
        <f t="shared" si="27"/>
        <v>14000000</v>
      </c>
      <c r="J112" s="105"/>
    </row>
    <row r="113" spans="1:10" s="6" customFormat="1" ht="17.25" customHeight="1">
      <c r="A113" s="59"/>
      <c r="B113" s="160"/>
      <c r="C113" s="162"/>
      <c r="D113" s="98" t="s">
        <v>70</v>
      </c>
      <c r="E113" s="104" t="s">
        <v>74</v>
      </c>
      <c r="F113" s="100">
        <v>1</v>
      </c>
      <c r="G113" s="100">
        <v>4</v>
      </c>
      <c r="H113" s="101">
        <v>950000</v>
      </c>
      <c r="I113" s="102">
        <f t="shared" si="25"/>
        <v>3800000</v>
      </c>
      <c r="J113" s="105"/>
    </row>
    <row r="114" spans="1:10" s="6" customFormat="1" ht="17.25" customHeight="1">
      <c r="A114" s="59"/>
      <c r="B114" s="160"/>
      <c r="C114" s="162"/>
      <c r="D114" s="98" t="s">
        <v>338</v>
      </c>
      <c r="E114" s="104" t="s">
        <v>74</v>
      </c>
      <c r="F114" s="100">
        <v>1</v>
      </c>
      <c r="G114" s="100">
        <v>3</v>
      </c>
      <c r="H114" s="101">
        <v>400000</v>
      </c>
      <c r="I114" s="102">
        <f t="shared" si="25"/>
        <v>1200000</v>
      </c>
      <c r="J114" s="105"/>
    </row>
    <row r="115" spans="1:10" s="6" customFormat="1" ht="17.25" customHeight="1">
      <c r="A115" s="59"/>
      <c r="B115" s="160"/>
      <c r="C115" s="162"/>
      <c r="D115" s="98" t="s">
        <v>71</v>
      </c>
      <c r="E115" s="104" t="s">
        <v>74</v>
      </c>
      <c r="F115" s="100">
        <v>1</v>
      </c>
      <c r="G115" s="100">
        <v>3</v>
      </c>
      <c r="H115" s="101">
        <v>1900000</v>
      </c>
      <c r="I115" s="102">
        <f t="shared" si="25"/>
        <v>5700000</v>
      </c>
      <c r="J115" s="105"/>
    </row>
    <row r="116" spans="1:10" s="6" customFormat="1" ht="17.25" hidden="1" customHeight="1">
      <c r="A116" s="59"/>
      <c r="B116" s="160"/>
      <c r="C116" s="162"/>
      <c r="D116" s="98" t="s">
        <v>146</v>
      </c>
      <c r="E116" s="104" t="s">
        <v>74</v>
      </c>
      <c r="F116" s="100">
        <v>1</v>
      </c>
      <c r="G116" s="100">
        <v>0</v>
      </c>
      <c r="H116" s="101">
        <v>360000</v>
      </c>
      <c r="I116" s="102">
        <f t="shared" ref="I116" si="28">H116*G116*F116</f>
        <v>0</v>
      </c>
      <c r="J116" s="105" t="s">
        <v>269</v>
      </c>
    </row>
    <row r="117" spans="1:10" s="6" customFormat="1" ht="17.25" customHeight="1">
      <c r="A117" s="59"/>
      <c r="B117" s="160"/>
      <c r="C117" s="163"/>
      <c r="D117" s="98" t="s">
        <v>289</v>
      </c>
      <c r="E117" s="104" t="s">
        <v>74</v>
      </c>
      <c r="F117" s="100">
        <v>1</v>
      </c>
      <c r="G117" s="100">
        <v>4</v>
      </c>
      <c r="H117" s="101">
        <v>2100000</v>
      </c>
      <c r="I117" s="102">
        <f t="shared" si="25"/>
        <v>8400000</v>
      </c>
      <c r="J117" s="105" t="s">
        <v>290</v>
      </c>
    </row>
    <row r="118" spans="1:10" s="6" customFormat="1" ht="16.95" customHeight="1">
      <c r="A118" s="59"/>
      <c r="B118" s="160"/>
      <c r="C118" s="165" t="s">
        <v>72</v>
      </c>
      <c r="D118" s="98" t="s">
        <v>282</v>
      </c>
      <c r="E118" s="99" t="s">
        <v>30</v>
      </c>
      <c r="F118" s="109">
        <v>1</v>
      </c>
      <c r="G118" s="109">
        <v>1</v>
      </c>
      <c r="H118" s="108">
        <v>4000000</v>
      </c>
      <c r="I118" s="102">
        <f t="shared" si="25"/>
        <v>4000000</v>
      </c>
      <c r="J118" s="127" t="s">
        <v>283</v>
      </c>
    </row>
    <row r="119" spans="1:10" s="6" customFormat="1" ht="16.95" customHeight="1">
      <c r="A119" s="59"/>
      <c r="B119" s="160"/>
      <c r="C119" s="150"/>
      <c r="D119" s="98" t="s">
        <v>284</v>
      </c>
      <c r="E119" s="99" t="s">
        <v>30</v>
      </c>
      <c r="F119" s="109">
        <v>1</v>
      </c>
      <c r="G119" s="109">
        <v>1</v>
      </c>
      <c r="H119" s="108">
        <v>9200000</v>
      </c>
      <c r="I119" s="102">
        <f t="shared" ref="I119:I122" si="29">H119*G119*F119</f>
        <v>9200000</v>
      </c>
      <c r="J119" s="105"/>
    </row>
    <row r="120" spans="1:10" s="6" customFormat="1" ht="17.25" customHeight="1">
      <c r="A120" s="59"/>
      <c r="B120" s="160"/>
      <c r="C120" s="150"/>
      <c r="D120" s="98" t="s">
        <v>285</v>
      </c>
      <c r="E120" s="99" t="s">
        <v>30</v>
      </c>
      <c r="F120" s="109">
        <v>1</v>
      </c>
      <c r="G120" s="109">
        <v>1</v>
      </c>
      <c r="H120" s="108">
        <v>1100000</v>
      </c>
      <c r="I120" s="102">
        <f t="shared" si="29"/>
        <v>1100000</v>
      </c>
      <c r="J120" s="105"/>
    </row>
    <row r="121" spans="1:10" s="6" customFormat="1" ht="16.95" customHeight="1">
      <c r="A121" s="59"/>
      <c r="B121" s="160"/>
      <c r="C121" s="150"/>
      <c r="D121" s="98" t="s">
        <v>286</v>
      </c>
      <c r="E121" s="99" t="s">
        <v>30</v>
      </c>
      <c r="F121" s="109">
        <v>1</v>
      </c>
      <c r="G121" s="109">
        <v>1</v>
      </c>
      <c r="H121" s="108">
        <v>3400000</v>
      </c>
      <c r="I121" s="102">
        <f t="shared" si="29"/>
        <v>3400000</v>
      </c>
      <c r="J121" s="105"/>
    </row>
    <row r="122" spans="1:10" s="6" customFormat="1" ht="17.25" customHeight="1">
      <c r="A122" s="59"/>
      <c r="B122" s="160"/>
      <c r="C122" s="150"/>
      <c r="D122" s="98" t="s">
        <v>287</v>
      </c>
      <c r="E122" s="99" t="s">
        <v>30</v>
      </c>
      <c r="F122" s="109">
        <v>1</v>
      </c>
      <c r="G122" s="109">
        <v>1</v>
      </c>
      <c r="H122" s="108">
        <v>4200000</v>
      </c>
      <c r="I122" s="102">
        <f t="shared" si="29"/>
        <v>4200000</v>
      </c>
      <c r="J122" s="105"/>
    </row>
    <row r="123" spans="1:10" s="6" customFormat="1" ht="17.25" customHeight="1">
      <c r="A123" s="59"/>
      <c r="B123" s="160"/>
      <c r="C123" s="150"/>
      <c r="D123" s="98" t="s">
        <v>222</v>
      </c>
      <c r="E123" s="99" t="s">
        <v>30</v>
      </c>
      <c r="F123" s="109">
        <v>1</v>
      </c>
      <c r="G123" s="109">
        <v>1</v>
      </c>
      <c r="H123" s="108">
        <v>7000000</v>
      </c>
      <c r="I123" s="102">
        <f t="shared" ref="I123" si="30">H123*G123*F123</f>
        <v>7000000</v>
      </c>
      <c r="J123" s="105"/>
    </row>
    <row r="124" spans="1:10" s="6" customFormat="1" ht="17.25" customHeight="1">
      <c r="A124" s="59"/>
      <c r="B124" s="160"/>
      <c r="C124" s="166"/>
      <c r="D124" s="98" t="s">
        <v>307</v>
      </c>
      <c r="E124" s="99" t="s">
        <v>30</v>
      </c>
      <c r="F124" s="109">
        <v>1</v>
      </c>
      <c r="G124" s="109">
        <v>2</v>
      </c>
      <c r="H124" s="108">
        <v>7000000</v>
      </c>
      <c r="I124" s="102">
        <f t="shared" ref="I124" si="31">H124*G124*F124</f>
        <v>14000000</v>
      </c>
      <c r="J124" s="127"/>
    </row>
    <row r="125" spans="1:10" s="6" customFormat="1" ht="17.25" customHeight="1">
      <c r="A125" s="59"/>
      <c r="B125" s="160"/>
      <c r="C125" s="165" t="s">
        <v>75</v>
      </c>
      <c r="D125" s="98" t="s">
        <v>281</v>
      </c>
      <c r="E125" s="99" t="s">
        <v>30</v>
      </c>
      <c r="F125" s="109">
        <v>1</v>
      </c>
      <c r="G125" s="109">
        <v>1</v>
      </c>
      <c r="H125" s="108">
        <v>4000000</v>
      </c>
      <c r="I125" s="102">
        <f t="shared" si="25"/>
        <v>4000000</v>
      </c>
      <c r="J125" s="105" t="s">
        <v>283</v>
      </c>
    </row>
    <row r="126" spans="1:10" s="6" customFormat="1" ht="17.25" customHeight="1">
      <c r="A126" s="59"/>
      <c r="B126" s="160"/>
      <c r="C126" s="150"/>
      <c r="D126" s="98" t="s">
        <v>279</v>
      </c>
      <c r="E126" s="99" t="s">
        <v>30</v>
      </c>
      <c r="F126" s="109">
        <v>1</v>
      </c>
      <c r="G126" s="109">
        <v>1</v>
      </c>
      <c r="H126" s="108">
        <v>10000000</v>
      </c>
      <c r="I126" s="102">
        <f t="shared" ref="I126:I127" si="32">H126*G126*F126</f>
        <v>10000000</v>
      </c>
      <c r="J126" s="105"/>
    </row>
    <row r="127" spans="1:10" s="6" customFormat="1" ht="17.25" customHeight="1">
      <c r="A127" s="59"/>
      <c r="B127" s="160"/>
      <c r="C127" s="150"/>
      <c r="D127" s="98" t="s">
        <v>280</v>
      </c>
      <c r="E127" s="99" t="s">
        <v>30</v>
      </c>
      <c r="F127" s="109">
        <v>1</v>
      </c>
      <c r="G127" s="109">
        <v>1</v>
      </c>
      <c r="H127" s="108">
        <v>3000000</v>
      </c>
      <c r="I127" s="102">
        <f t="shared" si="32"/>
        <v>3000000</v>
      </c>
      <c r="J127" s="105"/>
    </row>
    <row r="128" spans="1:10" s="6" customFormat="1" ht="17.25" customHeight="1">
      <c r="A128" s="59"/>
      <c r="B128" s="160"/>
      <c r="C128" s="150"/>
      <c r="D128" s="98" t="s">
        <v>222</v>
      </c>
      <c r="E128" s="99" t="s">
        <v>30</v>
      </c>
      <c r="F128" s="109">
        <v>1</v>
      </c>
      <c r="G128" s="109">
        <v>1</v>
      </c>
      <c r="H128" s="108">
        <v>7000000</v>
      </c>
      <c r="I128" s="102">
        <f t="shared" si="25"/>
        <v>7000000</v>
      </c>
      <c r="J128" s="127"/>
    </row>
    <row r="129" spans="1:10" s="6" customFormat="1" ht="17.25" customHeight="1">
      <c r="A129" s="59"/>
      <c r="B129" s="160"/>
      <c r="C129" s="166"/>
      <c r="D129" s="98" t="s">
        <v>307</v>
      </c>
      <c r="E129" s="99" t="s">
        <v>30</v>
      </c>
      <c r="F129" s="109">
        <v>1</v>
      </c>
      <c r="G129" s="109">
        <v>2</v>
      </c>
      <c r="H129" s="108">
        <v>7000000</v>
      </c>
      <c r="I129" s="102">
        <f t="shared" si="25"/>
        <v>14000000</v>
      </c>
      <c r="J129" s="127"/>
    </row>
    <row r="130" spans="1:10" s="6" customFormat="1" ht="17.25" hidden="1" customHeight="1">
      <c r="A130" s="59"/>
      <c r="B130" s="160"/>
      <c r="C130" s="151" t="s">
        <v>73</v>
      </c>
      <c r="D130" s="106" t="s">
        <v>224</v>
      </c>
      <c r="E130" s="104" t="s">
        <v>30</v>
      </c>
      <c r="F130" s="100">
        <v>6</v>
      </c>
      <c r="G130" s="100">
        <v>0</v>
      </c>
      <c r="H130" s="101">
        <v>2000000</v>
      </c>
      <c r="I130" s="102">
        <f t="shared" ref="I130" si="33">H130*G130*F130</f>
        <v>0</v>
      </c>
      <c r="J130" s="127"/>
    </row>
    <row r="131" spans="1:10" s="6" customFormat="1" ht="17.25" customHeight="1">
      <c r="A131" s="59"/>
      <c r="B131" s="160"/>
      <c r="C131" s="152"/>
      <c r="D131" s="129" t="s">
        <v>225</v>
      </c>
      <c r="E131" s="104" t="s">
        <v>30</v>
      </c>
      <c r="F131" s="100">
        <v>6</v>
      </c>
      <c r="G131" s="100">
        <v>1</v>
      </c>
      <c r="H131" s="101">
        <v>1600000</v>
      </c>
      <c r="I131" s="102">
        <f t="shared" ref="I131:I139" si="34">H131*G131*F131</f>
        <v>9600000</v>
      </c>
      <c r="J131" s="127"/>
    </row>
    <row r="132" spans="1:10" s="6" customFormat="1" ht="17.25" customHeight="1">
      <c r="A132" s="59"/>
      <c r="B132" s="160"/>
      <c r="C132" s="152"/>
      <c r="D132" s="98" t="s">
        <v>226</v>
      </c>
      <c r="E132" s="104" t="s">
        <v>30</v>
      </c>
      <c r="F132" s="100">
        <v>1</v>
      </c>
      <c r="G132" s="100">
        <v>1</v>
      </c>
      <c r="H132" s="101">
        <v>24000000</v>
      </c>
      <c r="I132" s="102">
        <f t="shared" si="34"/>
        <v>24000000</v>
      </c>
      <c r="J132" s="127"/>
    </row>
    <row r="133" spans="1:10" s="6" customFormat="1" ht="17.25" hidden="1" customHeight="1">
      <c r="A133" s="59"/>
      <c r="B133" s="160"/>
      <c r="C133" s="152"/>
      <c r="D133" s="98" t="s">
        <v>227</v>
      </c>
      <c r="E133" s="104" t="s">
        <v>30</v>
      </c>
      <c r="F133" s="100">
        <v>6</v>
      </c>
      <c r="G133" s="100">
        <v>0</v>
      </c>
      <c r="H133" s="101">
        <v>2800000</v>
      </c>
      <c r="I133" s="102">
        <f t="shared" si="34"/>
        <v>0</v>
      </c>
      <c r="J133" s="127"/>
    </row>
    <row r="134" spans="1:10" s="6" customFormat="1" ht="17.25" hidden="1" customHeight="1">
      <c r="A134" s="59"/>
      <c r="B134" s="160"/>
      <c r="C134" s="152"/>
      <c r="D134" s="98" t="s">
        <v>228</v>
      </c>
      <c r="E134" s="104" t="s">
        <v>30</v>
      </c>
      <c r="F134" s="100">
        <v>6</v>
      </c>
      <c r="G134" s="100">
        <v>0</v>
      </c>
      <c r="H134" s="101">
        <v>2400000</v>
      </c>
      <c r="I134" s="102">
        <f t="shared" si="34"/>
        <v>0</v>
      </c>
      <c r="J134" s="127"/>
    </row>
    <row r="135" spans="1:10" s="6" customFormat="1" ht="17.25" hidden="1" customHeight="1">
      <c r="A135" s="59"/>
      <c r="B135" s="160"/>
      <c r="C135" s="152"/>
      <c r="D135" s="98" t="s">
        <v>229</v>
      </c>
      <c r="E135" s="104" t="s">
        <v>30</v>
      </c>
      <c r="F135" s="100">
        <v>1</v>
      </c>
      <c r="G135" s="100">
        <v>0</v>
      </c>
      <c r="H135" s="101">
        <v>39000000</v>
      </c>
      <c r="I135" s="102">
        <f t="shared" si="34"/>
        <v>0</v>
      </c>
      <c r="J135" s="127"/>
    </row>
    <row r="136" spans="1:10" s="6" customFormat="1" ht="17.25" customHeight="1">
      <c r="A136" s="59"/>
      <c r="B136" s="160"/>
      <c r="C136" s="152"/>
      <c r="D136" s="98" t="s">
        <v>230</v>
      </c>
      <c r="E136" s="104" t="s">
        <v>30</v>
      </c>
      <c r="F136" s="100">
        <v>1</v>
      </c>
      <c r="G136" s="100">
        <v>1</v>
      </c>
      <c r="H136" s="101">
        <v>9000000</v>
      </c>
      <c r="I136" s="102">
        <f t="shared" si="34"/>
        <v>9000000</v>
      </c>
      <c r="J136" s="127"/>
    </row>
    <row r="137" spans="1:10" s="6" customFormat="1" ht="17.25" customHeight="1">
      <c r="A137" s="59"/>
      <c r="B137" s="160"/>
      <c r="C137" s="152"/>
      <c r="D137" s="98" t="s">
        <v>231</v>
      </c>
      <c r="E137" s="104" t="s">
        <v>30</v>
      </c>
      <c r="F137" s="100">
        <v>1</v>
      </c>
      <c r="G137" s="100">
        <v>2</v>
      </c>
      <c r="H137" s="101">
        <v>7000000</v>
      </c>
      <c r="I137" s="102">
        <f t="shared" si="34"/>
        <v>14000000</v>
      </c>
      <c r="J137" s="127"/>
    </row>
    <row r="138" spans="1:10" s="6" customFormat="1" ht="17.25" customHeight="1">
      <c r="A138" s="59"/>
      <c r="B138" s="160"/>
      <c r="C138" s="152"/>
      <c r="D138" s="98" t="s">
        <v>232</v>
      </c>
      <c r="E138" s="104" t="s">
        <v>30</v>
      </c>
      <c r="F138" s="100">
        <v>1</v>
      </c>
      <c r="G138" s="100">
        <v>1</v>
      </c>
      <c r="H138" s="101">
        <v>8000000</v>
      </c>
      <c r="I138" s="102">
        <f t="shared" si="34"/>
        <v>8000000</v>
      </c>
      <c r="J138" s="127"/>
    </row>
    <row r="139" spans="1:10" s="6" customFormat="1" ht="17.25" customHeight="1">
      <c r="A139" s="59" t="s">
        <v>31</v>
      </c>
      <c r="B139" s="160"/>
      <c r="C139" s="153"/>
      <c r="D139" s="98" t="s">
        <v>236</v>
      </c>
      <c r="E139" s="104" t="s">
        <v>30</v>
      </c>
      <c r="F139" s="100">
        <v>1</v>
      </c>
      <c r="G139" s="100">
        <v>3</v>
      </c>
      <c r="H139" s="101">
        <v>7000000</v>
      </c>
      <c r="I139" s="102">
        <f t="shared" si="34"/>
        <v>21000000</v>
      </c>
      <c r="J139" s="128"/>
    </row>
    <row r="140" spans="1:10" s="6" customFormat="1" ht="17.25" customHeight="1">
      <c r="A140" s="59"/>
      <c r="B140" s="184" t="s">
        <v>24</v>
      </c>
      <c r="C140" s="184"/>
      <c r="D140" s="184"/>
      <c r="E140" s="184"/>
      <c r="F140" s="184"/>
      <c r="G140" s="184"/>
      <c r="H140" s="184"/>
      <c r="I140" s="67">
        <f>SUM(I108:I139)</f>
        <v>312600000</v>
      </c>
      <c r="J140" s="68"/>
    </row>
    <row r="141" spans="1:10" s="6" customFormat="1" ht="17.25" customHeight="1">
      <c r="A141" s="59"/>
      <c r="B141" s="159" t="s">
        <v>77</v>
      </c>
      <c r="C141" s="96" t="s">
        <v>85</v>
      </c>
      <c r="D141" s="106" t="s">
        <v>79</v>
      </c>
      <c r="E141" s="104" t="s">
        <v>98</v>
      </c>
      <c r="F141" s="100">
        <v>1</v>
      </c>
      <c r="G141" s="100">
        <v>16</v>
      </c>
      <c r="H141" s="101">
        <v>917700</v>
      </c>
      <c r="I141" s="102">
        <f t="shared" ref="I141:I164" si="35">H141*G141*F141</f>
        <v>14683200</v>
      </c>
      <c r="J141" s="107"/>
    </row>
    <row r="142" spans="1:10" s="6" customFormat="1" ht="17.25" customHeight="1">
      <c r="A142" s="59"/>
      <c r="B142" s="160"/>
      <c r="C142" s="96" t="s">
        <v>239</v>
      </c>
      <c r="D142" s="98" t="s">
        <v>80</v>
      </c>
      <c r="E142" s="104" t="s">
        <v>98</v>
      </c>
      <c r="F142" s="100">
        <v>1</v>
      </c>
      <c r="G142" s="100">
        <v>8</v>
      </c>
      <c r="H142" s="101">
        <v>917700</v>
      </c>
      <c r="I142" s="102">
        <f t="shared" si="35"/>
        <v>7341600</v>
      </c>
      <c r="J142" s="105"/>
    </row>
    <row r="143" spans="1:10" s="6" customFormat="1" ht="17.25" customHeight="1">
      <c r="A143" s="59"/>
      <c r="B143" s="160"/>
      <c r="C143" s="96" t="s">
        <v>86</v>
      </c>
      <c r="D143" s="98" t="s">
        <v>81</v>
      </c>
      <c r="E143" s="104" t="s">
        <v>98</v>
      </c>
      <c r="F143" s="100">
        <v>1</v>
      </c>
      <c r="G143" s="100">
        <v>32</v>
      </c>
      <c r="H143" s="101">
        <v>600000</v>
      </c>
      <c r="I143" s="102">
        <f t="shared" si="35"/>
        <v>19200000</v>
      </c>
      <c r="J143" s="105"/>
    </row>
    <row r="144" spans="1:10" s="6" customFormat="1" ht="17.25" customHeight="1">
      <c r="A144" s="59"/>
      <c r="B144" s="160"/>
      <c r="C144" s="96" t="s">
        <v>87</v>
      </c>
      <c r="D144" s="98" t="s">
        <v>80</v>
      </c>
      <c r="E144" s="104" t="s">
        <v>98</v>
      </c>
      <c r="F144" s="100">
        <v>1</v>
      </c>
      <c r="G144" s="100">
        <v>8</v>
      </c>
      <c r="H144" s="101">
        <v>600000</v>
      </c>
      <c r="I144" s="102">
        <f t="shared" si="35"/>
        <v>4800000</v>
      </c>
      <c r="J144" s="105"/>
    </row>
    <row r="145" spans="1:10" s="6" customFormat="1" ht="17.25" customHeight="1">
      <c r="A145" s="59"/>
      <c r="B145" s="160"/>
      <c r="C145" s="96" t="s">
        <v>88</v>
      </c>
      <c r="D145" s="98" t="s">
        <v>82</v>
      </c>
      <c r="E145" s="104" t="s">
        <v>98</v>
      </c>
      <c r="F145" s="100">
        <v>2</v>
      </c>
      <c r="G145" s="100">
        <v>8</v>
      </c>
      <c r="H145" s="101">
        <v>440000</v>
      </c>
      <c r="I145" s="102">
        <f t="shared" si="35"/>
        <v>7040000</v>
      </c>
      <c r="J145" s="105"/>
    </row>
    <row r="146" spans="1:10" s="6" customFormat="1" ht="17.25" customHeight="1">
      <c r="A146" s="59"/>
      <c r="B146" s="160"/>
      <c r="C146" s="96" t="s">
        <v>89</v>
      </c>
      <c r="D146" s="98" t="s">
        <v>83</v>
      </c>
      <c r="E146" s="104" t="s">
        <v>99</v>
      </c>
      <c r="F146" s="100">
        <v>1</v>
      </c>
      <c r="G146" s="100">
        <v>220</v>
      </c>
      <c r="H146" s="101">
        <v>220000</v>
      </c>
      <c r="I146" s="102">
        <f t="shared" si="35"/>
        <v>48400000</v>
      </c>
      <c r="J146" s="105"/>
    </row>
    <row r="147" spans="1:10" s="6" customFormat="1" ht="17.25" customHeight="1">
      <c r="A147" s="59"/>
      <c r="B147" s="160"/>
      <c r="C147" s="161" t="s">
        <v>90</v>
      </c>
      <c r="D147" s="98" t="s">
        <v>91</v>
      </c>
      <c r="E147" s="104" t="s">
        <v>98</v>
      </c>
      <c r="F147" s="100">
        <v>1</v>
      </c>
      <c r="G147" s="100">
        <v>128</v>
      </c>
      <c r="H147" s="101">
        <v>230000</v>
      </c>
      <c r="I147" s="102">
        <f t="shared" si="35"/>
        <v>29440000</v>
      </c>
      <c r="J147" s="105"/>
    </row>
    <row r="148" spans="1:10" s="6" customFormat="1" ht="17.25" customHeight="1">
      <c r="A148" s="59"/>
      <c r="B148" s="160"/>
      <c r="C148" s="163"/>
      <c r="D148" s="98" t="s">
        <v>92</v>
      </c>
      <c r="E148" s="104" t="s">
        <v>98</v>
      </c>
      <c r="F148" s="100">
        <v>1</v>
      </c>
      <c r="G148" s="100">
        <v>32</v>
      </c>
      <c r="H148" s="101">
        <v>340000</v>
      </c>
      <c r="I148" s="102">
        <f t="shared" si="35"/>
        <v>10880000</v>
      </c>
      <c r="J148" s="105"/>
    </row>
    <row r="149" spans="1:10" s="6" customFormat="1" ht="17.25" customHeight="1">
      <c r="A149" s="59"/>
      <c r="B149" s="160"/>
      <c r="C149" s="161" t="s">
        <v>244</v>
      </c>
      <c r="D149" s="98" t="s">
        <v>95</v>
      </c>
      <c r="E149" s="104" t="s">
        <v>98</v>
      </c>
      <c r="F149" s="100">
        <v>1</v>
      </c>
      <c r="G149" s="100">
        <v>48</v>
      </c>
      <c r="H149" s="101">
        <v>280000</v>
      </c>
      <c r="I149" s="102">
        <f t="shared" si="35"/>
        <v>13440000</v>
      </c>
      <c r="J149" s="105"/>
    </row>
    <row r="150" spans="1:10" s="6" customFormat="1" ht="17.25" customHeight="1">
      <c r="A150" s="59"/>
      <c r="B150" s="160"/>
      <c r="C150" s="162"/>
      <c r="D150" s="98" t="s">
        <v>96</v>
      </c>
      <c r="E150" s="104" t="s">
        <v>98</v>
      </c>
      <c r="F150" s="100">
        <v>1</v>
      </c>
      <c r="G150" s="100">
        <v>8</v>
      </c>
      <c r="H150" s="101">
        <v>420000</v>
      </c>
      <c r="I150" s="102">
        <f t="shared" si="35"/>
        <v>3360000</v>
      </c>
      <c r="J150" s="105"/>
    </row>
    <row r="151" spans="1:10" s="6" customFormat="1" ht="17.25" customHeight="1">
      <c r="A151" s="59"/>
      <c r="B151" s="160"/>
      <c r="C151" s="162"/>
      <c r="D151" s="98" t="s">
        <v>94</v>
      </c>
      <c r="E151" s="104" t="s">
        <v>98</v>
      </c>
      <c r="F151" s="100">
        <v>1</v>
      </c>
      <c r="G151" s="100">
        <v>32</v>
      </c>
      <c r="H151" s="101">
        <v>280000</v>
      </c>
      <c r="I151" s="102">
        <f t="shared" si="35"/>
        <v>8960000</v>
      </c>
      <c r="J151" s="105"/>
    </row>
    <row r="152" spans="1:10" s="6" customFormat="1" ht="17.25" customHeight="1">
      <c r="A152" s="59"/>
      <c r="B152" s="160"/>
      <c r="C152" s="163"/>
      <c r="D152" s="98" t="s">
        <v>93</v>
      </c>
      <c r="E152" s="104" t="s">
        <v>98</v>
      </c>
      <c r="F152" s="100">
        <v>1</v>
      </c>
      <c r="G152" s="100">
        <v>8</v>
      </c>
      <c r="H152" s="101">
        <v>420000</v>
      </c>
      <c r="I152" s="102">
        <f t="shared" si="35"/>
        <v>3360000</v>
      </c>
      <c r="J152" s="105"/>
    </row>
    <row r="153" spans="1:10" s="6" customFormat="1" ht="19.95" customHeight="1">
      <c r="A153" s="59"/>
      <c r="B153" s="160"/>
      <c r="C153" s="161" t="s">
        <v>293</v>
      </c>
      <c r="D153" s="98" t="s">
        <v>252</v>
      </c>
      <c r="E153" s="104" t="s">
        <v>30</v>
      </c>
      <c r="F153" s="100">
        <v>1</v>
      </c>
      <c r="G153" s="100">
        <v>1</v>
      </c>
      <c r="H153" s="101">
        <v>99395210</v>
      </c>
      <c r="I153" s="102">
        <f t="shared" ref="I153:I154" si="36">H153*G153*F153</f>
        <v>99395210</v>
      </c>
      <c r="J153" s="103"/>
    </row>
    <row r="154" spans="1:10" s="6" customFormat="1" ht="19.95" customHeight="1">
      <c r="A154" s="59"/>
      <c r="B154" s="160"/>
      <c r="C154" s="162"/>
      <c r="D154" s="98" t="s">
        <v>297</v>
      </c>
      <c r="E154" s="104" t="s">
        <v>30</v>
      </c>
      <c r="F154" s="100">
        <v>1</v>
      </c>
      <c r="G154" s="100">
        <v>1</v>
      </c>
      <c r="H154" s="101">
        <v>38624300</v>
      </c>
      <c r="I154" s="102">
        <f t="shared" si="36"/>
        <v>38624300</v>
      </c>
      <c r="J154" s="103"/>
    </row>
    <row r="155" spans="1:10" s="6" customFormat="1" ht="19.95" customHeight="1">
      <c r="A155" s="59"/>
      <c r="B155" s="160"/>
      <c r="C155" s="163"/>
      <c r="D155" s="98" t="s">
        <v>298</v>
      </c>
      <c r="E155" s="104" t="s">
        <v>30</v>
      </c>
      <c r="F155" s="100">
        <v>1</v>
      </c>
      <c r="G155" s="100">
        <v>1</v>
      </c>
      <c r="H155" s="101">
        <v>7865000</v>
      </c>
      <c r="I155" s="102">
        <f t="shared" ref="I155" si="37">H155*G155*F155</f>
        <v>7865000</v>
      </c>
      <c r="J155" s="103"/>
    </row>
    <row r="156" spans="1:10" s="6" customFormat="1" ht="19.95" customHeight="1">
      <c r="A156" s="59"/>
      <c r="B156" s="160"/>
      <c r="C156" s="162" t="s">
        <v>294</v>
      </c>
      <c r="D156" s="98" t="s">
        <v>300</v>
      </c>
      <c r="E156" s="104" t="s">
        <v>30</v>
      </c>
      <c r="F156" s="100">
        <v>1</v>
      </c>
      <c r="G156" s="100">
        <v>1</v>
      </c>
      <c r="H156" s="101">
        <v>1303200</v>
      </c>
      <c r="I156" s="102">
        <f t="shared" ref="I156:I163" si="38">H156*G156*F156</f>
        <v>1303200</v>
      </c>
      <c r="J156" s="103"/>
    </row>
    <row r="157" spans="1:10" s="6" customFormat="1" ht="19.95" customHeight="1">
      <c r="A157" s="59"/>
      <c r="B157" s="160"/>
      <c r="C157" s="162"/>
      <c r="D157" s="98" t="s">
        <v>301</v>
      </c>
      <c r="E157" s="104" t="s">
        <v>30</v>
      </c>
      <c r="F157" s="100">
        <v>1</v>
      </c>
      <c r="G157" s="100">
        <v>1</v>
      </c>
      <c r="H157" s="101">
        <v>5792000</v>
      </c>
      <c r="I157" s="102">
        <f t="shared" si="38"/>
        <v>5792000</v>
      </c>
      <c r="J157" s="103"/>
    </row>
    <row r="158" spans="1:10" s="6" customFormat="1" ht="19.95" customHeight="1">
      <c r="A158" s="59"/>
      <c r="B158" s="160"/>
      <c r="C158" s="162"/>
      <c r="D158" s="98" t="s">
        <v>299</v>
      </c>
      <c r="E158" s="104" t="s">
        <v>30</v>
      </c>
      <c r="F158" s="100">
        <v>6</v>
      </c>
      <c r="G158" s="100">
        <v>1</v>
      </c>
      <c r="H158" s="101">
        <v>1737600</v>
      </c>
      <c r="I158" s="102">
        <f t="shared" si="38"/>
        <v>10425600</v>
      </c>
      <c r="J158" s="103"/>
    </row>
    <row r="159" spans="1:10" s="6" customFormat="1" ht="19.95" customHeight="1">
      <c r="A159" s="59"/>
      <c r="B159" s="160"/>
      <c r="C159" s="162"/>
      <c r="D159" s="98" t="s">
        <v>302</v>
      </c>
      <c r="E159" s="104" t="s">
        <v>30</v>
      </c>
      <c r="F159" s="100">
        <v>6</v>
      </c>
      <c r="G159" s="100">
        <v>1</v>
      </c>
      <c r="H159" s="101">
        <v>1737600</v>
      </c>
      <c r="I159" s="102">
        <f t="shared" si="38"/>
        <v>10425600</v>
      </c>
      <c r="J159" s="103"/>
    </row>
    <row r="160" spans="1:10" s="6" customFormat="1" ht="19.95" customHeight="1">
      <c r="A160" s="59"/>
      <c r="B160" s="160"/>
      <c r="C160" s="162"/>
      <c r="D160" s="98" t="s">
        <v>303</v>
      </c>
      <c r="E160" s="104" t="s">
        <v>30</v>
      </c>
      <c r="F160" s="100">
        <v>1</v>
      </c>
      <c r="G160" s="100">
        <v>1</v>
      </c>
      <c r="H160" s="101">
        <v>4633600</v>
      </c>
      <c r="I160" s="102">
        <f t="shared" si="38"/>
        <v>4633600</v>
      </c>
      <c r="J160" s="103"/>
    </row>
    <row r="161" spans="1:10" s="6" customFormat="1" ht="19.95" customHeight="1">
      <c r="A161" s="59"/>
      <c r="B161" s="160"/>
      <c r="C161" s="162"/>
      <c r="D161" s="98" t="s">
        <v>304</v>
      </c>
      <c r="E161" s="104" t="s">
        <v>30</v>
      </c>
      <c r="F161" s="100">
        <v>1</v>
      </c>
      <c r="G161" s="100">
        <v>1</v>
      </c>
      <c r="H161" s="101">
        <v>4633600</v>
      </c>
      <c r="I161" s="102">
        <f t="shared" si="38"/>
        <v>4633600</v>
      </c>
      <c r="J161" s="103"/>
    </row>
    <row r="162" spans="1:10" s="6" customFormat="1" ht="19.95" customHeight="1">
      <c r="A162" s="59"/>
      <c r="B162" s="160"/>
      <c r="C162" s="162"/>
      <c r="D162" s="98" t="s">
        <v>305</v>
      </c>
      <c r="E162" s="104" t="s">
        <v>30</v>
      </c>
      <c r="F162" s="100">
        <v>1</v>
      </c>
      <c r="G162" s="100">
        <v>1</v>
      </c>
      <c r="H162" s="101">
        <v>11584000</v>
      </c>
      <c r="I162" s="102">
        <f t="shared" si="38"/>
        <v>11584000</v>
      </c>
      <c r="J162" s="103"/>
    </row>
    <row r="163" spans="1:10" s="6" customFormat="1" ht="19.95" customHeight="1">
      <c r="A163" s="59"/>
      <c r="B163" s="160"/>
      <c r="C163" s="163"/>
      <c r="D163" s="98" t="s">
        <v>167</v>
      </c>
      <c r="E163" s="104" t="s">
        <v>30</v>
      </c>
      <c r="F163" s="100">
        <v>1</v>
      </c>
      <c r="G163" s="100">
        <v>1</v>
      </c>
      <c r="H163" s="101">
        <v>5068000</v>
      </c>
      <c r="I163" s="102">
        <f t="shared" si="38"/>
        <v>5068000</v>
      </c>
      <c r="J163" s="103"/>
    </row>
    <row r="164" spans="1:10" s="6" customFormat="1" ht="17.25" customHeight="1">
      <c r="A164" s="59"/>
      <c r="B164" s="160"/>
      <c r="C164" s="96" t="s">
        <v>97</v>
      </c>
      <c r="D164" s="79" t="s">
        <v>84</v>
      </c>
      <c r="E164" s="70" t="s">
        <v>30</v>
      </c>
      <c r="F164" s="71">
        <v>1</v>
      </c>
      <c r="G164" s="71">
        <v>1</v>
      </c>
      <c r="H164" s="72">
        <v>3700000</v>
      </c>
      <c r="I164" s="73">
        <f t="shared" si="35"/>
        <v>3700000</v>
      </c>
      <c r="J164" s="80"/>
    </row>
    <row r="165" spans="1:10" s="6" customFormat="1" ht="17.25" customHeight="1">
      <c r="A165" s="59"/>
      <c r="B165" s="184" t="s">
        <v>24</v>
      </c>
      <c r="C165" s="184"/>
      <c r="D165" s="184"/>
      <c r="E165" s="184"/>
      <c r="F165" s="184"/>
      <c r="G165" s="184"/>
      <c r="H165" s="184"/>
      <c r="I165" s="67">
        <f>SUM(I141:I164)</f>
        <v>374354910</v>
      </c>
      <c r="J165" s="68"/>
    </row>
    <row r="166" spans="1:10" s="6" customFormat="1" ht="17.25" customHeight="1">
      <c r="A166" s="59" t="s">
        <v>31</v>
      </c>
      <c r="B166" s="159" t="s">
        <v>47</v>
      </c>
      <c r="C166" s="164" t="s">
        <v>61</v>
      </c>
      <c r="D166" s="69" t="s">
        <v>67</v>
      </c>
      <c r="E166" s="70" t="s">
        <v>33</v>
      </c>
      <c r="F166" s="71">
        <v>5</v>
      </c>
      <c r="G166" s="71">
        <v>1</v>
      </c>
      <c r="H166" s="72">
        <v>1500000</v>
      </c>
      <c r="I166" s="73">
        <f t="shared" ref="I166:I193" si="39">H166*G166*F166</f>
        <v>7500000</v>
      </c>
      <c r="J166" s="74"/>
    </row>
    <row r="167" spans="1:10" s="6" customFormat="1" ht="17.25" customHeight="1">
      <c r="A167" s="59"/>
      <c r="B167" s="160"/>
      <c r="C167" s="162"/>
      <c r="D167" s="98" t="s">
        <v>233</v>
      </c>
      <c r="E167" s="99" t="s">
        <v>234</v>
      </c>
      <c r="F167" s="109">
        <v>1</v>
      </c>
      <c r="G167" s="109">
        <v>2</v>
      </c>
      <c r="H167" s="108">
        <v>5000000</v>
      </c>
      <c r="I167" s="102">
        <f t="shared" si="39"/>
        <v>10000000</v>
      </c>
      <c r="J167" s="126"/>
    </row>
    <row r="168" spans="1:10" s="6" customFormat="1" ht="17.25" customHeight="1">
      <c r="A168" s="59"/>
      <c r="B168" s="160"/>
      <c r="C168" s="162"/>
      <c r="D168" s="98" t="s">
        <v>235</v>
      </c>
      <c r="E168" s="99" t="s">
        <v>234</v>
      </c>
      <c r="F168" s="109">
        <v>1</v>
      </c>
      <c r="G168" s="109">
        <v>2</v>
      </c>
      <c r="H168" s="108">
        <v>7000000</v>
      </c>
      <c r="I168" s="102">
        <f t="shared" si="39"/>
        <v>14000000</v>
      </c>
      <c r="J168" s="127"/>
    </row>
    <row r="169" spans="1:10" s="6" customFormat="1" ht="17.25" customHeight="1">
      <c r="A169" s="59"/>
      <c r="B169" s="160"/>
      <c r="C169" s="162"/>
      <c r="D169" s="98" t="s">
        <v>238</v>
      </c>
      <c r="E169" s="104" t="s">
        <v>33</v>
      </c>
      <c r="F169" s="100">
        <v>6</v>
      </c>
      <c r="G169" s="100">
        <v>1</v>
      </c>
      <c r="H169" s="101">
        <v>3800000</v>
      </c>
      <c r="I169" s="102">
        <f t="shared" ref="I169" si="40">H169*G169*F169</f>
        <v>22800000</v>
      </c>
      <c r="J169" s="105"/>
    </row>
    <row r="170" spans="1:10" s="6" customFormat="1" ht="17.25" hidden="1" customHeight="1">
      <c r="A170" s="59"/>
      <c r="B170" s="160"/>
      <c r="C170" s="162"/>
      <c r="D170" s="98" t="s">
        <v>253</v>
      </c>
      <c r="E170" s="104" t="s">
        <v>33</v>
      </c>
      <c r="F170" s="100">
        <v>1</v>
      </c>
      <c r="G170" s="100">
        <v>0</v>
      </c>
      <c r="H170" s="101">
        <v>13000000</v>
      </c>
      <c r="I170" s="102">
        <f t="shared" ref="I170" si="41">H170*G170*F170</f>
        <v>0</v>
      </c>
      <c r="J170" s="105" t="s">
        <v>258</v>
      </c>
    </row>
    <row r="171" spans="1:10" s="6" customFormat="1" ht="17.25" customHeight="1">
      <c r="A171" s="59"/>
      <c r="B171" s="160"/>
      <c r="C171" s="162"/>
      <c r="D171" s="98" t="s">
        <v>193</v>
      </c>
      <c r="E171" s="104" t="s">
        <v>33</v>
      </c>
      <c r="F171" s="100">
        <v>6</v>
      </c>
      <c r="G171" s="100">
        <v>2</v>
      </c>
      <c r="H171" s="101">
        <v>1455000</v>
      </c>
      <c r="I171" s="102">
        <f t="shared" ref="I171" si="42">H171*G171*F171</f>
        <v>17460000</v>
      </c>
      <c r="J171" s="105" t="s">
        <v>315</v>
      </c>
    </row>
    <row r="172" spans="1:10" s="6" customFormat="1" ht="20.25" customHeight="1">
      <c r="A172" s="59"/>
      <c r="B172" s="160"/>
      <c r="C172" s="162"/>
      <c r="D172" s="129" t="s">
        <v>68</v>
      </c>
      <c r="E172" s="99" t="s">
        <v>33</v>
      </c>
      <c r="F172" s="109">
        <v>6</v>
      </c>
      <c r="G172" s="109">
        <v>2</v>
      </c>
      <c r="H172" s="108">
        <v>1145000</v>
      </c>
      <c r="I172" s="102">
        <f t="shared" si="39"/>
        <v>13740000</v>
      </c>
      <c r="J172" s="105" t="s">
        <v>259</v>
      </c>
    </row>
    <row r="173" spans="1:10" s="6" customFormat="1" ht="21" customHeight="1">
      <c r="A173" s="59"/>
      <c r="B173" s="160"/>
      <c r="C173" s="162"/>
      <c r="D173" s="121" t="s">
        <v>65</v>
      </c>
      <c r="E173" s="99" t="s">
        <v>33</v>
      </c>
      <c r="F173" s="109">
        <v>6</v>
      </c>
      <c r="G173" s="109">
        <v>2</v>
      </c>
      <c r="H173" s="108">
        <v>1355000</v>
      </c>
      <c r="I173" s="102">
        <f t="shared" si="39"/>
        <v>16260000</v>
      </c>
      <c r="J173" s="105" t="s">
        <v>187</v>
      </c>
    </row>
    <row r="174" spans="1:10" s="6" customFormat="1" ht="17.399999999999999" hidden="1">
      <c r="A174" s="59"/>
      <c r="B174" s="160"/>
      <c r="C174" s="162"/>
      <c r="D174" s="121" t="s">
        <v>194</v>
      </c>
      <c r="E174" s="99" t="s">
        <v>33</v>
      </c>
      <c r="F174" s="109">
        <v>5</v>
      </c>
      <c r="G174" s="109">
        <v>2</v>
      </c>
      <c r="H174" s="108">
        <v>0</v>
      </c>
      <c r="I174" s="102">
        <f t="shared" ref="I174:I175" si="43">H174*G174*F174</f>
        <v>0</v>
      </c>
      <c r="J174" s="105"/>
    </row>
    <row r="175" spans="1:10" s="6" customFormat="1" ht="17.399999999999999">
      <c r="A175" s="59"/>
      <c r="B175" s="160"/>
      <c r="C175" s="162"/>
      <c r="D175" s="106" t="s">
        <v>66</v>
      </c>
      <c r="E175" s="104" t="s">
        <v>33</v>
      </c>
      <c r="F175" s="100">
        <v>6</v>
      </c>
      <c r="G175" s="100">
        <v>5</v>
      </c>
      <c r="H175" s="101">
        <v>1145000</v>
      </c>
      <c r="I175" s="102">
        <f t="shared" si="43"/>
        <v>34350000</v>
      </c>
      <c r="J175" s="103" t="s">
        <v>318</v>
      </c>
    </row>
    <row r="176" spans="1:10" s="6" customFormat="1" ht="16.5" customHeight="1">
      <c r="A176" s="59"/>
      <c r="B176" s="160"/>
      <c r="C176" s="163"/>
      <c r="D176" s="106" t="s">
        <v>320</v>
      </c>
      <c r="E176" s="104" t="s">
        <v>33</v>
      </c>
      <c r="F176" s="100">
        <v>2</v>
      </c>
      <c r="G176" s="100">
        <v>1</v>
      </c>
      <c r="H176" s="101">
        <v>3600000</v>
      </c>
      <c r="I176" s="102">
        <f t="shared" si="39"/>
        <v>7200000</v>
      </c>
      <c r="J176" s="103" t="s">
        <v>330</v>
      </c>
    </row>
    <row r="177" spans="1:10" s="6" customFormat="1" ht="17.399999999999999">
      <c r="A177" s="59" t="s">
        <v>31</v>
      </c>
      <c r="B177" s="160"/>
      <c r="C177" s="161" t="s">
        <v>62</v>
      </c>
      <c r="D177" s="121" t="s">
        <v>340</v>
      </c>
      <c r="E177" s="104" t="s">
        <v>30</v>
      </c>
      <c r="F177" s="100">
        <v>1</v>
      </c>
      <c r="G177" s="100">
        <v>1</v>
      </c>
      <c r="H177" s="101">
        <v>3000000</v>
      </c>
      <c r="I177" s="102">
        <f t="shared" si="39"/>
        <v>3000000</v>
      </c>
      <c r="J177" s="107" t="s">
        <v>319</v>
      </c>
    </row>
    <row r="178" spans="1:10" s="6" customFormat="1" ht="17.399999999999999">
      <c r="A178" s="59"/>
      <c r="B178" s="160"/>
      <c r="C178" s="162"/>
      <c r="D178" s="129" t="s">
        <v>53</v>
      </c>
      <c r="E178" s="104" t="s">
        <v>30</v>
      </c>
      <c r="F178" s="100">
        <v>1</v>
      </c>
      <c r="G178" s="100">
        <v>1</v>
      </c>
      <c r="H178" s="108">
        <v>1500000</v>
      </c>
      <c r="I178" s="102">
        <f t="shared" si="39"/>
        <v>1500000</v>
      </c>
      <c r="J178" s="105"/>
    </row>
    <row r="179" spans="1:10" s="6" customFormat="1" ht="17.399999999999999">
      <c r="A179" s="59"/>
      <c r="B179" s="160"/>
      <c r="C179" s="162"/>
      <c r="D179" s="121" t="s">
        <v>54</v>
      </c>
      <c r="E179" s="104" t="s">
        <v>30</v>
      </c>
      <c r="F179" s="100">
        <v>1</v>
      </c>
      <c r="G179" s="100">
        <v>1</v>
      </c>
      <c r="H179" s="108">
        <v>6500000</v>
      </c>
      <c r="I179" s="102">
        <f t="shared" si="39"/>
        <v>6500000</v>
      </c>
      <c r="J179" s="103" t="s">
        <v>319</v>
      </c>
    </row>
    <row r="180" spans="1:10" s="6" customFormat="1" ht="17.399999999999999">
      <c r="A180" s="59"/>
      <c r="B180" s="160"/>
      <c r="C180" s="162"/>
      <c r="D180" s="121" t="s">
        <v>55</v>
      </c>
      <c r="E180" s="104" t="s">
        <v>30</v>
      </c>
      <c r="F180" s="100">
        <v>1</v>
      </c>
      <c r="G180" s="100">
        <v>1</v>
      </c>
      <c r="H180" s="101">
        <v>1500000</v>
      </c>
      <c r="I180" s="102">
        <f t="shared" si="39"/>
        <v>1500000</v>
      </c>
      <c r="J180" s="103"/>
    </row>
    <row r="181" spans="1:10" s="6" customFormat="1" ht="17.399999999999999">
      <c r="A181" s="59"/>
      <c r="B181" s="160"/>
      <c r="C181" s="162"/>
      <c r="D181" s="106" t="s">
        <v>59</v>
      </c>
      <c r="E181" s="104" t="s">
        <v>30</v>
      </c>
      <c r="F181" s="100">
        <v>1</v>
      </c>
      <c r="G181" s="100">
        <v>1</v>
      </c>
      <c r="H181" s="101">
        <v>3500000</v>
      </c>
      <c r="I181" s="102">
        <f t="shared" ref="I181" si="44">H181*G181*F181</f>
        <v>3500000</v>
      </c>
      <c r="J181" s="107"/>
    </row>
    <row r="182" spans="1:10" s="6" customFormat="1" ht="17.399999999999999">
      <c r="A182" s="59"/>
      <c r="B182" s="160"/>
      <c r="C182" s="162"/>
      <c r="D182" s="121" t="s">
        <v>196</v>
      </c>
      <c r="E182" s="104" t="s">
        <v>30</v>
      </c>
      <c r="F182" s="100">
        <v>1</v>
      </c>
      <c r="G182" s="100">
        <v>1</v>
      </c>
      <c r="H182" s="101">
        <v>900000</v>
      </c>
      <c r="I182" s="102">
        <f t="shared" ref="I182:I183" si="45">H182*G182*F182</f>
        <v>900000</v>
      </c>
      <c r="J182" s="103"/>
    </row>
    <row r="183" spans="1:10" s="6" customFormat="1" ht="17.399999999999999" hidden="1">
      <c r="A183" s="59"/>
      <c r="B183" s="160"/>
      <c r="C183" s="162"/>
      <c r="D183" s="106" t="s">
        <v>218</v>
      </c>
      <c r="E183" s="104" t="s">
        <v>217</v>
      </c>
      <c r="F183" s="100">
        <v>0</v>
      </c>
      <c r="G183" s="100">
        <v>1</v>
      </c>
      <c r="H183" s="101">
        <v>3900000</v>
      </c>
      <c r="I183" s="102">
        <f t="shared" si="45"/>
        <v>0</v>
      </c>
      <c r="J183" s="107"/>
    </row>
    <row r="184" spans="1:10" s="6" customFormat="1" ht="17.399999999999999" hidden="1">
      <c r="A184" s="59"/>
      <c r="B184" s="160"/>
      <c r="C184" s="162"/>
      <c r="D184" s="121" t="s">
        <v>219</v>
      </c>
      <c r="E184" s="104" t="s">
        <v>217</v>
      </c>
      <c r="F184" s="100">
        <v>0</v>
      </c>
      <c r="G184" s="100">
        <v>1</v>
      </c>
      <c r="H184" s="101">
        <v>4400000</v>
      </c>
      <c r="I184" s="102">
        <f t="shared" ref="I184:I185" si="46">H184*G184*F184</f>
        <v>0</v>
      </c>
      <c r="J184" s="103"/>
    </row>
    <row r="185" spans="1:10" s="6" customFormat="1" ht="17.399999999999999" hidden="1">
      <c r="A185" s="59"/>
      <c r="B185" s="160"/>
      <c r="C185" s="162"/>
      <c r="D185" s="121" t="s">
        <v>220</v>
      </c>
      <c r="E185" s="104" t="s">
        <v>217</v>
      </c>
      <c r="F185" s="100">
        <v>0</v>
      </c>
      <c r="G185" s="100">
        <v>1</v>
      </c>
      <c r="H185" s="101">
        <v>5300000</v>
      </c>
      <c r="I185" s="102">
        <f t="shared" si="46"/>
        <v>0</v>
      </c>
      <c r="J185" s="103"/>
    </row>
    <row r="186" spans="1:10" s="6" customFormat="1" ht="17.25" hidden="1" customHeight="1">
      <c r="A186" s="59" t="s">
        <v>31</v>
      </c>
      <c r="B186" s="160"/>
      <c r="C186" s="163"/>
      <c r="D186" s="106" t="s">
        <v>221</v>
      </c>
      <c r="E186" s="104" t="s">
        <v>217</v>
      </c>
      <c r="F186" s="100">
        <v>0</v>
      </c>
      <c r="G186" s="100">
        <v>1</v>
      </c>
      <c r="H186" s="101">
        <v>6000000</v>
      </c>
      <c r="I186" s="102">
        <f t="shared" si="39"/>
        <v>0</v>
      </c>
      <c r="J186" s="107"/>
    </row>
    <row r="187" spans="1:10" s="6" customFormat="1" ht="17.25" customHeight="1">
      <c r="A187" s="59"/>
      <c r="B187" s="160"/>
      <c r="C187" s="161" t="s">
        <v>278</v>
      </c>
      <c r="D187" s="98" t="s">
        <v>308</v>
      </c>
      <c r="E187" s="104" t="s">
        <v>30</v>
      </c>
      <c r="F187" s="100">
        <v>1</v>
      </c>
      <c r="G187" s="100">
        <v>1</v>
      </c>
      <c r="H187" s="101">
        <v>5000000</v>
      </c>
      <c r="I187" s="102">
        <f>H187*G187*F187</f>
        <v>5000000</v>
      </c>
      <c r="J187" s="105" t="s">
        <v>314</v>
      </c>
    </row>
    <row r="188" spans="1:10" s="6" customFormat="1" ht="17.25" customHeight="1">
      <c r="A188" s="59"/>
      <c r="B188" s="160"/>
      <c r="C188" s="162"/>
      <c r="D188" s="98" t="s">
        <v>312</v>
      </c>
      <c r="E188" s="104" t="s">
        <v>30</v>
      </c>
      <c r="F188" s="100">
        <v>1</v>
      </c>
      <c r="G188" s="100">
        <v>1</v>
      </c>
      <c r="H188" s="101">
        <v>1100000</v>
      </c>
      <c r="I188" s="102">
        <f t="shared" ref="I188" si="47">H188*G188*F188</f>
        <v>1100000</v>
      </c>
      <c r="J188" s="105" t="s">
        <v>313</v>
      </c>
    </row>
    <row r="189" spans="1:10" s="6" customFormat="1" ht="17.25" customHeight="1">
      <c r="A189" s="59"/>
      <c r="B189" s="160"/>
      <c r="C189" s="162"/>
      <c r="D189" s="98" t="s">
        <v>309</v>
      </c>
      <c r="E189" s="104" t="s">
        <v>276</v>
      </c>
      <c r="F189" s="100">
        <v>1</v>
      </c>
      <c r="G189" s="100">
        <v>1500</v>
      </c>
      <c r="H189" s="101">
        <v>2500</v>
      </c>
      <c r="I189" s="102">
        <f t="shared" ref="I189:I190" si="48">H189*G189*F189</f>
        <v>3750000</v>
      </c>
      <c r="J189" s="105" t="s">
        <v>277</v>
      </c>
    </row>
    <row r="190" spans="1:10" s="6" customFormat="1" ht="17.25" customHeight="1">
      <c r="A190" s="59"/>
      <c r="B190" s="160"/>
      <c r="C190" s="162"/>
      <c r="D190" s="98" t="s">
        <v>310</v>
      </c>
      <c r="E190" s="104" t="s">
        <v>276</v>
      </c>
      <c r="F190" s="100">
        <v>1</v>
      </c>
      <c r="G190" s="100">
        <v>2000</v>
      </c>
      <c r="H190" s="101">
        <v>2300</v>
      </c>
      <c r="I190" s="102">
        <f t="shared" si="48"/>
        <v>4600000</v>
      </c>
      <c r="J190" s="105" t="s">
        <v>277</v>
      </c>
    </row>
    <row r="191" spans="1:10" s="6" customFormat="1" ht="16.95" customHeight="1">
      <c r="A191" s="59"/>
      <c r="B191" s="160"/>
      <c r="C191" s="163"/>
      <c r="D191" s="98" t="s">
        <v>311</v>
      </c>
      <c r="E191" s="104" t="s">
        <v>276</v>
      </c>
      <c r="F191" s="100">
        <v>1</v>
      </c>
      <c r="G191" s="100">
        <v>3500</v>
      </c>
      <c r="H191" s="101">
        <v>950</v>
      </c>
      <c r="I191" s="102">
        <f t="shared" si="39"/>
        <v>3325000</v>
      </c>
      <c r="J191" s="105" t="s">
        <v>277</v>
      </c>
    </row>
    <row r="192" spans="1:10" s="6" customFormat="1" ht="17.25" customHeight="1">
      <c r="A192" s="59"/>
      <c r="B192" s="160"/>
      <c r="C192" s="161" t="s">
        <v>60</v>
      </c>
      <c r="D192" s="98" t="s">
        <v>336</v>
      </c>
      <c r="E192" s="104" t="s">
        <v>30</v>
      </c>
      <c r="F192" s="100">
        <v>1</v>
      </c>
      <c r="G192" s="100">
        <v>1</v>
      </c>
      <c r="H192" s="108">
        <v>2000000</v>
      </c>
      <c r="I192" s="102">
        <f t="shared" si="39"/>
        <v>2000000</v>
      </c>
      <c r="J192" s="105"/>
    </row>
    <row r="193" spans="1:10" s="6" customFormat="1" ht="17.25" customHeight="1">
      <c r="A193" s="59"/>
      <c r="B193" s="160"/>
      <c r="C193" s="162"/>
      <c r="D193" s="106" t="s">
        <v>56</v>
      </c>
      <c r="E193" s="104" t="s">
        <v>142</v>
      </c>
      <c r="F193" s="100">
        <v>1</v>
      </c>
      <c r="G193" s="100">
        <v>7</v>
      </c>
      <c r="H193" s="108">
        <v>150000</v>
      </c>
      <c r="I193" s="102">
        <f t="shared" si="39"/>
        <v>1050000</v>
      </c>
      <c r="J193" s="105"/>
    </row>
    <row r="194" spans="1:10" s="6" customFormat="1" ht="17.25" customHeight="1">
      <c r="A194" s="59"/>
      <c r="B194" s="160"/>
      <c r="C194" s="162"/>
      <c r="D194" s="106" t="s">
        <v>332</v>
      </c>
      <c r="E194" s="104" t="s">
        <v>142</v>
      </c>
      <c r="F194" s="100">
        <v>1</v>
      </c>
      <c r="G194" s="100">
        <v>30</v>
      </c>
      <c r="H194" s="108">
        <v>30000</v>
      </c>
      <c r="I194" s="102">
        <f t="shared" ref="I194:I196" si="49">H194*G194*F194</f>
        <v>900000</v>
      </c>
      <c r="J194" s="105"/>
    </row>
    <row r="195" spans="1:10" s="6" customFormat="1" ht="17.25" customHeight="1">
      <c r="A195" s="59"/>
      <c r="B195" s="160"/>
      <c r="C195" s="162"/>
      <c r="D195" s="106" t="s">
        <v>334</v>
      </c>
      <c r="E195" s="104" t="s">
        <v>142</v>
      </c>
      <c r="F195" s="100">
        <v>1</v>
      </c>
      <c r="G195" s="100">
        <v>3</v>
      </c>
      <c r="H195" s="108">
        <v>350000</v>
      </c>
      <c r="I195" s="102">
        <f t="shared" ref="I195" si="50">H195*G195*F195</f>
        <v>1050000</v>
      </c>
      <c r="J195" s="105"/>
    </row>
    <row r="196" spans="1:10" s="6" customFormat="1" ht="17.25" customHeight="1">
      <c r="A196" s="59"/>
      <c r="B196" s="160"/>
      <c r="C196" s="162"/>
      <c r="D196" s="106" t="s">
        <v>333</v>
      </c>
      <c r="E196" s="104" t="s">
        <v>142</v>
      </c>
      <c r="F196" s="100">
        <v>1</v>
      </c>
      <c r="G196" s="100">
        <v>3</v>
      </c>
      <c r="H196" s="108">
        <v>300000</v>
      </c>
      <c r="I196" s="102">
        <f t="shared" si="49"/>
        <v>900000</v>
      </c>
      <c r="J196" s="105"/>
    </row>
    <row r="197" spans="1:10" s="6" customFormat="1" ht="17.25" customHeight="1">
      <c r="A197" s="59"/>
      <c r="B197" s="160"/>
      <c r="C197" s="162"/>
      <c r="D197" s="106" t="s">
        <v>337</v>
      </c>
      <c r="E197" s="104" t="s">
        <v>30</v>
      </c>
      <c r="F197" s="100">
        <v>1</v>
      </c>
      <c r="G197" s="100">
        <v>100</v>
      </c>
      <c r="H197" s="108">
        <v>8200</v>
      </c>
      <c r="I197" s="102">
        <f t="shared" ref="I197" si="51">H197*G197*F197</f>
        <v>820000</v>
      </c>
      <c r="J197" s="105"/>
    </row>
    <row r="198" spans="1:10" s="6" customFormat="1" ht="17.399999999999999">
      <c r="A198" s="59"/>
      <c r="B198" s="160"/>
      <c r="C198" s="162"/>
      <c r="D198" s="106" t="s">
        <v>57</v>
      </c>
      <c r="E198" s="99" t="s">
        <v>30</v>
      </c>
      <c r="F198" s="100">
        <v>1</v>
      </c>
      <c r="G198" s="100">
        <v>1</v>
      </c>
      <c r="H198" s="108">
        <v>500000</v>
      </c>
      <c r="I198" s="102">
        <f>H198*G198*F198</f>
        <v>500000</v>
      </c>
      <c r="J198" s="105"/>
    </row>
    <row r="199" spans="1:10" s="6" customFormat="1" ht="17.399999999999999">
      <c r="A199" s="59"/>
      <c r="B199" s="160"/>
      <c r="C199" s="162"/>
      <c r="D199" s="116" t="s">
        <v>262</v>
      </c>
      <c r="E199" s="117" t="s">
        <v>30</v>
      </c>
      <c r="F199" s="112">
        <v>1</v>
      </c>
      <c r="G199" s="112">
        <v>2000</v>
      </c>
      <c r="H199" s="113">
        <v>3800</v>
      </c>
      <c r="I199" s="114">
        <f t="shared" ref="I199:I200" si="52">H199*G199*F199</f>
        <v>7600000</v>
      </c>
      <c r="J199" s="115" t="s">
        <v>272</v>
      </c>
    </row>
    <row r="200" spans="1:10" s="6" customFormat="1" ht="17.399999999999999">
      <c r="A200" s="59"/>
      <c r="B200" s="160"/>
      <c r="C200" s="162"/>
      <c r="D200" s="116" t="s">
        <v>263</v>
      </c>
      <c r="E200" s="117" t="s">
        <v>30</v>
      </c>
      <c r="F200" s="112">
        <v>1</v>
      </c>
      <c r="G200" s="112">
        <v>400</v>
      </c>
      <c r="H200" s="113">
        <v>8600</v>
      </c>
      <c r="I200" s="114">
        <f t="shared" si="52"/>
        <v>3440000</v>
      </c>
      <c r="J200" s="115" t="s">
        <v>272</v>
      </c>
    </row>
    <row r="201" spans="1:10" s="6" customFormat="1" ht="17.399999999999999">
      <c r="A201" s="59"/>
      <c r="B201" s="160"/>
      <c r="C201" s="162"/>
      <c r="D201" s="116" t="s">
        <v>261</v>
      </c>
      <c r="E201" s="117" t="s">
        <v>30</v>
      </c>
      <c r="F201" s="112">
        <v>1</v>
      </c>
      <c r="G201" s="112">
        <v>200</v>
      </c>
      <c r="H201" s="113">
        <v>25000</v>
      </c>
      <c r="I201" s="114">
        <f>H201*G201*F201</f>
        <v>5000000</v>
      </c>
      <c r="J201" s="115" t="s">
        <v>291</v>
      </c>
    </row>
    <row r="202" spans="1:10" s="6" customFormat="1" ht="17.399999999999999">
      <c r="A202" s="59"/>
      <c r="B202" s="160"/>
      <c r="C202" s="163"/>
      <c r="D202" s="116" t="s">
        <v>260</v>
      </c>
      <c r="E202" s="117" t="s">
        <v>30</v>
      </c>
      <c r="F202" s="112">
        <v>1</v>
      </c>
      <c r="G202" s="112">
        <v>50</v>
      </c>
      <c r="H202" s="113">
        <v>107800</v>
      </c>
      <c r="I202" s="114">
        <f t="shared" ref="I202" si="53">H202*G202*F202</f>
        <v>5390000</v>
      </c>
      <c r="J202" s="115" t="s">
        <v>292</v>
      </c>
    </row>
    <row r="203" spans="1:10" s="6" customFormat="1" ht="17.399999999999999">
      <c r="A203" s="59"/>
      <c r="B203" s="160"/>
      <c r="C203" s="96" t="s">
        <v>63</v>
      </c>
      <c r="D203" s="69" t="s">
        <v>58</v>
      </c>
      <c r="E203" s="70" t="s">
        <v>26</v>
      </c>
      <c r="F203" s="71">
        <v>1</v>
      </c>
      <c r="G203" s="71">
        <v>1</v>
      </c>
      <c r="H203" s="81">
        <v>10000000</v>
      </c>
      <c r="I203" s="73">
        <f>H203*G203*F203</f>
        <v>10000000</v>
      </c>
      <c r="J203" s="80"/>
    </row>
    <row r="204" spans="1:10" s="6" customFormat="1" ht="17.399999999999999">
      <c r="A204" s="59"/>
      <c r="B204" s="160"/>
      <c r="C204" s="96" t="s">
        <v>339</v>
      </c>
      <c r="D204" s="131" t="s">
        <v>341</v>
      </c>
      <c r="E204" s="70" t="s">
        <v>26</v>
      </c>
      <c r="F204" s="71">
        <v>1</v>
      </c>
      <c r="G204" s="71">
        <v>0</v>
      </c>
      <c r="H204" s="81">
        <v>120000000</v>
      </c>
      <c r="I204" s="73">
        <f>H204*G204*F204</f>
        <v>0</v>
      </c>
      <c r="J204" s="80" t="s">
        <v>342</v>
      </c>
    </row>
    <row r="205" spans="1:10" s="6" customFormat="1" ht="17.399999999999999">
      <c r="A205" s="59"/>
      <c r="B205" s="160"/>
      <c r="C205" s="123" t="s">
        <v>64</v>
      </c>
      <c r="D205" s="124" t="s">
        <v>331</v>
      </c>
      <c r="E205" s="99" t="s">
        <v>30</v>
      </c>
      <c r="F205" s="109">
        <v>1</v>
      </c>
      <c r="G205" s="109">
        <v>1</v>
      </c>
      <c r="H205" s="108">
        <v>20000000</v>
      </c>
      <c r="I205" s="102">
        <f t="shared" ref="I205" si="54">H205*G205*F205</f>
        <v>20000000</v>
      </c>
      <c r="J205" s="103"/>
    </row>
    <row r="206" spans="1:10" s="6" customFormat="1" ht="17.25" customHeight="1">
      <c r="A206" s="59"/>
      <c r="B206" s="184" t="s">
        <v>24</v>
      </c>
      <c r="C206" s="184"/>
      <c r="D206" s="184"/>
      <c r="E206" s="184"/>
      <c r="F206" s="184"/>
      <c r="G206" s="184"/>
      <c r="H206" s="184"/>
      <c r="I206" s="67">
        <f>SUM(I166:I205)</f>
        <v>236635000</v>
      </c>
      <c r="J206" s="68"/>
    </row>
    <row r="207" spans="1:10" s="6" customFormat="1" ht="17.25" customHeight="1">
      <c r="A207" s="59"/>
      <c r="B207" s="97" t="s">
        <v>48</v>
      </c>
      <c r="C207" s="122" t="s">
        <v>48</v>
      </c>
      <c r="D207" s="69" t="s">
        <v>145</v>
      </c>
      <c r="E207" s="75" t="s">
        <v>30</v>
      </c>
      <c r="F207" s="76">
        <v>1</v>
      </c>
      <c r="G207" s="76">
        <v>1</v>
      </c>
      <c r="H207" s="77">
        <v>40000000</v>
      </c>
      <c r="I207" s="73">
        <f t="shared" ref="I207" si="55">H207*G207*F207</f>
        <v>40000000</v>
      </c>
      <c r="J207" s="80"/>
    </row>
    <row r="208" spans="1:10" s="6" customFormat="1" ht="17.25" customHeight="1">
      <c r="A208" s="59"/>
      <c r="B208" s="184" t="s">
        <v>24</v>
      </c>
      <c r="C208" s="184"/>
      <c r="D208" s="184"/>
      <c r="E208" s="184"/>
      <c r="F208" s="184"/>
      <c r="G208" s="184"/>
      <c r="H208" s="184"/>
      <c r="I208" s="67">
        <f>SUM(I207:I207)</f>
        <v>40000000</v>
      </c>
      <c r="J208" s="68"/>
    </row>
    <row r="209" spans="1:10" s="6" customFormat="1" ht="21" customHeight="1">
      <c r="A209" s="59"/>
      <c r="B209" s="178" t="s">
        <v>25</v>
      </c>
      <c r="C209" s="179"/>
      <c r="D209" s="180"/>
      <c r="E209" s="180"/>
      <c r="F209" s="180"/>
      <c r="G209" s="180"/>
      <c r="H209" s="181"/>
      <c r="I209" s="82">
        <f>SUM(I208,I206,I140,I107,I74,I5,I165)</f>
        <v>2082565910</v>
      </c>
      <c r="J209" s="83" t="s">
        <v>32</v>
      </c>
    </row>
    <row r="210" spans="1:10" ht="6" customHeight="1">
      <c r="B210" s="182"/>
      <c r="C210" s="182"/>
      <c r="D210" s="183"/>
      <c r="E210" s="7"/>
      <c r="F210" s="1"/>
      <c r="G210" s="2"/>
      <c r="H210" s="8"/>
      <c r="I210" s="8"/>
      <c r="J210" s="9"/>
    </row>
  </sheetData>
  <mergeCells count="59">
    <mergeCell ref="J78:J79"/>
    <mergeCell ref="C9:C10"/>
    <mergeCell ref="C24:C25"/>
    <mergeCell ref="C22:C23"/>
    <mergeCell ref="C20:C21"/>
    <mergeCell ref="C11:C19"/>
    <mergeCell ref="C55:C62"/>
    <mergeCell ref="C41:C45"/>
    <mergeCell ref="C63:C70"/>
    <mergeCell ref="C71:C73"/>
    <mergeCell ref="B74:H74"/>
    <mergeCell ref="C97:C100"/>
    <mergeCell ref="B107:H107"/>
    <mergeCell ref="B75:B106"/>
    <mergeCell ref="C78:C79"/>
    <mergeCell ref="C76:C77"/>
    <mergeCell ref="C88:C92"/>
    <mergeCell ref="C85:C87"/>
    <mergeCell ref="C93:C96"/>
    <mergeCell ref="C103:C104"/>
    <mergeCell ref="B209:H209"/>
    <mergeCell ref="B210:D210"/>
    <mergeCell ref="B140:H140"/>
    <mergeCell ref="B141:B164"/>
    <mergeCell ref="C147:C148"/>
    <mergeCell ref="C149:C152"/>
    <mergeCell ref="B165:H165"/>
    <mergeCell ref="B166:B205"/>
    <mergeCell ref="C166:C176"/>
    <mergeCell ref="C177:C186"/>
    <mergeCell ref="B206:H206"/>
    <mergeCell ref="B208:H208"/>
    <mergeCell ref="C192:C202"/>
    <mergeCell ref="C187:C191"/>
    <mergeCell ref="C153:C155"/>
    <mergeCell ref="C156:C163"/>
    <mergeCell ref="B1:J1"/>
    <mergeCell ref="D2:D3"/>
    <mergeCell ref="E2:E3"/>
    <mergeCell ref="F2:F3"/>
    <mergeCell ref="G2:G3"/>
    <mergeCell ref="J2:J3"/>
    <mergeCell ref="B2:C3"/>
    <mergeCell ref="C6:C8"/>
    <mergeCell ref="C130:C139"/>
    <mergeCell ref="B4:C4"/>
    <mergeCell ref="B5:H5"/>
    <mergeCell ref="B6:B73"/>
    <mergeCell ref="C26:C34"/>
    <mergeCell ref="C35:C40"/>
    <mergeCell ref="C46:C47"/>
    <mergeCell ref="C48:C54"/>
    <mergeCell ref="C80:C84"/>
    <mergeCell ref="B108:B139"/>
    <mergeCell ref="C108:C117"/>
    <mergeCell ref="C125:C129"/>
    <mergeCell ref="C118:C124"/>
    <mergeCell ref="C101:C102"/>
    <mergeCell ref="C105:C106"/>
  </mergeCells>
  <phoneticPr fontId="2" type="noConversion"/>
  <printOptions horizontalCentered="1"/>
  <pageMargins left="0" right="0" top="0.39370078740157483" bottom="0" header="0.51181102362204722" footer="0.51181102362204722"/>
  <pageSetup paperSize="9" scale="27" orientation="landscape" r:id="rId1"/>
  <headerFooter alignWithMargins="0"/>
  <rowBreaks count="1" manualBreakCount="1">
    <brk id="74" max="10" man="1"/>
  </rowBreaks>
</worksheet>
</file>

<file path=docMetadata/LabelInfo.xml><?xml version="1.0" encoding="utf-8"?>
<clbl:labelList xmlns:clbl="http://schemas.microsoft.com/office/2020/mipLabelMetadata">
  <clbl:label id="{39c00109-0cc4-4696-a37f-f508549773f6}" enabled="1" method="Standard" siteId="{d1eef0de-ce65-4ffc-8826-8306735bccba}" removed="0"/>
  <clbl:label id="{af9d72c4-8477-49e6-99f9-cf198593d803}" enabled="1" method="Standard" siteId="{9682717c-e5aa-4e3f-ae88-3507a84b46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커버</vt:lpstr>
      <vt:lpstr>총괄</vt:lpstr>
      <vt:lpstr>세부내역</vt:lpstr>
      <vt:lpstr>세부내역!Print_Area</vt:lpstr>
      <vt:lpstr>총괄!Print_Area</vt:lpstr>
      <vt:lpstr>커버!Print_Area</vt:lpstr>
      <vt:lpstr>세부내역!Print_Titles</vt:lpstr>
      <vt:lpstr>총괄!Print_Titles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홍성국</dc:creator>
  <cp:lastModifiedBy>조상우 책임매니저 설비구매팀</cp:lastModifiedBy>
  <cp:lastPrinted>2020-06-25T05:32:52Z</cp:lastPrinted>
  <dcterms:created xsi:type="dcterms:W3CDTF">2000-04-24T12:13:40Z</dcterms:created>
  <dcterms:modified xsi:type="dcterms:W3CDTF">2025-12-26T02:11:08Z</dcterms:modified>
</cp:coreProperties>
</file>