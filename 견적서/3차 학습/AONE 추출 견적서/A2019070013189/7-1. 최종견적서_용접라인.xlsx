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Default Extension="bin" ContentType="application/vnd.openxmlformats-officedocument.spreadsheetml.printerSettings"/>
  <Override PartName="/xl/drawings/drawing9.xml" ContentType="application/vnd.openxmlformats-officedocument.drawing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drawings/drawing10.xml" ContentType="application/vnd.openxmlformats-officedocument.drawing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240" yWindow="30" windowWidth="23715" windowHeight="11430"/>
  </bookViews>
  <sheets>
    <sheet name="갑지" sheetId="1" r:id="rId1"/>
    <sheet name="원가항목별(집계)" sheetId="2" r:id="rId2"/>
    <sheet name="단위공사별(집계)" sheetId="3" r:id="rId3"/>
    <sheet name="전기" sheetId="4" r:id="rId4"/>
    <sheet name="단위장비1" sheetId="5" r:id="rId5"/>
    <sheet name="단위장비2" sheetId="6" r:id="rId6"/>
    <sheet name="단위장비3" sheetId="7" r:id="rId7"/>
    <sheet name="단위장비4" sheetId="8" r:id="rId8"/>
    <sheet name="단위장비5" sheetId="9" r:id="rId9"/>
    <sheet name="단위장비6" sheetId="10" r:id="rId10"/>
    <sheet name="단위장비7" sheetId="11" r:id="rId11"/>
    <sheet name="단위장비8" sheetId="12" r:id="rId12"/>
    <sheet name="단위장비9" sheetId="13" r:id="rId13"/>
    <sheet name="단위장비10" sheetId="14" r:id="rId14"/>
    <sheet name="첨부(견적조건차이내역)" sheetId="15" r:id="rId15"/>
  </sheets>
  <externalReferences>
    <externalReference r:id="rId16"/>
  </externalReferences>
  <definedNames>
    <definedName name="_xlnm._FilterDatabase" localSheetId="4" hidden="1">단위장비1!$A$2:$I$69</definedName>
    <definedName name="_xlnm._FilterDatabase" localSheetId="5" hidden="1">단위장비2!$A$2:$I$69</definedName>
    <definedName name="_xlnm._FilterDatabase" localSheetId="6" hidden="1">단위장비3!$J$2:$J$69</definedName>
    <definedName name="_xlnm._FilterDatabase" localSheetId="7" hidden="1">단위장비4!$J$2:$J$69</definedName>
    <definedName name="_xlnm._FilterDatabase" localSheetId="8" hidden="1">단위장비5!$J$2:$J$69</definedName>
    <definedName name="_xlnm._FilterDatabase" localSheetId="9" hidden="1">단위장비6!$J$2:$J$69</definedName>
    <definedName name="_xlnm._FilterDatabase" localSheetId="10" hidden="1">단위장비7!$J$2:$J$69</definedName>
    <definedName name="_xlnm._FilterDatabase" localSheetId="11" hidden="1">단위장비8!$J$2:$J$69</definedName>
    <definedName name="_xlnm._FilterDatabase" localSheetId="3" hidden="1">전기!$A$2:$I$67</definedName>
    <definedName name="_xlnm.Print_Area" localSheetId="0">갑지!$B:$I</definedName>
    <definedName name="_xlnm.Print_Area" localSheetId="2">'단위공사별(집계)'!$A$1:$O$20</definedName>
    <definedName name="_xlnm.Print_Area" localSheetId="1">'원가항목별(집계)'!$A$1:$J$44</definedName>
    <definedName name="_xlnm.Print_Area" localSheetId="3">전기!$A:$I</definedName>
    <definedName name="_xlnm.Print_Area" localSheetId="14">'첨부(견적조건차이내역)'!$A$1:$D$36</definedName>
    <definedName name="_xlnm.Print_Titles" localSheetId="3">전기!$1:$2</definedName>
  </definedNames>
  <calcPr calcId="124519"/>
</workbook>
</file>

<file path=xl/calcChain.xml><?xml version="1.0" encoding="utf-8"?>
<calcChain xmlns="http://schemas.openxmlformats.org/spreadsheetml/2006/main">
  <c r="H49" i="5"/>
  <c r="H45"/>
  <c r="H34" i="4"/>
  <c r="H33"/>
  <c r="H32"/>
  <c r="H28"/>
  <c r="H27"/>
  <c r="H26"/>
  <c r="H22"/>
  <c r="H21"/>
  <c r="H20"/>
  <c r="H19"/>
  <c r="H18"/>
  <c r="H6"/>
  <c r="H5"/>
  <c r="H4"/>
  <c r="H3"/>
  <c r="H64" i="14" l="1"/>
  <c r="G16" i="3" s="1"/>
  <c r="H63" i="14"/>
  <c r="H62"/>
  <c r="H61"/>
  <c r="H60"/>
  <c r="H59"/>
  <c r="H58"/>
  <c r="G57"/>
  <c r="H57" s="1"/>
  <c r="H65" s="1"/>
  <c r="H16" i="3" s="1"/>
  <c r="H54" i="14"/>
  <c r="H53"/>
  <c r="H52"/>
  <c r="H51"/>
  <c r="H50"/>
  <c r="H49"/>
  <c r="H48"/>
  <c r="H46"/>
  <c r="H45"/>
  <c r="H44"/>
  <c r="H43"/>
  <c r="H42"/>
  <c r="H41"/>
  <c r="H40"/>
  <c r="H39"/>
  <c r="H38"/>
  <c r="H37"/>
  <c r="H36"/>
  <c r="H35"/>
  <c r="H34"/>
  <c r="H33"/>
  <c r="H32"/>
  <c r="H31"/>
  <c r="H29"/>
  <c r="H28"/>
  <c r="H27"/>
  <c r="H26"/>
  <c r="H25"/>
  <c r="H23"/>
  <c r="H22"/>
  <c r="H21"/>
  <c r="H20"/>
  <c r="H19"/>
  <c r="H18"/>
  <c r="H17"/>
  <c r="H16"/>
  <c r="H15"/>
  <c r="H14"/>
  <c r="H13"/>
  <c r="H12"/>
  <c r="H11"/>
  <c r="H10"/>
  <c r="H9"/>
  <c r="H8"/>
  <c r="H7"/>
  <c r="H6"/>
  <c r="H5"/>
  <c r="H4"/>
  <c r="H3"/>
  <c r="H64" i="13"/>
  <c r="H15" i="3" s="1"/>
  <c r="H63" i="13"/>
  <c r="H62"/>
  <c r="G15" i="3" s="1"/>
  <c r="H61" i="13"/>
  <c r="H60"/>
  <c r="H59"/>
  <c r="H58"/>
  <c r="G57"/>
  <c r="H57" s="1"/>
  <c r="H54"/>
  <c r="H53"/>
  <c r="H52"/>
  <c r="H51"/>
  <c r="H50"/>
  <c r="H49"/>
  <c r="H48"/>
  <c r="H46"/>
  <c r="H45"/>
  <c r="H44"/>
  <c r="H43"/>
  <c r="H42"/>
  <c r="H41"/>
  <c r="H40"/>
  <c r="H39"/>
  <c r="H38"/>
  <c r="H37"/>
  <c r="H36"/>
  <c r="H35"/>
  <c r="H34"/>
  <c r="H33"/>
  <c r="H32"/>
  <c r="H31"/>
  <c r="H29"/>
  <c r="H28"/>
  <c r="H27"/>
  <c r="H26"/>
  <c r="H25"/>
  <c r="H23"/>
  <c r="H22"/>
  <c r="H21"/>
  <c r="H20"/>
  <c r="H19"/>
  <c r="H18"/>
  <c r="H17"/>
  <c r="H16"/>
  <c r="H15"/>
  <c r="H14"/>
  <c r="H13"/>
  <c r="H12"/>
  <c r="H11"/>
  <c r="H10"/>
  <c r="H9"/>
  <c r="H8"/>
  <c r="H7"/>
  <c r="H6"/>
  <c r="H5"/>
  <c r="H4"/>
  <c r="H3"/>
  <c r="H64" i="12"/>
  <c r="H63"/>
  <c r="H62"/>
  <c r="G14" i="3" s="1"/>
  <c r="H61" i="12"/>
  <c r="H60"/>
  <c r="H59"/>
  <c r="H58"/>
  <c r="G57"/>
  <c r="H57" s="1"/>
  <c r="E14" i="3" s="1"/>
  <c r="H54" i="12"/>
  <c r="H53"/>
  <c r="H52"/>
  <c r="H51"/>
  <c r="H50"/>
  <c r="H49"/>
  <c r="H48"/>
  <c r="H46"/>
  <c r="H45"/>
  <c r="H44"/>
  <c r="H43"/>
  <c r="H42"/>
  <c r="H41"/>
  <c r="H40"/>
  <c r="H39"/>
  <c r="H38"/>
  <c r="H37"/>
  <c r="H36"/>
  <c r="H35"/>
  <c r="H34"/>
  <c r="H33"/>
  <c r="H32"/>
  <c r="H31"/>
  <c r="H29"/>
  <c r="H28"/>
  <c r="H27"/>
  <c r="H26"/>
  <c r="H25"/>
  <c r="H23"/>
  <c r="H22"/>
  <c r="H21"/>
  <c r="H20"/>
  <c r="H19"/>
  <c r="H18"/>
  <c r="H17"/>
  <c r="H16"/>
  <c r="H15"/>
  <c r="H14"/>
  <c r="H13"/>
  <c r="H12"/>
  <c r="H11"/>
  <c r="H10"/>
  <c r="H9"/>
  <c r="H8"/>
  <c r="H7"/>
  <c r="H6"/>
  <c r="H5"/>
  <c r="H4"/>
  <c r="H3"/>
  <c r="H24" s="1"/>
  <c r="H64" i="11"/>
  <c r="H63"/>
  <c r="H62"/>
  <c r="H61"/>
  <c r="G13" i="3" s="1"/>
  <c r="H60" i="11"/>
  <c r="H59"/>
  <c r="H58"/>
  <c r="G57"/>
  <c r="H57" s="1"/>
  <c r="H54"/>
  <c r="H53"/>
  <c r="H52"/>
  <c r="H51"/>
  <c r="H50"/>
  <c r="H49"/>
  <c r="H48"/>
  <c r="H46"/>
  <c r="H45"/>
  <c r="H44"/>
  <c r="H43"/>
  <c r="H42"/>
  <c r="H41"/>
  <c r="H40"/>
  <c r="H39"/>
  <c r="H38"/>
  <c r="H37"/>
  <c r="H36"/>
  <c r="H35"/>
  <c r="H34"/>
  <c r="H33"/>
  <c r="H32"/>
  <c r="H31"/>
  <c r="H29"/>
  <c r="H28"/>
  <c r="H27"/>
  <c r="H26"/>
  <c r="H25"/>
  <c r="H30" s="1"/>
  <c r="H23"/>
  <c r="H22"/>
  <c r="H21"/>
  <c r="H20"/>
  <c r="H19"/>
  <c r="H18"/>
  <c r="H17"/>
  <c r="H16"/>
  <c r="H15"/>
  <c r="H14"/>
  <c r="H13"/>
  <c r="H12"/>
  <c r="H11"/>
  <c r="H10"/>
  <c r="H9"/>
  <c r="H8"/>
  <c r="H7"/>
  <c r="H6"/>
  <c r="H5"/>
  <c r="H4"/>
  <c r="H3"/>
  <c r="H64" i="10"/>
  <c r="H63"/>
  <c r="H62"/>
  <c r="G12" i="3" s="1"/>
  <c r="H61" i="10"/>
  <c r="H60"/>
  <c r="H59"/>
  <c r="H58"/>
  <c r="F12" i="3" s="1"/>
  <c r="G57" i="10"/>
  <c r="H57" s="1"/>
  <c r="H54"/>
  <c r="H53"/>
  <c r="H52"/>
  <c r="H51"/>
  <c r="H50"/>
  <c r="H49"/>
  <c r="H48"/>
  <c r="H46"/>
  <c r="H45"/>
  <c r="H44"/>
  <c r="H43"/>
  <c r="H42"/>
  <c r="H41"/>
  <c r="H40"/>
  <c r="H39"/>
  <c r="H38"/>
  <c r="H37"/>
  <c r="H36"/>
  <c r="H35"/>
  <c r="H34"/>
  <c r="H33"/>
  <c r="H32"/>
  <c r="H31"/>
  <c r="H29"/>
  <c r="H28"/>
  <c r="H27"/>
  <c r="H26"/>
  <c r="H25"/>
  <c r="H23"/>
  <c r="H22"/>
  <c r="H21"/>
  <c r="H20"/>
  <c r="H19"/>
  <c r="H18"/>
  <c r="H17"/>
  <c r="H16"/>
  <c r="H15"/>
  <c r="H14"/>
  <c r="H13"/>
  <c r="H12"/>
  <c r="H11"/>
  <c r="H10"/>
  <c r="H9"/>
  <c r="H8"/>
  <c r="H7"/>
  <c r="H6"/>
  <c r="H5"/>
  <c r="H4"/>
  <c r="H3"/>
  <c r="H64" i="9"/>
  <c r="H63"/>
  <c r="H62"/>
  <c r="H61"/>
  <c r="H60"/>
  <c r="F11" i="3" s="1"/>
  <c r="H59" i="9"/>
  <c r="H58"/>
  <c r="H57"/>
  <c r="H54"/>
  <c r="H53"/>
  <c r="H52"/>
  <c r="H51"/>
  <c r="H50"/>
  <c r="H49"/>
  <c r="H48"/>
  <c r="H46"/>
  <c r="H45"/>
  <c r="H44"/>
  <c r="H43"/>
  <c r="H42"/>
  <c r="H41"/>
  <c r="H40"/>
  <c r="H39"/>
  <c r="H38"/>
  <c r="H37"/>
  <c r="H36"/>
  <c r="H35"/>
  <c r="H34"/>
  <c r="H33"/>
  <c r="H32"/>
  <c r="H31"/>
  <c r="H29"/>
  <c r="H28"/>
  <c r="H27"/>
  <c r="H26"/>
  <c r="H25"/>
  <c r="H23"/>
  <c r="H22"/>
  <c r="H21"/>
  <c r="H20"/>
  <c r="H19"/>
  <c r="H18"/>
  <c r="H17"/>
  <c r="H16"/>
  <c r="H15"/>
  <c r="H14"/>
  <c r="H13"/>
  <c r="H12"/>
  <c r="H11"/>
  <c r="H10"/>
  <c r="H9"/>
  <c r="H8"/>
  <c r="H7"/>
  <c r="H6"/>
  <c r="H5"/>
  <c r="H4"/>
  <c r="H3"/>
  <c r="H64" i="8"/>
  <c r="H63"/>
  <c r="H10" i="3" s="1"/>
  <c r="H62" i="8"/>
  <c r="H61"/>
  <c r="G10" i="3" s="1"/>
  <c r="H60" i="8"/>
  <c r="H59"/>
  <c r="F10" i="3" s="1"/>
  <c r="H58" i="8"/>
  <c r="H57"/>
  <c r="E10" i="3" s="1"/>
  <c r="H54" i="8"/>
  <c r="H53"/>
  <c r="H52"/>
  <c r="H51"/>
  <c r="H55" s="1"/>
  <c r="H50"/>
  <c r="H49"/>
  <c r="H48"/>
  <c r="H46"/>
  <c r="H45"/>
  <c r="H44"/>
  <c r="H43"/>
  <c r="H42"/>
  <c r="H41"/>
  <c r="H40"/>
  <c r="H39"/>
  <c r="H38"/>
  <c r="H37"/>
  <c r="H36"/>
  <c r="H35"/>
  <c r="H34"/>
  <c r="H33"/>
  <c r="H32"/>
  <c r="H31"/>
  <c r="H29"/>
  <c r="H28"/>
  <c r="H27"/>
  <c r="H26"/>
  <c r="H25"/>
  <c r="H23"/>
  <c r="H22"/>
  <c r="H21"/>
  <c r="H20"/>
  <c r="H19"/>
  <c r="H18"/>
  <c r="H17"/>
  <c r="H16"/>
  <c r="H15"/>
  <c r="H14"/>
  <c r="H13"/>
  <c r="H12"/>
  <c r="H11"/>
  <c r="H10"/>
  <c r="H9"/>
  <c r="H8"/>
  <c r="H7"/>
  <c r="H6"/>
  <c r="H5"/>
  <c r="H4"/>
  <c r="H3"/>
  <c r="H64" i="7"/>
  <c r="H63"/>
  <c r="H62"/>
  <c r="G9" i="3" s="1"/>
  <c r="H61" i="7"/>
  <c r="H60"/>
  <c r="H59"/>
  <c r="H58"/>
  <c r="H57"/>
  <c r="H54"/>
  <c r="H53"/>
  <c r="H52"/>
  <c r="H51"/>
  <c r="H50"/>
  <c r="H49"/>
  <c r="H48"/>
  <c r="H46"/>
  <c r="H45"/>
  <c r="H44"/>
  <c r="H43"/>
  <c r="H42"/>
  <c r="H41"/>
  <c r="H40"/>
  <c r="H39"/>
  <c r="H38"/>
  <c r="H37"/>
  <c r="H36"/>
  <c r="H35"/>
  <c r="H34"/>
  <c r="H33"/>
  <c r="H32"/>
  <c r="H31"/>
  <c r="H29"/>
  <c r="H28"/>
  <c r="H27"/>
  <c r="H26"/>
  <c r="H30" s="1"/>
  <c r="H25"/>
  <c r="H23"/>
  <c r="H22"/>
  <c r="H21"/>
  <c r="H20"/>
  <c r="H19"/>
  <c r="H18"/>
  <c r="H17"/>
  <c r="H16"/>
  <c r="H15"/>
  <c r="H14"/>
  <c r="H13"/>
  <c r="H12"/>
  <c r="H11"/>
  <c r="H10"/>
  <c r="H9"/>
  <c r="H8"/>
  <c r="H7"/>
  <c r="H6"/>
  <c r="H5"/>
  <c r="H4"/>
  <c r="H3"/>
  <c r="H64" i="6"/>
  <c r="H63"/>
  <c r="H62"/>
  <c r="H61"/>
  <c r="G8" i="3" s="1"/>
  <c r="H60" i="6"/>
  <c r="H59"/>
  <c r="F8" i="3" s="1"/>
  <c r="H58" i="6"/>
  <c r="H57"/>
  <c r="H54"/>
  <c r="H53"/>
  <c r="H52"/>
  <c r="H51"/>
  <c r="H50"/>
  <c r="H49"/>
  <c r="H48"/>
  <c r="H46"/>
  <c r="H45"/>
  <c r="H44"/>
  <c r="H43"/>
  <c r="H42"/>
  <c r="H41"/>
  <c r="H40"/>
  <c r="H39"/>
  <c r="H38"/>
  <c r="H37"/>
  <c r="H36"/>
  <c r="H35"/>
  <c r="H34"/>
  <c r="H33"/>
  <c r="H32"/>
  <c r="H31"/>
  <c r="H29"/>
  <c r="H28"/>
  <c r="H27"/>
  <c r="H26"/>
  <c r="H25"/>
  <c r="H23"/>
  <c r="H22"/>
  <c r="H21"/>
  <c r="H20"/>
  <c r="H19"/>
  <c r="H18"/>
  <c r="H17"/>
  <c r="H16"/>
  <c r="H15"/>
  <c r="H14"/>
  <c r="H13"/>
  <c r="H12"/>
  <c r="H11"/>
  <c r="H10"/>
  <c r="H9"/>
  <c r="H8"/>
  <c r="H7"/>
  <c r="H6"/>
  <c r="H5"/>
  <c r="H4"/>
  <c r="H3"/>
  <c r="H64" i="5"/>
  <c r="H63"/>
  <c r="H62"/>
  <c r="H61"/>
  <c r="H60"/>
  <c r="H59"/>
  <c r="H58"/>
  <c r="H57"/>
  <c r="H54"/>
  <c r="H53"/>
  <c r="H46"/>
  <c r="H29"/>
  <c r="H28"/>
  <c r="H27"/>
  <c r="H26"/>
  <c r="H25"/>
  <c r="H23"/>
  <c r="H22"/>
  <c r="H21"/>
  <c r="H20"/>
  <c r="H19"/>
  <c r="H18"/>
  <c r="H17"/>
  <c r="H16"/>
  <c r="H15"/>
  <c r="H14"/>
  <c r="H13"/>
  <c r="H12"/>
  <c r="H11"/>
  <c r="H10"/>
  <c r="H8"/>
  <c r="H7"/>
  <c r="H6"/>
  <c r="H5"/>
  <c r="H4"/>
  <c r="H3"/>
  <c r="H62" i="4"/>
  <c r="I31" i="2" s="1"/>
  <c r="H61" i="4"/>
  <c r="I30" i="2" s="1"/>
  <c r="H60" i="4"/>
  <c r="I29" i="2" s="1"/>
  <c r="H59" i="4"/>
  <c r="I28" i="2" s="1"/>
  <c r="H58" i="4"/>
  <c r="H57"/>
  <c r="I26" i="2" s="1"/>
  <c r="H56" i="4"/>
  <c r="H53"/>
  <c r="H52"/>
  <c r="H51"/>
  <c r="H50"/>
  <c r="H49"/>
  <c r="H48"/>
  <c r="H47"/>
  <c r="H46"/>
  <c r="H45"/>
  <c r="H44"/>
  <c r="H43"/>
  <c r="H42"/>
  <c r="H41"/>
  <c r="H40"/>
  <c r="H39"/>
  <c r="H15"/>
  <c r="H14"/>
  <c r="H13"/>
  <c r="H12"/>
  <c r="H16" s="1"/>
  <c r="I24" i="2" s="1"/>
  <c r="H11" i="4"/>
  <c r="H10"/>
  <c r="H8"/>
  <c r="H7"/>
  <c r="H9"/>
  <c r="E16" i="3"/>
  <c r="D16"/>
  <c r="B16"/>
  <c r="A16" s="1"/>
  <c r="E15"/>
  <c r="B15"/>
  <c r="K15" s="1"/>
  <c r="M14"/>
  <c r="H14"/>
  <c r="B14"/>
  <c r="A14" s="1"/>
  <c r="M13"/>
  <c r="H13"/>
  <c r="B13"/>
  <c r="K13" s="1"/>
  <c r="M12"/>
  <c r="I12"/>
  <c r="H12"/>
  <c r="B12"/>
  <c r="A12" s="1"/>
  <c r="M11"/>
  <c r="H11"/>
  <c r="G11"/>
  <c r="E11"/>
  <c r="B11"/>
  <c r="B10"/>
  <c r="A10" s="1"/>
  <c r="H9"/>
  <c r="E9"/>
  <c r="B9"/>
  <c r="E8"/>
  <c r="B8"/>
  <c r="A8" s="1"/>
  <c r="H7"/>
  <c r="G7"/>
  <c r="E7"/>
  <c r="H31" i="2"/>
  <c r="G31"/>
  <c r="H30"/>
  <c r="G30"/>
  <c r="H29"/>
  <c r="G29"/>
  <c r="H28"/>
  <c r="G28"/>
  <c r="I27"/>
  <c r="H27"/>
  <c r="G27"/>
  <c r="H26"/>
  <c r="G26"/>
  <c r="H25"/>
  <c r="G25"/>
  <c r="H19"/>
  <c r="G19"/>
  <c r="H18"/>
  <c r="G18"/>
  <c r="H17"/>
  <c r="G17"/>
  <c r="I16"/>
  <c r="H16"/>
  <c r="G16"/>
  <c r="H15"/>
  <c r="G15"/>
  <c r="H14"/>
  <c r="G14"/>
  <c r="H13"/>
  <c r="G13"/>
  <c r="H12"/>
  <c r="G12"/>
  <c r="G7"/>
  <c r="F27" i="1"/>
  <c r="I18" i="2" l="1"/>
  <c r="H65" i="10"/>
  <c r="E12" i="3"/>
  <c r="I16"/>
  <c r="H65" i="7"/>
  <c r="H24" i="8"/>
  <c r="H56" s="1"/>
  <c r="H47" i="10"/>
  <c r="F13" i="3"/>
  <c r="F14"/>
  <c r="H24" i="13"/>
  <c r="H30"/>
  <c r="H24" i="14"/>
  <c r="I12" i="2"/>
  <c r="H8" i="3"/>
  <c r="H17" s="1"/>
  <c r="H55" i="5"/>
  <c r="H30" i="6"/>
  <c r="H65"/>
  <c r="H24" i="7"/>
  <c r="H47" i="9"/>
  <c r="H55"/>
  <c r="H55" i="10"/>
  <c r="H30" i="12"/>
  <c r="H47"/>
  <c r="I14" i="2"/>
  <c r="I8" i="3"/>
  <c r="I10"/>
  <c r="I14"/>
  <c r="H24" i="5"/>
  <c r="H65"/>
  <c r="H24" i="6"/>
  <c r="H30" i="8"/>
  <c r="H47"/>
  <c r="H24" i="9"/>
  <c r="H30"/>
  <c r="H24" i="10"/>
  <c r="H47" i="11"/>
  <c r="H55"/>
  <c r="H55" i="12"/>
  <c r="H56" s="1"/>
  <c r="D14" i="3" s="1"/>
  <c r="H47" i="14"/>
  <c r="H55"/>
  <c r="I25" i="2"/>
  <c r="I32" s="1"/>
  <c r="H63" i="4"/>
  <c r="H56" i="14"/>
  <c r="G17" i="3"/>
  <c r="L15"/>
  <c r="A15"/>
  <c r="I15"/>
  <c r="H65" i="8"/>
  <c r="H65" i="9"/>
  <c r="H65" i="13"/>
  <c r="F15" i="3" s="1"/>
  <c r="D15"/>
  <c r="L11"/>
  <c r="A11"/>
  <c r="I11"/>
  <c r="K11"/>
  <c r="L13"/>
  <c r="A13"/>
  <c r="I13"/>
  <c r="H30" i="5"/>
  <c r="I15" i="2"/>
  <c r="F7" i="3"/>
  <c r="I19" i="2"/>
  <c r="H47" i="6"/>
  <c r="H55"/>
  <c r="H47" i="7"/>
  <c r="H55"/>
  <c r="F9" i="3"/>
  <c r="I13" i="2"/>
  <c r="I17"/>
  <c r="H47" i="13"/>
  <c r="H55"/>
  <c r="A7" i="3"/>
  <c r="L9"/>
  <c r="A9"/>
  <c r="I9"/>
  <c r="K9"/>
  <c r="H54" i="4"/>
  <c r="H55" s="1"/>
  <c r="H47" i="5"/>
  <c r="I8" i="2" s="1"/>
  <c r="H30" i="10"/>
  <c r="H56" s="1"/>
  <c r="H24" i="11"/>
  <c r="H56" s="1"/>
  <c r="H65"/>
  <c r="E13" i="3"/>
  <c r="E17" s="1"/>
  <c r="H65" i="12"/>
  <c r="H30" i="14"/>
  <c r="K8" i="3"/>
  <c r="K10"/>
  <c r="K12"/>
  <c r="K14"/>
  <c r="K16"/>
  <c r="L8"/>
  <c r="L10"/>
  <c r="L12"/>
  <c r="H66" i="10" s="1"/>
  <c r="L14" i="3"/>
  <c r="L16"/>
  <c r="H66" i="6" l="1"/>
  <c r="H66" i="9"/>
  <c r="H66" i="8"/>
  <c r="H56" i="13"/>
  <c r="H56" i="9"/>
  <c r="D11" i="3" s="1"/>
  <c r="D13"/>
  <c r="H69" i="10"/>
  <c r="D12" i="3"/>
  <c r="H66" i="7"/>
  <c r="J15" i="3"/>
  <c r="H66" i="4"/>
  <c r="H65"/>
  <c r="I9" i="2"/>
  <c r="I20"/>
  <c r="I36" s="1"/>
  <c r="H56" i="6"/>
  <c r="H66" i="11"/>
  <c r="H69" s="1"/>
  <c r="I7" i="2"/>
  <c r="H56" i="5"/>
  <c r="I10" i="2"/>
  <c r="J48" s="1"/>
  <c r="I48" s="1"/>
  <c r="D10" i="3"/>
  <c r="H66" i="14"/>
  <c r="F16" i="3" s="1"/>
  <c r="H66" i="13"/>
  <c r="H69" s="1"/>
  <c r="M15" i="3" s="1"/>
  <c r="P15" s="1"/>
  <c r="H66" i="12"/>
  <c r="H69" s="1"/>
  <c r="I23" i="2"/>
  <c r="H56" i="7"/>
  <c r="H68" i="8"/>
  <c r="H67"/>
  <c r="J14" i="3"/>
  <c r="N14" s="1"/>
  <c r="P14"/>
  <c r="J11"/>
  <c r="N11" s="1"/>
  <c r="P11"/>
  <c r="H67" i="4" l="1"/>
  <c r="H69" i="9"/>
  <c r="G24" i="1"/>
  <c r="C24"/>
  <c r="H24"/>
  <c r="E24"/>
  <c r="J16" i="3"/>
  <c r="G21" i="1"/>
  <c r="C21"/>
  <c r="E21"/>
  <c r="H21"/>
  <c r="J10" i="3"/>
  <c r="D9"/>
  <c r="H69" i="7"/>
  <c r="H67"/>
  <c r="H68"/>
  <c r="H69" i="14"/>
  <c r="M16" i="3" s="1"/>
  <c r="P16" s="1"/>
  <c r="D7"/>
  <c r="H68" i="5"/>
  <c r="H67"/>
  <c r="N15" i="3"/>
  <c r="J39" i="2"/>
  <c r="M10" i="3"/>
  <c r="P10" s="1"/>
  <c r="H69" i="8"/>
  <c r="I11" i="2"/>
  <c r="I35" s="1"/>
  <c r="I37" s="1"/>
  <c r="J47"/>
  <c r="I47" s="1"/>
  <c r="I39" s="1"/>
  <c r="D8" i="3"/>
  <c r="H67" i="6"/>
  <c r="H68"/>
  <c r="I33" i="2"/>
  <c r="I34" s="1"/>
  <c r="F17" i="3"/>
  <c r="J12"/>
  <c r="N12" s="1"/>
  <c r="P12"/>
  <c r="J13"/>
  <c r="N13" s="1"/>
  <c r="P13"/>
  <c r="I41" i="2" l="1"/>
  <c r="C33" i="1"/>
  <c r="H19"/>
  <c r="N10" i="3"/>
  <c r="H20" i="1" s="1"/>
  <c r="M8" i="3"/>
  <c r="D17"/>
  <c r="G23" i="1"/>
  <c r="C23"/>
  <c r="E23"/>
  <c r="H23"/>
  <c r="H69" i="6"/>
  <c r="H18" i="1" s="1"/>
  <c r="G25"/>
  <c r="C25"/>
  <c r="E25"/>
  <c r="H25"/>
  <c r="M9" i="3"/>
  <c r="N16"/>
  <c r="J8"/>
  <c r="P8"/>
  <c r="I21" i="2"/>
  <c r="I22" s="1"/>
  <c r="I42" s="1"/>
  <c r="M7" i="3"/>
  <c r="G22" i="1"/>
  <c r="C22"/>
  <c r="H22"/>
  <c r="E22"/>
  <c r="J9" i="3"/>
  <c r="P9"/>
  <c r="G20" i="1" l="1"/>
  <c r="C20"/>
  <c r="E27"/>
  <c r="M17" i="3"/>
  <c r="N9"/>
  <c r="C19" i="1" s="1"/>
  <c r="N8" i="3"/>
  <c r="C18" i="1" s="1"/>
  <c r="P7" i="3"/>
  <c r="G26" i="1"/>
  <c r="C26"/>
  <c r="H26"/>
  <c r="E26"/>
  <c r="P17" i="3" l="1"/>
  <c r="L7" s="1"/>
  <c r="L17" s="1"/>
  <c r="K7" l="1"/>
  <c r="K17" s="1"/>
  <c r="I7"/>
  <c r="H66" i="5" l="1"/>
  <c r="H69" s="1"/>
  <c r="I17" i="3"/>
  <c r="J7"/>
  <c r="N7" s="1"/>
  <c r="N17" s="1"/>
  <c r="K18" l="1"/>
  <c r="G18"/>
  <c r="H18"/>
  <c r="E18"/>
  <c r="F18"/>
  <c r="G17" i="1"/>
  <c r="L44"/>
  <c r="I18" i="3"/>
  <c r="J17"/>
  <c r="J18" s="1"/>
  <c r="D18"/>
  <c r="M18"/>
  <c r="N18"/>
  <c r="L18"/>
  <c r="N20"/>
  <c r="G27" i="1" l="1"/>
  <c r="H17"/>
  <c r="H27" s="1"/>
</calcChain>
</file>

<file path=xl/sharedStrings.xml><?xml version="1.0" encoding="utf-8"?>
<sst xmlns="http://schemas.openxmlformats.org/spreadsheetml/2006/main" count="762" uniqueCount="376">
  <si>
    <t>(현대/기아차 설비협력업체 견적통일양식)</t>
    <phoneticPr fontId="2" type="noConversion"/>
  </si>
  <si>
    <t xml:space="preserve">見  積  書   </t>
    <phoneticPr fontId="2" type="noConversion"/>
  </si>
  <si>
    <t>현대 위아 貴下</t>
    <phoneticPr fontId="2" type="noConversion"/>
  </si>
  <si>
    <t>견적일자</t>
    <phoneticPr fontId="2" type="noConversion"/>
  </si>
  <si>
    <t xml:space="preserve">대표 : </t>
    <phoneticPr fontId="2" type="noConversion"/>
  </si>
  <si>
    <t>견적번호</t>
    <phoneticPr fontId="2" type="noConversion"/>
  </si>
  <si>
    <t>납기</t>
    <phoneticPr fontId="2" type="noConversion"/>
  </si>
  <si>
    <t>입하</t>
    <phoneticPr fontId="2" type="noConversion"/>
  </si>
  <si>
    <t>최종검수</t>
    <phoneticPr fontId="2" type="noConversion"/>
  </si>
  <si>
    <t>견적유효기간</t>
    <phoneticPr fontId="2" type="noConversion"/>
  </si>
  <si>
    <t>인도장소</t>
    <phoneticPr fontId="2" type="noConversion"/>
  </si>
  <si>
    <t>견적담당:</t>
    <phoneticPr fontId="2" type="noConversion"/>
  </si>
  <si>
    <t>지불조건</t>
    <phoneticPr fontId="2" type="noConversion"/>
  </si>
  <si>
    <t>연 락 처 :</t>
    <phoneticPr fontId="2" type="noConversion"/>
  </si>
  <si>
    <t>견적금액: 一金 만원整(\    )</t>
    <phoneticPr fontId="2" type="noConversion"/>
  </si>
  <si>
    <t>번호</t>
    <phoneticPr fontId="2" type="noConversion"/>
  </si>
  <si>
    <t>상세품목내역</t>
    <phoneticPr fontId="2" type="noConversion"/>
  </si>
  <si>
    <r>
      <t xml:space="preserve">견적금액 </t>
    </r>
    <r>
      <rPr>
        <sz val="11"/>
        <rFont val="굴림"/>
        <family val="3"/>
        <charset val="129"/>
      </rPr>
      <t>(원)</t>
    </r>
    <phoneticPr fontId="2" type="noConversion"/>
  </si>
  <si>
    <t>비  고</t>
    <phoneticPr fontId="2" type="noConversion"/>
  </si>
  <si>
    <t>수량</t>
    <phoneticPr fontId="2" type="noConversion"/>
  </si>
  <si>
    <t>단위</t>
    <phoneticPr fontId="2" type="noConversion"/>
  </si>
  <si>
    <t>전기+단위</t>
    <phoneticPr fontId="2" type="noConversion"/>
  </si>
  <si>
    <r>
      <t xml:space="preserve">합 </t>
    </r>
    <r>
      <rPr>
        <sz val="11"/>
        <rFont val="굴림"/>
        <family val="3"/>
        <charset val="129"/>
      </rPr>
      <t xml:space="preserve"> </t>
    </r>
    <r>
      <rPr>
        <sz val="11"/>
        <rFont val="굴림"/>
        <family val="3"/>
        <charset val="129"/>
      </rPr>
      <t>계</t>
    </r>
    <phoneticPr fontId="2" type="noConversion"/>
  </si>
  <si>
    <r>
      <t>견적 합</t>
    </r>
    <r>
      <rPr>
        <sz val="11"/>
        <rFont val="굴림"/>
        <family val="3"/>
        <charset val="129"/>
      </rPr>
      <t>계</t>
    </r>
    <phoneticPr fontId="2" type="noConversion"/>
  </si>
  <si>
    <r>
      <t xml:space="preserve">공개입찰가 </t>
    </r>
    <r>
      <rPr>
        <sz val="10"/>
        <rFont val="굴림"/>
        <family val="3"/>
        <charset val="129"/>
      </rPr>
      <t>(견적時 공란)</t>
    </r>
    <phoneticPr fontId="2" type="noConversion"/>
  </si>
  <si>
    <t>특기사항</t>
    <phoneticPr fontId="2" type="noConversion"/>
  </si>
  <si>
    <t>1. VAT 제외</t>
    <phoneticPr fontId="2" type="noConversion"/>
  </si>
  <si>
    <r>
      <t xml:space="preserve">외주계획 업체명 </t>
    </r>
    <r>
      <rPr>
        <sz val="10"/>
        <rFont val="굴림"/>
        <family val="3"/>
        <charset val="129"/>
      </rPr>
      <t>(자작時 공란)</t>
    </r>
    <phoneticPr fontId="2" type="noConversion"/>
  </si>
  <si>
    <t>2. 기본 유틸리티공사 제외</t>
    <phoneticPr fontId="2" type="noConversion"/>
  </si>
  <si>
    <t>설계외주</t>
    <phoneticPr fontId="2" type="noConversion"/>
  </si>
  <si>
    <t>제작외주</t>
    <phoneticPr fontId="2" type="noConversion"/>
  </si>
  <si>
    <t>전기외주</t>
    <phoneticPr fontId="2" type="noConversion"/>
  </si>
  <si>
    <t>설치외주</t>
    <phoneticPr fontId="2" type="noConversion"/>
  </si>
  <si>
    <r>
      <t>A. 원가항목별 견적가 종합</t>
    </r>
    <r>
      <rPr>
        <sz val="12"/>
        <color indexed="8"/>
        <rFont val="HY헤드라인M"/>
        <family val="1"/>
        <charset val="129"/>
      </rPr>
      <t>(상세견적 첨부)</t>
    </r>
    <phoneticPr fontId="2" type="noConversion"/>
  </si>
  <si>
    <r>
      <t>□ 현대/기아 요구사양과 견적조건 일치여부 CHECK:</t>
    </r>
    <r>
      <rPr>
        <b/>
        <sz val="11"/>
        <rFont val="굴림"/>
        <family val="3"/>
        <charset val="129"/>
      </rPr>
      <t xml:space="preserve">  </t>
    </r>
    <r>
      <rPr>
        <b/>
        <sz val="11"/>
        <color indexed="12"/>
        <rFont val="굴림"/>
        <family val="3"/>
        <charset val="129"/>
      </rPr>
      <t>1.일치함  2.일부상이(상이내역 첨부참조)</t>
    </r>
    <phoneticPr fontId="2" type="noConversion"/>
  </si>
  <si>
    <t>순번</t>
    <phoneticPr fontId="2" type="noConversion"/>
  </si>
  <si>
    <t>원가구분</t>
    <phoneticPr fontId="2" type="noConversion"/>
  </si>
  <si>
    <t>단가</t>
    <phoneticPr fontId="2" type="noConversion"/>
  </si>
  <si>
    <r>
      <t>금  액</t>
    </r>
    <r>
      <rPr>
        <sz val="11"/>
        <rFont val="굴림"/>
        <family val="3"/>
        <charset val="129"/>
      </rPr>
      <t>(원)</t>
    </r>
    <phoneticPr fontId="2" type="noConversion"/>
  </si>
  <si>
    <r>
      <t xml:space="preserve">비 </t>
    </r>
    <r>
      <rPr>
        <sz val="11"/>
        <rFont val="굴림"/>
        <family val="3"/>
        <charset val="129"/>
      </rPr>
      <t xml:space="preserve"> 고</t>
    </r>
    <phoneticPr fontId="2" type="noConversion"/>
  </si>
  <si>
    <t>기계
부문</t>
    <phoneticPr fontId="2" type="noConversion"/>
  </si>
  <si>
    <t>자재비</t>
    <phoneticPr fontId="2" type="noConversion"/>
  </si>
  <si>
    <r>
      <t>철자재(</t>
    </r>
    <r>
      <rPr>
        <sz val="11"/>
        <rFont val="굴림"/>
        <family val="3"/>
        <charset val="129"/>
      </rPr>
      <t>SS.SUS등)</t>
    </r>
    <phoneticPr fontId="2" type="noConversion"/>
  </si>
  <si>
    <t>kg</t>
    <phoneticPr fontId="2" type="noConversion"/>
  </si>
  <si>
    <t>加工必要資材</t>
    <phoneticPr fontId="2" type="noConversion"/>
  </si>
  <si>
    <t>일반구매품</t>
    <phoneticPr fontId="2" type="noConversion"/>
  </si>
  <si>
    <t>식</t>
    <phoneticPr fontId="2" type="noConversion"/>
  </si>
  <si>
    <t>加工不要資材</t>
    <phoneticPr fontId="2" type="noConversion"/>
  </si>
  <si>
    <t>외주제작품</t>
    <phoneticPr fontId="2" type="noConversion"/>
  </si>
  <si>
    <r>
      <t>旣加工S</t>
    </r>
    <r>
      <rPr>
        <sz val="11"/>
        <rFont val="굴림"/>
        <family val="3"/>
        <charset val="129"/>
      </rPr>
      <t>UB</t>
    </r>
    <r>
      <rPr>
        <sz val="11"/>
        <rFont val="굴림"/>
        <family val="3"/>
        <charset val="129"/>
      </rPr>
      <t>資材</t>
    </r>
    <phoneticPr fontId="2" type="noConversion"/>
  </si>
  <si>
    <t>설치/해체 공사 자재</t>
    <phoneticPr fontId="2" type="noConversion"/>
  </si>
  <si>
    <t>시운전 자재 포함</t>
    <phoneticPr fontId="2" type="noConversion"/>
  </si>
  <si>
    <r>
      <t>소</t>
    </r>
    <r>
      <rPr>
        <sz val="11"/>
        <rFont val="굴림"/>
        <family val="3"/>
        <charset val="129"/>
      </rPr>
      <t>계</t>
    </r>
    <phoneticPr fontId="2" type="noConversion"/>
  </si>
  <si>
    <t>노무비</t>
    <phoneticPr fontId="2" type="noConversion"/>
  </si>
  <si>
    <t>기존설비 철거</t>
    <phoneticPr fontId="2" type="noConversion"/>
  </si>
  <si>
    <t>M/D</t>
    <phoneticPr fontId="2" type="noConversion"/>
  </si>
  <si>
    <t>개조공사時</t>
    <phoneticPr fontId="2" type="noConversion"/>
  </si>
  <si>
    <t>설계</t>
    <phoneticPr fontId="2" type="noConversion"/>
  </si>
  <si>
    <t>제작(제관,가공)</t>
    <phoneticPr fontId="2" type="noConversion"/>
  </si>
  <si>
    <t>조립</t>
    <phoneticPr fontId="2" type="noConversion"/>
  </si>
  <si>
    <t>정도검사포함</t>
    <phoneticPr fontId="2" type="noConversion"/>
  </si>
  <si>
    <t>설치</t>
    <phoneticPr fontId="2" type="noConversion"/>
  </si>
  <si>
    <t>시운전</t>
    <phoneticPr fontId="2" type="noConversion"/>
  </si>
  <si>
    <t>양산대응</t>
    <phoneticPr fontId="2" type="noConversion"/>
  </si>
  <si>
    <t>도장</t>
    <phoneticPr fontId="2" type="noConversion"/>
  </si>
  <si>
    <r>
      <t>소</t>
    </r>
    <r>
      <rPr>
        <sz val="11"/>
        <rFont val="굴림"/>
        <family val="3"/>
        <charset val="129"/>
      </rPr>
      <t>계</t>
    </r>
    <phoneticPr fontId="2" type="noConversion"/>
  </si>
  <si>
    <t>일반관리 및 이윤</t>
    <phoneticPr fontId="2" type="noConversion"/>
  </si>
  <si>
    <t>기계 소계</t>
    <phoneticPr fontId="2" type="noConversion"/>
  </si>
  <si>
    <t>전기
부문</t>
    <phoneticPr fontId="2" type="noConversion"/>
  </si>
  <si>
    <t>자재비</t>
    <phoneticPr fontId="2" type="noConversion"/>
  </si>
  <si>
    <t>기계/전기자재</t>
    <phoneticPr fontId="2" type="noConversion"/>
  </si>
  <si>
    <t>식</t>
    <phoneticPr fontId="2" type="noConversion"/>
  </si>
  <si>
    <t>설치/해체 공사 자재</t>
    <phoneticPr fontId="2" type="noConversion"/>
  </si>
  <si>
    <t>식</t>
    <phoneticPr fontId="2" type="noConversion"/>
  </si>
  <si>
    <t>노무비</t>
    <phoneticPr fontId="2" type="noConversion"/>
  </si>
  <si>
    <t>철거(개조시)</t>
    <phoneticPr fontId="2" type="noConversion"/>
  </si>
  <si>
    <t>M/D</t>
    <phoneticPr fontId="2" type="noConversion"/>
  </si>
  <si>
    <t>설계,프로그램</t>
    <phoneticPr fontId="2" type="noConversion"/>
  </si>
  <si>
    <t>제작</t>
    <phoneticPr fontId="2" type="noConversion"/>
  </si>
  <si>
    <t>조립</t>
    <phoneticPr fontId="2" type="noConversion"/>
  </si>
  <si>
    <t>M/D</t>
    <phoneticPr fontId="2" type="noConversion"/>
  </si>
  <si>
    <t>설치</t>
    <phoneticPr fontId="2" type="noConversion"/>
  </si>
  <si>
    <t>소계</t>
    <phoneticPr fontId="2" type="noConversion"/>
  </si>
  <si>
    <t>일반관리 및 이윤</t>
    <phoneticPr fontId="2" type="noConversion"/>
  </si>
  <si>
    <t>전기 소계</t>
    <phoneticPr fontId="2" type="noConversion"/>
  </si>
  <si>
    <t>자재비 합계</t>
    <phoneticPr fontId="2" type="noConversion"/>
  </si>
  <si>
    <t>노무비 합계</t>
    <phoneticPr fontId="2" type="noConversion"/>
  </si>
  <si>
    <r>
      <t xml:space="preserve">중간 </t>
    </r>
    <r>
      <rPr>
        <sz val="11"/>
        <rFont val="굴림"/>
        <family val="3"/>
        <charset val="129"/>
      </rPr>
      <t xml:space="preserve"> </t>
    </r>
    <r>
      <rPr>
        <sz val="11"/>
        <rFont val="굴림"/>
        <family val="3"/>
        <charset val="129"/>
      </rPr>
      <t>합계</t>
    </r>
    <phoneticPr fontId="2" type="noConversion"/>
  </si>
  <si>
    <t>포장,운송 및 중장비 사용료</t>
    <phoneticPr fontId="2" type="noConversion"/>
  </si>
  <si>
    <t>표준안전관리비</t>
  </si>
  <si>
    <t>설치/철거/수리금액 기준</t>
    <phoneticPr fontId="2" type="noConversion"/>
  </si>
  <si>
    <t>일반관리비</t>
    <phoneticPr fontId="2" type="noConversion"/>
  </si>
  <si>
    <r>
      <t xml:space="preserve">이 </t>
    </r>
    <r>
      <rPr>
        <sz val="11"/>
        <rFont val="굴림"/>
        <family val="3"/>
        <charset val="129"/>
      </rPr>
      <t xml:space="preserve">        </t>
    </r>
    <r>
      <rPr>
        <sz val="11"/>
        <rFont val="굴림"/>
        <family val="3"/>
        <charset val="129"/>
      </rPr>
      <t>윤</t>
    </r>
    <phoneticPr fontId="2" type="noConversion"/>
  </si>
  <si>
    <r>
      <t xml:space="preserve">합 </t>
    </r>
    <r>
      <rPr>
        <sz val="11"/>
        <rFont val="굴림"/>
        <family val="3"/>
        <charset val="129"/>
      </rPr>
      <t xml:space="preserve">        </t>
    </r>
    <r>
      <rPr>
        <sz val="11"/>
        <rFont val="굴림"/>
        <family val="3"/>
        <charset val="129"/>
      </rPr>
      <t>계</t>
    </r>
    <phoneticPr fontId="2" type="noConversion"/>
  </si>
  <si>
    <t>3~7항 합계</t>
    <phoneticPr fontId="2" type="noConversion"/>
  </si>
  <si>
    <r>
      <t>주</t>
    </r>
    <r>
      <rPr>
        <sz val="11"/>
        <rFont val="굴림"/>
        <family val="3"/>
        <charset val="129"/>
      </rPr>
      <t xml:space="preserve">1. </t>
    </r>
    <r>
      <rPr>
        <sz val="11"/>
        <rFont val="굴림"/>
        <family val="3"/>
        <charset val="129"/>
      </rPr>
      <t>표준안전관리비:</t>
    </r>
    <r>
      <rPr>
        <sz val="11"/>
        <rFont val="굴림"/>
        <family val="3"/>
        <charset val="129"/>
      </rPr>
      <t>(설치/철거/시운전 공사 관련 금액)의 ⓐ2.66%,ⓑ1.95%+기초액,ⓒ2.02%(50억 이상일경우)</t>
    </r>
    <phoneticPr fontId="2" type="noConversion"/>
  </si>
  <si>
    <r>
      <t>주2</t>
    </r>
    <r>
      <rPr>
        <sz val="11"/>
        <rFont val="굴림"/>
        <family val="3"/>
        <charset val="129"/>
      </rPr>
      <t>. 제작을 전량 외주할경우 자재비중 [외주제작품] 항목은 삭제함</t>
    </r>
    <phoneticPr fontId="2" type="noConversion"/>
  </si>
  <si>
    <t>산업안전관리비
[일반건설공사(을)]</t>
    <phoneticPr fontId="2" type="noConversion"/>
  </si>
  <si>
    <t>기준</t>
    <phoneticPr fontId="2" type="noConversion"/>
  </si>
  <si>
    <t>안전관리비</t>
    <phoneticPr fontId="2" type="noConversion"/>
  </si>
  <si>
    <t>대상액</t>
    <phoneticPr fontId="2" type="noConversion"/>
  </si>
  <si>
    <t>비고</t>
    <phoneticPr fontId="2" type="noConversion"/>
  </si>
  <si>
    <t>계상기준1</t>
    <phoneticPr fontId="2" type="noConversion"/>
  </si>
  <si>
    <t>제작/설치 전체</t>
    <phoneticPr fontId="2" type="noConversion"/>
  </si>
  <si>
    <t>계상기준2</t>
    <phoneticPr fontId="2" type="noConversion"/>
  </si>
  <si>
    <t>당사내 설치비限</t>
    <phoneticPr fontId="2" type="noConversion"/>
  </si>
  <si>
    <r>
      <t>※ 계상기준</t>
    </r>
    <r>
      <rPr>
        <sz val="11"/>
        <rFont val="굴림"/>
        <family val="3"/>
        <charset val="129"/>
      </rPr>
      <t>1 : 대상액*요율 / 계상기준2 : 대상액*요율*1.2</t>
    </r>
    <phoneticPr fontId="2" type="noConversion"/>
  </si>
  <si>
    <r>
      <t>B. 단위장비별 견적가 종합</t>
    </r>
    <r>
      <rPr>
        <sz val="12"/>
        <color indexed="8"/>
        <rFont val="HY헤드라인M"/>
        <family val="1"/>
        <charset val="129"/>
      </rPr>
      <t>(상세견적 첨부)</t>
    </r>
    <phoneticPr fontId="2" type="noConversion"/>
  </si>
  <si>
    <t>단위:원</t>
    <phoneticPr fontId="2" type="noConversion"/>
  </si>
  <si>
    <t>포장/운송</t>
    <phoneticPr fontId="2" type="noConversion"/>
  </si>
  <si>
    <t>표준안전</t>
    <phoneticPr fontId="2" type="noConversion"/>
  </si>
  <si>
    <t>일반관리비</t>
    <phoneticPr fontId="2" type="noConversion"/>
  </si>
  <si>
    <t>순번</t>
    <phoneticPr fontId="2" type="noConversion"/>
  </si>
  <si>
    <t>단위장비명</t>
    <phoneticPr fontId="2" type="noConversion"/>
  </si>
  <si>
    <t>수량</t>
    <phoneticPr fontId="2" type="noConversion"/>
  </si>
  <si>
    <t>자재비</t>
    <phoneticPr fontId="2" type="noConversion"/>
  </si>
  <si>
    <t>철거</t>
    <phoneticPr fontId="2" type="noConversion"/>
  </si>
  <si>
    <t>제작</t>
    <phoneticPr fontId="2" type="noConversion"/>
  </si>
  <si>
    <t>설치/시운전</t>
    <phoneticPr fontId="2" type="noConversion"/>
  </si>
  <si>
    <t>양산대응</t>
    <phoneticPr fontId="2" type="noConversion"/>
  </si>
  <si>
    <t>중장비사용</t>
    <phoneticPr fontId="2" type="noConversion"/>
  </si>
  <si>
    <t>기계소계</t>
    <phoneticPr fontId="2" type="noConversion"/>
  </si>
  <si>
    <t>전기소계</t>
    <phoneticPr fontId="2" type="noConversion"/>
  </si>
  <si>
    <t>관리비</t>
    <phoneticPr fontId="2" type="noConversion"/>
  </si>
  <si>
    <t>이윤</t>
    <phoneticPr fontId="2" type="noConversion"/>
  </si>
  <si>
    <t>합  계</t>
    <phoneticPr fontId="2" type="noConversion"/>
  </si>
  <si>
    <t>비  고</t>
    <phoneticPr fontId="2" type="noConversion"/>
  </si>
  <si>
    <t>1식</t>
    <phoneticPr fontId="2" type="noConversion"/>
  </si>
  <si>
    <t>1식</t>
    <phoneticPr fontId="2" type="noConversion"/>
  </si>
  <si>
    <t>1식</t>
  </si>
  <si>
    <t>합   계</t>
    <phoneticPr fontId="2" type="noConversion"/>
  </si>
  <si>
    <t xml:space="preserve"> 주) 전기비용은 턴키장비의 공통비용으로서 총 전기비용을 단위장비별 기계금액의 비율에 따라 배분함</t>
    <phoneticPr fontId="2" type="noConversion"/>
  </si>
  <si>
    <t>□ 전기부문:</t>
    <phoneticPr fontId="2" type="noConversion"/>
  </si>
  <si>
    <t>전기부문(공통)</t>
    <phoneticPr fontId="2" type="noConversion"/>
  </si>
  <si>
    <t>(첨부)</t>
    <phoneticPr fontId="2" type="noConversion"/>
  </si>
  <si>
    <t>구분</t>
    <phoneticPr fontId="2" type="noConversion"/>
  </si>
  <si>
    <t>품  명</t>
    <phoneticPr fontId="2" type="noConversion"/>
  </si>
  <si>
    <t>규격</t>
    <phoneticPr fontId="2" type="noConversion"/>
  </si>
  <si>
    <t>단위</t>
    <phoneticPr fontId="2" type="noConversion"/>
  </si>
  <si>
    <t>수량</t>
    <phoneticPr fontId="2" type="noConversion"/>
  </si>
  <si>
    <t>단가(원)</t>
    <phoneticPr fontId="2" type="noConversion"/>
  </si>
  <si>
    <t>금액(원)</t>
    <phoneticPr fontId="2" type="noConversion"/>
  </si>
  <si>
    <t>原MAKER</t>
    <phoneticPr fontId="2" type="noConversion"/>
  </si>
  <si>
    <t>자
재
비</t>
    <phoneticPr fontId="2" type="noConversion"/>
  </si>
  <si>
    <t>철자재</t>
    <phoneticPr fontId="2" type="noConversion"/>
  </si>
  <si>
    <t>설치/해체/</t>
    <phoneticPr fontId="2" type="noConversion"/>
  </si>
  <si>
    <t>시운전 공사</t>
    <phoneticPr fontId="2" type="noConversion"/>
  </si>
  <si>
    <t>자재</t>
    <phoneticPr fontId="2" type="noConversion"/>
  </si>
  <si>
    <t>전기자재</t>
    <phoneticPr fontId="2" type="noConversion"/>
  </si>
  <si>
    <t>자재비 소계</t>
    <phoneticPr fontId="2" type="noConversion"/>
  </si>
  <si>
    <t>노
무
비</t>
    <phoneticPr fontId="2" type="noConversion"/>
  </si>
  <si>
    <t>기존설비 철거</t>
    <phoneticPr fontId="2" type="noConversion"/>
  </si>
  <si>
    <t>전기 설계/프로그램</t>
    <phoneticPr fontId="2" type="noConversion"/>
  </si>
  <si>
    <t>M/D</t>
  </si>
  <si>
    <t>전기 제작</t>
    <phoneticPr fontId="2" type="noConversion"/>
  </si>
  <si>
    <t>전기 조립</t>
    <phoneticPr fontId="2" type="noConversion"/>
  </si>
  <si>
    <t>전기 설치</t>
    <phoneticPr fontId="2" type="noConversion"/>
  </si>
  <si>
    <t>전기 시운전</t>
    <phoneticPr fontId="2" type="noConversion"/>
  </si>
  <si>
    <t>전기 양산대응</t>
    <phoneticPr fontId="2" type="noConversion"/>
  </si>
  <si>
    <t>노무비 소계</t>
    <phoneticPr fontId="2" type="noConversion"/>
  </si>
  <si>
    <t>운반및중장비사용,표준안전관리비</t>
    <phoneticPr fontId="2" type="noConversion"/>
  </si>
  <si>
    <t>* 기계부문에 포함시킴</t>
    <phoneticPr fontId="2" type="noConversion"/>
  </si>
  <si>
    <t>일반관리비</t>
    <phoneticPr fontId="2" type="noConversion"/>
  </si>
  <si>
    <t>이         윤</t>
    <phoneticPr fontId="2" type="noConversion"/>
  </si>
  <si>
    <t>합         계</t>
    <phoneticPr fontId="2" type="noConversion"/>
  </si>
  <si>
    <r>
      <t>□ 단위공사명</t>
    </r>
    <r>
      <rPr>
        <b/>
        <sz val="10"/>
        <rFont val="굴림"/>
        <family val="3"/>
        <charset val="129"/>
      </rPr>
      <t>(전기제외)</t>
    </r>
    <r>
      <rPr>
        <b/>
        <sz val="12"/>
        <rFont val="굴림"/>
        <family val="3"/>
        <charset val="129"/>
      </rPr>
      <t>:</t>
    </r>
    <phoneticPr fontId="2" type="noConversion"/>
  </si>
  <si>
    <t>(첨부)</t>
    <phoneticPr fontId="2" type="noConversion"/>
  </si>
  <si>
    <t>구분</t>
    <phoneticPr fontId="2" type="noConversion"/>
  </si>
  <si>
    <t>품  명</t>
    <phoneticPr fontId="2" type="noConversion"/>
  </si>
  <si>
    <t>규격</t>
    <phoneticPr fontId="2" type="noConversion"/>
  </si>
  <si>
    <t>단위</t>
    <phoneticPr fontId="2" type="noConversion"/>
  </si>
  <si>
    <t>수량</t>
    <phoneticPr fontId="2" type="noConversion"/>
  </si>
  <si>
    <t>단가(원)</t>
    <phoneticPr fontId="2" type="noConversion"/>
  </si>
  <si>
    <t>금액(원)</t>
    <phoneticPr fontId="2" type="noConversion"/>
  </si>
  <si>
    <t>原MAKER</t>
    <phoneticPr fontId="2" type="noConversion"/>
  </si>
  <si>
    <t>자
재
비</t>
    <phoneticPr fontId="2" type="noConversion"/>
  </si>
  <si>
    <t>철자재</t>
    <phoneticPr fontId="2" type="noConversion"/>
  </si>
  <si>
    <t>설치/해체/시운전</t>
    <phoneticPr fontId="2" type="noConversion"/>
  </si>
  <si>
    <t>공사 관련 자재</t>
    <phoneticPr fontId="2" type="noConversion"/>
  </si>
  <si>
    <t>구매품</t>
    <phoneticPr fontId="2" type="noConversion"/>
  </si>
  <si>
    <t>(유공압품외)</t>
    <phoneticPr fontId="2" type="noConversion"/>
  </si>
  <si>
    <t>차량개조</t>
    <phoneticPr fontId="2" type="noConversion"/>
  </si>
  <si>
    <t>기계 설계</t>
    <phoneticPr fontId="2" type="noConversion"/>
  </si>
  <si>
    <r>
      <t>기계 제작</t>
    </r>
    <r>
      <rPr>
        <sz val="10"/>
        <rFont val="굴림"/>
        <family val="3"/>
        <charset val="129"/>
      </rPr>
      <t>(제관,가공)</t>
    </r>
    <phoneticPr fontId="2" type="noConversion"/>
  </si>
  <si>
    <t>기계 조립</t>
    <phoneticPr fontId="2" type="noConversion"/>
  </si>
  <si>
    <t>기계 설치</t>
    <phoneticPr fontId="2" type="noConversion"/>
  </si>
  <si>
    <t>기계 시운전</t>
    <phoneticPr fontId="2" type="noConversion"/>
  </si>
  <si>
    <t>기계 양산대응</t>
    <phoneticPr fontId="2" type="noConversion"/>
  </si>
  <si>
    <t>기계 도장</t>
    <phoneticPr fontId="2" type="noConversion"/>
  </si>
  <si>
    <t>운반및중장비사용</t>
    <phoneticPr fontId="2" type="noConversion"/>
  </si>
  <si>
    <t>외주제작품</t>
    <phoneticPr fontId="2" type="noConversion"/>
  </si>
  <si>
    <t>자재비 소계</t>
    <phoneticPr fontId="2" type="noConversion"/>
  </si>
  <si>
    <t>노
무
비</t>
    <phoneticPr fontId="2" type="noConversion"/>
  </si>
  <si>
    <t>기존설비 철거</t>
    <phoneticPr fontId="2" type="noConversion"/>
  </si>
  <si>
    <t>M/D</t>
    <phoneticPr fontId="2" type="noConversion"/>
  </si>
  <si>
    <t>기계 설계</t>
    <phoneticPr fontId="2" type="noConversion"/>
  </si>
  <si>
    <r>
      <t>기계 제작</t>
    </r>
    <r>
      <rPr>
        <sz val="10"/>
        <rFont val="굴림"/>
        <family val="3"/>
        <charset val="129"/>
      </rPr>
      <t>(제관,가공)</t>
    </r>
    <phoneticPr fontId="2" type="noConversion"/>
  </si>
  <si>
    <t>기계 조립</t>
    <phoneticPr fontId="2" type="noConversion"/>
  </si>
  <si>
    <t>기계 설치</t>
    <phoneticPr fontId="2" type="noConversion"/>
  </si>
  <si>
    <t>기계 시운전</t>
    <phoneticPr fontId="2" type="noConversion"/>
  </si>
  <si>
    <t>기계 양산대응</t>
    <phoneticPr fontId="2" type="noConversion"/>
  </si>
  <si>
    <t>기계 도장</t>
    <phoneticPr fontId="2" type="noConversion"/>
  </si>
  <si>
    <t>노무비 소계</t>
    <phoneticPr fontId="2" type="noConversion"/>
  </si>
  <si>
    <t>운반및중장비사용</t>
    <phoneticPr fontId="2" type="noConversion"/>
  </si>
  <si>
    <t>일반관리비</t>
    <phoneticPr fontId="2" type="noConversion"/>
  </si>
  <si>
    <t>이         윤</t>
    <phoneticPr fontId="2" type="noConversion"/>
  </si>
  <si>
    <t>합         계</t>
    <phoneticPr fontId="2" type="noConversion"/>
  </si>
  <si>
    <r>
      <t>□ 단위공사명</t>
    </r>
    <r>
      <rPr>
        <b/>
        <sz val="10"/>
        <rFont val="굴림"/>
        <family val="3"/>
        <charset val="129"/>
      </rPr>
      <t>(전기제외)</t>
    </r>
    <r>
      <rPr>
        <b/>
        <sz val="12"/>
        <rFont val="굴림"/>
        <family val="3"/>
        <charset val="129"/>
      </rPr>
      <t>:</t>
    </r>
    <phoneticPr fontId="2" type="noConversion"/>
  </si>
  <si>
    <t>(첨부)</t>
    <phoneticPr fontId="2" type="noConversion"/>
  </si>
  <si>
    <t>구분</t>
    <phoneticPr fontId="2" type="noConversion"/>
  </si>
  <si>
    <t>품  명</t>
    <phoneticPr fontId="2" type="noConversion"/>
  </si>
  <si>
    <t>규격</t>
    <phoneticPr fontId="2" type="noConversion"/>
  </si>
  <si>
    <t>단위</t>
    <phoneticPr fontId="2" type="noConversion"/>
  </si>
  <si>
    <t>수량</t>
    <phoneticPr fontId="2" type="noConversion"/>
  </si>
  <si>
    <t>단가(원)</t>
    <phoneticPr fontId="2" type="noConversion"/>
  </si>
  <si>
    <t>금액(원)</t>
    <phoneticPr fontId="2" type="noConversion"/>
  </si>
  <si>
    <t>原MAKER</t>
    <phoneticPr fontId="2" type="noConversion"/>
  </si>
  <si>
    <t>자
재
비</t>
    <phoneticPr fontId="2" type="noConversion"/>
  </si>
  <si>
    <t>철자재</t>
    <phoneticPr fontId="2" type="noConversion"/>
  </si>
  <si>
    <t>기타자재</t>
    <phoneticPr fontId="2" type="noConversion"/>
  </si>
  <si>
    <t>외주제작품</t>
    <phoneticPr fontId="2" type="noConversion"/>
  </si>
  <si>
    <t>기타자재</t>
    <phoneticPr fontId="2" type="noConversion"/>
  </si>
  <si>
    <t>자재비 소계</t>
    <phoneticPr fontId="2" type="noConversion"/>
  </si>
  <si>
    <t>노
무
비</t>
    <phoneticPr fontId="2" type="noConversion"/>
  </si>
  <si>
    <t>기존설비 철거</t>
    <phoneticPr fontId="2" type="noConversion"/>
  </si>
  <si>
    <t>M/D</t>
    <phoneticPr fontId="2" type="noConversion"/>
  </si>
  <si>
    <t>기계 설계</t>
    <phoneticPr fontId="2" type="noConversion"/>
  </si>
  <si>
    <r>
      <t>기계 제작</t>
    </r>
    <r>
      <rPr>
        <sz val="10"/>
        <rFont val="굴림"/>
        <family val="3"/>
        <charset val="129"/>
      </rPr>
      <t>(제관,가공)</t>
    </r>
    <phoneticPr fontId="2" type="noConversion"/>
  </si>
  <si>
    <t>기계 조립</t>
    <phoneticPr fontId="2" type="noConversion"/>
  </si>
  <si>
    <t>기계 설치</t>
    <phoneticPr fontId="2" type="noConversion"/>
  </si>
  <si>
    <t>기계 시운전</t>
    <phoneticPr fontId="2" type="noConversion"/>
  </si>
  <si>
    <t>기계 양산대응</t>
    <phoneticPr fontId="2" type="noConversion"/>
  </si>
  <si>
    <t>기계 도장</t>
    <phoneticPr fontId="2" type="noConversion"/>
  </si>
  <si>
    <t>노무비 소계</t>
    <phoneticPr fontId="2" type="noConversion"/>
  </si>
  <si>
    <t>운반및중장비사용</t>
    <phoneticPr fontId="2" type="noConversion"/>
  </si>
  <si>
    <t>일반관리비</t>
    <phoneticPr fontId="2" type="noConversion"/>
  </si>
  <si>
    <t>이         윤</t>
    <phoneticPr fontId="2" type="noConversion"/>
  </si>
  <si>
    <t>합         계</t>
    <phoneticPr fontId="2" type="noConversion"/>
  </si>
  <si>
    <r>
      <t>□ 단위공사명</t>
    </r>
    <r>
      <rPr>
        <b/>
        <sz val="10"/>
        <rFont val="굴림"/>
        <family val="3"/>
        <charset val="129"/>
      </rPr>
      <t>(전기제외)</t>
    </r>
    <r>
      <rPr>
        <b/>
        <sz val="12"/>
        <rFont val="굴림"/>
        <family val="3"/>
        <charset val="129"/>
      </rPr>
      <t>:</t>
    </r>
    <phoneticPr fontId="2" type="noConversion"/>
  </si>
  <si>
    <t>(첨부)</t>
    <phoneticPr fontId="2" type="noConversion"/>
  </si>
  <si>
    <t>구분</t>
    <phoneticPr fontId="2" type="noConversion"/>
  </si>
  <si>
    <t>품  명</t>
    <phoneticPr fontId="2" type="noConversion"/>
  </si>
  <si>
    <t>규격</t>
    <phoneticPr fontId="2" type="noConversion"/>
  </si>
  <si>
    <t>단위</t>
    <phoneticPr fontId="2" type="noConversion"/>
  </si>
  <si>
    <t>수량</t>
    <phoneticPr fontId="2" type="noConversion"/>
  </si>
  <si>
    <t>단가(원)</t>
    <phoneticPr fontId="2" type="noConversion"/>
  </si>
  <si>
    <t>금액(원)</t>
    <phoneticPr fontId="2" type="noConversion"/>
  </si>
  <si>
    <t>原MAKER</t>
    <phoneticPr fontId="2" type="noConversion"/>
  </si>
  <si>
    <t>자
재
비</t>
    <phoneticPr fontId="2" type="noConversion"/>
  </si>
  <si>
    <t>철자재</t>
    <phoneticPr fontId="2" type="noConversion"/>
  </si>
  <si>
    <t>외주제작품</t>
    <phoneticPr fontId="2" type="noConversion"/>
  </si>
  <si>
    <t>기타자재</t>
    <phoneticPr fontId="2" type="noConversion"/>
  </si>
  <si>
    <t>자재비 소계</t>
    <phoneticPr fontId="2" type="noConversion"/>
  </si>
  <si>
    <t>노
무
비</t>
    <phoneticPr fontId="2" type="noConversion"/>
  </si>
  <si>
    <t>기존설비 철거</t>
    <phoneticPr fontId="2" type="noConversion"/>
  </si>
  <si>
    <t>M/D</t>
    <phoneticPr fontId="2" type="noConversion"/>
  </si>
  <si>
    <t>설치/해체/시운전</t>
    <phoneticPr fontId="2" type="noConversion"/>
  </si>
  <si>
    <t>공사 관련 자재</t>
    <phoneticPr fontId="2" type="noConversion"/>
  </si>
  <si>
    <t>구매품</t>
    <phoneticPr fontId="2" type="noConversion"/>
  </si>
  <si>
    <t>(유공압품외)</t>
    <phoneticPr fontId="2" type="noConversion"/>
  </si>
  <si>
    <t>기계 설계</t>
    <phoneticPr fontId="2" type="noConversion"/>
  </si>
  <si>
    <r>
      <t>기계 제작</t>
    </r>
    <r>
      <rPr>
        <sz val="10"/>
        <rFont val="굴림"/>
        <family val="3"/>
        <charset val="129"/>
      </rPr>
      <t>(제관,가공)</t>
    </r>
    <phoneticPr fontId="2" type="noConversion"/>
  </si>
  <si>
    <t>기계 조립</t>
    <phoneticPr fontId="2" type="noConversion"/>
  </si>
  <si>
    <t>기계 설치</t>
    <phoneticPr fontId="2" type="noConversion"/>
  </si>
  <si>
    <t>기계 시운전</t>
    <phoneticPr fontId="2" type="noConversion"/>
  </si>
  <si>
    <t>기계 양산대응</t>
    <phoneticPr fontId="2" type="noConversion"/>
  </si>
  <si>
    <t>기계 도장</t>
    <phoneticPr fontId="2" type="noConversion"/>
  </si>
  <si>
    <t>노무비 소계</t>
    <phoneticPr fontId="2" type="noConversion"/>
  </si>
  <si>
    <t>운반및중장비사용</t>
    <phoneticPr fontId="2" type="noConversion"/>
  </si>
  <si>
    <t>일반관리비</t>
    <phoneticPr fontId="2" type="noConversion"/>
  </si>
  <si>
    <t>이         윤</t>
    <phoneticPr fontId="2" type="noConversion"/>
  </si>
  <si>
    <t>합         계</t>
    <phoneticPr fontId="2" type="noConversion"/>
  </si>
  <si>
    <t>※ 현대/기아차의 요구사양과 업체견적사양이 다른경우만 작성</t>
    <phoneticPr fontId="2" type="noConversion"/>
  </si>
  <si>
    <t>현대/기아차 요구사양대비 견적조건 상이내역</t>
    <phoneticPr fontId="2" type="noConversion"/>
  </si>
  <si>
    <t>항   목</t>
    <phoneticPr fontId="2" type="noConversion"/>
  </si>
  <si>
    <t>현대/기아차 요구사양</t>
    <phoneticPr fontId="2" type="noConversion"/>
  </si>
  <si>
    <t>업체 견적기준 사양</t>
    <phoneticPr fontId="2" type="noConversion"/>
  </si>
  <si>
    <t>비  고</t>
    <phoneticPr fontId="2" type="noConversion"/>
  </si>
  <si>
    <t>업체명</t>
    <phoneticPr fontId="2" type="noConversion"/>
  </si>
  <si>
    <t>60 일</t>
    <phoneticPr fontId="2" type="noConversion"/>
  </si>
  <si>
    <t>조만돈</t>
    <phoneticPr fontId="2" type="noConversion"/>
  </si>
  <si>
    <t>주소 : 부산시 기장군 정관읍 산단5로 84</t>
    <phoneticPr fontId="2" type="noConversion"/>
  </si>
  <si>
    <t>전화: 051-727-6465</t>
    <phoneticPr fontId="2" type="noConversion"/>
  </si>
  <si>
    <t>Fax:  051-727-5525</t>
    <phoneticPr fontId="2" type="noConversion"/>
  </si>
  <si>
    <t>조 만 돈</t>
    <phoneticPr fontId="2" type="noConversion"/>
  </si>
  <si>
    <t>010-2549-6371</t>
    <phoneticPr fontId="2" type="noConversion"/>
  </si>
  <si>
    <t>대</t>
    <phoneticPr fontId="2" type="noConversion"/>
  </si>
  <si>
    <t>PANEL</t>
    <phoneticPr fontId="28" type="noConversion"/>
  </si>
  <si>
    <r>
      <t xml:space="preserve"> </t>
    </r>
    <r>
      <rPr>
        <sz val="11"/>
        <rFont val="굴림"/>
        <family val="3"/>
        <charset val="129"/>
      </rPr>
      <t>120</t>
    </r>
    <r>
      <rPr>
        <sz val="11"/>
        <rFont val="굴림"/>
        <family val="3"/>
        <charset val="129"/>
      </rPr>
      <t>0x</t>
    </r>
    <r>
      <rPr>
        <sz val="11"/>
        <rFont val="굴림"/>
        <family val="3"/>
        <charset val="129"/>
      </rPr>
      <t>18</t>
    </r>
    <r>
      <rPr>
        <sz val="11"/>
        <rFont val="굴림"/>
        <family val="3"/>
        <charset val="129"/>
      </rPr>
      <t>00x450</t>
    </r>
    <phoneticPr fontId="28" type="noConversion"/>
  </si>
  <si>
    <t>EA</t>
    <phoneticPr fontId="28" type="noConversion"/>
  </si>
  <si>
    <t>MAIN OP</t>
    <phoneticPr fontId="28" type="noConversion"/>
  </si>
  <si>
    <r>
      <t xml:space="preserve"> </t>
    </r>
    <r>
      <rPr>
        <sz val="11"/>
        <rFont val="굴림"/>
        <family val="3"/>
        <charset val="129"/>
      </rPr>
      <t>50</t>
    </r>
    <r>
      <rPr>
        <sz val="11"/>
        <rFont val="굴림"/>
        <family val="3"/>
        <charset val="129"/>
      </rPr>
      <t>0x600x</t>
    </r>
    <r>
      <rPr>
        <sz val="11"/>
        <rFont val="굴림"/>
        <family val="3"/>
        <charset val="129"/>
      </rPr>
      <t>20</t>
    </r>
    <r>
      <rPr>
        <sz val="11"/>
        <rFont val="굴림"/>
        <family val="3"/>
        <charset val="129"/>
      </rPr>
      <t>0</t>
    </r>
    <phoneticPr fontId="28" type="noConversion"/>
  </si>
  <si>
    <t>SUB OP</t>
    <phoneticPr fontId="28" type="noConversion"/>
  </si>
  <si>
    <t xml:space="preserve"> 500x500x180</t>
    <phoneticPr fontId="28" type="noConversion"/>
  </si>
  <si>
    <t>ELB BOX</t>
    <phoneticPr fontId="28" type="noConversion"/>
  </si>
  <si>
    <t xml:space="preserve"> 250x400x130</t>
    <phoneticPr fontId="28" type="noConversion"/>
  </si>
  <si>
    <t>CPU</t>
    <phoneticPr fontId="28" type="noConversion"/>
  </si>
  <si>
    <t>Q02H CPU</t>
    <phoneticPr fontId="28" type="noConversion"/>
  </si>
  <si>
    <t>POWER</t>
    <phoneticPr fontId="28" type="noConversion"/>
  </si>
  <si>
    <r>
      <t>BASE</t>
    </r>
    <r>
      <rPr>
        <sz val="11"/>
        <rFont val="굴림"/>
        <family val="3"/>
        <charset val="129"/>
      </rPr>
      <t xml:space="preserve"> &amp; CC LINK</t>
    </r>
    <phoneticPr fontId="28" type="noConversion"/>
  </si>
  <si>
    <t>입력CARD</t>
    <phoneticPr fontId="28" type="noConversion"/>
  </si>
  <si>
    <t>출력CARD</t>
    <phoneticPr fontId="28" type="noConversion"/>
  </si>
  <si>
    <t>통신 CARD</t>
    <phoneticPr fontId="28" type="noConversion"/>
  </si>
  <si>
    <t>CABLE &amp; TML</t>
    <phoneticPr fontId="28" type="noConversion"/>
  </si>
  <si>
    <t>식</t>
    <phoneticPr fontId="28" type="noConversion"/>
  </si>
  <si>
    <t>TOUCH PNL</t>
    <phoneticPr fontId="28" type="noConversion"/>
  </si>
  <si>
    <t>에어컨,가습기</t>
    <phoneticPr fontId="2" type="noConversion"/>
  </si>
  <si>
    <t>INVERTER</t>
    <phoneticPr fontId="28" type="noConversion"/>
  </si>
  <si>
    <r>
      <t>T</t>
    </r>
    <r>
      <rPr>
        <sz val="11"/>
        <rFont val="굴림"/>
        <family val="3"/>
        <charset val="129"/>
      </rPr>
      <t>IMMER</t>
    </r>
    <phoneticPr fontId="2" type="noConversion"/>
  </si>
  <si>
    <t>온도 콘트롤러</t>
    <phoneticPr fontId="2" type="noConversion"/>
  </si>
  <si>
    <t>I/D</t>
    <phoneticPr fontId="28" type="noConversion"/>
  </si>
  <si>
    <t>BIS-S400</t>
    <phoneticPr fontId="28" type="noConversion"/>
  </si>
  <si>
    <t>ST</t>
    <phoneticPr fontId="28" type="noConversion"/>
  </si>
  <si>
    <t>조립자재</t>
    <phoneticPr fontId="28" type="noConversion"/>
  </si>
  <si>
    <t>NFB, M/G외</t>
    <phoneticPr fontId="28" type="noConversion"/>
  </si>
  <si>
    <t>S/W</t>
    <phoneticPr fontId="28" type="noConversion"/>
  </si>
  <si>
    <t>PB외</t>
    <phoneticPr fontId="28" type="noConversion"/>
  </si>
  <si>
    <t>근접 S/W</t>
    <phoneticPr fontId="28" type="noConversion"/>
  </si>
  <si>
    <r>
      <t>O</t>
    </r>
    <r>
      <rPr>
        <sz val="11"/>
        <rFont val="굴림"/>
        <family val="3"/>
        <charset val="129"/>
      </rPr>
      <t>MRON</t>
    </r>
    <phoneticPr fontId="28" type="noConversion"/>
  </si>
  <si>
    <t>LIMIT S/W</t>
    <phoneticPr fontId="28" type="noConversion"/>
  </si>
  <si>
    <t>PHOTO S/W</t>
    <phoneticPr fontId="28" type="noConversion"/>
  </si>
  <si>
    <t>E3JK-5U1</t>
    <phoneticPr fontId="28" type="noConversion"/>
  </si>
  <si>
    <r>
      <t>C</t>
    </r>
    <r>
      <rPr>
        <sz val="11"/>
        <rFont val="굴림"/>
        <family val="3"/>
        <charset val="129"/>
      </rPr>
      <t>ABLE</t>
    </r>
    <phoneticPr fontId="28" type="noConversion"/>
  </si>
  <si>
    <t>CONNECTOR</t>
    <phoneticPr fontId="2" type="noConversion"/>
  </si>
  <si>
    <t>FLEXIBLE TUBE</t>
    <phoneticPr fontId="28" type="noConversion"/>
  </si>
  <si>
    <t>배선용 덕트</t>
    <phoneticPr fontId="2" type="noConversion"/>
  </si>
  <si>
    <t>CHANNEL</t>
    <phoneticPr fontId="2" type="noConversion"/>
  </si>
  <si>
    <t>Kg</t>
    <phoneticPr fontId="2" type="noConversion"/>
  </si>
  <si>
    <t>SQUARE PIPE</t>
    <phoneticPr fontId="2" type="noConversion"/>
  </si>
  <si>
    <t>75x40x3.2</t>
    <phoneticPr fontId="2" type="noConversion"/>
  </si>
  <si>
    <t>ANGLE</t>
    <phoneticPr fontId="2" type="noConversion"/>
  </si>
  <si>
    <t>50x50x6</t>
    <phoneticPr fontId="2" type="noConversion"/>
  </si>
  <si>
    <t>SS41 PLATE</t>
    <phoneticPr fontId="2" type="noConversion"/>
  </si>
  <si>
    <t>4자x8자x12t</t>
    <phoneticPr fontId="2" type="noConversion"/>
  </si>
  <si>
    <t>SS41 R/BAR</t>
    <phoneticPr fontId="2" type="noConversion"/>
  </si>
  <si>
    <r>
      <t>Ø</t>
    </r>
    <r>
      <rPr>
        <sz val="9.35"/>
        <rFont val="굴림"/>
        <family val="3"/>
        <charset val="129"/>
      </rPr>
      <t>40 외</t>
    </r>
    <phoneticPr fontId="2" type="noConversion"/>
  </si>
  <si>
    <t>S45C PLATE</t>
    <phoneticPr fontId="2" type="noConversion"/>
  </si>
  <si>
    <t>3자x6자x20t</t>
    <phoneticPr fontId="2" type="noConversion"/>
  </si>
  <si>
    <t>S45C R/BAR</t>
    <phoneticPr fontId="2" type="noConversion"/>
  </si>
  <si>
    <r>
      <t>Ø</t>
    </r>
    <r>
      <rPr>
        <sz val="11"/>
        <rFont val="굴림"/>
        <family val="3"/>
        <charset val="129"/>
      </rPr>
      <t>6</t>
    </r>
    <r>
      <rPr>
        <sz val="9.35"/>
        <rFont val="굴림"/>
        <family val="3"/>
        <charset val="129"/>
      </rPr>
      <t>0 외</t>
    </r>
    <phoneticPr fontId="2" type="noConversion"/>
  </si>
  <si>
    <t>SUS PLATE</t>
    <phoneticPr fontId="2" type="noConversion"/>
  </si>
  <si>
    <t>4자x8자x3t 외</t>
    <phoneticPr fontId="2" type="noConversion"/>
  </si>
  <si>
    <t>SUS R/BAR</t>
    <phoneticPr fontId="2" type="noConversion"/>
  </si>
  <si>
    <r>
      <t>Ø</t>
    </r>
    <r>
      <rPr>
        <sz val="11"/>
        <rFont val="굴림"/>
        <family val="3"/>
        <charset val="129"/>
      </rPr>
      <t>12</t>
    </r>
    <r>
      <rPr>
        <sz val="9.35"/>
        <rFont val="굴림"/>
        <family val="3"/>
        <charset val="129"/>
      </rPr>
      <t xml:space="preserve"> 외</t>
    </r>
    <phoneticPr fontId="2" type="noConversion"/>
  </si>
  <si>
    <t>SUS S/Q TUBE</t>
    <phoneticPr fontId="2" type="noConversion"/>
  </si>
  <si>
    <t>50x50x3.2 외</t>
    <phoneticPr fontId="2" type="noConversion"/>
  </si>
  <si>
    <t>SUS PIPE</t>
    <phoneticPr fontId="2" type="noConversion"/>
  </si>
  <si>
    <t>50 A 외</t>
    <phoneticPr fontId="2" type="noConversion"/>
  </si>
  <si>
    <t>100x50x5x7.5</t>
    <phoneticPr fontId="2" type="noConversion"/>
  </si>
  <si>
    <t>NOZZLE</t>
    <phoneticPr fontId="2" type="noConversion"/>
  </si>
  <si>
    <t>AIR CYLINDER</t>
    <phoneticPr fontId="2" type="noConversion"/>
  </si>
  <si>
    <t>SOLENOID 외</t>
    <phoneticPr fontId="2" type="noConversion"/>
  </si>
  <si>
    <t>쓰미토모 외</t>
    <phoneticPr fontId="2" type="noConversion"/>
  </si>
  <si>
    <t>SET</t>
    <phoneticPr fontId="2" type="noConversion"/>
  </si>
  <si>
    <t>UCT208 외</t>
    <phoneticPr fontId="2" type="noConversion"/>
  </si>
  <si>
    <t>그런퍼스 외</t>
    <phoneticPr fontId="2" type="noConversion"/>
  </si>
  <si>
    <t>페인트</t>
    <phoneticPr fontId="2" type="noConversion"/>
  </si>
  <si>
    <t>HEATER</t>
    <phoneticPr fontId="2" type="noConversion"/>
  </si>
  <si>
    <t>CHANIN, SPROCKET</t>
    <phoneticPr fontId="2" type="noConversion"/>
  </si>
  <si>
    <t>GREASE 주입기</t>
    <phoneticPr fontId="2" type="noConversion"/>
  </si>
  <si>
    <t>배관자재</t>
    <phoneticPr fontId="2" type="noConversion"/>
  </si>
  <si>
    <t>BAG FILTER</t>
    <phoneticPr fontId="2" type="noConversion"/>
  </si>
  <si>
    <t>AIR 압력보강용 탱크</t>
    <phoneticPr fontId="2" type="noConversion"/>
  </si>
  <si>
    <r>
      <t xml:space="preserve">0.5 </t>
    </r>
    <r>
      <rPr>
        <sz val="11"/>
        <rFont val="HY견명조"/>
        <family val="1"/>
        <charset val="129"/>
      </rPr>
      <t>㎥</t>
    </r>
    <phoneticPr fontId="2" type="noConversion"/>
  </si>
  <si>
    <t>LM RAL &amp; BEARING</t>
    <phoneticPr fontId="2" type="noConversion"/>
  </si>
  <si>
    <t>집진기</t>
    <phoneticPr fontId="2" type="noConversion"/>
  </si>
  <si>
    <t>알루미늄 프로파일</t>
    <phoneticPr fontId="2" type="noConversion"/>
  </si>
  <si>
    <t>2019.7.18</t>
    <phoneticPr fontId="2" type="noConversion"/>
  </si>
  <si>
    <t>위아 3공장</t>
    <phoneticPr fontId="2" type="noConversion"/>
  </si>
  <si>
    <t>30%,50%,20%</t>
    <phoneticPr fontId="2" type="noConversion"/>
  </si>
  <si>
    <t>019-037</t>
    <phoneticPr fontId="2" type="noConversion"/>
  </si>
  <si>
    <t>PTU 17만 증산용접라인세척기</t>
    <phoneticPr fontId="2" type="noConversion"/>
  </si>
  <si>
    <t>PTU 17만증산 용접라인세척기</t>
    <phoneticPr fontId="2" type="noConversion"/>
  </si>
  <si>
    <t>유수 분리기</t>
    <phoneticPr fontId="2" type="noConversion"/>
  </si>
  <si>
    <t>열풍기</t>
    <phoneticPr fontId="2" type="noConversion"/>
  </si>
  <si>
    <t>일억육천칠백칠십이만팔천구백오십원정</t>
    <phoneticPr fontId="2" type="noConversion"/>
  </si>
</sst>
</file>

<file path=xl/styles.xml><?xml version="1.0" encoding="utf-8"?>
<styleSheet xmlns="http://schemas.openxmlformats.org/spreadsheetml/2006/main">
  <numFmts count="7">
    <numFmt numFmtId="41" formatCode="_-* #,##0_-;\-* #,##0_-;_-* &quot;-&quot;_-;_-@_-"/>
    <numFmt numFmtId="176" formatCode="#,##0_ "/>
    <numFmt numFmtId="177" formatCode="&quot;3. 산업안전관리비&quot;\ #,##0_ &quot;원 포함&quot;"/>
    <numFmt numFmtId="178" formatCode="&quot;3.산업안전관리비&quot;\ #,##0_ &quot;원 포함&quot;"/>
    <numFmt numFmtId="179" formatCode="#,##0_);[Red]\(#,##0\)"/>
    <numFmt numFmtId="180" formatCode="General&quot;상세견적&quot;"/>
    <numFmt numFmtId="181" formatCode="0.0\K\G"/>
  </numFmts>
  <fonts count="32">
    <font>
      <sz val="11"/>
      <name val="굴림"/>
      <family val="3"/>
      <charset val="129"/>
    </font>
    <font>
      <sz val="11"/>
      <name val="굴림"/>
      <family val="3"/>
      <charset val="129"/>
    </font>
    <font>
      <sz val="8"/>
      <name val="굴림"/>
      <family val="3"/>
      <charset val="129"/>
    </font>
    <font>
      <sz val="30"/>
      <name val="HY견고딕"/>
      <family val="1"/>
      <charset val="129"/>
    </font>
    <font>
      <b/>
      <sz val="16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i/>
      <sz val="11"/>
      <name val="굴림"/>
      <family val="3"/>
      <charset val="129"/>
    </font>
    <font>
      <b/>
      <i/>
      <sz val="11"/>
      <name val="굴림"/>
      <family val="3"/>
      <charset val="129"/>
    </font>
    <font>
      <sz val="14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  <font>
      <b/>
      <u val="double"/>
      <sz val="12"/>
      <name val="굴림"/>
      <family val="3"/>
      <charset val="129"/>
    </font>
    <font>
      <b/>
      <sz val="10"/>
      <name val="굴림"/>
      <family val="3"/>
      <charset val="129"/>
    </font>
    <font>
      <sz val="10"/>
      <name val="굴림"/>
      <family val="3"/>
      <charset val="129"/>
    </font>
    <font>
      <b/>
      <sz val="11"/>
      <color indexed="8"/>
      <name val="HY헤드라인M"/>
      <family val="1"/>
      <charset val="129"/>
    </font>
    <font>
      <sz val="16"/>
      <color indexed="8"/>
      <name val="HY헤드라인M"/>
      <family val="1"/>
      <charset val="129"/>
    </font>
    <font>
      <sz val="12"/>
      <color indexed="8"/>
      <name val="HY헤드라인M"/>
      <family val="1"/>
      <charset val="129"/>
    </font>
    <font>
      <sz val="11"/>
      <color indexed="8"/>
      <name val="HY헤드라인M"/>
      <family val="1"/>
      <charset val="129"/>
    </font>
    <font>
      <sz val="11"/>
      <name val="HY헤드라인M"/>
      <family val="1"/>
      <charset val="129"/>
    </font>
    <font>
      <b/>
      <sz val="11"/>
      <color indexed="12"/>
      <name val="굴림"/>
      <family val="3"/>
      <charset val="129"/>
    </font>
    <font>
      <sz val="11"/>
      <name val="궁서"/>
      <family val="1"/>
      <charset val="129"/>
    </font>
    <font>
      <sz val="10"/>
      <name val="궁서"/>
      <family val="1"/>
      <charset val="129"/>
    </font>
    <font>
      <b/>
      <sz val="11"/>
      <color indexed="10"/>
      <name val="굴림"/>
      <family val="3"/>
      <charset val="129"/>
    </font>
    <font>
      <sz val="11"/>
      <color indexed="10"/>
      <name val="굴림"/>
      <family val="3"/>
      <charset val="129"/>
    </font>
    <font>
      <sz val="12"/>
      <name val="HY헤드라인M"/>
      <family val="1"/>
      <charset val="129"/>
    </font>
    <font>
      <sz val="14"/>
      <name val="HY헤드라인M"/>
      <family val="1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2"/>
      <name val="바탕체"/>
      <family val="1"/>
      <charset val="129"/>
    </font>
    <font>
      <sz val="9.35"/>
      <name val="굴림"/>
      <family val="3"/>
      <charset val="129"/>
    </font>
    <font>
      <sz val="11"/>
      <name val="HY견명조"/>
      <family val="1"/>
      <charset val="129"/>
    </font>
  </fonts>
  <fills count="8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27">
    <border>
      <left/>
      <right/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hair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6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7" fillId="0" borderId="0"/>
    <xf numFmtId="0" fontId="29" fillId="0" borderId="0"/>
    <xf numFmtId="0" fontId="27" fillId="0" borderId="0"/>
  </cellStyleXfs>
  <cellXfs count="480">
    <xf numFmtId="0" fontId="0" fillId="0" borderId="0" xfId="0"/>
    <xf numFmtId="0" fontId="1" fillId="0" borderId="0" xfId="0" applyFont="1" applyAlignment="1">
      <alignment vertical="center"/>
    </xf>
    <xf numFmtId="0" fontId="5" fillId="0" borderId="0" xfId="0" applyFont="1" applyBorder="1" applyAlignment="1">
      <alignment vertical="center"/>
    </xf>
    <xf numFmtId="0" fontId="4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5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0" fillId="2" borderId="3" xfId="0" applyFill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0" fillId="2" borderId="0" xfId="0" applyFill="1" applyAlignment="1">
      <alignment vertical="center"/>
    </xf>
    <xf numFmtId="0" fontId="7" fillId="2" borderId="0" xfId="0" applyFont="1" applyFill="1" applyBorder="1" applyAlignment="1">
      <alignment horizontal="right" vertical="center"/>
    </xf>
    <xf numFmtId="0" fontId="8" fillId="2" borderId="0" xfId="0" applyFont="1" applyFill="1" applyAlignment="1">
      <alignment vertical="center"/>
    </xf>
    <xf numFmtId="0" fontId="7" fillId="2" borderId="0" xfId="0" applyFont="1" applyFill="1" applyAlignment="1">
      <alignment horizontal="left"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0" fontId="12" fillId="2" borderId="0" xfId="0" applyFont="1" applyFill="1" applyBorder="1" applyAlignment="1">
      <alignment horizontal="left" vertical="center"/>
    </xf>
    <xf numFmtId="0" fontId="12" fillId="0" borderId="0" xfId="0" applyFont="1" applyBorder="1" applyAlignment="1">
      <alignment horizontal="left" vertical="center"/>
    </xf>
    <xf numFmtId="0" fontId="10" fillId="0" borderId="0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11" xfId="0" applyFont="1" applyBorder="1" applyAlignment="1">
      <alignment horizontal="center" vertical="center"/>
    </xf>
    <xf numFmtId="0" fontId="0" fillId="0" borderId="12" xfId="0" applyFont="1" applyBorder="1" applyAlignment="1">
      <alignment horizontal="center" vertical="center"/>
    </xf>
    <xf numFmtId="0" fontId="0" fillId="0" borderId="12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1" fillId="0" borderId="13" xfId="0" applyFont="1" applyFill="1" applyBorder="1" applyAlignment="1">
      <alignment horizontal="center" vertical="center"/>
    </xf>
    <xf numFmtId="176" fontId="1" fillId="0" borderId="16" xfId="0" applyNumberFormat="1" applyFont="1" applyFill="1" applyBorder="1" applyAlignment="1">
      <alignment horizontal="center" vertical="center"/>
    </xf>
    <xf numFmtId="176" fontId="1" fillId="0" borderId="18" xfId="0" applyNumberFormat="1" applyFont="1" applyFill="1" applyBorder="1" applyAlignment="1">
      <alignment horizontal="right" vertical="center"/>
    </xf>
    <xf numFmtId="176" fontId="1" fillId="0" borderId="19" xfId="0" applyNumberFormat="1" applyFont="1" applyFill="1" applyBorder="1" applyAlignment="1">
      <alignment horizontal="right" vertical="center"/>
    </xf>
    <xf numFmtId="0" fontId="0" fillId="0" borderId="13" xfId="0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1" fillId="0" borderId="20" xfId="0" applyFont="1" applyFill="1" applyBorder="1" applyAlignment="1">
      <alignment horizontal="center" vertical="center"/>
    </xf>
    <xf numFmtId="176" fontId="1" fillId="0" borderId="23" xfId="0" applyNumberFormat="1" applyFont="1" applyFill="1" applyBorder="1" applyAlignment="1">
      <alignment horizontal="center" vertical="center"/>
    </xf>
    <xf numFmtId="0" fontId="0" fillId="0" borderId="24" xfId="0" applyFill="1" applyBorder="1" applyAlignment="1">
      <alignment horizontal="center" vertical="center"/>
    </xf>
    <xf numFmtId="176" fontId="1" fillId="0" borderId="3" xfId="0" applyNumberFormat="1" applyFont="1" applyFill="1" applyBorder="1" applyAlignment="1">
      <alignment horizontal="right" vertical="center"/>
    </xf>
    <xf numFmtId="176" fontId="1" fillId="0" borderId="25" xfId="0" applyNumberFormat="1" applyFont="1" applyFill="1" applyBorder="1" applyAlignment="1">
      <alignment horizontal="right" vertical="center"/>
    </xf>
    <xf numFmtId="0" fontId="1" fillId="0" borderId="20" xfId="0" applyFont="1" applyFill="1" applyBorder="1" applyAlignment="1">
      <alignment vertical="center"/>
    </xf>
    <xf numFmtId="176" fontId="1" fillId="0" borderId="23" xfId="0" applyNumberFormat="1" applyFont="1" applyFill="1" applyBorder="1" applyAlignment="1">
      <alignment horizontal="right" vertical="center"/>
    </xf>
    <xf numFmtId="0" fontId="0" fillId="0" borderId="24" xfId="0" applyFill="1" applyBorder="1" applyAlignment="1">
      <alignment vertical="center"/>
    </xf>
    <xf numFmtId="176" fontId="1" fillId="0" borderId="22" xfId="0" applyNumberFormat="1" applyFont="1" applyFill="1" applyBorder="1" applyAlignment="1">
      <alignment horizontal="right" vertical="center"/>
    </xf>
    <xf numFmtId="0" fontId="1" fillId="0" borderId="21" xfId="0" applyFont="1" applyFill="1" applyBorder="1" applyAlignment="1">
      <alignment horizontal="center" vertical="center"/>
    </xf>
    <xf numFmtId="0" fontId="1" fillId="0" borderId="26" xfId="0" applyFont="1" applyFill="1" applyBorder="1" applyAlignment="1">
      <alignment horizontal="center" vertical="center"/>
    </xf>
    <xf numFmtId="176" fontId="1" fillId="0" borderId="28" xfId="0" applyNumberFormat="1" applyFont="1" applyFill="1" applyBorder="1" applyAlignment="1">
      <alignment horizontal="right" vertical="center"/>
    </xf>
    <xf numFmtId="0" fontId="0" fillId="0" borderId="29" xfId="0" applyFill="1" applyBorder="1" applyAlignment="1">
      <alignment vertical="center"/>
    </xf>
    <xf numFmtId="176" fontId="1" fillId="0" borderId="30" xfId="0" applyNumberFormat="1" applyFont="1" applyFill="1" applyBorder="1" applyAlignment="1">
      <alignment horizontal="right" vertical="center"/>
    </xf>
    <xf numFmtId="176" fontId="1" fillId="0" borderId="27" xfId="0" applyNumberFormat="1" applyFont="1" applyFill="1" applyBorder="1" applyAlignment="1">
      <alignment horizontal="right" vertical="center"/>
    </xf>
    <xf numFmtId="0" fontId="1" fillId="0" borderId="31" xfId="0" applyFont="1" applyFill="1" applyBorder="1" applyAlignment="1">
      <alignment vertical="center"/>
    </xf>
    <xf numFmtId="176" fontId="1" fillId="0" borderId="35" xfId="0" applyNumberFormat="1" applyFont="1" applyBorder="1" applyAlignment="1">
      <alignment vertical="center"/>
    </xf>
    <xf numFmtId="176" fontId="1" fillId="0" borderId="36" xfId="0" applyNumberFormat="1" applyFont="1" applyBorder="1" applyAlignment="1">
      <alignment vertical="center"/>
    </xf>
    <xf numFmtId="176" fontId="13" fillId="3" borderId="34" xfId="0" applyNumberFormat="1" applyFont="1" applyFill="1" applyBorder="1" applyAlignment="1">
      <alignment vertical="center"/>
    </xf>
    <xf numFmtId="0" fontId="0" fillId="0" borderId="4" xfId="0" applyFont="1" applyBorder="1" applyAlignment="1">
      <alignment vertical="center"/>
    </xf>
    <xf numFmtId="176" fontId="1" fillId="0" borderId="0" xfId="0" applyNumberFormat="1" applyFont="1" applyAlignment="1">
      <alignment vertical="center"/>
    </xf>
    <xf numFmtId="0" fontId="1" fillId="0" borderId="0" xfId="0" applyFont="1" applyBorder="1" applyAlignment="1">
      <alignment vertical="center"/>
    </xf>
    <xf numFmtId="176" fontId="1" fillId="0" borderId="37" xfId="0" applyNumberFormat="1" applyFont="1" applyBorder="1" applyAlignment="1">
      <alignment horizontal="center" vertical="center"/>
    </xf>
    <xf numFmtId="176" fontId="1" fillId="0" borderId="0" xfId="0" applyNumberFormat="1" applyFont="1" applyBorder="1" applyAlignment="1">
      <alignment horizontal="center" vertical="center"/>
    </xf>
    <xf numFmtId="176" fontId="1" fillId="0" borderId="0" xfId="0" applyNumberFormat="1" applyFont="1" applyBorder="1" applyAlignment="1">
      <alignment vertical="center"/>
    </xf>
    <xf numFmtId="176" fontId="1" fillId="0" borderId="4" xfId="0" applyNumberFormat="1" applyFont="1" applyBorder="1" applyAlignment="1">
      <alignment vertical="center"/>
    </xf>
    <xf numFmtId="0" fontId="1" fillId="0" borderId="41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3" fontId="1" fillId="0" borderId="0" xfId="0" applyNumberFormat="1" applyFont="1" applyFill="1" applyAlignment="1">
      <alignment vertical="center"/>
    </xf>
    <xf numFmtId="3" fontId="1" fillId="0" borderId="0" xfId="0" applyNumberFormat="1" applyFont="1" applyFill="1" applyAlignment="1">
      <alignment horizontal="center" vertical="center"/>
    </xf>
    <xf numFmtId="179" fontId="1" fillId="0" borderId="0" xfId="0" applyNumberFormat="1" applyFont="1" applyFill="1" applyAlignment="1">
      <alignment horizontal="center" vertical="center"/>
    </xf>
    <xf numFmtId="179" fontId="1" fillId="0" borderId="0" xfId="0" applyNumberFormat="1" applyFont="1" applyFill="1" applyAlignment="1">
      <alignment vertical="center"/>
    </xf>
    <xf numFmtId="4" fontId="1" fillId="0" borderId="0" xfId="0" applyNumberFormat="1" applyFont="1" applyFill="1" applyAlignment="1">
      <alignment vertical="center"/>
    </xf>
    <xf numFmtId="3" fontId="15" fillId="0" borderId="0" xfId="0" applyNumberFormat="1" applyFont="1" applyFill="1" applyAlignment="1">
      <alignment vertical="center"/>
    </xf>
    <xf numFmtId="3" fontId="16" fillId="0" borderId="0" xfId="0" applyNumberFormat="1" applyFont="1" applyFill="1" applyAlignment="1">
      <alignment vertical="center"/>
    </xf>
    <xf numFmtId="3" fontId="18" fillId="0" borderId="0" xfId="0" applyNumberFormat="1" applyFont="1" applyFill="1" applyAlignment="1">
      <alignment vertical="center"/>
    </xf>
    <xf numFmtId="3" fontId="18" fillId="0" borderId="0" xfId="0" applyNumberFormat="1" applyFont="1" applyFill="1" applyAlignment="1">
      <alignment horizontal="center" vertical="center"/>
    </xf>
    <xf numFmtId="179" fontId="18" fillId="0" borderId="0" xfId="0" applyNumberFormat="1" applyFont="1" applyFill="1" applyAlignment="1">
      <alignment horizontal="center" vertical="center"/>
    </xf>
    <xf numFmtId="179" fontId="18" fillId="0" borderId="0" xfId="0" applyNumberFormat="1" applyFont="1" applyFill="1" applyAlignment="1">
      <alignment vertical="center"/>
    </xf>
    <xf numFmtId="4" fontId="19" fillId="0" borderId="0" xfId="0" applyNumberFormat="1" applyFont="1" applyFill="1" applyAlignment="1">
      <alignment vertical="center"/>
    </xf>
    <xf numFmtId="3" fontId="19" fillId="0" borderId="0" xfId="0" applyNumberFormat="1" applyFont="1" applyFill="1" applyAlignment="1">
      <alignment vertical="center"/>
    </xf>
    <xf numFmtId="3" fontId="10" fillId="0" borderId="0" xfId="0" applyNumberFormat="1" applyFont="1" applyFill="1" applyAlignment="1">
      <alignment vertical="center"/>
    </xf>
    <xf numFmtId="3" fontId="5" fillId="0" borderId="0" xfId="0" applyNumberFormat="1" applyFont="1" applyFill="1" applyAlignment="1">
      <alignment vertical="center"/>
    </xf>
    <xf numFmtId="3" fontId="1" fillId="0" borderId="51" xfId="0" applyNumberFormat="1" applyFont="1" applyFill="1" applyBorder="1" applyAlignment="1">
      <alignment horizontal="center" vertical="center"/>
    </xf>
    <xf numFmtId="3" fontId="1" fillId="0" borderId="54" xfId="0" applyNumberFormat="1" applyFont="1" applyFill="1" applyBorder="1" applyAlignment="1">
      <alignment horizontal="center" vertical="center"/>
    </xf>
    <xf numFmtId="179" fontId="1" fillId="0" borderId="54" xfId="0" applyNumberFormat="1" applyFont="1" applyFill="1" applyBorder="1" applyAlignment="1">
      <alignment horizontal="center" vertical="center"/>
    </xf>
    <xf numFmtId="3" fontId="1" fillId="0" borderId="55" xfId="0" applyNumberFormat="1" applyFont="1" applyFill="1" applyBorder="1" applyAlignment="1">
      <alignment horizontal="center" vertical="center"/>
    </xf>
    <xf numFmtId="4" fontId="1" fillId="0" borderId="0" xfId="0" applyNumberFormat="1" applyFont="1" applyFill="1" applyAlignment="1">
      <alignment horizontal="center" vertical="center"/>
    </xf>
    <xf numFmtId="3" fontId="1" fillId="0" borderId="56" xfId="0" applyNumberFormat="1" applyFont="1" applyFill="1" applyBorder="1" applyAlignment="1">
      <alignment horizontal="center" vertical="center"/>
    </xf>
    <xf numFmtId="3" fontId="1" fillId="0" borderId="60" xfId="0" applyNumberFormat="1" applyFont="1" applyFill="1" applyBorder="1" applyAlignment="1">
      <alignment horizontal="center" vertical="center"/>
    </xf>
    <xf numFmtId="179" fontId="1" fillId="0" borderId="60" xfId="0" applyNumberFormat="1" applyFont="1" applyFill="1" applyBorder="1" applyAlignment="1">
      <alignment horizontal="center" vertical="center"/>
    </xf>
    <xf numFmtId="3" fontId="1" fillId="0" borderId="61" xfId="0" applyNumberFormat="1" applyFont="1" applyFill="1" applyBorder="1" applyAlignment="1">
      <alignment horizontal="center" vertical="center"/>
    </xf>
    <xf numFmtId="3" fontId="1" fillId="0" borderId="64" xfId="0" applyNumberFormat="1" applyFont="1" applyFill="1" applyBorder="1" applyAlignment="1">
      <alignment horizontal="center" vertical="center"/>
    </xf>
    <xf numFmtId="3" fontId="14" fillId="0" borderId="64" xfId="0" applyNumberFormat="1" applyFont="1" applyFill="1" applyBorder="1" applyAlignment="1">
      <alignment horizontal="center" vertical="center"/>
    </xf>
    <xf numFmtId="179" fontId="1" fillId="0" borderId="64" xfId="0" applyNumberFormat="1" applyFont="1" applyFill="1" applyBorder="1" applyAlignment="1">
      <alignment horizontal="right" vertical="center"/>
    </xf>
    <xf numFmtId="179" fontId="1" fillId="0" borderId="64" xfId="0" applyNumberFormat="1" applyFont="1" applyFill="1" applyBorder="1" applyAlignment="1">
      <alignment vertical="center"/>
    </xf>
    <xf numFmtId="3" fontId="1" fillId="0" borderId="65" xfId="0" applyNumberFormat="1" applyFont="1" applyFill="1" applyBorder="1" applyAlignment="1">
      <alignment vertical="center"/>
    </xf>
    <xf numFmtId="3" fontId="1" fillId="0" borderId="3" xfId="0" applyNumberFormat="1" applyFont="1" applyFill="1" applyBorder="1" applyAlignment="1">
      <alignment horizontal="center" vertical="center"/>
    </xf>
    <xf numFmtId="3" fontId="14" fillId="0" borderId="3" xfId="0" applyNumberFormat="1" applyFont="1" applyFill="1" applyBorder="1" applyAlignment="1">
      <alignment horizontal="center" vertical="center"/>
    </xf>
    <xf numFmtId="179" fontId="1" fillId="0" borderId="3" xfId="2" applyNumberFormat="1" applyFont="1" applyFill="1" applyBorder="1" applyAlignment="1">
      <alignment horizontal="right" vertical="center"/>
    </xf>
    <xf numFmtId="179" fontId="1" fillId="0" borderId="3" xfId="0" applyNumberFormat="1" applyFont="1" applyFill="1" applyBorder="1" applyAlignment="1">
      <alignment vertical="center"/>
    </xf>
    <xf numFmtId="3" fontId="1" fillId="0" borderId="66" xfId="0" applyNumberFormat="1" applyFont="1" applyFill="1" applyBorder="1" applyAlignment="1">
      <alignment vertical="center"/>
    </xf>
    <xf numFmtId="179" fontId="1" fillId="0" borderId="3" xfId="0" applyNumberFormat="1" applyFont="1" applyFill="1" applyBorder="1" applyAlignment="1">
      <alignment horizontal="right" vertical="center"/>
    </xf>
    <xf numFmtId="3" fontId="0" fillId="4" borderId="3" xfId="0" applyNumberFormat="1" applyFill="1" applyBorder="1" applyAlignment="1">
      <alignment horizontal="center" vertical="center"/>
    </xf>
    <xf numFmtId="3" fontId="14" fillId="4" borderId="3" xfId="0" applyNumberFormat="1" applyFont="1" applyFill="1" applyBorder="1" applyAlignment="1">
      <alignment horizontal="center" vertical="center"/>
    </xf>
    <xf numFmtId="179" fontId="1" fillId="4" borderId="3" xfId="0" applyNumberFormat="1" applyFont="1" applyFill="1" applyBorder="1" applyAlignment="1">
      <alignment horizontal="right" vertical="center"/>
    </xf>
    <xf numFmtId="179" fontId="1" fillId="4" borderId="3" xfId="0" applyNumberFormat="1" applyFont="1" applyFill="1" applyBorder="1" applyAlignment="1">
      <alignment vertical="center"/>
    </xf>
    <xf numFmtId="3" fontId="0" fillId="0" borderId="66" xfId="0" applyNumberFormat="1" applyFill="1" applyBorder="1" applyAlignment="1">
      <alignment vertical="center"/>
    </xf>
    <xf numFmtId="3" fontId="1" fillId="0" borderId="68" xfId="0" applyNumberFormat="1" applyFont="1" applyFill="1" applyBorder="1" applyAlignment="1">
      <alignment horizontal="center" vertical="center"/>
    </xf>
    <xf numFmtId="179" fontId="5" fillId="0" borderId="3" xfId="0" applyNumberFormat="1" applyFont="1" applyFill="1" applyBorder="1" applyAlignment="1">
      <alignment vertical="center"/>
    </xf>
    <xf numFmtId="3" fontId="1" fillId="4" borderId="3" xfId="0" applyNumberFormat="1" applyFont="1" applyFill="1" applyBorder="1" applyAlignment="1">
      <alignment horizontal="center" vertical="center"/>
    </xf>
    <xf numFmtId="3" fontId="1" fillId="0" borderId="1" xfId="0" applyNumberFormat="1" applyFont="1" applyFill="1" applyBorder="1" applyAlignment="1">
      <alignment horizontal="left" vertical="center"/>
    </xf>
    <xf numFmtId="3" fontId="1" fillId="0" borderId="70" xfId="0" applyNumberFormat="1" applyFont="1" applyFill="1" applyBorder="1" applyAlignment="1">
      <alignment horizontal="center" vertical="center"/>
    </xf>
    <xf numFmtId="179" fontId="5" fillId="0" borderId="71" xfId="0" applyNumberFormat="1" applyFont="1" applyFill="1" applyBorder="1" applyAlignment="1">
      <alignment vertical="center"/>
    </xf>
    <xf numFmtId="3" fontId="1" fillId="0" borderId="72" xfId="0" applyNumberFormat="1" applyFont="1" applyFill="1" applyBorder="1" applyAlignment="1">
      <alignment vertical="center"/>
    </xf>
    <xf numFmtId="3" fontId="1" fillId="0" borderId="50" xfId="0" applyNumberFormat="1" applyFont="1" applyFill="1" applyBorder="1" applyAlignment="1">
      <alignment horizontal="center" vertical="center"/>
    </xf>
    <xf numFmtId="3" fontId="1" fillId="0" borderId="75" xfId="0" applyNumberFormat="1" applyFont="1" applyFill="1" applyBorder="1" applyAlignment="1">
      <alignment horizontal="center" vertical="center"/>
    </xf>
    <xf numFmtId="179" fontId="5" fillId="0" borderId="30" xfId="0" applyNumberFormat="1" applyFont="1" applyFill="1" applyBorder="1" applyAlignment="1">
      <alignment vertical="center"/>
    </xf>
    <xf numFmtId="3" fontId="1" fillId="0" borderId="76" xfId="0" applyNumberFormat="1" applyFont="1" applyFill="1" applyBorder="1" applyAlignment="1">
      <alignment vertical="center"/>
    </xf>
    <xf numFmtId="3" fontId="1" fillId="0" borderId="77" xfId="0" applyNumberFormat="1" applyFont="1" applyFill="1" applyBorder="1" applyAlignment="1">
      <alignment horizontal="center" vertical="center"/>
    </xf>
    <xf numFmtId="3" fontId="14" fillId="0" borderId="77" xfId="0" applyNumberFormat="1" applyFont="1" applyFill="1" applyBorder="1" applyAlignment="1">
      <alignment horizontal="center" vertical="center"/>
    </xf>
    <xf numFmtId="179" fontId="1" fillId="0" borderId="77" xfId="0" applyNumberFormat="1" applyFont="1" applyFill="1" applyBorder="1" applyAlignment="1">
      <alignment vertical="center"/>
    </xf>
    <xf numFmtId="3" fontId="1" fillId="0" borderId="78" xfId="0" applyNumberFormat="1" applyFont="1" applyFill="1" applyBorder="1" applyAlignment="1">
      <alignment vertical="center"/>
    </xf>
    <xf numFmtId="3" fontId="14" fillId="4" borderId="64" xfId="0" applyNumberFormat="1" applyFont="1" applyFill="1" applyBorder="1" applyAlignment="1">
      <alignment horizontal="center" vertical="center"/>
    </xf>
    <xf numFmtId="179" fontId="1" fillId="4" borderId="64" xfId="0" applyNumberFormat="1" applyFont="1" applyFill="1" applyBorder="1" applyAlignment="1">
      <alignment vertical="center"/>
    </xf>
    <xf numFmtId="179" fontId="5" fillId="0" borderId="77" xfId="0" applyNumberFormat="1" applyFont="1" applyFill="1" applyBorder="1" applyAlignment="1">
      <alignment vertical="center"/>
    </xf>
    <xf numFmtId="179" fontId="5" fillId="0" borderId="12" xfId="0" applyNumberFormat="1" applyFont="1" applyFill="1" applyBorder="1" applyAlignment="1">
      <alignment vertical="center"/>
    </xf>
    <xf numFmtId="3" fontId="1" fillId="0" borderId="83" xfId="0" applyNumberFormat="1" applyFont="1" applyFill="1" applyBorder="1" applyAlignment="1">
      <alignment vertical="center"/>
    </xf>
    <xf numFmtId="3" fontId="1" fillId="0" borderId="84" xfId="0" applyNumberFormat="1" applyFont="1" applyFill="1" applyBorder="1" applyAlignment="1">
      <alignment horizontal="center" vertical="center"/>
    </xf>
    <xf numFmtId="179" fontId="5" fillId="3" borderId="89" xfId="0" applyNumberFormat="1" applyFont="1" applyFill="1" applyBorder="1" applyAlignment="1">
      <alignment vertical="center"/>
    </xf>
    <xf numFmtId="3" fontId="1" fillId="0" borderId="25" xfId="0" applyNumberFormat="1" applyFont="1" applyFill="1" applyBorder="1" applyAlignment="1">
      <alignment vertical="center"/>
    </xf>
    <xf numFmtId="3" fontId="1" fillId="0" borderId="23" xfId="0" applyNumberFormat="1" applyFont="1" applyFill="1" applyBorder="1" applyAlignment="1">
      <alignment horizontal="center" vertical="center"/>
    </xf>
    <xf numFmtId="179" fontId="5" fillId="0" borderId="64" xfId="0" applyNumberFormat="1" applyFont="1" applyFill="1" applyBorder="1" applyAlignment="1">
      <alignment vertical="center"/>
    </xf>
    <xf numFmtId="3" fontId="14" fillId="4" borderId="66" xfId="0" applyNumberFormat="1" applyFont="1" applyFill="1" applyBorder="1" applyAlignment="1">
      <alignment vertical="center" wrapText="1"/>
    </xf>
    <xf numFmtId="10" fontId="1" fillId="0" borderId="0" xfId="2" applyNumberFormat="1" applyFont="1" applyFill="1" applyAlignment="1">
      <alignment vertical="center"/>
    </xf>
    <xf numFmtId="3" fontId="1" fillId="0" borderId="90" xfId="0" applyNumberFormat="1" applyFont="1" applyFill="1" applyBorder="1" applyAlignment="1">
      <alignment horizontal="center" vertical="center"/>
    </xf>
    <xf numFmtId="3" fontId="1" fillId="0" borderId="91" xfId="0" applyNumberFormat="1" applyFont="1" applyFill="1" applyBorder="1" applyAlignment="1">
      <alignment horizontal="left" vertical="center"/>
    </xf>
    <xf numFmtId="179" fontId="5" fillId="0" borderId="93" xfId="0" applyNumberFormat="1" applyFont="1" applyFill="1" applyBorder="1" applyAlignment="1">
      <alignment vertical="center"/>
    </xf>
    <xf numFmtId="3" fontId="1" fillId="0" borderId="95" xfId="0" applyNumberFormat="1" applyFont="1" applyFill="1" applyBorder="1" applyAlignment="1">
      <alignment vertical="center"/>
    </xf>
    <xf numFmtId="3" fontId="0" fillId="0" borderId="0" xfId="0" applyNumberFormat="1" applyFill="1" applyAlignment="1">
      <alignment vertical="center"/>
    </xf>
    <xf numFmtId="179" fontId="0" fillId="0" borderId="3" xfId="0" applyNumberFormat="1" applyFont="1" applyFill="1" applyBorder="1" applyAlignment="1">
      <alignment horizontal="center" vertical="center"/>
    </xf>
    <xf numFmtId="3" fontId="0" fillId="0" borderId="3" xfId="0" applyNumberFormat="1" applyFont="1" applyFill="1" applyBorder="1" applyAlignment="1">
      <alignment horizontal="center" vertical="center"/>
    </xf>
    <xf numFmtId="4" fontId="0" fillId="0" borderId="3" xfId="0" applyNumberFormat="1" applyFont="1" applyFill="1" applyBorder="1" applyAlignment="1">
      <alignment horizontal="center" vertical="center"/>
    </xf>
    <xf numFmtId="3" fontId="0" fillId="0" borderId="3" xfId="0" applyNumberFormat="1" applyFont="1" applyFill="1" applyBorder="1" applyAlignment="1">
      <alignment vertical="center"/>
    </xf>
    <xf numFmtId="3" fontId="0" fillId="4" borderId="3" xfId="0" applyNumberFormat="1" applyFont="1" applyFill="1" applyBorder="1" applyAlignment="1">
      <alignment vertical="center"/>
    </xf>
    <xf numFmtId="179" fontId="0" fillId="0" borderId="0" xfId="0" applyNumberFormat="1" applyFont="1" applyFill="1" applyAlignment="1">
      <alignment horizontal="left" vertical="center"/>
    </xf>
    <xf numFmtId="0" fontId="0" fillId="0" borderId="0" xfId="0" applyAlignment="1">
      <alignment vertical="center"/>
    </xf>
    <xf numFmtId="0" fontId="0" fillId="0" borderId="7" xfId="0" applyBorder="1" applyAlignment="1">
      <alignment horizontal="center" vertical="center"/>
    </xf>
    <xf numFmtId="0" fontId="0" fillId="0" borderId="54" xfId="0" applyFill="1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96" xfId="0" applyBorder="1" applyAlignment="1">
      <alignment horizontal="center" vertical="center"/>
    </xf>
    <xf numFmtId="0" fontId="0" fillId="0" borderId="97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21" fillId="0" borderId="51" xfId="0" applyFont="1" applyBorder="1" applyAlignment="1">
      <alignment horizontal="center" vertical="center"/>
    </xf>
    <xf numFmtId="0" fontId="21" fillId="0" borderId="54" xfId="0" applyFont="1" applyBorder="1" applyAlignment="1">
      <alignment horizontal="center" vertical="center"/>
    </xf>
    <xf numFmtId="0" fontId="21" fillId="0" borderId="55" xfId="0" applyFont="1" applyBorder="1" applyAlignment="1">
      <alignment horizontal="center" vertical="center"/>
    </xf>
    <xf numFmtId="0" fontId="0" fillId="0" borderId="98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99" xfId="0" applyBorder="1" applyAlignment="1">
      <alignment horizontal="center" vertical="center"/>
    </xf>
    <xf numFmtId="0" fontId="0" fillId="0" borderId="100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1" xfId="0" applyBorder="1" applyAlignment="1">
      <alignment horizontal="center" vertical="center"/>
    </xf>
    <xf numFmtId="0" fontId="21" fillId="0" borderId="56" xfId="0" applyFont="1" applyBorder="1" applyAlignment="1">
      <alignment horizontal="center" vertical="center"/>
    </xf>
    <xf numFmtId="0" fontId="21" fillId="0" borderId="60" xfId="0" applyFont="1" applyBorder="1" applyAlignment="1">
      <alignment horizontal="center" vertical="center"/>
    </xf>
    <xf numFmtId="0" fontId="21" fillId="0" borderId="61" xfId="0" applyFont="1" applyBorder="1" applyAlignment="1">
      <alignment horizontal="center" vertical="center"/>
    </xf>
    <xf numFmtId="0" fontId="1" fillId="0" borderId="59" xfId="0" applyFont="1" applyBorder="1" applyAlignment="1">
      <alignment horizontal="center" vertical="center"/>
    </xf>
    <xf numFmtId="0" fontId="1" fillId="0" borderId="60" xfId="0" applyFont="1" applyFill="1" applyBorder="1" applyAlignment="1">
      <alignment horizontal="center" vertical="center"/>
    </xf>
    <xf numFmtId="0" fontId="1" fillId="0" borderId="60" xfId="0" applyFont="1" applyBorder="1" applyAlignment="1">
      <alignment horizontal="center" vertical="center"/>
    </xf>
    <xf numFmtId="0" fontId="0" fillId="0" borderId="102" xfId="0" applyBorder="1" applyAlignment="1">
      <alignment horizontal="center" vertical="center"/>
    </xf>
    <xf numFmtId="0" fontId="0" fillId="0" borderId="103" xfId="0" applyBorder="1" applyAlignment="1">
      <alignment horizontal="center" vertical="center"/>
    </xf>
    <xf numFmtId="0" fontId="0" fillId="0" borderId="104" xfId="0" applyBorder="1" applyAlignment="1">
      <alignment horizontal="center" vertical="center"/>
    </xf>
    <xf numFmtId="176" fontId="0" fillId="0" borderId="105" xfId="0" applyNumberFormat="1" applyBorder="1" applyAlignment="1">
      <alignment horizontal="center" vertical="center"/>
    </xf>
    <xf numFmtId="176" fontId="0" fillId="0" borderId="105" xfId="0" applyNumberFormat="1" applyFill="1" applyBorder="1" applyAlignment="1">
      <alignment horizontal="left" vertical="center"/>
    </xf>
    <xf numFmtId="176" fontId="0" fillId="0" borderId="105" xfId="0" applyNumberFormat="1" applyFill="1" applyBorder="1" applyAlignment="1">
      <alignment horizontal="center" vertical="center"/>
    </xf>
    <xf numFmtId="176" fontId="21" fillId="0" borderId="106" xfId="0" applyNumberFormat="1" applyFont="1" applyFill="1" applyBorder="1" applyAlignment="1">
      <alignment vertical="center"/>
    </xf>
    <xf numFmtId="176" fontId="21" fillId="0" borderId="107" xfId="0" applyNumberFormat="1" applyFont="1" applyFill="1" applyBorder="1" applyAlignment="1">
      <alignment vertical="center"/>
    </xf>
    <xf numFmtId="176" fontId="21" fillId="0" borderId="108" xfId="0" applyNumberFormat="1" applyFont="1" applyFill="1" applyBorder="1" applyAlignment="1">
      <alignment vertical="center"/>
    </xf>
    <xf numFmtId="176" fontId="1" fillId="0" borderId="109" xfId="0" applyNumberFormat="1" applyFont="1" applyFill="1" applyBorder="1" applyAlignment="1">
      <alignment vertical="center"/>
    </xf>
    <xf numFmtId="176" fontId="1" fillId="0" borderId="107" xfId="0" applyNumberFormat="1" applyFont="1" applyFill="1" applyBorder="1" applyAlignment="1">
      <alignment vertical="center"/>
    </xf>
    <xf numFmtId="176" fontId="0" fillId="0" borderId="110" xfId="0" applyNumberFormat="1" applyFill="1" applyBorder="1" applyAlignment="1">
      <alignment vertical="center"/>
    </xf>
    <xf numFmtId="176" fontId="0" fillId="0" borderId="111" xfId="0" applyNumberFormat="1" applyBorder="1" applyAlignment="1">
      <alignment vertical="center"/>
    </xf>
    <xf numFmtId="176" fontId="0" fillId="0" borderId="112" xfId="0" applyNumberFormat="1" applyBorder="1" applyAlignment="1">
      <alignment vertical="center"/>
    </xf>
    <xf numFmtId="176" fontId="0" fillId="0" borderId="0" xfId="0" applyNumberFormat="1" applyAlignment="1">
      <alignment vertical="center"/>
    </xf>
    <xf numFmtId="176" fontId="0" fillId="0" borderId="20" xfId="0" applyNumberFormat="1" applyBorder="1" applyAlignment="1">
      <alignment horizontal="center" vertical="center"/>
    </xf>
    <xf numFmtId="176" fontId="0" fillId="0" borderId="20" xfId="0" applyNumberFormat="1" applyFill="1" applyBorder="1" applyAlignment="1">
      <alignment horizontal="left" vertical="center"/>
    </xf>
    <xf numFmtId="176" fontId="0" fillId="0" borderId="20" xfId="0" applyNumberFormat="1" applyFill="1" applyBorder="1" applyAlignment="1">
      <alignment horizontal="center" vertical="center"/>
    </xf>
    <xf numFmtId="176" fontId="21" fillId="0" borderId="23" xfId="0" applyNumberFormat="1" applyFont="1" applyFill="1" applyBorder="1" applyAlignment="1">
      <alignment vertical="center"/>
    </xf>
    <xf numFmtId="176" fontId="21" fillId="0" borderId="3" xfId="0" applyNumberFormat="1" applyFont="1" applyFill="1" applyBorder="1" applyAlignment="1">
      <alignment vertical="center"/>
    </xf>
    <xf numFmtId="176" fontId="21" fillId="0" borderId="66" xfId="0" applyNumberFormat="1" applyFont="1" applyFill="1" applyBorder="1" applyAlignment="1">
      <alignment vertical="center"/>
    </xf>
    <xf numFmtId="176" fontId="1" fillId="0" borderId="68" xfId="0" applyNumberFormat="1" applyFont="1" applyFill="1" applyBorder="1" applyAlignment="1">
      <alignment vertical="center"/>
    </xf>
    <xf numFmtId="176" fontId="1" fillId="0" borderId="3" xfId="0" applyNumberFormat="1" applyFont="1" applyFill="1" applyBorder="1" applyAlignment="1">
      <alignment vertical="center"/>
    </xf>
    <xf numFmtId="176" fontId="0" fillId="0" borderId="113" xfId="0" applyNumberFormat="1" applyFill="1" applyBorder="1" applyAlignment="1">
      <alignment vertical="center"/>
    </xf>
    <xf numFmtId="176" fontId="0" fillId="0" borderId="114" xfId="0" applyNumberFormat="1" applyBorder="1" applyAlignment="1">
      <alignment vertical="center"/>
    </xf>
    <xf numFmtId="176" fontId="0" fillId="0" borderId="22" xfId="0" applyNumberFormat="1" applyBorder="1" applyAlignment="1">
      <alignment vertical="center"/>
    </xf>
    <xf numFmtId="176" fontId="0" fillId="0" borderId="114" xfId="0" applyNumberFormat="1" applyFill="1" applyBorder="1" applyAlignment="1">
      <alignment vertical="center"/>
    </xf>
    <xf numFmtId="176" fontId="0" fillId="0" borderId="22" xfId="0" applyNumberFormat="1" applyFill="1" applyBorder="1" applyAlignment="1">
      <alignment vertical="center"/>
    </xf>
    <xf numFmtId="176" fontId="0" fillId="0" borderId="0" xfId="0" applyNumberFormat="1" applyFill="1" applyAlignment="1">
      <alignment vertical="center"/>
    </xf>
    <xf numFmtId="176" fontId="0" fillId="0" borderId="31" xfId="0" applyNumberFormat="1" applyFill="1" applyBorder="1" applyAlignment="1">
      <alignment horizontal="center" vertical="center"/>
    </xf>
    <xf numFmtId="176" fontId="0" fillId="0" borderId="31" xfId="0" applyNumberFormat="1" applyFill="1" applyBorder="1" applyAlignment="1">
      <alignment horizontal="left" vertical="center"/>
    </xf>
    <xf numFmtId="176" fontId="21" fillId="0" borderId="28" xfId="0" applyNumberFormat="1" applyFont="1" applyFill="1" applyBorder="1" applyAlignment="1">
      <alignment vertical="center"/>
    </xf>
    <xf numFmtId="176" fontId="21" fillId="0" borderId="30" xfId="0" applyNumberFormat="1" applyFont="1" applyFill="1" applyBorder="1" applyAlignment="1">
      <alignment vertical="center"/>
    </xf>
    <xf numFmtId="176" fontId="21" fillId="0" borderId="76" xfId="0" applyNumberFormat="1" applyFont="1" applyFill="1" applyBorder="1" applyAlignment="1">
      <alignment vertical="center"/>
    </xf>
    <xf numFmtId="176" fontId="1" fillId="0" borderId="75" xfId="0" applyNumberFormat="1" applyFont="1" applyFill="1" applyBorder="1" applyAlignment="1">
      <alignment vertical="center"/>
    </xf>
    <xf numFmtId="176" fontId="1" fillId="0" borderId="30" xfId="0" applyNumberFormat="1" applyFont="1" applyFill="1" applyBorder="1" applyAlignment="1">
      <alignment vertical="center"/>
    </xf>
    <xf numFmtId="176" fontId="0" fillId="0" borderId="115" xfId="0" applyNumberFormat="1" applyFill="1" applyBorder="1" applyAlignment="1">
      <alignment vertical="center"/>
    </xf>
    <xf numFmtId="176" fontId="0" fillId="0" borderId="116" xfId="0" applyNumberFormat="1" applyFill="1" applyBorder="1" applyAlignment="1">
      <alignment vertical="center"/>
    </xf>
    <xf numFmtId="176" fontId="0" fillId="0" borderId="27" xfId="0" applyNumberFormat="1" applyFill="1" applyBorder="1" applyAlignment="1">
      <alignment vertical="center"/>
    </xf>
    <xf numFmtId="176" fontId="21" fillId="0" borderId="51" xfId="0" applyNumberFormat="1" applyFont="1" applyBorder="1" applyAlignment="1">
      <alignment vertical="center"/>
    </xf>
    <xf numFmtId="176" fontId="21" fillId="0" borderId="54" xfId="0" applyNumberFormat="1" applyFont="1" applyBorder="1" applyAlignment="1">
      <alignment vertical="center"/>
    </xf>
    <xf numFmtId="176" fontId="21" fillId="0" borderId="55" xfId="0" applyNumberFormat="1" applyFont="1" applyBorder="1" applyAlignment="1">
      <alignment vertical="center"/>
    </xf>
    <xf numFmtId="176" fontId="5" fillId="0" borderId="53" xfId="0" applyNumberFormat="1" applyFont="1" applyBorder="1" applyAlignment="1">
      <alignment vertical="center"/>
    </xf>
    <xf numFmtId="176" fontId="5" fillId="0" borderId="54" xfId="0" applyNumberFormat="1" applyFont="1" applyFill="1" applyBorder="1" applyAlignment="1">
      <alignment vertical="center"/>
    </xf>
    <xf numFmtId="176" fontId="5" fillId="0" borderId="54" xfId="0" applyNumberFormat="1" applyFont="1" applyBorder="1" applyAlignment="1">
      <alignment vertical="center"/>
    </xf>
    <xf numFmtId="176" fontId="5" fillId="0" borderId="96" xfId="0" applyNumberFormat="1" applyFont="1" applyBorder="1" applyAlignment="1">
      <alignment vertical="center"/>
    </xf>
    <xf numFmtId="176" fontId="5" fillId="0" borderId="117" xfId="0" applyNumberFormat="1" applyFont="1" applyBorder="1" applyAlignment="1">
      <alignment vertical="center"/>
    </xf>
    <xf numFmtId="176" fontId="0" fillId="0" borderId="6" xfId="0" applyNumberFormat="1" applyBorder="1" applyAlignment="1">
      <alignment vertical="center"/>
    </xf>
    <xf numFmtId="176" fontId="14" fillId="0" borderId="46" xfId="0" applyNumberFormat="1" applyFont="1" applyBorder="1" applyAlignment="1">
      <alignment horizontal="center" vertical="center"/>
    </xf>
    <xf numFmtId="176" fontId="14" fillId="0" borderId="47" xfId="0" applyNumberFormat="1" applyFont="1" applyBorder="1" applyAlignment="1">
      <alignment horizontal="center" vertical="center"/>
    </xf>
    <xf numFmtId="176" fontId="14" fillId="0" borderId="48" xfId="0" applyNumberFormat="1" applyFont="1" applyBorder="1" applyAlignment="1">
      <alignment horizontal="center" vertical="center"/>
    </xf>
    <xf numFmtId="9" fontId="22" fillId="0" borderId="73" xfId="2" applyFont="1" applyBorder="1" applyAlignment="1">
      <alignment vertical="center"/>
    </xf>
    <xf numFmtId="9" fontId="22" fillId="0" borderId="29" xfId="2" applyFont="1" applyBorder="1" applyAlignment="1">
      <alignment vertical="center"/>
    </xf>
    <xf numFmtId="9" fontId="22" fillId="0" borderId="118" xfId="2" applyFont="1" applyBorder="1" applyAlignment="1">
      <alignment vertical="center"/>
    </xf>
    <xf numFmtId="9" fontId="14" fillId="0" borderId="119" xfId="2" applyFont="1" applyBorder="1" applyAlignment="1">
      <alignment vertical="center"/>
    </xf>
    <xf numFmtId="9" fontId="14" fillId="0" borderId="29" xfId="2" applyFont="1" applyFill="1" applyBorder="1" applyAlignment="1">
      <alignment vertical="center"/>
    </xf>
    <xf numFmtId="9" fontId="14" fillId="0" borderId="29" xfId="2" applyFont="1" applyBorder="1" applyAlignment="1">
      <alignment vertical="center"/>
    </xf>
    <xf numFmtId="9" fontId="14" fillId="0" borderId="120" xfId="2" applyFont="1" applyBorder="1" applyAlignment="1">
      <alignment vertical="center"/>
    </xf>
    <xf numFmtId="9" fontId="14" fillId="0" borderId="121" xfId="2" applyFont="1" applyBorder="1" applyAlignment="1">
      <alignment vertical="center"/>
    </xf>
    <xf numFmtId="176" fontId="14" fillId="0" borderId="48" xfId="0" applyNumberFormat="1" applyFont="1" applyBorder="1" applyAlignment="1">
      <alignment vertical="center"/>
    </xf>
    <xf numFmtId="176" fontId="14" fillId="0" borderId="0" xfId="0" applyNumberFormat="1" applyFont="1" applyBorder="1" applyAlignment="1">
      <alignment vertical="center"/>
    </xf>
    <xf numFmtId="179" fontId="0" fillId="0" borderId="0" xfId="0" applyNumberFormat="1" applyAlignment="1">
      <alignment horizontal="center" vertical="center"/>
    </xf>
    <xf numFmtId="179" fontId="0" fillId="0" borderId="0" xfId="0" applyNumberFormat="1" applyAlignment="1">
      <alignment vertical="center"/>
    </xf>
    <xf numFmtId="0" fontId="23" fillId="0" borderId="0" xfId="0" applyFont="1" applyAlignment="1">
      <alignment vertical="center"/>
    </xf>
    <xf numFmtId="41" fontId="23" fillId="0" borderId="0" xfId="1" applyFont="1" applyAlignment="1">
      <alignment vertical="center"/>
    </xf>
    <xf numFmtId="179" fontId="24" fillId="0" borderId="0" xfId="0" applyNumberFormat="1" applyFont="1" applyAlignment="1">
      <alignment vertical="center"/>
    </xf>
    <xf numFmtId="0" fontId="10" fillId="0" borderId="0" xfId="0" applyFont="1" applyAlignment="1">
      <alignment horizontal="right" vertical="center"/>
    </xf>
    <xf numFmtId="180" fontId="25" fillId="0" borderId="47" xfId="0" applyNumberFormat="1" applyFon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176" fontId="24" fillId="0" borderId="0" xfId="0" applyNumberFormat="1" applyFont="1" applyFill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76" fontId="0" fillId="0" borderId="4" xfId="0" applyNumberFormat="1" applyBorder="1" applyAlignment="1">
      <alignment horizontal="center" vertical="center"/>
    </xf>
    <xf numFmtId="0" fontId="0" fillId="0" borderId="39" xfId="0" applyBorder="1" applyAlignment="1">
      <alignment vertical="center"/>
    </xf>
    <xf numFmtId="0" fontId="0" fillId="2" borderId="122" xfId="0" applyFill="1" applyBorder="1" applyAlignment="1">
      <alignment vertical="center"/>
    </xf>
    <xf numFmtId="176" fontId="0" fillId="2" borderId="122" xfId="0" applyNumberFormat="1" applyFill="1" applyBorder="1" applyAlignment="1">
      <alignment vertical="center"/>
    </xf>
    <xf numFmtId="176" fontId="0" fillId="0" borderId="25" xfId="0" applyNumberFormat="1" applyBorder="1" applyAlignment="1">
      <alignment vertical="center"/>
    </xf>
    <xf numFmtId="0" fontId="0" fillId="0" borderId="122" xfId="0" applyBorder="1" applyAlignment="1">
      <alignment vertical="center"/>
    </xf>
    <xf numFmtId="0" fontId="0" fillId="2" borderId="20" xfId="0" applyFill="1" applyBorder="1" applyAlignment="1">
      <alignment vertical="center"/>
    </xf>
    <xf numFmtId="0" fontId="0" fillId="0" borderId="20" xfId="0" applyBorder="1" applyAlignment="1">
      <alignment vertical="center"/>
    </xf>
    <xf numFmtId="0" fontId="0" fillId="2" borderId="20" xfId="0" applyFill="1" applyBorder="1" applyAlignment="1">
      <alignment horizontal="center" vertical="center"/>
    </xf>
    <xf numFmtId="176" fontId="0" fillId="2" borderId="20" xfId="0" applyNumberFormat="1" applyFill="1" applyBorder="1" applyAlignment="1">
      <alignment horizontal="center" vertical="center"/>
    </xf>
    <xf numFmtId="176" fontId="0" fillId="2" borderId="20" xfId="0" applyNumberFormat="1" applyFill="1" applyBorder="1" applyAlignment="1">
      <alignment vertical="center"/>
    </xf>
    <xf numFmtId="0" fontId="0" fillId="2" borderId="31" xfId="0" applyFill="1" applyBorder="1" applyAlignment="1">
      <alignment vertical="center"/>
    </xf>
    <xf numFmtId="0" fontId="0" fillId="2" borderId="31" xfId="0" applyFill="1" applyBorder="1" applyAlignment="1">
      <alignment horizontal="center" vertical="center"/>
    </xf>
    <xf numFmtId="176" fontId="0" fillId="2" borderId="31" xfId="0" applyNumberFormat="1" applyFill="1" applyBorder="1" applyAlignment="1">
      <alignment horizontal="center" vertical="center"/>
    </xf>
    <xf numFmtId="176" fontId="0" fillId="2" borderId="31" xfId="0" applyNumberFormat="1" applyFill="1" applyBorder="1" applyAlignment="1">
      <alignment vertical="center"/>
    </xf>
    <xf numFmtId="0" fontId="0" fillId="0" borderId="31" xfId="0" applyBorder="1" applyAlignment="1">
      <alignment vertical="center"/>
    </xf>
    <xf numFmtId="0" fontId="0" fillId="0" borderId="46" xfId="0" applyBorder="1" applyAlignment="1">
      <alignment vertical="center"/>
    </xf>
    <xf numFmtId="0" fontId="0" fillId="0" borderId="48" xfId="0" applyBorder="1" applyAlignment="1">
      <alignment vertical="center"/>
    </xf>
    <xf numFmtId="0" fontId="0" fillId="0" borderId="45" xfId="0" applyBorder="1" applyAlignment="1">
      <alignment vertical="center"/>
    </xf>
    <xf numFmtId="176" fontId="0" fillId="0" borderId="45" xfId="0" applyNumberFormat="1" applyBorder="1" applyAlignment="1">
      <alignment horizontal="center" vertical="center"/>
    </xf>
    <xf numFmtId="176" fontId="0" fillId="0" borderId="45" xfId="0" applyNumberFormat="1" applyBorder="1" applyAlignment="1">
      <alignment vertical="center"/>
    </xf>
    <xf numFmtId="176" fontId="0" fillId="0" borderId="4" xfId="0" applyNumberFormat="1" applyBorder="1" applyAlignment="1">
      <alignment vertical="center"/>
    </xf>
    <xf numFmtId="0" fontId="0" fillId="0" borderId="4" xfId="0" applyBorder="1" applyAlignment="1">
      <alignment vertical="center"/>
    </xf>
    <xf numFmtId="0" fontId="0" fillId="5" borderId="5" xfId="0" applyFill="1" applyBorder="1" applyAlignment="1">
      <alignment vertical="center"/>
    </xf>
    <xf numFmtId="0" fontId="0" fillId="2" borderId="123" xfId="0" applyFill="1" applyBorder="1" applyAlignment="1">
      <alignment vertical="center"/>
    </xf>
    <xf numFmtId="176" fontId="0" fillId="2" borderId="123" xfId="0" applyNumberFormat="1" applyFill="1" applyBorder="1" applyAlignment="1">
      <alignment vertical="center"/>
    </xf>
    <xf numFmtId="176" fontId="0" fillId="0" borderId="44" xfId="0" applyNumberFormat="1" applyBorder="1" applyAlignment="1">
      <alignment vertical="center"/>
    </xf>
    <xf numFmtId="0" fontId="0" fillId="0" borderId="123" xfId="0" applyBorder="1" applyAlignment="1">
      <alignment vertical="center"/>
    </xf>
    <xf numFmtId="0" fontId="0" fillId="5" borderId="39" xfId="0" applyFill="1" applyBorder="1" applyAlignment="1">
      <alignment vertical="center"/>
    </xf>
    <xf numFmtId="0" fontId="0" fillId="2" borderId="124" xfId="0" applyFill="1" applyBorder="1" applyAlignment="1">
      <alignment vertical="center"/>
    </xf>
    <xf numFmtId="176" fontId="0" fillId="2" borderId="124" xfId="0" applyNumberFormat="1" applyFill="1" applyBorder="1" applyAlignment="1">
      <alignment vertical="center"/>
    </xf>
    <xf numFmtId="176" fontId="0" fillId="0" borderId="125" xfId="0" applyNumberFormat="1" applyBorder="1" applyAlignment="1">
      <alignment vertical="center"/>
    </xf>
    <xf numFmtId="0" fontId="0" fillId="0" borderId="124" xfId="0" applyBorder="1" applyAlignment="1">
      <alignment vertical="center"/>
    </xf>
    <xf numFmtId="0" fontId="0" fillId="6" borderId="34" xfId="0" applyFill="1" applyBorder="1" applyAlignment="1">
      <alignment vertical="center"/>
    </xf>
    <xf numFmtId="0" fontId="1" fillId="6" borderId="4" xfId="0" applyFont="1" applyFill="1" applyBorder="1" applyAlignment="1">
      <alignment vertical="center"/>
    </xf>
    <xf numFmtId="0" fontId="0" fillId="6" borderId="4" xfId="0" applyFill="1" applyBorder="1" applyAlignment="1">
      <alignment horizontal="center" vertical="center"/>
    </xf>
    <xf numFmtId="176" fontId="0" fillId="6" borderId="4" xfId="0" applyNumberFormat="1" applyFill="1" applyBorder="1" applyAlignment="1">
      <alignment horizontal="center" vertical="center"/>
    </xf>
    <xf numFmtId="176" fontId="0" fillId="6" borderId="4" xfId="0" applyNumberFormat="1" applyFill="1" applyBorder="1" applyAlignment="1">
      <alignment vertical="center"/>
    </xf>
    <xf numFmtId="176" fontId="0" fillId="6" borderId="34" xfId="0" applyNumberFormat="1" applyFill="1" applyBorder="1" applyAlignment="1">
      <alignment vertical="center"/>
    </xf>
    <xf numFmtId="0" fontId="0" fillId="6" borderId="4" xfId="0" applyFill="1" applyBorder="1" applyAlignment="1">
      <alignment vertical="center"/>
    </xf>
    <xf numFmtId="0" fontId="0" fillId="0" borderId="5" xfId="0" applyBorder="1" applyAlignment="1">
      <alignment vertical="center"/>
    </xf>
    <xf numFmtId="176" fontId="0" fillId="0" borderId="27" xfId="0" applyNumberFormat="1" applyBorder="1" applyAlignment="1">
      <alignment vertical="center"/>
    </xf>
    <xf numFmtId="0" fontId="0" fillId="0" borderId="46" xfId="0" applyBorder="1" applyAlignment="1">
      <alignment horizontal="center" vertical="center"/>
    </xf>
    <xf numFmtId="0" fontId="0" fillId="0" borderId="33" xfId="0" applyBorder="1" applyAlignment="1">
      <alignment horizontal="left" vertical="center"/>
    </xf>
    <xf numFmtId="0" fontId="0" fillId="0" borderId="34" xfId="0" applyBorder="1" applyAlignment="1">
      <alignment vertical="center"/>
    </xf>
    <xf numFmtId="176" fontId="0" fillId="0" borderId="7" xfId="0" applyNumberFormat="1" applyBorder="1" applyAlignment="1">
      <alignment horizontal="center" vertical="center"/>
    </xf>
    <xf numFmtId="176" fontId="0" fillId="0" borderId="7" xfId="0" applyNumberFormat="1" applyBorder="1" applyAlignment="1">
      <alignment vertical="center"/>
    </xf>
    <xf numFmtId="0" fontId="0" fillId="0" borderId="32" xfId="0" applyBorder="1" applyAlignment="1">
      <alignment vertical="center"/>
    </xf>
    <xf numFmtId="0" fontId="0" fillId="0" borderId="4" xfId="0" applyFill="1" applyBorder="1" applyAlignment="1">
      <alignment vertical="center"/>
    </xf>
    <xf numFmtId="0" fontId="0" fillId="0" borderId="32" xfId="0" applyFill="1" applyBorder="1" applyAlignment="1">
      <alignment horizontal="center" vertical="center"/>
    </xf>
    <xf numFmtId="176" fontId="0" fillId="0" borderId="34" xfId="0" applyNumberFormat="1" applyBorder="1" applyAlignment="1">
      <alignment vertical="center"/>
    </xf>
    <xf numFmtId="0" fontId="0" fillId="0" borderId="41" xfId="0" applyBorder="1" applyAlignment="1">
      <alignment vertical="center"/>
    </xf>
    <xf numFmtId="0" fontId="0" fillId="0" borderId="44" xfId="0" applyBorder="1" applyAlignment="1">
      <alignment vertical="center"/>
    </xf>
    <xf numFmtId="0" fontId="0" fillId="0" borderId="123" xfId="0" applyFill="1" applyBorder="1" applyAlignment="1">
      <alignment vertical="center"/>
    </xf>
    <xf numFmtId="0" fontId="0" fillId="0" borderId="41" xfId="0" applyFill="1" applyBorder="1" applyAlignment="1">
      <alignment horizontal="center" vertical="center"/>
    </xf>
    <xf numFmtId="0" fontId="0" fillId="0" borderId="21" xfId="0" applyBorder="1" applyAlignment="1">
      <alignment vertical="center"/>
    </xf>
    <xf numFmtId="0" fontId="0" fillId="0" borderId="22" xfId="0" applyBorder="1" applyAlignment="1">
      <alignment vertical="center"/>
    </xf>
    <xf numFmtId="0" fontId="0" fillId="0" borderId="20" xfId="0" applyFill="1" applyBorder="1" applyAlignment="1">
      <alignment vertical="center"/>
    </xf>
    <xf numFmtId="0" fontId="0" fillId="0" borderId="21" xfId="0" applyFill="1" applyBorder="1" applyAlignment="1">
      <alignment horizontal="center" vertical="center"/>
    </xf>
    <xf numFmtId="0" fontId="0" fillId="0" borderId="26" xfId="0" applyBorder="1" applyAlignment="1">
      <alignment vertical="center"/>
    </xf>
    <xf numFmtId="0" fontId="0" fillId="0" borderId="27" xfId="0" applyBorder="1" applyAlignment="1">
      <alignment vertical="center"/>
    </xf>
    <xf numFmtId="0" fontId="0" fillId="0" borderId="31" xfId="0" applyFill="1" applyBorder="1" applyAlignment="1">
      <alignment vertical="center"/>
    </xf>
    <xf numFmtId="0" fontId="0" fillId="0" borderId="26" xfId="0" applyFill="1" applyBorder="1" applyAlignment="1">
      <alignment horizontal="center" vertical="center"/>
    </xf>
    <xf numFmtId="0" fontId="0" fillId="0" borderId="33" xfId="0" applyBorder="1" applyAlignment="1">
      <alignment vertical="center"/>
    </xf>
    <xf numFmtId="0" fontId="0" fillId="0" borderId="32" xfId="0" applyBorder="1" applyAlignment="1">
      <alignment horizontal="center" vertical="center"/>
    </xf>
    <xf numFmtId="0" fontId="0" fillId="0" borderId="4" xfId="0" applyBorder="1" applyAlignment="1">
      <alignment horizontal="right" vertical="center"/>
    </xf>
    <xf numFmtId="176" fontId="0" fillId="0" borderId="32" xfId="0" applyNumberFormat="1" applyBorder="1" applyAlignment="1">
      <alignment vertical="center"/>
    </xf>
    <xf numFmtId="176" fontId="0" fillId="2" borderId="4" xfId="0" applyNumberFormat="1" applyFill="1" applyBorder="1" applyAlignment="1">
      <alignment vertical="center"/>
    </xf>
    <xf numFmtId="176" fontId="0" fillId="0" borderId="0" xfId="0" applyNumberFormat="1" applyAlignment="1">
      <alignment horizontal="center" vertical="center"/>
    </xf>
    <xf numFmtId="180" fontId="10" fillId="2" borderId="47" xfId="0" applyNumberFormat="1" applyFont="1" applyFill="1" applyBorder="1" applyAlignment="1">
      <alignment vertical="center"/>
    </xf>
    <xf numFmtId="176" fontId="24" fillId="0" borderId="0" xfId="0" applyNumberFormat="1" applyFont="1" applyFill="1" applyAlignment="1">
      <alignment vertical="center"/>
    </xf>
    <xf numFmtId="180" fontId="0" fillId="0" borderId="0" xfId="0" applyNumberFormat="1" applyAlignment="1">
      <alignment vertical="center"/>
    </xf>
    <xf numFmtId="181" fontId="0" fillId="0" borderId="45" xfId="0" applyNumberFormat="1" applyBorder="1" applyAlignment="1">
      <alignment vertical="center"/>
    </xf>
    <xf numFmtId="0" fontId="0" fillId="0" borderId="32" xfId="0" applyFill="1" applyBorder="1" applyAlignment="1">
      <alignment vertical="center"/>
    </xf>
    <xf numFmtId="0" fontId="0" fillId="0" borderId="41" xfId="0" applyFill="1" applyBorder="1" applyAlignment="1">
      <alignment vertical="center"/>
    </xf>
    <xf numFmtId="0" fontId="0" fillId="0" borderId="21" xfId="0" applyFill="1" applyBorder="1" applyAlignment="1">
      <alignment vertical="center"/>
    </xf>
    <xf numFmtId="0" fontId="0" fillId="0" borderId="26" xfId="0" applyFill="1" applyBorder="1" applyAlignment="1">
      <alignment vertical="center"/>
    </xf>
    <xf numFmtId="0" fontId="1" fillId="0" borderId="21" xfId="0" applyFont="1" applyBorder="1" applyAlignment="1">
      <alignment vertical="center"/>
    </xf>
    <xf numFmtId="0" fontId="26" fillId="0" borderId="0" xfId="0" applyFont="1" applyAlignment="1">
      <alignment vertical="center"/>
    </xf>
    <xf numFmtId="0" fontId="5" fillId="0" borderId="126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38" xfId="0" applyBorder="1" applyAlignment="1">
      <alignment vertical="center"/>
    </xf>
    <xf numFmtId="176" fontId="0" fillId="0" borderId="17" xfId="0" applyNumberFormat="1" applyFill="1" applyBorder="1" applyAlignment="1">
      <alignment horizontal="center" vertical="center"/>
    </xf>
    <xf numFmtId="176" fontId="0" fillId="0" borderId="123" xfId="0" applyNumberFormat="1" applyBorder="1" applyAlignment="1">
      <alignment vertical="center"/>
    </xf>
    <xf numFmtId="176" fontId="0" fillId="0" borderId="20" xfId="0" applyNumberFormat="1" applyBorder="1" applyAlignment="1">
      <alignment vertical="center"/>
    </xf>
    <xf numFmtId="0" fontId="1" fillId="7" borderId="20" xfId="3" applyFont="1" applyFill="1" applyBorder="1" applyAlignment="1">
      <alignment vertical="center"/>
    </xf>
    <xf numFmtId="0" fontId="0" fillId="7" borderId="20" xfId="3" applyFont="1" applyFill="1" applyBorder="1" applyAlignment="1">
      <alignment vertical="center"/>
    </xf>
    <xf numFmtId="0" fontId="1" fillId="7" borderId="20" xfId="3" applyFont="1" applyFill="1" applyBorder="1" applyAlignment="1">
      <alignment horizontal="center" vertical="center"/>
    </xf>
    <xf numFmtId="41" fontId="1" fillId="7" borderId="20" xfId="1" applyFont="1" applyFill="1" applyBorder="1" applyAlignment="1">
      <alignment vertical="center"/>
    </xf>
    <xf numFmtId="3" fontId="1" fillId="7" borderId="20" xfId="3" applyNumberFormat="1" applyFont="1" applyFill="1" applyBorder="1" applyAlignment="1">
      <alignment vertical="center"/>
    </xf>
    <xf numFmtId="0" fontId="0" fillId="7" borderId="20" xfId="0" applyFill="1" applyBorder="1" applyAlignment="1">
      <alignment vertical="center"/>
    </xf>
    <xf numFmtId="0" fontId="0" fillId="7" borderId="20" xfId="0" applyFill="1" applyBorder="1" applyAlignment="1">
      <alignment horizontal="center" vertical="center"/>
    </xf>
    <xf numFmtId="176" fontId="0" fillId="7" borderId="20" xfId="0" applyNumberFormat="1" applyFill="1" applyBorder="1" applyAlignment="1">
      <alignment horizontal="center" vertical="center"/>
    </xf>
    <xf numFmtId="176" fontId="0" fillId="7" borderId="20" xfId="0" applyNumberFormat="1" applyFill="1" applyBorder="1" applyAlignment="1">
      <alignment vertical="center"/>
    </xf>
    <xf numFmtId="0" fontId="0" fillId="7" borderId="31" xfId="0" applyFill="1" applyBorder="1" applyAlignment="1">
      <alignment vertical="center"/>
    </xf>
    <xf numFmtId="0" fontId="0" fillId="7" borderId="31" xfId="0" applyFill="1" applyBorder="1" applyAlignment="1">
      <alignment horizontal="center" vertical="center"/>
    </xf>
    <xf numFmtId="176" fontId="0" fillId="7" borderId="31" xfId="0" applyNumberFormat="1" applyFill="1" applyBorder="1" applyAlignment="1">
      <alignment horizontal="center" vertical="center"/>
    </xf>
    <xf numFmtId="176" fontId="0" fillId="7" borderId="31" xfId="0" applyNumberFormat="1" applyFill="1" applyBorder="1" applyAlignment="1">
      <alignment vertical="center"/>
    </xf>
    <xf numFmtId="0" fontId="0" fillId="7" borderId="123" xfId="0" applyFill="1" applyBorder="1" applyAlignment="1">
      <alignment vertical="center"/>
    </xf>
    <xf numFmtId="0" fontId="0" fillId="7" borderId="123" xfId="0" applyFill="1" applyBorder="1" applyAlignment="1">
      <alignment horizontal="center" vertical="center"/>
    </xf>
    <xf numFmtId="176" fontId="0" fillId="7" borderId="123" xfId="0" applyNumberFormat="1" applyFill="1" applyBorder="1" applyAlignment="1">
      <alignment horizontal="center" vertical="center"/>
    </xf>
    <xf numFmtId="176" fontId="0" fillId="7" borderId="123" xfId="0" applyNumberFormat="1" applyFill="1" applyBorder="1" applyAlignment="1">
      <alignment vertical="center"/>
    </xf>
    <xf numFmtId="0" fontId="0" fillId="7" borderId="124" xfId="0" applyFill="1" applyBorder="1" applyAlignment="1">
      <alignment vertical="center"/>
    </xf>
    <xf numFmtId="176" fontId="0" fillId="7" borderId="124" xfId="0" applyNumberFormat="1" applyFill="1" applyBorder="1" applyAlignment="1">
      <alignment horizontal="center" vertical="center"/>
    </xf>
    <xf numFmtId="176" fontId="0" fillId="7" borderId="124" xfId="0" applyNumberFormat="1" applyFill="1" applyBorder="1" applyAlignment="1">
      <alignment vertical="center"/>
    </xf>
    <xf numFmtId="0" fontId="1" fillId="7" borderId="20" xfId="4" applyFont="1" applyFill="1" applyBorder="1" applyAlignment="1">
      <alignment vertical="center"/>
    </xf>
    <xf numFmtId="0" fontId="1" fillId="7" borderId="20" xfId="4" applyFont="1" applyFill="1" applyBorder="1" applyAlignment="1">
      <alignment horizontal="center" vertical="center"/>
    </xf>
    <xf numFmtId="3" fontId="1" fillId="7" borderId="20" xfId="4" applyNumberFormat="1" applyFont="1" applyFill="1" applyBorder="1" applyAlignment="1">
      <alignment vertical="center"/>
    </xf>
    <xf numFmtId="0" fontId="0" fillId="7" borderId="20" xfId="4" applyFont="1" applyFill="1" applyBorder="1" applyAlignment="1">
      <alignment vertical="center"/>
    </xf>
    <xf numFmtId="0" fontId="1" fillId="7" borderId="20" xfId="5" applyFont="1" applyFill="1" applyBorder="1" applyAlignment="1">
      <alignment horizontal="center" vertical="center"/>
    </xf>
    <xf numFmtId="0" fontId="0" fillId="6" borderId="0" xfId="0" applyFill="1" applyAlignment="1">
      <alignment vertical="center"/>
    </xf>
    <xf numFmtId="0" fontId="27" fillId="7" borderId="20" xfId="0" applyFont="1" applyFill="1" applyBorder="1" applyAlignment="1">
      <alignment vertical="center"/>
    </xf>
    <xf numFmtId="0" fontId="1" fillId="2" borderId="49" xfId="0" applyFont="1" applyFill="1" applyBorder="1" applyAlignment="1">
      <alignment vertical="center"/>
    </xf>
    <xf numFmtId="0" fontId="1" fillId="2" borderId="50" xfId="0" applyFont="1" applyFill="1" applyBorder="1" applyAlignment="1">
      <alignment vertical="center"/>
    </xf>
    <xf numFmtId="0" fontId="1" fillId="2" borderId="27" xfId="0" applyFont="1" applyFill="1" applyBorder="1" applyAlignment="1">
      <alignment vertical="center"/>
    </xf>
    <xf numFmtId="0" fontId="1" fillId="0" borderId="7" xfId="0" applyFont="1" applyBorder="1" applyAlignment="1">
      <alignment horizontal="center" vertical="center" textRotation="255"/>
    </xf>
    <xf numFmtId="0" fontId="1" fillId="0" borderId="38" xfId="0" applyFont="1" applyBorder="1" applyAlignment="1">
      <alignment horizontal="center" vertical="center" textRotation="255"/>
    </xf>
    <xf numFmtId="0" fontId="1" fillId="0" borderId="45" xfId="0" applyFont="1" applyBorder="1" applyAlignment="1">
      <alignment horizontal="center" vertical="center" textRotation="255"/>
    </xf>
    <xf numFmtId="0" fontId="1" fillId="2" borderId="5" xfId="0" applyFont="1" applyFill="1" applyBorder="1" applyAlignment="1">
      <alignment vertical="center"/>
    </xf>
    <xf numFmtId="0" fontId="1" fillId="2" borderId="37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0" fillId="0" borderId="32" xfId="0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2" borderId="39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0" fontId="1" fillId="2" borderId="40" xfId="0" applyFont="1" applyFill="1" applyBorder="1" applyAlignment="1">
      <alignment vertical="center"/>
    </xf>
    <xf numFmtId="0" fontId="1" fillId="2" borderId="42" xfId="0" applyFont="1" applyFill="1" applyBorder="1" applyAlignment="1">
      <alignment vertical="center"/>
    </xf>
    <xf numFmtId="0" fontId="1" fillId="2" borderId="43" xfId="0" applyFont="1" applyFill="1" applyBorder="1" applyAlignment="1">
      <alignment vertical="center"/>
    </xf>
    <xf numFmtId="0" fontId="1" fillId="2" borderId="44" xfId="0" applyFont="1" applyFill="1" applyBorder="1" applyAlignment="1">
      <alignment vertical="center"/>
    </xf>
    <xf numFmtId="177" fontId="1" fillId="2" borderId="39" xfId="0" applyNumberFormat="1" applyFont="1" applyFill="1" applyBorder="1" applyAlignment="1">
      <alignment horizontal="left" vertical="center"/>
    </xf>
    <xf numFmtId="177" fontId="1" fillId="2" borderId="0" xfId="0" applyNumberFormat="1" applyFont="1" applyFill="1" applyBorder="1" applyAlignment="1">
      <alignment horizontal="left" vertical="center"/>
    </xf>
    <xf numFmtId="177" fontId="1" fillId="2" borderId="40" xfId="0" applyNumberFormat="1" applyFont="1" applyFill="1" applyBorder="1" applyAlignment="1">
      <alignment horizontal="left" vertical="center"/>
    </xf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22" xfId="0" applyFont="1" applyFill="1" applyBorder="1" applyAlignment="1">
      <alignment vertical="center"/>
    </xf>
    <xf numFmtId="178" fontId="1" fillId="2" borderId="39" xfId="0" applyNumberFormat="1" applyFont="1" applyFill="1" applyBorder="1" applyAlignment="1">
      <alignment vertical="center"/>
    </xf>
    <xf numFmtId="178" fontId="1" fillId="2" borderId="0" xfId="0" applyNumberFormat="1" applyFont="1" applyFill="1" applyBorder="1" applyAlignment="1">
      <alignment vertical="center"/>
    </xf>
    <xf numFmtId="178" fontId="1" fillId="2" borderId="40" xfId="0" applyNumberFormat="1" applyFont="1" applyFill="1" applyBorder="1" applyAlignment="1">
      <alignment vertical="center"/>
    </xf>
    <xf numFmtId="0" fontId="1" fillId="2" borderId="46" xfId="0" applyFont="1" applyFill="1" applyBorder="1" applyAlignment="1">
      <alignment vertical="center"/>
    </xf>
    <xf numFmtId="0" fontId="1" fillId="2" borderId="47" xfId="0" applyFont="1" applyFill="1" applyBorder="1" applyAlignment="1">
      <alignment vertical="center"/>
    </xf>
    <xf numFmtId="0" fontId="1" fillId="2" borderId="48" xfId="0" applyFont="1" applyFill="1" applyBorder="1" applyAlignment="1">
      <alignment vertical="center"/>
    </xf>
    <xf numFmtId="176" fontId="1" fillId="0" borderId="32" xfId="0" applyNumberFormat="1" applyFont="1" applyBorder="1" applyAlignment="1">
      <alignment horizontal="center" vertical="center" wrapText="1"/>
    </xf>
    <xf numFmtId="176" fontId="1" fillId="0" borderId="34" xfId="0" applyNumberFormat="1" applyFont="1" applyBorder="1" applyAlignment="1">
      <alignment horizontal="center" vertical="center" wrapText="1"/>
    </xf>
    <xf numFmtId="0" fontId="0" fillId="0" borderId="14" xfId="0" applyFill="1" applyBorder="1" applyAlignment="1">
      <alignment horizontal="left" vertical="center"/>
    </xf>
    <xf numFmtId="0" fontId="1" fillId="0" borderId="15" xfId="0" applyFont="1" applyFill="1" applyBorder="1" applyAlignment="1">
      <alignment horizontal="left" vertical="center"/>
    </xf>
    <xf numFmtId="0" fontId="1" fillId="0" borderId="21" xfId="0" applyFont="1" applyFill="1" applyBorder="1" applyAlignment="1">
      <alignment horizontal="left" vertical="center"/>
    </xf>
    <xf numFmtId="0" fontId="1" fillId="0" borderId="22" xfId="0" applyFont="1" applyFill="1" applyBorder="1" applyAlignment="1">
      <alignment horizontal="left" vertical="center"/>
    </xf>
    <xf numFmtId="0" fontId="1" fillId="0" borderId="26" xfId="0" applyFont="1" applyFill="1" applyBorder="1" applyAlignment="1">
      <alignment horizontal="left" vertical="center"/>
    </xf>
    <xf numFmtId="0" fontId="1" fillId="0" borderId="27" xfId="0" applyFont="1" applyFill="1" applyBorder="1" applyAlignment="1">
      <alignment horizontal="left" vertical="center"/>
    </xf>
    <xf numFmtId="176" fontId="1" fillId="0" borderId="32" xfId="0" applyNumberFormat="1" applyFont="1" applyBorder="1" applyAlignment="1">
      <alignment horizontal="center" vertical="center"/>
    </xf>
    <xf numFmtId="176" fontId="1" fillId="0" borderId="33" xfId="0" applyNumberFormat="1" applyFont="1" applyBorder="1" applyAlignment="1">
      <alignment horizontal="center" vertical="center"/>
    </xf>
    <xf numFmtId="176" fontId="1" fillId="0" borderId="34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textRotation="255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2" fillId="2" borderId="0" xfId="0" applyFont="1" applyFill="1" applyBorder="1" applyAlignment="1">
      <alignment horizontal="left" vertical="center"/>
    </xf>
    <xf numFmtId="3" fontId="1" fillId="0" borderId="49" xfId="0" applyNumberFormat="1" applyFont="1" applyFill="1" applyBorder="1" applyAlignment="1">
      <alignment horizontal="center" vertical="center"/>
    </xf>
    <xf numFmtId="3" fontId="1" fillId="0" borderId="50" xfId="0" applyNumberFormat="1" applyFont="1" applyFill="1" applyBorder="1" applyAlignment="1">
      <alignment horizontal="center" vertical="center"/>
    </xf>
    <xf numFmtId="3" fontId="1" fillId="0" borderId="75" xfId="0" applyNumberFormat="1" applyFont="1" applyFill="1" applyBorder="1" applyAlignment="1">
      <alignment horizontal="center" vertical="center"/>
    </xf>
    <xf numFmtId="3" fontId="0" fillId="0" borderId="49" xfId="0" quotePrefix="1" applyNumberFormat="1" applyFill="1" applyBorder="1" applyAlignment="1">
      <alignment horizontal="left" vertical="center"/>
    </xf>
    <xf numFmtId="3" fontId="0" fillId="0" borderId="50" xfId="0" quotePrefix="1" applyNumberFormat="1" applyFill="1" applyBorder="1" applyAlignment="1">
      <alignment horizontal="left" vertical="center"/>
    </xf>
    <xf numFmtId="3" fontId="0" fillId="0" borderId="75" xfId="0" quotePrefix="1" applyNumberFormat="1" applyFill="1" applyBorder="1" applyAlignment="1">
      <alignment horizontal="left" vertical="center"/>
    </xf>
    <xf numFmtId="3" fontId="1" fillId="0" borderId="92" xfId="0" applyNumberFormat="1" applyFont="1" applyFill="1" applyBorder="1" applyAlignment="1">
      <alignment horizontal="center" vertical="center"/>
    </xf>
    <xf numFmtId="3" fontId="14" fillId="0" borderId="93" xfId="0" quotePrefix="1" applyNumberFormat="1" applyFont="1" applyFill="1" applyBorder="1" applyAlignment="1">
      <alignment horizontal="left" vertical="center"/>
    </xf>
    <xf numFmtId="3" fontId="14" fillId="0" borderId="92" xfId="0" quotePrefix="1" applyNumberFormat="1" applyFont="1" applyFill="1" applyBorder="1" applyAlignment="1">
      <alignment horizontal="left" vertical="center"/>
    </xf>
    <xf numFmtId="3" fontId="14" fillId="0" borderId="94" xfId="0" quotePrefix="1" applyNumberFormat="1" applyFont="1" applyFill="1" applyBorder="1" applyAlignment="1">
      <alignment horizontal="left" vertical="center"/>
    </xf>
    <xf numFmtId="3" fontId="0" fillId="0" borderId="71" xfId="0" applyNumberFormat="1" applyFont="1" applyFill="1" applyBorder="1" applyAlignment="1">
      <alignment horizontal="center" vertical="center" wrapText="1"/>
    </xf>
    <xf numFmtId="3" fontId="0" fillId="0" borderId="24" xfId="0" applyNumberFormat="1" applyFont="1" applyFill="1" applyBorder="1" applyAlignment="1">
      <alignment horizontal="center" vertical="center"/>
    </xf>
    <xf numFmtId="3" fontId="0" fillId="0" borderId="64" xfId="0" applyNumberFormat="1" applyFont="1" applyFill="1" applyBorder="1" applyAlignment="1">
      <alignment horizontal="center" vertical="center"/>
    </xf>
    <xf numFmtId="179" fontId="0" fillId="0" borderId="1" xfId="0" applyNumberFormat="1" applyFont="1" applyFill="1" applyBorder="1" applyAlignment="1">
      <alignment horizontal="center" vertical="center"/>
    </xf>
    <xf numFmtId="179" fontId="0" fillId="0" borderId="2" xfId="0" applyNumberFormat="1" applyFont="1" applyFill="1" applyBorder="1" applyAlignment="1">
      <alignment horizontal="center" vertical="center"/>
    </xf>
    <xf numFmtId="179" fontId="0" fillId="0" borderId="68" xfId="0" applyNumberFormat="1" applyFont="1" applyFill="1" applyBorder="1" applyAlignment="1">
      <alignment horizontal="center" vertical="center"/>
    </xf>
    <xf numFmtId="3" fontId="0" fillId="0" borderId="3" xfId="0" applyNumberFormat="1" applyFont="1" applyFill="1" applyBorder="1" applyAlignment="1">
      <alignment horizontal="center" vertical="center"/>
    </xf>
    <xf numFmtId="3" fontId="1" fillId="0" borderId="3" xfId="0" applyNumberFormat="1" applyFont="1" applyFill="1" applyBorder="1" applyAlignment="1">
      <alignment horizontal="center" vertical="center"/>
    </xf>
    <xf numFmtId="3" fontId="1" fillId="0" borderId="67" xfId="0" applyNumberFormat="1" applyFont="1" applyFill="1" applyBorder="1" applyAlignment="1">
      <alignment horizontal="center" vertical="center"/>
    </xf>
    <xf numFmtId="3" fontId="1" fillId="0" borderId="85" xfId="0" applyNumberFormat="1" applyFont="1" applyFill="1" applyBorder="1" applyAlignment="1">
      <alignment horizontal="center" vertical="center"/>
    </xf>
    <xf numFmtId="3" fontId="1" fillId="0" borderId="86" xfId="0" applyNumberFormat="1" applyFont="1" applyFill="1" applyBorder="1" applyAlignment="1">
      <alignment horizontal="center" vertical="center"/>
    </xf>
    <xf numFmtId="3" fontId="1" fillId="0" borderId="87" xfId="0" applyNumberFormat="1" applyFont="1" applyFill="1" applyBorder="1" applyAlignment="1">
      <alignment horizontal="center" vertical="center"/>
    </xf>
    <xf numFmtId="3" fontId="1" fillId="0" borderId="88" xfId="0" applyNumberFormat="1" applyFont="1" applyFill="1" applyBorder="1" applyAlignment="1">
      <alignment horizontal="center" vertical="center"/>
    </xf>
    <xf numFmtId="3" fontId="1" fillId="0" borderId="15" xfId="0" applyNumberFormat="1" applyFont="1" applyFill="1" applyBorder="1" applyAlignment="1">
      <alignment horizontal="center" vertical="center"/>
    </xf>
    <xf numFmtId="3" fontId="1" fillId="0" borderId="1" xfId="0" applyNumberFormat="1" applyFont="1" applyFill="1" applyBorder="1" applyAlignment="1">
      <alignment horizontal="center" vertical="center"/>
    </xf>
    <xf numFmtId="3" fontId="1" fillId="0" borderId="2" xfId="0" applyNumberFormat="1" applyFont="1" applyFill="1" applyBorder="1" applyAlignment="1">
      <alignment horizontal="center" vertical="center"/>
    </xf>
    <xf numFmtId="3" fontId="1" fillId="0" borderId="68" xfId="0" applyNumberFormat="1" applyFont="1" applyFill="1" applyBorder="1" applyAlignment="1">
      <alignment horizontal="center" vertical="center"/>
    </xf>
    <xf numFmtId="3" fontId="14" fillId="4" borderId="1" xfId="0" applyNumberFormat="1" applyFont="1" applyFill="1" applyBorder="1" applyAlignment="1">
      <alignment horizontal="left" vertical="center"/>
    </xf>
    <xf numFmtId="3" fontId="14" fillId="4" borderId="2" xfId="0" applyNumberFormat="1" applyFont="1" applyFill="1" applyBorder="1" applyAlignment="1">
      <alignment horizontal="left" vertical="center"/>
    </xf>
    <xf numFmtId="3" fontId="14" fillId="4" borderId="68" xfId="0" applyNumberFormat="1" applyFont="1" applyFill="1" applyBorder="1" applyAlignment="1">
      <alignment horizontal="left" vertical="center"/>
    </xf>
    <xf numFmtId="3" fontId="14" fillId="0" borderId="1" xfId="0" applyNumberFormat="1" applyFont="1" applyFill="1" applyBorder="1" applyAlignment="1">
      <alignment horizontal="left" vertical="center"/>
    </xf>
    <xf numFmtId="3" fontId="14" fillId="0" borderId="2" xfId="0" applyNumberFormat="1" applyFont="1" applyFill="1" applyBorder="1" applyAlignment="1">
      <alignment horizontal="left" vertical="center"/>
    </xf>
    <xf numFmtId="3" fontId="14" fillId="0" borderId="68" xfId="0" applyNumberFormat="1" applyFont="1" applyFill="1" applyBorder="1" applyAlignment="1">
      <alignment horizontal="left" vertical="center"/>
    </xf>
    <xf numFmtId="3" fontId="1" fillId="0" borderId="5" xfId="0" applyNumberFormat="1" applyFont="1" applyFill="1" applyBorder="1" applyAlignment="1">
      <alignment horizontal="center" vertical="center"/>
    </xf>
    <xf numFmtId="3" fontId="1" fillId="0" borderId="39" xfId="0" applyNumberFormat="1" applyFont="1" applyFill="1" applyBorder="1" applyAlignment="1">
      <alignment horizontal="center" vertical="center"/>
    </xf>
    <xf numFmtId="3" fontId="1" fillId="0" borderId="9" xfId="0" applyNumberFormat="1" applyFont="1" applyFill="1" applyBorder="1" applyAlignment="1">
      <alignment horizontal="center" vertical="center"/>
    </xf>
    <xf numFmtId="3" fontId="1" fillId="0" borderId="42" xfId="0" applyNumberFormat="1" applyFont="1" applyFill="1" applyBorder="1" applyAlignment="1">
      <alignment horizontal="center" vertical="center"/>
    </xf>
    <xf numFmtId="3" fontId="1" fillId="0" borderId="43" xfId="0" applyNumberFormat="1" applyFont="1" applyFill="1" applyBorder="1" applyAlignment="1">
      <alignment horizontal="center" vertical="center"/>
    </xf>
    <xf numFmtId="3" fontId="1" fillId="0" borderId="79" xfId="0" applyNumberFormat="1" applyFont="1" applyFill="1" applyBorder="1" applyAlignment="1">
      <alignment horizontal="center" vertical="center"/>
    </xf>
    <xf numFmtId="3" fontId="1" fillId="0" borderId="80" xfId="0" applyNumberFormat="1" applyFont="1" applyFill="1" applyBorder="1" applyAlignment="1">
      <alignment horizontal="center" vertical="center"/>
    </xf>
    <xf numFmtId="3" fontId="1" fillId="0" borderId="81" xfId="0" applyNumberFormat="1" applyFont="1" applyFill="1" applyBorder="1" applyAlignment="1">
      <alignment horizontal="center" vertical="center"/>
    </xf>
    <xf numFmtId="3" fontId="1" fillId="0" borderId="82" xfId="0" applyNumberFormat="1" applyFont="1" applyFill="1" applyBorder="1" applyAlignment="1">
      <alignment horizontal="center" vertical="center"/>
    </xf>
    <xf numFmtId="3" fontId="1" fillId="0" borderId="51" xfId="0" applyNumberFormat="1" applyFont="1" applyFill="1" applyBorder="1" applyAlignment="1">
      <alignment horizontal="center" vertical="center"/>
    </xf>
    <xf numFmtId="3" fontId="1" fillId="0" borderId="62" xfId="0" applyNumberFormat="1" applyFont="1" applyFill="1" applyBorder="1" applyAlignment="1">
      <alignment horizontal="center" vertical="center"/>
    </xf>
    <xf numFmtId="3" fontId="1" fillId="0" borderId="73" xfId="0" applyNumberFormat="1" applyFont="1" applyFill="1" applyBorder="1" applyAlignment="1">
      <alignment horizontal="center" vertical="center"/>
    </xf>
    <xf numFmtId="3" fontId="1" fillId="0" borderId="54" xfId="0" applyNumberFormat="1" applyFont="1" applyFill="1" applyBorder="1" applyAlignment="1">
      <alignment horizontal="center" vertical="center" wrapText="1"/>
    </xf>
    <xf numFmtId="3" fontId="1" fillId="0" borderId="24" xfId="0" applyNumberFormat="1" applyFont="1" applyFill="1" applyBorder="1" applyAlignment="1">
      <alignment horizontal="center" vertical="center" wrapText="1"/>
    </xf>
    <xf numFmtId="3" fontId="1" fillId="0" borderId="24" xfId="0" applyNumberFormat="1" applyFont="1" applyFill="1" applyBorder="1" applyAlignment="1">
      <alignment horizontal="center" vertical="center"/>
    </xf>
    <xf numFmtId="3" fontId="1" fillId="0" borderId="63" xfId="0" applyNumberFormat="1" applyFont="1" applyFill="1" applyBorder="1" applyAlignment="1">
      <alignment horizontal="center" vertical="center"/>
    </xf>
    <xf numFmtId="3" fontId="1" fillId="0" borderId="74" xfId="0" applyNumberFormat="1" applyFont="1" applyFill="1" applyBorder="1" applyAlignment="1">
      <alignment horizontal="center" vertical="center"/>
    </xf>
    <xf numFmtId="3" fontId="1" fillId="0" borderId="54" xfId="0" applyNumberFormat="1" applyFont="1" applyFill="1" applyBorder="1" applyAlignment="1">
      <alignment horizontal="center" vertical="center"/>
    </xf>
    <xf numFmtId="3" fontId="1" fillId="0" borderId="64" xfId="0" applyNumberFormat="1" applyFont="1" applyFill="1" applyBorder="1" applyAlignment="1">
      <alignment horizontal="center" vertical="center"/>
    </xf>
    <xf numFmtId="3" fontId="1" fillId="0" borderId="69" xfId="0" applyNumberFormat="1" applyFont="1" applyFill="1" applyBorder="1" applyAlignment="1">
      <alignment horizontal="center" vertical="center"/>
    </xf>
    <xf numFmtId="3" fontId="1" fillId="0" borderId="52" xfId="0" applyNumberFormat="1" applyFont="1" applyFill="1" applyBorder="1" applyAlignment="1">
      <alignment horizontal="center" vertical="center"/>
    </xf>
    <xf numFmtId="3" fontId="1" fillId="0" borderId="37" xfId="0" applyNumberFormat="1" applyFont="1" applyFill="1" applyBorder="1" applyAlignment="1">
      <alignment horizontal="center" vertical="center"/>
    </xf>
    <xf numFmtId="3" fontId="1" fillId="0" borderId="53" xfId="0" applyNumberFormat="1" applyFont="1" applyFill="1" applyBorder="1" applyAlignment="1">
      <alignment horizontal="center" vertical="center"/>
    </xf>
    <xf numFmtId="3" fontId="1" fillId="0" borderId="57" xfId="0" applyNumberFormat="1" applyFont="1" applyFill="1" applyBorder="1" applyAlignment="1">
      <alignment horizontal="center" vertical="center"/>
    </xf>
    <xf numFmtId="3" fontId="1" fillId="0" borderId="58" xfId="0" applyNumberFormat="1" applyFont="1" applyFill="1" applyBorder="1" applyAlignment="1">
      <alignment horizontal="center" vertical="center"/>
    </xf>
    <xf numFmtId="3" fontId="1" fillId="0" borderId="59" xfId="0" applyNumberFormat="1" applyFont="1" applyFill="1" applyBorder="1" applyAlignment="1">
      <alignment horizontal="center" vertical="center"/>
    </xf>
    <xf numFmtId="3" fontId="1" fillId="0" borderId="63" xfId="0" applyNumberFormat="1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176" fontId="0" fillId="0" borderId="5" xfId="0" applyNumberFormat="1" applyBorder="1" applyAlignment="1">
      <alignment horizontal="center" vertical="center"/>
    </xf>
    <xf numFmtId="176" fontId="0" fillId="0" borderId="37" xfId="0" applyNumberFormat="1" applyBorder="1" applyAlignment="1">
      <alignment horizontal="center" vertical="center"/>
    </xf>
    <xf numFmtId="176" fontId="0" fillId="0" borderId="6" xfId="0" applyNumberForma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7" xfId="0" applyBorder="1" applyAlignment="1">
      <alignment horizontal="center" vertical="top" wrapText="1" shrinkToFit="1"/>
    </xf>
    <xf numFmtId="0" fontId="0" fillId="0" borderId="38" xfId="0" applyBorder="1" applyAlignment="1">
      <alignment horizontal="center" vertical="top" wrapText="1" shrinkToFit="1"/>
    </xf>
    <xf numFmtId="0" fontId="0" fillId="0" borderId="38" xfId="0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</cellXfs>
  <cellStyles count="6">
    <cellStyle name="백분율" xfId="2" builtinId="5"/>
    <cellStyle name="쉼표 [0]" xfId="1" builtinId="6"/>
    <cellStyle name="표준" xfId="0" builtinId="0"/>
    <cellStyle name="표준_AF11-12-C3" xfId="5"/>
    <cellStyle name="표준_견적양식-신규" xfId="3"/>
    <cellStyle name="표준_백일만-0205-2" xfId="4"/>
  </cellStyles>
  <dxfs count="0"/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247650</xdr:colOff>
      <xdr:row>15</xdr:row>
      <xdr:rowOff>28575</xdr:rowOff>
    </xdr:from>
    <xdr:to>
      <xdr:col>14</xdr:col>
      <xdr:colOff>9525</xdr:colOff>
      <xdr:row>16</xdr:row>
      <xdr:rowOff>0</xdr:rowOff>
    </xdr:to>
    <xdr:sp macro="" textlink="">
      <xdr:nvSpPr>
        <xdr:cNvPr id="2" name="AutoShape 5"/>
        <xdr:cNvSpPr>
          <a:spLocks/>
        </xdr:cNvSpPr>
      </xdr:nvSpPr>
      <xdr:spPr bwMode="auto">
        <a:xfrm>
          <a:off x="7705725" y="3857625"/>
          <a:ext cx="3009900" cy="219075"/>
        </a:xfrm>
        <a:prstGeom prst="borderCallout1">
          <a:avLst>
            <a:gd name="adj1" fmla="val 48000"/>
            <a:gd name="adj2" fmla="val -2532"/>
            <a:gd name="adj3" fmla="val 44000"/>
            <a:gd name="adj4" fmla="val -7912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갑의 공장내 설치</a:t>
          </a:r>
        </a:p>
      </xdr:txBody>
    </xdr:sp>
    <xdr:clientData fPrintsWithSheet="0"/>
  </xdr:twoCellAnchor>
  <xdr:twoCellAnchor>
    <xdr:from>
      <xdr:col>10</xdr:col>
      <xdr:colOff>266700</xdr:colOff>
      <xdr:row>11</xdr:row>
      <xdr:rowOff>9525</xdr:rowOff>
    </xdr:from>
    <xdr:to>
      <xdr:col>14</xdr:col>
      <xdr:colOff>28575</xdr:colOff>
      <xdr:row>12</xdr:row>
      <xdr:rowOff>0</xdr:rowOff>
    </xdr:to>
    <xdr:sp macro="" textlink="">
      <xdr:nvSpPr>
        <xdr:cNvPr id="3" name="AutoShape 6"/>
        <xdr:cNvSpPr>
          <a:spLocks/>
        </xdr:cNvSpPr>
      </xdr:nvSpPr>
      <xdr:spPr bwMode="auto">
        <a:xfrm>
          <a:off x="7724775" y="2847975"/>
          <a:ext cx="3009900" cy="238125"/>
        </a:xfrm>
        <a:prstGeom prst="borderCallout1">
          <a:avLst>
            <a:gd name="adj1" fmla="val 48000"/>
            <a:gd name="adj2" fmla="val -2532"/>
            <a:gd name="adj3" fmla="val 48000"/>
            <a:gd name="adj4" fmla="val -8227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개조공사시 기존설비 해체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처리비용</a:t>
          </a:r>
        </a:p>
      </xdr:txBody>
    </xdr:sp>
    <xdr:clientData fPrintsWithSheet="0"/>
  </xdr:twoCellAnchor>
  <xdr:twoCellAnchor>
    <xdr:from>
      <xdr:col>10</xdr:col>
      <xdr:colOff>266700</xdr:colOff>
      <xdr:row>17</xdr:row>
      <xdr:rowOff>9525</xdr:rowOff>
    </xdr:from>
    <xdr:to>
      <xdr:col>14</xdr:col>
      <xdr:colOff>28575</xdr:colOff>
      <xdr:row>18</xdr:row>
      <xdr:rowOff>0</xdr:rowOff>
    </xdr:to>
    <xdr:sp macro="" textlink="">
      <xdr:nvSpPr>
        <xdr:cNvPr id="4" name="AutoShape 7"/>
        <xdr:cNvSpPr>
          <a:spLocks/>
        </xdr:cNvSpPr>
      </xdr:nvSpPr>
      <xdr:spPr bwMode="auto">
        <a:xfrm>
          <a:off x="7724775" y="4333875"/>
          <a:ext cx="3009900" cy="238125"/>
        </a:xfrm>
        <a:prstGeom prst="borderCallout1">
          <a:avLst>
            <a:gd name="adj1" fmla="val 48000"/>
            <a:gd name="adj2" fmla="val -2532"/>
            <a:gd name="adj3" fmla="val 44000"/>
            <a:gd name="adj4" fmla="val -7597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시운전후 양산안정시까지 대응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(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필요시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)</a:t>
          </a:r>
        </a:p>
      </xdr:txBody>
    </xdr:sp>
    <xdr:clientData fPrintsWithSheet="0"/>
  </xdr:twoCellAnchor>
  <xdr:twoCellAnchor>
    <xdr:from>
      <xdr:col>10</xdr:col>
      <xdr:colOff>276225</xdr:colOff>
      <xdr:row>7</xdr:row>
      <xdr:rowOff>147640</xdr:rowOff>
    </xdr:from>
    <xdr:to>
      <xdr:col>14</xdr:col>
      <xdr:colOff>38100</xdr:colOff>
      <xdr:row>8</xdr:row>
      <xdr:rowOff>190501</xdr:rowOff>
    </xdr:to>
    <xdr:sp macro="" textlink="">
      <xdr:nvSpPr>
        <xdr:cNvPr id="5" name="AutoShape 9"/>
        <xdr:cNvSpPr>
          <a:spLocks/>
        </xdr:cNvSpPr>
      </xdr:nvSpPr>
      <xdr:spPr bwMode="auto">
        <a:xfrm>
          <a:off x="7734300" y="1995490"/>
          <a:ext cx="3009900" cy="290511"/>
        </a:xfrm>
        <a:prstGeom prst="borderCallout1">
          <a:avLst>
            <a:gd name="adj1" fmla="val 48000"/>
            <a:gd name="adj2" fmla="val -2532"/>
            <a:gd name="adj3" fmla="val 72455"/>
            <a:gd name="adj4" fmla="val -8227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제작을 전량 하청업체에 외주할경우 제외</a:t>
          </a:r>
        </a:p>
      </xdr:txBody>
    </xdr:sp>
    <xdr:clientData fPrintsWithSheet="0"/>
  </xdr:twoCellAnchor>
  <xdr:twoCellAnchor>
    <xdr:from>
      <xdr:col>10</xdr:col>
      <xdr:colOff>250026</xdr:colOff>
      <xdr:row>14</xdr:row>
      <xdr:rowOff>0</xdr:rowOff>
    </xdr:from>
    <xdr:to>
      <xdr:col>14</xdr:col>
      <xdr:colOff>11901</xdr:colOff>
      <xdr:row>14</xdr:row>
      <xdr:rowOff>221456</xdr:rowOff>
    </xdr:to>
    <xdr:sp macro="" textlink="">
      <xdr:nvSpPr>
        <xdr:cNvPr id="6" name="AutoShape 5"/>
        <xdr:cNvSpPr>
          <a:spLocks/>
        </xdr:cNvSpPr>
      </xdr:nvSpPr>
      <xdr:spPr bwMode="auto">
        <a:xfrm>
          <a:off x="7708101" y="3581400"/>
          <a:ext cx="3009900" cy="221456"/>
        </a:xfrm>
        <a:prstGeom prst="borderCallout1">
          <a:avLst>
            <a:gd name="adj1" fmla="val 48000"/>
            <a:gd name="adj2" fmla="val -2532"/>
            <a:gd name="adj3" fmla="val 44000"/>
            <a:gd name="adj4" fmla="val -7912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업체內 가설치 및 을의 공장內 자체시운전 포함</a:t>
          </a:r>
        </a:p>
      </xdr:txBody>
    </xdr:sp>
    <xdr:clientData fPrintsWithSheet="0"/>
  </xdr:twoCellAnchor>
  <xdr:twoCellAnchor>
    <xdr:from>
      <xdr:col>10</xdr:col>
      <xdr:colOff>261932</xdr:colOff>
      <xdr:row>8</xdr:row>
      <xdr:rowOff>226218</xdr:rowOff>
    </xdr:from>
    <xdr:to>
      <xdr:col>14</xdr:col>
      <xdr:colOff>23807</xdr:colOff>
      <xdr:row>10</xdr:row>
      <xdr:rowOff>190500</xdr:rowOff>
    </xdr:to>
    <xdr:sp macro="" textlink="">
      <xdr:nvSpPr>
        <xdr:cNvPr id="7" name="AutoShape 9"/>
        <xdr:cNvSpPr>
          <a:spLocks/>
        </xdr:cNvSpPr>
      </xdr:nvSpPr>
      <xdr:spPr bwMode="auto">
        <a:xfrm>
          <a:off x="7720007" y="2321718"/>
          <a:ext cx="3009900" cy="459582"/>
        </a:xfrm>
        <a:prstGeom prst="borderCallout1">
          <a:avLst>
            <a:gd name="adj1" fmla="val 48000"/>
            <a:gd name="adj2" fmla="val -2532"/>
            <a:gd name="adj3" fmla="val 44000"/>
            <a:gd name="adj4" fmla="val -8227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갑의 공장내 설치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/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해체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/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수리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/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시운전 공사에 </a:t>
          </a:r>
          <a:endParaRPr lang="en-US" altLang="ko-KR" sz="1100" b="0" i="0" u="none" strike="noStrike" baseline="0">
            <a:solidFill>
              <a:srgbClr val="000000"/>
            </a:solidFill>
            <a:latin typeface="굴림"/>
            <a:ea typeface="굴림"/>
          </a:endParaRPr>
        </a:p>
        <a:p>
          <a:pPr algn="l" rtl="0">
            <a:lnSpc>
              <a:spcPts val="1200"/>
            </a:lnSpc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들어가는 자재비</a:t>
          </a:r>
        </a:p>
      </xdr:txBody>
    </xdr:sp>
    <xdr:clientData fPrintsWithSheet="0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57150</xdr:colOff>
      <xdr:row>0</xdr:row>
      <xdr:rowOff>0</xdr:rowOff>
    </xdr:from>
    <xdr:to>
      <xdr:col>8</xdr:col>
      <xdr:colOff>952500</xdr:colOff>
      <xdr:row>1</xdr:row>
      <xdr:rowOff>0</xdr:rowOff>
    </xdr:to>
    <xdr:sp macro="" textlink="">
      <xdr:nvSpPr>
        <xdr:cNvPr id="2" name="Rectangle 1"/>
        <xdr:cNvSpPr>
          <a:spLocks noChangeArrowheads="1"/>
        </xdr:cNvSpPr>
      </xdr:nvSpPr>
      <xdr:spPr bwMode="auto">
        <a:xfrm>
          <a:off x="6438900" y="0"/>
          <a:ext cx="19335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부만 기재하세요</a:t>
          </a:r>
        </a:p>
      </xdr:txBody>
    </xdr:sp>
    <xdr:clientData fPrintsWithSheet="0"/>
  </xdr:twoCellAnchor>
  <xdr:twoCellAnchor>
    <xdr:from>
      <xdr:col>3</xdr:col>
      <xdr:colOff>200025</xdr:colOff>
      <xdr:row>0</xdr:row>
      <xdr:rowOff>19050</xdr:rowOff>
    </xdr:from>
    <xdr:to>
      <xdr:col>6</xdr:col>
      <xdr:colOff>295275</xdr:colOff>
      <xdr:row>0</xdr:row>
      <xdr:rowOff>276225</xdr:rowOff>
    </xdr:to>
    <xdr:sp macro="[1]!값이있는행만출력하시오" textlink="">
      <xdr:nvSpPr>
        <xdr:cNvPr id="3" name="AutoShape 22"/>
        <xdr:cNvSpPr>
          <a:spLocks noChangeArrowheads="1"/>
        </xdr:cNvSpPr>
      </xdr:nvSpPr>
      <xdr:spPr bwMode="auto">
        <a:xfrm>
          <a:off x="3371850" y="19050"/>
          <a:ext cx="2400300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그러시면 저를 누르세요</a:t>
          </a:r>
        </a:p>
      </xdr:txBody>
    </xdr:sp>
    <xdr:clientData fPrintsWithSheet="0"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57150</xdr:colOff>
      <xdr:row>0</xdr:row>
      <xdr:rowOff>0</xdr:rowOff>
    </xdr:from>
    <xdr:to>
      <xdr:col>8</xdr:col>
      <xdr:colOff>962025</xdr:colOff>
      <xdr:row>1</xdr:row>
      <xdr:rowOff>0</xdr:rowOff>
    </xdr:to>
    <xdr:sp macro="" textlink="">
      <xdr:nvSpPr>
        <xdr:cNvPr id="2" name="Rectangle 1"/>
        <xdr:cNvSpPr>
          <a:spLocks noChangeArrowheads="1"/>
        </xdr:cNvSpPr>
      </xdr:nvSpPr>
      <xdr:spPr bwMode="auto">
        <a:xfrm>
          <a:off x="5391150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  <xdr:twoCellAnchor>
    <xdr:from>
      <xdr:col>3</xdr:col>
      <xdr:colOff>200025</xdr:colOff>
      <xdr:row>0</xdr:row>
      <xdr:rowOff>19050</xdr:rowOff>
    </xdr:from>
    <xdr:to>
      <xdr:col>3</xdr:col>
      <xdr:colOff>1228725</xdr:colOff>
      <xdr:row>0</xdr:row>
      <xdr:rowOff>276225</xdr:rowOff>
    </xdr:to>
    <xdr:sp macro="[1]!값이있는행만출력하시오" textlink="">
      <xdr:nvSpPr>
        <xdr:cNvPr id="3" name="AutoShape 5"/>
        <xdr:cNvSpPr>
          <a:spLocks noChangeArrowheads="1"/>
        </xdr:cNvSpPr>
      </xdr:nvSpPr>
      <xdr:spPr bwMode="auto">
        <a:xfrm>
          <a:off x="3743325" y="19050"/>
          <a:ext cx="1028700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1266825</xdr:colOff>
      <xdr:row>0</xdr:row>
      <xdr:rowOff>276225</xdr:rowOff>
    </xdr:to>
    <xdr:sp macro="[1]!값이있는행만출력하시오" textlink="">
      <xdr:nvSpPr>
        <xdr:cNvPr id="2" name="AutoShape 4"/>
        <xdr:cNvSpPr>
          <a:spLocks noChangeArrowheads="1"/>
        </xdr:cNvSpPr>
      </xdr:nvSpPr>
      <xdr:spPr bwMode="auto">
        <a:xfrm>
          <a:off x="3743325" y="19050"/>
          <a:ext cx="1066800" cy="257175"/>
        </a:xfrm>
        <a:prstGeom prst="bevel">
          <a:avLst>
            <a:gd name="adj" fmla="val 12500"/>
          </a:avLst>
        </a:prstGeom>
        <a:solidFill>
          <a:srgbClr val="CCFFCC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209550</xdr:colOff>
      <xdr:row>0</xdr:row>
      <xdr:rowOff>0</xdr:rowOff>
    </xdr:from>
    <xdr:to>
      <xdr:col>8</xdr:col>
      <xdr:colOff>714375</xdr:colOff>
      <xdr:row>1</xdr:row>
      <xdr:rowOff>0</xdr:rowOff>
    </xdr:to>
    <xdr:sp macro="" textlink="">
      <xdr:nvSpPr>
        <xdr:cNvPr id="3" name="Rectangle 15"/>
        <xdr:cNvSpPr>
          <a:spLocks noChangeArrowheads="1"/>
        </xdr:cNvSpPr>
      </xdr:nvSpPr>
      <xdr:spPr bwMode="auto">
        <a:xfrm>
          <a:off x="5143500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1285875</xdr:colOff>
      <xdr:row>0</xdr:row>
      <xdr:rowOff>276225</xdr:rowOff>
    </xdr:to>
    <xdr:sp macro="[1]!값이있는행만출력하시오" textlink="">
      <xdr:nvSpPr>
        <xdr:cNvPr id="2" name="AutoShape 4"/>
        <xdr:cNvSpPr>
          <a:spLocks noChangeArrowheads="1"/>
        </xdr:cNvSpPr>
      </xdr:nvSpPr>
      <xdr:spPr bwMode="auto">
        <a:xfrm>
          <a:off x="3743325" y="19050"/>
          <a:ext cx="1085850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295275</xdr:colOff>
      <xdr:row>0</xdr:row>
      <xdr:rowOff>0</xdr:rowOff>
    </xdr:from>
    <xdr:to>
      <xdr:col>8</xdr:col>
      <xdr:colOff>800100</xdr:colOff>
      <xdr:row>1</xdr:row>
      <xdr:rowOff>0</xdr:rowOff>
    </xdr:to>
    <xdr:sp macro="" textlink="">
      <xdr:nvSpPr>
        <xdr:cNvPr id="3" name="Rectangle 7"/>
        <xdr:cNvSpPr>
          <a:spLocks noChangeArrowheads="1"/>
        </xdr:cNvSpPr>
      </xdr:nvSpPr>
      <xdr:spPr bwMode="auto">
        <a:xfrm>
          <a:off x="5229225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1200150</xdr:colOff>
      <xdr:row>0</xdr:row>
      <xdr:rowOff>276225</xdr:rowOff>
    </xdr:to>
    <xdr:sp macro="[1]!값이있는행만출력하시오" textlink="">
      <xdr:nvSpPr>
        <xdr:cNvPr id="2" name="AutoShape 4"/>
        <xdr:cNvSpPr>
          <a:spLocks noChangeArrowheads="1"/>
        </xdr:cNvSpPr>
      </xdr:nvSpPr>
      <xdr:spPr bwMode="auto">
        <a:xfrm>
          <a:off x="3743325" y="19050"/>
          <a:ext cx="100012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180975</xdr:colOff>
      <xdr:row>0</xdr:row>
      <xdr:rowOff>0</xdr:rowOff>
    </xdr:from>
    <xdr:to>
      <xdr:col>8</xdr:col>
      <xdr:colOff>685800</xdr:colOff>
      <xdr:row>1</xdr:row>
      <xdr:rowOff>0</xdr:rowOff>
    </xdr:to>
    <xdr:sp macro="" textlink="">
      <xdr:nvSpPr>
        <xdr:cNvPr id="3" name="Rectangle 7"/>
        <xdr:cNvSpPr>
          <a:spLocks noChangeArrowheads="1"/>
        </xdr:cNvSpPr>
      </xdr:nvSpPr>
      <xdr:spPr bwMode="auto">
        <a:xfrm>
          <a:off x="5114925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1181100</xdr:colOff>
      <xdr:row>0</xdr:row>
      <xdr:rowOff>276225</xdr:rowOff>
    </xdr:to>
    <xdr:sp macro="[1]!값이있는행만출력하시오" textlink="">
      <xdr:nvSpPr>
        <xdr:cNvPr id="2" name="AutoShape 4"/>
        <xdr:cNvSpPr>
          <a:spLocks noChangeArrowheads="1"/>
        </xdr:cNvSpPr>
      </xdr:nvSpPr>
      <xdr:spPr bwMode="auto">
        <a:xfrm>
          <a:off x="3743325" y="19050"/>
          <a:ext cx="98107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85725</xdr:colOff>
      <xdr:row>0</xdr:row>
      <xdr:rowOff>0</xdr:rowOff>
    </xdr:from>
    <xdr:to>
      <xdr:col>8</xdr:col>
      <xdr:colOff>590550</xdr:colOff>
      <xdr:row>1</xdr:row>
      <xdr:rowOff>0</xdr:rowOff>
    </xdr:to>
    <xdr:sp macro="" textlink="">
      <xdr:nvSpPr>
        <xdr:cNvPr id="3" name="Rectangle 7"/>
        <xdr:cNvSpPr>
          <a:spLocks noChangeArrowheads="1"/>
        </xdr:cNvSpPr>
      </xdr:nvSpPr>
      <xdr:spPr bwMode="auto">
        <a:xfrm>
          <a:off x="5019675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1247775</xdr:colOff>
      <xdr:row>0</xdr:row>
      <xdr:rowOff>276225</xdr:rowOff>
    </xdr:to>
    <xdr:sp macro="[1]!값이있는행만출력하시오" textlink="">
      <xdr:nvSpPr>
        <xdr:cNvPr id="2" name="AutoShape 4"/>
        <xdr:cNvSpPr>
          <a:spLocks noChangeArrowheads="1"/>
        </xdr:cNvSpPr>
      </xdr:nvSpPr>
      <xdr:spPr bwMode="auto">
        <a:xfrm>
          <a:off x="3743325" y="19050"/>
          <a:ext cx="1047750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295275</xdr:colOff>
      <xdr:row>0</xdr:row>
      <xdr:rowOff>0</xdr:rowOff>
    </xdr:from>
    <xdr:to>
      <xdr:col>8</xdr:col>
      <xdr:colOff>800100</xdr:colOff>
      <xdr:row>1</xdr:row>
      <xdr:rowOff>0</xdr:rowOff>
    </xdr:to>
    <xdr:sp macro="" textlink="">
      <xdr:nvSpPr>
        <xdr:cNvPr id="3" name="Rectangle 7"/>
        <xdr:cNvSpPr>
          <a:spLocks noChangeArrowheads="1"/>
        </xdr:cNvSpPr>
      </xdr:nvSpPr>
      <xdr:spPr bwMode="auto">
        <a:xfrm>
          <a:off x="5229225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1181100</xdr:colOff>
      <xdr:row>0</xdr:row>
      <xdr:rowOff>276225</xdr:rowOff>
    </xdr:to>
    <xdr:sp macro="[1]!값이있는행만출력하시오" textlink="">
      <xdr:nvSpPr>
        <xdr:cNvPr id="2" name="AutoShape 4"/>
        <xdr:cNvSpPr>
          <a:spLocks noChangeArrowheads="1"/>
        </xdr:cNvSpPr>
      </xdr:nvSpPr>
      <xdr:spPr bwMode="auto">
        <a:xfrm>
          <a:off x="3743325" y="19050"/>
          <a:ext cx="98107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171450</xdr:colOff>
      <xdr:row>0</xdr:row>
      <xdr:rowOff>0</xdr:rowOff>
    </xdr:from>
    <xdr:to>
      <xdr:col>8</xdr:col>
      <xdr:colOff>676275</xdr:colOff>
      <xdr:row>1</xdr:row>
      <xdr:rowOff>0</xdr:rowOff>
    </xdr:to>
    <xdr:sp macro="" textlink="">
      <xdr:nvSpPr>
        <xdr:cNvPr id="3" name="Rectangle 7"/>
        <xdr:cNvSpPr>
          <a:spLocks noChangeArrowheads="1"/>
        </xdr:cNvSpPr>
      </xdr:nvSpPr>
      <xdr:spPr bwMode="auto">
        <a:xfrm>
          <a:off x="5105400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1162050</xdr:colOff>
      <xdr:row>0</xdr:row>
      <xdr:rowOff>276225</xdr:rowOff>
    </xdr:to>
    <xdr:sp macro="[1]!값이있는행만출력하시오" textlink="">
      <xdr:nvSpPr>
        <xdr:cNvPr id="2" name="AutoShape 4"/>
        <xdr:cNvSpPr>
          <a:spLocks noChangeArrowheads="1"/>
        </xdr:cNvSpPr>
      </xdr:nvSpPr>
      <xdr:spPr bwMode="auto">
        <a:xfrm>
          <a:off x="3743325" y="19050"/>
          <a:ext cx="96202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2</xdr:col>
      <xdr:colOff>9525</xdr:colOff>
      <xdr:row>55</xdr:row>
      <xdr:rowOff>0</xdr:rowOff>
    </xdr:from>
    <xdr:to>
      <xdr:col>9</xdr:col>
      <xdr:colOff>0</xdr:colOff>
      <xdr:row>55</xdr:row>
      <xdr:rowOff>0</xdr:rowOff>
    </xdr:to>
    <xdr:sp macro="" textlink="">
      <xdr:nvSpPr>
        <xdr:cNvPr id="3" name="Rectangle 6"/>
        <xdr:cNvSpPr>
          <a:spLocks noChangeArrowheads="1"/>
        </xdr:cNvSpPr>
      </xdr:nvSpPr>
      <xdr:spPr bwMode="auto">
        <a:xfrm>
          <a:off x="1752600" y="11096625"/>
          <a:ext cx="718185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전기부문은 전기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SHEET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에 작성하세요</a:t>
          </a:r>
        </a:p>
      </xdr:txBody>
    </xdr:sp>
    <xdr:clientData fPrintsWithSheet="0"/>
  </xdr:twoCellAnchor>
  <xdr:twoCellAnchor>
    <xdr:from>
      <xdr:col>4</xdr:col>
      <xdr:colOff>9525</xdr:colOff>
      <xdr:row>0</xdr:row>
      <xdr:rowOff>0</xdr:rowOff>
    </xdr:from>
    <xdr:to>
      <xdr:col>8</xdr:col>
      <xdr:colOff>514350</xdr:colOff>
      <xdr:row>1</xdr:row>
      <xdr:rowOff>0</xdr:rowOff>
    </xdr:to>
    <xdr:sp macro="" textlink="">
      <xdr:nvSpPr>
        <xdr:cNvPr id="4" name="Rectangle 7"/>
        <xdr:cNvSpPr>
          <a:spLocks noChangeArrowheads="1"/>
        </xdr:cNvSpPr>
      </xdr:nvSpPr>
      <xdr:spPr bwMode="auto">
        <a:xfrm>
          <a:off x="4943475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1162050</xdr:colOff>
      <xdr:row>0</xdr:row>
      <xdr:rowOff>276225</xdr:rowOff>
    </xdr:to>
    <xdr:sp macro="[1]!값이있는행만출력하시오" textlink="">
      <xdr:nvSpPr>
        <xdr:cNvPr id="2" name="AutoShape 2"/>
        <xdr:cNvSpPr>
          <a:spLocks noChangeArrowheads="1"/>
        </xdr:cNvSpPr>
      </xdr:nvSpPr>
      <xdr:spPr bwMode="auto">
        <a:xfrm>
          <a:off x="3743325" y="19050"/>
          <a:ext cx="96202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2</xdr:col>
      <xdr:colOff>9525</xdr:colOff>
      <xdr:row>55</xdr:row>
      <xdr:rowOff>0</xdr:rowOff>
    </xdr:from>
    <xdr:to>
      <xdr:col>9</xdr:col>
      <xdr:colOff>0</xdr:colOff>
      <xdr:row>55</xdr:row>
      <xdr:rowOff>0</xdr:rowOff>
    </xdr:to>
    <xdr:sp macro="" textlink="">
      <xdr:nvSpPr>
        <xdr:cNvPr id="3" name="Rectangle 3"/>
        <xdr:cNvSpPr>
          <a:spLocks noChangeArrowheads="1"/>
        </xdr:cNvSpPr>
      </xdr:nvSpPr>
      <xdr:spPr bwMode="auto">
        <a:xfrm>
          <a:off x="1752600" y="11096625"/>
          <a:ext cx="718185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전기부문은 전기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SHEET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에 작성하세요</a:t>
          </a:r>
        </a:p>
      </xdr:txBody>
    </xdr:sp>
    <xdr:clientData fPrintsWithSheet="0"/>
  </xdr:twoCellAnchor>
  <xdr:twoCellAnchor>
    <xdr:from>
      <xdr:col>3</xdr:col>
      <xdr:colOff>1371600</xdr:colOff>
      <xdr:row>0</xdr:row>
      <xdr:rowOff>0</xdr:rowOff>
    </xdr:from>
    <xdr:to>
      <xdr:col>8</xdr:col>
      <xdr:colOff>485775</xdr:colOff>
      <xdr:row>1</xdr:row>
      <xdr:rowOff>0</xdr:rowOff>
    </xdr:to>
    <xdr:sp macro="" textlink="">
      <xdr:nvSpPr>
        <xdr:cNvPr id="4" name="Rectangle 4"/>
        <xdr:cNvSpPr>
          <a:spLocks noChangeArrowheads="1"/>
        </xdr:cNvSpPr>
      </xdr:nvSpPr>
      <xdr:spPr bwMode="auto">
        <a:xfrm>
          <a:off x="4914900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1162050</xdr:colOff>
      <xdr:row>0</xdr:row>
      <xdr:rowOff>276225</xdr:rowOff>
    </xdr:to>
    <xdr:sp macro="[1]!값이있는행만출력하시오" textlink="">
      <xdr:nvSpPr>
        <xdr:cNvPr id="2" name="AutoShape 2"/>
        <xdr:cNvSpPr>
          <a:spLocks noChangeArrowheads="1"/>
        </xdr:cNvSpPr>
      </xdr:nvSpPr>
      <xdr:spPr bwMode="auto">
        <a:xfrm>
          <a:off x="3743325" y="19050"/>
          <a:ext cx="96202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2</xdr:col>
      <xdr:colOff>9525</xdr:colOff>
      <xdr:row>55</xdr:row>
      <xdr:rowOff>0</xdr:rowOff>
    </xdr:from>
    <xdr:to>
      <xdr:col>9</xdr:col>
      <xdr:colOff>0</xdr:colOff>
      <xdr:row>55</xdr:row>
      <xdr:rowOff>0</xdr:rowOff>
    </xdr:to>
    <xdr:sp macro="" textlink="">
      <xdr:nvSpPr>
        <xdr:cNvPr id="3" name="Rectangle 3"/>
        <xdr:cNvSpPr>
          <a:spLocks noChangeArrowheads="1"/>
        </xdr:cNvSpPr>
      </xdr:nvSpPr>
      <xdr:spPr bwMode="auto">
        <a:xfrm>
          <a:off x="1752600" y="11096625"/>
          <a:ext cx="718185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전기부문은 전기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SHEET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에 작성하세요</a:t>
          </a:r>
        </a:p>
      </xdr:txBody>
    </xdr:sp>
    <xdr:clientData fPrintsWithSheet="0"/>
  </xdr:twoCellAnchor>
  <xdr:twoCellAnchor>
    <xdr:from>
      <xdr:col>3</xdr:col>
      <xdr:colOff>1343025</xdr:colOff>
      <xdr:row>0</xdr:row>
      <xdr:rowOff>0</xdr:rowOff>
    </xdr:from>
    <xdr:to>
      <xdr:col>8</xdr:col>
      <xdr:colOff>457200</xdr:colOff>
      <xdr:row>1</xdr:row>
      <xdr:rowOff>0</xdr:rowOff>
    </xdr:to>
    <xdr:sp macro="" textlink="">
      <xdr:nvSpPr>
        <xdr:cNvPr id="4" name="Rectangle 4"/>
        <xdr:cNvSpPr>
          <a:spLocks noChangeArrowheads="1"/>
        </xdr:cNvSpPr>
      </xdr:nvSpPr>
      <xdr:spPr bwMode="auto">
        <a:xfrm>
          <a:off x="4886325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3.%20&#50577;&#49885;/&#53685;&#54633;&#44204;&#51201;&#49436;(&#49328;&#50629;&#50504;&#51204;&#44288;&#47532;&#48708;%20&#51088;&#46041;&#44228;&#49328;)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갑지"/>
      <sheetName val="원가항목별(집계)"/>
      <sheetName val="단위공사별(집계)"/>
      <sheetName val="전기"/>
      <sheetName val="단위장비1"/>
      <sheetName val="단위장비2"/>
      <sheetName val="단위장비3"/>
      <sheetName val="단위장비4"/>
      <sheetName val="단위장비5"/>
      <sheetName val="단위장비6"/>
      <sheetName val="단위장비7"/>
      <sheetName val="단위장비8"/>
      <sheetName val="단위장비9"/>
      <sheetName val="단위장비10"/>
      <sheetName val="첨부(견적조건차이내역)"/>
      <sheetName val="통합견적서(산업안전관리비 자동계산)"/>
    </sheetNames>
    <definedNames>
      <definedName name="값이있는행만출력하시오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44"/>
  <sheetViews>
    <sheetView showGridLines="0" tabSelected="1" zoomScale="85" workbookViewId="0">
      <selection activeCell="L10" sqref="L10"/>
    </sheetView>
  </sheetViews>
  <sheetFormatPr defaultRowHeight="13.5"/>
  <cols>
    <col min="1" max="1" width="2" style="1" customWidth="1"/>
    <col min="2" max="2" width="4.875" style="1" customWidth="1"/>
    <col min="3" max="3" width="8.5" style="1" customWidth="1"/>
    <col min="4" max="4" width="14.75" style="1" customWidth="1"/>
    <col min="5" max="7" width="11.125" style="1" customWidth="1"/>
    <col min="8" max="8" width="14" style="1" customWidth="1"/>
    <col min="9" max="9" width="8.5" style="1" customWidth="1"/>
    <col min="10" max="10" width="1.375" style="1" customWidth="1"/>
    <col min="11" max="11" width="9" style="1"/>
    <col min="12" max="12" width="33.25" style="1" customWidth="1"/>
    <col min="13" max="16384" width="9" style="1"/>
  </cols>
  <sheetData>
    <row r="1" spans="2:10">
      <c r="B1" s="1" t="s">
        <v>0</v>
      </c>
    </row>
    <row r="2" spans="2:10" ht="38.25">
      <c r="B2" s="395" t="s">
        <v>1</v>
      </c>
      <c r="C2" s="395"/>
      <c r="D2" s="395"/>
      <c r="E2" s="395"/>
      <c r="F2" s="395"/>
      <c r="G2" s="395"/>
      <c r="H2" s="395"/>
      <c r="I2" s="395"/>
    </row>
    <row r="4" spans="2:10" s="6" customFormat="1" ht="24" customHeight="1">
      <c r="B4" s="396" t="s">
        <v>2</v>
      </c>
      <c r="C4" s="396"/>
      <c r="D4" s="396"/>
      <c r="E4" s="2"/>
      <c r="F4" s="2"/>
      <c r="G4" s="3" t="s">
        <v>278</v>
      </c>
      <c r="H4" s="4"/>
      <c r="I4" s="5"/>
    </row>
    <row r="5" spans="2:10" s="6" customFormat="1" ht="21.75" customHeight="1">
      <c r="B5" s="397" t="s">
        <v>3</v>
      </c>
      <c r="C5" s="398"/>
      <c r="D5" s="7" t="s">
        <v>367</v>
      </c>
      <c r="E5" s="8"/>
      <c r="F5" s="2"/>
      <c r="G5" s="9" t="s">
        <v>4</v>
      </c>
      <c r="H5" s="10" t="s">
        <v>280</v>
      </c>
      <c r="I5" s="10"/>
    </row>
    <row r="6" spans="2:10" s="6" customFormat="1" ht="21.75" customHeight="1">
      <c r="B6" s="397" t="s">
        <v>5</v>
      </c>
      <c r="C6" s="398"/>
      <c r="D6" s="7" t="s">
        <v>370</v>
      </c>
      <c r="E6" s="8"/>
      <c r="F6" s="2"/>
      <c r="G6" s="9" t="s">
        <v>281</v>
      </c>
      <c r="H6" s="11"/>
      <c r="I6" s="11"/>
      <c r="J6" s="1"/>
    </row>
    <row r="7" spans="2:10" s="6" customFormat="1" ht="21.75" customHeight="1">
      <c r="B7" s="399" t="s">
        <v>6</v>
      </c>
      <c r="C7" s="12" t="s">
        <v>7</v>
      </c>
      <c r="D7" s="7">
        <v>2019.1031</v>
      </c>
      <c r="E7" s="8"/>
      <c r="F7" s="2"/>
      <c r="G7" s="13"/>
      <c r="H7" s="11"/>
      <c r="I7" s="11"/>
      <c r="J7" s="1"/>
    </row>
    <row r="8" spans="2:10" s="6" customFormat="1" ht="21.75" customHeight="1">
      <c r="B8" s="399"/>
      <c r="C8" s="12" t="s">
        <v>8</v>
      </c>
      <c r="D8" s="7"/>
      <c r="E8" s="8"/>
      <c r="F8" s="2"/>
      <c r="G8" s="13" t="s">
        <v>282</v>
      </c>
      <c r="H8" s="11"/>
      <c r="I8" s="11"/>
      <c r="J8" s="1"/>
    </row>
    <row r="9" spans="2:10" s="6" customFormat="1" ht="21.75" customHeight="1">
      <c r="B9" s="397" t="s">
        <v>9</v>
      </c>
      <c r="C9" s="398"/>
      <c r="D9" s="7" t="s">
        <v>279</v>
      </c>
      <c r="E9" s="8"/>
      <c r="F9" s="2"/>
      <c r="G9" s="9" t="s">
        <v>283</v>
      </c>
      <c r="H9" s="11"/>
      <c r="I9" s="11"/>
      <c r="J9" s="1"/>
    </row>
    <row r="10" spans="2:10" s="6" customFormat="1" ht="21.75" customHeight="1">
      <c r="B10" s="397" t="s">
        <v>10</v>
      </c>
      <c r="C10" s="398"/>
      <c r="D10" s="7" t="s">
        <v>368</v>
      </c>
      <c r="E10" s="8"/>
      <c r="G10" s="14" t="s">
        <v>11</v>
      </c>
      <c r="H10" s="15" t="s">
        <v>284</v>
      </c>
      <c r="I10" s="16"/>
    </row>
    <row r="11" spans="2:10" s="6" customFormat="1" ht="21.75" customHeight="1">
      <c r="B11" s="397" t="s">
        <v>12</v>
      </c>
      <c r="C11" s="398"/>
      <c r="D11" s="7" t="s">
        <v>369</v>
      </c>
      <c r="E11" s="8"/>
      <c r="G11" s="14" t="s">
        <v>13</v>
      </c>
      <c r="H11" s="15" t="s">
        <v>285</v>
      </c>
      <c r="I11" s="16"/>
    </row>
    <row r="12" spans="2:10" s="18" customFormat="1" ht="10.5" customHeight="1">
      <c r="B12" s="17"/>
      <c r="I12" s="19"/>
    </row>
    <row r="13" spans="2:10" s="22" customFormat="1" ht="24.95" customHeight="1">
      <c r="B13" s="20" t="s">
        <v>14</v>
      </c>
      <c r="C13" s="20"/>
      <c r="D13" s="406" t="s">
        <v>375</v>
      </c>
      <c r="E13" s="406"/>
      <c r="F13" s="406"/>
      <c r="G13" s="406"/>
      <c r="H13" s="21"/>
    </row>
    <row r="14" spans="2:10" s="6" customFormat="1" ht="8.25" customHeight="1"/>
    <row r="15" spans="2:10" s="23" customFormat="1" ht="24.95" customHeight="1">
      <c r="B15" s="393" t="s">
        <v>15</v>
      </c>
      <c r="C15" s="400" t="s">
        <v>16</v>
      </c>
      <c r="D15" s="401"/>
      <c r="E15" s="404" t="s">
        <v>17</v>
      </c>
      <c r="F15" s="405"/>
      <c r="G15" s="405"/>
      <c r="H15" s="405"/>
      <c r="I15" s="393" t="s">
        <v>18</v>
      </c>
    </row>
    <row r="16" spans="2:10" s="23" customFormat="1" ht="29.25" customHeight="1" thickBot="1">
      <c r="B16" s="394"/>
      <c r="C16" s="402"/>
      <c r="D16" s="403"/>
      <c r="E16" s="24" t="s">
        <v>19</v>
      </c>
      <c r="F16" s="25" t="s">
        <v>20</v>
      </c>
      <c r="G16" s="26" t="s">
        <v>21</v>
      </c>
      <c r="H16" s="27" t="s">
        <v>22</v>
      </c>
      <c r="I16" s="394"/>
    </row>
    <row r="17" spans="1:13" s="28" customFormat="1" ht="24.95" customHeight="1">
      <c r="B17" s="29">
        <v>1</v>
      </c>
      <c r="C17" s="384" t="s">
        <v>371</v>
      </c>
      <c r="D17" s="385"/>
      <c r="E17" s="30">
        <v>1</v>
      </c>
      <c r="F17" s="322" t="s">
        <v>286</v>
      </c>
      <c r="G17" s="31">
        <f>단위장비1!H69+전기!H67</f>
        <v>167728949.90000001</v>
      </c>
      <c r="H17" s="32">
        <f>E17*G17</f>
        <v>167728949.90000001</v>
      </c>
      <c r="I17" s="33"/>
      <c r="M17" s="34"/>
    </row>
    <row r="18" spans="1:13" s="28" customFormat="1" ht="24.95" customHeight="1">
      <c r="B18" s="35">
        <v>2</v>
      </c>
      <c r="C18" s="386" t="str">
        <f>IF('단위공사별(집계)'!N8&gt;0,'단위공사별(집계)'!B8,"")</f>
        <v/>
      </c>
      <c r="D18" s="387"/>
      <c r="E18" s="36"/>
      <c r="F18" s="37"/>
      <c r="G18" s="38"/>
      <c r="H18" s="39">
        <f>E18*G18</f>
        <v>0</v>
      </c>
      <c r="I18" s="40"/>
    </row>
    <row r="19" spans="1:13" s="28" customFormat="1" ht="24.95" customHeight="1">
      <c r="B19" s="35">
        <v>3</v>
      </c>
      <c r="C19" s="386" t="str">
        <f>IF('단위공사별(집계)'!N9&gt;0,'단위공사별(집계)'!B9,"")</f>
        <v/>
      </c>
      <c r="D19" s="387"/>
      <c r="E19" s="36"/>
      <c r="F19" s="37"/>
      <c r="G19" s="38"/>
      <c r="H19" s="39">
        <f>E19*G19</f>
        <v>0</v>
      </c>
      <c r="I19" s="40"/>
    </row>
    <row r="20" spans="1:13" s="28" customFormat="1" ht="24.95" customHeight="1">
      <c r="B20" s="35">
        <v>4</v>
      </c>
      <c r="C20" s="386" t="str">
        <f>IF('단위공사별(집계)'!N10&gt;0,'단위공사별(집계)'!B10,"")</f>
        <v/>
      </c>
      <c r="D20" s="387"/>
      <c r="E20" s="41"/>
      <c r="F20" s="42"/>
      <c r="G20" s="38" t="str">
        <f>IF('단위공사별(집계)'!N10&gt;0,('단위공사별(집계)'!L10+'단위공사별(집계)'!M10)/1000,"")</f>
        <v/>
      </c>
      <c r="H20" s="43" t="str">
        <f>IF('단위공사별(집계)'!N10&gt;0,'단위공사별(집계)'!N10/1000,"")</f>
        <v/>
      </c>
      <c r="I20" s="40"/>
    </row>
    <row r="21" spans="1:13" s="28" customFormat="1" ht="24.95" customHeight="1">
      <c r="B21" s="35">
        <v>5</v>
      </c>
      <c r="C21" s="386" t="str">
        <f>IF('단위공사별(집계)'!N11&gt;0,'단위공사별(집계)'!B11,"")</f>
        <v/>
      </c>
      <c r="D21" s="387"/>
      <c r="E21" s="41" t="str">
        <f>IF('단위공사별(집계)'!N11&gt;1,('단위공사별(집계)'!D11+'단위공사별(집계)'!E11+'단위공사별(집계)'!F11+'단위공사별(집계)'!G11+'단위공사별(집계)'!H11+'단위공사별(집계)'!I11)/1000," ")</f>
        <v xml:space="preserve"> </v>
      </c>
      <c r="F21" s="42"/>
      <c r="G21" s="38" t="str">
        <f>IF('단위공사별(집계)'!N11&gt;0,('단위공사별(집계)'!L11+'단위공사별(집계)'!M11)/1000,"")</f>
        <v/>
      </c>
      <c r="H21" s="43" t="str">
        <f>IF('단위공사별(집계)'!N11&gt;0,'단위공사별(집계)'!N11/1000,"")</f>
        <v/>
      </c>
      <c r="I21" s="40"/>
    </row>
    <row r="22" spans="1:13" s="28" customFormat="1" ht="24.95" customHeight="1">
      <c r="B22" s="35">
        <v>6</v>
      </c>
      <c r="C22" s="386" t="str">
        <f>IF('단위공사별(집계)'!N12&gt;0,'단위공사별(집계)'!B12,"")</f>
        <v/>
      </c>
      <c r="D22" s="387"/>
      <c r="E22" s="41" t="str">
        <f>IF('단위공사별(집계)'!N12&gt;1,('단위공사별(집계)'!D12+'단위공사별(집계)'!E12+'단위공사별(집계)'!F12+'단위공사별(집계)'!G12+'단위공사별(집계)'!H12+'단위공사별(집계)'!I12)/1000," ")</f>
        <v xml:space="preserve"> </v>
      </c>
      <c r="F22" s="42"/>
      <c r="G22" s="38" t="str">
        <f>IF('단위공사별(집계)'!N12&gt;0,('단위공사별(집계)'!L12+'단위공사별(집계)'!M12)/1000,"")</f>
        <v/>
      </c>
      <c r="H22" s="43" t="str">
        <f>IF('단위공사별(집계)'!N12&gt;0,'단위공사별(집계)'!N12/1000,"")</f>
        <v/>
      </c>
      <c r="I22" s="40"/>
    </row>
    <row r="23" spans="1:13" s="28" customFormat="1" ht="24.95" customHeight="1">
      <c r="B23" s="35">
        <v>7</v>
      </c>
      <c r="C23" s="386" t="str">
        <f>IF('단위공사별(집계)'!N13&gt;0,'단위공사별(집계)'!B13,"")</f>
        <v/>
      </c>
      <c r="D23" s="387"/>
      <c r="E23" s="41" t="str">
        <f>IF('단위공사별(집계)'!N13&gt;1,('단위공사별(집계)'!D13+'단위공사별(집계)'!E13+'단위공사별(집계)'!F13+'단위공사별(집계)'!G13+'단위공사별(집계)'!H13+'단위공사별(집계)'!I13)/1000," ")</f>
        <v xml:space="preserve"> </v>
      </c>
      <c r="F23" s="42"/>
      <c r="G23" s="38" t="str">
        <f>IF('단위공사별(집계)'!N13&gt;0,('단위공사별(집계)'!L13+'단위공사별(집계)'!M13)/1000,"")</f>
        <v/>
      </c>
      <c r="H23" s="43" t="str">
        <f>IF('단위공사별(집계)'!N13&gt;0,'단위공사별(집계)'!N13/1000,"")</f>
        <v/>
      </c>
      <c r="I23" s="40"/>
    </row>
    <row r="24" spans="1:13" s="28" customFormat="1" ht="24.95" customHeight="1">
      <c r="B24" s="44">
        <v>8</v>
      </c>
      <c r="C24" s="386" t="str">
        <f>IF('단위공사별(집계)'!N14&gt;0,'단위공사별(집계)'!B14,"")</f>
        <v/>
      </c>
      <c r="D24" s="387"/>
      <c r="E24" s="41" t="str">
        <f>IF('단위공사별(집계)'!N14&gt;1,('단위공사별(집계)'!D14+'단위공사별(집계)'!E14+'단위공사별(집계)'!F14+'단위공사별(집계)'!G14+'단위공사별(집계)'!H14+'단위공사별(집계)'!I14)/1000," ")</f>
        <v xml:space="preserve"> </v>
      </c>
      <c r="F24" s="42"/>
      <c r="G24" s="38" t="str">
        <f>IF('단위공사별(집계)'!N14&gt;0,('단위공사별(집계)'!L14+'단위공사별(집계)'!M14)/1000,"")</f>
        <v/>
      </c>
      <c r="H24" s="43" t="str">
        <f>IF('단위공사별(집계)'!N14&gt;0,'단위공사별(집계)'!N14/1000,"")</f>
        <v/>
      </c>
      <c r="I24" s="40"/>
    </row>
    <row r="25" spans="1:13" s="28" customFormat="1" ht="24.95" customHeight="1">
      <c r="B25" s="44">
        <v>9</v>
      </c>
      <c r="C25" s="386" t="str">
        <f>IF('단위공사별(집계)'!N15&gt;0,'단위공사별(집계)'!B15,"")</f>
        <v/>
      </c>
      <c r="D25" s="387"/>
      <c r="E25" s="41" t="str">
        <f>IF('단위공사별(집계)'!N15&gt;1,('단위공사별(집계)'!D15+'단위공사별(집계)'!E15+'단위공사별(집계)'!F15+'단위공사별(집계)'!G15+'단위공사별(집계)'!H15+'단위공사별(집계)'!I15)/1000," ")</f>
        <v xml:space="preserve"> </v>
      </c>
      <c r="F25" s="42"/>
      <c r="G25" s="38" t="str">
        <f>IF('단위공사별(집계)'!N15&gt;0,('단위공사별(집계)'!L15+'단위공사별(집계)'!M15)/1000,"")</f>
        <v/>
      </c>
      <c r="H25" s="43" t="str">
        <f>IF('단위공사별(집계)'!N15&gt;0,'단위공사별(집계)'!N15/1000,"")</f>
        <v/>
      </c>
      <c r="I25" s="40"/>
    </row>
    <row r="26" spans="1:13" s="28" customFormat="1" ht="24.95" customHeight="1">
      <c r="B26" s="45">
        <v>10</v>
      </c>
      <c r="C26" s="388" t="str">
        <f>IF('단위공사별(집계)'!N16&gt;0,'단위공사별(집계)'!B16,"")</f>
        <v/>
      </c>
      <c r="D26" s="389"/>
      <c r="E26" s="46" t="str">
        <f>IF('단위공사별(집계)'!N16&gt;1,('단위공사별(집계)'!D16+'단위공사별(집계)'!E16+'단위공사별(집계)'!F16+'단위공사별(집계)'!G16+'단위공사별(집계)'!H16+'단위공사별(집계)'!I16)/1000," ")</f>
        <v xml:space="preserve"> </v>
      </c>
      <c r="F26" s="47"/>
      <c r="G26" s="48" t="str">
        <f>IF('단위공사별(집계)'!N16&gt;0,('단위공사별(집계)'!L16+'단위공사별(집계)'!M16)/1000,"")</f>
        <v/>
      </c>
      <c r="H26" s="49" t="str">
        <f>IF('단위공사별(집계)'!N16&gt;0,'단위공사별(집계)'!N16/1000,"")</f>
        <v/>
      </c>
      <c r="I26" s="50"/>
    </row>
    <row r="27" spans="1:13" ht="24.95" customHeight="1">
      <c r="B27" s="390" t="s">
        <v>23</v>
      </c>
      <c r="C27" s="391"/>
      <c r="D27" s="392"/>
      <c r="E27" s="51">
        <f>SUM(E17:E23)</f>
        <v>1</v>
      </c>
      <c r="F27" s="52">
        <f>SUM(F17:F23)</f>
        <v>0</v>
      </c>
      <c r="G27" s="52">
        <f>SUM(G17:G23)</f>
        <v>167728949.90000001</v>
      </c>
      <c r="H27" s="53">
        <f>SUM(H17:H26)</f>
        <v>167728949.90000001</v>
      </c>
      <c r="I27" s="54"/>
      <c r="J27" s="55"/>
    </row>
    <row r="28" spans="1:13" ht="4.5" customHeight="1">
      <c r="A28" s="56"/>
      <c r="B28" s="57"/>
      <c r="C28" s="58"/>
      <c r="D28" s="58"/>
      <c r="E28" s="59"/>
      <c r="F28" s="59"/>
      <c r="G28" s="59"/>
      <c r="H28" s="59"/>
      <c r="I28" s="56"/>
    </row>
    <row r="29" spans="1:13" ht="24" customHeight="1">
      <c r="A29" s="56"/>
      <c r="B29" s="58"/>
      <c r="C29" s="58"/>
      <c r="D29" s="58"/>
      <c r="E29" s="59"/>
      <c r="F29" s="382" t="s">
        <v>24</v>
      </c>
      <c r="G29" s="383"/>
      <c r="H29" s="60"/>
      <c r="I29" s="56"/>
    </row>
    <row r="30" spans="1:13" ht="15" customHeight="1">
      <c r="A30" s="56"/>
      <c r="B30" s="58"/>
      <c r="C30" s="58"/>
      <c r="D30" s="58"/>
      <c r="E30" s="59"/>
      <c r="F30" s="59"/>
      <c r="G30" s="59"/>
      <c r="H30" s="59"/>
      <c r="I30" s="56"/>
    </row>
    <row r="31" spans="1:13" ht="22.5" customHeight="1">
      <c r="B31" s="355" t="s">
        <v>25</v>
      </c>
      <c r="C31" s="358" t="s">
        <v>26</v>
      </c>
      <c r="D31" s="359"/>
      <c r="E31" s="360"/>
      <c r="F31" s="361" t="s">
        <v>27</v>
      </c>
      <c r="G31" s="362"/>
      <c r="H31" s="362"/>
      <c r="I31" s="363"/>
    </row>
    <row r="32" spans="1:13" ht="22.5" customHeight="1">
      <c r="B32" s="356"/>
      <c r="C32" s="364" t="s">
        <v>28</v>
      </c>
      <c r="D32" s="365"/>
      <c r="E32" s="366"/>
      <c r="F32" s="61" t="s">
        <v>29</v>
      </c>
      <c r="G32" s="367"/>
      <c r="H32" s="368"/>
      <c r="I32" s="369"/>
    </row>
    <row r="33" spans="2:12" ht="22.5" customHeight="1">
      <c r="B33" s="356"/>
      <c r="C33" s="370">
        <f>'원가항목별(집계)'!I39</f>
        <v>251000</v>
      </c>
      <c r="D33" s="371"/>
      <c r="E33" s="372"/>
      <c r="F33" s="62" t="s">
        <v>30</v>
      </c>
      <c r="G33" s="373"/>
      <c r="H33" s="374"/>
      <c r="I33" s="375"/>
    </row>
    <row r="34" spans="2:12" ht="22.5" customHeight="1">
      <c r="B34" s="356"/>
      <c r="C34" s="376"/>
      <c r="D34" s="377"/>
      <c r="E34" s="378"/>
      <c r="F34" s="62" t="s">
        <v>31</v>
      </c>
      <c r="G34" s="373"/>
      <c r="H34" s="374"/>
      <c r="I34" s="375"/>
    </row>
    <row r="35" spans="2:12" ht="22.5" customHeight="1">
      <c r="B35" s="357"/>
      <c r="C35" s="379"/>
      <c r="D35" s="380"/>
      <c r="E35" s="381"/>
      <c r="F35" s="63" t="s">
        <v>32</v>
      </c>
      <c r="G35" s="352"/>
      <c r="H35" s="353"/>
      <c r="I35" s="354"/>
    </row>
    <row r="44" spans="2:12">
      <c r="L44" s="1">
        <f>전기!H67+단위장비1!H69+단위장비2!H69+단위장비3!H69+단위장비4!H69+단위장비5!H69+단위장비6!H69+단위장비7!H69+단위장비8!H69+단위장비9!H69+단위장비10!H69</f>
        <v>167728949.90000001</v>
      </c>
    </row>
  </sheetData>
  <mergeCells count="36">
    <mergeCell ref="I15:I16"/>
    <mergeCell ref="B2:I2"/>
    <mergeCell ref="B4:D4"/>
    <mergeCell ref="B5:C5"/>
    <mergeCell ref="B6:C6"/>
    <mergeCell ref="B7:B8"/>
    <mergeCell ref="B9:C9"/>
    <mergeCell ref="B10:C10"/>
    <mergeCell ref="B11:C11"/>
    <mergeCell ref="B15:B16"/>
    <mergeCell ref="C15:D16"/>
    <mergeCell ref="E15:H15"/>
    <mergeCell ref="D13:G13"/>
    <mergeCell ref="F29:G29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B27:D27"/>
    <mergeCell ref="G35:I35"/>
    <mergeCell ref="B31:B35"/>
    <mergeCell ref="C31:E31"/>
    <mergeCell ref="F31:I31"/>
    <mergeCell ref="C32:E32"/>
    <mergeCell ref="G32:I32"/>
    <mergeCell ref="C33:E33"/>
    <mergeCell ref="G33:I33"/>
    <mergeCell ref="C34:E34"/>
    <mergeCell ref="G34:I34"/>
    <mergeCell ref="C35:E35"/>
  </mergeCells>
  <phoneticPr fontId="2" type="noConversion"/>
  <printOptions horizontalCentered="1"/>
  <pageMargins left="0.39370078740157483" right="0.39370078740157483" top="0.56000000000000005" bottom="0.39370078740157483" header="0.51181102362204722" footer="0.39370078740157483"/>
  <pageSetup paperSize="9" orientation="portrait" horizontalDpi="4294967292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B2:M49"/>
  <sheetViews>
    <sheetView showGridLines="0" zoomScale="80" workbookViewId="0">
      <pane ySplit="6" topLeftCell="A7" activePane="bottomLeft" state="frozen"/>
      <selection activeCell="G33" sqref="G33:I33"/>
      <selection pane="bottomLeft" activeCell="Q15" sqref="Q15"/>
    </sheetView>
  </sheetViews>
  <sheetFormatPr defaultRowHeight="19.5" customHeight="1"/>
  <cols>
    <col min="1" max="1" width="0.5" style="64" customWidth="1"/>
    <col min="2" max="2" width="5.25" style="64" bestFit="1" customWidth="1"/>
    <col min="3" max="3" width="7.375" style="64" customWidth="1"/>
    <col min="4" max="4" width="8.875" style="64" customWidth="1"/>
    <col min="5" max="5" width="17.75" style="64" customWidth="1"/>
    <col min="6" max="6" width="6.375" style="65" customWidth="1"/>
    <col min="7" max="7" width="8.875" style="66" customWidth="1"/>
    <col min="8" max="8" width="9.75" style="67" customWidth="1"/>
    <col min="9" max="9" width="17.5" style="67" bestFit="1" customWidth="1"/>
    <col min="10" max="10" width="15.625" style="64" customWidth="1"/>
    <col min="11" max="11" width="13.75" style="68" bestFit="1" customWidth="1"/>
    <col min="12" max="12" width="10.875" style="64" bestFit="1" customWidth="1"/>
    <col min="13" max="16384" width="9" style="64"/>
  </cols>
  <sheetData>
    <row r="2" spans="2:11" s="76" customFormat="1" ht="26.25" customHeight="1">
      <c r="B2" s="69"/>
      <c r="C2" s="70" t="s">
        <v>33</v>
      </c>
      <c r="D2" s="71"/>
      <c r="E2" s="71"/>
      <c r="F2" s="72"/>
      <c r="G2" s="73"/>
      <c r="H2" s="74"/>
      <c r="I2" s="74"/>
      <c r="J2" s="71"/>
      <c r="K2" s="75"/>
    </row>
    <row r="3" spans="2:11" s="76" customFormat="1" ht="19.5" customHeight="1">
      <c r="B3" s="69"/>
      <c r="C3" s="70"/>
      <c r="D3" s="71"/>
      <c r="E3" s="71"/>
      <c r="F3" s="72"/>
      <c r="G3" s="73"/>
      <c r="H3" s="74"/>
      <c r="I3" s="74"/>
      <c r="J3" s="71"/>
      <c r="K3" s="75"/>
    </row>
    <row r="4" spans="2:11" ht="30" customHeight="1">
      <c r="B4" s="77" t="s">
        <v>34</v>
      </c>
      <c r="D4" s="78"/>
      <c r="J4" s="65"/>
    </row>
    <row r="5" spans="2:11" s="65" customFormat="1" ht="8.25" customHeight="1">
      <c r="B5" s="79"/>
      <c r="C5" s="460"/>
      <c r="D5" s="461"/>
      <c r="E5" s="462"/>
      <c r="F5" s="80"/>
      <c r="G5" s="81"/>
      <c r="H5" s="81"/>
      <c r="I5" s="81"/>
      <c r="J5" s="82"/>
      <c r="K5" s="83"/>
    </row>
    <row r="6" spans="2:11" s="65" customFormat="1" ht="22.5" customHeight="1" thickBot="1">
      <c r="B6" s="84" t="s">
        <v>35</v>
      </c>
      <c r="C6" s="463" t="s">
        <v>36</v>
      </c>
      <c r="D6" s="464"/>
      <c r="E6" s="465"/>
      <c r="F6" s="85" t="s">
        <v>20</v>
      </c>
      <c r="G6" s="86" t="s">
        <v>19</v>
      </c>
      <c r="H6" s="86" t="s">
        <v>37</v>
      </c>
      <c r="I6" s="86" t="s">
        <v>38</v>
      </c>
      <c r="J6" s="87" t="s">
        <v>39</v>
      </c>
      <c r="K6" s="83"/>
    </row>
    <row r="7" spans="2:11" ht="19.5" customHeight="1" thickTop="1">
      <c r="B7" s="450">
        <v>1</v>
      </c>
      <c r="C7" s="466" t="s">
        <v>40</v>
      </c>
      <c r="D7" s="455" t="s">
        <v>41</v>
      </c>
      <c r="E7" s="88" t="s">
        <v>42</v>
      </c>
      <c r="F7" s="89" t="s">
        <v>43</v>
      </c>
      <c r="G7" s="90">
        <f>단위장비1!F30+단위장비2!F30+단위장비3!F30+단위장비4!F30+단위장비5!F30+단위장비6!F30+단위장비7!F30+단위장비8!F30+단위장비9!F30+단위장비10!F30</f>
        <v>0</v>
      </c>
      <c r="H7" s="91"/>
      <c r="I7" s="91">
        <f>단위장비1!H24+단위장비2!H24+단위장비3!H24+단위장비4!H24+단위장비5!H24+단위장비6!H24+단위장비7!H24+단위장비8!H24+단위장비9!H24+단위장비10!H24</f>
        <v>13781826</v>
      </c>
      <c r="J7" s="92" t="s">
        <v>44</v>
      </c>
    </row>
    <row r="8" spans="2:11" ht="19.5" customHeight="1">
      <c r="B8" s="450"/>
      <c r="C8" s="455"/>
      <c r="D8" s="455"/>
      <c r="E8" s="93" t="s">
        <v>45</v>
      </c>
      <c r="F8" s="94" t="s">
        <v>46</v>
      </c>
      <c r="G8" s="95">
        <v>1</v>
      </c>
      <c r="H8" s="96"/>
      <c r="I8" s="96">
        <f>단위장비1!H47+단위장비2!H47+단위장비3!H47+단위장비4!H47+단위장비5!H47+단위장비6!H47+단위장비7!H47+단위장비8!H47+단위장비9!H47+단위장비10!H47</f>
        <v>29400000</v>
      </c>
      <c r="J8" s="97" t="s">
        <v>47</v>
      </c>
    </row>
    <row r="9" spans="2:11" ht="19.5" customHeight="1">
      <c r="B9" s="450"/>
      <c r="C9" s="455"/>
      <c r="D9" s="455"/>
      <c r="E9" s="93" t="s">
        <v>48</v>
      </c>
      <c r="F9" s="94" t="s">
        <v>46</v>
      </c>
      <c r="G9" s="98">
        <v>1</v>
      </c>
      <c r="H9" s="96"/>
      <c r="I9" s="96">
        <f>단위장비1!H55+단위장비2!H55+단위장비3!H55+단위장비4!H55+단위장비5!H55+단위장비6!H55+단위장비7!H55+단위장비8!H55+단위장비9!H55+단위장비10!H55</f>
        <v>17800000</v>
      </c>
      <c r="J9" s="97" t="s">
        <v>49</v>
      </c>
    </row>
    <row r="10" spans="2:11" ht="19.5" customHeight="1">
      <c r="B10" s="450"/>
      <c r="C10" s="455"/>
      <c r="D10" s="455"/>
      <c r="E10" s="99" t="s">
        <v>50</v>
      </c>
      <c r="F10" s="100" t="s">
        <v>46</v>
      </c>
      <c r="G10" s="101">
        <v>1</v>
      </c>
      <c r="H10" s="102"/>
      <c r="I10" s="102">
        <f>단위장비1!H30+단위장비2!H30+단위장비3!H30+단위장비4!H30+단위장비5!H30+단위장비6!H30+단위장비7!H30+단위장비8!H30+단위장비9!H30+단위장비10!H30</f>
        <v>0</v>
      </c>
      <c r="J10" s="103" t="s">
        <v>51</v>
      </c>
    </row>
    <row r="11" spans="2:11" ht="19.5" customHeight="1">
      <c r="B11" s="450"/>
      <c r="C11" s="455"/>
      <c r="D11" s="425"/>
      <c r="E11" s="104" t="s">
        <v>52</v>
      </c>
      <c r="F11" s="431"/>
      <c r="G11" s="432"/>
      <c r="H11" s="433"/>
      <c r="I11" s="105">
        <f>SUM(I7:I10)</f>
        <v>60981826</v>
      </c>
      <c r="J11" s="97"/>
    </row>
    <row r="12" spans="2:11" ht="19.5" customHeight="1">
      <c r="B12" s="450"/>
      <c r="C12" s="455"/>
      <c r="D12" s="459" t="s">
        <v>53</v>
      </c>
      <c r="E12" s="106" t="s">
        <v>54</v>
      </c>
      <c r="F12" s="100" t="s">
        <v>55</v>
      </c>
      <c r="G12" s="102">
        <f>단위장비1!F57+단위장비2!F57+단위장비3!F57+단위장비4!F57+단위장비5!F57+단위장비6!F57+단위장비7!F57+단위장비8!F57+단위장비9!F57+단위장비10!F57</f>
        <v>0</v>
      </c>
      <c r="H12" s="102" t="str">
        <f>IF(단위장비1!G57&gt;0,단위장비1!G57,"")</f>
        <v/>
      </c>
      <c r="I12" s="102">
        <f>단위장비1!H57+단위장비2!H57+단위장비3!H57+단위장비4!H57+단위장비5!H57+단위장비6!H57+단위장비7!H57+단위장비8!H57+단위장비9!H57+단위장비10!H57</f>
        <v>0</v>
      </c>
      <c r="J12" s="97" t="s">
        <v>56</v>
      </c>
    </row>
    <row r="13" spans="2:11" ht="19.5" customHeight="1">
      <c r="B13" s="450"/>
      <c r="C13" s="455"/>
      <c r="D13" s="455"/>
      <c r="E13" s="93" t="s">
        <v>57</v>
      </c>
      <c r="F13" s="94" t="s">
        <v>55</v>
      </c>
      <c r="G13" s="96">
        <f>단위장비1!F58+단위장비2!F58+단위장비3!F58+단위장비4!F58+단위장비5!F58+단위장비6!F58+단위장비7!F58+단위장비8!F58+단위장비9!F58+단위장비10!F58</f>
        <v>30</v>
      </c>
      <c r="H13" s="96">
        <f>IF(단위장비1!G58&gt;0,단위장비1!G58,"")</f>
        <v>150000</v>
      </c>
      <c r="I13" s="96">
        <f>단위장비1!H58+단위장비2!H58+단위장비3!H58+단위장비4!H58+단위장비5!H58+단위장비6!H58+단위장비7!H58+단위장비8!H58+단위장비9!H58+단위장비10!H58</f>
        <v>4500000</v>
      </c>
      <c r="J13" s="97"/>
    </row>
    <row r="14" spans="2:11" ht="19.5" customHeight="1">
      <c r="B14" s="450"/>
      <c r="C14" s="455"/>
      <c r="D14" s="455"/>
      <c r="E14" s="93" t="s">
        <v>58</v>
      </c>
      <c r="F14" s="94" t="s">
        <v>55</v>
      </c>
      <c r="G14" s="96">
        <f>단위장비1!F59+단위장비2!F59+단위장비3!F59+단위장비4!F59+단위장비5!F59+단위장비6!F59+단위장비7!F59+단위장비8!F59+단위장비9!F59+단위장비10!F59</f>
        <v>290</v>
      </c>
      <c r="H14" s="96">
        <f>IF(단위장비1!G59&gt;0,단위장비1!G59,"")</f>
        <v>150000</v>
      </c>
      <c r="I14" s="96">
        <f>단위장비1!H59+단위장비2!H59+단위장비3!H59+단위장비4!H59+단위장비5!H59+단위장비6!H59+단위장비7!H59+단위장비8!H59+단위장비9!H59+단위장비10!H59</f>
        <v>43500000</v>
      </c>
      <c r="J14" s="97"/>
    </row>
    <row r="15" spans="2:11" ht="19.5" customHeight="1">
      <c r="B15" s="450"/>
      <c r="C15" s="455"/>
      <c r="D15" s="455"/>
      <c r="E15" s="93" t="s">
        <v>59</v>
      </c>
      <c r="F15" s="94" t="s">
        <v>55</v>
      </c>
      <c r="G15" s="96">
        <f>단위장비1!F60+단위장비2!F60+단위장비3!F60+단위장비4!F60+단위장비5!F60+단위장비6!F60+단위장비7!F60+단위장비8!F60+단위장비9!F60+단위장비10!F60</f>
        <v>15</v>
      </c>
      <c r="H15" s="96">
        <f>IF(단위장비1!G60&gt;0,단위장비1!G60,"")</f>
        <v>150000</v>
      </c>
      <c r="I15" s="96">
        <f>단위장비1!H60+단위장비2!H60+단위장비3!H60+단위장비4!H60+단위장비5!H60+단위장비6!H60+단위장비7!H60+단위장비8!H60+단위장비9!H60+단위장비10!H60</f>
        <v>2250000</v>
      </c>
      <c r="J15" s="97" t="s">
        <v>60</v>
      </c>
    </row>
    <row r="16" spans="2:11" ht="19.5" customHeight="1">
      <c r="B16" s="450"/>
      <c r="C16" s="455"/>
      <c r="D16" s="455"/>
      <c r="E16" s="106" t="s">
        <v>61</v>
      </c>
      <c r="F16" s="100" t="s">
        <v>55</v>
      </c>
      <c r="G16" s="102">
        <f>단위장비1!F61+단위장비2!F61+단위장비3!F61+단위장비4!F61+단위장비5!F61+단위장비6!F61+단위장비7!F61+단위장비8!F61+단위장비9!F61+단위장비10!F61</f>
        <v>15</v>
      </c>
      <c r="H16" s="102">
        <f>IF(단위장비1!G61&gt;0,단위장비1!G61,"")</f>
        <v>150000</v>
      </c>
      <c r="I16" s="102">
        <f>단위장비1!H61+단위장비2!H61+단위장비3!H61+단위장비4!H61+단위장비5!H61+단위장비6!H61+단위장비7!H61+단위장비8!H61+단위장비9!H61+단위장비10!H61</f>
        <v>2250000</v>
      </c>
      <c r="J16" s="97"/>
    </row>
    <row r="17" spans="2:10" ht="19.5" customHeight="1">
      <c r="B17" s="450"/>
      <c r="C17" s="455"/>
      <c r="D17" s="455"/>
      <c r="E17" s="106" t="s">
        <v>62</v>
      </c>
      <c r="F17" s="100" t="s">
        <v>55</v>
      </c>
      <c r="G17" s="102">
        <f>단위장비1!F62+단위장비2!F62+단위장비3!F62+단위장비4!F62+단위장비5!F62+단위장비6!F62+단위장비7!F62+단위장비8!F62+단위장비9!F62+단위장비10!F62</f>
        <v>15</v>
      </c>
      <c r="H17" s="102">
        <f>IF(단위장비1!G62&gt;0,단위장비1!G62,"")</f>
        <v>150000</v>
      </c>
      <c r="I17" s="102">
        <f>단위장비1!H62+단위장비2!H62+단위장비3!H62+단위장비4!H62+단위장비5!H62+단위장비6!H62+단위장비7!H62+단위장비8!H62+단위장비9!H62+단위장비10!H62</f>
        <v>2250000</v>
      </c>
      <c r="J17" s="97"/>
    </row>
    <row r="18" spans="2:10" ht="19.5" customHeight="1">
      <c r="B18" s="450"/>
      <c r="C18" s="455"/>
      <c r="D18" s="455"/>
      <c r="E18" s="93" t="s">
        <v>63</v>
      </c>
      <c r="F18" s="94" t="s">
        <v>55</v>
      </c>
      <c r="G18" s="96">
        <f>단위장비1!F63+단위장비2!F63+단위장비3!F63+단위장비4!F63+단위장비5!F63+단위장비6!F63+단위장비7!F63+단위장비8!F63+단위장비9!F63+단위장비10!F63</f>
        <v>10</v>
      </c>
      <c r="H18" s="96">
        <f>IF(단위장비1!G63&gt;0,단위장비1!G63,"")</f>
        <v>150000</v>
      </c>
      <c r="I18" s="96">
        <f>단위장비1!H63+단위장비2!H63+단위장비3!H63+단위장비4!H63+단위장비5!H63+단위장비6!H63+단위장비7!H63+단위장비8!H63+단위장비9!H63+단위장비10!H63</f>
        <v>1500000</v>
      </c>
      <c r="J18" s="97"/>
    </row>
    <row r="19" spans="2:10" ht="19.5" customHeight="1">
      <c r="B19" s="450"/>
      <c r="C19" s="455"/>
      <c r="D19" s="455"/>
      <c r="E19" s="93" t="s">
        <v>64</v>
      </c>
      <c r="F19" s="94" t="s">
        <v>55</v>
      </c>
      <c r="G19" s="96">
        <f>단위장비1!F64+단위장비2!F64+단위장비3!F64+단위장비4!F64+단위장비5!F64+단위장비6!F64+단위장비7!F64+단위장비8!F64+단위장비9!F64+단위장비10!F64</f>
        <v>15</v>
      </c>
      <c r="H19" s="96">
        <f>IF(단위장비1!G64&gt;0,단위장비1!G64,"")</f>
        <v>150000</v>
      </c>
      <c r="I19" s="96">
        <f>단위장비1!H64+단위장비2!H64+단위장비3!H64+단위장비4!H64+단위장비5!H64+단위장비6!H64+단위장비7!H64+단위장비8!H64+단위장비9!H64+단위장비10!H64</f>
        <v>2250000</v>
      </c>
      <c r="J19" s="97"/>
    </row>
    <row r="20" spans="2:10" ht="19.5" customHeight="1">
      <c r="B20" s="450"/>
      <c r="C20" s="455"/>
      <c r="D20" s="425"/>
      <c r="E20" s="104" t="s">
        <v>65</v>
      </c>
      <c r="F20" s="431"/>
      <c r="G20" s="432"/>
      <c r="H20" s="433"/>
      <c r="I20" s="105">
        <f>SUM(I12:I19)</f>
        <v>58500000</v>
      </c>
      <c r="J20" s="97"/>
    </row>
    <row r="21" spans="2:10" ht="19.5" customHeight="1">
      <c r="B21" s="450"/>
      <c r="C21" s="455"/>
      <c r="D21" s="107" t="s">
        <v>66</v>
      </c>
      <c r="E21" s="108"/>
      <c r="F21" s="431"/>
      <c r="G21" s="432"/>
      <c r="H21" s="433"/>
      <c r="I21" s="109">
        <f>단위장비1!H67+단위장비1!H68+단위장비2!H67+단위장비2!H68+단위장비3!H67+단위장비3!H68+단위장비4!H67+단위장비4!H68+단위장비5!H67+단위장비5!H68+단위장비6!H67+단위장비6!H68+단위장비7!H67+단위장비7!H68+단위장비8!H67+단위장비8!H68+단위장비9!H67+단위장비9!H68+단위장비10!H67+단위장비10!H68</f>
        <v>17922273.900000002</v>
      </c>
      <c r="J21" s="110"/>
    </row>
    <row r="22" spans="2:10" ht="19.5" customHeight="1">
      <c r="B22" s="451"/>
      <c r="C22" s="456"/>
      <c r="D22" s="111"/>
      <c r="E22" s="112" t="s">
        <v>67</v>
      </c>
      <c r="F22" s="407"/>
      <c r="G22" s="408"/>
      <c r="H22" s="409"/>
      <c r="I22" s="113">
        <f>I20+I11+I21</f>
        <v>137404099.90000001</v>
      </c>
      <c r="J22" s="114"/>
    </row>
    <row r="23" spans="2:10" ht="19.5" customHeight="1">
      <c r="B23" s="449">
        <v>2</v>
      </c>
      <c r="C23" s="452" t="s">
        <v>68</v>
      </c>
      <c r="D23" s="457" t="s">
        <v>69</v>
      </c>
      <c r="E23" s="115" t="s">
        <v>70</v>
      </c>
      <c r="F23" s="116" t="s">
        <v>71</v>
      </c>
      <c r="G23" s="117">
        <v>1</v>
      </c>
      <c r="H23" s="117"/>
      <c r="I23" s="117">
        <f>전기!H55-I24</f>
        <v>17999000</v>
      </c>
      <c r="J23" s="118"/>
    </row>
    <row r="24" spans="2:10" ht="19.5" customHeight="1">
      <c r="B24" s="450"/>
      <c r="C24" s="453"/>
      <c r="D24" s="458"/>
      <c r="E24" s="99" t="s">
        <v>72</v>
      </c>
      <c r="F24" s="119" t="s">
        <v>73</v>
      </c>
      <c r="G24" s="120">
        <v>1</v>
      </c>
      <c r="H24" s="120"/>
      <c r="I24" s="120">
        <f>전기!H16</f>
        <v>0</v>
      </c>
      <c r="J24" s="103" t="s">
        <v>51</v>
      </c>
    </row>
    <row r="25" spans="2:10" ht="19.5" customHeight="1">
      <c r="B25" s="450"/>
      <c r="C25" s="454"/>
      <c r="D25" s="459" t="s">
        <v>74</v>
      </c>
      <c r="E25" s="106" t="s">
        <v>75</v>
      </c>
      <c r="F25" s="100" t="s">
        <v>76</v>
      </c>
      <c r="G25" s="102">
        <f>전기!F56</f>
        <v>0</v>
      </c>
      <c r="H25" s="102" t="str">
        <f>IF(전기!G56&gt;0,전기!G56,"")</f>
        <v/>
      </c>
      <c r="I25" s="102">
        <f>전기!H56</f>
        <v>0</v>
      </c>
      <c r="J25" s="97"/>
    </row>
    <row r="26" spans="2:10" ht="19.5" customHeight="1">
      <c r="B26" s="450"/>
      <c r="C26" s="454"/>
      <c r="D26" s="455"/>
      <c r="E26" s="93" t="s">
        <v>77</v>
      </c>
      <c r="F26" s="94" t="s">
        <v>55</v>
      </c>
      <c r="G26" s="96">
        <f>전기!F57</f>
        <v>5</v>
      </c>
      <c r="H26" s="96">
        <f>IF(전기!G57&gt;0,전기!G57,"")</f>
        <v>150000</v>
      </c>
      <c r="I26" s="96">
        <f>전기!H57</f>
        <v>750000</v>
      </c>
      <c r="J26" s="97"/>
    </row>
    <row r="27" spans="2:10" ht="19.5" customHeight="1">
      <c r="B27" s="450"/>
      <c r="C27" s="454"/>
      <c r="D27" s="455"/>
      <c r="E27" s="93" t="s">
        <v>78</v>
      </c>
      <c r="F27" s="94" t="s">
        <v>55</v>
      </c>
      <c r="G27" s="96">
        <f>전기!F58</f>
        <v>15</v>
      </c>
      <c r="H27" s="96">
        <f>IF(전기!G58&gt;0,전기!G58,"")</f>
        <v>150000</v>
      </c>
      <c r="I27" s="96">
        <f>전기!H58</f>
        <v>2250000</v>
      </c>
      <c r="J27" s="97"/>
    </row>
    <row r="28" spans="2:10" ht="19.5" customHeight="1">
      <c r="B28" s="450"/>
      <c r="C28" s="454"/>
      <c r="D28" s="455"/>
      <c r="E28" s="93" t="s">
        <v>79</v>
      </c>
      <c r="F28" s="94" t="s">
        <v>80</v>
      </c>
      <c r="G28" s="96">
        <f>전기!F59</f>
        <v>10</v>
      </c>
      <c r="H28" s="96">
        <f>IF(전기!G59&gt;0,전기!G59,"")</f>
        <v>150000</v>
      </c>
      <c r="I28" s="96">
        <f>전기!H59</f>
        <v>1500000</v>
      </c>
      <c r="J28" s="97"/>
    </row>
    <row r="29" spans="2:10" ht="19.5" customHeight="1">
      <c r="B29" s="450"/>
      <c r="C29" s="454"/>
      <c r="D29" s="455"/>
      <c r="E29" s="106" t="s">
        <v>81</v>
      </c>
      <c r="F29" s="100" t="s">
        <v>76</v>
      </c>
      <c r="G29" s="102">
        <f>전기!F60</f>
        <v>5</v>
      </c>
      <c r="H29" s="102">
        <f>IF(전기!G60&gt;0,전기!G60,"")</f>
        <v>150000</v>
      </c>
      <c r="I29" s="102">
        <f>전기!H60</f>
        <v>750000</v>
      </c>
      <c r="J29" s="97"/>
    </row>
    <row r="30" spans="2:10" ht="19.5" customHeight="1">
      <c r="B30" s="450"/>
      <c r="C30" s="454"/>
      <c r="D30" s="455"/>
      <c r="E30" s="106" t="s">
        <v>62</v>
      </c>
      <c r="F30" s="100" t="s">
        <v>55</v>
      </c>
      <c r="G30" s="102">
        <f>전기!F61</f>
        <v>10</v>
      </c>
      <c r="H30" s="102">
        <f>IF(전기!G61&gt;0,전기!G61,"")</f>
        <v>150000</v>
      </c>
      <c r="I30" s="102">
        <f>전기!H61</f>
        <v>1500000</v>
      </c>
      <c r="J30" s="97"/>
    </row>
    <row r="31" spans="2:10" ht="19.5" customHeight="1">
      <c r="B31" s="450"/>
      <c r="C31" s="454"/>
      <c r="D31" s="455"/>
      <c r="E31" s="93" t="s">
        <v>63</v>
      </c>
      <c r="F31" s="94" t="s">
        <v>55</v>
      </c>
      <c r="G31" s="96">
        <f>전기!F62</f>
        <v>5</v>
      </c>
      <c r="H31" s="96">
        <f>IF(전기!G62&gt;0,전기!G62,"")</f>
        <v>150000</v>
      </c>
      <c r="I31" s="96">
        <f>전기!H62</f>
        <v>750000</v>
      </c>
      <c r="J31" s="97"/>
    </row>
    <row r="32" spans="2:10" ht="19.5" customHeight="1">
      <c r="B32" s="450"/>
      <c r="C32" s="454"/>
      <c r="D32" s="425"/>
      <c r="E32" s="104" t="s">
        <v>82</v>
      </c>
      <c r="F32" s="431"/>
      <c r="G32" s="432"/>
      <c r="H32" s="433"/>
      <c r="I32" s="105">
        <f>SUM(I25:I31)</f>
        <v>7500000</v>
      </c>
      <c r="J32" s="97"/>
    </row>
    <row r="33" spans="2:13" ht="19.5" customHeight="1">
      <c r="B33" s="450"/>
      <c r="C33" s="455"/>
      <c r="D33" s="107" t="s">
        <v>83</v>
      </c>
      <c r="E33" s="108"/>
      <c r="F33" s="431"/>
      <c r="G33" s="432"/>
      <c r="H33" s="433"/>
      <c r="I33" s="109">
        <f>전기!H65+전기!H66</f>
        <v>3824850</v>
      </c>
      <c r="J33" s="110"/>
    </row>
    <row r="34" spans="2:13" ht="19.5" customHeight="1">
      <c r="B34" s="451"/>
      <c r="C34" s="456"/>
      <c r="D34" s="111"/>
      <c r="E34" s="112" t="s">
        <v>84</v>
      </c>
      <c r="F34" s="407"/>
      <c r="G34" s="408"/>
      <c r="H34" s="409"/>
      <c r="I34" s="113">
        <f>I32+I23+I33+I24</f>
        <v>29323850</v>
      </c>
      <c r="J34" s="114"/>
    </row>
    <row r="35" spans="2:13" ht="19.5" customHeight="1">
      <c r="B35" s="440">
        <v>3</v>
      </c>
      <c r="C35" s="443" t="s">
        <v>85</v>
      </c>
      <c r="D35" s="444"/>
      <c r="E35" s="445"/>
      <c r="F35" s="443"/>
      <c r="G35" s="444"/>
      <c r="H35" s="445"/>
      <c r="I35" s="121">
        <f>I23+I11+I24</f>
        <v>78980826</v>
      </c>
      <c r="J35" s="118"/>
    </row>
    <row r="36" spans="2:13" ht="19.5" customHeight="1">
      <c r="B36" s="441"/>
      <c r="C36" s="431" t="s">
        <v>86</v>
      </c>
      <c r="D36" s="432"/>
      <c r="E36" s="433"/>
      <c r="F36" s="431"/>
      <c r="G36" s="432"/>
      <c r="H36" s="433"/>
      <c r="I36" s="105">
        <f>I32+I20</f>
        <v>66000000</v>
      </c>
      <c r="J36" s="97"/>
    </row>
    <row r="37" spans="2:13" ht="19.5" customHeight="1" thickBot="1">
      <c r="B37" s="442"/>
      <c r="C37" s="446" t="s">
        <v>87</v>
      </c>
      <c r="D37" s="446"/>
      <c r="E37" s="447"/>
      <c r="F37" s="448"/>
      <c r="G37" s="446"/>
      <c r="H37" s="447"/>
      <c r="I37" s="122">
        <f>I36+I35</f>
        <v>144980826</v>
      </c>
      <c r="J37" s="123"/>
    </row>
    <row r="38" spans="2:13" ht="20.25" customHeight="1">
      <c r="B38" s="124">
        <v>4</v>
      </c>
      <c r="C38" s="425" t="s">
        <v>88</v>
      </c>
      <c r="D38" s="426"/>
      <c r="E38" s="427"/>
      <c r="F38" s="428"/>
      <c r="G38" s="429"/>
      <c r="H38" s="430"/>
      <c r="I38" s="125">
        <v>750000</v>
      </c>
      <c r="J38" s="126"/>
    </row>
    <row r="39" spans="2:13" ht="22.5" customHeight="1">
      <c r="B39" s="127">
        <v>5</v>
      </c>
      <c r="C39" s="431" t="s">
        <v>89</v>
      </c>
      <c r="D39" s="432"/>
      <c r="E39" s="433"/>
      <c r="F39" s="434" t="s">
        <v>90</v>
      </c>
      <c r="G39" s="435"/>
      <c r="H39" s="436"/>
      <c r="I39" s="128">
        <f>CEILING(MIN(I47:I48),1000)</f>
        <v>251000</v>
      </c>
      <c r="J39" s="129">
        <f>I30+I29+I25+I24+I17+I16+I12+I10</f>
        <v>6750000</v>
      </c>
      <c r="K39" s="130"/>
      <c r="M39" s="130"/>
    </row>
    <row r="40" spans="2:13" ht="20.25" customHeight="1">
      <c r="B40" s="127">
        <v>6</v>
      </c>
      <c r="C40" s="431" t="s">
        <v>91</v>
      </c>
      <c r="D40" s="432"/>
      <c r="E40" s="433"/>
      <c r="F40" s="437"/>
      <c r="G40" s="438"/>
      <c r="H40" s="439"/>
      <c r="I40" s="105">
        <v>7283791</v>
      </c>
      <c r="J40" s="97"/>
    </row>
    <row r="41" spans="2:13" ht="20.25" customHeight="1">
      <c r="B41" s="131">
        <v>7</v>
      </c>
      <c r="C41" s="407" t="s">
        <v>92</v>
      </c>
      <c r="D41" s="408"/>
      <c r="E41" s="409"/>
      <c r="F41" s="410"/>
      <c r="G41" s="411"/>
      <c r="H41" s="412"/>
      <c r="I41" s="109">
        <f>전기!H66+단위장비1!H68+단위장비2!H68+단위장비3!H68+단위장비4!H68+단위장비5!H68+단위장비6!H68+단위장비7!H68+단위장비8!H68+단위장비9!H68+단위장비10!H68</f>
        <v>14498082.600000001</v>
      </c>
      <c r="J41" s="110"/>
      <c r="K41" s="64"/>
    </row>
    <row r="42" spans="2:13" ht="28.5" customHeight="1" thickBot="1">
      <c r="B42" s="132"/>
      <c r="C42" s="413" t="s">
        <v>93</v>
      </c>
      <c r="D42" s="413"/>
      <c r="E42" s="413"/>
      <c r="F42" s="414" t="s">
        <v>94</v>
      </c>
      <c r="G42" s="415"/>
      <c r="H42" s="416"/>
      <c r="I42" s="133">
        <f>I22+I34+I38+I39</f>
        <v>167728949.90000001</v>
      </c>
      <c r="J42" s="134"/>
      <c r="K42" s="64"/>
    </row>
    <row r="43" spans="2:13" ht="19.5" customHeight="1">
      <c r="B43" s="135" t="s">
        <v>95</v>
      </c>
      <c r="C43" s="65"/>
      <c r="D43" s="65"/>
      <c r="E43" s="65"/>
    </row>
    <row r="44" spans="2:13" ht="19.5" customHeight="1">
      <c r="B44" s="64" t="s">
        <v>96</v>
      </c>
      <c r="C44" s="65"/>
      <c r="D44" s="65"/>
      <c r="E44" s="65"/>
    </row>
    <row r="45" spans="2:13" ht="19.5" customHeight="1">
      <c r="C45" s="65"/>
      <c r="D45" s="65"/>
      <c r="E45" s="65"/>
    </row>
    <row r="46" spans="2:13" ht="19.5" customHeight="1">
      <c r="C46" s="65"/>
      <c r="D46" s="65"/>
      <c r="E46" s="417" t="s">
        <v>97</v>
      </c>
      <c r="F46" s="420" t="s">
        <v>98</v>
      </c>
      <c r="G46" s="421"/>
      <c r="H46" s="422"/>
      <c r="I46" s="136" t="s">
        <v>99</v>
      </c>
      <c r="J46" s="137" t="s">
        <v>100</v>
      </c>
      <c r="K46" s="138" t="s">
        <v>101</v>
      </c>
    </row>
    <row r="47" spans="2:13" ht="19.5" customHeight="1">
      <c r="C47" s="65"/>
      <c r="D47" s="65"/>
      <c r="E47" s="418"/>
      <c r="F47" s="423" t="s">
        <v>102</v>
      </c>
      <c r="G47" s="424"/>
      <c r="H47" s="424"/>
      <c r="I47" s="105">
        <f>IF(J47&lt;500000000,J47*0.0309,1)+IF(J47&gt;500000000,J47*0.0199+5499000)*IF(J47&gt;5000000000,0,1)+IF(J47&gt;5000000000,J47*0.021,0)</f>
        <v>4503082.5234000003</v>
      </c>
      <c r="J47" s="139">
        <f>SUM(I7:I10,I12:I19,I23:I31,I38)</f>
        <v>145730826</v>
      </c>
      <c r="K47" s="139" t="s">
        <v>103</v>
      </c>
    </row>
    <row r="48" spans="2:13" ht="19.5" customHeight="1">
      <c r="E48" s="419"/>
      <c r="F48" s="423" t="s">
        <v>104</v>
      </c>
      <c r="G48" s="424"/>
      <c r="H48" s="424"/>
      <c r="I48" s="105">
        <f>(IF(J48&lt;500000000,J48*0.0309,1)+IF(J48&gt;500000000,J48*0.0199+5499000)*IF(J48&gt;5000000000,0,1)+IF(J48&gt;5000000000,J48*0.021,0))*1.2</f>
        <v>250290</v>
      </c>
      <c r="J48" s="140">
        <f>SUM(I10,I24,I12,I16:I17,I25,I29:I30)</f>
        <v>6750000</v>
      </c>
      <c r="K48" s="139" t="s">
        <v>105</v>
      </c>
    </row>
    <row r="49" spans="7:7" ht="19.5" customHeight="1">
      <c r="G49" s="141" t="s">
        <v>106</v>
      </c>
    </row>
  </sheetData>
  <mergeCells count="38">
    <mergeCell ref="F11:H11"/>
    <mergeCell ref="D12:D20"/>
    <mergeCell ref="F20:H20"/>
    <mergeCell ref="F21:H21"/>
    <mergeCell ref="F22:H22"/>
    <mergeCell ref="C5:E5"/>
    <mergeCell ref="C6:E6"/>
    <mergeCell ref="B7:B22"/>
    <mergeCell ref="C7:C22"/>
    <mergeCell ref="D7:D11"/>
    <mergeCell ref="B23:B34"/>
    <mergeCell ref="C23:C34"/>
    <mergeCell ref="D23:D24"/>
    <mergeCell ref="D25:D32"/>
    <mergeCell ref="F32:H32"/>
    <mergeCell ref="F33:H33"/>
    <mergeCell ref="F34:H34"/>
    <mergeCell ref="B35:B37"/>
    <mergeCell ref="C35:E35"/>
    <mergeCell ref="F35:H35"/>
    <mergeCell ref="C36:E36"/>
    <mergeCell ref="F36:H36"/>
    <mergeCell ref="C37:E37"/>
    <mergeCell ref="F37:H37"/>
    <mergeCell ref="C38:E38"/>
    <mergeCell ref="F38:H38"/>
    <mergeCell ref="C39:E39"/>
    <mergeCell ref="F39:H39"/>
    <mergeCell ref="C40:E40"/>
    <mergeCell ref="F40:H40"/>
    <mergeCell ref="C41:E41"/>
    <mergeCell ref="F41:H41"/>
    <mergeCell ref="C42:E42"/>
    <mergeCell ref="F42:H42"/>
    <mergeCell ref="E46:E48"/>
    <mergeCell ref="F46:H46"/>
    <mergeCell ref="F47:H47"/>
    <mergeCell ref="F48:H48"/>
  </mergeCells>
  <phoneticPr fontId="2" type="noConversion"/>
  <printOptions horizontalCentered="1"/>
  <pageMargins left="0.39370078740157483" right="0.39370078740157483" top="0.59055118110236227" bottom="0.39370078740157483" header="0.51181102362204722" footer="0.23622047244094491"/>
  <pageSetup paperSize="9" scale="86" orientation="portrait" horizontalDpi="4294967292" verticalDpi="12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2:P22"/>
  <sheetViews>
    <sheetView zoomScale="74" zoomScaleNormal="74" workbookViewId="0">
      <selection activeCell="I25" sqref="I25"/>
    </sheetView>
  </sheetViews>
  <sheetFormatPr defaultRowHeight="17.25" customHeight="1"/>
  <cols>
    <col min="1" max="1" width="5" style="142" customWidth="1"/>
    <col min="2" max="2" width="20.125" style="142" customWidth="1"/>
    <col min="3" max="3" width="6.25" style="142" customWidth="1"/>
    <col min="4" max="8" width="11.875" style="142" customWidth="1"/>
    <col min="9" max="9" width="13" style="142" customWidth="1"/>
    <col min="10" max="11" width="13.875" style="142" customWidth="1"/>
    <col min="12" max="12" width="12.5" style="142" bestFit="1" customWidth="1"/>
    <col min="13" max="13" width="15" style="142" bestFit="1" customWidth="1"/>
    <col min="14" max="14" width="13.875" style="142" customWidth="1"/>
    <col min="15" max="15" width="9.625" style="142" customWidth="1"/>
    <col min="16" max="16" width="12.625" style="142" hidden="1" customWidth="1"/>
    <col min="17" max="17" width="10" style="142" customWidth="1"/>
    <col min="18" max="16384" width="9" style="142"/>
  </cols>
  <sheetData>
    <row r="2" spans="1:16" ht="31.5" customHeight="1">
      <c r="A2" s="70" t="s">
        <v>107</v>
      </c>
    </row>
    <row r="3" spans="1:16" ht="17.25" customHeight="1" thickBot="1">
      <c r="N3" s="142" t="s">
        <v>108</v>
      </c>
    </row>
    <row r="4" spans="1:16" s="149" customFormat="1" ht="8.25" customHeight="1">
      <c r="A4" s="143"/>
      <c r="B4" s="143"/>
      <c r="C4" s="143"/>
      <c r="D4" s="467"/>
      <c r="E4" s="468"/>
      <c r="F4" s="468"/>
      <c r="G4" s="468"/>
      <c r="H4" s="468"/>
      <c r="I4" s="468"/>
      <c r="J4" s="469"/>
      <c r="K4" s="144"/>
      <c r="L4" s="145"/>
      <c r="M4" s="146"/>
      <c r="N4" s="147"/>
      <c r="O4" s="148"/>
    </row>
    <row r="5" spans="1:16" s="159" customFormat="1" ht="25.5" customHeight="1">
      <c r="A5" s="150"/>
      <c r="B5" s="150"/>
      <c r="C5" s="150"/>
      <c r="D5" s="151"/>
      <c r="E5" s="152"/>
      <c r="F5" s="152"/>
      <c r="G5" s="152"/>
      <c r="H5" s="152"/>
      <c r="I5" s="153" t="s">
        <v>109</v>
      </c>
      <c r="J5" s="154"/>
      <c r="K5" s="37"/>
      <c r="L5" s="155" t="s">
        <v>110</v>
      </c>
      <c r="M5" s="156" t="s">
        <v>111</v>
      </c>
      <c r="N5" s="157"/>
      <c r="O5" s="158"/>
    </row>
    <row r="6" spans="1:16" s="159" customFormat="1" ht="25.5" customHeight="1" thickBot="1">
      <c r="A6" s="160" t="s">
        <v>112</v>
      </c>
      <c r="B6" s="160" t="s">
        <v>113</v>
      </c>
      <c r="C6" s="160" t="s">
        <v>114</v>
      </c>
      <c r="D6" s="161" t="s">
        <v>115</v>
      </c>
      <c r="E6" s="162" t="s">
        <v>116</v>
      </c>
      <c r="F6" s="162" t="s">
        <v>117</v>
      </c>
      <c r="G6" s="162" t="s">
        <v>118</v>
      </c>
      <c r="H6" s="162" t="s">
        <v>119</v>
      </c>
      <c r="I6" s="163" t="s">
        <v>120</v>
      </c>
      <c r="J6" s="164" t="s">
        <v>121</v>
      </c>
      <c r="K6" s="165" t="s">
        <v>122</v>
      </c>
      <c r="L6" s="166" t="s">
        <v>123</v>
      </c>
      <c r="M6" s="167" t="s">
        <v>124</v>
      </c>
      <c r="N6" s="168" t="s">
        <v>125</v>
      </c>
      <c r="O6" s="169" t="s">
        <v>126</v>
      </c>
    </row>
    <row r="7" spans="1:16" s="181" customFormat="1" ht="25.5" customHeight="1" thickTop="1">
      <c r="A7" s="170">
        <f>IF(B7&gt;0,1,"")</f>
        <v>1</v>
      </c>
      <c r="B7" s="171" t="s">
        <v>371</v>
      </c>
      <c r="C7" s="172" t="s">
        <v>127</v>
      </c>
      <c r="D7" s="173">
        <f>단위장비1!H56</f>
        <v>60981826</v>
      </c>
      <c r="E7" s="174">
        <f>단위장비1!H57</f>
        <v>0</v>
      </c>
      <c r="F7" s="174">
        <f>단위장비1!H58+단위장비1!H59+단위장비1!H60+단위장비1!H64</f>
        <v>52500000</v>
      </c>
      <c r="G7" s="174">
        <f>단위장비1!H61+단위장비1!H62</f>
        <v>4500000</v>
      </c>
      <c r="H7" s="174">
        <f>단위장비1!H63</f>
        <v>1500000</v>
      </c>
      <c r="I7" s="175">
        <f>IF($B7&gt;0,'원가항목별(집계)'!I$38*$P7/$P$17,0)</f>
        <v>750000</v>
      </c>
      <c r="J7" s="176">
        <f>SUM(D7:I7)</f>
        <v>120231826</v>
      </c>
      <c r="K7" s="177">
        <f>IF(B7&gt;0,'원가항목별(집계)'!I$34*P7/P$17,0)</f>
        <v>29323850</v>
      </c>
      <c r="L7" s="177">
        <f>IF($B7&gt;0,'원가항목별(집계)'!I$39*$P7/$P$17,0)</f>
        <v>251000</v>
      </c>
      <c r="M7" s="178">
        <f>단위장비1!H67+단위장비1!H68</f>
        <v>17922273.900000002</v>
      </c>
      <c r="N7" s="179">
        <f>SUM(J7:M7)</f>
        <v>167728949.90000001</v>
      </c>
      <c r="O7" s="180"/>
      <c r="P7" s="181">
        <f>D7+E7+F7+G7+H7+M7</f>
        <v>137404099.90000001</v>
      </c>
    </row>
    <row r="8" spans="1:16" s="181" customFormat="1" ht="25.5" customHeight="1">
      <c r="A8" s="182" t="str">
        <f>IF(B8&gt;0,A7+1,"")</f>
        <v/>
      </c>
      <c r="B8" s="183">
        <f>단위장비2!C$1</f>
        <v>0</v>
      </c>
      <c r="C8" s="184" t="s">
        <v>128</v>
      </c>
      <c r="D8" s="185">
        <f>단위장비2!H56</f>
        <v>0</v>
      </c>
      <c r="E8" s="186">
        <f>단위장비2!H57</f>
        <v>0</v>
      </c>
      <c r="F8" s="186">
        <f>단위장비2!H58+단위장비2!H59+단위장비2!H60+단위장비2!H64</f>
        <v>0</v>
      </c>
      <c r="G8" s="186">
        <f>단위장비2!H61+단위장비2!H62</f>
        <v>0</v>
      </c>
      <c r="H8" s="186">
        <f>단위장비2!H63</f>
        <v>0</v>
      </c>
      <c r="I8" s="187">
        <f>IF($B8&gt;0,'원가항목별(집계)'!I$38*$P8/$P$17,0)</f>
        <v>0</v>
      </c>
      <c r="J8" s="188">
        <f>SUM(D8:I8)</f>
        <v>0</v>
      </c>
      <c r="K8" s="189">
        <f>IF(B8&gt;0,'원가항목별(집계)'!I$34*P8/P$17,0)</f>
        <v>0</v>
      </c>
      <c r="L8" s="189">
        <f>IF($B8&gt;0,'원가항목별(집계)'!I$39*$P8/$P$17,0)</f>
        <v>0</v>
      </c>
      <c r="M8" s="190">
        <f>단위장비2!H67+단위장비2!H68</f>
        <v>0</v>
      </c>
      <c r="N8" s="191">
        <f t="shared" ref="N8:N16" si="0">SUM(J8:M8)</f>
        <v>0</v>
      </c>
      <c r="O8" s="192"/>
      <c r="P8" s="181">
        <f t="shared" ref="P8:P16" si="1">D8+E8+F8+G8+H8+M8</f>
        <v>0</v>
      </c>
    </row>
    <row r="9" spans="1:16" s="181" customFormat="1" ht="25.5" customHeight="1">
      <c r="A9" s="182" t="str">
        <f>IF(B9&gt;0,A8+1,"")</f>
        <v/>
      </c>
      <c r="B9" s="183">
        <f>단위장비3!C$1</f>
        <v>0</v>
      </c>
      <c r="C9" s="184" t="s">
        <v>129</v>
      </c>
      <c r="D9" s="185">
        <f>단위장비3!H56</f>
        <v>0</v>
      </c>
      <c r="E9" s="186">
        <f>단위장비3!H57</f>
        <v>0</v>
      </c>
      <c r="F9" s="186">
        <f>단위장비3!H58+단위장비3!H59+단위장비3!H60+단위장비3!H64</f>
        <v>0</v>
      </c>
      <c r="G9" s="186">
        <f>단위장비3!H61+단위장비3!H62</f>
        <v>0</v>
      </c>
      <c r="H9" s="186">
        <f>단위장비3!H63</f>
        <v>0</v>
      </c>
      <c r="I9" s="187">
        <f>IF($B9&gt;0,'원가항목별(집계)'!I$38*$P9/$P$17,0)</f>
        <v>0</v>
      </c>
      <c r="J9" s="188">
        <f t="shared" ref="J9:J17" si="2">SUM(D9:I9)</f>
        <v>0</v>
      </c>
      <c r="K9" s="189">
        <f>IF(B9&gt;0,'원가항목별(집계)'!I$34*P9/P$17,0)</f>
        <v>0</v>
      </c>
      <c r="L9" s="189">
        <f>IF($B9&gt;0,'원가항목별(집계)'!I$39*$P9/$P$17,0)</f>
        <v>0</v>
      </c>
      <c r="M9" s="190">
        <f>단위장비3!H67+단위장비3!H68</f>
        <v>0</v>
      </c>
      <c r="N9" s="191">
        <f t="shared" si="0"/>
        <v>0</v>
      </c>
      <c r="O9" s="192"/>
      <c r="P9" s="181">
        <f t="shared" si="1"/>
        <v>0</v>
      </c>
    </row>
    <row r="10" spans="1:16" s="181" customFormat="1" ht="25.5" customHeight="1">
      <c r="A10" s="182" t="str">
        <f>IF(B10&gt;0,A9+1,"")</f>
        <v/>
      </c>
      <c r="B10" s="183">
        <f>단위장비4!C$1</f>
        <v>0</v>
      </c>
      <c r="C10" s="184" t="s">
        <v>129</v>
      </c>
      <c r="D10" s="185">
        <f>단위장비4!H56</f>
        <v>0</v>
      </c>
      <c r="E10" s="186">
        <f>단위장비4!H57</f>
        <v>0</v>
      </c>
      <c r="F10" s="186">
        <f>단위장비4!H58+단위장비4!H59+단위장비4!H60+단위장비4!H64</f>
        <v>0</v>
      </c>
      <c r="G10" s="186">
        <f>단위장비4!H61+단위장비4!H62</f>
        <v>0</v>
      </c>
      <c r="H10" s="186">
        <f>단위장비4!H63</f>
        <v>0</v>
      </c>
      <c r="I10" s="187">
        <f>IF($B10&gt;0,'원가항목별(집계)'!I$38*$P10/$P$17,0)</f>
        <v>0</v>
      </c>
      <c r="J10" s="188">
        <f t="shared" si="2"/>
        <v>0</v>
      </c>
      <c r="K10" s="189">
        <f>IF(B10&gt;0,'원가항목별(집계)'!I$34*P10/P$17,0)</f>
        <v>0</v>
      </c>
      <c r="L10" s="189">
        <f>IF($B10&gt;0,'원가항목별(집계)'!I$39*$P10/$P$17,0)</f>
        <v>0</v>
      </c>
      <c r="M10" s="190">
        <f>단위장비4!H67+단위장비4!H68</f>
        <v>0</v>
      </c>
      <c r="N10" s="191">
        <f t="shared" si="0"/>
        <v>0</v>
      </c>
      <c r="O10" s="192"/>
      <c r="P10" s="181">
        <f t="shared" si="1"/>
        <v>0</v>
      </c>
    </row>
    <row r="11" spans="1:16" s="181" customFormat="1" ht="25.5" customHeight="1">
      <c r="A11" s="182" t="str">
        <f>IF(B11&gt;0,A10+1,"")</f>
        <v/>
      </c>
      <c r="B11" s="183">
        <f>단위장비5!C$1</f>
        <v>0</v>
      </c>
      <c r="C11" s="184" t="s">
        <v>129</v>
      </c>
      <c r="D11" s="185">
        <f>단위장비5!H56</f>
        <v>0</v>
      </c>
      <c r="E11" s="186">
        <f>단위장비5!H57</f>
        <v>0</v>
      </c>
      <c r="F11" s="186">
        <f>단위장비5!H58+단위장비5!H59+단위장비5!H60+단위장비5!H64</f>
        <v>0</v>
      </c>
      <c r="G11" s="186">
        <f>단위장비5!H61+단위장비5!H62</f>
        <v>0</v>
      </c>
      <c r="H11" s="186">
        <f>단위장비5!H63</f>
        <v>0</v>
      </c>
      <c r="I11" s="187">
        <f>IF($B11&gt;0,'원가항목별(집계)'!I$38*$P11/$P$17,0)</f>
        <v>0</v>
      </c>
      <c r="J11" s="188">
        <f t="shared" si="2"/>
        <v>0</v>
      </c>
      <c r="K11" s="189">
        <f>IF(B11&gt;0,'원가항목별(집계)'!I$34*P11/P$17,0)</f>
        <v>0</v>
      </c>
      <c r="L11" s="189">
        <f>IF($B11&gt;0,'원가항목별(집계)'!I$39*$P11/$P$17,0)</f>
        <v>0</v>
      </c>
      <c r="M11" s="190">
        <f>단위장비5!H67+단위장비5!H68</f>
        <v>0</v>
      </c>
      <c r="N11" s="191">
        <f t="shared" si="0"/>
        <v>0</v>
      </c>
      <c r="O11" s="192"/>
      <c r="P11" s="181">
        <f t="shared" si="1"/>
        <v>0</v>
      </c>
    </row>
    <row r="12" spans="1:16" s="181" customFormat="1" ht="25.5" customHeight="1">
      <c r="A12" s="182" t="str">
        <f>IF(B12&gt;0,A11+1,"")</f>
        <v/>
      </c>
      <c r="B12" s="183">
        <f>단위장비6!C$1</f>
        <v>0</v>
      </c>
      <c r="C12" s="184" t="s">
        <v>129</v>
      </c>
      <c r="D12" s="185">
        <f>단위장비6!H56</f>
        <v>0</v>
      </c>
      <c r="E12" s="186">
        <f>단위장비6!H57</f>
        <v>0</v>
      </c>
      <c r="F12" s="186">
        <f>단위장비6!H58+단위장비6!H59+단위장비6!H60+단위장비6!H64</f>
        <v>0</v>
      </c>
      <c r="G12" s="186">
        <f>단위장비6!H61+단위장비6!H62</f>
        <v>0</v>
      </c>
      <c r="H12" s="186">
        <f>단위장비6!H63</f>
        <v>0</v>
      </c>
      <c r="I12" s="187">
        <f>IF($B12&gt;0,'원가항목별(집계)'!I$38*$P12/$P$17,0)</f>
        <v>0</v>
      </c>
      <c r="J12" s="188">
        <f t="shared" si="2"/>
        <v>0</v>
      </c>
      <c r="K12" s="189">
        <f>IF(B12&gt;0,'원가항목별(집계)'!I$34*P12/P$17,0)</f>
        <v>0</v>
      </c>
      <c r="L12" s="189">
        <f>IF($B12&gt;0,'원가항목별(집계)'!I$39*$P12/$P$17,0)</f>
        <v>0</v>
      </c>
      <c r="M12" s="190">
        <f>단위장비6!H67+단위장비6!H68</f>
        <v>0</v>
      </c>
      <c r="N12" s="191">
        <f t="shared" si="0"/>
        <v>0</v>
      </c>
      <c r="O12" s="192"/>
      <c r="P12" s="181">
        <f t="shared" si="1"/>
        <v>0</v>
      </c>
    </row>
    <row r="13" spans="1:16" s="181" customFormat="1" ht="25.5" customHeight="1">
      <c r="A13" s="182" t="str">
        <f>IF(B13&gt;0,A8+1,"")</f>
        <v/>
      </c>
      <c r="B13" s="183">
        <f>단위장비7!C$1</f>
        <v>0</v>
      </c>
      <c r="C13" s="184" t="s">
        <v>129</v>
      </c>
      <c r="D13" s="185">
        <f>단위장비7!H56</f>
        <v>0</v>
      </c>
      <c r="E13" s="186">
        <f>단위장비7!H57</f>
        <v>0</v>
      </c>
      <c r="F13" s="186">
        <f>단위장비7!H58+단위장비7!H59+단위장비7!H60+단위장비7!H64</f>
        <v>0</v>
      </c>
      <c r="G13" s="186">
        <f>단위장비7!H61+단위장비7!H62</f>
        <v>0</v>
      </c>
      <c r="H13" s="186">
        <f>단위장비7!H63</f>
        <v>0</v>
      </c>
      <c r="I13" s="187">
        <f>IF($B13&gt;0,'원가항목별(집계)'!I$38*$P13/$P$17,0)</f>
        <v>0</v>
      </c>
      <c r="J13" s="188">
        <f t="shared" si="2"/>
        <v>0</v>
      </c>
      <c r="K13" s="189">
        <f>IF(B13&gt;0,'원가항목별(집계)'!I$34*P13/P$17,0)</f>
        <v>0</v>
      </c>
      <c r="L13" s="189">
        <f>IF($B13&gt;0,'원가항목별(집계)'!I$39*$P13/$P$17,0)</f>
        <v>0</v>
      </c>
      <c r="M13" s="190">
        <f>단위장비7!H67+단위장비7!H68</f>
        <v>0</v>
      </c>
      <c r="N13" s="191">
        <f t="shared" si="0"/>
        <v>0</v>
      </c>
      <c r="O13" s="192"/>
      <c r="P13" s="181">
        <f t="shared" si="1"/>
        <v>0</v>
      </c>
    </row>
    <row r="14" spans="1:16" s="181" customFormat="1" ht="25.5" customHeight="1">
      <c r="A14" s="182" t="str">
        <f>IF(B14&gt;0,A13+1,"")</f>
        <v/>
      </c>
      <c r="B14" s="183">
        <f>단위장비8!C$1</f>
        <v>0</v>
      </c>
      <c r="C14" s="184" t="s">
        <v>129</v>
      </c>
      <c r="D14" s="185">
        <f>단위장비8!H56</f>
        <v>0</v>
      </c>
      <c r="E14" s="186">
        <f>단위장비8!H57</f>
        <v>0</v>
      </c>
      <c r="F14" s="186">
        <f>단위장비8!H58+단위장비8!H59+단위장비8!H60+단위장비8!H64</f>
        <v>0</v>
      </c>
      <c r="G14" s="186">
        <f>단위장비8!H61+단위장비8!H62</f>
        <v>0</v>
      </c>
      <c r="H14" s="186">
        <f>단위장비8!H63</f>
        <v>0</v>
      </c>
      <c r="I14" s="187">
        <f>IF($B14&gt;0,'원가항목별(집계)'!I$38*$P14/$P$17,0)</f>
        <v>0</v>
      </c>
      <c r="J14" s="188">
        <f t="shared" si="2"/>
        <v>0</v>
      </c>
      <c r="K14" s="189">
        <f>IF(B14&gt;0,'원가항목별(집계)'!I$34*P14/P$17,0)</f>
        <v>0</v>
      </c>
      <c r="L14" s="189">
        <f>IF($B14&gt;0,'원가항목별(집계)'!I$39*$P14/$P$17,0)</f>
        <v>0</v>
      </c>
      <c r="M14" s="190">
        <f>단위장비8!H67+단위장비8!H68</f>
        <v>0</v>
      </c>
      <c r="N14" s="191">
        <f t="shared" si="0"/>
        <v>0</v>
      </c>
      <c r="O14" s="192"/>
      <c r="P14" s="181">
        <f t="shared" si="1"/>
        <v>0</v>
      </c>
    </row>
    <row r="15" spans="1:16" s="195" customFormat="1" ht="25.5" customHeight="1">
      <c r="A15" s="184" t="str">
        <f>IF(B15&gt;0,A14+1,"")</f>
        <v/>
      </c>
      <c r="B15" s="183">
        <f>단위장비9!C$1</f>
        <v>0</v>
      </c>
      <c r="C15" s="184" t="s">
        <v>129</v>
      </c>
      <c r="D15" s="185">
        <f>단위장비9!H57</f>
        <v>0</v>
      </c>
      <c r="E15" s="186">
        <f>단위장비9!H58</f>
        <v>0</v>
      </c>
      <c r="F15" s="186">
        <f>단위장비9!H59+단위장비9!H60+단위장비9!H61+단위장비9!H65</f>
        <v>0</v>
      </c>
      <c r="G15" s="186">
        <f>단위장비9!H62+단위장비9!H63</f>
        <v>0</v>
      </c>
      <c r="H15" s="186">
        <f>단위장비9!H64</f>
        <v>0</v>
      </c>
      <c r="I15" s="187">
        <f>IF($B15&gt;0,'원가항목별(집계)'!I$38*$P15/$P$17,0)</f>
        <v>0</v>
      </c>
      <c r="J15" s="188">
        <f t="shared" si="2"/>
        <v>0</v>
      </c>
      <c r="K15" s="189">
        <f>IF(B15&gt;0,'원가항목별(집계)'!I$34*P15/P$17,0)</f>
        <v>0</v>
      </c>
      <c r="L15" s="189">
        <f>IF($B15&gt;0,'원가항목별(집계)'!I$39*$P15/$P$17,0)</f>
        <v>0</v>
      </c>
      <c r="M15" s="190">
        <f>단위장비9!H68+단위장비9!H69</f>
        <v>0</v>
      </c>
      <c r="N15" s="193">
        <f t="shared" si="0"/>
        <v>0</v>
      </c>
      <c r="O15" s="194"/>
      <c r="P15" s="195">
        <f t="shared" si="1"/>
        <v>0</v>
      </c>
    </row>
    <row r="16" spans="1:16" s="195" customFormat="1" ht="25.5" customHeight="1">
      <c r="A16" s="196" t="str">
        <f>IF(B16&gt;0,A15+1,"")</f>
        <v/>
      </c>
      <c r="B16" s="197">
        <f>단위장비10!C$1</f>
        <v>0</v>
      </c>
      <c r="C16" s="196" t="s">
        <v>129</v>
      </c>
      <c r="D16" s="198">
        <f>단위장비10!H58</f>
        <v>0</v>
      </c>
      <c r="E16" s="199">
        <f>단위장비10!H59</f>
        <v>0</v>
      </c>
      <c r="F16" s="199">
        <f>단위장비10!H60+단위장비10!H61+단위장비10!H62+단위장비10!H66</f>
        <v>0</v>
      </c>
      <c r="G16" s="199">
        <f>단위장비10!H63+단위장비10!H64</f>
        <v>0</v>
      </c>
      <c r="H16" s="199">
        <f>단위장비10!H65</f>
        <v>0</v>
      </c>
      <c r="I16" s="200">
        <f>IF($B16&gt;0,'원가항목별(집계)'!I$38*$P16/$P$17,0)</f>
        <v>0</v>
      </c>
      <c r="J16" s="201">
        <f t="shared" si="2"/>
        <v>0</v>
      </c>
      <c r="K16" s="202">
        <f>IF(B16&gt;0,'원가항목별(집계)'!I$34*P16/P$17,0)</f>
        <v>0</v>
      </c>
      <c r="L16" s="202">
        <f>IF($B16&gt;0,'원가항목별(집계)'!I$39*$P16/$P$17,0)</f>
        <v>0</v>
      </c>
      <c r="M16" s="203">
        <f>단위장비10!H69+단위장비10!H70</f>
        <v>0</v>
      </c>
      <c r="N16" s="204">
        <f t="shared" si="0"/>
        <v>0</v>
      </c>
      <c r="O16" s="205"/>
      <c r="P16" s="195">
        <f t="shared" si="1"/>
        <v>0</v>
      </c>
    </row>
    <row r="17" spans="1:16" s="181" customFormat="1" ht="33" customHeight="1">
      <c r="A17" s="470" t="s">
        <v>130</v>
      </c>
      <c r="B17" s="471"/>
      <c r="C17" s="472"/>
      <c r="D17" s="206">
        <f t="shared" ref="D17:M17" si="3">SUM(D7:D16)</f>
        <v>60981826</v>
      </c>
      <c r="E17" s="207">
        <f t="shared" si="3"/>
        <v>0</v>
      </c>
      <c r="F17" s="207">
        <f t="shared" si="3"/>
        <v>52500000</v>
      </c>
      <c r="G17" s="207">
        <f t="shared" si="3"/>
        <v>4500000</v>
      </c>
      <c r="H17" s="207">
        <f t="shared" si="3"/>
        <v>1500000</v>
      </c>
      <c r="I17" s="208">
        <f t="shared" si="3"/>
        <v>750000</v>
      </c>
      <c r="J17" s="209">
        <f t="shared" si="2"/>
        <v>120231826</v>
      </c>
      <c r="K17" s="210">
        <f>SUM(K7:K16)</f>
        <v>29323850</v>
      </c>
      <c r="L17" s="211">
        <f t="shared" si="3"/>
        <v>251000</v>
      </c>
      <c r="M17" s="212">
        <f t="shared" si="3"/>
        <v>17922273.900000002</v>
      </c>
      <c r="N17" s="213">
        <f>SUM(N7:N14)</f>
        <v>167728949.90000001</v>
      </c>
      <c r="O17" s="214"/>
      <c r="P17" s="181">
        <f>SUM(P7:P16)</f>
        <v>137404099.90000001</v>
      </c>
    </row>
    <row r="18" spans="1:16" s="227" customFormat="1" ht="18.75" customHeight="1">
      <c r="A18" s="215"/>
      <c r="B18" s="216"/>
      <c r="C18" s="217"/>
      <c r="D18" s="218">
        <f t="shared" ref="D18:N18" si="4">IF(D17=0,"",D17/$N17)</f>
        <v>0.36357364686511995</v>
      </c>
      <c r="E18" s="219" t="str">
        <f t="shared" si="4"/>
        <v/>
      </c>
      <c r="F18" s="219">
        <f t="shared" si="4"/>
        <v>0.31300500021791405</v>
      </c>
      <c r="G18" s="219">
        <f t="shared" si="4"/>
        <v>2.6829000018678349E-2</v>
      </c>
      <c r="H18" s="219">
        <f t="shared" si="4"/>
        <v>8.9430000062261164E-3</v>
      </c>
      <c r="I18" s="220">
        <f t="shared" si="4"/>
        <v>4.4715000031130582E-3</v>
      </c>
      <c r="J18" s="221">
        <f t="shared" si="4"/>
        <v>0.71682214711105152</v>
      </c>
      <c r="K18" s="222">
        <f t="shared" si="4"/>
        <v>0.17482879382171579</v>
      </c>
      <c r="L18" s="223">
        <f t="shared" si="4"/>
        <v>1.4964620010418368E-3</v>
      </c>
      <c r="M18" s="224">
        <f t="shared" si="4"/>
        <v>0.10685259706619078</v>
      </c>
      <c r="N18" s="225">
        <f t="shared" si="4"/>
        <v>1</v>
      </c>
      <c r="O18" s="226"/>
    </row>
    <row r="19" spans="1:16" ht="28.5" customHeight="1">
      <c r="A19" s="142" t="s">
        <v>131</v>
      </c>
      <c r="H19" s="228"/>
      <c r="I19" s="228"/>
      <c r="J19" s="228"/>
      <c r="K19" s="228"/>
      <c r="L19" s="228"/>
    </row>
    <row r="20" spans="1:16" ht="17.25" customHeight="1">
      <c r="H20" s="229"/>
      <c r="I20" s="229"/>
      <c r="J20" s="229"/>
      <c r="K20" s="229"/>
      <c r="L20" s="229"/>
      <c r="M20" s="230"/>
      <c r="N20" s="231" t="str">
        <f>IF('원가항목별(집계)'!I42='단위공사별(집계)'!N17,"","DATA오류입니다!")</f>
        <v/>
      </c>
    </row>
    <row r="21" spans="1:16" ht="17.25" customHeight="1">
      <c r="H21" s="232"/>
      <c r="I21" s="232"/>
      <c r="J21" s="232"/>
      <c r="K21" s="232"/>
      <c r="L21" s="232"/>
      <c r="N21" s="232"/>
    </row>
    <row r="22" spans="1:16" ht="17.25" customHeight="1">
      <c r="H22" s="181"/>
      <c r="I22" s="181"/>
      <c r="J22" s="181"/>
      <c r="L22" s="181"/>
    </row>
  </sheetData>
  <mergeCells count="2">
    <mergeCell ref="D4:J4"/>
    <mergeCell ref="A17:C17"/>
  </mergeCells>
  <phoneticPr fontId="2" type="noConversion"/>
  <printOptions horizontalCentered="1"/>
  <pageMargins left="0.39370078740157483" right="0.39370078740157483" top="0.66" bottom="0.39370078740157483" header="0.51181102362204722" footer="0.19685039370078741"/>
  <pageSetup paperSize="9" scale="67" orientation="landscape" horizontalDpi="4294967292" verticalDpi="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N68"/>
  <sheetViews>
    <sheetView zoomScale="85" workbookViewId="0">
      <pane xSplit="3" ySplit="2" topLeftCell="D12" activePane="bottomRight" state="frozen"/>
      <selection activeCell="G33" sqref="G33:I33"/>
      <selection pane="topRight" activeCell="G33" sqref="G33:I33"/>
      <selection pane="bottomLeft" activeCell="G33" sqref="G33:I33"/>
      <selection pane="bottomRight" activeCell="L35" sqref="L35"/>
    </sheetView>
  </sheetViews>
  <sheetFormatPr defaultRowHeight="13.5"/>
  <cols>
    <col min="1" max="1" width="5" style="142" customWidth="1"/>
    <col min="2" max="2" width="13" style="142" customWidth="1"/>
    <col min="3" max="3" width="23.625" style="142" customWidth="1"/>
    <col min="4" max="4" width="18.25" style="142" customWidth="1"/>
    <col min="5" max="5" width="5.25" style="159" bestFit="1" customWidth="1"/>
    <col min="6" max="6" width="6.75" style="308" customWidth="1"/>
    <col min="7" max="7" width="11.875" style="181" customWidth="1"/>
    <col min="8" max="8" width="13.625" style="181" customWidth="1"/>
    <col min="9" max="9" width="12.75" style="142" customWidth="1"/>
    <col min="10" max="10" width="9.25" style="142" customWidth="1"/>
    <col min="11" max="11" width="11.5" style="142" bestFit="1" customWidth="1"/>
    <col min="12" max="16384" width="9" style="142"/>
  </cols>
  <sheetData>
    <row r="1" spans="1:14" ht="22.5" customHeight="1">
      <c r="B1" s="233" t="s">
        <v>132</v>
      </c>
      <c r="C1" s="234" t="s">
        <v>133</v>
      </c>
      <c r="D1" s="235"/>
      <c r="E1" s="236"/>
      <c r="F1" s="237"/>
      <c r="G1" s="195"/>
      <c r="I1" s="142" t="s">
        <v>134</v>
      </c>
    </row>
    <row r="2" spans="1:14" s="159" customFormat="1" ht="16.5" customHeight="1">
      <c r="A2" s="361" t="s">
        <v>135</v>
      </c>
      <c r="B2" s="473"/>
      <c r="C2" s="238" t="s">
        <v>136</v>
      </c>
      <c r="D2" s="239" t="s">
        <v>137</v>
      </c>
      <c r="E2" s="239" t="s">
        <v>138</v>
      </c>
      <c r="F2" s="240" t="s">
        <v>139</v>
      </c>
      <c r="G2" s="240" t="s">
        <v>140</v>
      </c>
      <c r="H2" s="240" t="s">
        <v>141</v>
      </c>
      <c r="I2" s="239" t="s">
        <v>142</v>
      </c>
    </row>
    <row r="3" spans="1:14" ht="15.95" customHeight="1">
      <c r="A3" s="474" t="s">
        <v>143</v>
      </c>
      <c r="B3" s="241" t="s">
        <v>144</v>
      </c>
      <c r="C3" s="325" t="s">
        <v>287</v>
      </c>
      <c r="D3" s="326" t="s">
        <v>288</v>
      </c>
      <c r="E3" s="327" t="s">
        <v>289</v>
      </c>
      <c r="F3" s="328">
        <v>1</v>
      </c>
      <c r="G3" s="329">
        <v>1800000</v>
      </c>
      <c r="H3" s="323">
        <f>G3*F3</f>
        <v>1800000</v>
      </c>
      <c r="I3" s="245"/>
    </row>
    <row r="4" spans="1:14" ht="15.95" customHeight="1">
      <c r="A4" s="475"/>
      <c r="B4" s="241"/>
      <c r="C4" s="325" t="s">
        <v>290</v>
      </c>
      <c r="D4" s="326" t="s">
        <v>291</v>
      </c>
      <c r="E4" s="327" t="s">
        <v>289</v>
      </c>
      <c r="F4" s="328">
        <v>1</v>
      </c>
      <c r="G4" s="329">
        <v>250000</v>
      </c>
      <c r="H4" s="324">
        <f>G4*F4</f>
        <v>250000</v>
      </c>
      <c r="I4" s="247"/>
    </row>
    <row r="5" spans="1:14" ht="15.95" customHeight="1">
      <c r="A5" s="475"/>
      <c r="B5" s="241"/>
      <c r="C5" s="325" t="s">
        <v>292</v>
      </c>
      <c r="D5" s="325" t="s">
        <v>293</v>
      </c>
      <c r="E5" s="327" t="s">
        <v>289</v>
      </c>
      <c r="F5" s="328">
        <v>2</v>
      </c>
      <c r="G5" s="329">
        <v>100000</v>
      </c>
      <c r="H5" s="324">
        <f>G5*F5</f>
        <v>200000</v>
      </c>
      <c r="I5" s="247"/>
    </row>
    <row r="6" spans="1:14" ht="15.95" customHeight="1">
      <c r="A6" s="475"/>
      <c r="B6" s="241"/>
      <c r="C6" s="325" t="s">
        <v>294</v>
      </c>
      <c r="D6" s="325" t="s">
        <v>295</v>
      </c>
      <c r="E6" s="327" t="s">
        <v>289</v>
      </c>
      <c r="F6" s="328">
        <v>1</v>
      </c>
      <c r="G6" s="329">
        <v>50000</v>
      </c>
      <c r="H6" s="324">
        <f>G6*F6</f>
        <v>50000</v>
      </c>
      <c r="I6" s="247"/>
    </row>
    <row r="7" spans="1:14" ht="15.95" customHeight="1">
      <c r="A7" s="475"/>
      <c r="B7" s="241"/>
      <c r="C7" s="330"/>
      <c r="D7" s="330"/>
      <c r="E7" s="331"/>
      <c r="F7" s="332"/>
      <c r="G7" s="333"/>
      <c r="H7" s="192">
        <f t="shared" ref="H7:H8" si="0">IF(F7=0,G7,G7*F7)</f>
        <v>0</v>
      </c>
      <c r="I7" s="247"/>
    </row>
    <row r="8" spans="1:14" ht="15.95" customHeight="1">
      <c r="A8" s="475"/>
      <c r="B8" s="241"/>
      <c r="C8" s="334"/>
      <c r="D8" s="334"/>
      <c r="E8" s="335"/>
      <c r="F8" s="336"/>
      <c r="G8" s="337"/>
      <c r="H8" s="192">
        <f t="shared" si="0"/>
        <v>0</v>
      </c>
      <c r="I8" s="255"/>
    </row>
    <row r="9" spans="1:14" ht="15.95" customHeight="1">
      <c r="A9" s="475"/>
      <c r="B9" s="256"/>
      <c r="C9" s="257"/>
      <c r="D9" s="258"/>
      <c r="E9" s="238"/>
      <c r="F9" s="259"/>
      <c r="G9" s="260"/>
      <c r="H9" s="261">
        <f>SUM(H3:H8)</f>
        <v>2300000</v>
      </c>
      <c r="I9" s="262"/>
    </row>
    <row r="10" spans="1:14" ht="15.95" customHeight="1">
      <c r="A10" s="475"/>
      <c r="B10" s="263" t="s">
        <v>145</v>
      </c>
      <c r="C10" s="338"/>
      <c r="D10" s="338"/>
      <c r="E10" s="339"/>
      <c r="F10" s="340"/>
      <c r="G10" s="341"/>
      <c r="H10" s="266">
        <f t="shared" ref="H10:H53" si="1">IF(F10=0,G10,G10*F10)</f>
        <v>0</v>
      </c>
      <c r="I10" s="267"/>
    </row>
    <row r="11" spans="1:14" ht="15.95" customHeight="1">
      <c r="A11" s="475"/>
      <c r="B11" s="268" t="s">
        <v>146</v>
      </c>
      <c r="C11" s="330"/>
      <c r="D11" s="330"/>
      <c r="E11" s="331"/>
      <c r="F11" s="332"/>
      <c r="G11" s="333"/>
      <c r="H11" s="192">
        <f t="shared" si="1"/>
        <v>0</v>
      </c>
      <c r="I11" s="247"/>
    </row>
    <row r="12" spans="1:14" ht="15.95" customHeight="1">
      <c r="A12" s="475"/>
      <c r="B12" s="268" t="s">
        <v>147</v>
      </c>
      <c r="C12" s="330"/>
      <c r="D12" s="330"/>
      <c r="E12" s="331"/>
      <c r="F12" s="332"/>
      <c r="G12" s="333"/>
      <c r="H12" s="192">
        <f t="shared" si="1"/>
        <v>0</v>
      </c>
      <c r="I12" s="247"/>
    </row>
    <row r="13" spans="1:14" ht="15.95" customHeight="1">
      <c r="A13" s="475"/>
      <c r="B13" s="241"/>
      <c r="C13" s="330"/>
      <c r="D13" s="330"/>
      <c r="E13" s="331"/>
      <c r="F13" s="332"/>
      <c r="G13" s="333"/>
      <c r="H13" s="192">
        <f t="shared" si="1"/>
        <v>0</v>
      </c>
      <c r="I13" s="247"/>
      <c r="N13" s="350"/>
    </row>
    <row r="14" spans="1:14" ht="15.95" customHeight="1">
      <c r="A14" s="475"/>
      <c r="B14" s="241"/>
      <c r="C14" s="330"/>
      <c r="D14" s="330"/>
      <c r="E14" s="331"/>
      <c r="F14" s="332"/>
      <c r="G14" s="333"/>
      <c r="H14" s="192">
        <f t="shared" si="1"/>
        <v>0</v>
      </c>
      <c r="I14" s="247"/>
    </row>
    <row r="15" spans="1:14" ht="15.95" customHeight="1">
      <c r="A15" s="475"/>
      <c r="B15" s="241"/>
      <c r="C15" s="334"/>
      <c r="D15" s="342"/>
      <c r="E15" s="335"/>
      <c r="F15" s="343"/>
      <c r="G15" s="344"/>
      <c r="H15" s="271">
        <f t="shared" si="1"/>
        <v>0</v>
      </c>
      <c r="I15" s="272"/>
    </row>
    <row r="16" spans="1:14" ht="15.95" customHeight="1">
      <c r="A16" s="475"/>
      <c r="B16" s="241"/>
      <c r="C16" s="273"/>
      <c r="D16" s="274"/>
      <c r="E16" s="275"/>
      <c r="F16" s="276"/>
      <c r="G16" s="277"/>
      <c r="H16" s="278">
        <f>SUM(H10:H15)</f>
        <v>0</v>
      </c>
      <c r="I16" s="279"/>
    </row>
    <row r="17" spans="1:9" ht="15.95" customHeight="1">
      <c r="A17" s="475"/>
      <c r="B17" s="280" t="s">
        <v>148</v>
      </c>
      <c r="C17" s="345" t="s">
        <v>296</v>
      </c>
      <c r="D17" s="345" t="s">
        <v>297</v>
      </c>
      <c r="E17" s="346" t="s">
        <v>289</v>
      </c>
      <c r="F17" s="328">
        <v>1</v>
      </c>
      <c r="G17" s="347">
        <v>1200000</v>
      </c>
      <c r="H17" s="323">
        <v>1200000</v>
      </c>
      <c r="I17" s="267"/>
    </row>
    <row r="18" spans="1:9" ht="15.95" customHeight="1">
      <c r="A18" s="475"/>
      <c r="B18" s="241"/>
      <c r="C18" s="345" t="s">
        <v>298</v>
      </c>
      <c r="D18" s="345"/>
      <c r="E18" s="346" t="s">
        <v>289</v>
      </c>
      <c r="F18" s="328">
        <v>1</v>
      </c>
      <c r="G18" s="347">
        <v>160000</v>
      </c>
      <c r="H18" s="324">
        <f t="shared" ref="H18:H22" si="2">G18*F18</f>
        <v>160000</v>
      </c>
      <c r="I18" s="247"/>
    </row>
    <row r="19" spans="1:9" ht="15.95" customHeight="1">
      <c r="A19" s="475"/>
      <c r="B19" s="241"/>
      <c r="C19" s="348" t="s">
        <v>299</v>
      </c>
      <c r="D19" s="345"/>
      <c r="E19" s="346" t="s">
        <v>289</v>
      </c>
      <c r="F19" s="328">
        <v>3</v>
      </c>
      <c r="G19" s="347">
        <v>213000</v>
      </c>
      <c r="H19" s="324">
        <f t="shared" si="2"/>
        <v>639000</v>
      </c>
      <c r="I19" s="247"/>
    </row>
    <row r="20" spans="1:9" ht="15.95" customHeight="1">
      <c r="A20" s="475"/>
      <c r="B20" s="241"/>
      <c r="C20" s="345" t="s">
        <v>300</v>
      </c>
      <c r="D20" s="345"/>
      <c r="E20" s="346" t="s">
        <v>289</v>
      </c>
      <c r="F20" s="328">
        <v>4</v>
      </c>
      <c r="G20" s="347">
        <v>275000</v>
      </c>
      <c r="H20" s="324">
        <f t="shared" si="2"/>
        <v>1100000</v>
      </c>
      <c r="I20" s="247"/>
    </row>
    <row r="21" spans="1:9" ht="15.95" customHeight="1">
      <c r="A21" s="475"/>
      <c r="B21" s="241"/>
      <c r="C21" s="345" t="s">
        <v>301</v>
      </c>
      <c r="D21" s="345"/>
      <c r="E21" s="346" t="s">
        <v>289</v>
      </c>
      <c r="F21" s="328">
        <v>4</v>
      </c>
      <c r="G21" s="347">
        <v>275000</v>
      </c>
      <c r="H21" s="324">
        <f t="shared" si="2"/>
        <v>1100000</v>
      </c>
      <c r="I21" s="247"/>
    </row>
    <row r="22" spans="1:9" ht="15.95" customHeight="1">
      <c r="A22" s="475"/>
      <c r="B22" s="241"/>
      <c r="C22" s="345" t="s">
        <v>302</v>
      </c>
      <c r="D22" s="345"/>
      <c r="E22" s="346" t="s">
        <v>289</v>
      </c>
      <c r="F22" s="328">
        <v>1</v>
      </c>
      <c r="G22" s="347">
        <v>650000</v>
      </c>
      <c r="H22" s="324">
        <f t="shared" si="2"/>
        <v>650000</v>
      </c>
      <c r="I22" s="247"/>
    </row>
    <row r="23" spans="1:9" ht="15.95" customHeight="1">
      <c r="A23" s="475"/>
      <c r="B23" s="241"/>
      <c r="C23" s="345" t="s">
        <v>303</v>
      </c>
      <c r="D23" s="345"/>
      <c r="E23" s="346" t="s">
        <v>304</v>
      </c>
      <c r="F23" s="328"/>
      <c r="G23" s="347"/>
      <c r="H23" s="324">
        <v>1200000</v>
      </c>
      <c r="I23" s="247"/>
    </row>
    <row r="24" spans="1:9" ht="15.95" customHeight="1">
      <c r="A24" s="475"/>
      <c r="B24" s="241"/>
      <c r="C24" s="345" t="s">
        <v>305</v>
      </c>
      <c r="D24" s="348"/>
      <c r="E24" s="346" t="s">
        <v>289</v>
      </c>
      <c r="F24" s="328">
        <v>1</v>
      </c>
      <c r="G24" s="347"/>
      <c r="H24" s="324">
        <v>1900000</v>
      </c>
      <c r="I24" s="247"/>
    </row>
    <row r="25" spans="1:9" ht="15.95" customHeight="1">
      <c r="A25" s="475"/>
      <c r="B25" s="241"/>
      <c r="C25" s="348" t="s">
        <v>306</v>
      </c>
      <c r="D25" s="345"/>
      <c r="E25" s="346"/>
      <c r="F25" s="328"/>
      <c r="G25" s="347"/>
      <c r="H25" s="324">
        <v>1800000</v>
      </c>
      <c r="I25" s="247"/>
    </row>
    <row r="26" spans="1:9" ht="15.95" customHeight="1">
      <c r="A26" s="475"/>
      <c r="B26" s="241"/>
      <c r="C26" s="345" t="s">
        <v>307</v>
      </c>
      <c r="D26" s="348"/>
      <c r="E26" s="346" t="s">
        <v>289</v>
      </c>
      <c r="F26" s="328">
        <v>1</v>
      </c>
      <c r="G26" s="347">
        <v>200000</v>
      </c>
      <c r="H26" s="324">
        <f>G26*F26</f>
        <v>200000</v>
      </c>
      <c r="I26" s="247"/>
    </row>
    <row r="27" spans="1:9" ht="15.95" customHeight="1">
      <c r="A27" s="475"/>
      <c r="B27" s="241"/>
      <c r="C27" s="348" t="s">
        <v>308</v>
      </c>
      <c r="D27" s="348"/>
      <c r="E27" s="346"/>
      <c r="F27" s="328">
        <v>3</v>
      </c>
      <c r="G27" s="347">
        <v>170000</v>
      </c>
      <c r="H27" s="324">
        <f>F27*G27</f>
        <v>510000</v>
      </c>
      <c r="I27" s="247"/>
    </row>
    <row r="28" spans="1:9" ht="15.95" customHeight="1">
      <c r="A28" s="475"/>
      <c r="B28" s="241"/>
      <c r="C28" s="348" t="s">
        <v>309</v>
      </c>
      <c r="D28" s="348"/>
      <c r="E28" s="346"/>
      <c r="F28" s="328">
        <v>4</v>
      </c>
      <c r="G28" s="347">
        <v>125000</v>
      </c>
      <c r="H28" s="324">
        <f>F28*G28</f>
        <v>500000</v>
      </c>
      <c r="I28" s="247"/>
    </row>
    <row r="29" spans="1:9" ht="15.95" customHeight="1">
      <c r="A29" s="475"/>
      <c r="B29" s="241"/>
      <c r="C29" s="345" t="s">
        <v>310</v>
      </c>
      <c r="D29" s="345" t="s">
        <v>311</v>
      </c>
      <c r="E29" s="346" t="s">
        <v>312</v>
      </c>
      <c r="F29" s="328"/>
      <c r="G29" s="347"/>
      <c r="H29" s="324">
        <v>350000</v>
      </c>
      <c r="I29" s="247"/>
    </row>
    <row r="30" spans="1:9" ht="15.95" customHeight="1">
      <c r="A30" s="475"/>
      <c r="B30" s="241"/>
      <c r="C30" s="345" t="s">
        <v>313</v>
      </c>
      <c r="D30" s="345" t="s">
        <v>314</v>
      </c>
      <c r="E30" s="346" t="s">
        <v>304</v>
      </c>
      <c r="F30" s="328"/>
      <c r="G30" s="347"/>
      <c r="H30" s="324">
        <v>1600000</v>
      </c>
      <c r="I30" s="247"/>
    </row>
    <row r="31" spans="1:9" ht="15.95" customHeight="1">
      <c r="A31" s="475"/>
      <c r="B31" s="241"/>
      <c r="C31" s="345" t="s">
        <v>315</v>
      </c>
      <c r="D31" s="345" t="s">
        <v>316</v>
      </c>
      <c r="E31" s="346" t="s">
        <v>304</v>
      </c>
      <c r="F31" s="328"/>
      <c r="G31" s="347">
        <v>300000</v>
      </c>
      <c r="H31" s="324">
        <v>300000</v>
      </c>
      <c r="I31" s="247"/>
    </row>
    <row r="32" spans="1:9" ht="15.95" customHeight="1">
      <c r="A32" s="475"/>
      <c r="B32" s="241"/>
      <c r="C32" s="345" t="s">
        <v>317</v>
      </c>
      <c r="D32" s="348" t="s">
        <v>318</v>
      </c>
      <c r="E32" s="346" t="s">
        <v>289</v>
      </c>
      <c r="F32" s="328">
        <v>6</v>
      </c>
      <c r="G32" s="347">
        <v>60000</v>
      </c>
      <c r="H32" s="324">
        <f>G32*F32</f>
        <v>360000</v>
      </c>
      <c r="I32" s="247"/>
    </row>
    <row r="33" spans="1:9" ht="15.95" customHeight="1">
      <c r="A33" s="475"/>
      <c r="B33" s="241"/>
      <c r="C33" s="345" t="s">
        <v>319</v>
      </c>
      <c r="D33" s="345" t="s">
        <v>318</v>
      </c>
      <c r="E33" s="346" t="s">
        <v>289</v>
      </c>
      <c r="F33" s="328">
        <v>4</v>
      </c>
      <c r="G33" s="347">
        <v>65000</v>
      </c>
      <c r="H33" s="324">
        <f>F33*G33</f>
        <v>260000</v>
      </c>
      <c r="I33" s="247"/>
    </row>
    <row r="34" spans="1:9" ht="15.95" customHeight="1">
      <c r="A34" s="475"/>
      <c r="B34" s="241"/>
      <c r="C34" s="345" t="s">
        <v>320</v>
      </c>
      <c r="D34" s="345" t="s">
        <v>321</v>
      </c>
      <c r="E34" s="346" t="s">
        <v>289</v>
      </c>
      <c r="F34" s="328">
        <v>2</v>
      </c>
      <c r="G34" s="347">
        <v>85000</v>
      </c>
      <c r="H34" s="324">
        <f>G34*F34</f>
        <v>170000</v>
      </c>
      <c r="I34" s="247"/>
    </row>
    <row r="35" spans="1:9" ht="15.95" customHeight="1">
      <c r="A35" s="475"/>
      <c r="B35" s="241"/>
      <c r="C35" s="345" t="s">
        <v>322</v>
      </c>
      <c r="D35" s="345"/>
      <c r="E35" s="346"/>
      <c r="F35" s="328"/>
      <c r="G35" s="347"/>
      <c r="H35" s="324">
        <v>900000</v>
      </c>
      <c r="I35" s="247"/>
    </row>
    <row r="36" spans="1:9" ht="15.95" customHeight="1">
      <c r="A36" s="475"/>
      <c r="B36" s="241"/>
      <c r="C36" s="345" t="s">
        <v>323</v>
      </c>
      <c r="D36" s="345"/>
      <c r="E36" s="349" t="s">
        <v>304</v>
      </c>
      <c r="F36" s="328"/>
      <c r="G36" s="347"/>
      <c r="H36" s="324">
        <v>300000</v>
      </c>
      <c r="I36" s="247"/>
    </row>
    <row r="37" spans="1:9" ht="15.95" customHeight="1">
      <c r="A37" s="475"/>
      <c r="B37" s="241"/>
      <c r="C37" s="345" t="s">
        <v>324</v>
      </c>
      <c r="D37" s="345"/>
      <c r="E37" s="349" t="s">
        <v>304</v>
      </c>
      <c r="F37" s="328"/>
      <c r="G37" s="347"/>
      <c r="H37" s="324">
        <v>250000</v>
      </c>
      <c r="I37" s="247"/>
    </row>
    <row r="38" spans="1:9" ht="15.95" customHeight="1">
      <c r="A38" s="475"/>
      <c r="B38" s="241"/>
      <c r="C38" s="348" t="s">
        <v>325</v>
      </c>
      <c r="D38" s="345"/>
      <c r="E38" s="349"/>
      <c r="F38" s="328"/>
      <c r="G38" s="347"/>
      <c r="H38" s="324">
        <v>250000</v>
      </c>
      <c r="I38" s="247"/>
    </row>
    <row r="39" spans="1:9" ht="15.95" customHeight="1">
      <c r="A39" s="475"/>
      <c r="B39" s="241"/>
      <c r="C39" s="330"/>
      <c r="D39" s="330"/>
      <c r="E39" s="331"/>
      <c r="F39" s="332"/>
      <c r="G39" s="333"/>
      <c r="H39" s="192">
        <f t="shared" si="1"/>
        <v>0</v>
      </c>
      <c r="I39" s="247"/>
    </row>
    <row r="40" spans="1:9" ht="15.95" customHeight="1">
      <c r="A40" s="475"/>
      <c r="B40" s="241"/>
      <c r="C40" s="330"/>
      <c r="D40" s="330"/>
      <c r="E40" s="331"/>
      <c r="F40" s="332"/>
      <c r="G40" s="333"/>
      <c r="H40" s="192">
        <f t="shared" si="1"/>
        <v>0</v>
      </c>
      <c r="I40" s="247"/>
    </row>
    <row r="41" spans="1:9" ht="15.95" customHeight="1">
      <c r="A41" s="475"/>
      <c r="B41" s="241"/>
      <c r="C41" s="246"/>
      <c r="D41" s="246"/>
      <c r="E41" s="248"/>
      <c r="F41" s="249"/>
      <c r="G41" s="250"/>
      <c r="H41" s="192">
        <f t="shared" si="1"/>
        <v>0</v>
      </c>
      <c r="I41" s="247"/>
    </row>
    <row r="42" spans="1:9" ht="15.95" customHeight="1">
      <c r="A42" s="475"/>
      <c r="B42" s="241"/>
      <c r="C42" s="246"/>
      <c r="D42" s="246"/>
      <c r="E42" s="248"/>
      <c r="F42" s="249"/>
      <c r="G42" s="250"/>
      <c r="H42" s="192">
        <f t="shared" si="1"/>
        <v>0</v>
      </c>
      <c r="I42" s="247"/>
    </row>
    <row r="43" spans="1:9" ht="15.95" customHeight="1">
      <c r="A43" s="475"/>
      <c r="B43" s="241"/>
      <c r="C43" s="246"/>
      <c r="D43" s="246"/>
      <c r="E43" s="248"/>
      <c r="F43" s="249"/>
      <c r="G43" s="250"/>
      <c r="H43" s="192">
        <f t="shared" si="1"/>
        <v>0</v>
      </c>
      <c r="I43" s="247"/>
    </row>
    <row r="44" spans="1:9" ht="15.95" customHeight="1">
      <c r="A44" s="475"/>
      <c r="B44" s="241"/>
      <c r="C44" s="246"/>
      <c r="D44" s="246"/>
      <c r="E44" s="248"/>
      <c r="F44" s="249"/>
      <c r="G44" s="250"/>
      <c r="H44" s="192">
        <f t="shared" si="1"/>
        <v>0</v>
      </c>
      <c r="I44" s="247"/>
    </row>
    <row r="45" spans="1:9" ht="15.95" customHeight="1">
      <c r="A45" s="475"/>
      <c r="B45" s="241"/>
      <c r="C45" s="246"/>
      <c r="D45" s="246"/>
      <c r="E45" s="248"/>
      <c r="F45" s="249"/>
      <c r="G45" s="250"/>
      <c r="H45" s="192">
        <f t="shared" si="1"/>
        <v>0</v>
      </c>
      <c r="I45" s="247"/>
    </row>
    <row r="46" spans="1:9" ht="15.95" customHeight="1">
      <c r="A46" s="475"/>
      <c r="B46" s="241"/>
      <c r="C46" s="246"/>
      <c r="D46" s="246"/>
      <c r="E46" s="248"/>
      <c r="F46" s="249"/>
      <c r="G46" s="250"/>
      <c r="H46" s="192">
        <f t="shared" si="1"/>
        <v>0</v>
      </c>
      <c r="I46" s="247"/>
    </row>
    <row r="47" spans="1:9" ht="15.95" customHeight="1">
      <c r="A47" s="475"/>
      <c r="B47" s="241"/>
      <c r="C47" s="246"/>
      <c r="D47" s="246"/>
      <c r="E47" s="248"/>
      <c r="F47" s="249"/>
      <c r="G47" s="250"/>
      <c r="H47" s="192">
        <f t="shared" si="1"/>
        <v>0</v>
      </c>
      <c r="I47" s="247"/>
    </row>
    <row r="48" spans="1:9" ht="15.95" customHeight="1">
      <c r="A48" s="475"/>
      <c r="B48" s="241"/>
      <c r="C48" s="246"/>
      <c r="D48" s="246"/>
      <c r="E48" s="248"/>
      <c r="F48" s="249"/>
      <c r="G48" s="250"/>
      <c r="H48" s="192">
        <f t="shared" si="1"/>
        <v>0</v>
      </c>
      <c r="I48" s="247"/>
    </row>
    <row r="49" spans="1:9" ht="15.95" customHeight="1">
      <c r="A49" s="475"/>
      <c r="B49" s="241"/>
      <c r="C49" s="246"/>
      <c r="D49" s="246"/>
      <c r="E49" s="248"/>
      <c r="F49" s="249"/>
      <c r="G49" s="250"/>
      <c r="H49" s="192">
        <f t="shared" si="1"/>
        <v>0</v>
      </c>
      <c r="I49" s="247"/>
    </row>
    <row r="50" spans="1:9" ht="15.95" customHeight="1">
      <c r="A50" s="475"/>
      <c r="B50" s="241"/>
      <c r="C50" s="246"/>
      <c r="D50" s="246"/>
      <c r="E50" s="248"/>
      <c r="F50" s="249"/>
      <c r="G50" s="250"/>
      <c r="H50" s="192">
        <f t="shared" si="1"/>
        <v>0</v>
      </c>
      <c r="I50" s="247"/>
    </row>
    <row r="51" spans="1:9" ht="15.95" customHeight="1">
      <c r="A51" s="475"/>
      <c r="B51" s="241"/>
      <c r="C51" s="246"/>
      <c r="D51" s="246"/>
      <c r="E51" s="248"/>
      <c r="F51" s="249"/>
      <c r="G51" s="250"/>
      <c r="H51" s="192">
        <f t="shared" si="1"/>
        <v>0</v>
      </c>
      <c r="I51" s="247"/>
    </row>
    <row r="52" spans="1:9" ht="15.95" customHeight="1">
      <c r="A52" s="475"/>
      <c r="B52" s="241"/>
      <c r="C52" s="246"/>
      <c r="D52" s="246"/>
      <c r="E52" s="248"/>
      <c r="F52" s="249"/>
      <c r="G52" s="250"/>
      <c r="H52" s="192">
        <f t="shared" si="1"/>
        <v>0</v>
      </c>
      <c r="I52" s="247"/>
    </row>
    <row r="53" spans="1:9" ht="15.95" customHeight="1">
      <c r="A53" s="475"/>
      <c r="B53" s="241"/>
      <c r="C53" s="251"/>
      <c r="D53" s="251"/>
      <c r="E53" s="252"/>
      <c r="F53" s="253"/>
      <c r="G53" s="254"/>
      <c r="H53" s="281">
        <f t="shared" si="1"/>
        <v>0</v>
      </c>
      <c r="I53" s="255"/>
    </row>
    <row r="54" spans="1:9" ht="15.95" customHeight="1">
      <c r="A54" s="475"/>
      <c r="B54" s="256"/>
      <c r="C54" s="257"/>
      <c r="D54" s="258"/>
      <c r="E54" s="238"/>
      <c r="F54" s="259"/>
      <c r="G54" s="260"/>
      <c r="H54" s="261">
        <f>SUM(H17:H53)</f>
        <v>15699000</v>
      </c>
      <c r="I54" s="262"/>
    </row>
    <row r="55" spans="1:9" ht="15.95" customHeight="1">
      <c r="A55" s="282"/>
      <c r="B55" s="283" t="s">
        <v>149</v>
      </c>
      <c r="C55" s="284"/>
      <c r="D55" s="262"/>
      <c r="E55" s="239"/>
      <c r="F55" s="285"/>
      <c r="G55" s="286"/>
      <c r="H55" s="261">
        <f>SUM(H54,H9,H16)</f>
        <v>17999000</v>
      </c>
      <c r="I55" s="262"/>
    </row>
    <row r="56" spans="1:9" ht="15.95" customHeight="1">
      <c r="A56" s="476" t="s">
        <v>150</v>
      </c>
      <c r="B56" s="287" t="s">
        <v>151</v>
      </c>
      <c r="C56" s="284"/>
      <c r="D56" s="288"/>
      <c r="E56" s="289" t="s">
        <v>76</v>
      </c>
      <c r="F56" s="341"/>
      <c r="G56" s="341"/>
      <c r="H56" s="290">
        <f t="shared" ref="H56:H62" si="3">F56*G56</f>
        <v>0</v>
      </c>
      <c r="I56" s="262"/>
    </row>
    <row r="57" spans="1:9" ht="15.95" customHeight="1">
      <c r="A57" s="477"/>
      <c r="B57" s="291" t="s">
        <v>152</v>
      </c>
      <c r="C57" s="292"/>
      <c r="D57" s="293"/>
      <c r="E57" s="294" t="s">
        <v>153</v>
      </c>
      <c r="F57" s="341">
        <v>5</v>
      </c>
      <c r="G57" s="341">
        <v>150000</v>
      </c>
      <c r="H57" s="266">
        <f t="shared" si="3"/>
        <v>750000</v>
      </c>
      <c r="I57" s="267"/>
    </row>
    <row r="58" spans="1:9" ht="15.95" customHeight="1">
      <c r="A58" s="477"/>
      <c r="B58" s="295" t="s">
        <v>154</v>
      </c>
      <c r="C58" s="296"/>
      <c r="D58" s="297"/>
      <c r="E58" s="298" t="s">
        <v>153</v>
      </c>
      <c r="F58" s="333">
        <v>15</v>
      </c>
      <c r="G58" s="333">
        <v>150000</v>
      </c>
      <c r="H58" s="192">
        <f t="shared" si="3"/>
        <v>2250000</v>
      </c>
      <c r="I58" s="247"/>
    </row>
    <row r="59" spans="1:9" ht="15.95" customHeight="1">
      <c r="A59" s="477"/>
      <c r="B59" s="295" t="s">
        <v>155</v>
      </c>
      <c r="C59" s="296"/>
      <c r="D59" s="297"/>
      <c r="E59" s="298" t="s">
        <v>153</v>
      </c>
      <c r="F59" s="333">
        <v>10</v>
      </c>
      <c r="G59" s="333">
        <v>150000</v>
      </c>
      <c r="H59" s="192">
        <f>F59*G59</f>
        <v>1500000</v>
      </c>
      <c r="I59" s="247"/>
    </row>
    <row r="60" spans="1:9" ht="15.95" customHeight="1">
      <c r="A60" s="477"/>
      <c r="B60" s="295" t="s">
        <v>156</v>
      </c>
      <c r="C60" s="296"/>
      <c r="D60" s="297"/>
      <c r="E60" s="298" t="s">
        <v>153</v>
      </c>
      <c r="F60" s="333">
        <v>5</v>
      </c>
      <c r="G60" s="333">
        <v>150000</v>
      </c>
      <c r="H60" s="192">
        <f t="shared" si="3"/>
        <v>750000</v>
      </c>
      <c r="I60" s="247"/>
    </row>
    <row r="61" spans="1:9" ht="15.95" customHeight="1">
      <c r="A61" s="477"/>
      <c r="B61" s="295" t="s">
        <v>157</v>
      </c>
      <c r="C61" s="296"/>
      <c r="D61" s="297"/>
      <c r="E61" s="298" t="s">
        <v>153</v>
      </c>
      <c r="F61" s="333">
        <v>10</v>
      </c>
      <c r="G61" s="333">
        <v>150000</v>
      </c>
      <c r="H61" s="192">
        <f t="shared" si="3"/>
        <v>1500000</v>
      </c>
      <c r="I61" s="247"/>
    </row>
    <row r="62" spans="1:9" ht="15.95" customHeight="1">
      <c r="A62" s="477"/>
      <c r="B62" s="299" t="s">
        <v>158</v>
      </c>
      <c r="C62" s="300"/>
      <c r="D62" s="301"/>
      <c r="E62" s="302" t="s">
        <v>153</v>
      </c>
      <c r="F62" s="337">
        <v>5</v>
      </c>
      <c r="G62" s="337">
        <v>150000</v>
      </c>
      <c r="H62" s="281">
        <f t="shared" si="3"/>
        <v>750000</v>
      </c>
      <c r="I62" s="255"/>
    </row>
    <row r="63" spans="1:9" ht="15.95" customHeight="1">
      <c r="A63" s="282"/>
      <c r="B63" s="303" t="s">
        <v>159</v>
      </c>
      <c r="C63" s="284"/>
      <c r="D63" s="262"/>
      <c r="E63" s="239"/>
      <c r="F63" s="336"/>
      <c r="G63" s="337"/>
      <c r="H63" s="261">
        <f>SUM(H56:H62)</f>
        <v>7500000</v>
      </c>
      <c r="I63" s="262"/>
    </row>
    <row r="64" spans="1:9" ht="15.95" customHeight="1">
      <c r="A64" s="304"/>
      <c r="B64" s="303" t="s">
        <v>160</v>
      </c>
      <c r="C64" s="284"/>
      <c r="D64" s="262"/>
      <c r="E64" s="239"/>
      <c r="F64" s="240"/>
      <c r="G64" s="305" t="s">
        <v>161</v>
      </c>
      <c r="H64" s="286">
        <v>0</v>
      </c>
      <c r="I64" s="262"/>
    </row>
    <row r="65" spans="1:11" ht="15.95" customHeight="1">
      <c r="A65" s="304"/>
      <c r="B65" s="303" t="s">
        <v>162</v>
      </c>
      <c r="C65" s="284"/>
      <c r="D65" s="262"/>
      <c r="E65" s="239"/>
      <c r="F65" s="240"/>
      <c r="G65" s="306"/>
      <c r="H65" s="307">
        <f>(H63+H55)*0.05</f>
        <v>1274950</v>
      </c>
      <c r="I65" s="284"/>
    </row>
    <row r="66" spans="1:11" ht="15.95" customHeight="1">
      <c r="A66" s="304"/>
      <c r="B66" s="303" t="s">
        <v>163</v>
      </c>
      <c r="C66" s="284"/>
      <c r="D66" s="262"/>
      <c r="E66" s="239"/>
      <c r="F66" s="240"/>
      <c r="G66" s="306"/>
      <c r="H66" s="307">
        <f>(H63+H55)*0.1</f>
        <v>2549900</v>
      </c>
      <c r="I66" s="284"/>
    </row>
    <row r="67" spans="1:11" ht="15.95" customHeight="1">
      <c r="A67" s="304"/>
      <c r="B67" s="303" t="s">
        <v>164</v>
      </c>
      <c r="C67" s="284"/>
      <c r="D67" s="262"/>
      <c r="E67" s="239"/>
      <c r="F67" s="240"/>
      <c r="G67" s="261"/>
      <c r="H67" s="260">
        <f>H55+H63+H64+H65+H66</f>
        <v>29323850</v>
      </c>
      <c r="I67" s="262"/>
      <c r="K67" s="181"/>
    </row>
    <row r="68" spans="1:11">
      <c r="A68" s="159"/>
    </row>
  </sheetData>
  <mergeCells count="3">
    <mergeCell ref="A2:B2"/>
    <mergeCell ref="A3:A54"/>
    <mergeCell ref="A56:A62"/>
  </mergeCells>
  <phoneticPr fontId="2" type="noConversion"/>
  <printOptions horizontalCentered="1"/>
  <pageMargins left="0.39370078740157483" right="0.39370078740157483" top="0.59055118110236227" bottom="0.28000000000000003" header="0.51181102362204722" footer="0.19685039370078741"/>
  <pageSetup paperSize="9" scale="69" orientation="portrait" horizontalDpi="4294967292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K70"/>
  <sheetViews>
    <sheetView zoomScale="85" workbookViewId="0">
      <pane xSplit="2" ySplit="2" topLeftCell="C21" activePane="bottomRight" state="frozen"/>
      <selection activeCell="G33" sqref="G33:I33"/>
      <selection pane="topRight" activeCell="G33" sqref="G33:I33"/>
      <selection pane="bottomLeft" activeCell="G33" sqref="G33:I33"/>
      <selection pane="bottomRight" activeCell="M46" sqref="M46"/>
    </sheetView>
  </sheetViews>
  <sheetFormatPr defaultRowHeight="13.5"/>
  <cols>
    <col min="1" max="1" width="5" style="142" customWidth="1"/>
    <col min="2" max="2" width="17.875" style="142" bestFit="1" customWidth="1"/>
    <col min="3" max="3" width="23.625" style="142" customWidth="1"/>
    <col min="4" max="4" width="18.25" style="142" customWidth="1"/>
    <col min="5" max="5" width="5.25" style="142" bestFit="1" customWidth="1"/>
    <col min="6" max="6" width="9" style="181"/>
    <col min="7" max="7" width="11.875" style="181" customWidth="1"/>
    <col min="8" max="8" width="13.625" style="181" customWidth="1"/>
    <col min="9" max="9" width="12.75" style="142" customWidth="1"/>
    <col min="10" max="10" width="9" style="142"/>
    <col min="11" max="11" width="10" style="142" bestFit="1" customWidth="1"/>
    <col min="12" max="16384" width="9" style="142"/>
  </cols>
  <sheetData>
    <row r="1" spans="1:11" ht="22.5" customHeight="1">
      <c r="B1" s="233" t="s">
        <v>165</v>
      </c>
      <c r="C1" s="309" t="s">
        <v>372</v>
      </c>
      <c r="D1" s="235"/>
      <c r="E1" s="235"/>
      <c r="F1" s="310"/>
      <c r="G1" s="195"/>
      <c r="I1" s="142" t="s">
        <v>166</v>
      </c>
      <c r="K1" s="311"/>
    </row>
    <row r="2" spans="1:11" s="159" customFormat="1" ht="16.5" customHeight="1">
      <c r="A2" s="361" t="s">
        <v>167</v>
      </c>
      <c r="B2" s="473"/>
      <c r="C2" s="150" t="s">
        <v>168</v>
      </c>
      <c r="D2" s="143" t="s">
        <v>169</v>
      </c>
      <c r="E2" s="143" t="s">
        <v>170</v>
      </c>
      <c r="F2" s="285" t="s">
        <v>171</v>
      </c>
      <c r="G2" s="285" t="s">
        <v>172</v>
      </c>
      <c r="H2" s="285" t="s">
        <v>173</v>
      </c>
      <c r="I2" s="143" t="s">
        <v>174</v>
      </c>
    </row>
    <row r="3" spans="1:11" ht="15.95" customHeight="1">
      <c r="A3" s="474" t="s">
        <v>175</v>
      </c>
      <c r="B3" s="241" t="s">
        <v>176</v>
      </c>
      <c r="C3" s="338" t="s">
        <v>326</v>
      </c>
      <c r="D3" s="338" t="s">
        <v>348</v>
      </c>
      <c r="E3" s="338" t="s">
        <v>327</v>
      </c>
      <c r="F3" s="341">
        <v>2400</v>
      </c>
      <c r="G3" s="341">
        <v>2200</v>
      </c>
      <c r="H3" s="266">
        <f>IF(F3=0,G3,G3*F3)</f>
        <v>5280000</v>
      </c>
      <c r="I3" s="267"/>
    </row>
    <row r="4" spans="1:11" ht="15.95" customHeight="1">
      <c r="A4" s="478"/>
      <c r="B4" s="241"/>
      <c r="C4" s="330" t="s">
        <v>328</v>
      </c>
      <c r="D4" s="330" t="s">
        <v>329</v>
      </c>
      <c r="E4" s="330" t="s">
        <v>327</v>
      </c>
      <c r="F4" s="333">
        <v>150</v>
      </c>
      <c r="G4" s="333">
        <v>2200</v>
      </c>
      <c r="H4" s="192">
        <f>IF(F4=0,G4,G4*F4)</f>
        <v>330000</v>
      </c>
      <c r="I4" s="247"/>
    </row>
    <row r="5" spans="1:11" ht="15.95" customHeight="1">
      <c r="A5" s="478"/>
      <c r="B5" s="241"/>
      <c r="C5" s="330" t="s">
        <v>330</v>
      </c>
      <c r="D5" s="330" t="s">
        <v>331</v>
      </c>
      <c r="E5" s="330" t="s">
        <v>327</v>
      </c>
      <c r="F5" s="333">
        <v>70</v>
      </c>
      <c r="G5" s="333">
        <v>2300</v>
      </c>
      <c r="H5" s="192">
        <f t="shared" ref="H5:H54" si="0">IF(F5=0,G5,G5*F5)</f>
        <v>161000</v>
      </c>
      <c r="I5" s="247"/>
    </row>
    <row r="6" spans="1:11" ht="15.95" customHeight="1">
      <c r="A6" s="478"/>
      <c r="B6" s="241"/>
      <c r="C6" s="330" t="s">
        <v>332</v>
      </c>
      <c r="D6" s="330" t="s">
        <v>333</v>
      </c>
      <c r="E6" s="330" t="s">
        <v>327</v>
      </c>
      <c r="F6" s="333">
        <v>150</v>
      </c>
      <c r="G6" s="333">
        <v>2200</v>
      </c>
      <c r="H6" s="192">
        <f t="shared" si="0"/>
        <v>330000</v>
      </c>
      <c r="I6" s="247"/>
    </row>
    <row r="7" spans="1:11" ht="15.95" customHeight="1">
      <c r="A7" s="478"/>
      <c r="B7" s="241"/>
      <c r="C7" s="330" t="s">
        <v>334</v>
      </c>
      <c r="D7" s="351" t="s">
        <v>335</v>
      </c>
      <c r="E7" s="330" t="s">
        <v>327</v>
      </c>
      <c r="F7" s="333">
        <v>60</v>
      </c>
      <c r="G7" s="333">
        <v>2400</v>
      </c>
      <c r="H7" s="192">
        <f t="shared" si="0"/>
        <v>144000</v>
      </c>
      <c r="I7" s="247"/>
    </row>
    <row r="8" spans="1:11" ht="15.95" customHeight="1">
      <c r="A8" s="478"/>
      <c r="B8" s="241"/>
      <c r="C8" s="330" t="s">
        <v>336</v>
      </c>
      <c r="D8" s="330" t="s">
        <v>337</v>
      </c>
      <c r="E8" s="330" t="s">
        <v>327</v>
      </c>
      <c r="F8" s="333">
        <v>140</v>
      </c>
      <c r="G8" s="333">
        <v>2200</v>
      </c>
      <c r="H8" s="192">
        <f t="shared" si="0"/>
        <v>308000</v>
      </c>
      <c r="I8" s="247"/>
    </row>
    <row r="9" spans="1:11" ht="15.95" customHeight="1">
      <c r="A9" s="478"/>
      <c r="B9" s="241"/>
      <c r="C9" s="330" t="s">
        <v>338</v>
      </c>
      <c r="D9" s="351" t="s">
        <v>339</v>
      </c>
      <c r="E9" s="330" t="s">
        <v>327</v>
      </c>
      <c r="F9" s="333">
        <v>60</v>
      </c>
      <c r="G9" s="333">
        <v>2400</v>
      </c>
      <c r="H9" s="192">
        <v>124826</v>
      </c>
      <c r="I9" s="247"/>
    </row>
    <row r="10" spans="1:11" ht="15.95" customHeight="1">
      <c r="A10" s="478"/>
      <c r="B10" s="241"/>
      <c r="C10" s="330" t="s">
        <v>340</v>
      </c>
      <c r="D10" s="330" t="s">
        <v>341</v>
      </c>
      <c r="E10" s="330" t="s">
        <v>327</v>
      </c>
      <c r="F10" s="333">
        <v>1200</v>
      </c>
      <c r="G10" s="333">
        <v>4600</v>
      </c>
      <c r="H10" s="192">
        <f t="shared" si="0"/>
        <v>5520000</v>
      </c>
      <c r="I10" s="247"/>
    </row>
    <row r="11" spans="1:11" ht="15.95" customHeight="1">
      <c r="A11" s="478"/>
      <c r="B11" s="241"/>
      <c r="C11" s="330" t="s">
        <v>342</v>
      </c>
      <c r="D11" s="351" t="s">
        <v>343</v>
      </c>
      <c r="E11" s="330" t="s">
        <v>327</v>
      </c>
      <c r="F11" s="333">
        <v>30</v>
      </c>
      <c r="G11" s="333">
        <v>4800</v>
      </c>
      <c r="H11" s="192">
        <f t="shared" si="0"/>
        <v>144000</v>
      </c>
      <c r="I11" s="247"/>
    </row>
    <row r="12" spans="1:11" ht="15.95" customHeight="1">
      <c r="A12" s="478"/>
      <c r="B12" s="241"/>
      <c r="C12" s="330" t="s">
        <v>344</v>
      </c>
      <c r="D12" s="330" t="s">
        <v>345</v>
      </c>
      <c r="E12" s="330" t="s">
        <v>327</v>
      </c>
      <c r="F12" s="333">
        <v>120</v>
      </c>
      <c r="G12" s="333">
        <v>4800</v>
      </c>
      <c r="H12" s="192">
        <f t="shared" si="0"/>
        <v>576000</v>
      </c>
      <c r="I12" s="247"/>
    </row>
    <row r="13" spans="1:11" ht="15.95" customHeight="1">
      <c r="A13" s="478"/>
      <c r="B13" s="241"/>
      <c r="C13" s="330" t="s">
        <v>346</v>
      </c>
      <c r="D13" s="330" t="s">
        <v>347</v>
      </c>
      <c r="E13" s="330" t="s">
        <v>327</v>
      </c>
      <c r="F13" s="333">
        <v>180</v>
      </c>
      <c r="G13" s="333">
        <v>4800</v>
      </c>
      <c r="H13" s="192">
        <f t="shared" si="0"/>
        <v>864000</v>
      </c>
      <c r="I13" s="247"/>
    </row>
    <row r="14" spans="1:11" ht="15.95" customHeight="1">
      <c r="A14" s="478"/>
      <c r="B14" s="241"/>
      <c r="C14" s="330"/>
      <c r="D14" s="330"/>
      <c r="E14" s="330"/>
      <c r="F14" s="333"/>
      <c r="G14" s="333"/>
      <c r="H14" s="192">
        <f t="shared" si="0"/>
        <v>0</v>
      </c>
      <c r="I14" s="247"/>
    </row>
    <row r="15" spans="1:11" ht="15.95" customHeight="1">
      <c r="A15" s="478"/>
      <c r="B15" s="241"/>
      <c r="C15" s="330"/>
      <c r="D15" s="330"/>
      <c r="E15" s="330"/>
      <c r="F15" s="333"/>
      <c r="G15" s="333"/>
      <c r="H15" s="192">
        <f t="shared" si="0"/>
        <v>0</v>
      </c>
      <c r="I15" s="247"/>
    </row>
    <row r="16" spans="1:11" ht="15.95" customHeight="1">
      <c r="A16" s="478"/>
      <c r="B16" s="241"/>
      <c r="C16" s="330"/>
      <c r="D16" s="330"/>
      <c r="E16" s="330"/>
      <c r="F16" s="333"/>
      <c r="G16" s="333"/>
      <c r="H16" s="192">
        <f t="shared" si="0"/>
        <v>0</v>
      </c>
      <c r="I16" s="247"/>
    </row>
    <row r="17" spans="1:9" ht="15.95" customHeight="1">
      <c r="A17" s="478"/>
      <c r="B17" s="241"/>
      <c r="C17" s="330"/>
      <c r="D17" s="330"/>
      <c r="E17" s="330"/>
      <c r="F17" s="333"/>
      <c r="G17" s="333"/>
      <c r="H17" s="192">
        <f t="shared" si="0"/>
        <v>0</v>
      </c>
      <c r="I17" s="247"/>
    </row>
    <row r="18" spans="1:9" ht="15.95" customHeight="1">
      <c r="A18" s="478"/>
      <c r="B18" s="241"/>
      <c r="C18" s="330"/>
      <c r="D18" s="330"/>
      <c r="E18" s="330"/>
      <c r="F18" s="333"/>
      <c r="G18" s="333"/>
      <c r="H18" s="192">
        <f t="shared" si="0"/>
        <v>0</v>
      </c>
      <c r="I18" s="247"/>
    </row>
    <row r="19" spans="1:9" ht="15.95" customHeight="1">
      <c r="A19" s="478"/>
      <c r="B19" s="241"/>
      <c r="C19" s="330"/>
      <c r="D19" s="330"/>
      <c r="E19" s="330"/>
      <c r="F19" s="333"/>
      <c r="G19" s="333"/>
      <c r="H19" s="192">
        <f t="shared" si="0"/>
        <v>0</v>
      </c>
      <c r="I19" s="247"/>
    </row>
    <row r="20" spans="1:9" ht="15.95" customHeight="1">
      <c r="A20" s="478"/>
      <c r="B20" s="241"/>
      <c r="C20" s="330"/>
      <c r="D20" s="330"/>
      <c r="E20" s="330"/>
      <c r="F20" s="333"/>
      <c r="G20" s="333"/>
      <c r="H20" s="192">
        <f t="shared" si="0"/>
        <v>0</v>
      </c>
      <c r="I20" s="247"/>
    </row>
    <row r="21" spans="1:9" ht="15.95" customHeight="1">
      <c r="A21" s="478"/>
      <c r="B21" s="241"/>
      <c r="C21" s="330"/>
      <c r="D21" s="330"/>
      <c r="E21" s="330"/>
      <c r="F21" s="333"/>
      <c r="G21" s="333"/>
      <c r="H21" s="192">
        <f t="shared" si="0"/>
        <v>0</v>
      </c>
      <c r="I21" s="247"/>
    </row>
    <row r="22" spans="1:9" ht="15.95" customHeight="1">
      <c r="A22" s="478"/>
      <c r="B22" s="241"/>
      <c r="C22" s="330"/>
      <c r="D22" s="330"/>
      <c r="E22" s="330"/>
      <c r="F22" s="333"/>
      <c r="G22" s="333"/>
      <c r="H22" s="192">
        <f t="shared" si="0"/>
        <v>0</v>
      </c>
      <c r="I22" s="247"/>
    </row>
    <row r="23" spans="1:9" ht="15.95" customHeight="1">
      <c r="A23" s="478"/>
      <c r="B23" s="241"/>
      <c r="C23" s="334"/>
      <c r="D23" s="342"/>
      <c r="E23" s="342"/>
      <c r="F23" s="344"/>
      <c r="G23" s="344"/>
      <c r="H23" s="271">
        <f t="shared" si="0"/>
        <v>0</v>
      </c>
      <c r="I23" s="272"/>
    </row>
    <row r="24" spans="1:9" ht="15.95" customHeight="1">
      <c r="A24" s="478"/>
      <c r="B24" s="256"/>
      <c r="C24" s="279"/>
      <c r="D24" s="279"/>
      <c r="E24" s="279"/>
      <c r="F24" s="277"/>
      <c r="G24" s="277"/>
      <c r="H24" s="278">
        <f>SUM(H3:H23)</f>
        <v>13781826</v>
      </c>
      <c r="I24" s="279"/>
    </row>
    <row r="25" spans="1:9" ht="15.95" customHeight="1">
      <c r="A25" s="478"/>
      <c r="B25" s="241" t="s">
        <v>177</v>
      </c>
      <c r="C25" s="242"/>
      <c r="D25" s="242"/>
      <c r="E25" s="242"/>
      <c r="F25" s="243"/>
      <c r="G25" s="243"/>
      <c r="H25" s="244">
        <f t="shared" si="0"/>
        <v>0</v>
      </c>
      <c r="I25" s="245"/>
    </row>
    <row r="26" spans="1:9" ht="15.95" customHeight="1">
      <c r="A26" s="478"/>
      <c r="B26" s="241" t="s">
        <v>178</v>
      </c>
      <c r="C26" s="246"/>
      <c r="D26" s="246"/>
      <c r="E26" s="246"/>
      <c r="F26" s="250"/>
      <c r="G26" s="250"/>
      <c r="H26" s="192">
        <f t="shared" si="0"/>
        <v>0</v>
      </c>
      <c r="I26" s="247"/>
    </row>
    <row r="27" spans="1:9" ht="15.95" customHeight="1">
      <c r="A27" s="478"/>
      <c r="B27" s="241"/>
      <c r="C27" s="246"/>
      <c r="D27" s="246"/>
      <c r="E27" s="246"/>
      <c r="F27" s="250"/>
      <c r="G27" s="250"/>
      <c r="H27" s="192">
        <f t="shared" si="0"/>
        <v>0</v>
      </c>
      <c r="I27" s="247"/>
    </row>
    <row r="28" spans="1:9" ht="15.95" customHeight="1">
      <c r="A28" s="478"/>
      <c r="B28" s="241"/>
      <c r="C28" s="246"/>
      <c r="D28" s="246"/>
      <c r="E28" s="246"/>
      <c r="F28" s="250"/>
      <c r="G28" s="250"/>
      <c r="H28" s="192">
        <f t="shared" si="0"/>
        <v>0</v>
      </c>
      <c r="I28" s="247"/>
    </row>
    <row r="29" spans="1:9" ht="15.95" customHeight="1">
      <c r="A29" s="478"/>
      <c r="B29" s="241"/>
      <c r="C29" s="251"/>
      <c r="D29" s="251"/>
      <c r="E29" s="251"/>
      <c r="F29" s="254"/>
      <c r="G29" s="254"/>
      <c r="H29" s="192">
        <f t="shared" si="0"/>
        <v>0</v>
      </c>
      <c r="I29" s="255"/>
    </row>
    <row r="30" spans="1:9" ht="15.95" customHeight="1">
      <c r="A30" s="478"/>
      <c r="B30" s="256"/>
      <c r="C30" s="257"/>
      <c r="D30" s="258"/>
      <c r="E30" s="258"/>
      <c r="F30" s="312"/>
      <c r="G30" s="260"/>
      <c r="H30" s="261">
        <f>SUM(H25:H29)</f>
        <v>0</v>
      </c>
      <c r="I30" s="262"/>
    </row>
    <row r="31" spans="1:9" ht="15.95" customHeight="1">
      <c r="A31" s="478"/>
      <c r="B31" s="280" t="s">
        <v>179</v>
      </c>
      <c r="C31" s="330" t="s">
        <v>349</v>
      </c>
      <c r="D31" s="330"/>
      <c r="E31" s="330"/>
      <c r="F31" s="333"/>
      <c r="G31" s="333"/>
      <c r="H31" s="323">
        <v>700000</v>
      </c>
      <c r="I31" s="323"/>
    </row>
    <row r="32" spans="1:9" ht="15.95" customHeight="1">
      <c r="A32" s="478"/>
      <c r="B32" s="241" t="s">
        <v>180</v>
      </c>
      <c r="C32" s="351" t="s">
        <v>364</v>
      </c>
      <c r="D32" s="351"/>
      <c r="E32" s="330"/>
      <c r="F32" s="333"/>
      <c r="G32" s="333"/>
      <c r="H32" s="324">
        <v>800000</v>
      </c>
      <c r="I32" s="324"/>
    </row>
    <row r="33" spans="1:9" ht="15.95" customHeight="1">
      <c r="A33" s="478"/>
      <c r="B33" s="241"/>
      <c r="C33" s="351" t="s">
        <v>350</v>
      </c>
      <c r="D33" s="351"/>
      <c r="E33" s="330"/>
      <c r="F33" s="333"/>
      <c r="G33" s="333"/>
      <c r="H33" s="324">
        <v>2400000</v>
      </c>
      <c r="I33" s="324"/>
    </row>
    <row r="34" spans="1:9" ht="15.95" customHeight="1">
      <c r="A34" s="478"/>
      <c r="B34" s="241"/>
      <c r="C34" s="330" t="s">
        <v>351</v>
      </c>
      <c r="D34" s="330"/>
      <c r="E34" s="330"/>
      <c r="F34" s="333"/>
      <c r="G34" s="333"/>
      <c r="H34" s="324">
        <v>3400000</v>
      </c>
      <c r="I34" s="324"/>
    </row>
    <row r="35" spans="1:9" ht="15.95" customHeight="1">
      <c r="A35" s="478"/>
      <c r="B35" s="241"/>
      <c r="C35" s="330" t="s">
        <v>352</v>
      </c>
      <c r="D35" s="330"/>
      <c r="E35" s="330" t="s">
        <v>353</v>
      </c>
      <c r="F35" s="333">
        <v>4</v>
      </c>
      <c r="G35" s="333"/>
      <c r="H35" s="324">
        <v>3400000</v>
      </c>
      <c r="I35" s="324"/>
    </row>
    <row r="36" spans="1:9" ht="15.95" customHeight="1">
      <c r="A36" s="478"/>
      <c r="B36" s="241"/>
      <c r="C36" s="330" t="s">
        <v>354</v>
      </c>
      <c r="D36" s="330"/>
      <c r="E36" s="330"/>
      <c r="F36" s="333"/>
      <c r="G36" s="333"/>
      <c r="H36" s="324">
        <v>700000</v>
      </c>
      <c r="I36" s="324"/>
    </row>
    <row r="37" spans="1:9" ht="15.95" customHeight="1">
      <c r="A37" s="478"/>
      <c r="B37" s="241"/>
      <c r="C37" s="330" t="s">
        <v>355</v>
      </c>
      <c r="D37" s="330"/>
      <c r="E37" s="330" t="s">
        <v>353</v>
      </c>
      <c r="F37" s="333">
        <v>5</v>
      </c>
      <c r="G37" s="333"/>
      <c r="H37" s="324">
        <v>8700000</v>
      </c>
      <c r="I37" s="324"/>
    </row>
    <row r="38" spans="1:9" ht="15.95" customHeight="1">
      <c r="A38" s="478"/>
      <c r="B38" s="241"/>
      <c r="C38" s="330" t="s">
        <v>356</v>
      </c>
      <c r="D38" s="330"/>
      <c r="E38" s="330"/>
      <c r="F38" s="333"/>
      <c r="G38" s="333"/>
      <c r="H38" s="324">
        <v>600000</v>
      </c>
      <c r="I38" s="324"/>
    </row>
    <row r="39" spans="1:9" ht="15.95" customHeight="1">
      <c r="A39" s="478"/>
      <c r="B39" s="241"/>
      <c r="C39" s="330" t="s">
        <v>366</v>
      </c>
      <c r="D39" s="330"/>
      <c r="E39" s="330"/>
      <c r="F39" s="333">
        <v>1</v>
      </c>
      <c r="G39" s="333"/>
      <c r="H39" s="324">
        <v>800000</v>
      </c>
      <c r="I39" s="324"/>
    </row>
    <row r="40" spans="1:9" ht="15.95" customHeight="1">
      <c r="A40" s="478"/>
      <c r="B40" s="241"/>
      <c r="C40" s="330" t="s">
        <v>357</v>
      </c>
      <c r="D40" s="330"/>
      <c r="E40" s="330"/>
      <c r="F40" s="333"/>
      <c r="G40" s="333"/>
      <c r="H40" s="324">
        <v>1800000</v>
      </c>
      <c r="I40" s="324"/>
    </row>
    <row r="41" spans="1:9" ht="15.95" customHeight="1">
      <c r="A41" s="478"/>
      <c r="B41" s="241"/>
      <c r="C41" s="330" t="s">
        <v>358</v>
      </c>
      <c r="D41" s="330"/>
      <c r="E41" s="330"/>
      <c r="F41" s="333"/>
      <c r="G41" s="333"/>
      <c r="H41" s="324">
        <v>2100000</v>
      </c>
      <c r="I41" s="324"/>
    </row>
    <row r="42" spans="1:9" ht="15.95" customHeight="1">
      <c r="A42" s="478"/>
      <c r="B42" s="241"/>
      <c r="C42" s="330" t="s">
        <v>359</v>
      </c>
      <c r="D42" s="330"/>
      <c r="E42" s="330"/>
      <c r="F42" s="333"/>
      <c r="G42" s="333"/>
      <c r="H42" s="324">
        <v>600000</v>
      </c>
      <c r="I42" s="324"/>
    </row>
    <row r="43" spans="1:9" ht="15.95" customHeight="1">
      <c r="A43" s="478"/>
      <c r="B43" s="241"/>
      <c r="C43" s="330" t="s">
        <v>360</v>
      </c>
      <c r="D43" s="330"/>
      <c r="E43" s="330"/>
      <c r="F43" s="333"/>
      <c r="G43" s="333"/>
      <c r="H43" s="324">
        <v>3400000</v>
      </c>
      <c r="I43" s="324"/>
    </row>
    <row r="44" spans="1:9" ht="15.95" customHeight="1">
      <c r="A44" s="478"/>
      <c r="B44" s="241"/>
      <c r="C44" s="330"/>
      <c r="D44" s="330"/>
      <c r="E44" s="330"/>
      <c r="F44" s="333"/>
      <c r="G44" s="333"/>
      <c r="H44" s="324"/>
      <c r="I44" s="324"/>
    </row>
    <row r="45" spans="1:9" ht="15.95" customHeight="1">
      <c r="A45" s="478"/>
      <c r="B45" s="241"/>
      <c r="C45" s="330"/>
      <c r="D45" s="330"/>
      <c r="E45" s="330"/>
      <c r="F45" s="333"/>
      <c r="G45" s="333"/>
      <c r="H45" s="324">
        <f>F45*G45</f>
        <v>0</v>
      </c>
      <c r="I45" s="324"/>
    </row>
    <row r="46" spans="1:9" ht="15.95" customHeight="1">
      <c r="A46" s="478"/>
      <c r="B46" s="241"/>
      <c r="C46" s="334"/>
      <c r="D46" s="334"/>
      <c r="E46" s="334"/>
      <c r="F46" s="337"/>
      <c r="G46" s="337"/>
      <c r="H46" s="281">
        <f t="shared" si="0"/>
        <v>0</v>
      </c>
      <c r="I46" s="255"/>
    </row>
    <row r="47" spans="1:9" ht="15.95" customHeight="1">
      <c r="A47" s="478"/>
      <c r="B47" s="256"/>
      <c r="C47" s="257"/>
      <c r="D47" s="258"/>
      <c r="E47" s="258"/>
      <c r="F47" s="260"/>
      <c r="G47" s="260"/>
      <c r="H47" s="261">
        <f>SUM(H31:H46)</f>
        <v>29400000</v>
      </c>
      <c r="I47" s="262"/>
    </row>
    <row r="48" spans="1:9" ht="15.95" customHeight="1">
      <c r="A48" s="478"/>
      <c r="B48" s="280" t="s">
        <v>48</v>
      </c>
      <c r="C48" s="330" t="s">
        <v>373</v>
      </c>
      <c r="D48" s="330"/>
      <c r="E48" s="330"/>
      <c r="F48" s="333">
        <v>2</v>
      </c>
      <c r="G48" s="333"/>
      <c r="H48" s="324">
        <v>7000000</v>
      </c>
      <c r="I48" s="267"/>
    </row>
    <row r="49" spans="1:9" ht="15.95" customHeight="1">
      <c r="A49" s="478"/>
      <c r="B49" s="241"/>
      <c r="C49" s="330" t="s">
        <v>361</v>
      </c>
      <c r="D49" s="330"/>
      <c r="E49" s="330"/>
      <c r="F49" s="333">
        <v>2</v>
      </c>
      <c r="G49" s="333">
        <v>1200000</v>
      </c>
      <c r="H49" s="324">
        <f>F49*G49</f>
        <v>2400000</v>
      </c>
      <c r="I49" s="247"/>
    </row>
    <row r="50" spans="1:9" ht="15.95" customHeight="1">
      <c r="A50" s="478"/>
      <c r="B50" s="241"/>
      <c r="C50" s="330" t="s">
        <v>365</v>
      </c>
      <c r="D50" s="330"/>
      <c r="E50" s="330"/>
      <c r="F50" s="333"/>
      <c r="G50" s="333"/>
      <c r="H50" s="324">
        <v>6000000</v>
      </c>
      <c r="I50" s="247"/>
    </row>
    <row r="51" spans="1:9" ht="15.95" customHeight="1">
      <c r="A51" s="478"/>
      <c r="B51" s="241"/>
      <c r="C51" s="330" t="s">
        <v>362</v>
      </c>
      <c r="D51" s="330" t="s">
        <v>363</v>
      </c>
      <c r="E51" s="330"/>
      <c r="F51" s="333">
        <v>1</v>
      </c>
      <c r="G51" s="333"/>
      <c r="H51" s="324">
        <v>800000</v>
      </c>
      <c r="I51" s="247"/>
    </row>
    <row r="52" spans="1:9" ht="15.95" customHeight="1">
      <c r="A52" s="478"/>
      <c r="B52" s="241"/>
      <c r="C52" s="330" t="s">
        <v>374</v>
      </c>
      <c r="D52" s="330"/>
      <c r="E52" s="330"/>
      <c r="F52" s="333"/>
      <c r="G52" s="333"/>
      <c r="H52" s="192">
        <v>1600000</v>
      </c>
      <c r="I52" s="247"/>
    </row>
    <row r="53" spans="1:9" ht="15.95" customHeight="1">
      <c r="A53" s="478"/>
      <c r="B53" s="241"/>
      <c r="C53" s="330"/>
      <c r="D53" s="330"/>
      <c r="E53" s="330"/>
      <c r="F53" s="333"/>
      <c r="G53" s="333"/>
      <c r="H53" s="192">
        <f t="shared" si="0"/>
        <v>0</v>
      </c>
      <c r="I53" s="247"/>
    </row>
    <row r="54" spans="1:9" ht="15.95" customHeight="1">
      <c r="A54" s="478"/>
      <c r="B54" s="241"/>
      <c r="C54" s="334"/>
      <c r="D54" s="334"/>
      <c r="E54" s="334"/>
      <c r="F54" s="337"/>
      <c r="G54" s="337"/>
      <c r="H54" s="281">
        <f t="shared" si="0"/>
        <v>0</v>
      </c>
      <c r="I54" s="255"/>
    </row>
    <row r="55" spans="1:9" ht="15.95" customHeight="1">
      <c r="A55" s="478"/>
      <c r="B55" s="256"/>
      <c r="C55" s="257"/>
      <c r="D55" s="258"/>
      <c r="E55" s="258"/>
      <c r="F55" s="260"/>
      <c r="G55" s="260"/>
      <c r="H55" s="261">
        <f>SUM(H48:H54)</f>
        <v>17800000</v>
      </c>
      <c r="I55" s="262"/>
    </row>
    <row r="56" spans="1:9" ht="15.95" customHeight="1">
      <c r="A56" s="282"/>
      <c r="B56" s="283" t="s">
        <v>149</v>
      </c>
      <c r="C56" s="284"/>
      <c r="D56" s="262"/>
      <c r="E56" s="262"/>
      <c r="F56" s="286"/>
      <c r="G56" s="286"/>
      <c r="H56" s="261">
        <f>SUM(H55,H47,H30,H24)</f>
        <v>60981826</v>
      </c>
      <c r="I56" s="262"/>
    </row>
    <row r="57" spans="1:9" ht="15.95" customHeight="1">
      <c r="A57" s="474" t="s">
        <v>150</v>
      </c>
      <c r="B57" s="287" t="s">
        <v>151</v>
      </c>
      <c r="C57" s="284" t="s">
        <v>181</v>
      </c>
      <c r="D57" s="288"/>
      <c r="E57" s="313" t="s">
        <v>76</v>
      </c>
      <c r="F57" s="341"/>
      <c r="G57" s="341"/>
      <c r="H57" s="290">
        <f>F57*G57</f>
        <v>0</v>
      </c>
      <c r="I57" s="262"/>
    </row>
    <row r="58" spans="1:9" ht="15.95" customHeight="1">
      <c r="A58" s="478"/>
      <c r="B58" s="291" t="s">
        <v>182</v>
      </c>
      <c r="C58" s="292"/>
      <c r="D58" s="293"/>
      <c r="E58" s="314" t="s">
        <v>153</v>
      </c>
      <c r="F58" s="341">
        <v>30</v>
      </c>
      <c r="G58" s="341">
        <v>150000</v>
      </c>
      <c r="H58" s="266">
        <f t="shared" ref="H58:H64" si="1">F58*G58</f>
        <v>4500000</v>
      </c>
      <c r="I58" s="267"/>
    </row>
    <row r="59" spans="1:9" ht="15.95" customHeight="1">
      <c r="A59" s="478"/>
      <c r="B59" s="295" t="s">
        <v>183</v>
      </c>
      <c r="C59" s="296"/>
      <c r="D59" s="297"/>
      <c r="E59" s="315" t="s">
        <v>153</v>
      </c>
      <c r="F59" s="333">
        <v>290</v>
      </c>
      <c r="G59" s="333">
        <v>150000</v>
      </c>
      <c r="H59" s="192">
        <f t="shared" si="1"/>
        <v>43500000</v>
      </c>
      <c r="I59" s="247"/>
    </row>
    <row r="60" spans="1:9" ht="15.95" customHeight="1">
      <c r="A60" s="478"/>
      <c r="B60" s="295" t="s">
        <v>184</v>
      </c>
      <c r="C60" s="296"/>
      <c r="D60" s="297"/>
      <c r="E60" s="315" t="s">
        <v>153</v>
      </c>
      <c r="F60" s="333">
        <v>15</v>
      </c>
      <c r="G60" s="333">
        <v>150000</v>
      </c>
      <c r="H60" s="192">
        <f t="shared" si="1"/>
        <v>2250000</v>
      </c>
      <c r="I60" s="247"/>
    </row>
    <row r="61" spans="1:9" ht="15.95" customHeight="1">
      <c r="A61" s="478"/>
      <c r="B61" s="295" t="s">
        <v>185</v>
      </c>
      <c r="C61" s="296"/>
      <c r="D61" s="297"/>
      <c r="E61" s="315" t="s">
        <v>153</v>
      </c>
      <c r="F61" s="333">
        <v>15</v>
      </c>
      <c r="G61" s="333">
        <v>150000</v>
      </c>
      <c r="H61" s="192">
        <f t="shared" si="1"/>
        <v>2250000</v>
      </c>
      <c r="I61" s="247"/>
    </row>
    <row r="62" spans="1:9" ht="15.95" customHeight="1">
      <c r="A62" s="478"/>
      <c r="B62" s="295" t="s">
        <v>186</v>
      </c>
      <c r="C62" s="296"/>
      <c r="D62" s="297"/>
      <c r="E62" s="315" t="s">
        <v>153</v>
      </c>
      <c r="F62" s="333">
        <v>15</v>
      </c>
      <c r="G62" s="333">
        <v>150000</v>
      </c>
      <c r="H62" s="192">
        <f t="shared" si="1"/>
        <v>2250000</v>
      </c>
      <c r="I62" s="247"/>
    </row>
    <row r="63" spans="1:9" ht="15.95" customHeight="1">
      <c r="A63" s="478"/>
      <c r="B63" s="295" t="s">
        <v>187</v>
      </c>
      <c r="C63" s="296"/>
      <c r="D63" s="297"/>
      <c r="E63" s="315" t="s">
        <v>153</v>
      </c>
      <c r="F63" s="333">
        <v>10</v>
      </c>
      <c r="G63" s="333">
        <v>150000</v>
      </c>
      <c r="H63" s="192">
        <f t="shared" si="1"/>
        <v>1500000</v>
      </c>
      <c r="I63" s="247"/>
    </row>
    <row r="64" spans="1:9" ht="15.95" customHeight="1">
      <c r="A64" s="478"/>
      <c r="B64" s="299" t="s">
        <v>188</v>
      </c>
      <c r="C64" s="300"/>
      <c r="D64" s="301"/>
      <c r="E64" s="316" t="s">
        <v>153</v>
      </c>
      <c r="F64" s="337">
        <v>15</v>
      </c>
      <c r="G64" s="337">
        <v>150000</v>
      </c>
      <c r="H64" s="281">
        <f t="shared" si="1"/>
        <v>2250000</v>
      </c>
      <c r="I64" s="255"/>
    </row>
    <row r="65" spans="1:9" ht="15.95" customHeight="1">
      <c r="A65" s="282"/>
      <c r="B65" s="303" t="s">
        <v>159</v>
      </c>
      <c r="C65" s="284"/>
      <c r="D65" s="262"/>
      <c r="E65" s="262"/>
      <c r="F65" s="260"/>
      <c r="G65" s="260"/>
      <c r="H65" s="260">
        <f>SUM(H57:H64)</f>
        <v>58500000</v>
      </c>
      <c r="I65" s="258"/>
    </row>
    <row r="66" spans="1:9" ht="15.95" customHeight="1">
      <c r="A66" s="304"/>
      <c r="B66" s="303" t="s">
        <v>189</v>
      </c>
      <c r="C66" s="284"/>
      <c r="D66" s="262"/>
      <c r="E66" s="262"/>
      <c r="F66" s="261"/>
      <c r="G66" s="261"/>
      <c r="H66" s="286">
        <f>'단위공사별(집계)'!I7+'단위공사별(집계)'!L7</f>
        <v>1001000</v>
      </c>
      <c r="I66" s="262"/>
    </row>
    <row r="67" spans="1:9" ht="15.95" customHeight="1">
      <c r="A67" s="304"/>
      <c r="B67" s="303" t="s">
        <v>162</v>
      </c>
      <c r="C67" s="284"/>
      <c r="D67" s="262"/>
      <c r="E67" s="262"/>
      <c r="F67" s="261"/>
      <c r="G67" s="306"/>
      <c r="H67" s="307">
        <f>(H65+H56)*0.05</f>
        <v>5974091.3000000007</v>
      </c>
      <c r="I67" s="284"/>
    </row>
    <row r="68" spans="1:9" ht="15.95" customHeight="1">
      <c r="A68" s="304"/>
      <c r="B68" s="303" t="s">
        <v>163</v>
      </c>
      <c r="C68" s="284"/>
      <c r="D68" s="262"/>
      <c r="E68" s="262"/>
      <c r="F68" s="261"/>
      <c r="G68" s="306"/>
      <c r="H68" s="307">
        <f>(H65+H56)*0.1</f>
        <v>11948182.600000001</v>
      </c>
      <c r="I68" s="284"/>
    </row>
    <row r="69" spans="1:9" ht="15.95" customHeight="1">
      <c r="A69" s="304"/>
      <c r="B69" s="303" t="s">
        <v>164</v>
      </c>
      <c r="C69" s="284"/>
      <c r="D69" s="262"/>
      <c r="E69" s="262"/>
      <c r="F69" s="261"/>
      <c r="G69" s="261"/>
      <c r="H69" s="260">
        <f>H56+H65+H66+H67+H68</f>
        <v>138405099.90000001</v>
      </c>
      <c r="I69" s="262"/>
    </row>
    <row r="70" spans="1:9">
      <c r="A70" s="159"/>
    </row>
  </sheetData>
  <mergeCells count="3">
    <mergeCell ref="A2:B2"/>
    <mergeCell ref="A3:A55"/>
    <mergeCell ref="A57:A64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verticalDpi="1200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I70"/>
  <sheetViews>
    <sheetView zoomScale="85" workbookViewId="0">
      <pane xSplit="2" ySplit="2" topLeftCell="C36" activePane="bottomRight" state="frozen"/>
      <selection activeCell="G33" sqref="G33:I33"/>
      <selection pane="topRight" activeCell="G33" sqref="G33:I33"/>
      <selection pane="bottomLeft" activeCell="G33" sqref="G33:I33"/>
      <selection pane="bottomRight" activeCell="G33" sqref="G33:I33"/>
    </sheetView>
  </sheetViews>
  <sheetFormatPr defaultRowHeight="13.5"/>
  <cols>
    <col min="1" max="1" width="5" style="142" customWidth="1"/>
    <col min="2" max="2" width="17.875" style="142" bestFit="1" customWidth="1"/>
    <col min="3" max="3" width="23.625" style="142" customWidth="1"/>
    <col min="4" max="4" width="18.25" style="142" customWidth="1"/>
    <col min="5" max="5" width="5.25" style="142" bestFit="1" customWidth="1"/>
    <col min="6" max="6" width="9" style="181"/>
    <col min="7" max="7" width="11.875" style="181" customWidth="1"/>
    <col min="8" max="8" width="13.625" style="181" customWidth="1"/>
    <col min="9" max="9" width="12.75" style="142" customWidth="1"/>
    <col min="10" max="16384" width="9" style="142"/>
  </cols>
  <sheetData>
    <row r="1" spans="1:9" ht="22.5" customHeight="1">
      <c r="B1" s="233" t="s">
        <v>165</v>
      </c>
      <c r="C1" s="309"/>
      <c r="D1" s="235"/>
      <c r="E1" s="235"/>
      <c r="F1" s="310"/>
      <c r="G1" s="195"/>
      <c r="I1" s="142" t="s">
        <v>166</v>
      </c>
    </row>
    <row r="2" spans="1:9" s="159" customFormat="1" ht="16.5" customHeight="1">
      <c r="A2" s="361" t="s">
        <v>167</v>
      </c>
      <c r="B2" s="473"/>
      <c r="C2" s="150" t="s">
        <v>168</v>
      </c>
      <c r="D2" s="143" t="s">
        <v>169</v>
      </c>
      <c r="E2" s="143" t="s">
        <v>170</v>
      </c>
      <c r="F2" s="285" t="s">
        <v>171</v>
      </c>
      <c r="G2" s="285" t="s">
        <v>172</v>
      </c>
      <c r="H2" s="285" t="s">
        <v>173</v>
      </c>
      <c r="I2" s="143" t="s">
        <v>174</v>
      </c>
    </row>
    <row r="3" spans="1:9" ht="15.95" customHeight="1">
      <c r="A3" s="474" t="s">
        <v>175</v>
      </c>
      <c r="B3" s="241" t="s">
        <v>176</v>
      </c>
      <c r="C3" s="264"/>
      <c r="D3" s="264"/>
      <c r="E3" s="264"/>
      <c r="F3" s="265"/>
      <c r="G3" s="265"/>
      <c r="H3" s="266">
        <f>IF(F3=0,G3,G3*F3)</f>
        <v>0</v>
      </c>
      <c r="I3" s="267"/>
    </row>
    <row r="4" spans="1:9" ht="15.95" customHeight="1">
      <c r="A4" s="478"/>
      <c r="B4" s="241"/>
      <c r="C4" s="246"/>
      <c r="D4" s="246"/>
      <c r="E4" s="246"/>
      <c r="F4" s="250"/>
      <c r="G4" s="250"/>
      <c r="H4" s="192">
        <f>IF(F4=0,G4,G4*F4)</f>
        <v>0</v>
      </c>
      <c r="I4" s="247"/>
    </row>
    <row r="5" spans="1:9" ht="15.95" customHeight="1">
      <c r="A5" s="478"/>
      <c r="B5" s="241"/>
      <c r="C5" s="246"/>
      <c r="D5" s="246"/>
      <c r="E5" s="246"/>
      <c r="F5" s="250"/>
      <c r="G5" s="250"/>
      <c r="H5" s="192">
        <f t="shared" ref="H5:H54" si="0">IF(F5=0,G5,G5*F5)</f>
        <v>0</v>
      </c>
      <c r="I5" s="247"/>
    </row>
    <row r="6" spans="1:9" ht="15.95" customHeight="1">
      <c r="A6" s="478"/>
      <c r="B6" s="241"/>
      <c r="C6" s="246"/>
      <c r="D6" s="246"/>
      <c r="E6" s="246"/>
      <c r="F6" s="250"/>
      <c r="G6" s="250"/>
      <c r="H6" s="192">
        <f t="shared" si="0"/>
        <v>0</v>
      </c>
      <c r="I6" s="247"/>
    </row>
    <row r="7" spans="1:9" ht="15.95" customHeight="1">
      <c r="A7" s="478"/>
      <c r="B7" s="241"/>
      <c r="C7" s="246"/>
      <c r="D7" s="246"/>
      <c r="E7" s="246"/>
      <c r="F7" s="250"/>
      <c r="G7" s="250"/>
      <c r="H7" s="192">
        <f t="shared" si="0"/>
        <v>0</v>
      </c>
      <c r="I7" s="247"/>
    </row>
    <row r="8" spans="1:9" ht="15.95" customHeight="1">
      <c r="A8" s="478"/>
      <c r="B8" s="241"/>
      <c r="C8" s="246"/>
      <c r="D8" s="246"/>
      <c r="E8" s="246"/>
      <c r="F8" s="250"/>
      <c r="G8" s="250"/>
      <c r="H8" s="192">
        <f t="shared" si="0"/>
        <v>0</v>
      </c>
      <c r="I8" s="247"/>
    </row>
    <row r="9" spans="1:9" ht="15.95" customHeight="1">
      <c r="A9" s="478"/>
      <c r="B9" s="241"/>
      <c r="C9" s="246"/>
      <c r="D9" s="246"/>
      <c r="E9" s="246"/>
      <c r="F9" s="250"/>
      <c r="G9" s="250"/>
      <c r="H9" s="192">
        <f t="shared" si="0"/>
        <v>0</v>
      </c>
      <c r="I9" s="247"/>
    </row>
    <row r="10" spans="1:9" ht="15.95" customHeight="1">
      <c r="A10" s="478"/>
      <c r="B10" s="241"/>
      <c r="C10" s="246"/>
      <c r="D10" s="246"/>
      <c r="E10" s="246"/>
      <c r="F10" s="250"/>
      <c r="G10" s="250"/>
      <c r="H10" s="192">
        <f t="shared" si="0"/>
        <v>0</v>
      </c>
      <c r="I10" s="247"/>
    </row>
    <row r="11" spans="1:9" ht="15.95" customHeight="1">
      <c r="A11" s="478"/>
      <c r="B11" s="241"/>
      <c r="C11" s="246"/>
      <c r="D11" s="246"/>
      <c r="E11" s="246"/>
      <c r="F11" s="250"/>
      <c r="G11" s="250"/>
      <c r="H11" s="192">
        <f t="shared" si="0"/>
        <v>0</v>
      </c>
      <c r="I11" s="247"/>
    </row>
    <row r="12" spans="1:9" ht="15.95" customHeight="1">
      <c r="A12" s="478"/>
      <c r="B12" s="241"/>
      <c r="C12" s="246"/>
      <c r="D12" s="246"/>
      <c r="E12" s="246"/>
      <c r="F12" s="250"/>
      <c r="G12" s="250"/>
      <c r="H12" s="192">
        <f t="shared" si="0"/>
        <v>0</v>
      </c>
      <c r="I12" s="247"/>
    </row>
    <row r="13" spans="1:9" ht="15.95" customHeight="1">
      <c r="A13" s="478"/>
      <c r="B13" s="241"/>
      <c r="C13" s="246"/>
      <c r="D13" s="246"/>
      <c r="E13" s="246"/>
      <c r="F13" s="250"/>
      <c r="G13" s="250"/>
      <c r="H13" s="192">
        <f t="shared" si="0"/>
        <v>0</v>
      </c>
      <c r="I13" s="247"/>
    </row>
    <row r="14" spans="1:9" ht="15.95" customHeight="1">
      <c r="A14" s="478"/>
      <c r="B14" s="241"/>
      <c r="C14" s="246"/>
      <c r="D14" s="246"/>
      <c r="E14" s="246"/>
      <c r="F14" s="250"/>
      <c r="G14" s="250"/>
      <c r="H14" s="192">
        <f t="shared" si="0"/>
        <v>0</v>
      </c>
      <c r="I14" s="247"/>
    </row>
    <row r="15" spans="1:9" ht="15.95" customHeight="1">
      <c r="A15" s="478"/>
      <c r="B15" s="241"/>
      <c r="C15" s="246"/>
      <c r="D15" s="246"/>
      <c r="E15" s="246"/>
      <c r="F15" s="250"/>
      <c r="G15" s="250"/>
      <c r="H15" s="192">
        <f t="shared" si="0"/>
        <v>0</v>
      </c>
      <c r="I15" s="247"/>
    </row>
    <row r="16" spans="1:9" ht="15.95" customHeight="1">
      <c r="A16" s="478"/>
      <c r="B16" s="241"/>
      <c r="C16" s="246"/>
      <c r="D16" s="246"/>
      <c r="E16" s="246"/>
      <c r="F16" s="250"/>
      <c r="G16" s="250"/>
      <c r="H16" s="192">
        <f t="shared" si="0"/>
        <v>0</v>
      </c>
      <c r="I16" s="247"/>
    </row>
    <row r="17" spans="1:9" ht="15.95" customHeight="1">
      <c r="A17" s="478"/>
      <c r="B17" s="241"/>
      <c r="C17" s="246"/>
      <c r="D17" s="246"/>
      <c r="E17" s="246"/>
      <c r="F17" s="250"/>
      <c r="G17" s="250"/>
      <c r="H17" s="192">
        <f t="shared" si="0"/>
        <v>0</v>
      </c>
      <c r="I17" s="247"/>
    </row>
    <row r="18" spans="1:9" ht="15.95" customHeight="1">
      <c r="A18" s="478"/>
      <c r="B18" s="241"/>
      <c r="C18" s="246"/>
      <c r="D18" s="246"/>
      <c r="E18" s="246"/>
      <c r="F18" s="250"/>
      <c r="G18" s="250"/>
      <c r="H18" s="192">
        <f t="shared" si="0"/>
        <v>0</v>
      </c>
      <c r="I18" s="247"/>
    </row>
    <row r="19" spans="1:9" ht="15.95" customHeight="1">
      <c r="A19" s="478"/>
      <c r="B19" s="241"/>
      <c r="C19" s="246"/>
      <c r="D19" s="246"/>
      <c r="E19" s="246"/>
      <c r="F19" s="250"/>
      <c r="G19" s="250"/>
      <c r="H19" s="192">
        <f t="shared" si="0"/>
        <v>0</v>
      </c>
      <c r="I19" s="247"/>
    </row>
    <row r="20" spans="1:9" ht="15.95" customHeight="1">
      <c r="A20" s="478"/>
      <c r="B20" s="241"/>
      <c r="C20" s="246"/>
      <c r="D20" s="246"/>
      <c r="E20" s="246"/>
      <c r="F20" s="250"/>
      <c r="G20" s="250"/>
      <c r="H20" s="192">
        <f t="shared" si="0"/>
        <v>0</v>
      </c>
      <c r="I20" s="247"/>
    </row>
    <row r="21" spans="1:9" ht="15.95" customHeight="1">
      <c r="A21" s="478"/>
      <c r="B21" s="241"/>
      <c r="C21" s="246"/>
      <c r="D21" s="246"/>
      <c r="E21" s="246"/>
      <c r="F21" s="250"/>
      <c r="G21" s="250"/>
      <c r="H21" s="192">
        <f t="shared" si="0"/>
        <v>0</v>
      </c>
      <c r="I21" s="247"/>
    </row>
    <row r="22" spans="1:9" ht="15.95" customHeight="1">
      <c r="A22" s="478"/>
      <c r="B22" s="241"/>
      <c r="C22" s="246"/>
      <c r="D22" s="246"/>
      <c r="E22" s="246"/>
      <c r="F22" s="250"/>
      <c r="G22" s="250"/>
      <c r="H22" s="192">
        <f t="shared" si="0"/>
        <v>0</v>
      </c>
      <c r="I22" s="247"/>
    </row>
    <row r="23" spans="1:9" ht="15.95" customHeight="1">
      <c r="A23" s="478"/>
      <c r="B23" s="241"/>
      <c r="C23" s="251"/>
      <c r="D23" s="269"/>
      <c r="E23" s="269"/>
      <c r="F23" s="270"/>
      <c r="G23" s="270"/>
      <c r="H23" s="271">
        <f t="shared" si="0"/>
        <v>0</v>
      </c>
      <c r="I23" s="272"/>
    </row>
    <row r="24" spans="1:9" ht="15.95" customHeight="1">
      <c r="A24" s="478"/>
      <c r="B24" s="256"/>
      <c r="C24" s="279"/>
      <c r="D24" s="279"/>
      <c r="E24" s="279"/>
      <c r="F24" s="277"/>
      <c r="G24" s="277"/>
      <c r="H24" s="278">
        <f>SUM(H3:H23)</f>
        <v>0</v>
      </c>
      <c r="I24" s="279"/>
    </row>
    <row r="25" spans="1:9" ht="15.95" customHeight="1">
      <c r="A25" s="478"/>
      <c r="B25" s="241" t="s">
        <v>177</v>
      </c>
      <c r="C25" s="242"/>
      <c r="D25" s="242"/>
      <c r="E25" s="242"/>
      <c r="F25" s="243"/>
      <c r="G25" s="243"/>
      <c r="H25" s="244">
        <f t="shared" si="0"/>
        <v>0</v>
      </c>
      <c r="I25" s="245"/>
    </row>
    <row r="26" spans="1:9" ht="15.95" customHeight="1">
      <c r="A26" s="478"/>
      <c r="B26" s="241" t="s">
        <v>178</v>
      </c>
      <c r="C26" s="246"/>
      <c r="D26" s="246"/>
      <c r="E26" s="246"/>
      <c r="F26" s="250"/>
      <c r="G26" s="250"/>
      <c r="H26" s="192">
        <f t="shared" si="0"/>
        <v>0</v>
      </c>
      <c r="I26" s="247"/>
    </row>
    <row r="27" spans="1:9" ht="15.95" customHeight="1">
      <c r="A27" s="478"/>
      <c r="B27" s="241"/>
      <c r="C27" s="246"/>
      <c r="D27" s="246"/>
      <c r="E27" s="246"/>
      <c r="F27" s="250"/>
      <c r="G27" s="250"/>
      <c r="H27" s="192">
        <f t="shared" si="0"/>
        <v>0</v>
      </c>
      <c r="I27" s="247"/>
    </row>
    <row r="28" spans="1:9" ht="15.95" customHeight="1">
      <c r="A28" s="478"/>
      <c r="B28" s="241"/>
      <c r="C28" s="246"/>
      <c r="D28" s="246"/>
      <c r="E28" s="246"/>
      <c r="F28" s="250"/>
      <c r="G28" s="250"/>
      <c r="H28" s="192">
        <f t="shared" si="0"/>
        <v>0</v>
      </c>
      <c r="I28" s="247"/>
    </row>
    <row r="29" spans="1:9" ht="15.95" customHeight="1">
      <c r="A29" s="478"/>
      <c r="B29" s="241"/>
      <c r="C29" s="251"/>
      <c r="D29" s="251"/>
      <c r="E29" s="251"/>
      <c r="F29" s="254"/>
      <c r="G29" s="254"/>
      <c r="H29" s="192">
        <f t="shared" si="0"/>
        <v>0</v>
      </c>
      <c r="I29" s="255"/>
    </row>
    <row r="30" spans="1:9" ht="15.95" customHeight="1">
      <c r="A30" s="478"/>
      <c r="B30" s="256"/>
      <c r="C30" s="257"/>
      <c r="D30" s="258"/>
      <c r="E30" s="258"/>
      <c r="F30" s="312"/>
      <c r="G30" s="260"/>
      <c r="H30" s="261">
        <f>SUM(H25:H29)</f>
        <v>0</v>
      </c>
      <c r="I30" s="262"/>
    </row>
    <row r="31" spans="1:9" ht="15.95" customHeight="1">
      <c r="A31" s="478"/>
      <c r="B31" s="280" t="s">
        <v>179</v>
      </c>
      <c r="C31" s="246"/>
      <c r="D31" s="246"/>
      <c r="E31" s="246"/>
      <c r="F31" s="250"/>
      <c r="G31" s="250"/>
      <c r="H31" s="266">
        <f>IF(F31=0,G31,G31*F31)</f>
        <v>0</v>
      </c>
      <c r="I31" s="267"/>
    </row>
    <row r="32" spans="1:9" ht="15.95" customHeight="1">
      <c r="A32" s="478"/>
      <c r="B32" s="241" t="s">
        <v>180</v>
      </c>
      <c r="C32" s="246"/>
      <c r="D32" s="246"/>
      <c r="E32" s="246"/>
      <c r="F32" s="250"/>
      <c r="G32" s="250"/>
      <c r="H32" s="192">
        <f>IF(F32=0,G32,G32*F32)</f>
        <v>0</v>
      </c>
      <c r="I32" s="247"/>
    </row>
    <row r="33" spans="1:9" ht="15.95" customHeight="1">
      <c r="A33" s="478"/>
      <c r="B33" s="241"/>
      <c r="C33" s="246"/>
      <c r="D33" s="246"/>
      <c r="E33" s="246"/>
      <c r="F33" s="250"/>
      <c r="G33" s="250"/>
      <c r="H33" s="192">
        <f>IF(F33=0,G33,G33*F33)</f>
        <v>0</v>
      </c>
      <c r="I33" s="247"/>
    </row>
    <row r="34" spans="1:9" ht="15.95" customHeight="1">
      <c r="A34" s="478"/>
      <c r="B34" s="241"/>
      <c r="C34" s="246"/>
      <c r="D34" s="246"/>
      <c r="E34" s="246"/>
      <c r="F34" s="250"/>
      <c r="G34" s="250"/>
      <c r="H34" s="192">
        <f t="shared" si="0"/>
        <v>0</v>
      </c>
      <c r="I34" s="247"/>
    </row>
    <row r="35" spans="1:9" ht="15.95" customHeight="1">
      <c r="A35" s="478"/>
      <c r="B35" s="241"/>
      <c r="C35" s="246"/>
      <c r="D35" s="246"/>
      <c r="E35" s="246"/>
      <c r="F35" s="250"/>
      <c r="G35" s="250"/>
      <c r="H35" s="192">
        <f t="shared" si="0"/>
        <v>0</v>
      </c>
      <c r="I35" s="247"/>
    </row>
    <row r="36" spans="1:9" ht="15.95" customHeight="1">
      <c r="A36" s="478"/>
      <c r="B36" s="241"/>
      <c r="C36" s="246"/>
      <c r="D36" s="246"/>
      <c r="E36" s="246"/>
      <c r="F36" s="250"/>
      <c r="G36" s="250"/>
      <c r="H36" s="192">
        <f t="shared" si="0"/>
        <v>0</v>
      </c>
      <c r="I36" s="247"/>
    </row>
    <row r="37" spans="1:9" ht="15.95" customHeight="1">
      <c r="A37" s="478"/>
      <c r="B37" s="241"/>
      <c r="C37" s="246"/>
      <c r="D37" s="246"/>
      <c r="E37" s="246"/>
      <c r="F37" s="250"/>
      <c r="G37" s="250"/>
      <c r="H37" s="192">
        <f t="shared" si="0"/>
        <v>0</v>
      </c>
      <c r="I37" s="247"/>
    </row>
    <row r="38" spans="1:9" ht="15.95" customHeight="1">
      <c r="A38" s="478"/>
      <c r="B38" s="241"/>
      <c r="C38" s="246"/>
      <c r="D38" s="246"/>
      <c r="E38" s="246"/>
      <c r="F38" s="250"/>
      <c r="G38" s="250"/>
      <c r="H38" s="192">
        <f t="shared" si="0"/>
        <v>0</v>
      </c>
      <c r="I38" s="247"/>
    </row>
    <row r="39" spans="1:9" ht="15.95" customHeight="1">
      <c r="A39" s="478"/>
      <c r="B39" s="241"/>
      <c r="C39" s="246"/>
      <c r="D39" s="246"/>
      <c r="E39" s="246"/>
      <c r="F39" s="250"/>
      <c r="G39" s="250"/>
      <c r="H39" s="192">
        <f t="shared" si="0"/>
        <v>0</v>
      </c>
      <c r="I39" s="247"/>
    </row>
    <row r="40" spans="1:9" ht="15.95" customHeight="1">
      <c r="A40" s="478"/>
      <c r="B40" s="241"/>
      <c r="C40" s="246"/>
      <c r="D40" s="246"/>
      <c r="E40" s="246"/>
      <c r="F40" s="250"/>
      <c r="G40" s="250"/>
      <c r="H40" s="192">
        <f t="shared" si="0"/>
        <v>0</v>
      </c>
      <c r="I40" s="247"/>
    </row>
    <row r="41" spans="1:9" ht="15.95" customHeight="1">
      <c r="A41" s="478"/>
      <c r="B41" s="241"/>
      <c r="C41" s="246"/>
      <c r="D41" s="246"/>
      <c r="E41" s="246"/>
      <c r="F41" s="250"/>
      <c r="G41" s="250"/>
      <c r="H41" s="192">
        <f t="shared" si="0"/>
        <v>0</v>
      </c>
      <c r="I41" s="247"/>
    </row>
    <row r="42" spans="1:9" ht="15.95" customHeight="1">
      <c r="A42" s="478"/>
      <c r="B42" s="241"/>
      <c r="C42" s="246"/>
      <c r="D42" s="246"/>
      <c r="E42" s="246"/>
      <c r="F42" s="250"/>
      <c r="G42" s="250"/>
      <c r="H42" s="192">
        <f t="shared" si="0"/>
        <v>0</v>
      </c>
      <c r="I42" s="247"/>
    </row>
    <row r="43" spans="1:9" ht="15.95" customHeight="1">
      <c r="A43" s="478"/>
      <c r="B43" s="241"/>
      <c r="C43" s="246"/>
      <c r="D43" s="246"/>
      <c r="E43" s="246"/>
      <c r="F43" s="250"/>
      <c r="G43" s="250"/>
      <c r="H43" s="192">
        <f t="shared" si="0"/>
        <v>0</v>
      </c>
      <c r="I43" s="247"/>
    </row>
    <row r="44" spans="1:9" ht="15.95" customHeight="1">
      <c r="A44" s="478"/>
      <c r="B44" s="241"/>
      <c r="C44" s="246"/>
      <c r="D44" s="246"/>
      <c r="E44" s="246"/>
      <c r="F44" s="250"/>
      <c r="G44" s="250"/>
      <c r="H44" s="192">
        <f t="shared" si="0"/>
        <v>0</v>
      </c>
      <c r="I44" s="247"/>
    </row>
    <row r="45" spans="1:9" ht="15.95" customHeight="1">
      <c r="A45" s="478"/>
      <c r="B45" s="241"/>
      <c r="C45" s="269"/>
      <c r="D45" s="269"/>
      <c r="E45" s="246"/>
      <c r="F45" s="270"/>
      <c r="G45" s="270"/>
      <c r="H45" s="192">
        <f t="shared" si="0"/>
        <v>0</v>
      </c>
      <c r="I45" s="247"/>
    </row>
    <row r="46" spans="1:9" ht="15.95" customHeight="1">
      <c r="A46" s="478"/>
      <c r="B46" s="241"/>
      <c r="C46" s="251"/>
      <c r="D46" s="251"/>
      <c r="E46" s="251"/>
      <c r="F46" s="254"/>
      <c r="G46" s="254"/>
      <c r="H46" s="281">
        <f t="shared" si="0"/>
        <v>0</v>
      </c>
      <c r="I46" s="255"/>
    </row>
    <row r="47" spans="1:9" ht="15.95" customHeight="1">
      <c r="A47" s="478"/>
      <c r="B47" s="256"/>
      <c r="C47" s="257"/>
      <c r="D47" s="258"/>
      <c r="E47" s="258"/>
      <c r="F47" s="260"/>
      <c r="G47" s="260"/>
      <c r="H47" s="261">
        <f>SUM(H31:H46)</f>
        <v>0</v>
      </c>
      <c r="I47" s="262"/>
    </row>
    <row r="48" spans="1:9" ht="15.95" customHeight="1">
      <c r="A48" s="478"/>
      <c r="B48" s="280" t="s">
        <v>190</v>
      </c>
      <c r="C48" s="264"/>
      <c r="D48" s="264"/>
      <c r="E48" s="264"/>
      <c r="F48" s="265"/>
      <c r="G48" s="265"/>
      <c r="H48" s="266">
        <f t="shared" si="0"/>
        <v>0</v>
      </c>
      <c r="I48" s="267"/>
    </row>
    <row r="49" spans="1:9" ht="15.95" customHeight="1">
      <c r="A49" s="478"/>
      <c r="B49" s="241"/>
      <c r="C49" s="246"/>
      <c r="D49" s="246"/>
      <c r="E49" s="246"/>
      <c r="F49" s="250"/>
      <c r="G49" s="250"/>
      <c r="H49" s="192">
        <f t="shared" si="0"/>
        <v>0</v>
      </c>
      <c r="I49" s="247"/>
    </row>
    <row r="50" spans="1:9" ht="15.95" customHeight="1">
      <c r="A50" s="478"/>
      <c r="B50" s="241"/>
      <c r="C50" s="246"/>
      <c r="D50" s="246"/>
      <c r="E50" s="246"/>
      <c r="F50" s="250"/>
      <c r="G50" s="250"/>
      <c r="H50" s="192">
        <f t="shared" si="0"/>
        <v>0</v>
      </c>
      <c r="I50" s="247"/>
    </row>
    <row r="51" spans="1:9" ht="15.95" customHeight="1">
      <c r="A51" s="478"/>
      <c r="B51" s="241"/>
      <c r="C51" s="246"/>
      <c r="D51" s="246"/>
      <c r="E51" s="246"/>
      <c r="F51" s="250"/>
      <c r="G51" s="250"/>
      <c r="H51" s="192">
        <f t="shared" si="0"/>
        <v>0</v>
      </c>
      <c r="I51" s="247"/>
    </row>
    <row r="52" spans="1:9" ht="15.95" customHeight="1">
      <c r="A52" s="478"/>
      <c r="B52" s="241"/>
      <c r="C52" s="246"/>
      <c r="D52" s="246"/>
      <c r="E52" s="246"/>
      <c r="F52" s="250"/>
      <c r="G52" s="250"/>
      <c r="H52" s="192">
        <f t="shared" si="0"/>
        <v>0</v>
      </c>
      <c r="I52" s="247"/>
    </row>
    <row r="53" spans="1:9" ht="15.95" customHeight="1">
      <c r="A53" s="478"/>
      <c r="B53" s="241"/>
      <c r="C53" s="246"/>
      <c r="D53" s="246"/>
      <c r="E53" s="246"/>
      <c r="F53" s="250"/>
      <c r="G53" s="250"/>
      <c r="H53" s="192">
        <f t="shared" si="0"/>
        <v>0</v>
      </c>
      <c r="I53" s="247"/>
    </row>
    <row r="54" spans="1:9" ht="15.95" customHeight="1">
      <c r="A54" s="478"/>
      <c r="B54" s="241"/>
      <c r="C54" s="251"/>
      <c r="D54" s="251"/>
      <c r="E54" s="251"/>
      <c r="F54" s="254"/>
      <c r="G54" s="254"/>
      <c r="H54" s="281">
        <f t="shared" si="0"/>
        <v>0</v>
      </c>
      <c r="I54" s="255"/>
    </row>
    <row r="55" spans="1:9" ht="15.95" customHeight="1">
      <c r="A55" s="478"/>
      <c r="B55" s="256"/>
      <c r="C55" s="257"/>
      <c r="D55" s="258"/>
      <c r="E55" s="258"/>
      <c r="F55" s="260"/>
      <c r="G55" s="260"/>
      <c r="H55" s="261">
        <f>SUM(H48:H54)</f>
        <v>0</v>
      </c>
      <c r="I55" s="262"/>
    </row>
    <row r="56" spans="1:9" ht="15.95" customHeight="1">
      <c r="A56" s="282"/>
      <c r="B56" s="283" t="s">
        <v>191</v>
      </c>
      <c r="C56" s="284"/>
      <c r="D56" s="262"/>
      <c r="E56" s="262"/>
      <c r="F56" s="286"/>
      <c r="G56" s="286"/>
      <c r="H56" s="261">
        <f>SUM(H55,H47,H30,H24)</f>
        <v>0</v>
      </c>
      <c r="I56" s="262"/>
    </row>
    <row r="57" spans="1:9" ht="15.95" customHeight="1">
      <c r="A57" s="479" t="s">
        <v>192</v>
      </c>
      <c r="B57" s="287" t="s">
        <v>193</v>
      </c>
      <c r="C57" s="284"/>
      <c r="D57" s="288"/>
      <c r="E57" s="313" t="s">
        <v>194</v>
      </c>
      <c r="F57" s="307"/>
      <c r="G57" s="307"/>
      <c r="H57" s="290">
        <f>F57*G57</f>
        <v>0</v>
      </c>
      <c r="I57" s="262"/>
    </row>
    <row r="58" spans="1:9" ht="15.95" customHeight="1">
      <c r="A58" s="478"/>
      <c r="B58" s="291" t="s">
        <v>195</v>
      </c>
      <c r="C58" s="292"/>
      <c r="D58" s="293"/>
      <c r="E58" s="314" t="s">
        <v>153</v>
      </c>
      <c r="F58" s="265"/>
      <c r="G58" s="265"/>
      <c r="H58" s="266">
        <f t="shared" ref="H58:H64" si="1">F58*G58</f>
        <v>0</v>
      </c>
      <c r="I58" s="267"/>
    </row>
    <row r="59" spans="1:9" ht="15.95" customHeight="1">
      <c r="A59" s="478"/>
      <c r="B59" s="317" t="s">
        <v>196</v>
      </c>
      <c r="C59" s="296"/>
      <c r="D59" s="297"/>
      <c r="E59" s="315" t="s">
        <v>153</v>
      </c>
      <c r="F59" s="250"/>
      <c r="G59" s="250"/>
      <c r="H59" s="192">
        <f t="shared" si="1"/>
        <v>0</v>
      </c>
      <c r="I59" s="247"/>
    </row>
    <row r="60" spans="1:9" ht="15.95" customHeight="1">
      <c r="A60" s="478"/>
      <c r="B60" s="295" t="s">
        <v>197</v>
      </c>
      <c r="C60" s="296"/>
      <c r="D60" s="297"/>
      <c r="E60" s="315" t="s">
        <v>153</v>
      </c>
      <c r="F60" s="250"/>
      <c r="G60" s="250"/>
      <c r="H60" s="192">
        <f t="shared" si="1"/>
        <v>0</v>
      </c>
      <c r="I60" s="247"/>
    </row>
    <row r="61" spans="1:9" ht="15.95" customHeight="1">
      <c r="A61" s="478"/>
      <c r="B61" s="295" t="s">
        <v>198</v>
      </c>
      <c r="C61" s="296"/>
      <c r="D61" s="297"/>
      <c r="E61" s="315" t="s">
        <v>153</v>
      </c>
      <c r="F61" s="250"/>
      <c r="G61" s="250"/>
      <c r="H61" s="192">
        <f t="shared" si="1"/>
        <v>0</v>
      </c>
      <c r="I61" s="247"/>
    </row>
    <row r="62" spans="1:9" ht="15.95" customHeight="1">
      <c r="A62" s="478"/>
      <c r="B62" s="295" t="s">
        <v>199</v>
      </c>
      <c r="C62" s="296"/>
      <c r="D62" s="297"/>
      <c r="E62" s="315" t="s">
        <v>153</v>
      </c>
      <c r="F62" s="250"/>
      <c r="G62" s="250"/>
      <c r="H62" s="192">
        <f t="shared" si="1"/>
        <v>0</v>
      </c>
      <c r="I62" s="247"/>
    </row>
    <row r="63" spans="1:9" ht="15.95" customHeight="1">
      <c r="A63" s="478"/>
      <c r="B63" s="295" t="s">
        <v>200</v>
      </c>
      <c r="C63" s="296"/>
      <c r="D63" s="297"/>
      <c r="E63" s="315" t="s">
        <v>153</v>
      </c>
      <c r="F63" s="250"/>
      <c r="G63" s="250"/>
      <c r="H63" s="192">
        <f t="shared" si="1"/>
        <v>0</v>
      </c>
      <c r="I63" s="247"/>
    </row>
    <row r="64" spans="1:9" ht="15.95" customHeight="1">
      <c r="A64" s="478"/>
      <c r="B64" s="299" t="s">
        <v>201</v>
      </c>
      <c r="C64" s="300"/>
      <c r="D64" s="301"/>
      <c r="E64" s="316" t="s">
        <v>153</v>
      </c>
      <c r="F64" s="254"/>
      <c r="G64" s="254"/>
      <c r="H64" s="281">
        <f t="shared" si="1"/>
        <v>0</v>
      </c>
      <c r="I64" s="255"/>
    </row>
    <row r="65" spans="1:9" ht="15.95" customHeight="1">
      <c r="A65" s="282"/>
      <c r="B65" s="303" t="s">
        <v>202</v>
      </c>
      <c r="C65" s="284"/>
      <c r="D65" s="262"/>
      <c r="E65" s="262"/>
      <c r="F65" s="260"/>
      <c r="G65" s="260"/>
      <c r="H65" s="260">
        <f>SUM(H57:H64)</f>
        <v>0</v>
      </c>
      <c r="I65" s="258"/>
    </row>
    <row r="66" spans="1:9" ht="15.95" customHeight="1">
      <c r="A66" s="304"/>
      <c r="B66" s="303" t="s">
        <v>203</v>
      </c>
      <c r="C66" s="284"/>
      <c r="D66" s="262"/>
      <c r="E66" s="262"/>
      <c r="F66" s="261"/>
      <c r="G66" s="261"/>
      <c r="H66" s="286">
        <f>'단위공사별(집계)'!L8+'단위공사별(집계)'!I8</f>
        <v>0</v>
      </c>
      <c r="I66" s="262"/>
    </row>
    <row r="67" spans="1:9" ht="15.95" customHeight="1">
      <c r="A67" s="304"/>
      <c r="B67" s="303" t="s">
        <v>204</v>
      </c>
      <c r="C67" s="284"/>
      <c r="D67" s="262"/>
      <c r="E67" s="262"/>
      <c r="F67" s="261"/>
      <c r="G67" s="306"/>
      <c r="H67" s="307">
        <f>(H65+H56)*0.05</f>
        <v>0</v>
      </c>
      <c r="I67" s="284"/>
    </row>
    <row r="68" spans="1:9" ht="15.95" customHeight="1">
      <c r="A68" s="304"/>
      <c r="B68" s="303" t="s">
        <v>205</v>
      </c>
      <c r="C68" s="284"/>
      <c r="D68" s="262"/>
      <c r="E68" s="262"/>
      <c r="F68" s="261"/>
      <c r="G68" s="306"/>
      <c r="H68" s="307">
        <f>(H65+H56)*0.1</f>
        <v>0</v>
      </c>
      <c r="I68" s="284"/>
    </row>
    <row r="69" spans="1:9" ht="15.95" customHeight="1">
      <c r="A69" s="304"/>
      <c r="B69" s="303" t="s">
        <v>206</v>
      </c>
      <c r="C69" s="284"/>
      <c r="D69" s="262"/>
      <c r="E69" s="262"/>
      <c r="F69" s="261"/>
      <c r="G69" s="261"/>
      <c r="H69" s="260">
        <f>H56+H65+H66+H67+H68</f>
        <v>0</v>
      </c>
      <c r="I69" s="262"/>
    </row>
    <row r="70" spans="1:9">
      <c r="A70" s="159"/>
    </row>
  </sheetData>
  <mergeCells count="3">
    <mergeCell ref="A2:B2"/>
    <mergeCell ref="A3:A55"/>
    <mergeCell ref="A57:A64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verticalDpi="0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I70"/>
  <sheetViews>
    <sheetView zoomScale="85" workbookViewId="0">
      <pane xSplit="2" ySplit="2" topLeftCell="C3" activePane="bottomRight" state="frozen"/>
      <selection activeCell="G33" sqref="G33:I33"/>
      <selection pane="topRight" activeCell="G33" sqref="G33:I33"/>
      <selection pane="bottomLeft" activeCell="G33" sqref="G33:I33"/>
      <selection pane="bottomRight" activeCell="G33" sqref="G33:I33"/>
    </sheetView>
  </sheetViews>
  <sheetFormatPr defaultRowHeight="13.5"/>
  <cols>
    <col min="1" max="1" width="5" style="142" customWidth="1"/>
    <col min="2" max="2" width="17.875" style="142" bestFit="1" customWidth="1"/>
    <col min="3" max="3" width="23.625" style="142" customWidth="1"/>
    <col min="4" max="4" width="18.25" style="142" customWidth="1"/>
    <col min="5" max="5" width="5.25" style="142" bestFit="1" customWidth="1"/>
    <col min="6" max="6" width="9" style="181"/>
    <col min="7" max="7" width="11.875" style="181" customWidth="1"/>
    <col min="8" max="8" width="13.625" style="181" customWidth="1"/>
    <col min="9" max="9" width="12.75" style="142" customWidth="1"/>
    <col min="10" max="16384" width="9" style="142"/>
  </cols>
  <sheetData>
    <row r="1" spans="1:9" ht="22.5" customHeight="1">
      <c r="B1" s="233" t="s">
        <v>165</v>
      </c>
      <c r="C1" s="309"/>
      <c r="D1" s="235"/>
      <c r="E1" s="235"/>
      <c r="F1" s="310"/>
      <c r="G1" s="195"/>
      <c r="I1" s="142" t="s">
        <v>166</v>
      </c>
    </row>
    <row r="2" spans="1:9" s="159" customFormat="1" ht="16.5" customHeight="1">
      <c r="A2" s="361" t="s">
        <v>167</v>
      </c>
      <c r="B2" s="473"/>
      <c r="C2" s="150" t="s">
        <v>168</v>
      </c>
      <c r="D2" s="143" t="s">
        <v>169</v>
      </c>
      <c r="E2" s="143" t="s">
        <v>170</v>
      </c>
      <c r="F2" s="285" t="s">
        <v>171</v>
      </c>
      <c r="G2" s="285" t="s">
        <v>172</v>
      </c>
      <c r="H2" s="285" t="s">
        <v>173</v>
      </c>
      <c r="I2" s="143" t="s">
        <v>174</v>
      </c>
    </row>
    <row r="3" spans="1:9" ht="15.95" customHeight="1">
      <c r="A3" s="474" t="s">
        <v>175</v>
      </c>
      <c r="B3" s="241" t="s">
        <v>176</v>
      </c>
      <c r="C3" s="264"/>
      <c r="D3" s="264"/>
      <c r="E3" s="264"/>
      <c r="F3" s="265"/>
      <c r="G3" s="265"/>
      <c r="H3" s="266">
        <f>IF(F3=0,G3,G3*F3)</f>
        <v>0</v>
      </c>
      <c r="I3" s="267"/>
    </row>
    <row r="4" spans="1:9" ht="15.95" customHeight="1">
      <c r="A4" s="478"/>
      <c r="B4" s="241"/>
      <c r="C4" s="246"/>
      <c r="D4" s="246"/>
      <c r="E4" s="246"/>
      <c r="F4" s="250"/>
      <c r="G4" s="250"/>
      <c r="H4" s="192">
        <f>IF(F4=0,G4,G4*F4)</f>
        <v>0</v>
      </c>
      <c r="I4" s="247"/>
    </row>
    <row r="5" spans="1:9" ht="15.95" customHeight="1">
      <c r="A5" s="478"/>
      <c r="B5" s="241"/>
      <c r="C5" s="246"/>
      <c r="D5" s="246"/>
      <c r="E5" s="246"/>
      <c r="F5" s="250"/>
      <c r="G5" s="250"/>
      <c r="H5" s="192">
        <f t="shared" ref="H5:H54" si="0">IF(F5=0,G5,G5*F5)</f>
        <v>0</v>
      </c>
      <c r="I5" s="247"/>
    </row>
    <row r="6" spans="1:9" ht="15.95" customHeight="1">
      <c r="A6" s="478"/>
      <c r="B6" s="241"/>
      <c r="C6" s="246"/>
      <c r="D6" s="246"/>
      <c r="E6" s="246"/>
      <c r="F6" s="250"/>
      <c r="G6" s="250"/>
      <c r="H6" s="192">
        <f t="shared" si="0"/>
        <v>0</v>
      </c>
      <c r="I6" s="247"/>
    </row>
    <row r="7" spans="1:9" ht="15.95" customHeight="1">
      <c r="A7" s="478"/>
      <c r="B7" s="241"/>
      <c r="C7" s="246"/>
      <c r="D7" s="246"/>
      <c r="E7" s="246"/>
      <c r="F7" s="250"/>
      <c r="G7" s="250"/>
      <c r="H7" s="192">
        <f t="shared" si="0"/>
        <v>0</v>
      </c>
      <c r="I7" s="247"/>
    </row>
    <row r="8" spans="1:9" ht="15.95" customHeight="1">
      <c r="A8" s="478"/>
      <c r="B8" s="241"/>
      <c r="C8" s="246"/>
      <c r="D8" s="246"/>
      <c r="E8" s="246"/>
      <c r="F8" s="250"/>
      <c r="G8" s="250"/>
      <c r="H8" s="192">
        <f t="shared" si="0"/>
        <v>0</v>
      </c>
      <c r="I8" s="247"/>
    </row>
    <row r="9" spans="1:9" ht="15.95" customHeight="1">
      <c r="A9" s="478"/>
      <c r="B9" s="241"/>
      <c r="C9" s="246"/>
      <c r="D9" s="246"/>
      <c r="E9" s="246"/>
      <c r="F9" s="250"/>
      <c r="G9" s="250"/>
      <c r="H9" s="192">
        <f t="shared" si="0"/>
        <v>0</v>
      </c>
      <c r="I9" s="247"/>
    </row>
    <row r="10" spans="1:9" ht="15.95" customHeight="1">
      <c r="A10" s="478"/>
      <c r="B10" s="241"/>
      <c r="C10" s="246"/>
      <c r="D10" s="246"/>
      <c r="E10" s="246"/>
      <c r="F10" s="250"/>
      <c r="G10" s="250"/>
      <c r="H10" s="192">
        <f t="shared" si="0"/>
        <v>0</v>
      </c>
      <c r="I10" s="247"/>
    </row>
    <row r="11" spans="1:9" ht="15.95" customHeight="1">
      <c r="A11" s="478"/>
      <c r="B11" s="241"/>
      <c r="C11" s="246"/>
      <c r="D11" s="246"/>
      <c r="E11" s="246"/>
      <c r="F11" s="250"/>
      <c r="G11" s="250"/>
      <c r="H11" s="192">
        <f t="shared" si="0"/>
        <v>0</v>
      </c>
      <c r="I11" s="247"/>
    </row>
    <row r="12" spans="1:9" ht="15.95" customHeight="1">
      <c r="A12" s="478"/>
      <c r="B12" s="241"/>
      <c r="C12" s="246"/>
      <c r="D12" s="246"/>
      <c r="E12" s="246"/>
      <c r="F12" s="250"/>
      <c r="G12" s="250"/>
      <c r="H12" s="192">
        <f t="shared" si="0"/>
        <v>0</v>
      </c>
      <c r="I12" s="247"/>
    </row>
    <row r="13" spans="1:9" ht="15.95" customHeight="1">
      <c r="A13" s="478"/>
      <c r="B13" s="241"/>
      <c r="C13" s="246"/>
      <c r="D13" s="246"/>
      <c r="E13" s="246"/>
      <c r="F13" s="250"/>
      <c r="G13" s="250"/>
      <c r="H13" s="192">
        <f t="shared" si="0"/>
        <v>0</v>
      </c>
      <c r="I13" s="247"/>
    </row>
    <row r="14" spans="1:9" ht="15.95" customHeight="1">
      <c r="A14" s="478"/>
      <c r="B14" s="241"/>
      <c r="C14" s="246"/>
      <c r="D14" s="246"/>
      <c r="E14" s="246"/>
      <c r="F14" s="250"/>
      <c r="G14" s="250"/>
      <c r="H14" s="192">
        <f t="shared" si="0"/>
        <v>0</v>
      </c>
      <c r="I14" s="247"/>
    </row>
    <row r="15" spans="1:9" ht="15.95" customHeight="1">
      <c r="A15" s="478"/>
      <c r="B15" s="241"/>
      <c r="C15" s="246"/>
      <c r="D15" s="246"/>
      <c r="E15" s="246"/>
      <c r="F15" s="250"/>
      <c r="G15" s="250"/>
      <c r="H15" s="192">
        <f t="shared" si="0"/>
        <v>0</v>
      </c>
      <c r="I15" s="247"/>
    </row>
    <row r="16" spans="1:9" ht="15.95" customHeight="1">
      <c r="A16" s="478"/>
      <c r="B16" s="241"/>
      <c r="C16" s="246"/>
      <c r="D16" s="246"/>
      <c r="E16" s="246"/>
      <c r="F16" s="250"/>
      <c r="G16" s="250"/>
      <c r="H16" s="192">
        <f t="shared" si="0"/>
        <v>0</v>
      </c>
      <c r="I16" s="247"/>
    </row>
    <row r="17" spans="1:9" ht="15.95" customHeight="1">
      <c r="A17" s="478"/>
      <c r="B17" s="241"/>
      <c r="C17" s="246"/>
      <c r="D17" s="246"/>
      <c r="E17" s="246"/>
      <c r="F17" s="250"/>
      <c r="G17" s="250"/>
      <c r="H17" s="192">
        <f t="shared" si="0"/>
        <v>0</v>
      </c>
      <c r="I17" s="247"/>
    </row>
    <row r="18" spans="1:9" ht="15.95" customHeight="1">
      <c r="A18" s="478"/>
      <c r="B18" s="241"/>
      <c r="C18" s="246"/>
      <c r="D18" s="246"/>
      <c r="E18" s="246"/>
      <c r="F18" s="250"/>
      <c r="G18" s="250"/>
      <c r="H18" s="192">
        <f t="shared" si="0"/>
        <v>0</v>
      </c>
      <c r="I18" s="247"/>
    </row>
    <row r="19" spans="1:9" ht="15.95" customHeight="1">
      <c r="A19" s="478"/>
      <c r="B19" s="241"/>
      <c r="C19" s="246"/>
      <c r="D19" s="246"/>
      <c r="E19" s="246"/>
      <c r="F19" s="250"/>
      <c r="G19" s="250"/>
      <c r="H19" s="192">
        <f t="shared" si="0"/>
        <v>0</v>
      </c>
      <c r="I19" s="247"/>
    </row>
    <row r="20" spans="1:9" ht="15.95" customHeight="1">
      <c r="A20" s="478"/>
      <c r="B20" s="241"/>
      <c r="C20" s="246"/>
      <c r="D20" s="246"/>
      <c r="E20" s="246"/>
      <c r="F20" s="250"/>
      <c r="G20" s="250"/>
      <c r="H20" s="192">
        <f t="shared" si="0"/>
        <v>0</v>
      </c>
      <c r="I20" s="247"/>
    </row>
    <row r="21" spans="1:9" ht="15.95" customHeight="1">
      <c r="A21" s="478"/>
      <c r="B21" s="241"/>
      <c r="C21" s="246"/>
      <c r="D21" s="246"/>
      <c r="E21" s="246"/>
      <c r="F21" s="250"/>
      <c r="G21" s="250"/>
      <c r="H21" s="192">
        <f t="shared" si="0"/>
        <v>0</v>
      </c>
      <c r="I21" s="247"/>
    </row>
    <row r="22" spans="1:9" ht="15.95" customHeight="1">
      <c r="A22" s="478"/>
      <c r="B22" s="241"/>
      <c r="C22" s="246"/>
      <c r="D22" s="246"/>
      <c r="E22" s="246"/>
      <c r="F22" s="250"/>
      <c r="G22" s="250"/>
      <c r="H22" s="192">
        <f t="shared" si="0"/>
        <v>0</v>
      </c>
      <c r="I22" s="247"/>
    </row>
    <row r="23" spans="1:9" ht="15.95" customHeight="1">
      <c r="A23" s="478"/>
      <c r="B23" s="241"/>
      <c r="C23" s="251"/>
      <c r="D23" s="269"/>
      <c r="E23" s="269"/>
      <c r="F23" s="270"/>
      <c r="G23" s="270"/>
      <c r="H23" s="271">
        <f t="shared" si="0"/>
        <v>0</v>
      </c>
      <c r="I23" s="272"/>
    </row>
    <row r="24" spans="1:9" ht="15.95" customHeight="1">
      <c r="A24" s="478"/>
      <c r="B24" s="256"/>
      <c r="C24" s="279"/>
      <c r="D24" s="279"/>
      <c r="E24" s="279"/>
      <c r="F24" s="277"/>
      <c r="G24" s="277"/>
      <c r="H24" s="278">
        <f>SUM(H3:H23)</f>
        <v>0</v>
      </c>
      <c r="I24" s="279"/>
    </row>
    <row r="25" spans="1:9" ht="15.95" customHeight="1">
      <c r="A25" s="478"/>
      <c r="B25" s="241" t="s">
        <v>177</v>
      </c>
      <c r="C25" s="242"/>
      <c r="D25" s="242"/>
      <c r="E25" s="242"/>
      <c r="F25" s="243"/>
      <c r="G25" s="243"/>
      <c r="H25" s="244">
        <f t="shared" si="0"/>
        <v>0</v>
      </c>
      <c r="I25" s="245"/>
    </row>
    <row r="26" spans="1:9" ht="15.95" customHeight="1">
      <c r="A26" s="478"/>
      <c r="B26" s="241" t="s">
        <v>178</v>
      </c>
      <c r="C26" s="246"/>
      <c r="D26" s="246"/>
      <c r="E26" s="246"/>
      <c r="F26" s="250"/>
      <c r="G26" s="250"/>
      <c r="H26" s="192">
        <f t="shared" si="0"/>
        <v>0</v>
      </c>
      <c r="I26" s="247"/>
    </row>
    <row r="27" spans="1:9" ht="15.95" customHeight="1">
      <c r="A27" s="478"/>
      <c r="B27" s="241"/>
      <c r="C27" s="246"/>
      <c r="D27" s="246"/>
      <c r="E27" s="246"/>
      <c r="F27" s="250"/>
      <c r="G27" s="250"/>
      <c r="H27" s="192">
        <f t="shared" si="0"/>
        <v>0</v>
      </c>
      <c r="I27" s="247"/>
    </row>
    <row r="28" spans="1:9" ht="15.95" customHeight="1">
      <c r="A28" s="478"/>
      <c r="B28" s="241"/>
      <c r="C28" s="246"/>
      <c r="D28" s="246"/>
      <c r="E28" s="246"/>
      <c r="F28" s="250"/>
      <c r="G28" s="250"/>
      <c r="H28" s="192">
        <f t="shared" si="0"/>
        <v>0</v>
      </c>
      <c r="I28" s="247"/>
    </row>
    <row r="29" spans="1:9" ht="15.95" customHeight="1">
      <c r="A29" s="478"/>
      <c r="B29" s="241"/>
      <c r="C29" s="251"/>
      <c r="D29" s="251"/>
      <c r="E29" s="251"/>
      <c r="F29" s="254"/>
      <c r="G29" s="254"/>
      <c r="H29" s="192">
        <f t="shared" si="0"/>
        <v>0</v>
      </c>
      <c r="I29" s="255"/>
    </row>
    <row r="30" spans="1:9" ht="15.95" customHeight="1">
      <c r="A30" s="478"/>
      <c r="B30" s="256"/>
      <c r="C30" s="257"/>
      <c r="D30" s="258"/>
      <c r="E30" s="258"/>
      <c r="F30" s="312"/>
      <c r="G30" s="260"/>
      <c r="H30" s="261">
        <f>SUM(H25:H29)</f>
        <v>0</v>
      </c>
      <c r="I30" s="262"/>
    </row>
    <row r="31" spans="1:9" ht="15.95" customHeight="1">
      <c r="A31" s="478"/>
      <c r="B31" s="280" t="s">
        <v>179</v>
      </c>
      <c r="C31" s="246"/>
      <c r="D31" s="246"/>
      <c r="E31" s="246"/>
      <c r="F31" s="250"/>
      <c r="G31" s="250"/>
      <c r="H31" s="266">
        <f t="shared" si="0"/>
        <v>0</v>
      </c>
      <c r="I31" s="267"/>
    </row>
    <row r="32" spans="1:9" ht="15.95" customHeight="1">
      <c r="A32" s="478"/>
      <c r="B32" s="241" t="s">
        <v>180</v>
      </c>
      <c r="C32" s="246"/>
      <c r="D32" s="246"/>
      <c r="E32" s="246"/>
      <c r="F32" s="250"/>
      <c r="G32" s="250"/>
      <c r="H32" s="192">
        <f t="shared" si="0"/>
        <v>0</v>
      </c>
      <c r="I32" s="247"/>
    </row>
    <row r="33" spans="1:9" ht="15.95" customHeight="1">
      <c r="A33" s="478"/>
      <c r="B33" s="241"/>
      <c r="C33" s="246"/>
      <c r="D33" s="246"/>
      <c r="E33" s="246"/>
      <c r="F33" s="250"/>
      <c r="G33" s="250"/>
      <c r="H33" s="192">
        <f t="shared" si="0"/>
        <v>0</v>
      </c>
      <c r="I33" s="247"/>
    </row>
    <row r="34" spans="1:9" ht="15.95" customHeight="1">
      <c r="A34" s="478"/>
      <c r="B34" s="241"/>
      <c r="C34" s="246"/>
      <c r="D34" s="246"/>
      <c r="E34" s="246"/>
      <c r="F34" s="250"/>
      <c r="G34" s="250"/>
      <c r="H34" s="192">
        <f t="shared" si="0"/>
        <v>0</v>
      </c>
      <c r="I34" s="247"/>
    </row>
    <row r="35" spans="1:9" ht="15.95" customHeight="1">
      <c r="A35" s="478"/>
      <c r="B35" s="241"/>
      <c r="C35" s="246"/>
      <c r="D35" s="246"/>
      <c r="E35" s="246"/>
      <c r="F35" s="250"/>
      <c r="G35" s="250"/>
      <c r="H35" s="192">
        <f t="shared" si="0"/>
        <v>0</v>
      </c>
      <c r="I35" s="247"/>
    </row>
    <row r="36" spans="1:9" ht="15.95" customHeight="1">
      <c r="A36" s="478"/>
      <c r="B36" s="241"/>
      <c r="C36" s="246"/>
      <c r="D36" s="246"/>
      <c r="E36" s="246"/>
      <c r="F36" s="250"/>
      <c r="G36" s="250"/>
      <c r="H36" s="192">
        <f t="shared" si="0"/>
        <v>0</v>
      </c>
      <c r="I36" s="247"/>
    </row>
    <row r="37" spans="1:9" ht="15.95" customHeight="1">
      <c r="A37" s="478"/>
      <c r="B37" s="241"/>
      <c r="C37" s="246"/>
      <c r="D37" s="246"/>
      <c r="E37" s="246"/>
      <c r="F37" s="250"/>
      <c r="G37" s="250"/>
      <c r="H37" s="192">
        <f t="shared" si="0"/>
        <v>0</v>
      </c>
      <c r="I37" s="247"/>
    </row>
    <row r="38" spans="1:9" ht="15.95" customHeight="1">
      <c r="A38" s="478"/>
      <c r="B38" s="241"/>
      <c r="C38" s="246"/>
      <c r="D38" s="246"/>
      <c r="E38" s="246"/>
      <c r="F38" s="250"/>
      <c r="G38" s="250"/>
      <c r="H38" s="192">
        <f t="shared" si="0"/>
        <v>0</v>
      </c>
      <c r="I38" s="247"/>
    </row>
    <row r="39" spans="1:9" ht="15.95" customHeight="1">
      <c r="A39" s="478"/>
      <c r="B39" s="241"/>
      <c r="C39" s="246"/>
      <c r="D39" s="246"/>
      <c r="E39" s="246"/>
      <c r="F39" s="250"/>
      <c r="G39" s="250"/>
      <c r="H39" s="192">
        <f t="shared" si="0"/>
        <v>0</v>
      </c>
      <c r="I39" s="247"/>
    </row>
    <row r="40" spans="1:9" ht="15.95" customHeight="1">
      <c r="A40" s="478"/>
      <c r="B40" s="241"/>
      <c r="C40" s="246"/>
      <c r="D40" s="246"/>
      <c r="E40" s="246"/>
      <c r="F40" s="250"/>
      <c r="G40" s="250"/>
      <c r="H40" s="192">
        <f t="shared" si="0"/>
        <v>0</v>
      </c>
      <c r="I40" s="247"/>
    </row>
    <row r="41" spans="1:9" ht="15.95" customHeight="1">
      <c r="A41" s="478"/>
      <c r="B41" s="241"/>
      <c r="C41" s="246"/>
      <c r="D41" s="246"/>
      <c r="E41" s="246"/>
      <c r="F41" s="250"/>
      <c r="G41" s="250"/>
      <c r="H41" s="192">
        <f t="shared" si="0"/>
        <v>0</v>
      </c>
      <c r="I41" s="247"/>
    </row>
    <row r="42" spans="1:9" ht="15.95" customHeight="1">
      <c r="A42" s="478"/>
      <c r="B42" s="241"/>
      <c r="C42" s="246"/>
      <c r="D42" s="246"/>
      <c r="E42" s="246"/>
      <c r="F42" s="250"/>
      <c r="G42" s="250"/>
      <c r="H42" s="192">
        <f t="shared" si="0"/>
        <v>0</v>
      </c>
      <c r="I42" s="247"/>
    </row>
    <row r="43" spans="1:9" ht="15.95" customHeight="1">
      <c r="A43" s="478"/>
      <c r="B43" s="241"/>
      <c r="C43" s="246"/>
      <c r="D43" s="246"/>
      <c r="E43" s="246"/>
      <c r="F43" s="250"/>
      <c r="G43" s="250"/>
      <c r="H43" s="192">
        <f t="shared" si="0"/>
        <v>0</v>
      </c>
      <c r="I43" s="247"/>
    </row>
    <row r="44" spans="1:9" ht="15.95" customHeight="1">
      <c r="A44" s="478"/>
      <c r="B44" s="241"/>
      <c r="C44" s="246"/>
      <c r="D44" s="246"/>
      <c r="E44" s="246"/>
      <c r="F44" s="250"/>
      <c r="G44" s="250"/>
      <c r="H44" s="192">
        <f t="shared" si="0"/>
        <v>0</v>
      </c>
      <c r="I44" s="247"/>
    </row>
    <row r="45" spans="1:9" ht="15.95" customHeight="1">
      <c r="A45" s="478"/>
      <c r="B45" s="241"/>
      <c r="C45" s="269"/>
      <c r="D45" s="269"/>
      <c r="E45" s="246"/>
      <c r="F45" s="270"/>
      <c r="G45" s="270"/>
      <c r="H45" s="192">
        <f t="shared" si="0"/>
        <v>0</v>
      </c>
      <c r="I45" s="247"/>
    </row>
    <row r="46" spans="1:9" ht="15.95" customHeight="1">
      <c r="A46" s="478"/>
      <c r="B46" s="241"/>
      <c r="C46" s="251"/>
      <c r="D46" s="251"/>
      <c r="E46" s="251"/>
      <c r="F46" s="254"/>
      <c r="G46" s="254"/>
      <c r="H46" s="281">
        <f t="shared" si="0"/>
        <v>0</v>
      </c>
      <c r="I46" s="255"/>
    </row>
    <row r="47" spans="1:9" ht="15.95" customHeight="1">
      <c r="A47" s="478"/>
      <c r="B47" s="256"/>
      <c r="C47" s="257"/>
      <c r="D47" s="258"/>
      <c r="E47" s="258"/>
      <c r="F47" s="260"/>
      <c r="G47" s="260"/>
      <c r="H47" s="261">
        <f>SUM(H31:H46)</f>
        <v>0</v>
      </c>
      <c r="I47" s="262"/>
    </row>
    <row r="48" spans="1:9" ht="15.95" customHeight="1">
      <c r="A48" s="478"/>
      <c r="B48" s="280" t="s">
        <v>190</v>
      </c>
      <c r="C48" s="264"/>
      <c r="D48" s="264"/>
      <c r="E48" s="264"/>
      <c r="F48" s="265"/>
      <c r="G48" s="265"/>
      <c r="H48" s="266">
        <f t="shared" si="0"/>
        <v>0</v>
      </c>
      <c r="I48" s="267"/>
    </row>
    <row r="49" spans="1:9" ht="15.95" customHeight="1">
      <c r="A49" s="478"/>
      <c r="B49" s="241"/>
      <c r="C49" s="246"/>
      <c r="D49" s="246"/>
      <c r="E49" s="246"/>
      <c r="F49" s="250"/>
      <c r="G49" s="250"/>
      <c r="H49" s="192">
        <f t="shared" si="0"/>
        <v>0</v>
      </c>
      <c r="I49" s="247"/>
    </row>
    <row r="50" spans="1:9" ht="15.95" customHeight="1">
      <c r="A50" s="478"/>
      <c r="B50" s="241"/>
      <c r="C50" s="246"/>
      <c r="D50" s="246"/>
      <c r="E50" s="246"/>
      <c r="F50" s="250"/>
      <c r="G50" s="250"/>
      <c r="H50" s="192">
        <f t="shared" si="0"/>
        <v>0</v>
      </c>
      <c r="I50" s="247"/>
    </row>
    <row r="51" spans="1:9" ht="15.95" customHeight="1">
      <c r="A51" s="478"/>
      <c r="B51" s="241"/>
      <c r="C51" s="246"/>
      <c r="D51" s="246"/>
      <c r="E51" s="246"/>
      <c r="F51" s="250"/>
      <c r="G51" s="250"/>
      <c r="H51" s="192">
        <f t="shared" si="0"/>
        <v>0</v>
      </c>
      <c r="I51" s="247"/>
    </row>
    <row r="52" spans="1:9" ht="15.95" customHeight="1">
      <c r="A52" s="478"/>
      <c r="B52" s="241"/>
      <c r="C52" s="246"/>
      <c r="D52" s="246"/>
      <c r="E52" s="246"/>
      <c r="F52" s="250"/>
      <c r="G52" s="250"/>
      <c r="H52" s="192">
        <f t="shared" si="0"/>
        <v>0</v>
      </c>
      <c r="I52" s="247"/>
    </row>
    <row r="53" spans="1:9" ht="15.95" customHeight="1">
      <c r="A53" s="478"/>
      <c r="B53" s="241"/>
      <c r="C53" s="246"/>
      <c r="D53" s="246"/>
      <c r="E53" s="246"/>
      <c r="F53" s="250"/>
      <c r="G53" s="250"/>
      <c r="H53" s="192">
        <f t="shared" si="0"/>
        <v>0</v>
      </c>
      <c r="I53" s="247"/>
    </row>
    <row r="54" spans="1:9" ht="15.95" customHeight="1">
      <c r="A54" s="478"/>
      <c r="B54" s="241"/>
      <c r="C54" s="251"/>
      <c r="D54" s="251"/>
      <c r="E54" s="251"/>
      <c r="F54" s="254"/>
      <c r="G54" s="254"/>
      <c r="H54" s="281">
        <f t="shared" si="0"/>
        <v>0</v>
      </c>
      <c r="I54" s="255"/>
    </row>
    <row r="55" spans="1:9" ht="15.95" customHeight="1">
      <c r="A55" s="478"/>
      <c r="B55" s="256"/>
      <c r="C55" s="257"/>
      <c r="D55" s="258"/>
      <c r="E55" s="258"/>
      <c r="F55" s="260"/>
      <c r="G55" s="260"/>
      <c r="H55" s="261">
        <f>SUM(H48:H54)</f>
        <v>0</v>
      </c>
      <c r="I55" s="262"/>
    </row>
    <row r="56" spans="1:9" ht="15.95" customHeight="1">
      <c r="A56" s="282"/>
      <c r="B56" s="283" t="s">
        <v>191</v>
      </c>
      <c r="C56" s="284"/>
      <c r="D56" s="262"/>
      <c r="E56" s="262"/>
      <c r="F56" s="286"/>
      <c r="G56" s="286"/>
      <c r="H56" s="261">
        <f>SUM(H55,H47,H30,H24)</f>
        <v>0</v>
      </c>
      <c r="I56" s="262"/>
    </row>
    <row r="57" spans="1:9" ht="15.95" customHeight="1">
      <c r="A57" s="479" t="s">
        <v>192</v>
      </c>
      <c r="B57" s="287" t="s">
        <v>193</v>
      </c>
      <c r="C57" s="284"/>
      <c r="D57" s="288"/>
      <c r="E57" s="313" t="s">
        <v>194</v>
      </c>
      <c r="F57" s="307"/>
      <c r="G57" s="307"/>
      <c r="H57" s="290">
        <f>F57*G57</f>
        <v>0</v>
      </c>
      <c r="I57" s="262"/>
    </row>
    <row r="58" spans="1:9" ht="15.95" customHeight="1">
      <c r="A58" s="478"/>
      <c r="B58" s="291" t="s">
        <v>195</v>
      </c>
      <c r="C58" s="292"/>
      <c r="D58" s="293"/>
      <c r="E58" s="314" t="s">
        <v>153</v>
      </c>
      <c r="F58" s="265"/>
      <c r="G58" s="265"/>
      <c r="H58" s="266">
        <f t="shared" ref="H58:H64" si="1">F58*G58</f>
        <v>0</v>
      </c>
      <c r="I58" s="267"/>
    </row>
    <row r="59" spans="1:9" ht="15.95" customHeight="1">
      <c r="A59" s="478"/>
      <c r="B59" s="317" t="s">
        <v>196</v>
      </c>
      <c r="C59" s="296"/>
      <c r="D59" s="297"/>
      <c r="E59" s="315" t="s">
        <v>153</v>
      </c>
      <c r="F59" s="250"/>
      <c r="G59" s="250"/>
      <c r="H59" s="192">
        <f t="shared" si="1"/>
        <v>0</v>
      </c>
      <c r="I59" s="247"/>
    </row>
    <row r="60" spans="1:9" ht="15.95" customHeight="1">
      <c r="A60" s="478"/>
      <c r="B60" s="295" t="s">
        <v>197</v>
      </c>
      <c r="C60" s="296"/>
      <c r="D60" s="297"/>
      <c r="E60" s="315" t="s">
        <v>153</v>
      </c>
      <c r="F60" s="250"/>
      <c r="G60" s="250"/>
      <c r="H60" s="192">
        <f t="shared" si="1"/>
        <v>0</v>
      </c>
      <c r="I60" s="247"/>
    </row>
    <row r="61" spans="1:9" ht="15.95" customHeight="1">
      <c r="A61" s="478"/>
      <c r="B61" s="295" t="s">
        <v>198</v>
      </c>
      <c r="C61" s="296"/>
      <c r="D61" s="297"/>
      <c r="E61" s="315" t="s">
        <v>153</v>
      </c>
      <c r="F61" s="250"/>
      <c r="G61" s="250"/>
      <c r="H61" s="192">
        <f t="shared" si="1"/>
        <v>0</v>
      </c>
      <c r="I61" s="247"/>
    </row>
    <row r="62" spans="1:9" ht="15.95" customHeight="1">
      <c r="A62" s="478"/>
      <c r="B62" s="295" t="s">
        <v>199</v>
      </c>
      <c r="C62" s="296"/>
      <c r="D62" s="297"/>
      <c r="E62" s="315" t="s">
        <v>153</v>
      </c>
      <c r="F62" s="250"/>
      <c r="G62" s="250"/>
      <c r="H62" s="192">
        <f t="shared" si="1"/>
        <v>0</v>
      </c>
      <c r="I62" s="247"/>
    </row>
    <row r="63" spans="1:9" ht="15.95" customHeight="1">
      <c r="A63" s="478"/>
      <c r="B63" s="295" t="s">
        <v>200</v>
      </c>
      <c r="C63" s="296"/>
      <c r="D63" s="297"/>
      <c r="E63" s="315" t="s">
        <v>153</v>
      </c>
      <c r="F63" s="250"/>
      <c r="G63" s="250"/>
      <c r="H63" s="192">
        <f t="shared" si="1"/>
        <v>0</v>
      </c>
      <c r="I63" s="247"/>
    </row>
    <row r="64" spans="1:9" ht="15.95" customHeight="1">
      <c r="A64" s="478"/>
      <c r="B64" s="299" t="s">
        <v>201</v>
      </c>
      <c r="C64" s="300"/>
      <c r="D64" s="301"/>
      <c r="E64" s="316" t="s">
        <v>153</v>
      </c>
      <c r="F64" s="254"/>
      <c r="G64" s="254"/>
      <c r="H64" s="281">
        <f t="shared" si="1"/>
        <v>0</v>
      </c>
      <c r="I64" s="255"/>
    </row>
    <row r="65" spans="1:9" ht="15.95" customHeight="1">
      <c r="A65" s="282"/>
      <c r="B65" s="303" t="s">
        <v>202</v>
      </c>
      <c r="C65" s="284"/>
      <c r="D65" s="262"/>
      <c r="E65" s="262"/>
      <c r="F65" s="260"/>
      <c r="G65" s="260"/>
      <c r="H65" s="260">
        <f>SUM(H57:H64)</f>
        <v>0</v>
      </c>
      <c r="I65" s="258"/>
    </row>
    <row r="66" spans="1:9" ht="15.95" customHeight="1">
      <c r="A66" s="304"/>
      <c r="B66" s="303" t="s">
        <v>203</v>
      </c>
      <c r="C66" s="284"/>
      <c r="D66" s="262"/>
      <c r="E66" s="262"/>
      <c r="F66" s="261"/>
      <c r="G66" s="261"/>
      <c r="H66" s="286">
        <f>'단위공사별(집계)'!L9+'단위공사별(집계)'!I9</f>
        <v>0</v>
      </c>
      <c r="I66" s="262"/>
    </row>
    <row r="67" spans="1:9" ht="15.95" customHeight="1">
      <c r="A67" s="304"/>
      <c r="B67" s="303" t="s">
        <v>204</v>
      </c>
      <c r="C67" s="284"/>
      <c r="D67" s="262"/>
      <c r="E67" s="262"/>
      <c r="F67" s="261"/>
      <c r="G67" s="306"/>
      <c r="H67" s="307">
        <f>(H65+H56)*0.05</f>
        <v>0</v>
      </c>
      <c r="I67" s="284"/>
    </row>
    <row r="68" spans="1:9" ht="15.95" customHeight="1">
      <c r="A68" s="304"/>
      <c r="B68" s="303" t="s">
        <v>205</v>
      </c>
      <c r="C68" s="284"/>
      <c r="D68" s="262"/>
      <c r="E68" s="262"/>
      <c r="F68" s="261"/>
      <c r="G68" s="306"/>
      <c r="H68" s="307">
        <f>(H65+H56)*0.1</f>
        <v>0</v>
      </c>
      <c r="I68" s="284"/>
    </row>
    <row r="69" spans="1:9" ht="15.95" customHeight="1">
      <c r="A69" s="304"/>
      <c r="B69" s="303" t="s">
        <v>206</v>
      </c>
      <c r="C69" s="284"/>
      <c r="D69" s="262"/>
      <c r="E69" s="262"/>
      <c r="F69" s="261"/>
      <c r="G69" s="261"/>
      <c r="H69" s="260">
        <f>H56+H65+H66+H67+H68</f>
        <v>0</v>
      </c>
      <c r="I69" s="262"/>
    </row>
    <row r="70" spans="1:9">
      <c r="A70" s="159"/>
    </row>
  </sheetData>
  <mergeCells count="3">
    <mergeCell ref="A2:B2"/>
    <mergeCell ref="A3:A55"/>
    <mergeCell ref="A57:A64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I70"/>
  <sheetViews>
    <sheetView zoomScale="85" workbookViewId="0">
      <pane xSplit="2" ySplit="2" topLeftCell="D3" activePane="bottomRight" state="frozen"/>
      <selection activeCell="G33" sqref="G33:I33"/>
      <selection pane="topRight" activeCell="G33" sqref="G33:I33"/>
      <selection pane="bottomLeft" activeCell="G33" sqref="G33:I33"/>
      <selection pane="bottomRight" activeCell="G33" sqref="G33:I33"/>
    </sheetView>
  </sheetViews>
  <sheetFormatPr defaultRowHeight="13.5"/>
  <cols>
    <col min="1" max="1" width="5" style="142" customWidth="1"/>
    <col min="2" max="2" width="17.875" style="142" bestFit="1" customWidth="1"/>
    <col min="3" max="3" width="23.625" style="142" customWidth="1"/>
    <col min="4" max="4" width="18.25" style="142" customWidth="1"/>
    <col min="5" max="5" width="5.25" style="142" bestFit="1" customWidth="1"/>
    <col min="6" max="6" width="9" style="181"/>
    <col min="7" max="7" width="11.875" style="181" customWidth="1"/>
    <col min="8" max="8" width="13.625" style="181" customWidth="1"/>
    <col min="9" max="9" width="12.75" style="142" customWidth="1"/>
    <col min="10" max="16384" width="9" style="142"/>
  </cols>
  <sheetData>
    <row r="1" spans="1:9" ht="22.5" customHeight="1">
      <c r="B1" s="233" t="s">
        <v>207</v>
      </c>
      <c r="C1" s="309"/>
      <c r="D1" s="235"/>
      <c r="E1" s="235"/>
      <c r="F1" s="310"/>
      <c r="G1" s="195"/>
      <c r="I1" s="142" t="s">
        <v>208</v>
      </c>
    </row>
    <row r="2" spans="1:9" s="159" customFormat="1" ht="16.5" customHeight="1">
      <c r="A2" s="361" t="s">
        <v>209</v>
      </c>
      <c r="B2" s="473"/>
      <c r="C2" s="150" t="s">
        <v>210</v>
      </c>
      <c r="D2" s="143" t="s">
        <v>211</v>
      </c>
      <c r="E2" s="143" t="s">
        <v>212</v>
      </c>
      <c r="F2" s="285" t="s">
        <v>213</v>
      </c>
      <c r="G2" s="285" t="s">
        <v>214</v>
      </c>
      <c r="H2" s="285" t="s">
        <v>215</v>
      </c>
      <c r="I2" s="143" t="s">
        <v>216</v>
      </c>
    </row>
    <row r="3" spans="1:9" ht="15.95" customHeight="1">
      <c r="A3" s="474" t="s">
        <v>217</v>
      </c>
      <c r="B3" s="241" t="s">
        <v>218</v>
      </c>
      <c r="C3" s="264"/>
      <c r="D3" s="264"/>
      <c r="E3" s="264"/>
      <c r="F3" s="265"/>
      <c r="G3" s="265"/>
      <c r="H3" s="266">
        <f>IF(F3=0,G3,G3*F3)</f>
        <v>0</v>
      </c>
      <c r="I3" s="267"/>
    </row>
    <row r="4" spans="1:9" ht="15.95" customHeight="1">
      <c r="A4" s="478"/>
      <c r="B4" s="241"/>
      <c r="C4" s="246"/>
      <c r="D4" s="246"/>
      <c r="E4" s="246"/>
      <c r="F4" s="250"/>
      <c r="G4" s="250"/>
      <c r="H4" s="192">
        <f>IF(F4=0,G4,G4*F4)</f>
        <v>0</v>
      </c>
      <c r="I4" s="247"/>
    </row>
    <row r="5" spans="1:9" ht="15.95" customHeight="1">
      <c r="A5" s="478"/>
      <c r="B5" s="241"/>
      <c r="C5" s="246"/>
      <c r="D5" s="246"/>
      <c r="E5" s="246"/>
      <c r="F5" s="250"/>
      <c r="G5" s="250"/>
      <c r="H5" s="192">
        <f t="shared" ref="H5:H54" si="0">IF(F5=0,G5,G5*F5)</f>
        <v>0</v>
      </c>
      <c r="I5" s="247"/>
    </row>
    <row r="6" spans="1:9" ht="15.95" customHeight="1">
      <c r="A6" s="478"/>
      <c r="B6" s="241"/>
      <c r="C6" s="246"/>
      <c r="D6" s="246"/>
      <c r="E6" s="246"/>
      <c r="F6" s="250"/>
      <c r="G6" s="250"/>
      <c r="H6" s="192">
        <f t="shared" si="0"/>
        <v>0</v>
      </c>
      <c r="I6" s="247"/>
    </row>
    <row r="7" spans="1:9" ht="15.95" customHeight="1">
      <c r="A7" s="478"/>
      <c r="B7" s="241"/>
      <c r="C7" s="246"/>
      <c r="D7" s="246"/>
      <c r="E7" s="246"/>
      <c r="F7" s="250"/>
      <c r="G7" s="250"/>
      <c r="H7" s="192">
        <f t="shared" si="0"/>
        <v>0</v>
      </c>
      <c r="I7" s="247"/>
    </row>
    <row r="8" spans="1:9" ht="15.95" customHeight="1">
      <c r="A8" s="478"/>
      <c r="B8" s="241"/>
      <c r="C8" s="246"/>
      <c r="D8" s="246"/>
      <c r="E8" s="246"/>
      <c r="F8" s="250"/>
      <c r="G8" s="250"/>
      <c r="H8" s="192">
        <f t="shared" si="0"/>
        <v>0</v>
      </c>
      <c r="I8" s="247"/>
    </row>
    <row r="9" spans="1:9" ht="15.95" customHeight="1">
      <c r="A9" s="478"/>
      <c r="B9" s="241"/>
      <c r="C9" s="246"/>
      <c r="D9" s="246"/>
      <c r="E9" s="246"/>
      <c r="F9" s="250"/>
      <c r="G9" s="250"/>
      <c r="H9" s="192">
        <f t="shared" si="0"/>
        <v>0</v>
      </c>
      <c r="I9" s="247"/>
    </row>
    <row r="10" spans="1:9" ht="15.95" customHeight="1">
      <c r="A10" s="478"/>
      <c r="B10" s="241"/>
      <c r="C10" s="246"/>
      <c r="D10" s="246"/>
      <c r="E10" s="246"/>
      <c r="F10" s="250"/>
      <c r="G10" s="250"/>
      <c r="H10" s="192">
        <f t="shared" si="0"/>
        <v>0</v>
      </c>
      <c r="I10" s="247"/>
    </row>
    <row r="11" spans="1:9" ht="15.95" customHeight="1">
      <c r="A11" s="478"/>
      <c r="B11" s="241"/>
      <c r="C11" s="246"/>
      <c r="D11" s="246"/>
      <c r="E11" s="246"/>
      <c r="F11" s="250"/>
      <c r="G11" s="250"/>
      <c r="H11" s="192">
        <f t="shared" si="0"/>
        <v>0</v>
      </c>
      <c r="I11" s="247"/>
    </row>
    <row r="12" spans="1:9" ht="15.95" customHeight="1">
      <c r="A12" s="478"/>
      <c r="B12" s="241"/>
      <c r="C12" s="246"/>
      <c r="D12" s="246"/>
      <c r="E12" s="246"/>
      <c r="F12" s="250"/>
      <c r="G12" s="250"/>
      <c r="H12" s="192">
        <f t="shared" si="0"/>
        <v>0</v>
      </c>
      <c r="I12" s="247"/>
    </row>
    <row r="13" spans="1:9" ht="15.95" customHeight="1">
      <c r="A13" s="478"/>
      <c r="B13" s="241"/>
      <c r="C13" s="246"/>
      <c r="D13" s="246"/>
      <c r="E13" s="246"/>
      <c r="F13" s="250"/>
      <c r="G13" s="250"/>
      <c r="H13" s="192">
        <f t="shared" si="0"/>
        <v>0</v>
      </c>
      <c r="I13" s="247"/>
    </row>
    <row r="14" spans="1:9" ht="15.95" customHeight="1">
      <c r="A14" s="478"/>
      <c r="B14" s="241"/>
      <c r="C14" s="246"/>
      <c r="D14" s="246"/>
      <c r="E14" s="246"/>
      <c r="F14" s="250"/>
      <c r="G14" s="250"/>
      <c r="H14" s="192">
        <f t="shared" si="0"/>
        <v>0</v>
      </c>
      <c r="I14" s="247"/>
    </row>
    <row r="15" spans="1:9" ht="15.95" customHeight="1">
      <c r="A15" s="478"/>
      <c r="B15" s="241"/>
      <c r="C15" s="246"/>
      <c r="D15" s="246"/>
      <c r="E15" s="246"/>
      <c r="F15" s="250"/>
      <c r="G15" s="250"/>
      <c r="H15" s="192">
        <f t="shared" si="0"/>
        <v>0</v>
      </c>
      <c r="I15" s="247"/>
    </row>
    <row r="16" spans="1:9" ht="15.95" customHeight="1">
      <c r="A16" s="478"/>
      <c r="B16" s="241"/>
      <c r="C16" s="246"/>
      <c r="D16" s="246"/>
      <c r="E16" s="246"/>
      <c r="F16" s="250"/>
      <c r="G16" s="250"/>
      <c r="H16" s="192">
        <f t="shared" si="0"/>
        <v>0</v>
      </c>
      <c r="I16" s="247"/>
    </row>
    <row r="17" spans="1:9" ht="15.95" customHeight="1">
      <c r="A17" s="478"/>
      <c r="B17" s="241"/>
      <c r="C17" s="246"/>
      <c r="D17" s="246"/>
      <c r="E17" s="246"/>
      <c r="F17" s="250"/>
      <c r="G17" s="250"/>
      <c r="H17" s="192">
        <f t="shared" si="0"/>
        <v>0</v>
      </c>
      <c r="I17" s="247"/>
    </row>
    <row r="18" spans="1:9" ht="15.95" customHeight="1">
      <c r="A18" s="478"/>
      <c r="B18" s="241"/>
      <c r="C18" s="246"/>
      <c r="D18" s="246"/>
      <c r="E18" s="246"/>
      <c r="F18" s="250"/>
      <c r="G18" s="250"/>
      <c r="H18" s="192">
        <f t="shared" si="0"/>
        <v>0</v>
      </c>
      <c r="I18" s="247"/>
    </row>
    <row r="19" spans="1:9" ht="15.95" customHeight="1">
      <c r="A19" s="478"/>
      <c r="B19" s="241"/>
      <c r="C19" s="246"/>
      <c r="D19" s="246"/>
      <c r="E19" s="246"/>
      <c r="F19" s="250"/>
      <c r="G19" s="250"/>
      <c r="H19" s="192">
        <f t="shared" si="0"/>
        <v>0</v>
      </c>
      <c r="I19" s="247"/>
    </row>
    <row r="20" spans="1:9" ht="15.95" customHeight="1">
      <c r="A20" s="478"/>
      <c r="B20" s="241"/>
      <c r="C20" s="246"/>
      <c r="D20" s="246"/>
      <c r="E20" s="246"/>
      <c r="F20" s="250"/>
      <c r="G20" s="250"/>
      <c r="H20" s="192">
        <f t="shared" si="0"/>
        <v>0</v>
      </c>
      <c r="I20" s="247"/>
    </row>
    <row r="21" spans="1:9" ht="15.95" customHeight="1">
      <c r="A21" s="478"/>
      <c r="B21" s="241"/>
      <c r="C21" s="246"/>
      <c r="D21" s="246"/>
      <c r="E21" s="246"/>
      <c r="F21" s="250"/>
      <c r="G21" s="250"/>
      <c r="H21" s="192">
        <f t="shared" si="0"/>
        <v>0</v>
      </c>
      <c r="I21" s="247"/>
    </row>
    <row r="22" spans="1:9" ht="15.95" customHeight="1">
      <c r="A22" s="478"/>
      <c r="B22" s="241"/>
      <c r="C22" s="246"/>
      <c r="D22" s="246"/>
      <c r="E22" s="246"/>
      <c r="F22" s="250"/>
      <c r="G22" s="250"/>
      <c r="H22" s="192">
        <f t="shared" si="0"/>
        <v>0</v>
      </c>
      <c r="I22" s="247"/>
    </row>
    <row r="23" spans="1:9" ht="15.95" customHeight="1">
      <c r="A23" s="478"/>
      <c r="B23" s="241"/>
      <c r="C23" s="251" t="s">
        <v>219</v>
      </c>
      <c r="D23" s="269"/>
      <c r="E23" s="269"/>
      <c r="F23" s="270"/>
      <c r="G23" s="270"/>
      <c r="H23" s="271">
        <f t="shared" si="0"/>
        <v>0</v>
      </c>
      <c r="I23" s="272"/>
    </row>
    <row r="24" spans="1:9" ht="15.95" customHeight="1">
      <c r="A24" s="478"/>
      <c r="B24" s="256"/>
      <c r="C24" s="279"/>
      <c r="D24" s="279"/>
      <c r="E24" s="279"/>
      <c r="F24" s="277"/>
      <c r="G24" s="277"/>
      <c r="H24" s="278">
        <f>SUM(H3:H23)</f>
        <v>0</v>
      </c>
      <c r="I24" s="279"/>
    </row>
    <row r="25" spans="1:9" ht="15.95" customHeight="1">
      <c r="A25" s="478"/>
      <c r="B25" s="241" t="s">
        <v>177</v>
      </c>
      <c r="C25" s="242"/>
      <c r="D25" s="242"/>
      <c r="E25" s="242"/>
      <c r="F25" s="243"/>
      <c r="G25" s="243"/>
      <c r="H25" s="244">
        <f t="shared" si="0"/>
        <v>0</v>
      </c>
      <c r="I25" s="245"/>
    </row>
    <row r="26" spans="1:9" ht="15.95" customHeight="1">
      <c r="A26" s="478"/>
      <c r="B26" s="241" t="s">
        <v>178</v>
      </c>
      <c r="C26" s="246"/>
      <c r="D26" s="246"/>
      <c r="E26" s="246"/>
      <c r="F26" s="250"/>
      <c r="G26" s="250"/>
      <c r="H26" s="192">
        <f t="shared" si="0"/>
        <v>0</v>
      </c>
      <c r="I26" s="247"/>
    </row>
    <row r="27" spans="1:9" ht="15.95" customHeight="1">
      <c r="A27" s="478"/>
      <c r="B27" s="241"/>
      <c r="C27" s="246"/>
      <c r="D27" s="246"/>
      <c r="E27" s="246"/>
      <c r="F27" s="250"/>
      <c r="G27" s="250"/>
      <c r="H27" s="192">
        <f t="shared" si="0"/>
        <v>0</v>
      </c>
      <c r="I27" s="247"/>
    </row>
    <row r="28" spans="1:9" ht="15.95" customHeight="1">
      <c r="A28" s="478"/>
      <c r="B28" s="241"/>
      <c r="C28" s="246"/>
      <c r="D28" s="246"/>
      <c r="E28" s="246"/>
      <c r="F28" s="250"/>
      <c r="G28" s="250"/>
      <c r="H28" s="192">
        <f t="shared" si="0"/>
        <v>0</v>
      </c>
      <c r="I28" s="247"/>
    </row>
    <row r="29" spans="1:9" ht="15.95" customHeight="1">
      <c r="A29" s="478"/>
      <c r="B29" s="241"/>
      <c r="C29" s="251" t="s">
        <v>219</v>
      </c>
      <c r="D29" s="251"/>
      <c r="E29" s="251"/>
      <c r="F29" s="254"/>
      <c r="G29" s="254"/>
      <c r="H29" s="192">
        <f t="shared" si="0"/>
        <v>0</v>
      </c>
      <c r="I29" s="255"/>
    </row>
    <row r="30" spans="1:9" ht="15.95" customHeight="1">
      <c r="A30" s="478"/>
      <c r="B30" s="256"/>
      <c r="C30" s="257"/>
      <c r="D30" s="258"/>
      <c r="E30" s="258"/>
      <c r="F30" s="312"/>
      <c r="G30" s="260"/>
      <c r="H30" s="261">
        <f>SUM(H25:H29)</f>
        <v>0</v>
      </c>
      <c r="I30" s="262"/>
    </row>
    <row r="31" spans="1:9" ht="15.95" customHeight="1">
      <c r="A31" s="478"/>
      <c r="B31" s="280" t="s">
        <v>179</v>
      </c>
      <c r="C31" s="264"/>
      <c r="D31" s="264"/>
      <c r="E31" s="264"/>
      <c r="F31" s="265"/>
      <c r="G31" s="265"/>
      <c r="H31" s="266">
        <f t="shared" si="0"/>
        <v>0</v>
      </c>
      <c r="I31" s="267"/>
    </row>
    <row r="32" spans="1:9" ht="15.95" customHeight="1">
      <c r="A32" s="478"/>
      <c r="B32" s="241" t="s">
        <v>180</v>
      </c>
      <c r="C32" s="246"/>
      <c r="D32" s="246"/>
      <c r="E32" s="246"/>
      <c r="F32" s="250"/>
      <c r="G32" s="250"/>
      <c r="H32" s="192">
        <f t="shared" si="0"/>
        <v>0</v>
      </c>
      <c r="I32" s="247"/>
    </row>
    <row r="33" spans="1:9" ht="15.95" customHeight="1">
      <c r="A33" s="478"/>
      <c r="B33" s="241"/>
      <c r="C33" s="246"/>
      <c r="D33" s="246"/>
      <c r="E33" s="246"/>
      <c r="F33" s="250"/>
      <c r="G33" s="250"/>
      <c r="H33" s="192">
        <f t="shared" si="0"/>
        <v>0</v>
      </c>
      <c r="I33" s="247"/>
    </row>
    <row r="34" spans="1:9" ht="15.95" customHeight="1">
      <c r="A34" s="478"/>
      <c r="B34" s="241"/>
      <c r="C34" s="246"/>
      <c r="D34" s="246"/>
      <c r="E34" s="246"/>
      <c r="F34" s="250"/>
      <c r="G34" s="250"/>
      <c r="H34" s="192">
        <f t="shared" si="0"/>
        <v>0</v>
      </c>
      <c r="I34" s="247"/>
    </row>
    <row r="35" spans="1:9" ht="15.95" customHeight="1">
      <c r="A35" s="478"/>
      <c r="B35" s="241"/>
      <c r="C35" s="246"/>
      <c r="D35" s="246"/>
      <c r="E35" s="246"/>
      <c r="F35" s="250"/>
      <c r="G35" s="250"/>
      <c r="H35" s="192">
        <f t="shared" si="0"/>
        <v>0</v>
      </c>
      <c r="I35" s="247"/>
    </row>
    <row r="36" spans="1:9" ht="15.95" customHeight="1">
      <c r="A36" s="478"/>
      <c r="B36" s="241"/>
      <c r="C36" s="246"/>
      <c r="D36" s="246"/>
      <c r="E36" s="246"/>
      <c r="F36" s="250"/>
      <c r="G36" s="250"/>
      <c r="H36" s="192">
        <f t="shared" si="0"/>
        <v>0</v>
      </c>
      <c r="I36" s="247"/>
    </row>
    <row r="37" spans="1:9" ht="15.95" customHeight="1">
      <c r="A37" s="478"/>
      <c r="B37" s="241"/>
      <c r="C37" s="246"/>
      <c r="D37" s="246"/>
      <c r="E37" s="246"/>
      <c r="F37" s="250"/>
      <c r="G37" s="250"/>
      <c r="H37" s="192">
        <f t="shared" si="0"/>
        <v>0</v>
      </c>
      <c r="I37" s="247"/>
    </row>
    <row r="38" spans="1:9" ht="15.95" customHeight="1">
      <c r="A38" s="478"/>
      <c r="B38" s="241"/>
      <c r="C38" s="246"/>
      <c r="D38" s="246"/>
      <c r="E38" s="246"/>
      <c r="F38" s="250"/>
      <c r="G38" s="250"/>
      <c r="H38" s="192">
        <f t="shared" si="0"/>
        <v>0</v>
      </c>
      <c r="I38" s="247"/>
    </row>
    <row r="39" spans="1:9" ht="15.95" customHeight="1">
      <c r="A39" s="478"/>
      <c r="B39" s="241"/>
      <c r="C39" s="246"/>
      <c r="D39" s="246"/>
      <c r="E39" s="246"/>
      <c r="F39" s="250"/>
      <c r="G39" s="250"/>
      <c r="H39" s="192">
        <f t="shared" si="0"/>
        <v>0</v>
      </c>
      <c r="I39" s="247"/>
    </row>
    <row r="40" spans="1:9" ht="15.95" customHeight="1">
      <c r="A40" s="478"/>
      <c r="B40" s="241"/>
      <c r="C40" s="246"/>
      <c r="D40" s="246"/>
      <c r="E40" s="246"/>
      <c r="F40" s="250"/>
      <c r="G40" s="250"/>
      <c r="H40" s="192">
        <f t="shared" si="0"/>
        <v>0</v>
      </c>
      <c r="I40" s="247"/>
    </row>
    <row r="41" spans="1:9" ht="15.95" customHeight="1">
      <c r="A41" s="478"/>
      <c r="B41" s="241"/>
      <c r="C41" s="246"/>
      <c r="D41" s="246"/>
      <c r="E41" s="246"/>
      <c r="F41" s="250"/>
      <c r="G41" s="250"/>
      <c r="H41" s="192">
        <f t="shared" si="0"/>
        <v>0</v>
      </c>
      <c r="I41" s="247"/>
    </row>
    <row r="42" spans="1:9" ht="15.95" customHeight="1">
      <c r="A42" s="478"/>
      <c r="B42" s="241"/>
      <c r="C42" s="246"/>
      <c r="D42" s="246"/>
      <c r="E42" s="246"/>
      <c r="F42" s="250"/>
      <c r="G42" s="250"/>
      <c r="H42" s="192">
        <f t="shared" si="0"/>
        <v>0</v>
      </c>
      <c r="I42" s="247"/>
    </row>
    <row r="43" spans="1:9" ht="15.95" customHeight="1">
      <c r="A43" s="478"/>
      <c r="B43" s="241"/>
      <c r="C43" s="246"/>
      <c r="D43" s="246"/>
      <c r="E43" s="246"/>
      <c r="F43" s="250"/>
      <c r="G43" s="250"/>
      <c r="H43" s="192">
        <f t="shared" si="0"/>
        <v>0</v>
      </c>
      <c r="I43" s="247"/>
    </row>
    <row r="44" spans="1:9" ht="15.95" customHeight="1">
      <c r="A44" s="478"/>
      <c r="B44" s="241"/>
      <c r="C44" s="246"/>
      <c r="D44" s="246"/>
      <c r="E44" s="246"/>
      <c r="F44" s="250"/>
      <c r="G44" s="250"/>
      <c r="H44" s="192">
        <f t="shared" si="0"/>
        <v>0</v>
      </c>
      <c r="I44" s="247"/>
    </row>
    <row r="45" spans="1:9" ht="15.95" customHeight="1">
      <c r="A45" s="478"/>
      <c r="B45" s="241"/>
      <c r="C45" s="246"/>
      <c r="D45" s="246"/>
      <c r="E45" s="246"/>
      <c r="F45" s="250"/>
      <c r="G45" s="250"/>
      <c r="H45" s="192">
        <f t="shared" si="0"/>
        <v>0</v>
      </c>
      <c r="I45" s="247"/>
    </row>
    <row r="46" spans="1:9" ht="15.95" customHeight="1">
      <c r="A46" s="478"/>
      <c r="B46" s="241"/>
      <c r="C46" s="251" t="s">
        <v>219</v>
      </c>
      <c r="D46" s="251"/>
      <c r="E46" s="251"/>
      <c r="F46" s="254"/>
      <c r="G46" s="254"/>
      <c r="H46" s="281">
        <f t="shared" si="0"/>
        <v>0</v>
      </c>
      <c r="I46" s="255"/>
    </row>
    <row r="47" spans="1:9" ht="15.95" customHeight="1">
      <c r="A47" s="478"/>
      <c r="B47" s="256"/>
      <c r="C47" s="257"/>
      <c r="D47" s="258"/>
      <c r="E47" s="258"/>
      <c r="F47" s="260"/>
      <c r="G47" s="260"/>
      <c r="H47" s="261">
        <f>SUM(H31:H46)</f>
        <v>0</v>
      </c>
      <c r="I47" s="262"/>
    </row>
    <row r="48" spans="1:9" ht="15.95" customHeight="1">
      <c r="A48" s="478"/>
      <c r="B48" s="280" t="s">
        <v>220</v>
      </c>
      <c r="C48" s="264"/>
      <c r="D48" s="264"/>
      <c r="E48" s="264"/>
      <c r="F48" s="265"/>
      <c r="G48" s="265"/>
      <c r="H48" s="266">
        <f t="shared" si="0"/>
        <v>0</v>
      </c>
      <c r="I48" s="267"/>
    </row>
    <row r="49" spans="1:9" ht="15.95" customHeight="1">
      <c r="A49" s="478"/>
      <c r="B49" s="241"/>
      <c r="C49" s="246"/>
      <c r="D49" s="246"/>
      <c r="E49" s="246"/>
      <c r="F49" s="250"/>
      <c r="G49" s="250"/>
      <c r="H49" s="192">
        <f t="shared" si="0"/>
        <v>0</v>
      </c>
      <c r="I49" s="247"/>
    </row>
    <row r="50" spans="1:9" ht="15.95" customHeight="1">
      <c r="A50" s="478"/>
      <c r="B50" s="241"/>
      <c r="C50" s="246"/>
      <c r="D50" s="246"/>
      <c r="E50" s="246"/>
      <c r="F50" s="250"/>
      <c r="G50" s="250"/>
      <c r="H50" s="192">
        <f t="shared" si="0"/>
        <v>0</v>
      </c>
      <c r="I50" s="247"/>
    </row>
    <row r="51" spans="1:9" ht="15.95" customHeight="1">
      <c r="A51" s="478"/>
      <c r="B51" s="241"/>
      <c r="C51" s="246"/>
      <c r="D51" s="246"/>
      <c r="E51" s="246"/>
      <c r="F51" s="250"/>
      <c r="G51" s="250"/>
      <c r="H51" s="192">
        <f t="shared" si="0"/>
        <v>0</v>
      </c>
      <c r="I51" s="247"/>
    </row>
    <row r="52" spans="1:9" ht="15.95" customHeight="1">
      <c r="A52" s="478"/>
      <c r="B52" s="241"/>
      <c r="C52" s="246"/>
      <c r="D52" s="246"/>
      <c r="E52" s="246"/>
      <c r="F52" s="250"/>
      <c r="G52" s="250"/>
      <c r="H52" s="192">
        <f t="shared" si="0"/>
        <v>0</v>
      </c>
      <c r="I52" s="247"/>
    </row>
    <row r="53" spans="1:9" ht="15.95" customHeight="1">
      <c r="A53" s="478"/>
      <c r="B53" s="241"/>
      <c r="C53" s="246"/>
      <c r="D53" s="246"/>
      <c r="E53" s="246"/>
      <c r="F53" s="250"/>
      <c r="G53" s="250"/>
      <c r="H53" s="192">
        <f t="shared" si="0"/>
        <v>0</v>
      </c>
      <c r="I53" s="247"/>
    </row>
    <row r="54" spans="1:9" ht="15.95" customHeight="1">
      <c r="A54" s="478"/>
      <c r="B54" s="241"/>
      <c r="C54" s="251" t="s">
        <v>221</v>
      </c>
      <c r="D54" s="251"/>
      <c r="E54" s="251"/>
      <c r="F54" s="254"/>
      <c r="G54" s="254"/>
      <c r="H54" s="281">
        <f t="shared" si="0"/>
        <v>0</v>
      </c>
      <c r="I54" s="255"/>
    </row>
    <row r="55" spans="1:9" ht="15.95" customHeight="1">
      <c r="A55" s="478"/>
      <c r="B55" s="256"/>
      <c r="C55" s="257"/>
      <c r="D55" s="258"/>
      <c r="E55" s="258"/>
      <c r="F55" s="260"/>
      <c r="G55" s="260"/>
      <c r="H55" s="261">
        <f>SUM(H48:H54)</f>
        <v>0</v>
      </c>
      <c r="I55" s="262"/>
    </row>
    <row r="56" spans="1:9" ht="15.95" customHeight="1">
      <c r="A56" s="282"/>
      <c r="B56" s="283" t="s">
        <v>222</v>
      </c>
      <c r="C56" s="284"/>
      <c r="D56" s="262"/>
      <c r="E56" s="262"/>
      <c r="F56" s="286"/>
      <c r="G56" s="286"/>
      <c r="H56" s="261">
        <f>SUM(H55,H47,H30,H24)</f>
        <v>0</v>
      </c>
      <c r="I56" s="262"/>
    </row>
    <row r="57" spans="1:9" ht="15.95" customHeight="1">
      <c r="A57" s="479" t="s">
        <v>223</v>
      </c>
      <c r="B57" s="287" t="s">
        <v>224</v>
      </c>
      <c r="C57" s="284"/>
      <c r="D57" s="288"/>
      <c r="E57" s="313" t="s">
        <v>225</v>
      </c>
      <c r="F57" s="307"/>
      <c r="G57" s="307"/>
      <c r="H57" s="290">
        <f>F57*G57</f>
        <v>0</v>
      </c>
      <c r="I57" s="262"/>
    </row>
    <row r="58" spans="1:9" ht="15.95" customHeight="1">
      <c r="A58" s="478"/>
      <c r="B58" s="291" t="s">
        <v>226</v>
      </c>
      <c r="C58" s="292"/>
      <c r="D58" s="293"/>
      <c r="E58" s="314" t="s">
        <v>153</v>
      </c>
      <c r="F58" s="265"/>
      <c r="G58" s="265"/>
      <c r="H58" s="266">
        <f t="shared" ref="H58:H64" si="1">F58*G58</f>
        <v>0</v>
      </c>
      <c r="I58" s="267"/>
    </row>
    <row r="59" spans="1:9" ht="15.95" customHeight="1">
      <c r="A59" s="478"/>
      <c r="B59" s="317" t="s">
        <v>227</v>
      </c>
      <c r="C59" s="296"/>
      <c r="D59" s="297"/>
      <c r="E59" s="315" t="s">
        <v>153</v>
      </c>
      <c r="F59" s="250"/>
      <c r="G59" s="250"/>
      <c r="H59" s="192">
        <f t="shared" si="1"/>
        <v>0</v>
      </c>
      <c r="I59" s="247"/>
    </row>
    <row r="60" spans="1:9" ht="15.95" customHeight="1">
      <c r="A60" s="478"/>
      <c r="B60" s="295" t="s">
        <v>228</v>
      </c>
      <c r="C60" s="296"/>
      <c r="D60" s="297"/>
      <c r="E60" s="315" t="s">
        <v>153</v>
      </c>
      <c r="F60" s="250"/>
      <c r="G60" s="250"/>
      <c r="H60" s="192">
        <f t="shared" si="1"/>
        <v>0</v>
      </c>
      <c r="I60" s="247"/>
    </row>
    <row r="61" spans="1:9" ht="15.95" customHeight="1">
      <c r="A61" s="478"/>
      <c r="B61" s="295" t="s">
        <v>229</v>
      </c>
      <c r="C61" s="296"/>
      <c r="D61" s="297"/>
      <c r="E61" s="315" t="s">
        <v>153</v>
      </c>
      <c r="F61" s="250"/>
      <c r="G61" s="250"/>
      <c r="H61" s="192">
        <f t="shared" si="1"/>
        <v>0</v>
      </c>
      <c r="I61" s="247"/>
    </row>
    <row r="62" spans="1:9" ht="15.95" customHeight="1">
      <c r="A62" s="478"/>
      <c r="B62" s="295" t="s">
        <v>230</v>
      </c>
      <c r="C62" s="296"/>
      <c r="D62" s="297"/>
      <c r="E62" s="315" t="s">
        <v>153</v>
      </c>
      <c r="F62" s="250"/>
      <c r="G62" s="250"/>
      <c r="H62" s="192">
        <f t="shared" si="1"/>
        <v>0</v>
      </c>
      <c r="I62" s="247"/>
    </row>
    <row r="63" spans="1:9" ht="15.95" customHeight="1">
      <c r="A63" s="478"/>
      <c r="B63" s="295" t="s">
        <v>231</v>
      </c>
      <c r="C63" s="296"/>
      <c r="D63" s="297"/>
      <c r="E63" s="315" t="s">
        <v>153</v>
      </c>
      <c r="F63" s="250"/>
      <c r="G63" s="250"/>
      <c r="H63" s="192">
        <f t="shared" si="1"/>
        <v>0</v>
      </c>
      <c r="I63" s="247"/>
    </row>
    <row r="64" spans="1:9" ht="15.95" customHeight="1">
      <c r="A64" s="478"/>
      <c r="B64" s="299" t="s">
        <v>232</v>
      </c>
      <c r="C64" s="300"/>
      <c r="D64" s="301"/>
      <c r="E64" s="316" t="s">
        <v>153</v>
      </c>
      <c r="F64" s="254"/>
      <c r="G64" s="254"/>
      <c r="H64" s="281">
        <f t="shared" si="1"/>
        <v>0</v>
      </c>
      <c r="I64" s="255"/>
    </row>
    <row r="65" spans="1:9" ht="15.95" customHeight="1">
      <c r="A65" s="282"/>
      <c r="B65" s="303" t="s">
        <v>233</v>
      </c>
      <c r="C65" s="284"/>
      <c r="D65" s="262"/>
      <c r="E65" s="262"/>
      <c r="F65" s="260"/>
      <c r="G65" s="260"/>
      <c r="H65" s="260">
        <f>SUM(H57:H64)</f>
        <v>0</v>
      </c>
      <c r="I65" s="258"/>
    </row>
    <row r="66" spans="1:9" ht="15.95" customHeight="1">
      <c r="A66" s="304"/>
      <c r="B66" s="303" t="s">
        <v>234</v>
      </c>
      <c r="C66" s="284"/>
      <c r="D66" s="262"/>
      <c r="E66" s="262"/>
      <c r="F66" s="261"/>
      <c r="G66" s="261"/>
      <c r="H66" s="286">
        <f>'단위공사별(집계)'!L10+'단위공사별(집계)'!I10</f>
        <v>0</v>
      </c>
      <c r="I66" s="262"/>
    </row>
    <row r="67" spans="1:9" ht="15.95" customHeight="1">
      <c r="A67" s="304"/>
      <c r="B67" s="303" t="s">
        <v>235</v>
      </c>
      <c r="C67" s="284"/>
      <c r="D67" s="262"/>
      <c r="E67" s="262"/>
      <c r="F67" s="261"/>
      <c r="G67" s="306"/>
      <c r="H67" s="307">
        <f>(H65+H56)*0.05</f>
        <v>0</v>
      </c>
      <c r="I67" s="284"/>
    </row>
    <row r="68" spans="1:9" ht="15.95" customHeight="1">
      <c r="A68" s="304"/>
      <c r="B68" s="303" t="s">
        <v>236</v>
      </c>
      <c r="C68" s="284"/>
      <c r="D68" s="262"/>
      <c r="E68" s="262"/>
      <c r="F68" s="261"/>
      <c r="G68" s="306"/>
      <c r="H68" s="307">
        <f>(H65+H56)*0.1</f>
        <v>0</v>
      </c>
      <c r="I68" s="284"/>
    </row>
    <row r="69" spans="1:9" ht="15.95" customHeight="1">
      <c r="A69" s="304"/>
      <c r="B69" s="303" t="s">
        <v>237</v>
      </c>
      <c r="C69" s="284"/>
      <c r="D69" s="262"/>
      <c r="E69" s="262"/>
      <c r="F69" s="261"/>
      <c r="G69" s="261"/>
      <c r="H69" s="260">
        <f>H56+H65+H66+H67+H68</f>
        <v>0</v>
      </c>
      <c r="I69" s="262"/>
    </row>
    <row r="70" spans="1:9">
      <c r="A70" s="159"/>
    </row>
  </sheetData>
  <mergeCells count="3">
    <mergeCell ref="A2:B2"/>
    <mergeCell ref="A3:A55"/>
    <mergeCell ref="A57:A64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verticalDpi="0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I70"/>
  <sheetViews>
    <sheetView zoomScale="85" workbookViewId="0">
      <pane xSplit="2" ySplit="2" topLeftCell="C39" activePane="bottomRight" state="frozen"/>
      <selection activeCell="G33" sqref="G33:I33"/>
      <selection pane="topRight" activeCell="G33" sqref="G33:I33"/>
      <selection pane="bottomLeft" activeCell="G33" sqref="G33:I33"/>
      <selection pane="bottomRight" activeCell="G33" sqref="G33:I33"/>
    </sheetView>
  </sheetViews>
  <sheetFormatPr defaultRowHeight="13.5"/>
  <cols>
    <col min="1" max="1" width="5" style="142" customWidth="1"/>
    <col min="2" max="2" width="17.875" style="142" bestFit="1" customWidth="1"/>
    <col min="3" max="3" width="23.625" style="142" customWidth="1"/>
    <col min="4" max="4" width="18.25" style="142" customWidth="1"/>
    <col min="5" max="5" width="5.25" style="142" bestFit="1" customWidth="1"/>
    <col min="6" max="6" width="9" style="181"/>
    <col min="7" max="7" width="11.875" style="181" customWidth="1"/>
    <col min="8" max="8" width="13.625" style="181" customWidth="1"/>
    <col min="9" max="9" width="12.75" style="142" customWidth="1"/>
    <col min="10" max="16384" width="9" style="142"/>
  </cols>
  <sheetData>
    <row r="1" spans="1:9" ht="22.5" customHeight="1">
      <c r="B1" s="233" t="s">
        <v>207</v>
      </c>
      <c r="C1" s="309"/>
      <c r="D1" s="235"/>
      <c r="E1" s="235"/>
      <c r="F1" s="310"/>
      <c r="G1" s="195"/>
      <c r="I1" s="142" t="s">
        <v>208</v>
      </c>
    </row>
    <row r="2" spans="1:9" s="159" customFormat="1" ht="16.5" customHeight="1">
      <c r="A2" s="361" t="s">
        <v>209</v>
      </c>
      <c r="B2" s="473"/>
      <c r="C2" s="150" t="s">
        <v>210</v>
      </c>
      <c r="D2" s="143" t="s">
        <v>211</v>
      </c>
      <c r="E2" s="143" t="s">
        <v>212</v>
      </c>
      <c r="F2" s="285" t="s">
        <v>213</v>
      </c>
      <c r="G2" s="285" t="s">
        <v>214</v>
      </c>
      <c r="H2" s="285" t="s">
        <v>215</v>
      </c>
      <c r="I2" s="143" t="s">
        <v>216</v>
      </c>
    </row>
    <row r="3" spans="1:9" ht="15.95" customHeight="1">
      <c r="A3" s="474" t="s">
        <v>217</v>
      </c>
      <c r="B3" s="241" t="s">
        <v>218</v>
      </c>
      <c r="C3" s="264"/>
      <c r="D3" s="264"/>
      <c r="E3" s="264"/>
      <c r="F3" s="265"/>
      <c r="G3" s="265"/>
      <c r="H3" s="266">
        <f>IF(F3=0,G3,G3*F3)</f>
        <v>0</v>
      </c>
      <c r="I3" s="267"/>
    </row>
    <row r="4" spans="1:9" ht="15.95" customHeight="1">
      <c r="A4" s="478"/>
      <c r="B4" s="241"/>
      <c r="C4" s="246"/>
      <c r="D4" s="246"/>
      <c r="E4" s="246"/>
      <c r="F4" s="250"/>
      <c r="G4" s="250"/>
      <c r="H4" s="192">
        <f>IF(F4=0,G4,G4*F4)</f>
        <v>0</v>
      </c>
      <c r="I4" s="247"/>
    </row>
    <row r="5" spans="1:9" ht="15.95" customHeight="1">
      <c r="A5" s="478"/>
      <c r="B5" s="241"/>
      <c r="C5" s="246"/>
      <c r="D5" s="246"/>
      <c r="E5" s="246"/>
      <c r="F5" s="250"/>
      <c r="G5" s="250"/>
      <c r="H5" s="192">
        <f t="shared" ref="H5:H54" si="0">IF(F5=0,G5,G5*F5)</f>
        <v>0</v>
      </c>
      <c r="I5" s="247"/>
    </row>
    <row r="6" spans="1:9" ht="15.95" customHeight="1">
      <c r="A6" s="478"/>
      <c r="B6" s="241"/>
      <c r="C6" s="246"/>
      <c r="D6" s="246"/>
      <c r="E6" s="246"/>
      <c r="F6" s="250"/>
      <c r="G6" s="250"/>
      <c r="H6" s="192">
        <f t="shared" si="0"/>
        <v>0</v>
      </c>
      <c r="I6" s="247"/>
    </row>
    <row r="7" spans="1:9" ht="15.95" customHeight="1">
      <c r="A7" s="478"/>
      <c r="B7" s="241"/>
      <c r="C7" s="246"/>
      <c r="D7" s="246"/>
      <c r="E7" s="246"/>
      <c r="F7" s="250"/>
      <c r="G7" s="250"/>
      <c r="H7" s="192">
        <f t="shared" si="0"/>
        <v>0</v>
      </c>
      <c r="I7" s="247"/>
    </row>
    <row r="8" spans="1:9" ht="15.95" customHeight="1">
      <c r="A8" s="478"/>
      <c r="B8" s="241"/>
      <c r="C8" s="246"/>
      <c r="D8" s="246"/>
      <c r="E8" s="246"/>
      <c r="F8" s="250"/>
      <c r="G8" s="250"/>
      <c r="H8" s="192">
        <f t="shared" si="0"/>
        <v>0</v>
      </c>
      <c r="I8" s="247"/>
    </row>
    <row r="9" spans="1:9" ht="15.95" customHeight="1">
      <c r="A9" s="478"/>
      <c r="B9" s="241"/>
      <c r="C9" s="246"/>
      <c r="D9" s="246"/>
      <c r="E9" s="246"/>
      <c r="F9" s="250"/>
      <c r="G9" s="250"/>
      <c r="H9" s="192">
        <f t="shared" si="0"/>
        <v>0</v>
      </c>
      <c r="I9" s="247"/>
    </row>
    <row r="10" spans="1:9" ht="15.95" customHeight="1">
      <c r="A10" s="478"/>
      <c r="B10" s="241"/>
      <c r="C10" s="246"/>
      <c r="D10" s="246"/>
      <c r="E10" s="246"/>
      <c r="F10" s="250"/>
      <c r="G10" s="250"/>
      <c r="H10" s="192">
        <f t="shared" si="0"/>
        <v>0</v>
      </c>
      <c r="I10" s="247"/>
    </row>
    <row r="11" spans="1:9" ht="15.95" customHeight="1">
      <c r="A11" s="478"/>
      <c r="B11" s="241"/>
      <c r="C11" s="246"/>
      <c r="D11" s="246"/>
      <c r="E11" s="246"/>
      <c r="F11" s="250"/>
      <c r="G11" s="250"/>
      <c r="H11" s="192">
        <f t="shared" si="0"/>
        <v>0</v>
      </c>
      <c r="I11" s="247"/>
    </row>
    <row r="12" spans="1:9" ht="15.95" customHeight="1">
      <c r="A12" s="478"/>
      <c r="B12" s="241"/>
      <c r="C12" s="246"/>
      <c r="D12" s="246"/>
      <c r="E12" s="246"/>
      <c r="F12" s="250"/>
      <c r="G12" s="250"/>
      <c r="H12" s="192">
        <f t="shared" si="0"/>
        <v>0</v>
      </c>
      <c r="I12" s="247"/>
    </row>
    <row r="13" spans="1:9" ht="15.95" customHeight="1">
      <c r="A13" s="478"/>
      <c r="B13" s="241"/>
      <c r="C13" s="246"/>
      <c r="D13" s="246"/>
      <c r="E13" s="246"/>
      <c r="F13" s="250"/>
      <c r="G13" s="250"/>
      <c r="H13" s="192">
        <f t="shared" si="0"/>
        <v>0</v>
      </c>
      <c r="I13" s="247"/>
    </row>
    <row r="14" spans="1:9" ht="15.95" customHeight="1">
      <c r="A14" s="478"/>
      <c r="B14" s="241"/>
      <c r="C14" s="246"/>
      <c r="D14" s="246"/>
      <c r="E14" s="246"/>
      <c r="F14" s="250"/>
      <c r="G14" s="250"/>
      <c r="H14" s="192">
        <f t="shared" si="0"/>
        <v>0</v>
      </c>
      <c r="I14" s="247"/>
    </row>
    <row r="15" spans="1:9" ht="15.95" customHeight="1">
      <c r="A15" s="478"/>
      <c r="B15" s="241"/>
      <c r="C15" s="246"/>
      <c r="D15" s="246"/>
      <c r="E15" s="246"/>
      <c r="F15" s="250"/>
      <c r="G15" s="250"/>
      <c r="H15" s="192">
        <f t="shared" si="0"/>
        <v>0</v>
      </c>
      <c r="I15" s="247"/>
    </row>
    <row r="16" spans="1:9" ht="15.95" customHeight="1">
      <c r="A16" s="478"/>
      <c r="B16" s="241"/>
      <c r="C16" s="246"/>
      <c r="D16" s="246"/>
      <c r="E16" s="246"/>
      <c r="F16" s="250"/>
      <c r="G16" s="250"/>
      <c r="H16" s="192">
        <f t="shared" si="0"/>
        <v>0</v>
      </c>
      <c r="I16" s="247"/>
    </row>
    <row r="17" spans="1:9" ht="15.95" customHeight="1">
      <c r="A17" s="478"/>
      <c r="B17" s="241"/>
      <c r="C17" s="246"/>
      <c r="D17" s="246"/>
      <c r="E17" s="246"/>
      <c r="F17" s="250"/>
      <c r="G17" s="250"/>
      <c r="H17" s="192">
        <f t="shared" si="0"/>
        <v>0</v>
      </c>
      <c r="I17" s="247"/>
    </row>
    <row r="18" spans="1:9" ht="15.95" customHeight="1">
      <c r="A18" s="478"/>
      <c r="B18" s="241"/>
      <c r="C18" s="246"/>
      <c r="D18" s="246"/>
      <c r="E18" s="246"/>
      <c r="F18" s="250"/>
      <c r="G18" s="250"/>
      <c r="H18" s="192">
        <f t="shared" si="0"/>
        <v>0</v>
      </c>
      <c r="I18" s="247"/>
    </row>
    <row r="19" spans="1:9" ht="15.95" customHeight="1">
      <c r="A19" s="478"/>
      <c r="B19" s="241"/>
      <c r="C19" s="246"/>
      <c r="D19" s="246"/>
      <c r="E19" s="246"/>
      <c r="F19" s="250"/>
      <c r="G19" s="250"/>
      <c r="H19" s="192">
        <f t="shared" si="0"/>
        <v>0</v>
      </c>
      <c r="I19" s="247"/>
    </row>
    <row r="20" spans="1:9" ht="15.95" customHeight="1">
      <c r="A20" s="478"/>
      <c r="B20" s="241"/>
      <c r="C20" s="246"/>
      <c r="D20" s="246"/>
      <c r="E20" s="246"/>
      <c r="F20" s="250"/>
      <c r="G20" s="250"/>
      <c r="H20" s="192">
        <f t="shared" si="0"/>
        <v>0</v>
      </c>
      <c r="I20" s="247"/>
    </row>
    <row r="21" spans="1:9" ht="15.95" customHeight="1">
      <c r="A21" s="478"/>
      <c r="B21" s="241"/>
      <c r="C21" s="246"/>
      <c r="D21" s="246"/>
      <c r="E21" s="246"/>
      <c r="F21" s="250"/>
      <c r="G21" s="250"/>
      <c r="H21" s="192">
        <f t="shared" si="0"/>
        <v>0</v>
      </c>
      <c r="I21" s="247"/>
    </row>
    <row r="22" spans="1:9" ht="15.95" customHeight="1">
      <c r="A22" s="478"/>
      <c r="B22" s="241"/>
      <c r="C22" s="246"/>
      <c r="D22" s="246"/>
      <c r="E22" s="246"/>
      <c r="F22" s="250"/>
      <c r="G22" s="250"/>
      <c r="H22" s="192">
        <f t="shared" si="0"/>
        <v>0</v>
      </c>
      <c r="I22" s="247"/>
    </row>
    <row r="23" spans="1:9" ht="15.95" customHeight="1">
      <c r="A23" s="478"/>
      <c r="B23" s="241"/>
      <c r="C23" s="251" t="s">
        <v>219</v>
      </c>
      <c r="D23" s="269"/>
      <c r="E23" s="269"/>
      <c r="F23" s="270"/>
      <c r="G23" s="270"/>
      <c r="H23" s="271">
        <f t="shared" si="0"/>
        <v>0</v>
      </c>
      <c r="I23" s="272"/>
    </row>
    <row r="24" spans="1:9" ht="15.95" customHeight="1">
      <c r="A24" s="478"/>
      <c r="B24" s="256"/>
      <c r="C24" s="279"/>
      <c r="D24" s="279"/>
      <c r="E24" s="279"/>
      <c r="F24" s="277"/>
      <c r="G24" s="277"/>
      <c r="H24" s="278">
        <f>SUM(H3:H23)</f>
        <v>0</v>
      </c>
      <c r="I24" s="279"/>
    </row>
    <row r="25" spans="1:9" ht="15.95" customHeight="1">
      <c r="A25" s="478"/>
      <c r="B25" s="241" t="s">
        <v>177</v>
      </c>
      <c r="C25" s="242"/>
      <c r="D25" s="242"/>
      <c r="E25" s="242"/>
      <c r="F25" s="243"/>
      <c r="G25" s="243"/>
      <c r="H25" s="244">
        <f t="shared" si="0"/>
        <v>0</v>
      </c>
      <c r="I25" s="245"/>
    </row>
    <row r="26" spans="1:9" ht="15.95" customHeight="1">
      <c r="A26" s="478"/>
      <c r="B26" s="241" t="s">
        <v>178</v>
      </c>
      <c r="C26" s="246"/>
      <c r="D26" s="246"/>
      <c r="E26" s="246"/>
      <c r="F26" s="250"/>
      <c r="G26" s="250"/>
      <c r="H26" s="192">
        <f t="shared" si="0"/>
        <v>0</v>
      </c>
      <c r="I26" s="247"/>
    </row>
    <row r="27" spans="1:9" ht="15.95" customHeight="1">
      <c r="A27" s="478"/>
      <c r="B27" s="241"/>
      <c r="C27" s="246"/>
      <c r="D27" s="246"/>
      <c r="E27" s="246"/>
      <c r="F27" s="250"/>
      <c r="G27" s="250"/>
      <c r="H27" s="192">
        <f t="shared" si="0"/>
        <v>0</v>
      </c>
      <c r="I27" s="247"/>
    </row>
    <row r="28" spans="1:9" ht="15.95" customHeight="1">
      <c r="A28" s="478"/>
      <c r="B28" s="241"/>
      <c r="C28" s="246"/>
      <c r="D28" s="246"/>
      <c r="E28" s="246"/>
      <c r="F28" s="250"/>
      <c r="G28" s="250"/>
      <c r="H28" s="192">
        <f t="shared" si="0"/>
        <v>0</v>
      </c>
      <c r="I28" s="247"/>
    </row>
    <row r="29" spans="1:9" ht="15.95" customHeight="1">
      <c r="A29" s="478"/>
      <c r="B29" s="241"/>
      <c r="C29" s="251" t="s">
        <v>219</v>
      </c>
      <c r="D29" s="251"/>
      <c r="E29" s="251"/>
      <c r="F29" s="254"/>
      <c r="G29" s="254"/>
      <c r="H29" s="192">
        <f t="shared" si="0"/>
        <v>0</v>
      </c>
      <c r="I29" s="255"/>
    </row>
    <row r="30" spans="1:9" ht="15.95" customHeight="1">
      <c r="A30" s="478"/>
      <c r="B30" s="256"/>
      <c r="C30" s="257"/>
      <c r="D30" s="258"/>
      <c r="E30" s="258"/>
      <c r="F30" s="312"/>
      <c r="G30" s="260"/>
      <c r="H30" s="261">
        <f>SUM(H25:H29)</f>
        <v>0</v>
      </c>
      <c r="I30" s="262"/>
    </row>
    <row r="31" spans="1:9" ht="15.95" customHeight="1">
      <c r="A31" s="478"/>
      <c r="B31" s="280" t="s">
        <v>179</v>
      </c>
      <c r="C31" s="264"/>
      <c r="D31" s="264"/>
      <c r="E31" s="264"/>
      <c r="F31" s="265"/>
      <c r="G31" s="265"/>
      <c r="H31" s="266">
        <f t="shared" si="0"/>
        <v>0</v>
      </c>
      <c r="I31" s="267"/>
    </row>
    <row r="32" spans="1:9" ht="15.95" customHeight="1">
      <c r="A32" s="478"/>
      <c r="B32" s="241" t="s">
        <v>180</v>
      </c>
      <c r="C32" s="246"/>
      <c r="D32" s="246"/>
      <c r="E32" s="246"/>
      <c r="F32" s="250"/>
      <c r="G32" s="250"/>
      <c r="H32" s="192">
        <f t="shared" si="0"/>
        <v>0</v>
      </c>
      <c r="I32" s="247"/>
    </row>
    <row r="33" spans="1:9" ht="15.95" customHeight="1">
      <c r="A33" s="478"/>
      <c r="B33" s="241"/>
      <c r="C33" s="246"/>
      <c r="D33" s="246"/>
      <c r="E33" s="246"/>
      <c r="F33" s="250"/>
      <c r="G33" s="250"/>
      <c r="H33" s="192">
        <f t="shared" si="0"/>
        <v>0</v>
      </c>
      <c r="I33" s="247"/>
    </row>
    <row r="34" spans="1:9" ht="15.95" customHeight="1">
      <c r="A34" s="478"/>
      <c r="B34" s="241"/>
      <c r="C34" s="246"/>
      <c r="D34" s="246"/>
      <c r="E34" s="246"/>
      <c r="F34" s="250"/>
      <c r="G34" s="250"/>
      <c r="H34" s="192">
        <f t="shared" si="0"/>
        <v>0</v>
      </c>
      <c r="I34" s="247"/>
    </row>
    <row r="35" spans="1:9" ht="15.95" customHeight="1">
      <c r="A35" s="478"/>
      <c r="B35" s="241"/>
      <c r="C35" s="246"/>
      <c r="D35" s="246"/>
      <c r="E35" s="246"/>
      <c r="F35" s="250"/>
      <c r="G35" s="250"/>
      <c r="H35" s="192">
        <f t="shared" si="0"/>
        <v>0</v>
      </c>
      <c r="I35" s="247"/>
    </row>
    <row r="36" spans="1:9" ht="15.95" customHeight="1">
      <c r="A36" s="478"/>
      <c r="B36" s="241"/>
      <c r="C36" s="246"/>
      <c r="D36" s="246"/>
      <c r="E36" s="246"/>
      <c r="F36" s="250"/>
      <c r="G36" s="250"/>
      <c r="H36" s="192">
        <f t="shared" si="0"/>
        <v>0</v>
      </c>
      <c r="I36" s="247"/>
    </row>
    <row r="37" spans="1:9" ht="15.95" customHeight="1">
      <c r="A37" s="478"/>
      <c r="B37" s="241"/>
      <c r="C37" s="246"/>
      <c r="D37" s="246"/>
      <c r="E37" s="246"/>
      <c r="F37" s="250"/>
      <c r="G37" s="250"/>
      <c r="H37" s="192">
        <f t="shared" si="0"/>
        <v>0</v>
      </c>
      <c r="I37" s="247"/>
    </row>
    <row r="38" spans="1:9" ht="15.95" customHeight="1">
      <c r="A38" s="478"/>
      <c r="B38" s="241"/>
      <c r="C38" s="246"/>
      <c r="D38" s="246"/>
      <c r="E38" s="246"/>
      <c r="F38" s="250"/>
      <c r="G38" s="250"/>
      <c r="H38" s="192">
        <f t="shared" si="0"/>
        <v>0</v>
      </c>
      <c r="I38" s="247"/>
    </row>
    <row r="39" spans="1:9" ht="15.95" customHeight="1">
      <c r="A39" s="478"/>
      <c r="B39" s="241"/>
      <c r="C39" s="246"/>
      <c r="D39" s="246"/>
      <c r="E39" s="246"/>
      <c r="F39" s="250"/>
      <c r="G39" s="250"/>
      <c r="H39" s="192">
        <f t="shared" si="0"/>
        <v>0</v>
      </c>
      <c r="I39" s="247"/>
    </row>
    <row r="40" spans="1:9" ht="15.95" customHeight="1">
      <c r="A40" s="478"/>
      <c r="B40" s="241"/>
      <c r="C40" s="246"/>
      <c r="D40" s="246"/>
      <c r="E40" s="246"/>
      <c r="F40" s="250"/>
      <c r="G40" s="250"/>
      <c r="H40" s="192">
        <f t="shared" si="0"/>
        <v>0</v>
      </c>
      <c r="I40" s="247"/>
    </row>
    <row r="41" spans="1:9" ht="15.95" customHeight="1">
      <c r="A41" s="478"/>
      <c r="B41" s="241"/>
      <c r="C41" s="246"/>
      <c r="D41" s="246"/>
      <c r="E41" s="246"/>
      <c r="F41" s="250"/>
      <c r="G41" s="250"/>
      <c r="H41" s="192">
        <f t="shared" si="0"/>
        <v>0</v>
      </c>
      <c r="I41" s="247"/>
    </row>
    <row r="42" spans="1:9" ht="15.95" customHeight="1">
      <c r="A42" s="478"/>
      <c r="B42" s="241"/>
      <c r="C42" s="246"/>
      <c r="D42" s="246"/>
      <c r="E42" s="246"/>
      <c r="F42" s="250"/>
      <c r="G42" s="250"/>
      <c r="H42" s="192">
        <f t="shared" si="0"/>
        <v>0</v>
      </c>
      <c r="I42" s="247"/>
    </row>
    <row r="43" spans="1:9" ht="15.95" customHeight="1">
      <c r="A43" s="478"/>
      <c r="B43" s="241"/>
      <c r="C43" s="246"/>
      <c r="D43" s="246"/>
      <c r="E43" s="246"/>
      <c r="F43" s="250"/>
      <c r="G43" s="250"/>
      <c r="H43" s="192">
        <f t="shared" si="0"/>
        <v>0</v>
      </c>
      <c r="I43" s="247"/>
    </row>
    <row r="44" spans="1:9" ht="15.95" customHeight="1">
      <c r="A44" s="478"/>
      <c r="B44" s="241"/>
      <c r="C44" s="246"/>
      <c r="D44" s="246"/>
      <c r="E44" s="246"/>
      <c r="F44" s="250"/>
      <c r="G44" s="250"/>
      <c r="H44" s="192">
        <f t="shared" si="0"/>
        <v>0</v>
      </c>
      <c r="I44" s="247"/>
    </row>
    <row r="45" spans="1:9" ht="15.95" customHeight="1">
      <c r="A45" s="478"/>
      <c r="B45" s="241"/>
      <c r="C45" s="246"/>
      <c r="D45" s="246"/>
      <c r="E45" s="246"/>
      <c r="F45" s="250"/>
      <c r="G45" s="250"/>
      <c r="H45" s="192">
        <f t="shared" si="0"/>
        <v>0</v>
      </c>
      <c r="I45" s="247"/>
    </row>
    <row r="46" spans="1:9" ht="15.95" customHeight="1">
      <c r="A46" s="478"/>
      <c r="B46" s="241"/>
      <c r="C46" s="251" t="s">
        <v>219</v>
      </c>
      <c r="D46" s="251"/>
      <c r="E46" s="251"/>
      <c r="F46" s="254"/>
      <c r="G46" s="254"/>
      <c r="H46" s="281">
        <f t="shared" si="0"/>
        <v>0</v>
      </c>
      <c r="I46" s="255"/>
    </row>
    <row r="47" spans="1:9" ht="15.95" customHeight="1">
      <c r="A47" s="478"/>
      <c r="B47" s="256"/>
      <c r="C47" s="257"/>
      <c r="D47" s="258"/>
      <c r="E47" s="258"/>
      <c r="F47" s="260"/>
      <c r="G47" s="260"/>
      <c r="H47" s="261">
        <f>SUM(H31:H46)</f>
        <v>0</v>
      </c>
      <c r="I47" s="262"/>
    </row>
    <row r="48" spans="1:9" ht="15.95" customHeight="1">
      <c r="A48" s="478"/>
      <c r="B48" s="280" t="s">
        <v>220</v>
      </c>
      <c r="C48" s="264"/>
      <c r="D48" s="264"/>
      <c r="E48" s="264"/>
      <c r="F48" s="265"/>
      <c r="G48" s="265"/>
      <c r="H48" s="266">
        <f t="shared" si="0"/>
        <v>0</v>
      </c>
      <c r="I48" s="267"/>
    </row>
    <row r="49" spans="1:9" ht="15.95" customHeight="1">
      <c r="A49" s="478"/>
      <c r="B49" s="241"/>
      <c r="C49" s="246"/>
      <c r="D49" s="246"/>
      <c r="E49" s="246"/>
      <c r="F49" s="250"/>
      <c r="G49" s="250"/>
      <c r="H49" s="192">
        <f t="shared" si="0"/>
        <v>0</v>
      </c>
      <c r="I49" s="247"/>
    </row>
    <row r="50" spans="1:9" ht="15.95" customHeight="1">
      <c r="A50" s="478"/>
      <c r="B50" s="241"/>
      <c r="C50" s="246"/>
      <c r="D50" s="246"/>
      <c r="E50" s="246"/>
      <c r="F50" s="250"/>
      <c r="G50" s="250"/>
      <c r="H50" s="192">
        <f t="shared" si="0"/>
        <v>0</v>
      </c>
      <c r="I50" s="247"/>
    </row>
    <row r="51" spans="1:9" ht="15.95" customHeight="1">
      <c r="A51" s="478"/>
      <c r="B51" s="241"/>
      <c r="C51" s="246"/>
      <c r="D51" s="246"/>
      <c r="E51" s="246"/>
      <c r="F51" s="250"/>
      <c r="G51" s="250"/>
      <c r="H51" s="192">
        <f t="shared" si="0"/>
        <v>0</v>
      </c>
      <c r="I51" s="247"/>
    </row>
    <row r="52" spans="1:9" ht="15.95" customHeight="1">
      <c r="A52" s="478"/>
      <c r="B52" s="241"/>
      <c r="C52" s="246"/>
      <c r="D52" s="246"/>
      <c r="E52" s="246"/>
      <c r="F52" s="250"/>
      <c r="G52" s="250"/>
      <c r="H52" s="192">
        <f t="shared" si="0"/>
        <v>0</v>
      </c>
      <c r="I52" s="247"/>
    </row>
    <row r="53" spans="1:9" ht="15.95" customHeight="1">
      <c r="A53" s="478"/>
      <c r="B53" s="241"/>
      <c r="C53" s="246"/>
      <c r="D53" s="246"/>
      <c r="E53" s="246"/>
      <c r="F53" s="250"/>
      <c r="G53" s="250"/>
      <c r="H53" s="192">
        <f t="shared" si="0"/>
        <v>0</v>
      </c>
      <c r="I53" s="247"/>
    </row>
    <row r="54" spans="1:9" ht="15.95" customHeight="1">
      <c r="A54" s="478"/>
      <c r="B54" s="241"/>
      <c r="C54" s="251" t="s">
        <v>221</v>
      </c>
      <c r="D54" s="251"/>
      <c r="E54" s="251"/>
      <c r="F54" s="254"/>
      <c r="G54" s="254"/>
      <c r="H54" s="281">
        <f t="shared" si="0"/>
        <v>0</v>
      </c>
      <c r="I54" s="255"/>
    </row>
    <row r="55" spans="1:9" ht="15.95" customHeight="1">
      <c r="A55" s="478"/>
      <c r="B55" s="256"/>
      <c r="C55" s="257"/>
      <c r="D55" s="258"/>
      <c r="E55" s="258"/>
      <c r="F55" s="260"/>
      <c r="G55" s="260"/>
      <c r="H55" s="261">
        <f>SUM(H48:H54)</f>
        <v>0</v>
      </c>
      <c r="I55" s="262"/>
    </row>
    <row r="56" spans="1:9" ht="15.95" customHeight="1">
      <c r="A56" s="282"/>
      <c r="B56" s="283" t="s">
        <v>222</v>
      </c>
      <c r="C56" s="284"/>
      <c r="D56" s="262"/>
      <c r="E56" s="262"/>
      <c r="F56" s="286"/>
      <c r="G56" s="286"/>
      <c r="H56" s="261">
        <f>SUM(H55,H47,H30,H24)</f>
        <v>0</v>
      </c>
      <c r="I56" s="262"/>
    </row>
    <row r="57" spans="1:9" ht="15.95" customHeight="1">
      <c r="A57" s="479" t="s">
        <v>223</v>
      </c>
      <c r="B57" s="287" t="s">
        <v>224</v>
      </c>
      <c r="C57" s="284"/>
      <c r="D57" s="288"/>
      <c r="E57" s="313" t="s">
        <v>225</v>
      </c>
      <c r="F57" s="307"/>
      <c r="G57" s="307"/>
      <c r="H57" s="290">
        <f>F57*G57</f>
        <v>0</v>
      </c>
      <c r="I57" s="262"/>
    </row>
    <row r="58" spans="1:9" ht="15.95" customHeight="1">
      <c r="A58" s="478"/>
      <c r="B58" s="291" t="s">
        <v>226</v>
      </c>
      <c r="C58" s="292"/>
      <c r="D58" s="293"/>
      <c r="E58" s="314" t="s">
        <v>153</v>
      </c>
      <c r="F58" s="265"/>
      <c r="G58" s="265"/>
      <c r="H58" s="266">
        <f t="shared" ref="H58:H64" si="1">F58*G58</f>
        <v>0</v>
      </c>
      <c r="I58" s="267"/>
    </row>
    <row r="59" spans="1:9" ht="15.95" customHeight="1">
      <c r="A59" s="478"/>
      <c r="B59" s="317" t="s">
        <v>227</v>
      </c>
      <c r="C59" s="296"/>
      <c r="D59" s="297"/>
      <c r="E59" s="315" t="s">
        <v>153</v>
      </c>
      <c r="F59" s="250"/>
      <c r="G59" s="250"/>
      <c r="H59" s="192">
        <f t="shared" si="1"/>
        <v>0</v>
      </c>
      <c r="I59" s="247"/>
    </row>
    <row r="60" spans="1:9" ht="15.95" customHeight="1">
      <c r="A60" s="478"/>
      <c r="B60" s="295" t="s">
        <v>228</v>
      </c>
      <c r="C60" s="296"/>
      <c r="D60" s="297"/>
      <c r="E60" s="315" t="s">
        <v>153</v>
      </c>
      <c r="F60" s="250"/>
      <c r="G60" s="250"/>
      <c r="H60" s="192">
        <f t="shared" si="1"/>
        <v>0</v>
      </c>
      <c r="I60" s="247"/>
    </row>
    <row r="61" spans="1:9" ht="15.95" customHeight="1">
      <c r="A61" s="478"/>
      <c r="B61" s="295" t="s">
        <v>229</v>
      </c>
      <c r="C61" s="296"/>
      <c r="D61" s="297"/>
      <c r="E61" s="315" t="s">
        <v>153</v>
      </c>
      <c r="F61" s="250"/>
      <c r="G61" s="250"/>
      <c r="H61" s="192">
        <f t="shared" si="1"/>
        <v>0</v>
      </c>
      <c r="I61" s="247"/>
    </row>
    <row r="62" spans="1:9" ht="15.95" customHeight="1">
      <c r="A62" s="478"/>
      <c r="B62" s="295" t="s">
        <v>230</v>
      </c>
      <c r="C62" s="296"/>
      <c r="D62" s="297"/>
      <c r="E62" s="315" t="s">
        <v>153</v>
      </c>
      <c r="F62" s="250"/>
      <c r="G62" s="250"/>
      <c r="H62" s="192">
        <f t="shared" si="1"/>
        <v>0</v>
      </c>
      <c r="I62" s="247"/>
    </row>
    <row r="63" spans="1:9" ht="15.95" customHeight="1">
      <c r="A63" s="478"/>
      <c r="B63" s="295" t="s">
        <v>231</v>
      </c>
      <c r="C63" s="296"/>
      <c r="D63" s="297"/>
      <c r="E63" s="315" t="s">
        <v>153</v>
      </c>
      <c r="F63" s="250"/>
      <c r="G63" s="250"/>
      <c r="H63" s="192">
        <f t="shared" si="1"/>
        <v>0</v>
      </c>
      <c r="I63" s="247"/>
    </row>
    <row r="64" spans="1:9" ht="15.95" customHeight="1">
      <c r="A64" s="478"/>
      <c r="B64" s="299" t="s">
        <v>232</v>
      </c>
      <c r="C64" s="300"/>
      <c r="D64" s="301"/>
      <c r="E64" s="316" t="s">
        <v>153</v>
      </c>
      <c r="F64" s="254"/>
      <c r="G64" s="254"/>
      <c r="H64" s="281">
        <f t="shared" si="1"/>
        <v>0</v>
      </c>
      <c r="I64" s="255"/>
    </row>
    <row r="65" spans="1:9" ht="15.95" customHeight="1">
      <c r="A65" s="282"/>
      <c r="B65" s="303" t="s">
        <v>233</v>
      </c>
      <c r="C65" s="284"/>
      <c r="D65" s="262"/>
      <c r="E65" s="262"/>
      <c r="F65" s="260"/>
      <c r="G65" s="260"/>
      <c r="H65" s="260">
        <f>SUM(H57:H64)</f>
        <v>0</v>
      </c>
      <c r="I65" s="258"/>
    </row>
    <row r="66" spans="1:9" ht="15.95" customHeight="1">
      <c r="A66" s="304"/>
      <c r="B66" s="303" t="s">
        <v>234</v>
      </c>
      <c r="C66" s="284"/>
      <c r="D66" s="262"/>
      <c r="E66" s="262"/>
      <c r="F66" s="261"/>
      <c r="G66" s="261"/>
      <c r="H66" s="286">
        <f>'단위공사별(집계)'!I11+'단위공사별(집계)'!L11</f>
        <v>0</v>
      </c>
      <c r="I66" s="262"/>
    </row>
    <row r="67" spans="1:9" ht="15.95" customHeight="1">
      <c r="A67" s="304"/>
      <c r="B67" s="303" t="s">
        <v>235</v>
      </c>
      <c r="C67" s="284"/>
      <c r="D67" s="262"/>
      <c r="E67" s="262"/>
      <c r="F67" s="261"/>
      <c r="G67" s="306"/>
      <c r="H67" s="307"/>
      <c r="I67" s="284"/>
    </row>
    <row r="68" spans="1:9" ht="15.95" customHeight="1">
      <c r="A68" s="304"/>
      <c r="B68" s="303" t="s">
        <v>236</v>
      </c>
      <c r="C68" s="284"/>
      <c r="D68" s="262"/>
      <c r="E68" s="262"/>
      <c r="F68" s="261"/>
      <c r="G68" s="306"/>
      <c r="H68" s="307"/>
      <c r="I68" s="284"/>
    </row>
    <row r="69" spans="1:9" ht="15.95" customHeight="1">
      <c r="A69" s="304"/>
      <c r="B69" s="303" t="s">
        <v>237</v>
      </c>
      <c r="C69" s="284"/>
      <c r="D69" s="262"/>
      <c r="E69" s="262"/>
      <c r="F69" s="261"/>
      <c r="G69" s="261"/>
      <c r="H69" s="260">
        <f>H56+H65+H66+H67+H68</f>
        <v>0</v>
      </c>
      <c r="I69" s="262"/>
    </row>
    <row r="70" spans="1:9">
      <c r="A70" s="159"/>
    </row>
  </sheetData>
  <mergeCells count="3">
    <mergeCell ref="A2:B2"/>
    <mergeCell ref="A3:A55"/>
    <mergeCell ref="A57:A64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verticalDpi="0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I70"/>
  <sheetViews>
    <sheetView zoomScale="85" workbookViewId="0">
      <pane xSplit="2" ySplit="2" topLeftCell="C33" activePane="bottomRight" state="frozen"/>
      <selection activeCell="G33" sqref="G33:I33"/>
      <selection pane="topRight" activeCell="G33" sqref="G33:I33"/>
      <selection pane="bottomLeft" activeCell="G33" sqref="G33:I33"/>
      <selection pane="bottomRight" activeCell="G33" sqref="G33:I33"/>
    </sheetView>
  </sheetViews>
  <sheetFormatPr defaultRowHeight="13.5"/>
  <cols>
    <col min="1" max="1" width="5" style="142" customWidth="1"/>
    <col min="2" max="2" width="17.875" style="142" bestFit="1" customWidth="1"/>
    <col min="3" max="3" width="23.625" style="142" customWidth="1"/>
    <col min="4" max="4" width="18.25" style="142" customWidth="1"/>
    <col min="5" max="5" width="5.25" style="142" bestFit="1" customWidth="1"/>
    <col min="6" max="6" width="9" style="181"/>
    <col min="7" max="7" width="11.875" style="181" customWidth="1"/>
    <col min="8" max="8" width="13.625" style="181" customWidth="1"/>
    <col min="9" max="9" width="12.75" style="142" customWidth="1"/>
    <col min="10" max="16384" width="9" style="142"/>
  </cols>
  <sheetData>
    <row r="1" spans="1:9" ht="22.5" customHeight="1">
      <c r="B1" s="233" t="s">
        <v>207</v>
      </c>
      <c r="C1" s="309"/>
      <c r="D1" s="235"/>
      <c r="E1" s="235"/>
      <c r="F1" s="310"/>
      <c r="G1" s="195"/>
      <c r="I1" s="142" t="s">
        <v>208</v>
      </c>
    </row>
    <row r="2" spans="1:9" s="159" customFormat="1" ht="16.5" customHeight="1">
      <c r="A2" s="361" t="s">
        <v>209</v>
      </c>
      <c r="B2" s="473"/>
      <c r="C2" s="150" t="s">
        <v>210</v>
      </c>
      <c r="D2" s="143" t="s">
        <v>211</v>
      </c>
      <c r="E2" s="143" t="s">
        <v>212</v>
      </c>
      <c r="F2" s="285" t="s">
        <v>213</v>
      </c>
      <c r="G2" s="285" t="s">
        <v>214</v>
      </c>
      <c r="H2" s="285" t="s">
        <v>215</v>
      </c>
      <c r="I2" s="143" t="s">
        <v>216</v>
      </c>
    </row>
    <row r="3" spans="1:9" ht="15.95" customHeight="1">
      <c r="A3" s="474" t="s">
        <v>217</v>
      </c>
      <c r="B3" s="241" t="s">
        <v>218</v>
      </c>
      <c r="C3" s="264"/>
      <c r="D3" s="264"/>
      <c r="E3" s="264"/>
      <c r="F3" s="265"/>
      <c r="G3" s="265"/>
      <c r="H3" s="266">
        <f>IF(F3=0,G3,G3*F3)</f>
        <v>0</v>
      </c>
      <c r="I3" s="267"/>
    </row>
    <row r="4" spans="1:9" ht="15.95" customHeight="1">
      <c r="A4" s="478"/>
      <c r="B4" s="241"/>
      <c r="C4" s="246"/>
      <c r="D4" s="246"/>
      <c r="E4" s="246"/>
      <c r="F4" s="250"/>
      <c r="G4" s="250"/>
      <c r="H4" s="192">
        <f>IF(F4=0,G4,G4*F4)</f>
        <v>0</v>
      </c>
      <c r="I4" s="247"/>
    </row>
    <row r="5" spans="1:9" ht="15.95" customHeight="1">
      <c r="A5" s="478"/>
      <c r="B5" s="241"/>
      <c r="C5" s="246"/>
      <c r="D5" s="246"/>
      <c r="E5" s="246"/>
      <c r="F5" s="250"/>
      <c r="G5" s="250"/>
      <c r="H5" s="192">
        <f t="shared" ref="H5:H54" si="0">IF(F5=0,G5,G5*F5)</f>
        <v>0</v>
      </c>
      <c r="I5" s="247"/>
    </row>
    <row r="6" spans="1:9" ht="15.95" customHeight="1">
      <c r="A6" s="478"/>
      <c r="B6" s="241"/>
      <c r="C6" s="246"/>
      <c r="D6" s="246"/>
      <c r="E6" s="246"/>
      <c r="F6" s="250"/>
      <c r="G6" s="250"/>
      <c r="H6" s="192">
        <f t="shared" si="0"/>
        <v>0</v>
      </c>
      <c r="I6" s="247"/>
    </row>
    <row r="7" spans="1:9" ht="15.95" customHeight="1">
      <c r="A7" s="478"/>
      <c r="B7" s="241"/>
      <c r="C7" s="246"/>
      <c r="D7" s="246"/>
      <c r="E7" s="246"/>
      <c r="F7" s="250"/>
      <c r="G7" s="250"/>
      <c r="H7" s="192">
        <f t="shared" si="0"/>
        <v>0</v>
      </c>
      <c r="I7" s="247"/>
    </row>
    <row r="8" spans="1:9" ht="15.95" customHeight="1">
      <c r="A8" s="478"/>
      <c r="B8" s="241"/>
      <c r="C8" s="246"/>
      <c r="D8" s="246"/>
      <c r="E8" s="246"/>
      <c r="F8" s="250"/>
      <c r="G8" s="250"/>
      <c r="H8" s="192">
        <f t="shared" si="0"/>
        <v>0</v>
      </c>
      <c r="I8" s="247"/>
    </row>
    <row r="9" spans="1:9" ht="15.95" customHeight="1">
      <c r="A9" s="478"/>
      <c r="B9" s="241"/>
      <c r="C9" s="246"/>
      <c r="D9" s="246"/>
      <c r="E9" s="246"/>
      <c r="F9" s="250"/>
      <c r="G9" s="250"/>
      <c r="H9" s="192">
        <f t="shared" si="0"/>
        <v>0</v>
      </c>
      <c r="I9" s="247"/>
    </row>
    <row r="10" spans="1:9" ht="15.95" customHeight="1">
      <c r="A10" s="478"/>
      <c r="B10" s="241"/>
      <c r="C10" s="246"/>
      <c r="D10" s="246"/>
      <c r="E10" s="246"/>
      <c r="F10" s="250"/>
      <c r="G10" s="250"/>
      <c r="H10" s="192">
        <f t="shared" si="0"/>
        <v>0</v>
      </c>
      <c r="I10" s="247"/>
    </row>
    <row r="11" spans="1:9" ht="15.95" customHeight="1">
      <c r="A11" s="478"/>
      <c r="B11" s="241"/>
      <c r="C11" s="246"/>
      <c r="D11" s="246"/>
      <c r="E11" s="246"/>
      <c r="F11" s="250"/>
      <c r="G11" s="250"/>
      <c r="H11" s="192">
        <f t="shared" si="0"/>
        <v>0</v>
      </c>
      <c r="I11" s="247"/>
    </row>
    <row r="12" spans="1:9" ht="15.95" customHeight="1">
      <c r="A12" s="478"/>
      <c r="B12" s="241"/>
      <c r="C12" s="246"/>
      <c r="D12" s="246"/>
      <c r="E12" s="246"/>
      <c r="F12" s="250"/>
      <c r="G12" s="250"/>
      <c r="H12" s="192">
        <f t="shared" si="0"/>
        <v>0</v>
      </c>
      <c r="I12" s="247"/>
    </row>
    <row r="13" spans="1:9" ht="15.95" customHeight="1">
      <c r="A13" s="478"/>
      <c r="B13" s="241"/>
      <c r="C13" s="246"/>
      <c r="D13" s="246"/>
      <c r="E13" s="246"/>
      <c r="F13" s="250"/>
      <c r="G13" s="250"/>
      <c r="H13" s="192">
        <f t="shared" si="0"/>
        <v>0</v>
      </c>
      <c r="I13" s="247"/>
    </row>
    <row r="14" spans="1:9" ht="15.95" customHeight="1">
      <c r="A14" s="478"/>
      <c r="B14" s="241"/>
      <c r="C14" s="246"/>
      <c r="D14" s="246"/>
      <c r="E14" s="246"/>
      <c r="F14" s="250"/>
      <c r="G14" s="250"/>
      <c r="H14" s="192">
        <f t="shared" si="0"/>
        <v>0</v>
      </c>
      <c r="I14" s="247"/>
    </row>
    <row r="15" spans="1:9" ht="15.95" customHeight="1">
      <c r="A15" s="478"/>
      <c r="B15" s="241"/>
      <c r="C15" s="246"/>
      <c r="D15" s="246"/>
      <c r="E15" s="246"/>
      <c r="F15" s="250"/>
      <c r="G15" s="250"/>
      <c r="H15" s="192">
        <f t="shared" si="0"/>
        <v>0</v>
      </c>
      <c r="I15" s="247"/>
    </row>
    <row r="16" spans="1:9" ht="15.95" customHeight="1">
      <c r="A16" s="478"/>
      <c r="B16" s="241"/>
      <c r="C16" s="246"/>
      <c r="D16" s="246"/>
      <c r="E16" s="246"/>
      <c r="F16" s="250"/>
      <c r="G16" s="250"/>
      <c r="H16" s="192">
        <f t="shared" si="0"/>
        <v>0</v>
      </c>
      <c r="I16" s="247"/>
    </row>
    <row r="17" spans="1:9" ht="15.95" customHeight="1">
      <c r="A17" s="478"/>
      <c r="B17" s="241"/>
      <c r="C17" s="246"/>
      <c r="D17" s="246"/>
      <c r="E17" s="246"/>
      <c r="F17" s="250"/>
      <c r="G17" s="250"/>
      <c r="H17" s="192">
        <f t="shared" si="0"/>
        <v>0</v>
      </c>
      <c r="I17" s="247"/>
    </row>
    <row r="18" spans="1:9" ht="15.95" customHeight="1">
      <c r="A18" s="478"/>
      <c r="B18" s="241"/>
      <c r="C18" s="246"/>
      <c r="D18" s="246"/>
      <c r="E18" s="246"/>
      <c r="F18" s="250"/>
      <c r="G18" s="250"/>
      <c r="H18" s="192">
        <f t="shared" si="0"/>
        <v>0</v>
      </c>
      <c r="I18" s="247"/>
    </row>
    <row r="19" spans="1:9" ht="15.95" customHeight="1">
      <c r="A19" s="478"/>
      <c r="B19" s="241"/>
      <c r="C19" s="246"/>
      <c r="D19" s="246"/>
      <c r="E19" s="246"/>
      <c r="F19" s="250"/>
      <c r="G19" s="250"/>
      <c r="H19" s="192">
        <f t="shared" si="0"/>
        <v>0</v>
      </c>
      <c r="I19" s="247"/>
    </row>
    <row r="20" spans="1:9" ht="15.95" customHeight="1">
      <c r="A20" s="478"/>
      <c r="B20" s="241"/>
      <c r="C20" s="246"/>
      <c r="D20" s="246"/>
      <c r="E20" s="246"/>
      <c r="F20" s="250"/>
      <c r="G20" s="250"/>
      <c r="H20" s="192">
        <f t="shared" si="0"/>
        <v>0</v>
      </c>
      <c r="I20" s="247"/>
    </row>
    <row r="21" spans="1:9" ht="15.95" customHeight="1">
      <c r="A21" s="478"/>
      <c r="B21" s="241"/>
      <c r="C21" s="246"/>
      <c r="D21" s="246"/>
      <c r="E21" s="246"/>
      <c r="F21" s="250"/>
      <c r="G21" s="250"/>
      <c r="H21" s="192">
        <f t="shared" si="0"/>
        <v>0</v>
      </c>
      <c r="I21" s="247"/>
    </row>
    <row r="22" spans="1:9" ht="15.95" customHeight="1">
      <c r="A22" s="478"/>
      <c r="B22" s="241"/>
      <c r="C22" s="246"/>
      <c r="D22" s="246"/>
      <c r="E22" s="246"/>
      <c r="F22" s="250"/>
      <c r="G22" s="250"/>
      <c r="H22" s="192">
        <f t="shared" si="0"/>
        <v>0</v>
      </c>
      <c r="I22" s="247"/>
    </row>
    <row r="23" spans="1:9" ht="15.95" customHeight="1">
      <c r="A23" s="478"/>
      <c r="B23" s="241"/>
      <c r="C23" s="251" t="s">
        <v>219</v>
      </c>
      <c r="D23" s="269"/>
      <c r="E23" s="269"/>
      <c r="F23" s="270"/>
      <c r="G23" s="270"/>
      <c r="H23" s="271">
        <f t="shared" si="0"/>
        <v>0</v>
      </c>
      <c r="I23" s="272"/>
    </row>
    <row r="24" spans="1:9" ht="15.95" customHeight="1">
      <c r="A24" s="478"/>
      <c r="B24" s="256"/>
      <c r="C24" s="279"/>
      <c r="D24" s="279"/>
      <c r="E24" s="279"/>
      <c r="F24" s="277"/>
      <c r="G24" s="277"/>
      <c r="H24" s="278">
        <f>SUM(H3:H23)</f>
        <v>0</v>
      </c>
      <c r="I24" s="279"/>
    </row>
    <row r="25" spans="1:9" ht="15.95" customHeight="1">
      <c r="A25" s="478"/>
      <c r="B25" s="241" t="s">
        <v>177</v>
      </c>
      <c r="C25" s="242"/>
      <c r="D25" s="242"/>
      <c r="E25" s="242"/>
      <c r="F25" s="243"/>
      <c r="G25" s="243"/>
      <c r="H25" s="244">
        <f t="shared" si="0"/>
        <v>0</v>
      </c>
      <c r="I25" s="245"/>
    </row>
    <row r="26" spans="1:9" ht="15.95" customHeight="1">
      <c r="A26" s="478"/>
      <c r="B26" s="241" t="s">
        <v>178</v>
      </c>
      <c r="C26" s="246"/>
      <c r="D26" s="246"/>
      <c r="E26" s="246"/>
      <c r="F26" s="250"/>
      <c r="G26" s="250"/>
      <c r="H26" s="192">
        <f t="shared" si="0"/>
        <v>0</v>
      </c>
      <c r="I26" s="247"/>
    </row>
    <row r="27" spans="1:9" ht="15.95" customHeight="1">
      <c r="A27" s="478"/>
      <c r="B27" s="241"/>
      <c r="C27" s="246"/>
      <c r="D27" s="246"/>
      <c r="E27" s="246"/>
      <c r="F27" s="250"/>
      <c r="G27" s="250"/>
      <c r="H27" s="192">
        <f t="shared" si="0"/>
        <v>0</v>
      </c>
      <c r="I27" s="247"/>
    </row>
    <row r="28" spans="1:9" ht="15.95" customHeight="1">
      <c r="A28" s="478"/>
      <c r="B28" s="241"/>
      <c r="C28" s="246"/>
      <c r="D28" s="246"/>
      <c r="E28" s="246"/>
      <c r="F28" s="250"/>
      <c r="G28" s="250"/>
      <c r="H28" s="192">
        <f t="shared" si="0"/>
        <v>0</v>
      </c>
      <c r="I28" s="247"/>
    </row>
    <row r="29" spans="1:9" ht="15.95" customHeight="1">
      <c r="A29" s="478"/>
      <c r="B29" s="241"/>
      <c r="C29" s="251" t="s">
        <v>219</v>
      </c>
      <c r="D29" s="251"/>
      <c r="E29" s="251"/>
      <c r="F29" s="254"/>
      <c r="G29" s="254"/>
      <c r="H29" s="192">
        <f t="shared" si="0"/>
        <v>0</v>
      </c>
      <c r="I29" s="255"/>
    </row>
    <row r="30" spans="1:9" ht="15.95" customHeight="1">
      <c r="A30" s="478"/>
      <c r="B30" s="256"/>
      <c r="C30" s="257"/>
      <c r="D30" s="258"/>
      <c r="E30" s="258"/>
      <c r="F30" s="312"/>
      <c r="G30" s="260"/>
      <c r="H30" s="261">
        <f>SUM(H25:H29)</f>
        <v>0</v>
      </c>
      <c r="I30" s="262"/>
    </row>
    <row r="31" spans="1:9" ht="15.95" customHeight="1">
      <c r="A31" s="478"/>
      <c r="B31" s="280" t="s">
        <v>179</v>
      </c>
      <c r="C31" s="264"/>
      <c r="D31" s="264"/>
      <c r="E31" s="264"/>
      <c r="F31" s="265"/>
      <c r="G31" s="265"/>
      <c r="H31" s="266">
        <f t="shared" si="0"/>
        <v>0</v>
      </c>
      <c r="I31" s="267"/>
    </row>
    <row r="32" spans="1:9" ht="15.95" customHeight="1">
      <c r="A32" s="478"/>
      <c r="B32" s="241" t="s">
        <v>180</v>
      </c>
      <c r="C32" s="246"/>
      <c r="D32" s="246"/>
      <c r="E32" s="246"/>
      <c r="F32" s="250"/>
      <c r="G32" s="250"/>
      <c r="H32" s="192">
        <f t="shared" si="0"/>
        <v>0</v>
      </c>
      <c r="I32" s="247"/>
    </row>
    <row r="33" spans="1:9" ht="15.95" customHeight="1">
      <c r="A33" s="478"/>
      <c r="B33" s="241"/>
      <c r="C33" s="246"/>
      <c r="D33" s="246"/>
      <c r="E33" s="246"/>
      <c r="F33" s="250"/>
      <c r="G33" s="250"/>
      <c r="H33" s="192">
        <f t="shared" si="0"/>
        <v>0</v>
      </c>
      <c r="I33" s="247"/>
    </row>
    <row r="34" spans="1:9" ht="15.95" customHeight="1">
      <c r="A34" s="478"/>
      <c r="B34" s="241"/>
      <c r="C34" s="246"/>
      <c r="D34" s="246"/>
      <c r="E34" s="246"/>
      <c r="F34" s="250"/>
      <c r="G34" s="250"/>
      <c r="H34" s="192">
        <f t="shared" si="0"/>
        <v>0</v>
      </c>
      <c r="I34" s="247"/>
    </row>
    <row r="35" spans="1:9" ht="15.95" customHeight="1">
      <c r="A35" s="478"/>
      <c r="B35" s="241"/>
      <c r="C35" s="246"/>
      <c r="D35" s="246"/>
      <c r="E35" s="246"/>
      <c r="F35" s="250"/>
      <c r="G35" s="250"/>
      <c r="H35" s="192">
        <f t="shared" si="0"/>
        <v>0</v>
      </c>
      <c r="I35" s="247"/>
    </row>
    <row r="36" spans="1:9" ht="15.95" customHeight="1">
      <c r="A36" s="478"/>
      <c r="B36" s="241"/>
      <c r="C36" s="246"/>
      <c r="D36" s="246"/>
      <c r="E36" s="246"/>
      <c r="F36" s="250"/>
      <c r="G36" s="250"/>
      <c r="H36" s="192">
        <f t="shared" si="0"/>
        <v>0</v>
      </c>
      <c r="I36" s="247"/>
    </row>
    <row r="37" spans="1:9" ht="15.95" customHeight="1">
      <c r="A37" s="478"/>
      <c r="B37" s="241"/>
      <c r="C37" s="246"/>
      <c r="D37" s="246"/>
      <c r="E37" s="246"/>
      <c r="F37" s="250"/>
      <c r="G37" s="250"/>
      <c r="H37" s="192">
        <f t="shared" si="0"/>
        <v>0</v>
      </c>
      <c r="I37" s="247"/>
    </row>
    <row r="38" spans="1:9" ht="15.95" customHeight="1">
      <c r="A38" s="478"/>
      <c r="B38" s="241"/>
      <c r="C38" s="246"/>
      <c r="D38" s="246"/>
      <c r="E38" s="246"/>
      <c r="F38" s="250"/>
      <c r="G38" s="250"/>
      <c r="H38" s="192">
        <f t="shared" si="0"/>
        <v>0</v>
      </c>
      <c r="I38" s="247"/>
    </row>
    <row r="39" spans="1:9" ht="15.95" customHeight="1">
      <c r="A39" s="478"/>
      <c r="B39" s="241"/>
      <c r="C39" s="246"/>
      <c r="D39" s="246"/>
      <c r="E39" s="246"/>
      <c r="F39" s="250"/>
      <c r="G39" s="250"/>
      <c r="H39" s="192">
        <f t="shared" si="0"/>
        <v>0</v>
      </c>
      <c r="I39" s="247"/>
    </row>
    <row r="40" spans="1:9" ht="15.95" customHeight="1">
      <c r="A40" s="478"/>
      <c r="B40" s="241"/>
      <c r="C40" s="246"/>
      <c r="D40" s="246"/>
      <c r="E40" s="246"/>
      <c r="F40" s="250"/>
      <c r="G40" s="250"/>
      <c r="H40" s="192">
        <f t="shared" si="0"/>
        <v>0</v>
      </c>
      <c r="I40" s="247"/>
    </row>
    <row r="41" spans="1:9" ht="15.95" customHeight="1">
      <c r="A41" s="478"/>
      <c r="B41" s="241"/>
      <c r="C41" s="246"/>
      <c r="D41" s="246"/>
      <c r="E41" s="246"/>
      <c r="F41" s="250"/>
      <c r="G41" s="250"/>
      <c r="H41" s="192">
        <f t="shared" si="0"/>
        <v>0</v>
      </c>
      <c r="I41" s="247"/>
    </row>
    <row r="42" spans="1:9" ht="15.95" customHeight="1">
      <c r="A42" s="478"/>
      <c r="B42" s="241"/>
      <c r="C42" s="246"/>
      <c r="D42" s="246"/>
      <c r="E42" s="246"/>
      <c r="F42" s="250"/>
      <c r="G42" s="250"/>
      <c r="H42" s="192">
        <f t="shared" si="0"/>
        <v>0</v>
      </c>
      <c r="I42" s="247"/>
    </row>
    <row r="43" spans="1:9" ht="15.95" customHeight="1">
      <c r="A43" s="478"/>
      <c r="B43" s="241"/>
      <c r="C43" s="246"/>
      <c r="D43" s="246"/>
      <c r="E43" s="246"/>
      <c r="F43" s="250"/>
      <c r="G43" s="250"/>
      <c r="H43" s="192">
        <f t="shared" si="0"/>
        <v>0</v>
      </c>
      <c r="I43" s="247"/>
    </row>
    <row r="44" spans="1:9" ht="15.95" customHeight="1">
      <c r="A44" s="478"/>
      <c r="B44" s="241"/>
      <c r="C44" s="246"/>
      <c r="D44" s="246"/>
      <c r="E44" s="246"/>
      <c r="F44" s="250"/>
      <c r="G44" s="250"/>
      <c r="H44" s="192">
        <f t="shared" si="0"/>
        <v>0</v>
      </c>
      <c r="I44" s="247"/>
    </row>
    <row r="45" spans="1:9" ht="15.95" customHeight="1">
      <c r="A45" s="478"/>
      <c r="B45" s="241"/>
      <c r="C45" s="246"/>
      <c r="D45" s="246"/>
      <c r="E45" s="246"/>
      <c r="F45" s="250"/>
      <c r="G45" s="250"/>
      <c r="H45" s="192">
        <f t="shared" si="0"/>
        <v>0</v>
      </c>
      <c r="I45" s="247"/>
    </row>
    <row r="46" spans="1:9" ht="15.95" customHeight="1">
      <c r="A46" s="478"/>
      <c r="B46" s="241"/>
      <c r="C46" s="251" t="s">
        <v>219</v>
      </c>
      <c r="D46" s="251"/>
      <c r="E46" s="251"/>
      <c r="F46" s="254"/>
      <c r="G46" s="254"/>
      <c r="H46" s="281">
        <f t="shared" si="0"/>
        <v>0</v>
      </c>
      <c r="I46" s="255"/>
    </row>
    <row r="47" spans="1:9" ht="15.95" customHeight="1">
      <c r="A47" s="478"/>
      <c r="B47" s="256"/>
      <c r="C47" s="257"/>
      <c r="D47" s="258"/>
      <c r="E47" s="258"/>
      <c r="F47" s="260"/>
      <c r="G47" s="260"/>
      <c r="H47" s="261">
        <f>SUM(H31:H46)</f>
        <v>0</v>
      </c>
      <c r="I47" s="262"/>
    </row>
    <row r="48" spans="1:9" ht="15.95" customHeight="1">
      <c r="A48" s="478"/>
      <c r="B48" s="280" t="s">
        <v>220</v>
      </c>
      <c r="C48" s="264"/>
      <c r="D48" s="264"/>
      <c r="E48" s="264"/>
      <c r="F48" s="265"/>
      <c r="G48" s="265"/>
      <c r="H48" s="266">
        <f t="shared" si="0"/>
        <v>0</v>
      </c>
      <c r="I48" s="267"/>
    </row>
    <row r="49" spans="1:9" ht="15.95" customHeight="1">
      <c r="A49" s="478"/>
      <c r="B49" s="241"/>
      <c r="C49" s="246"/>
      <c r="D49" s="246"/>
      <c r="E49" s="246"/>
      <c r="F49" s="250"/>
      <c r="G49" s="250"/>
      <c r="H49" s="192">
        <f t="shared" si="0"/>
        <v>0</v>
      </c>
      <c r="I49" s="247"/>
    </row>
    <row r="50" spans="1:9" ht="15.95" customHeight="1">
      <c r="A50" s="478"/>
      <c r="B50" s="241"/>
      <c r="C50" s="246"/>
      <c r="D50" s="246"/>
      <c r="E50" s="246"/>
      <c r="F50" s="250"/>
      <c r="G50" s="250"/>
      <c r="H50" s="192">
        <f t="shared" si="0"/>
        <v>0</v>
      </c>
      <c r="I50" s="247"/>
    </row>
    <row r="51" spans="1:9" ht="15.95" customHeight="1">
      <c r="A51" s="478"/>
      <c r="B51" s="241"/>
      <c r="C51" s="246"/>
      <c r="D51" s="246"/>
      <c r="E51" s="246"/>
      <c r="F51" s="250"/>
      <c r="G51" s="250"/>
      <c r="H51" s="192">
        <f t="shared" si="0"/>
        <v>0</v>
      </c>
      <c r="I51" s="247"/>
    </row>
    <row r="52" spans="1:9" ht="15.95" customHeight="1">
      <c r="A52" s="478"/>
      <c r="B52" s="241"/>
      <c r="C52" s="246"/>
      <c r="D52" s="246"/>
      <c r="E52" s="246"/>
      <c r="F52" s="250"/>
      <c r="G52" s="250"/>
      <c r="H52" s="192">
        <f t="shared" si="0"/>
        <v>0</v>
      </c>
      <c r="I52" s="247"/>
    </row>
    <row r="53" spans="1:9" ht="15.95" customHeight="1">
      <c r="A53" s="478"/>
      <c r="B53" s="241"/>
      <c r="C53" s="246"/>
      <c r="D53" s="246"/>
      <c r="E53" s="246"/>
      <c r="F53" s="250"/>
      <c r="G53" s="250"/>
      <c r="H53" s="192">
        <f t="shared" si="0"/>
        <v>0</v>
      </c>
      <c r="I53" s="247"/>
    </row>
    <row r="54" spans="1:9" ht="15.95" customHeight="1">
      <c r="A54" s="478"/>
      <c r="B54" s="241"/>
      <c r="C54" s="251" t="s">
        <v>221</v>
      </c>
      <c r="D54" s="251"/>
      <c r="E54" s="251"/>
      <c r="F54" s="254"/>
      <c r="G54" s="254"/>
      <c r="H54" s="281">
        <f t="shared" si="0"/>
        <v>0</v>
      </c>
      <c r="I54" s="255"/>
    </row>
    <row r="55" spans="1:9" ht="15.95" customHeight="1">
      <c r="A55" s="478"/>
      <c r="B55" s="256"/>
      <c r="C55" s="257"/>
      <c r="D55" s="258"/>
      <c r="E55" s="258"/>
      <c r="F55" s="260"/>
      <c r="G55" s="260"/>
      <c r="H55" s="261">
        <f>SUM(H48:H54)</f>
        <v>0</v>
      </c>
      <c r="I55" s="262"/>
    </row>
    <row r="56" spans="1:9" ht="15.95" customHeight="1">
      <c r="A56" s="282"/>
      <c r="B56" s="283" t="s">
        <v>222</v>
      </c>
      <c r="C56" s="284"/>
      <c r="D56" s="262"/>
      <c r="E56" s="262"/>
      <c r="F56" s="286"/>
      <c r="G56" s="286"/>
      <c r="H56" s="261">
        <f>SUM(H55,H47,H30,H24)</f>
        <v>0</v>
      </c>
      <c r="I56" s="262"/>
    </row>
    <row r="57" spans="1:9" ht="15.95" customHeight="1">
      <c r="A57" s="479" t="s">
        <v>223</v>
      </c>
      <c r="B57" s="287" t="s">
        <v>224</v>
      </c>
      <c r="C57" s="284"/>
      <c r="D57" s="288"/>
      <c r="E57" s="313" t="s">
        <v>225</v>
      </c>
      <c r="F57" s="307"/>
      <c r="G57" s="307">
        <f>전기!G56</f>
        <v>0</v>
      </c>
      <c r="H57" s="290">
        <f>F57*G57</f>
        <v>0</v>
      </c>
      <c r="I57" s="262"/>
    </row>
    <row r="58" spans="1:9" ht="15.95" customHeight="1">
      <c r="A58" s="478"/>
      <c r="B58" s="291" t="s">
        <v>182</v>
      </c>
      <c r="C58" s="292"/>
      <c r="D58" s="293"/>
      <c r="E58" s="314" t="s">
        <v>153</v>
      </c>
      <c r="F58" s="265"/>
      <c r="G58" s="265"/>
      <c r="H58" s="266">
        <f t="shared" ref="H58:H64" si="1">F58*G58</f>
        <v>0</v>
      </c>
      <c r="I58" s="267"/>
    </row>
    <row r="59" spans="1:9" ht="15.95" customHeight="1">
      <c r="A59" s="478"/>
      <c r="B59" s="317" t="s">
        <v>183</v>
      </c>
      <c r="C59" s="296"/>
      <c r="D59" s="297"/>
      <c r="E59" s="315" t="s">
        <v>153</v>
      </c>
      <c r="F59" s="250"/>
      <c r="G59" s="250"/>
      <c r="H59" s="192">
        <f t="shared" si="1"/>
        <v>0</v>
      </c>
      <c r="I59" s="247"/>
    </row>
    <row r="60" spans="1:9" ht="15.95" customHeight="1">
      <c r="A60" s="478"/>
      <c r="B60" s="295" t="s">
        <v>184</v>
      </c>
      <c r="C60" s="296"/>
      <c r="D60" s="297"/>
      <c r="E60" s="315" t="s">
        <v>153</v>
      </c>
      <c r="F60" s="250"/>
      <c r="G60" s="250"/>
      <c r="H60" s="192">
        <f t="shared" si="1"/>
        <v>0</v>
      </c>
      <c r="I60" s="247"/>
    </row>
    <row r="61" spans="1:9" ht="15.95" customHeight="1">
      <c r="A61" s="478"/>
      <c r="B61" s="295" t="s">
        <v>185</v>
      </c>
      <c r="C61" s="296"/>
      <c r="D61" s="297"/>
      <c r="E61" s="315" t="s">
        <v>153</v>
      </c>
      <c r="F61" s="250"/>
      <c r="G61" s="250"/>
      <c r="H61" s="192">
        <f t="shared" si="1"/>
        <v>0</v>
      </c>
      <c r="I61" s="247"/>
    </row>
    <row r="62" spans="1:9" ht="15.95" customHeight="1">
      <c r="A62" s="478"/>
      <c r="B62" s="295" t="s">
        <v>186</v>
      </c>
      <c r="C62" s="296"/>
      <c r="D62" s="297"/>
      <c r="E62" s="315" t="s">
        <v>153</v>
      </c>
      <c r="F62" s="250"/>
      <c r="G62" s="250"/>
      <c r="H62" s="192">
        <f t="shared" si="1"/>
        <v>0</v>
      </c>
      <c r="I62" s="247"/>
    </row>
    <row r="63" spans="1:9" ht="15.95" customHeight="1">
      <c r="A63" s="478"/>
      <c r="B63" s="295" t="s">
        <v>187</v>
      </c>
      <c r="C63" s="296"/>
      <c r="D63" s="297"/>
      <c r="E63" s="315" t="s">
        <v>153</v>
      </c>
      <c r="F63" s="250"/>
      <c r="G63" s="250"/>
      <c r="H63" s="192">
        <f t="shared" si="1"/>
        <v>0</v>
      </c>
      <c r="I63" s="247"/>
    </row>
    <row r="64" spans="1:9" ht="15.95" customHeight="1">
      <c r="A64" s="478"/>
      <c r="B64" s="299" t="s">
        <v>188</v>
      </c>
      <c r="C64" s="300"/>
      <c r="D64" s="301"/>
      <c r="E64" s="316" t="s">
        <v>153</v>
      </c>
      <c r="F64" s="254"/>
      <c r="G64" s="254"/>
      <c r="H64" s="281">
        <f t="shared" si="1"/>
        <v>0</v>
      </c>
      <c r="I64" s="255"/>
    </row>
    <row r="65" spans="1:9" ht="15.95" customHeight="1">
      <c r="A65" s="282"/>
      <c r="B65" s="303" t="s">
        <v>159</v>
      </c>
      <c r="C65" s="284"/>
      <c r="D65" s="262"/>
      <c r="E65" s="262"/>
      <c r="F65" s="260"/>
      <c r="G65" s="260"/>
      <c r="H65" s="260">
        <f>SUM(H57:H64)</f>
        <v>0</v>
      </c>
      <c r="I65" s="258"/>
    </row>
    <row r="66" spans="1:9" ht="15.95" customHeight="1">
      <c r="A66" s="304"/>
      <c r="B66" s="303" t="s">
        <v>189</v>
      </c>
      <c r="C66" s="284"/>
      <c r="D66" s="262"/>
      <c r="E66" s="262"/>
      <c r="F66" s="261"/>
      <c r="G66" s="261"/>
      <c r="H66" s="286">
        <f>'단위공사별(집계)'!L12+'단위공사별(집계)'!I12</f>
        <v>0</v>
      </c>
      <c r="I66" s="262"/>
    </row>
    <row r="67" spans="1:9" ht="15.95" customHeight="1">
      <c r="A67" s="304"/>
      <c r="B67" s="303" t="s">
        <v>162</v>
      </c>
      <c r="C67" s="284"/>
      <c r="D67" s="262"/>
      <c r="E67" s="262"/>
      <c r="F67" s="261"/>
      <c r="G67" s="306"/>
      <c r="H67" s="307"/>
      <c r="I67" s="284"/>
    </row>
    <row r="68" spans="1:9" ht="15.95" customHeight="1">
      <c r="A68" s="304"/>
      <c r="B68" s="303" t="s">
        <v>163</v>
      </c>
      <c r="C68" s="284"/>
      <c r="D68" s="262"/>
      <c r="E68" s="262"/>
      <c r="F68" s="261"/>
      <c r="G68" s="306"/>
      <c r="H68" s="307"/>
      <c r="I68" s="284"/>
    </row>
    <row r="69" spans="1:9" ht="15.95" customHeight="1">
      <c r="A69" s="304"/>
      <c r="B69" s="303" t="s">
        <v>164</v>
      </c>
      <c r="C69" s="284"/>
      <c r="D69" s="262"/>
      <c r="E69" s="262"/>
      <c r="F69" s="261"/>
      <c r="G69" s="261"/>
      <c r="H69" s="260">
        <f>H56+H65+H66+H67+H68</f>
        <v>0</v>
      </c>
      <c r="I69" s="262"/>
    </row>
    <row r="70" spans="1:9">
      <c r="A70" s="159"/>
    </row>
  </sheetData>
  <mergeCells count="3">
    <mergeCell ref="A2:B2"/>
    <mergeCell ref="A3:A55"/>
    <mergeCell ref="A57:A64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verticalDpi="0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I70"/>
  <sheetViews>
    <sheetView zoomScale="85" workbookViewId="0">
      <pane xSplit="2" ySplit="2" topLeftCell="C32" activePane="bottomRight" state="frozen"/>
      <selection activeCell="G33" sqref="G33:I33"/>
      <selection pane="topRight" activeCell="G33" sqref="G33:I33"/>
      <selection pane="bottomLeft" activeCell="G33" sqref="G33:I33"/>
      <selection pane="bottomRight" activeCell="G33" sqref="G33:I33"/>
    </sheetView>
  </sheetViews>
  <sheetFormatPr defaultRowHeight="13.5"/>
  <cols>
    <col min="1" max="1" width="5" style="142" customWidth="1"/>
    <col min="2" max="2" width="17.875" style="142" bestFit="1" customWidth="1"/>
    <col min="3" max="3" width="23.625" style="142" customWidth="1"/>
    <col min="4" max="4" width="18.25" style="142" customWidth="1"/>
    <col min="5" max="5" width="5.25" style="142" bestFit="1" customWidth="1"/>
    <col min="6" max="6" width="9" style="181"/>
    <col min="7" max="7" width="11.875" style="181" customWidth="1"/>
    <col min="8" max="8" width="13.625" style="181" customWidth="1"/>
    <col min="9" max="9" width="12.75" style="142" customWidth="1"/>
    <col min="10" max="16384" width="9" style="142"/>
  </cols>
  <sheetData>
    <row r="1" spans="1:9" ht="22.5" customHeight="1">
      <c r="B1" s="233" t="s">
        <v>238</v>
      </c>
      <c r="C1" s="309"/>
      <c r="D1" s="235"/>
      <c r="E1" s="235"/>
      <c r="F1" s="310"/>
      <c r="G1" s="195"/>
      <c r="I1" s="142" t="s">
        <v>239</v>
      </c>
    </row>
    <row r="2" spans="1:9" s="159" customFormat="1" ht="16.5" customHeight="1">
      <c r="A2" s="361" t="s">
        <v>240</v>
      </c>
      <c r="B2" s="473"/>
      <c r="C2" s="150" t="s">
        <v>241</v>
      </c>
      <c r="D2" s="143" t="s">
        <v>242</v>
      </c>
      <c r="E2" s="143" t="s">
        <v>243</v>
      </c>
      <c r="F2" s="285" t="s">
        <v>244</v>
      </c>
      <c r="G2" s="285" t="s">
        <v>245</v>
      </c>
      <c r="H2" s="285" t="s">
        <v>246</v>
      </c>
      <c r="I2" s="143" t="s">
        <v>247</v>
      </c>
    </row>
    <row r="3" spans="1:9" ht="15.95" customHeight="1">
      <c r="A3" s="474" t="s">
        <v>248</v>
      </c>
      <c r="B3" s="241" t="s">
        <v>249</v>
      </c>
      <c r="C3" s="264"/>
      <c r="D3" s="264"/>
      <c r="E3" s="264"/>
      <c r="F3" s="265"/>
      <c r="G3" s="265"/>
      <c r="H3" s="266">
        <f>IF(F3=0,G3,G3*F3)</f>
        <v>0</v>
      </c>
      <c r="I3" s="267"/>
    </row>
    <row r="4" spans="1:9" ht="15.95" customHeight="1">
      <c r="A4" s="478"/>
      <c r="B4" s="241"/>
      <c r="C4" s="246"/>
      <c r="D4" s="246"/>
      <c r="E4" s="246"/>
      <c r="F4" s="250"/>
      <c r="G4" s="250"/>
      <c r="H4" s="192">
        <f>IF(F4=0,G4,G4*F4)</f>
        <v>0</v>
      </c>
      <c r="I4" s="247"/>
    </row>
    <row r="5" spans="1:9" ht="15.95" customHeight="1">
      <c r="A5" s="478"/>
      <c r="B5" s="241"/>
      <c r="C5" s="246"/>
      <c r="D5" s="246"/>
      <c r="E5" s="246"/>
      <c r="F5" s="250"/>
      <c r="G5" s="250"/>
      <c r="H5" s="192">
        <f t="shared" ref="H5:H54" si="0">IF(F5=0,G5,G5*F5)</f>
        <v>0</v>
      </c>
      <c r="I5" s="247"/>
    </row>
    <row r="6" spans="1:9" ht="15.95" customHeight="1">
      <c r="A6" s="478"/>
      <c r="B6" s="241"/>
      <c r="C6" s="246"/>
      <c r="D6" s="246"/>
      <c r="E6" s="246"/>
      <c r="F6" s="250"/>
      <c r="G6" s="250"/>
      <c r="H6" s="192">
        <f t="shared" si="0"/>
        <v>0</v>
      </c>
      <c r="I6" s="247"/>
    </row>
    <row r="7" spans="1:9" ht="15.95" customHeight="1">
      <c r="A7" s="478"/>
      <c r="B7" s="241"/>
      <c r="C7" s="246"/>
      <c r="D7" s="246"/>
      <c r="E7" s="246"/>
      <c r="F7" s="250"/>
      <c r="G7" s="250"/>
      <c r="H7" s="192">
        <f t="shared" si="0"/>
        <v>0</v>
      </c>
      <c r="I7" s="247"/>
    </row>
    <row r="8" spans="1:9" ht="15.95" customHeight="1">
      <c r="A8" s="478"/>
      <c r="B8" s="241"/>
      <c r="C8" s="246"/>
      <c r="D8" s="246"/>
      <c r="E8" s="246"/>
      <c r="F8" s="250"/>
      <c r="G8" s="250"/>
      <c r="H8" s="192">
        <f t="shared" si="0"/>
        <v>0</v>
      </c>
      <c r="I8" s="247"/>
    </row>
    <row r="9" spans="1:9" ht="15.95" customHeight="1">
      <c r="A9" s="478"/>
      <c r="B9" s="241"/>
      <c r="C9" s="246"/>
      <c r="D9" s="246"/>
      <c r="E9" s="246"/>
      <c r="F9" s="250"/>
      <c r="G9" s="250"/>
      <c r="H9" s="192">
        <f t="shared" si="0"/>
        <v>0</v>
      </c>
      <c r="I9" s="247"/>
    </row>
    <row r="10" spans="1:9" ht="15.95" customHeight="1">
      <c r="A10" s="478"/>
      <c r="B10" s="241"/>
      <c r="C10" s="246"/>
      <c r="D10" s="246"/>
      <c r="E10" s="246"/>
      <c r="F10" s="250"/>
      <c r="G10" s="250"/>
      <c r="H10" s="192">
        <f t="shared" si="0"/>
        <v>0</v>
      </c>
      <c r="I10" s="247"/>
    </row>
    <row r="11" spans="1:9" ht="15.95" customHeight="1">
      <c r="A11" s="478"/>
      <c r="B11" s="241"/>
      <c r="C11" s="246"/>
      <c r="D11" s="246"/>
      <c r="E11" s="246"/>
      <c r="F11" s="250"/>
      <c r="G11" s="250"/>
      <c r="H11" s="192">
        <f t="shared" si="0"/>
        <v>0</v>
      </c>
      <c r="I11" s="247"/>
    </row>
    <row r="12" spans="1:9" ht="15.95" customHeight="1">
      <c r="A12" s="478"/>
      <c r="B12" s="241"/>
      <c r="C12" s="246"/>
      <c r="D12" s="246"/>
      <c r="E12" s="246"/>
      <c r="F12" s="250"/>
      <c r="G12" s="250"/>
      <c r="H12" s="192">
        <f t="shared" si="0"/>
        <v>0</v>
      </c>
      <c r="I12" s="247"/>
    </row>
    <row r="13" spans="1:9" ht="15.95" customHeight="1">
      <c r="A13" s="478"/>
      <c r="B13" s="241"/>
      <c r="C13" s="246"/>
      <c r="D13" s="246"/>
      <c r="E13" s="246"/>
      <c r="F13" s="250"/>
      <c r="G13" s="250"/>
      <c r="H13" s="192">
        <f t="shared" si="0"/>
        <v>0</v>
      </c>
      <c r="I13" s="247"/>
    </row>
    <row r="14" spans="1:9" ht="15.95" customHeight="1">
      <c r="A14" s="478"/>
      <c r="B14" s="241"/>
      <c r="C14" s="246"/>
      <c r="D14" s="246"/>
      <c r="E14" s="246"/>
      <c r="F14" s="250"/>
      <c r="G14" s="250"/>
      <c r="H14" s="192">
        <f t="shared" si="0"/>
        <v>0</v>
      </c>
      <c r="I14" s="247"/>
    </row>
    <row r="15" spans="1:9" ht="15.95" customHeight="1">
      <c r="A15" s="478"/>
      <c r="B15" s="241"/>
      <c r="C15" s="246"/>
      <c r="D15" s="246"/>
      <c r="E15" s="246"/>
      <c r="F15" s="250"/>
      <c r="G15" s="250"/>
      <c r="H15" s="192">
        <f t="shared" si="0"/>
        <v>0</v>
      </c>
      <c r="I15" s="247"/>
    </row>
    <row r="16" spans="1:9" ht="15.95" customHeight="1">
      <c r="A16" s="478"/>
      <c r="B16" s="241"/>
      <c r="C16" s="246"/>
      <c r="D16" s="246"/>
      <c r="E16" s="246"/>
      <c r="F16" s="250"/>
      <c r="G16" s="250"/>
      <c r="H16" s="192">
        <f t="shared" si="0"/>
        <v>0</v>
      </c>
      <c r="I16" s="247"/>
    </row>
    <row r="17" spans="1:9" ht="15.95" customHeight="1">
      <c r="A17" s="478"/>
      <c r="B17" s="241"/>
      <c r="C17" s="246"/>
      <c r="D17" s="246"/>
      <c r="E17" s="246"/>
      <c r="F17" s="250"/>
      <c r="G17" s="250"/>
      <c r="H17" s="192">
        <f t="shared" si="0"/>
        <v>0</v>
      </c>
      <c r="I17" s="247"/>
    </row>
    <row r="18" spans="1:9" ht="15.95" customHeight="1">
      <c r="A18" s="478"/>
      <c r="B18" s="241"/>
      <c r="C18" s="246"/>
      <c r="D18" s="246"/>
      <c r="E18" s="246"/>
      <c r="F18" s="250"/>
      <c r="G18" s="250"/>
      <c r="H18" s="192">
        <f t="shared" si="0"/>
        <v>0</v>
      </c>
      <c r="I18" s="247"/>
    </row>
    <row r="19" spans="1:9" ht="15.95" customHeight="1">
      <c r="A19" s="478"/>
      <c r="B19" s="241"/>
      <c r="C19" s="246"/>
      <c r="D19" s="246"/>
      <c r="E19" s="246"/>
      <c r="F19" s="250"/>
      <c r="G19" s="250"/>
      <c r="H19" s="192">
        <f t="shared" si="0"/>
        <v>0</v>
      </c>
      <c r="I19" s="247"/>
    </row>
    <row r="20" spans="1:9" ht="15.95" customHeight="1">
      <c r="A20" s="478"/>
      <c r="B20" s="241"/>
      <c r="C20" s="246"/>
      <c r="D20" s="246"/>
      <c r="E20" s="246"/>
      <c r="F20" s="250"/>
      <c r="G20" s="250"/>
      <c r="H20" s="192">
        <f t="shared" si="0"/>
        <v>0</v>
      </c>
      <c r="I20" s="247"/>
    </row>
    <row r="21" spans="1:9" ht="15.95" customHeight="1">
      <c r="A21" s="478"/>
      <c r="B21" s="241"/>
      <c r="C21" s="246"/>
      <c r="D21" s="246"/>
      <c r="E21" s="246"/>
      <c r="F21" s="250"/>
      <c r="G21" s="250"/>
      <c r="H21" s="192">
        <f t="shared" si="0"/>
        <v>0</v>
      </c>
      <c r="I21" s="247"/>
    </row>
    <row r="22" spans="1:9" ht="15.95" customHeight="1">
      <c r="A22" s="478"/>
      <c r="B22" s="241"/>
      <c r="C22" s="246"/>
      <c r="D22" s="246"/>
      <c r="E22" s="246"/>
      <c r="F22" s="250"/>
      <c r="G22" s="250"/>
      <c r="H22" s="192">
        <f t="shared" si="0"/>
        <v>0</v>
      </c>
      <c r="I22" s="247"/>
    </row>
    <row r="23" spans="1:9" ht="15.95" customHeight="1">
      <c r="A23" s="478"/>
      <c r="B23" s="241"/>
      <c r="C23" s="251" t="s">
        <v>219</v>
      </c>
      <c r="D23" s="269"/>
      <c r="E23" s="269"/>
      <c r="F23" s="270"/>
      <c r="G23" s="270"/>
      <c r="H23" s="271">
        <f t="shared" si="0"/>
        <v>0</v>
      </c>
      <c r="I23" s="272"/>
    </row>
    <row r="24" spans="1:9" ht="15.95" customHeight="1">
      <c r="A24" s="478"/>
      <c r="B24" s="256"/>
      <c r="C24" s="279"/>
      <c r="D24" s="279"/>
      <c r="E24" s="279"/>
      <c r="F24" s="277"/>
      <c r="G24" s="277"/>
      <c r="H24" s="278">
        <f>SUM(H3:H23)</f>
        <v>0</v>
      </c>
      <c r="I24" s="279"/>
    </row>
    <row r="25" spans="1:9" ht="15.95" customHeight="1">
      <c r="A25" s="478"/>
      <c r="B25" s="241" t="s">
        <v>177</v>
      </c>
      <c r="C25" s="242"/>
      <c r="D25" s="242"/>
      <c r="E25" s="242"/>
      <c r="F25" s="243"/>
      <c r="G25" s="243"/>
      <c r="H25" s="244">
        <f t="shared" si="0"/>
        <v>0</v>
      </c>
      <c r="I25" s="245"/>
    </row>
    <row r="26" spans="1:9" ht="15.95" customHeight="1">
      <c r="A26" s="478"/>
      <c r="B26" s="241" t="s">
        <v>178</v>
      </c>
      <c r="C26" s="246"/>
      <c r="D26" s="246"/>
      <c r="E26" s="246"/>
      <c r="F26" s="250"/>
      <c r="G26" s="250"/>
      <c r="H26" s="192">
        <f t="shared" si="0"/>
        <v>0</v>
      </c>
      <c r="I26" s="247"/>
    </row>
    <row r="27" spans="1:9" ht="15.95" customHeight="1">
      <c r="A27" s="478"/>
      <c r="B27" s="241"/>
      <c r="C27" s="246"/>
      <c r="D27" s="246"/>
      <c r="E27" s="246"/>
      <c r="F27" s="250"/>
      <c r="G27" s="250"/>
      <c r="H27" s="192">
        <f t="shared" si="0"/>
        <v>0</v>
      </c>
      <c r="I27" s="247"/>
    </row>
    <row r="28" spans="1:9" ht="15.95" customHeight="1">
      <c r="A28" s="478"/>
      <c r="B28" s="241"/>
      <c r="C28" s="246"/>
      <c r="D28" s="246"/>
      <c r="E28" s="246"/>
      <c r="F28" s="250"/>
      <c r="G28" s="250"/>
      <c r="H28" s="192">
        <f t="shared" si="0"/>
        <v>0</v>
      </c>
      <c r="I28" s="247"/>
    </row>
    <row r="29" spans="1:9" ht="15.95" customHeight="1">
      <c r="A29" s="478"/>
      <c r="B29" s="241"/>
      <c r="C29" s="251" t="s">
        <v>219</v>
      </c>
      <c r="D29" s="251"/>
      <c r="E29" s="251"/>
      <c r="F29" s="254"/>
      <c r="G29" s="254"/>
      <c r="H29" s="192">
        <f t="shared" si="0"/>
        <v>0</v>
      </c>
      <c r="I29" s="255"/>
    </row>
    <row r="30" spans="1:9" ht="15.95" customHeight="1">
      <c r="A30" s="478"/>
      <c r="B30" s="256"/>
      <c r="C30" s="257"/>
      <c r="D30" s="258"/>
      <c r="E30" s="258"/>
      <c r="F30" s="312"/>
      <c r="G30" s="260"/>
      <c r="H30" s="261">
        <f>SUM(H25:H29)</f>
        <v>0</v>
      </c>
      <c r="I30" s="262"/>
    </row>
    <row r="31" spans="1:9" ht="15.95" customHeight="1">
      <c r="A31" s="478"/>
      <c r="B31" s="280" t="s">
        <v>179</v>
      </c>
      <c r="C31" s="264"/>
      <c r="D31" s="264"/>
      <c r="E31" s="264"/>
      <c r="F31" s="265"/>
      <c r="G31" s="265"/>
      <c r="H31" s="266">
        <f t="shared" si="0"/>
        <v>0</v>
      </c>
      <c r="I31" s="267"/>
    </row>
    <row r="32" spans="1:9" ht="15.95" customHeight="1">
      <c r="A32" s="478"/>
      <c r="B32" s="241" t="s">
        <v>180</v>
      </c>
      <c r="C32" s="246"/>
      <c r="D32" s="246"/>
      <c r="E32" s="246"/>
      <c r="F32" s="250"/>
      <c r="G32" s="250"/>
      <c r="H32" s="192">
        <f t="shared" si="0"/>
        <v>0</v>
      </c>
      <c r="I32" s="247"/>
    </row>
    <row r="33" spans="1:9" ht="15.95" customHeight="1">
      <c r="A33" s="478"/>
      <c r="B33" s="241"/>
      <c r="C33" s="246"/>
      <c r="D33" s="246"/>
      <c r="E33" s="246"/>
      <c r="F33" s="250"/>
      <c r="G33" s="250"/>
      <c r="H33" s="192">
        <f t="shared" si="0"/>
        <v>0</v>
      </c>
      <c r="I33" s="247"/>
    </row>
    <row r="34" spans="1:9" ht="15.95" customHeight="1">
      <c r="A34" s="478"/>
      <c r="B34" s="241"/>
      <c r="C34" s="246"/>
      <c r="D34" s="246"/>
      <c r="E34" s="246"/>
      <c r="F34" s="250"/>
      <c r="G34" s="250"/>
      <c r="H34" s="192">
        <f t="shared" si="0"/>
        <v>0</v>
      </c>
      <c r="I34" s="247"/>
    </row>
    <row r="35" spans="1:9" ht="15.95" customHeight="1">
      <c r="A35" s="478"/>
      <c r="B35" s="241"/>
      <c r="C35" s="246"/>
      <c r="D35" s="246"/>
      <c r="E35" s="246"/>
      <c r="F35" s="250"/>
      <c r="G35" s="250"/>
      <c r="H35" s="192">
        <f t="shared" si="0"/>
        <v>0</v>
      </c>
      <c r="I35" s="247"/>
    </row>
    <row r="36" spans="1:9" ht="15.95" customHeight="1">
      <c r="A36" s="478"/>
      <c r="B36" s="241"/>
      <c r="C36" s="246"/>
      <c r="D36" s="246"/>
      <c r="E36" s="246"/>
      <c r="F36" s="250"/>
      <c r="G36" s="250"/>
      <c r="H36" s="192">
        <f t="shared" si="0"/>
        <v>0</v>
      </c>
      <c r="I36" s="247"/>
    </row>
    <row r="37" spans="1:9" ht="15.95" customHeight="1">
      <c r="A37" s="478"/>
      <c r="B37" s="241"/>
      <c r="C37" s="246"/>
      <c r="D37" s="246"/>
      <c r="E37" s="246"/>
      <c r="F37" s="250"/>
      <c r="G37" s="250"/>
      <c r="H37" s="192">
        <f t="shared" si="0"/>
        <v>0</v>
      </c>
      <c r="I37" s="247"/>
    </row>
    <row r="38" spans="1:9" ht="15.95" customHeight="1">
      <c r="A38" s="478"/>
      <c r="B38" s="241"/>
      <c r="C38" s="246"/>
      <c r="D38" s="246"/>
      <c r="E38" s="246"/>
      <c r="F38" s="250"/>
      <c r="G38" s="250"/>
      <c r="H38" s="192">
        <f t="shared" si="0"/>
        <v>0</v>
      </c>
      <c r="I38" s="247"/>
    </row>
    <row r="39" spans="1:9" ht="15.95" customHeight="1">
      <c r="A39" s="478"/>
      <c r="B39" s="241"/>
      <c r="C39" s="246"/>
      <c r="D39" s="246"/>
      <c r="E39" s="246"/>
      <c r="F39" s="250"/>
      <c r="G39" s="250"/>
      <c r="H39" s="192">
        <f t="shared" si="0"/>
        <v>0</v>
      </c>
      <c r="I39" s="247"/>
    </row>
    <row r="40" spans="1:9" ht="15.95" customHeight="1">
      <c r="A40" s="478"/>
      <c r="B40" s="241"/>
      <c r="C40" s="246"/>
      <c r="D40" s="246"/>
      <c r="E40" s="246"/>
      <c r="F40" s="250"/>
      <c r="G40" s="250"/>
      <c r="H40" s="192">
        <f t="shared" si="0"/>
        <v>0</v>
      </c>
      <c r="I40" s="247"/>
    </row>
    <row r="41" spans="1:9" ht="15.95" customHeight="1">
      <c r="A41" s="478"/>
      <c r="B41" s="241"/>
      <c r="C41" s="246"/>
      <c r="D41" s="246"/>
      <c r="E41" s="246"/>
      <c r="F41" s="250"/>
      <c r="G41" s="250"/>
      <c r="H41" s="192">
        <f t="shared" si="0"/>
        <v>0</v>
      </c>
      <c r="I41" s="247"/>
    </row>
    <row r="42" spans="1:9" ht="15.95" customHeight="1">
      <c r="A42" s="478"/>
      <c r="B42" s="241"/>
      <c r="C42" s="246"/>
      <c r="D42" s="246"/>
      <c r="E42" s="246"/>
      <c r="F42" s="250"/>
      <c r="G42" s="250"/>
      <c r="H42" s="192">
        <f t="shared" si="0"/>
        <v>0</v>
      </c>
      <c r="I42" s="247"/>
    </row>
    <row r="43" spans="1:9" ht="15.95" customHeight="1">
      <c r="A43" s="478"/>
      <c r="B43" s="241"/>
      <c r="C43" s="246"/>
      <c r="D43" s="246"/>
      <c r="E43" s="246"/>
      <c r="F43" s="250"/>
      <c r="G43" s="250"/>
      <c r="H43" s="192">
        <f t="shared" si="0"/>
        <v>0</v>
      </c>
      <c r="I43" s="247"/>
    </row>
    <row r="44" spans="1:9" ht="15.95" customHeight="1">
      <c r="A44" s="478"/>
      <c r="B44" s="241"/>
      <c r="C44" s="246"/>
      <c r="D44" s="246"/>
      <c r="E44" s="246"/>
      <c r="F44" s="250"/>
      <c r="G44" s="250"/>
      <c r="H44" s="192">
        <f t="shared" si="0"/>
        <v>0</v>
      </c>
      <c r="I44" s="247"/>
    </row>
    <row r="45" spans="1:9" ht="15.95" customHeight="1">
      <c r="A45" s="478"/>
      <c r="B45" s="241"/>
      <c r="C45" s="246"/>
      <c r="D45" s="246"/>
      <c r="E45" s="246"/>
      <c r="F45" s="250"/>
      <c r="G45" s="250"/>
      <c r="H45" s="192">
        <f t="shared" si="0"/>
        <v>0</v>
      </c>
      <c r="I45" s="247"/>
    </row>
    <row r="46" spans="1:9" ht="15.95" customHeight="1">
      <c r="A46" s="478"/>
      <c r="B46" s="241"/>
      <c r="C46" s="251" t="s">
        <v>219</v>
      </c>
      <c r="D46" s="251"/>
      <c r="E46" s="251"/>
      <c r="F46" s="254"/>
      <c r="G46" s="254"/>
      <c r="H46" s="281">
        <f t="shared" si="0"/>
        <v>0</v>
      </c>
      <c r="I46" s="255"/>
    </row>
    <row r="47" spans="1:9" ht="15.95" customHeight="1">
      <c r="A47" s="478"/>
      <c r="B47" s="256"/>
      <c r="C47" s="257"/>
      <c r="D47" s="258"/>
      <c r="E47" s="258"/>
      <c r="F47" s="260"/>
      <c r="G47" s="260"/>
      <c r="H47" s="261">
        <f>SUM(H31:H46)</f>
        <v>0</v>
      </c>
      <c r="I47" s="262"/>
    </row>
    <row r="48" spans="1:9" ht="15.95" customHeight="1">
      <c r="A48" s="478"/>
      <c r="B48" s="280" t="s">
        <v>250</v>
      </c>
      <c r="C48" s="264"/>
      <c r="D48" s="264"/>
      <c r="E48" s="264"/>
      <c r="F48" s="265"/>
      <c r="G48" s="265"/>
      <c r="H48" s="266">
        <f t="shared" si="0"/>
        <v>0</v>
      </c>
      <c r="I48" s="267"/>
    </row>
    <row r="49" spans="1:9" ht="15.95" customHeight="1">
      <c r="A49" s="478"/>
      <c r="B49" s="241"/>
      <c r="C49" s="246"/>
      <c r="D49" s="246"/>
      <c r="E49" s="246"/>
      <c r="F49" s="250"/>
      <c r="G49" s="250"/>
      <c r="H49" s="192">
        <f t="shared" si="0"/>
        <v>0</v>
      </c>
      <c r="I49" s="247"/>
    </row>
    <row r="50" spans="1:9" ht="15.95" customHeight="1">
      <c r="A50" s="478"/>
      <c r="B50" s="241"/>
      <c r="C50" s="246"/>
      <c r="D50" s="246"/>
      <c r="E50" s="246"/>
      <c r="F50" s="250"/>
      <c r="G50" s="250"/>
      <c r="H50" s="192">
        <f t="shared" si="0"/>
        <v>0</v>
      </c>
      <c r="I50" s="247"/>
    </row>
    <row r="51" spans="1:9" ht="15.95" customHeight="1">
      <c r="A51" s="478"/>
      <c r="B51" s="241"/>
      <c r="C51" s="246"/>
      <c r="D51" s="246"/>
      <c r="E51" s="246"/>
      <c r="F51" s="250"/>
      <c r="G51" s="250"/>
      <c r="H51" s="192">
        <f t="shared" si="0"/>
        <v>0</v>
      </c>
      <c r="I51" s="247"/>
    </row>
    <row r="52" spans="1:9" ht="15.95" customHeight="1">
      <c r="A52" s="478"/>
      <c r="B52" s="241"/>
      <c r="C52" s="246"/>
      <c r="D52" s="246"/>
      <c r="E52" s="246"/>
      <c r="F52" s="250"/>
      <c r="G52" s="250"/>
      <c r="H52" s="192">
        <f t="shared" si="0"/>
        <v>0</v>
      </c>
      <c r="I52" s="247"/>
    </row>
    <row r="53" spans="1:9" ht="15.95" customHeight="1">
      <c r="A53" s="478"/>
      <c r="B53" s="241"/>
      <c r="C53" s="246"/>
      <c r="D53" s="246"/>
      <c r="E53" s="246"/>
      <c r="F53" s="250"/>
      <c r="G53" s="250"/>
      <c r="H53" s="192">
        <f t="shared" si="0"/>
        <v>0</v>
      </c>
      <c r="I53" s="247"/>
    </row>
    <row r="54" spans="1:9" ht="15.95" customHeight="1">
      <c r="A54" s="478"/>
      <c r="B54" s="241"/>
      <c r="C54" s="251" t="s">
        <v>251</v>
      </c>
      <c r="D54" s="251"/>
      <c r="E54" s="251"/>
      <c r="F54" s="254"/>
      <c r="G54" s="254"/>
      <c r="H54" s="281">
        <f t="shared" si="0"/>
        <v>0</v>
      </c>
      <c r="I54" s="255"/>
    </row>
    <row r="55" spans="1:9" ht="15.95" customHeight="1">
      <c r="A55" s="478"/>
      <c r="B55" s="256"/>
      <c r="C55" s="257"/>
      <c r="D55" s="258"/>
      <c r="E55" s="258"/>
      <c r="F55" s="260"/>
      <c r="G55" s="260"/>
      <c r="H55" s="261">
        <f>SUM(H48:H54)</f>
        <v>0</v>
      </c>
      <c r="I55" s="262"/>
    </row>
    <row r="56" spans="1:9" ht="15.95" customHeight="1">
      <c r="A56" s="282"/>
      <c r="B56" s="283" t="s">
        <v>252</v>
      </c>
      <c r="C56" s="284"/>
      <c r="D56" s="262"/>
      <c r="E56" s="262"/>
      <c r="F56" s="286"/>
      <c r="G56" s="286"/>
      <c r="H56" s="261">
        <f>SUM(H55,H47,H30,H24)</f>
        <v>0</v>
      </c>
      <c r="I56" s="262"/>
    </row>
    <row r="57" spans="1:9" ht="15.95" customHeight="1">
      <c r="A57" s="479" t="s">
        <v>253</v>
      </c>
      <c r="B57" s="287" t="s">
        <v>254</v>
      </c>
      <c r="C57" s="284"/>
      <c r="D57" s="288"/>
      <c r="E57" s="313" t="s">
        <v>255</v>
      </c>
      <c r="F57" s="307"/>
      <c r="G57" s="307">
        <f>전기!G56</f>
        <v>0</v>
      </c>
      <c r="H57" s="290">
        <f>F57*G57</f>
        <v>0</v>
      </c>
      <c r="I57" s="262"/>
    </row>
    <row r="58" spans="1:9" ht="15.95" customHeight="1">
      <c r="A58" s="478"/>
      <c r="B58" s="291" t="s">
        <v>182</v>
      </c>
      <c r="C58" s="292"/>
      <c r="D58" s="293"/>
      <c r="E58" s="314" t="s">
        <v>153</v>
      </c>
      <c r="F58" s="265"/>
      <c r="G58" s="265"/>
      <c r="H58" s="266">
        <f t="shared" ref="H58:H64" si="1">F58*G58</f>
        <v>0</v>
      </c>
      <c r="I58" s="267"/>
    </row>
    <row r="59" spans="1:9" ht="15.95" customHeight="1">
      <c r="A59" s="478"/>
      <c r="B59" s="317" t="s">
        <v>183</v>
      </c>
      <c r="C59" s="296"/>
      <c r="D59" s="297"/>
      <c r="E59" s="315" t="s">
        <v>153</v>
      </c>
      <c r="F59" s="250"/>
      <c r="G59" s="250"/>
      <c r="H59" s="192">
        <f t="shared" si="1"/>
        <v>0</v>
      </c>
      <c r="I59" s="247"/>
    </row>
    <row r="60" spans="1:9" ht="15.95" customHeight="1">
      <c r="A60" s="478"/>
      <c r="B60" s="295" t="s">
        <v>184</v>
      </c>
      <c r="C60" s="296"/>
      <c r="D60" s="297"/>
      <c r="E60" s="315" t="s">
        <v>153</v>
      </c>
      <c r="F60" s="250"/>
      <c r="G60" s="250"/>
      <c r="H60" s="192">
        <f t="shared" si="1"/>
        <v>0</v>
      </c>
      <c r="I60" s="247"/>
    </row>
    <row r="61" spans="1:9" ht="15.95" customHeight="1">
      <c r="A61" s="478"/>
      <c r="B61" s="295" t="s">
        <v>185</v>
      </c>
      <c r="C61" s="296"/>
      <c r="D61" s="297"/>
      <c r="E61" s="315" t="s">
        <v>153</v>
      </c>
      <c r="F61" s="250"/>
      <c r="G61" s="250"/>
      <c r="H61" s="192">
        <f t="shared" si="1"/>
        <v>0</v>
      </c>
      <c r="I61" s="247"/>
    </row>
    <row r="62" spans="1:9" ht="15.95" customHeight="1">
      <c r="A62" s="478"/>
      <c r="B62" s="295" t="s">
        <v>186</v>
      </c>
      <c r="C62" s="296"/>
      <c r="D62" s="297"/>
      <c r="E62" s="315" t="s">
        <v>153</v>
      </c>
      <c r="F62" s="250"/>
      <c r="G62" s="250"/>
      <c r="H62" s="192">
        <f t="shared" si="1"/>
        <v>0</v>
      </c>
      <c r="I62" s="247"/>
    </row>
    <row r="63" spans="1:9" ht="15.95" customHeight="1">
      <c r="A63" s="478"/>
      <c r="B63" s="295" t="s">
        <v>187</v>
      </c>
      <c r="C63" s="296"/>
      <c r="D63" s="297"/>
      <c r="E63" s="315" t="s">
        <v>153</v>
      </c>
      <c r="F63" s="250"/>
      <c r="G63" s="250"/>
      <c r="H63" s="192">
        <f t="shared" si="1"/>
        <v>0</v>
      </c>
      <c r="I63" s="247"/>
    </row>
    <row r="64" spans="1:9" ht="15.95" customHeight="1">
      <c r="A64" s="478"/>
      <c r="B64" s="299" t="s">
        <v>188</v>
      </c>
      <c r="C64" s="300"/>
      <c r="D64" s="301"/>
      <c r="E64" s="316" t="s">
        <v>153</v>
      </c>
      <c r="F64" s="254"/>
      <c r="G64" s="254"/>
      <c r="H64" s="281">
        <f t="shared" si="1"/>
        <v>0</v>
      </c>
      <c r="I64" s="255"/>
    </row>
    <row r="65" spans="1:9" ht="15.95" customHeight="1">
      <c r="A65" s="282"/>
      <c r="B65" s="303" t="s">
        <v>159</v>
      </c>
      <c r="C65" s="284"/>
      <c r="D65" s="262"/>
      <c r="E65" s="262"/>
      <c r="F65" s="260"/>
      <c r="G65" s="260"/>
      <c r="H65" s="260">
        <f>SUM(H57:H64)</f>
        <v>0</v>
      </c>
      <c r="I65" s="258"/>
    </row>
    <row r="66" spans="1:9" ht="15.95" customHeight="1">
      <c r="A66" s="304"/>
      <c r="B66" s="303" t="s">
        <v>189</v>
      </c>
      <c r="C66" s="284"/>
      <c r="D66" s="262"/>
      <c r="E66" s="262"/>
      <c r="F66" s="261"/>
      <c r="G66" s="261"/>
      <c r="H66" s="286">
        <f>'단위공사별(집계)'!L13+'단위공사별(집계)'!I13</f>
        <v>0</v>
      </c>
      <c r="I66" s="262"/>
    </row>
    <row r="67" spans="1:9" ht="15.95" customHeight="1">
      <c r="A67" s="304"/>
      <c r="B67" s="303" t="s">
        <v>162</v>
      </c>
      <c r="C67" s="284"/>
      <c r="D67" s="262"/>
      <c r="E67" s="262"/>
      <c r="F67" s="261"/>
      <c r="G67" s="306"/>
      <c r="H67" s="307"/>
      <c r="I67" s="284"/>
    </row>
    <row r="68" spans="1:9" ht="15.95" customHeight="1">
      <c r="A68" s="304"/>
      <c r="B68" s="303" t="s">
        <v>163</v>
      </c>
      <c r="C68" s="284"/>
      <c r="D68" s="262"/>
      <c r="E68" s="262"/>
      <c r="F68" s="261"/>
      <c r="G68" s="306"/>
      <c r="H68" s="307"/>
      <c r="I68" s="284"/>
    </row>
    <row r="69" spans="1:9" ht="15.95" customHeight="1">
      <c r="A69" s="304"/>
      <c r="B69" s="303" t="s">
        <v>164</v>
      </c>
      <c r="C69" s="284"/>
      <c r="D69" s="262"/>
      <c r="E69" s="262"/>
      <c r="F69" s="261"/>
      <c r="G69" s="261"/>
      <c r="H69" s="260">
        <f>H56+H65+H66+H67+H68</f>
        <v>0</v>
      </c>
      <c r="I69" s="262"/>
    </row>
    <row r="70" spans="1:9">
      <c r="A70" s="159"/>
    </row>
  </sheetData>
  <mergeCells count="3">
    <mergeCell ref="A2:B2"/>
    <mergeCell ref="A3:A55"/>
    <mergeCell ref="A57:A64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verticalDpi="0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I70"/>
  <sheetViews>
    <sheetView zoomScale="85" workbookViewId="0">
      <pane xSplit="2" ySplit="2" topLeftCell="C15" activePane="bottomRight" state="frozen"/>
      <selection activeCell="G33" sqref="G33:I33"/>
      <selection pane="topRight" activeCell="G33" sqref="G33:I33"/>
      <selection pane="bottomLeft" activeCell="G33" sqref="G33:I33"/>
      <selection pane="bottomRight" activeCell="G33" sqref="G33:I33"/>
    </sheetView>
  </sheetViews>
  <sheetFormatPr defaultRowHeight="13.5"/>
  <cols>
    <col min="1" max="1" width="5" style="142" customWidth="1"/>
    <col min="2" max="2" width="17.875" style="142" bestFit="1" customWidth="1"/>
    <col min="3" max="3" width="23.625" style="142" customWidth="1"/>
    <col min="4" max="4" width="18.25" style="142" customWidth="1"/>
    <col min="5" max="5" width="5.25" style="142" bestFit="1" customWidth="1"/>
    <col min="6" max="6" width="9" style="181"/>
    <col min="7" max="7" width="11.875" style="181" customWidth="1"/>
    <col min="8" max="8" width="13.625" style="181" customWidth="1"/>
    <col min="9" max="9" width="12.75" style="142" customWidth="1"/>
    <col min="10" max="16384" width="9" style="142"/>
  </cols>
  <sheetData>
    <row r="1" spans="1:9" ht="22.5" customHeight="1">
      <c r="B1" s="233" t="s">
        <v>238</v>
      </c>
      <c r="C1" s="309"/>
      <c r="D1" s="235"/>
      <c r="E1" s="235"/>
      <c r="F1" s="310"/>
      <c r="G1" s="195"/>
      <c r="I1" s="142" t="s">
        <v>239</v>
      </c>
    </row>
    <row r="2" spans="1:9" s="159" customFormat="1" ht="16.5" customHeight="1">
      <c r="A2" s="361" t="s">
        <v>240</v>
      </c>
      <c r="B2" s="473"/>
      <c r="C2" s="150" t="s">
        <v>241</v>
      </c>
      <c r="D2" s="143" t="s">
        <v>242</v>
      </c>
      <c r="E2" s="143" t="s">
        <v>243</v>
      </c>
      <c r="F2" s="285" t="s">
        <v>244</v>
      </c>
      <c r="G2" s="285" t="s">
        <v>245</v>
      </c>
      <c r="H2" s="285" t="s">
        <v>246</v>
      </c>
      <c r="I2" s="143" t="s">
        <v>247</v>
      </c>
    </row>
    <row r="3" spans="1:9" ht="15.95" customHeight="1">
      <c r="A3" s="474" t="s">
        <v>248</v>
      </c>
      <c r="B3" s="241" t="s">
        <v>249</v>
      </c>
      <c r="C3" s="264"/>
      <c r="D3" s="264"/>
      <c r="E3" s="264"/>
      <c r="F3" s="265"/>
      <c r="G3" s="265"/>
      <c r="H3" s="266">
        <f>IF(F3=0,G3,G3*F3)</f>
        <v>0</v>
      </c>
      <c r="I3" s="267"/>
    </row>
    <row r="4" spans="1:9" ht="15.95" customHeight="1">
      <c r="A4" s="478"/>
      <c r="B4" s="241"/>
      <c r="C4" s="246"/>
      <c r="D4" s="246"/>
      <c r="E4" s="246"/>
      <c r="F4" s="250"/>
      <c r="G4" s="250"/>
      <c r="H4" s="192">
        <f>IF(F4=0,G4,G4*F4)</f>
        <v>0</v>
      </c>
      <c r="I4" s="247"/>
    </row>
    <row r="5" spans="1:9" ht="15.95" customHeight="1">
      <c r="A5" s="478"/>
      <c r="B5" s="241"/>
      <c r="C5" s="246"/>
      <c r="D5" s="246"/>
      <c r="E5" s="246"/>
      <c r="F5" s="250"/>
      <c r="G5" s="250"/>
      <c r="H5" s="192">
        <f t="shared" ref="H5:H54" si="0">IF(F5=0,G5,G5*F5)</f>
        <v>0</v>
      </c>
      <c r="I5" s="247"/>
    </row>
    <row r="6" spans="1:9" ht="15.95" customHeight="1">
      <c r="A6" s="478"/>
      <c r="B6" s="241"/>
      <c r="C6" s="246"/>
      <c r="D6" s="246"/>
      <c r="E6" s="246"/>
      <c r="F6" s="250"/>
      <c r="G6" s="250"/>
      <c r="H6" s="192">
        <f t="shared" si="0"/>
        <v>0</v>
      </c>
      <c r="I6" s="247"/>
    </row>
    <row r="7" spans="1:9" ht="15.95" customHeight="1">
      <c r="A7" s="478"/>
      <c r="B7" s="241"/>
      <c r="C7" s="246"/>
      <c r="D7" s="246"/>
      <c r="E7" s="246"/>
      <c r="F7" s="250"/>
      <c r="G7" s="250"/>
      <c r="H7" s="192">
        <f t="shared" si="0"/>
        <v>0</v>
      </c>
      <c r="I7" s="247"/>
    </row>
    <row r="8" spans="1:9" ht="15.95" customHeight="1">
      <c r="A8" s="478"/>
      <c r="B8" s="241"/>
      <c r="C8" s="246"/>
      <c r="D8" s="246"/>
      <c r="E8" s="246"/>
      <c r="F8" s="250"/>
      <c r="G8" s="250"/>
      <c r="H8" s="192">
        <f t="shared" si="0"/>
        <v>0</v>
      </c>
      <c r="I8" s="247"/>
    </row>
    <row r="9" spans="1:9" ht="15.95" customHeight="1">
      <c r="A9" s="478"/>
      <c r="B9" s="241"/>
      <c r="C9" s="246"/>
      <c r="D9" s="246"/>
      <c r="E9" s="246"/>
      <c r="F9" s="250"/>
      <c r="G9" s="250"/>
      <c r="H9" s="192">
        <f t="shared" si="0"/>
        <v>0</v>
      </c>
      <c r="I9" s="247"/>
    </row>
    <row r="10" spans="1:9" ht="15.95" customHeight="1">
      <c r="A10" s="478"/>
      <c r="B10" s="241"/>
      <c r="C10" s="246"/>
      <c r="D10" s="246"/>
      <c r="E10" s="246"/>
      <c r="F10" s="250"/>
      <c r="G10" s="250"/>
      <c r="H10" s="192">
        <f t="shared" si="0"/>
        <v>0</v>
      </c>
      <c r="I10" s="247"/>
    </row>
    <row r="11" spans="1:9" ht="15.95" customHeight="1">
      <c r="A11" s="478"/>
      <c r="B11" s="241"/>
      <c r="C11" s="246"/>
      <c r="D11" s="246"/>
      <c r="E11" s="246"/>
      <c r="F11" s="250"/>
      <c r="G11" s="250"/>
      <c r="H11" s="192">
        <f t="shared" si="0"/>
        <v>0</v>
      </c>
      <c r="I11" s="247"/>
    </row>
    <row r="12" spans="1:9" ht="15.95" customHeight="1">
      <c r="A12" s="478"/>
      <c r="B12" s="241"/>
      <c r="C12" s="246"/>
      <c r="D12" s="246"/>
      <c r="E12" s="246"/>
      <c r="F12" s="250"/>
      <c r="G12" s="250"/>
      <c r="H12" s="192">
        <f t="shared" si="0"/>
        <v>0</v>
      </c>
      <c r="I12" s="247"/>
    </row>
    <row r="13" spans="1:9" ht="15.95" customHeight="1">
      <c r="A13" s="478"/>
      <c r="B13" s="241"/>
      <c r="C13" s="246"/>
      <c r="D13" s="246"/>
      <c r="E13" s="246"/>
      <c r="F13" s="250"/>
      <c r="G13" s="250"/>
      <c r="H13" s="192">
        <f t="shared" si="0"/>
        <v>0</v>
      </c>
      <c r="I13" s="247"/>
    </row>
    <row r="14" spans="1:9" ht="15.95" customHeight="1">
      <c r="A14" s="478"/>
      <c r="B14" s="241"/>
      <c r="C14" s="246"/>
      <c r="D14" s="246"/>
      <c r="E14" s="246"/>
      <c r="F14" s="250"/>
      <c r="G14" s="250"/>
      <c r="H14" s="192">
        <f t="shared" si="0"/>
        <v>0</v>
      </c>
      <c r="I14" s="247"/>
    </row>
    <row r="15" spans="1:9" ht="15.95" customHeight="1">
      <c r="A15" s="478"/>
      <c r="B15" s="241"/>
      <c r="C15" s="246"/>
      <c r="D15" s="246"/>
      <c r="E15" s="246"/>
      <c r="F15" s="250"/>
      <c r="G15" s="250"/>
      <c r="H15" s="192">
        <f t="shared" si="0"/>
        <v>0</v>
      </c>
      <c r="I15" s="247"/>
    </row>
    <row r="16" spans="1:9" ht="15.95" customHeight="1">
      <c r="A16" s="478"/>
      <c r="B16" s="241"/>
      <c r="C16" s="246"/>
      <c r="D16" s="246"/>
      <c r="E16" s="246"/>
      <c r="F16" s="250"/>
      <c r="G16" s="250"/>
      <c r="H16" s="192">
        <f t="shared" si="0"/>
        <v>0</v>
      </c>
      <c r="I16" s="247"/>
    </row>
    <row r="17" spans="1:9" ht="15.95" customHeight="1">
      <c r="A17" s="478"/>
      <c r="B17" s="241"/>
      <c r="C17" s="246"/>
      <c r="D17" s="246"/>
      <c r="E17" s="246"/>
      <c r="F17" s="250"/>
      <c r="G17" s="250"/>
      <c r="H17" s="192">
        <f t="shared" si="0"/>
        <v>0</v>
      </c>
      <c r="I17" s="247"/>
    </row>
    <row r="18" spans="1:9" ht="15.95" customHeight="1">
      <c r="A18" s="478"/>
      <c r="B18" s="241"/>
      <c r="C18" s="246"/>
      <c r="D18" s="246"/>
      <c r="E18" s="246"/>
      <c r="F18" s="250"/>
      <c r="G18" s="250"/>
      <c r="H18" s="192">
        <f t="shared" si="0"/>
        <v>0</v>
      </c>
      <c r="I18" s="247"/>
    </row>
    <row r="19" spans="1:9" ht="15.95" customHeight="1">
      <c r="A19" s="478"/>
      <c r="B19" s="241"/>
      <c r="C19" s="246"/>
      <c r="D19" s="246"/>
      <c r="E19" s="246"/>
      <c r="F19" s="250"/>
      <c r="G19" s="250"/>
      <c r="H19" s="192">
        <f t="shared" si="0"/>
        <v>0</v>
      </c>
      <c r="I19" s="247"/>
    </row>
    <row r="20" spans="1:9" ht="15.95" customHeight="1">
      <c r="A20" s="478"/>
      <c r="B20" s="241"/>
      <c r="C20" s="246"/>
      <c r="D20" s="246"/>
      <c r="E20" s="246"/>
      <c r="F20" s="250"/>
      <c r="G20" s="250"/>
      <c r="H20" s="192">
        <f t="shared" si="0"/>
        <v>0</v>
      </c>
      <c r="I20" s="247"/>
    </row>
    <row r="21" spans="1:9" ht="15.95" customHeight="1">
      <c r="A21" s="478"/>
      <c r="B21" s="241"/>
      <c r="C21" s="246"/>
      <c r="D21" s="246"/>
      <c r="E21" s="246"/>
      <c r="F21" s="250"/>
      <c r="G21" s="250"/>
      <c r="H21" s="192">
        <f t="shared" si="0"/>
        <v>0</v>
      </c>
      <c r="I21" s="247"/>
    </row>
    <row r="22" spans="1:9" ht="15.95" customHeight="1">
      <c r="A22" s="478"/>
      <c r="B22" s="241"/>
      <c r="C22" s="246"/>
      <c r="D22" s="246"/>
      <c r="E22" s="246"/>
      <c r="F22" s="250"/>
      <c r="G22" s="250"/>
      <c r="H22" s="192">
        <f t="shared" si="0"/>
        <v>0</v>
      </c>
      <c r="I22" s="247"/>
    </row>
    <row r="23" spans="1:9" ht="15.95" customHeight="1">
      <c r="A23" s="478"/>
      <c r="B23" s="241"/>
      <c r="C23" s="251" t="s">
        <v>251</v>
      </c>
      <c r="D23" s="269"/>
      <c r="E23" s="269"/>
      <c r="F23" s="270"/>
      <c r="G23" s="270"/>
      <c r="H23" s="271">
        <f t="shared" si="0"/>
        <v>0</v>
      </c>
      <c r="I23" s="272"/>
    </row>
    <row r="24" spans="1:9" ht="15.95" customHeight="1">
      <c r="A24" s="478"/>
      <c r="B24" s="256"/>
      <c r="C24" s="279"/>
      <c r="D24" s="279"/>
      <c r="E24" s="279"/>
      <c r="F24" s="277"/>
      <c r="G24" s="277"/>
      <c r="H24" s="278">
        <f>SUM(H3:H23)</f>
        <v>0</v>
      </c>
      <c r="I24" s="279"/>
    </row>
    <row r="25" spans="1:9" ht="15.95" customHeight="1">
      <c r="A25" s="478"/>
      <c r="B25" s="241" t="s">
        <v>256</v>
      </c>
      <c r="C25" s="242"/>
      <c r="D25" s="242"/>
      <c r="E25" s="242"/>
      <c r="F25" s="243"/>
      <c r="G25" s="243"/>
      <c r="H25" s="244">
        <f t="shared" si="0"/>
        <v>0</v>
      </c>
      <c r="I25" s="245"/>
    </row>
    <row r="26" spans="1:9" ht="15.95" customHeight="1">
      <c r="A26" s="478"/>
      <c r="B26" s="241" t="s">
        <v>257</v>
      </c>
      <c r="C26" s="246"/>
      <c r="D26" s="246"/>
      <c r="E26" s="246"/>
      <c r="F26" s="250"/>
      <c r="G26" s="250"/>
      <c r="H26" s="192">
        <f t="shared" si="0"/>
        <v>0</v>
      </c>
      <c r="I26" s="247"/>
    </row>
    <row r="27" spans="1:9" ht="15.95" customHeight="1">
      <c r="A27" s="478"/>
      <c r="B27" s="241"/>
      <c r="C27" s="246"/>
      <c r="D27" s="246"/>
      <c r="E27" s="246"/>
      <c r="F27" s="250"/>
      <c r="G27" s="250"/>
      <c r="H27" s="192">
        <f t="shared" si="0"/>
        <v>0</v>
      </c>
      <c r="I27" s="247"/>
    </row>
    <row r="28" spans="1:9" ht="15.95" customHeight="1">
      <c r="A28" s="478"/>
      <c r="B28" s="241"/>
      <c r="C28" s="246"/>
      <c r="D28" s="246"/>
      <c r="E28" s="246"/>
      <c r="F28" s="250"/>
      <c r="G28" s="250"/>
      <c r="H28" s="192">
        <f t="shared" si="0"/>
        <v>0</v>
      </c>
      <c r="I28" s="247"/>
    </row>
    <row r="29" spans="1:9" ht="15.95" customHeight="1">
      <c r="A29" s="478"/>
      <c r="B29" s="241"/>
      <c r="C29" s="251" t="s">
        <v>251</v>
      </c>
      <c r="D29" s="251"/>
      <c r="E29" s="251"/>
      <c r="F29" s="254"/>
      <c r="G29" s="254"/>
      <c r="H29" s="192">
        <f t="shared" si="0"/>
        <v>0</v>
      </c>
      <c r="I29" s="255"/>
    </row>
    <row r="30" spans="1:9" ht="15.95" customHeight="1">
      <c r="A30" s="478"/>
      <c r="B30" s="256"/>
      <c r="C30" s="257"/>
      <c r="D30" s="258"/>
      <c r="E30" s="258"/>
      <c r="F30" s="312"/>
      <c r="G30" s="260"/>
      <c r="H30" s="261">
        <f>SUM(H25:H29)</f>
        <v>0</v>
      </c>
      <c r="I30" s="262"/>
    </row>
    <row r="31" spans="1:9" ht="15.95" customHeight="1">
      <c r="A31" s="478"/>
      <c r="B31" s="280" t="s">
        <v>258</v>
      </c>
      <c r="C31" s="264"/>
      <c r="D31" s="264"/>
      <c r="E31" s="264"/>
      <c r="F31" s="265"/>
      <c r="G31" s="265"/>
      <c r="H31" s="266">
        <f t="shared" si="0"/>
        <v>0</v>
      </c>
      <c r="I31" s="267"/>
    </row>
    <row r="32" spans="1:9" ht="15.95" customHeight="1">
      <c r="A32" s="478"/>
      <c r="B32" s="241" t="s">
        <v>259</v>
      </c>
      <c r="C32" s="246"/>
      <c r="D32" s="246"/>
      <c r="E32" s="246"/>
      <c r="F32" s="250"/>
      <c r="G32" s="250"/>
      <c r="H32" s="192">
        <f t="shared" si="0"/>
        <v>0</v>
      </c>
      <c r="I32" s="247"/>
    </row>
    <row r="33" spans="1:9" ht="15.95" customHeight="1">
      <c r="A33" s="478"/>
      <c r="B33" s="241"/>
      <c r="C33" s="246"/>
      <c r="D33" s="246"/>
      <c r="E33" s="246"/>
      <c r="F33" s="250"/>
      <c r="G33" s="250"/>
      <c r="H33" s="192">
        <f t="shared" si="0"/>
        <v>0</v>
      </c>
      <c r="I33" s="247"/>
    </row>
    <row r="34" spans="1:9" ht="15.95" customHeight="1">
      <c r="A34" s="478"/>
      <c r="B34" s="241"/>
      <c r="C34" s="246"/>
      <c r="D34" s="246"/>
      <c r="E34" s="246"/>
      <c r="F34" s="250"/>
      <c r="G34" s="250"/>
      <c r="H34" s="192">
        <f t="shared" si="0"/>
        <v>0</v>
      </c>
      <c r="I34" s="247"/>
    </row>
    <row r="35" spans="1:9" ht="15.95" customHeight="1">
      <c r="A35" s="478"/>
      <c r="B35" s="241"/>
      <c r="C35" s="246"/>
      <c r="D35" s="246"/>
      <c r="E35" s="246"/>
      <c r="F35" s="250"/>
      <c r="G35" s="250"/>
      <c r="H35" s="192">
        <f t="shared" si="0"/>
        <v>0</v>
      </c>
      <c r="I35" s="247"/>
    </row>
    <row r="36" spans="1:9" ht="15.95" customHeight="1">
      <c r="A36" s="478"/>
      <c r="B36" s="241"/>
      <c r="C36" s="246"/>
      <c r="D36" s="246"/>
      <c r="E36" s="246"/>
      <c r="F36" s="250"/>
      <c r="G36" s="250"/>
      <c r="H36" s="192">
        <f t="shared" si="0"/>
        <v>0</v>
      </c>
      <c r="I36" s="247"/>
    </row>
    <row r="37" spans="1:9" ht="15.95" customHeight="1">
      <c r="A37" s="478"/>
      <c r="B37" s="241"/>
      <c r="C37" s="246"/>
      <c r="D37" s="246"/>
      <c r="E37" s="246"/>
      <c r="F37" s="250"/>
      <c r="G37" s="250"/>
      <c r="H37" s="192">
        <f t="shared" si="0"/>
        <v>0</v>
      </c>
      <c r="I37" s="247"/>
    </row>
    <row r="38" spans="1:9" ht="15.95" customHeight="1">
      <c r="A38" s="478"/>
      <c r="B38" s="241"/>
      <c r="C38" s="246"/>
      <c r="D38" s="246"/>
      <c r="E38" s="246"/>
      <c r="F38" s="250"/>
      <c r="G38" s="250"/>
      <c r="H38" s="192">
        <f t="shared" si="0"/>
        <v>0</v>
      </c>
      <c r="I38" s="247"/>
    </row>
    <row r="39" spans="1:9" ht="15.95" customHeight="1">
      <c r="A39" s="478"/>
      <c r="B39" s="241"/>
      <c r="C39" s="246"/>
      <c r="D39" s="246"/>
      <c r="E39" s="246"/>
      <c r="F39" s="250"/>
      <c r="G39" s="250"/>
      <c r="H39" s="192">
        <f t="shared" si="0"/>
        <v>0</v>
      </c>
      <c r="I39" s="247"/>
    </row>
    <row r="40" spans="1:9" ht="15.95" customHeight="1">
      <c r="A40" s="478"/>
      <c r="B40" s="241"/>
      <c r="C40" s="246"/>
      <c r="D40" s="246"/>
      <c r="E40" s="246"/>
      <c r="F40" s="250"/>
      <c r="G40" s="250"/>
      <c r="H40" s="192">
        <f t="shared" si="0"/>
        <v>0</v>
      </c>
      <c r="I40" s="247"/>
    </row>
    <row r="41" spans="1:9" ht="15.95" customHeight="1">
      <c r="A41" s="478"/>
      <c r="B41" s="241"/>
      <c r="C41" s="246"/>
      <c r="D41" s="246"/>
      <c r="E41" s="246"/>
      <c r="F41" s="250"/>
      <c r="G41" s="250"/>
      <c r="H41" s="192">
        <f t="shared" si="0"/>
        <v>0</v>
      </c>
      <c r="I41" s="247"/>
    </row>
    <row r="42" spans="1:9" ht="15.95" customHeight="1">
      <c r="A42" s="478"/>
      <c r="B42" s="241"/>
      <c r="C42" s="246"/>
      <c r="D42" s="246"/>
      <c r="E42" s="246"/>
      <c r="F42" s="250"/>
      <c r="G42" s="250"/>
      <c r="H42" s="192">
        <f t="shared" si="0"/>
        <v>0</v>
      </c>
      <c r="I42" s="247"/>
    </row>
    <row r="43" spans="1:9" ht="15.95" customHeight="1">
      <c r="A43" s="478"/>
      <c r="B43" s="241"/>
      <c r="C43" s="246"/>
      <c r="D43" s="246"/>
      <c r="E43" s="246"/>
      <c r="F43" s="250"/>
      <c r="G43" s="250"/>
      <c r="H43" s="192">
        <f t="shared" si="0"/>
        <v>0</v>
      </c>
      <c r="I43" s="247"/>
    </row>
    <row r="44" spans="1:9" ht="15.95" customHeight="1">
      <c r="A44" s="478"/>
      <c r="B44" s="241"/>
      <c r="C44" s="246"/>
      <c r="D44" s="246"/>
      <c r="E44" s="246"/>
      <c r="F44" s="250"/>
      <c r="G44" s="250"/>
      <c r="H44" s="192">
        <f t="shared" si="0"/>
        <v>0</v>
      </c>
      <c r="I44" s="247"/>
    </row>
    <row r="45" spans="1:9" ht="15.95" customHeight="1">
      <c r="A45" s="478"/>
      <c r="B45" s="241"/>
      <c r="C45" s="246"/>
      <c r="D45" s="246"/>
      <c r="E45" s="246"/>
      <c r="F45" s="250"/>
      <c r="G45" s="250"/>
      <c r="H45" s="192">
        <f t="shared" si="0"/>
        <v>0</v>
      </c>
      <c r="I45" s="247"/>
    </row>
    <row r="46" spans="1:9" ht="15.95" customHeight="1">
      <c r="A46" s="478"/>
      <c r="B46" s="241"/>
      <c r="C46" s="251" t="s">
        <v>251</v>
      </c>
      <c r="D46" s="251"/>
      <c r="E46" s="251"/>
      <c r="F46" s="254"/>
      <c r="G46" s="254"/>
      <c r="H46" s="281">
        <f t="shared" si="0"/>
        <v>0</v>
      </c>
      <c r="I46" s="255"/>
    </row>
    <row r="47" spans="1:9" ht="15.95" customHeight="1">
      <c r="A47" s="478"/>
      <c r="B47" s="256"/>
      <c r="C47" s="257"/>
      <c r="D47" s="258"/>
      <c r="E47" s="258"/>
      <c r="F47" s="260"/>
      <c r="G47" s="260"/>
      <c r="H47" s="261">
        <f>SUM(H31:H46)</f>
        <v>0</v>
      </c>
      <c r="I47" s="262"/>
    </row>
    <row r="48" spans="1:9" ht="15.95" customHeight="1">
      <c r="A48" s="478"/>
      <c r="B48" s="280" t="s">
        <v>250</v>
      </c>
      <c r="C48" s="264"/>
      <c r="D48" s="264"/>
      <c r="E48" s="264"/>
      <c r="F48" s="265"/>
      <c r="G48" s="265"/>
      <c r="H48" s="266">
        <f t="shared" si="0"/>
        <v>0</v>
      </c>
      <c r="I48" s="267"/>
    </row>
    <row r="49" spans="1:9" ht="15.95" customHeight="1">
      <c r="A49" s="478"/>
      <c r="B49" s="241"/>
      <c r="C49" s="246"/>
      <c r="D49" s="246"/>
      <c r="E49" s="246"/>
      <c r="F49" s="250"/>
      <c r="G49" s="250"/>
      <c r="H49" s="192">
        <f t="shared" si="0"/>
        <v>0</v>
      </c>
      <c r="I49" s="247"/>
    </row>
    <row r="50" spans="1:9" ht="15.95" customHeight="1">
      <c r="A50" s="478"/>
      <c r="B50" s="241"/>
      <c r="C50" s="246"/>
      <c r="D50" s="246"/>
      <c r="E50" s="246"/>
      <c r="F50" s="250"/>
      <c r="G50" s="250"/>
      <c r="H50" s="192">
        <f t="shared" si="0"/>
        <v>0</v>
      </c>
      <c r="I50" s="247"/>
    </row>
    <row r="51" spans="1:9" ht="15.95" customHeight="1">
      <c r="A51" s="478"/>
      <c r="B51" s="241"/>
      <c r="C51" s="246"/>
      <c r="D51" s="246"/>
      <c r="E51" s="246"/>
      <c r="F51" s="250"/>
      <c r="G51" s="250"/>
      <c r="H51" s="192">
        <f t="shared" si="0"/>
        <v>0</v>
      </c>
      <c r="I51" s="247"/>
    </row>
    <row r="52" spans="1:9" ht="15.95" customHeight="1">
      <c r="A52" s="478"/>
      <c r="B52" s="241"/>
      <c r="C52" s="246"/>
      <c r="D52" s="246"/>
      <c r="E52" s="246"/>
      <c r="F52" s="250"/>
      <c r="G52" s="250"/>
      <c r="H52" s="192">
        <f t="shared" si="0"/>
        <v>0</v>
      </c>
      <c r="I52" s="247"/>
    </row>
    <row r="53" spans="1:9" ht="15.95" customHeight="1">
      <c r="A53" s="478"/>
      <c r="B53" s="241"/>
      <c r="C53" s="246"/>
      <c r="D53" s="246"/>
      <c r="E53" s="246"/>
      <c r="F53" s="250"/>
      <c r="G53" s="250"/>
      <c r="H53" s="192">
        <f t="shared" si="0"/>
        <v>0</v>
      </c>
      <c r="I53" s="247"/>
    </row>
    <row r="54" spans="1:9" ht="15.95" customHeight="1">
      <c r="A54" s="478"/>
      <c r="B54" s="241"/>
      <c r="C54" s="251" t="s">
        <v>251</v>
      </c>
      <c r="D54" s="251"/>
      <c r="E54" s="251"/>
      <c r="F54" s="254"/>
      <c r="G54" s="254"/>
      <c r="H54" s="281">
        <f t="shared" si="0"/>
        <v>0</v>
      </c>
      <c r="I54" s="255"/>
    </row>
    <row r="55" spans="1:9" ht="15.95" customHeight="1">
      <c r="A55" s="478"/>
      <c r="B55" s="256"/>
      <c r="C55" s="257"/>
      <c r="D55" s="258"/>
      <c r="E55" s="258"/>
      <c r="F55" s="260"/>
      <c r="G55" s="260"/>
      <c r="H55" s="261">
        <f>SUM(H48:H54)</f>
        <v>0</v>
      </c>
      <c r="I55" s="262"/>
    </row>
    <row r="56" spans="1:9" ht="15.95" customHeight="1">
      <c r="A56" s="282"/>
      <c r="B56" s="283" t="s">
        <v>252</v>
      </c>
      <c r="C56" s="284"/>
      <c r="D56" s="262"/>
      <c r="E56" s="262"/>
      <c r="F56" s="286"/>
      <c r="G56" s="286"/>
      <c r="H56" s="261">
        <f>SUM(H55,H47,H30,H24)</f>
        <v>0</v>
      </c>
      <c r="I56" s="262"/>
    </row>
    <row r="57" spans="1:9" ht="15.95" customHeight="1">
      <c r="A57" s="479" t="s">
        <v>253</v>
      </c>
      <c r="B57" s="287" t="s">
        <v>254</v>
      </c>
      <c r="C57" s="284"/>
      <c r="D57" s="288"/>
      <c r="E57" s="313" t="s">
        <v>255</v>
      </c>
      <c r="F57" s="307"/>
      <c r="G57" s="307">
        <f>전기!G56</f>
        <v>0</v>
      </c>
      <c r="H57" s="290">
        <f>F57*G57</f>
        <v>0</v>
      </c>
      <c r="I57" s="262"/>
    </row>
    <row r="58" spans="1:9" ht="15.95" customHeight="1">
      <c r="A58" s="478"/>
      <c r="B58" s="291" t="s">
        <v>260</v>
      </c>
      <c r="C58" s="292"/>
      <c r="D58" s="293"/>
      <c r="E58" s="314" t="s">
        <v>153</v>
      </c>
      <c r="F58" s="265"/>
      <c r="G58" s="265"/>
      <c r="H58" s="266">
        <f t="shared" ref="H58:H64" si="1">F58*G58</f>
        <v>0</v>
      </c>
      <c r="I58" s="267"/>
    </row>
    <row r="59" spans="1:9" ht="15.95" customHeight="1">
      <c r="A59" s="478"/>
      <c r="B59" s="317" t="s">
        <v>261</v>
      </c>
      <c r="C59" s="296"/>
      <c r="D59" s="297"/>
      <c r="E59" s="315" t="s">
        <v>153</v>
      </c>
      <c r="F59" s="250"/>
      <c r="G59" s="250"/>
      <c r="H59" s="192">
        <f t="shared" si="1"/>
        <v>0</v>
      </c>
      <c r="I59" s="247"/>
    </row>
    <row r="60" spans="1:9" ht="15.95" customHeight="1">
      <c r="A60" s="478"/>
      <c r="B60" s="295" t="s">
        <v>262</v>
      </c>
      <c r="C60" s="296"/>
      <c r="D60" s="297"/>
      <c r="E60" s="315" t="s">
        <v>153</v>
      </c>
      <c r="F60" s="250"/>
      <c r="G60" s="250"/>
      <c r="H60" s="192">
        <f t="shared" si="1"/>
        <v>0</v>
      </c>
      <c r="I60" s="247"/>
    </row>
    <row r="61" spans="1:9" ht="15.95" customHeight="1">
      <c r="A61" s="478"/>
      <c r="B61" s="295" t="s">
        <v>263</v>
      </c>
      <c r="C61" s="296"/>
      <c r="D61" s="297"/>
      <c r="E61" s="315" t="s">
        <v>153</v>
      </c>
      <c r="F61" s="250"/>
      <c r="G61" s="250"/>
      <c r="H61" s="192">
        <f t="shared" si="1"/>
        <v>0</v>
      </c>
      <c r="I61" s="247"/>
    </row>
    <row r="62" spans="1:9" ht="15.95" customHeight="1">
      <c r="A62" s="478"/>
      <c r="B62" s="295" t="s">
        <v>264</v>
      </c>
      <c r="C62" s="296"/>
      <c r="D62" s="297"/>
      <c r="E62" s="315" t="s">
        <v>153</v>
      </c>
      <c r="F62" s="250"/>
      <c r="G62" s="250"/>
      <c r="H62" s="192">
        <f t="shared" si="1"/>
        <v>0</v>
      </c>
      <c r="I62" s="247"/>
    </row>
    <row r="63" spans="1:9" ht="15.95" customHeight="1">
      <c r="A63" s="478"/>
      <c r="B63" s="295" t="s">
        <v>265</v>
      </c>
      <c r="C63" s="296"/>
      <c r="D63" s="297"/>
      <c r="E63" s="315" t="s">
        <v>153</v>
      </c>
      <c r="F63" s="250"/>
      <c r="G63" s="250"/>
      <c r="H63" s="192">
        <f t="shared" si="1"/>
        <v>0</v>
      </c>
      <c r="I63" s="247"/>
    </row>
    <row r="64" spans="1:9" ht="15.95" customHeight="1">
      <c r="A64" s="478"/>
      <c r="B64" s="299" t="s">
        <v>266</v>
      </c>
      <c r="C64" s="300"/>
      <c r="D64" s="301"/>
      <c r="E64" s="316" t="s">
        <v>153</v>
      </c>
      <c r="F64" s="254"/>
      <c r="G64" s="254"/>
      <c r="H64" s="281">
        <f t="shared" si="1"/>
        <v>0</v>
      </c>
      <c r="I64" s="255"/>
    </row>
    <row r="65" spans="1:9" ht="15.95" customHeight="1">
      <c r="A65" s="282"/>
      <c r="B65" s="303" t="s">
        <v>267</v>
      </c>
      <c r="C65" s="284"/>
      <c r="D65" s="262"/>
      <c r="E65" s="262"/>
      <c r="F65" s="260"/>
      <c r="G65" s="260"/>
      <c r="H65" s="260">
        <f>SUM(H57:H64)</f>
        <v>0</v>
      </c>
      <c r="I65" s="258"/>
    </row>
    <row r="66" spans="1:9" ht="15.95" customHeight="1">
      <c r="A66" s="304"/>
      <c r="B66" s="303" t="s">
        <v>268</v>
      </c>
      <c r="C66" s="284"/>
      <c r="D66" s="262"/>
      <c r="E66" s="262"/>
      <c r="F66" s="261"/>
      <c r="G66" s="261"/>
      <c r="H66" s="286">
        <f>'단위공사별(집계)'!L14+'단위공사별(집계)'!I14</f>
        <v>0</v>
      </c>
      <c r="I66" s="262"/>
    </row>
    <row r="67" spans="1:9" ht="15.95" customHeight="1">
      <c r="A67" s="304"/>
      <c r="B67" s="303" t="s">
        <v>269</v>
      </c>
      <c r="C67" s="284"/>
      <c r="D67" s="262"/>
      <c r="E67" s="262"/>
      <c r="F67" s="261"/>
      <c r="G67" s="306"/>
      <c r="H67" s="307"/>
      <c r="I67" s="284"/>
    </row>
    <row r="68" spans="1:9" ht="15.95" customHeight="1">
      <c r="A68" s="304"/>
      <c r="B68" s="303" t="s">
        <v>270</v>
      </c>
      <c r="C68" s="284"/>
      <c r="D68" s="262"/>
      <c r="E68" s="262"/>
      <c r="F68" s="261"/>
      <c r="G68" s="306"/>
      <c r="H68" s="307"/>
      <c r="I68" s="284"/>
    </row>
    <row r="69" spans="1:9" ht="15.95" customHeight="1">
      <c r="A69" s="304"/>
      <c r="B69" s="303" t="s">
        <v>271</v>
      </c>
      <c r="C69" s="284"/>
      <c r="D69" s="262"/>
      <c r="E69" s="262"/>
      <c r="F69" s="261"/>
      <c r="G69" s="261"/>
      <c r="H69" s="260">
        <f>H56+H65+H66+H67+H68</f>
        <v>0</v>
      </c>
      <c r="I69" s="262"/>
    </row>
    <row r="70" spans="1:9">
      <c r="A70" s="159"/>
    </row>
  </sheetData>
  <mergeCells count="3">
    <mergeCell ref="A2:B2"/>
    <mergeCell ref="A3:A55"/>
    <mergeCell ref="A57:A64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verticalDpi="0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I70"/>
  <sheetViews>
    <sheetView zoomScale="85" workbookViewId="0">
      <pane xSplit="2" ySplit="2" topLeftCell="C39" activePane="bottomRight" state="frozen"/>
      <selection activeCell="G33" sqref="G33:I33"/>
      <selection pane="topRight" activeCell="G33" sqref="G33:I33"/>
      <selection pane="bottomLeft" activeCell="G33" sqref="G33:I33"/>
      <selection pane="bottomRight" activeCell="G33" sqref="G33:I33"/>
    </sheetView>
  </sheetViews>
  <sheetFormatPr defaultRowHeight="13.5"/>
  <cols>
    <col min="1" max="1" width="5" style="142" customWidth="1"/>
    <col min="2" max="2" width="17.875" style="142" bestFit="1" customWidth="1"/>
    <col min="3" max="3" width="23.625" style="142" customWidth="1"/>
    <col min="4" max="4" width="18.25" style="142" customWidth="1"/>
    <col min="5" max="5" width="5.25" style="142" bestFit="1" customWidth="1"/>
    <col min="6" max="6" width="9" style="181"/>
    <col min="7" max="7" width="11.875" style="181" customWidth="1"/>
    <col min="8" max="8" width="13.625" style="181" customWidth="1"/>
    <col min="9" max="9" width="12.75" style="142" customWidth="1"/>
    <col min="10" max="16384" width="9" style="142"/>
  </cols>
  <sheetData>
    <row r="1" spans="1:9" ht="22.5" customHeight="1">
      <c r="B1" s="233" t="s">
        <v>238</v>
      </c>
      <c r="C1" s="309"/>
      <c r="D1" s="235"/>
      <c r="E1" s="235"/>
      <c r="F1" s="310"/>
      <c r="G1" s="195"/>
      <c r="I1" s="142" t="s">
        <v>239</v>
      </c>
    </row>
    <row r="2" spans="1:9" s="159" customFormat="1" ht="16.5" customHeight="1">
      <c r="A2" s="361" t="s">
        <v>240</v>
      </c>
      <c r="B2" s="473"/>
      <c r="C2" s="150" t="s">
        <v>241</v>
      </c>
      <c r="D2" s="143" t="s">
        <v>242</v>
      </c>
      <c r="E2" s="143" t="s">
        <v>243</v>
      </c>
      <c r="F2" s="285" t="s">
        <v>244</v>
      </c>
      <c r="G2" s="285" t="s">
        <v>245</v>
      </c>
      <c r="H2" s="285" t="s">
        <v>246</v>
      </c>
      <c r="I2" s="143" t="s">
        <v>247</v>
      </c>
    </row>
    <row r="3" spans="1:9" ht="15.95" customHeight="1">
      <c r="A3" s="474" t="s">
        <v>248</v>
      </c>
      <c r="B3" s="241" t="s">
        <v>249</v>
      </c>
      <c r="C3" s="264"/>
      <c r="D3" s="264"/>
      <c r="E3" s="264"/>
      <c r="F3" s="265"/>
      <c r="G3" s="265"/>
      <c r="H3" s="266">
        <f>IF(F3=0,G3,G3*F3)</f>
        <v>0</v>
      </c>
      <c r="I3" s="267"/>
    </row>
    <row r="4" spans="1:9" ht="15.95" customHeight="1">
      <c r="A4" s="478"/>
      <c r="B4" s="241"/>
      <c r="C4" s="246"/>
      <c r="D4" s="246"/>
      <c r="E4" s="246"/>
      <c r="F4" s="250"/>
      <c r="G4" s="250"/>
      <c r="H4" s="192">
        <f>IF(F4=0,G4,G4*F4)</f>
        <v>0</v>
      </c>
      <c r="I4" s="247"/>
    </row>
    <row r="5" spans="1:9" ht="15.95" customHeight="1">
      <c r="A5" s="478"/>
      <c r="B5" s="241"/>
      <c r="C5" s="246"/>
      <c r="D5" s="246"/>
      <c r="E5" s="246"/>
      <c r="F5" s="250"/>
      <c r="G5" s="250"/>
      <c r="H5" s="192">
        <f t="shared" ref="H5:H54" si="0">IF(F5=0,G5,G5*F5)</f>
        <v>0</v>
      </c>
      <c r="I5" s="247"/>
    </row>
    <row r="6" spans="1:9" ht="15.95" customHeight="1">
      <c r="A6" s="478"/>
      <c r="B6" s="241"/>
      <c r="C6" s="246"/>
      <c r="D6" s="246"/>
      <c r="E6" s="246"/>
      <c r="F6" s="250"/>
      <c r="G6" s="250"/>
      <c r="H6" s="192">
        <f t="shared" si="0"/>
        <v>0</v>
      </c>
      <c r="I6" s="247"/>
    </row>
    <row r="7" spans="1:9" ht="15.95" customHeight="1">
      <c r="A7" s="478"/>
      <c r="B7" s="241"/>
      <c r="C7" s="246"/>
      <c r="D7" s="246"/>
      <c r="E7" s="246"/>
      <c r="F7" s="250"/>
      <c r="G7" s="250"/>
      <c r="H7" s="192">
        <f t="shared" si="0"/>
        <v>0</v>
      </c>
      <c r="I7" s="247"/>
    </row>
    <row r="8" spans="1:9" ht="15.95" customHeight="1">
      <c r="A8" s="478"/>
      <c r="B8" s="241"/>
      <c r="C8" s="246"/>
      <c r="D8" s="246"/>
      <c r="E8" s="246"/>
      <c r="F8" s="250"/>
      <c r="G8" s="250"/>
      <c r="H8" s="192">
        <f t="shared" si="0"/>
        <v>0</v>
      </c>
      <c r="I8" s="247"/>
    </row>
    <row r="9" spans="1:9" ht="15.95" customHeight="1">
      <c r="A9" s="478"/>
      <c r="B9" s="241"/>
      <c r="C9" s="246"/>
      <c r="D9" s="246"/>
      <c r="E9" s="246"/>
      <c r="F9" s="250"/>
      <c r="G9" s="250"/>
      <c r="H9" s="192">
        <f t="shared" si="0"/>
        <v>0</v>
      </c>
      <c r="I9" s="247"/>
    </row>
    <row r="10" spans="1:9" ht="15.95" customHeight="1">
      <c r="A10" s="478"/>
      <c r="B10" s="241"/>
      <c r="C10" s="246"/>
      <c r="D10" s="246"/>
      <c r="E10" s="246"/>
      <c r="F10" s="250"/>
      <c r="G10" s="250"/>
      <c r="H10" s="192">
        <f t="shared" si="0"/>
        <v>0</v>
      </c>
      <c r="I10" s="247"/>
    </row>
    <row r="11" spans="1:9" ht="15.95" customHeight="1">
      <c r="A11" s="478"/>
      <c r="B11" s="241"/>
      <c r="C11" s="246"/>
      <c r="D11" s="246"/>
      <c r="E11" s="246"/>
      <c r="F11" s="250"/>
      <c r="G11" s="250"/>
      <c r="H11" s="192">
        <f t="shared" si="0"/>
        <v>0</v>
      </c>
      <c r="I11" s="247"/>
    </row>
    <row r="12" spans="1:9" ht="15.95" customHeight="1">
      <c r="A12" s="478"/>
      <c r="B12" s="241"/>
      <c r="C12" s="246"/>
      <c r="D12" s="246"/>
      <c r="E12" s="246"/>
      <c r="F12" s="250"/>
      <c r="G12" s="250"/>
      <c r="H12" s="192">
        <f t="shared" si="0"/>
        <v>0</v>
      </c>
      <c r="I12" s="247"/>
    </row>
    <row r="13" spans="1:9" ht="15.95" customHeight="1">
      <c r="A13" s="478"/>
      <c r="B13" s="241"/>
      <c r="C13" s="246"/>
      <c r="D13" s="246"/>
      <c r="E13" s="246"/>
      <c r="F13" s="250"/>
      <c r="G13" s="250"/>
      <c r="H13" s="192">
        <f t="shared" si="0"/>
        <v>0</v>
      </c>
      <c r="I13" s="247"/>
    </row>
    <row r="14" spans="1:9" ht="15.95" customHeight="1">
      <c r="A14" s="478"/>
      <c r="B14" s="241"/>
      <c r="C14" s="246"/>
      <c r="D14" s="246"/>
      <c r="E14" s="246"/>
      <c r="F14" s="250"/>
      <c r="G14" s="250"/>
      <c r="H14" s="192">
        <f t="shared" si="0"/>
        <v>0</v>
      </c>
      <c r="I14" s="247"/>
    </row>
    <row r="15" spans="1:9" ht="15.95" customHeight="1">
      <c r="A15" s="478"/>
      <c r="B15" s="241"/>
      <c r="C15" s="246"/>
      <c r="D15" s="246"/>
      <c r="E15" s="246"/>
      <c r="F15" s="250"/>
      <c r="G15" s="250"/>
      <c r="H15" s="192">
        <f t="shared" si="0"/>
        <v>0</v>
      </c>
      <c r="I15" s="247"/>
    </row>
    <row r="16" spans="1:9" ht="15.95" customHeight="1">
      <c r="A16" s="478"/>
      <c r="B16" s="241"/>
      <c r="C16" s="246"/>
      <c r="D16" s="246"/>
      <c r="E16" s="246"/>
      <c r="F16" s="250"/>
      <c r="G16" s="250"/>
      <c r="H16" s="192">
        <f t="shared" si="0"/>
        <v>0</v>
      </c>
      <c r="I16" s="247"/>
    </row>
    <row r="17" spans="1:9" ht="15.95" customHeight="1">
      <c r="A17" s="478"/>
      <c r="B17" s="241"/>
      <c r="C17" s="246"/>
      <c r="D17" s="246"/>
      <c r="E17" s="246"/>
      <c r="F17" s="250"/>
      <c r="G17" s="250"/>
      <c r="H17" s="192">
        <f t="shared" si="0"/>
        <v>0</v>
      </c>
      <c r="I17" s="247"/>
    </row>
    <row r="18" spans="1:9" ht="15.95" customHeight="1">
      <c r="A18" s="478"/>
      <c r="B18" s="241"/>
      <c r="C18" s="246"/>
      <c r="D18" s="246"/>
      <c r="E18" s="246"/>
      <c r="F18" s="250"/>
      <c r="G18" s="250"/>
      <c r="H18" s="192">
        <f t="shared" si="0"/>
        <v>0</v>
      </c>
      <c r="I18" s="247"/>
    </row>
    <row r="19" spans="1:9" ht="15.95" customHeight="1">
      <c r="A19" s="478"/>
      <c r="B19" s="241"/>
      <c r="C19" s="246"/>
      <c r="D19" s="246"/>
      <c r="E19" s="246"/>
      <c r="F19" s="250"/>
      <c r="G19" s="250"/>
      <c r="H19" s="192">
        <f t="shared" si="0"/>
        <v>0</v>
      </c>
      <c r="I19" s="247"/>
    </row>
    <row r="20" spans="1:9" ht="15.95" customHeight="1">
      <c r="A20" s="478"/>
      <c r="B20" s="241"/>
      <c r="C20" s="246"/>
      <c r="D20" s="246"/>
      <c r="E20" s="246"/>
      <c r="F20" s="250"/>
      <c r="G20" s="250"/>
      <c r="H20" s="192">
        <f t="shared" si="0"/>
        <v>0</v>
      </c>
      <c r="I20" s="247"/>
    </row>
    <row r="21" spans="1:9" ht="15.95" customHeight="1">
      <c r="A21" s="478"/>
      <c r="B21" s="241"/>
      <c r="C21" s="246"/>
      <c r="D21" s="246"/>
      <c r="E21" s="246"/>
      <c r="F21" s="250"/>
      <c r="G21" s="250"/>
      <c r="H21" s="192">
        <f t="shared" si="0"/>
        <v>0</v>
      </c>
      <c r="I21" s="247"/>
    </row>
    <row r="22" spans="1:9" ht="15.95" customHeight="1">
      <c r="A22" s="478"/>
      <c r="B22" s="241"/>
      <c r="C22" s="246"/>
      <c r="D22" s="246"/>
      <c r="E22" s="246"/>
      <c r="F22" s="250"/>
      <c r="G22" s="250"/>
      <c r="H22" s="192">
        <f t="shared" si="0"/>
        <v>0</v>
      </c>
      <c r="I22" s="247"/>
    </row>
    <row r="23" spans="1:9" ht="15.95" customHeight="1">
      <c r="A23" s="478"/>
      <c r="B23" s="241"/>
      <c r="C23" s="251" t="s">
        <v>251</v>
      </c>
      <c r="D23" s="269"/>
      <c r="E23" s="269"/>
      <c r="F23" s="270"/>
      <c r="G23" s="270"/>
      <c r="H23" s="271">
        <f t="shared" si="0"/>
        <v>0</v>
      </c>
      <c r="I23" s="272"/>
    </row>
    <row r="24" spans="1:9" ht="15.95" customHeight="1">
      <c r="A24" s="478"/>
      <c r="B24" s="256"/>
      <c r="C24" s="279"/>
      <c r="D24" s="279"/>
      <c r="E24" s="279"/>
      <c r="F24" s="277"/>
      <c r="G24" s="277"/>
      <c r="H24" s="278">
        <f>SUM(H3:H23)</f>
        <v>0</v>
      </c>
      <c r="I24" s="279"/>
    </row>
    <row r="25" spans="1:9" ht="15.95" customHeight="1">
      <c r="A25" s="478"/>
      <c r="B25" s="241" t="s">
        <v>256</v>
      </c>
      <c r="C25" s="242"/>
      <c r="D25" s="242"/>
      <c r="E25" s="242"/>
      <c r="F25" s="243"/>
      <c r="G25" s="243"/>
      <c r="H25" s="244">
        <f t="shared" si="0"/>
        <v>0</v>
      </c>
      <c r="I25" s="245"/>
    </row>
    <row r="26" spans="1:9" ht="15.95" customHeight="1">
      <c r="A26" s="478"/>
      <c r="B26" s="241" t="s">
        <v>257</v>
      </c>
      <c r="C26" s="246"/>
      <c r="D26" s="246"/>
      <c r="E26" s="246"/>
      <c r="F26" s="250"/>
      <c r="G26" s="250"/>
      <c r="H26" s="192">
        <f t="shared" si="0"/>
        <v>0</v>
      </c>
      <c r="I26" s="247"/>
    </row>
    <row r="27" spans="1:9" ht="15.95" customHeight="1">
      <c r="A27" s="478"/>
      <c r="B27" s="241"/>
      <c r="C27" s="246"/>
      <c r="D27" s="246"/>
      <c r="E27" s="246"/>
      <c r="F27" s="250"/>
      <c r="G27" s="250"/>
      <c r="H27" s="192">
        <f t="shared" si="0"/>
        <v>0</v>
      </c>
      <c r="I27" s="247"/>
    </row>
    <row r="28" spans="1:9" ht="15.95" customHeight="1">
      <c r="A28" s="478"/>
      <c r="B28" s="241"/>
      <c r="C28" s="246"/>
      <c r="D28" s="246"/>
      <c r="E28" s="246"/>
      <c r="F28" s="250"/>
      <c r="G28" s="250"/>
      <c r="H28" s="192">
        <f t="shared" si="0"/>
        <v>0</v>
      </c>
      <c r="I28" s="247"/>
    </row>
    <row r="29" spans="1:9" ht="15.95" customHeight="1">
      <c r="A29" s="478"/>
      <c r="B29" s="241"/>
      <c r="C29" s="251" t="s">
        <v>251</v>
      </c>
      <c r="D29" s="251"/>
      <c r="E29" s="251"/>
      <c r="F29" s="254"/>
      <c r="G29" s="254"/>
      <c r="H29" s="192">
        <f t="shared" si="0"/>
        <v>0</v>
      </c>
      <c r="I29" s="255"/>
    </row>
    <row r="30" spans="1:9" ht="15.95" customHeight="1">
      <c r="A30" s="478"/>
      <c r="B30" s="256"/>
      <c r="C30" s="257"/>
      <c r="D30" s="258"/>
      <c r="E30" s="258"/>
      <c r="F30" s="312"/>
      <c r="G30" s="260"/>
      <c r="H30" s="261">
        <f>SUM(H25:H29)</f>
        <v>0</v>
      </c>
      <c r="I30" s="262"/>
    </row>
    <row r="31" spans="1:9" ht="15.95" customHeight="1">
      <c r="A31" s="478"/>
      <c r="B31" s="280" t="s">
        <v>258</v>
      </c>
      <c r="C31" s="264"/>
      <c r="D31" s="264"/>
      <c r="E31" s="264"/>
      <c r="F31" s="265"/>
      <c r="G31" s="265"/>
      <c r="H31" s="266">
        <f t="shared" si="0"/>
        <v>0</v>
      </c>
      <c r="I31" s="267"/>
    </row>
    <row r="32" spans="1:9" ht="15.95" customHeight="1">
      <c r="A32" s="478"/>
      <c r="B32" s="241" t="s">
        <v>259</v>
      </c>
      <c r="C32" s="246"/>
      <c r="D32" s="246"/>
      <c r="E32" s="246"/>
      <c r="F32" s="250"/>
      <c r="G32" s="250"/>
      <c r="H32" s="192">
        <f t="shared" si="0"/>
        <v>0</v>
      </c>
      <c r="I32" s="247"/>
    </row>
    <row r="33" spans="1:9" ht="15.95" customHeight="1">
      <c r="A33" s="478"/>
      <c r="B33" s="241"/>
      <c r="C33" s="246"/>
      <c r="D33" s="246"/>
      <c r="E33" s="246"/>
      <c r="F33" s="250"/>
      <c r="G33" s="250"/>
      <c r="H33" s="192">
        <f t="shared" si="0"/>
        <v>0</v>
      </c>
      <c r="I33" s="247"/>
    </row>
    <row r="34" spans="1:9" ht="15.95" customHeight="1">
      <c r="A34" s="478"/>
      <c r="B34" s="241"/>
      <c r="C34" s="246"/>
      <c r="D34" s="246"/>
      <c r="E34" s="246"/>
      <c r="F34" s="250"/>
      <c r="G34" s="250"/>
      <c r="H34" s="192">
        <f t="shared" si="0"/>
        <v>0</v>
      </c>
      <c r="I34" s="247"/>
    </row>
    <row r="35" spans="1:9" ht="15.95" customHeight="1">
      <c r="A35" s="478"/>
      <c r="B35" s="241"/>
      <c r="C35" s="246"/>
      <c r="D35" s="246"/>
      <c r="E35" s="246"/>
      <c r="F35" s="250"/>
      <c r="G35" s="250"/>
      <c r="H35" s="192">
        <f t="shared" si="0"/>
        <v>0</v>
      </c>
      <c r="I35" s="247"/>
    </row>
    <row r="36" spans="1:9" ht="15.95" customHeight="1">
      <c r="A36" s="478"/>
      <c r="B36" s="241"/>
      <c r="C36" s="246"/>
      <c r="D36" s="246"/>
      <c r="E36" s="246"/>
      <c r="F36" s="250"/>
      <c r="G36" s="250"/>
      <c r="H36" s="192">
        <f t="shared" si="0"/>
        <v>0</v>
      </c>
      <c r="I36" s="247"/>
    </row>
    <row r="37" spans="1:9" ht="15.95" customHeight="1">
      <c r="A37" s="478"/>
      <c r="B37" s="241"/>
      <c r="C37" s="246"/>
      <c r="D37" s="246"/>
      <c r="E37" s="246"/>
      <c r="F37" s="250"/>
      <c r="G37" s="250"/>
      <c r="H37" s="192">
        <f t="shared" si="0"/>
        <v>0</v>
      </c>
      <c r="I37" s="247"/>
    </row>
    <row r="38" spans="1:9" ht="15.95" customHeight="1">
      <c r="A38" s="478"/>
      <c r="B38" s="241"/>
      <c r="C38" s="246"/>
      <c r="D38" s="246"/>
      <c r="E38" s="246"/>
      <c r="F38" s="250"/>
      <c r="G38" s="250"/>
      <c r="H38" s="192">
        <f t="shared" si="0"/>
        <v>0</v>
      </c>
      <c r="I38" s="247"/>
    </row>
    <row r="39" spans="1:9" ht="15.95" customHeight="1">
      <c r="A39" s="478"/>
      <c r="B39" s="241"/>
      <c r="C39" s="246"/>
      <c r="D39" s="246"/>
      <c r="E39" s="246"/>
      <c r="F39" s="250"/>
      <c r="G39" s="250"/>
      <c r="H39" s="192">
        <f t="shared" si="0"/>
        <v>0</v>
      </c>
      <c r="I39" s="247"/>
    </row>
    <row r="40" spans="1:9" ht="15.95" customHeight="1">
      <c r="A40" s="478"/>
      <c r="B40" s="241"/>
      <c r="C40" s="246"/>
      <c r="D40" s="246"/>
      <c r="E40" s="246"/>
      <c r="F40" s="250"/>
      <c r="G40" s="250"/>
      <c r="H40" s="192">
        <f t="shared" si="0"/>
        <v>0</v>
      </c>
      <c r="I40" s="247"/>
    </row>
    <row r="41" spans="1:9" ht="15.95" customHeight="1">
      <c r="A41" s="478"/>
      <c r="B41" s="241"/>
      <c r="C41" s="246"/>
      <c r="D41" s="246"/>
      <c r="E41" s="246"/>
      <c r="F41" s="250"/>
      <c r="G41" s="250"/>
      <c r="H41" s="192">
        <f t="shared" si="0"/>
        <v>0</v>
      </c>
      <c r="I41" s="247"/>
    </row>
    <row r="42" spans="1:9" ht="15.95" customHeight="1">
      <c r="A42" s="478"/>
      <c r="B42" s="241"/>
      <c r="C42" s="246"/>
      <c r="D42" s="246"/>
      <c r="E42" s="246"/>
      <c r="F42" s="250"/>
      <c r="G42" s="250"/>
      <c r="H42" s="192">
        <f t="shared" si="0"/>
        <v>0</v>
      </c>
      <c r="I42" s="247"/>
    </row>
    <row r="43" spans="1:9" ht="15.95" customHeight="1">
      <c r="A43" s="478"/>
      <c r="B43" s="241"/>
      <c r="C43" s="246"/>
      <c r="D43" s="246"/>
      <c r="E43" s="246"/>
      <c r="F43" s="250"/>
      <c r="G43" s="250"/>
      <c r="H43" s="192">
        <f t="shared" si="0"/>
        <v>0</v>
      </c>
      <c r="I43" s="247"/>
    </row>
    <row r="44" spans="1:9" ht="15.95" customHeight="1">
      <c r="A44" s="478"/>
      <c r="B44" s="241"/>
      <c r="C44" s="246"/>
      <c r="D44" s="246"/>
      <c r="E44" s="246"/>
      <c r="F44" s="250"/>
      <c r="G44" s="250"/>
      <c r="H44" s="192">
        <f t="shared" si="0"/>
        <v>0</v>
      </c>
      <c r="I44" s="247"/>
    </row>
    <row r="45" spans="1:9" ht="15.95" customHeight="1">
      <c r="A45" s="478"/>
      <c r="B45" s="241"/>
      <c r="C45" s="246"/>
      <c r="D45" s="246"/>
      <c r="E45" s="246"/>
      <c r="F45" s="250"/>
      <c r="G45" s="250"/>
      <c r="H45" s="192">
        <f t="shared" si="0"/>
        <v>0</v>
      </c>
      <c r="I45" s="247"/>
    </row>
    <row r="46" spans="1:9" ht="15.95" customHeight="1">
      <c r="A46" s="478"/>
      <c r="B46" s="241"/>
      <c r="C46" s="251" t="s">
        <v>251</v>
      </c>
      <c r="D46" s="251"/>
      <c r="E46" s="251"/>
      <c r="F46" s="254"/>
      <c r="G46" s="254"/>
      <c r="H46" s="281">
        <f t="shared" si="0"/>
        <v>0</v>
      </c>
      <c r="I46" s="255"/>
    </row>
    <row r="47" spans="1:9" ht="15.95" customHeight="1">
      <c r="A47" s="478"/>
      <c r="B47" s="256"/>
      <c r="C47" s="257"/>
      <c r="D47" s="258"/>
      <c r="E47" s="258"/>
      <c r="F47" s="260"/>
      <c r="G47" s="260"/>
      <c r="H47" s="261">
        <f>SUM(H31:H46)</f>
        <v>0</v>
      </c>
      <c r="I47" s="262"/>
    </row>
    <row r="48" spans="1:9" ht="15.95" customHeight="1">
      <c r="A48" s="478"/>
      <c r="B48" s="280" t="s">
        <v>250</v>
      </c>
      <c r="C48" s="264"/>
      <c r="D48" s="264"/>
      <c r="E48" s="264"/>
      <c r="F48" s="265"/>
      <c r="G48" s="265"/>
      <c r="H48" s="266">
        <f t="shared" si="0"/>
        <v>0</v>
      </c>
      <c r="I48" s="267"/>
    </row>
    <row r="49" spans="1:9" ht="15.95" customHeight="1">
      <c r="A49" s="478"/>
      <c r="B49" s="241"/>
      <c r="C49" s="246"/>
      <c r="D49" s="246"/>
      <c r="E49" s="246"/>
      <c r="F49" s="250"/>
      <c r="G49" s="250"/>
      <c r="H49" s="192">
        <f t="shared" si="0"/>
        <v>0</v>
      </c>
      <c r="I49" s="247"/>
    </row>
    <row r="50" spans="1:9" ht="15.95" customHeight="1">
      <c r="A50" s="478"/>
      <c r="B50" s="241"/>
      <c r="C50" s="246"/>
      <c r="D50" s="246"/>
      <c r="E50" s="246"/>
      <c r="F50" s="250"/>
      <c r="G50" s="250"/>
      <c r="H50" s="192">
        <f t="shared" si="0"/>
        <v>0</v>
      </c>
      <c r="I50" s="247"/>
    </row>
    <row r="51" spans="1:9" ht="15.95" customHeight="1">
      <c r="A51" s="478"/>
      <c r="B51" s="241"/>
      <c r="C51" s="246"/>
      <c r="D51" s="246"/>
      <c r="E51" s="246"/>
      <c r="F51" s="250"/>
      <c r="G51" s="250"/>
      <c r="H51" s="192">
        <f t="shared" si="0"/>
        <v>0</v>
      </c>
      <c r="I51" s="247"/>
    </row>
    <row r="52" spans="1:9" ht="15.95" customHeight="1">
      <c r="A52" s="478"/>
      <c r="B52" s="241"/>
      <c r="C52" s="246"/>
      <c r="D52" s="246"/>
      <c r="E52" s="246"/>
      <c r="F52" s="250"/>
      <c r="G52" s="250"/>
      <c r="H52" s="192">
        <f t="shared" si="0"/>
        <v>0</v>
      </c>
      <c r="I52" s="247"/>
    </row>
    <row r="53" spans="1:9" ht="15.95" customHeight="1">
      <c r="A53" s="478"/>
      <c r="B53" s="241"/>
      <c r="C53" s="246"/>
      <c r="D53" s="246"/>
      <c r="E53" s="246"/>
      <c r="F53" s="250"/>
      <c r="G53" s="250"/>
      <c r="H53" s="192">
        <f t="shared" si="0"/>
        <v>0</v>
      </c>
      <c r="I53" s="247"/>
    </row>
    <row r="54" spans="1:9" ht="15.95" customHeight="1">
      <c r="A54" s="478"/>
      <c r="B54" s="241"/>
      <c r="C54" s="251" t="s">
        <v>251</v>
      </c>
      <c r="D54" s="251"/>
      <c r="E54" s="251"/>
      <c r="F54" s="254"/>
      <c r="G54" s="254"/>
      <c r="H54" s="281">
        <f t="shared" si="0"/>
        <v>0</v>
      </c>
      <c r="I54" s="255"/>
    </row>
    <row r="55" spans="1:9" ht="15.95" customHeight="1">
      <c r="A55" s="478"/>
      <c r="B55" s="256"/>
      <c r="C55" s="257"/>
      <c r="D55" s="258"/>
      <c r="E55" s="258"/>
      <c r="F55" s="260"/>
      <c r="G55" s="260"/>
      <c r="H55" s="261">
        <f>SUM(H48:H54)</f>
        <v>0</v>
      </c>
      <c r="I55" s="262"/>
    </row>
    <row r="56" spans="1:9" ht="15.95" customHeight="1">
      <c r="A56" s="282"/>
      <c r="B56" s="283" t="s">
        <v>252</v>
      </c>
      <c r="C56" s="284"/>
      <c r="D56" s="262"/>
      <c r="E56" s="262"/>
      <c r="F56" s="286"/>
      <c r="G56" s="286"/>
      <c r="H56" s="261">
        <f>SUM(H55,H47,H30,H24)</f>
        <v>0</v>
      </c>
      <c r="I56" s="262"/>
    </row>
    <row r="57" spans="1:9" ht="15.95" customHeight="1">
      <c r="A57" s="479" t="s">
        <v>253</v>
      </c>
      <c r="B57" s="287" t="s">
        <v>254</v>
      </c>
      <c r="C57" s="284"/>
      <c r="D57" s="288"/>
      <c r="E57" s="313" t="s">
        <v>255</v>
      </c>
      <c r="F57" s="307"/>
      <c r="G57" s="307">
        <f>전기!G56</f>
        <v>0</v>
      </c>
      <c r="H57" s="290">
        <f>F57*G57</f>
        <v>0</v>
      </c>
      <c r="I57" s="262"/>
    </row>
    <row r="58" spans="1:9" ht="15.95" customHeight="1">
      <c r="A58" s="478"/>
      <c r="B58" s="291" t="s">
        <v>260</v>
      </c>
      <c r="C58" s="292"/>
      <c r="D58" s="293"/>
      <c r="E58" s="314" t="s">
        <v>153</v>
      </c>
      <c r="F58" s="265"/>
      <c r="G58" s="265"/>
      <c r="H58" s="266">
        <f t="shared" ref="H58:H64" si="1">F58*G58</f>
        <v>0</v>
      </c>
      <c r="I58" s="267"/>
    </row>
    <row r="59" spans="1:9" ht="15.95" customHeight="1">
      <c r="A59" s="478"/>
      <c r="B59" s="317" t="s">
        <v>261</v>
      </c>
      <c r="C59" s="296"/>
      <c r="D59" s="297"/>
      <c r="E59" s="315" t="s">
        <v>153</v>
      </c>
      <c r="F59" s="250"/>
      <c r="G59" s="250"/>
      <c r="H59" s="192">
        <f t="shared" si="1"/>
        <v>0</v>
      </c>
      <c r="I59" s="247"/>
    </row>
    <row r="60" spans="1:9" ht="15.95" customHeight="1">
      <c r="A60" s="478"/>
      <c r="B60" s="295" t="s">
        <v>262</v>
      </c>
      <c r="C60" s="296"/>
      <c r="D60" s="297"/>
      <c r="E60" s="315" t="s">
        <v>153</v>
      </c>
      <c r="F60" s="250"/>
      <c r="G60" s="250"/>
      <c r="H60" s="192">
        <f t="shared" si="1"/>
        <v>0</v>
      </c>
      <c r="I60" s="247"/>
    </row>
    <row r="61" spans="1:9" ht="15.95" customHeight="1">
      <c r="A61" s="478"/>
      <c r="B61" s="295" t="s">
        <v>263</v>
      </c>
      <c r="C61" s="296"/>
      <c r="D61" s="297"/>
      <c r="E61" s="315" t="s">
        <v>153</v>
      </c>
      <c r="F61" s="250"/>
      <c r="G61" s="250"/>
      <c r="H61" s="192">
        <f t="shared" si="1"/>
        <v>0</v>
      </c>
      <c r="I61" s="247"/>
    </row>
    <row r="62" spans="1:9" ht="15.95" customHeight="1">
      <c r="A62" s="478"/>
      <c r="B62" s="295" t="s">
        <v>264</v>
      </c>
      <c r="C62" s="296"/>
      <c r="D62" s="297"/>
      <c r="E62" s="315" t="s">
        <v>153</v>
      </c>
      <c r="F62" s="250"/>
      <c r="G62" s="250"/>
      <c r="H62" s="192">
        <f t="shared" si="1"/>
        <v>0</v>
      </c>
      <c r="I62" s="247"/>
    </row>
    <row r="63" spans="1:9" ht="15.95" customHeight="1">
      <c r="A63" s="478"/>
      <c r="B63" s="295" t="s">
        <v>265</v>
      </c>
      <c r="C63" s="296"/>
      <c r="D63" s="297"/>
      <c r="E63" s="315" t="s">
        <v>153</v>
      </c>
      <c r="F63" s="250"/>
      <c r="G63" s="250"/>
      <c r="H63" s="192">
        <f t="shared" si="1"/>
        <v>0</v>
      </c>
      <c r="I63" s="247"/>
    </row>
    <row r="64" spans="1:9" ht="15.95" customHeight="1">
      <c r="A64" s="478"/>
      <c r="B64" s="299" t="s">
        <v>266</v>
      </c>
      <c r="C64" s="300"/>
      <c r="D64" s="301"/>
      <c r="E64" s="316" t="s">
        <v>153</v>
      </c>
      <c r="F64" s="254"/>
      <c r="G64" s="254"/>
      <c r="H64" s="281">
        <f t="shared" si="1"/>
        <v>0</v>
      </c>
      <c r="I64" s="255"/>
    </row>
    <row r="65" spans="1:9" ht="15.95" customHeight="1">
      <c r="A65" s="282"/>
      <c r="B65" s="303" t="s">
        <v>267</v>
      </c>
      <c r="C65" s="284"/>
      <c r="D65" s="262"/>
      <c r="E65" s="262"/>
      <c r="F65" s="260"/>
      <c r="G65" s="260"/>
      <c r="H65" s="260">
        <f>SUM(H57:H64)</f>
        <v>0</v>
      </c>
      <c r="I65" s="258"/>
    </row>
    <row r="66" spans="1:9" ht="15.95" customHeight="1">
      <c r="A66" s="304"/>
      <c r="B66" s="303" t="s">
        <v>268</v>
      </c>
      <c r="C66" s="284"/>
      <c r="D66" s="262"/>
      <c r="E66" s="262"/>
      <c r="F66" s="261"/>
      <c r="G66" s="261"/>
      <c r="H66" s="286">
        <f>'단위공사별(집계)'!L14+'단위공사별(집계)'!I14</f>
        <v>0</v>
      </c>
      <c r="I66" s="262"/>
    </row>
    <row r="67" spans="1:9" ht="15.95" customHeight="1">
      <c r="A67" s="304"/>
      <c r="B67" s="303" t="s">
        <v>269</v>
      </c>
      <c r="C67" s="284"/>
      <c r="D67" s="262"/>
      <c r="E67" s="262"/>
      <c r="F67" s="261"/>
      <c r="G67" s="306"/>
      <c r="H67" s="307"/>
      <c r="I67" s="284"/>
    </row>
    <row r="68" spans="1:9" ht="15.95" customHeight="1">
      <c r="A68" s="304"/>
      <c r="B68" s="303" t="s">
        <v>270</v>
      </c>
      <c r="C68" s="284"/>
      <c r="D68" s="262"/>
      <c r="E68" s="262"/>
      <c r="F68" s="261"/>
      <c r="G68" s="306"/>
      <c r="H68" s="307"/>
      <c r="I68" s="284"/>
    </row>
    <row r="69" spans="1:9" ht="15.95" customHeight="1">
      <c r="A69" s="304"/>
      <c r="B69" s="303" t="s">
        <v>271</v>
      </c>
      <c r="C69" s="284"/>
      <c r="D69" s="262"/>
      <c r="E69" s="262"/>
      <c r="F69" s="261"/>
      <c r="G69" s="261"/>
      <c r="H69" s="260">
        <f>H56+H65+H66+H67+H68</f>
        <v>0</v>
      </c>
      <c r="I69" s="262"/>
    </row>
    <row r="70" spans="1:9">
      <c r="A70" s="159"/>
    </row>
  </sheetData>
  <mergeCells count="3">
    <mergeCell ref="A2:B2"/>
    <mergeCell ref="A3:A55"/>
    <mergeCell ref="A57:A64"/>
  </mergeCells>
  <phoneticPr fontId="2" type="noConversion"/>
  <printOptions horizontalCentered="1"/>
  <pageMargins left="0.39370078740157483" right="0.39370078740157483" top="0.59055118110236227" bottom="0.39370078740157483" header="0.51181102362204722" footer="0.39370078740157483"/>
  <pageSetup paperSize="9" scale="69" orientation="portrait" horizontalDpi="4294967292" verticalDpi="0" r:id="rId1"/>
  <headerFooter alignWithMargins="0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I70"/>
  <sheetViews>
    <sheetView zoomScale="85" workbookViewId="0">
      <pane xSplit="2" ySplit="2" topLeftCell="C33" activePane="bottomRight" state="frozen"/>
      <selection activeCell="G33" sqref="G33:I33"/>
      <selection pane="topRight" activeCell="G33" sqref="G33:I33"/>
      <selection pane="bottomLeft" activeCell="G33" sqref="G33:I33"/>
      <selection pane="bottomRight" activeCell="G33" sqref="G33:I33"/>
    </sheetView>
  </sheetViews>
  <sheetFormatPr defaultRowHeight="13.5"/>
  <cols>
    <col min="1" max="1" width="5" style="142" customWidth="1"/>
    <col min="2" max="2" width="17.875" style="142" bestFit="1" customWidth="1"/>
    <col min="3" max="3" width="23.625" style="142" customWidth="1"/>
    <col min="4" max="4" width="18.25" style="142" customWidth="1"/>
    <col min="5" max="5" width="5.25" style="142" bestFit="1" customWidth="1"/>
    <col min="6" max="6" width="9" style="181"/>
    <col min="7" max="7" width="11.875" style="181" customWidth="1"/>
    <col min="8" max="8" width="13.625" style="181" customWidth="1"/>
    <col min="9" max="9" width="12.75" style="142" customWidth="1"/>
    <col min="10" max="16384" width="9" style="142"/>
  </cols>
  <sheetData>
    <row r="1" spans="1:9" ht="22.5" customHeight="1">
      <c r="B1" s="233" t="s">
        <v>238</v>
      </c>
      <c r="C1" s="309"/>
      <c r="D1" s="235"/>
      <c r="E1" s="235"/>
      <c r="F1" s="310"/>
      <c r="G1" s="195"/>
      <c r="I1" s="142" t="s">
        <v>239</v>
      </c>
    </row>
    <row r="2" spans="1:9" s="159" customFormat="1" ht="16.5" customHeight="1">
      <c r="A2" s="361" t="s">
        <v>240</v>
      </c>
      <c r="B2" s="473"/>
      <c r="C2" s="150" t="s">
        <v>241</v>
      </c>
      <c r="D2" s="143" t="s">
        <v>242</v>
      </c>
      <c r="E2" s="143" t="s">
        <v>243</v>
      </c>
      <c r="F2" s="285" t="s">
        <v>244</v>
      </c>
      <c r="G2" s="285" t="s">
        <v>245</v>
      </c>
      <c r="H2" s="285" t="s">
        <v>246</v>
      </c>
      <c r="I2" s="143" t="s">
        <v>247</v>
      </c>
    </row>
    <row r="3" spans="1:9" ht="15.95" customHeight="1">
      <c r="A3" s="474" t="s">
        <v>248</v>
      </c>
      <c r="B3" s="241" t="s">
        <v>249</v>
      </c>
      <c r="C3" s="264"/>
      <c r="D3" s="264"/>
      <c r="E3" s="264"/>
      <c r="F3" s="265"/>
      <c r="G3" s="265"/>
      <c r="H3" s="266">
        <f>IF(F3=0,G3,G3*F3)</f>
        <v>0</v>
      </c>
      <c r="I3" s="267"/>
    </row>
    <row r="4" spans="1:9" ht="15.95" customHeight="1">
      <c r="A4" s="478"/>
      <c r="B4" s="241"/>
      <c r="C4" s="246"/>
      <c r="D4" s="246"/>
      <c r="E4" s="246"/>
      <c r="F4" s="250"/>
      <c r="G4" s="250"/>
      <c r="H4" s="192">
        <f>IF(F4=0,G4,G4*F4)</f>
        <v>0</v>
      </c>
      <c r="I4" s="247"/>
    </row>
    <row r="5" spans="1:9" ht="15.95" customHeight="1">
      <c r="A5" s="478"/>
      <c r="B5" s="241"/>
      <c r="C5" s="246"/>
      <c r="D5" s="246"/>
      <c r="E5" s="246"/>
      <c r="F5" s="250"/>
      <c r="G5" s="250"/>
      <c r="H5" s="192">
        <f t="shared" ref="H5:H54" si="0">IF(F5=0,G5,G5*F5)</f>
        <v>0</v>
      </c>
      <c r="I5" s="247"/>
    </row>
    <row r="6" spans="1:9" ht="15.95" customHeight="1">
      <c r="A6" s="478"/>
      <c r="B6" s="241"/>
      <c r="C6" s="246"/>
      <c r="D6" s="246"/>
      <c r="E6" s="246"/>
      <c r="F6" s="250"/>
      <c r="G6" s="250"/>
      <c r="H6" s="192">
        <f t="shared" si="0"/>
        <v>0</v>
      </c>
      <c r="I6" s="247"/>
    </row>
    <row r="7" spans="1:9" ht="15.95" customHeight="1">
      <c r="A7" s="478"/>
      <c r="B7" s="241"/>
      <c r="C7" s="246"/>
      <c r="D7" s="246"/>
      <c r="E7" s="246"/>
      <c r="F7" s="250"/>
      <c r="G7" s="250"/>
      <c r="H7" s="192">
        <f t="shared" si="0"/>
        <v>0</v>
      </c>
      <c r="I7" s="247"/>
    </row>
    <row r="8" spans="1:9" ht="15.95" customHeight="1">
      <c r="A8" s="478"/>
      <c r="B8" s="241"/>
      <c r="C8" s="246"/>
      <c r="D8" s="246"/>
      <c r="E8" s="246"/>
      <c r="F8" s="250"/>
      <c r="G8" s="250"/>
      <c r="H8" s="192">
        <f t="shared" si="0"/>
        <v>0</v>
      </c>
      <c r="I8" s="247"/>
    </row>
    <row r="9" spans="1:9" ht="15.95" customHeight="1">
      <c r="A9" s="478"/>
      <c r="B9" s="241"/>
      <c r="C9" s="246"/>
      <c r="D9" s="246"/>
      <c r="E9" s="246"/>
      <c r="F9" s="250"/>
      <c r="G9" s="250"/>
      <c r="H9" s="192">
        <f t="shared" si="0"/>
        <v>0</v>
      </c>
      <c r="I9" s="247"/>
    </row>
    <row r="10" spans="1:9" ht="15.95" customHeight="1">
      <c r="A10" s="478"/>
      <c r="B10" s="241"/>
      <c r="C10" s="246"/>
      <c r="D10" s="246"/>
      <c r="E10" s="246"/>
      <c r="F10" s="250"/>
      <c r="G10" s="250"/>
      <c r="H10" s="192">
        <f t="shared" si="0"/>
        <v>0</v>
      </c>
      <c r="I10" s="247"/>
    </row>
    <row r="11" spans="1:9" ht="15.95" customHeight="1">
      <c r="A11" s="478"/>
      <c r="B11" s="241"/>
      <c r="C11" s="246"/>
      <c r="D11" s="246"/>
      <c r="E11" s="246"/>
      <c r="F11" s="250"/>
      <c r="G11" s="250"/>
      <c r="H11" s="192">
        <f t="shared" si="0"/>
        <v>0</v>
      </c>
      <c r="I11" s="247"/>
    </row>
    <row r="12" spans="1:9" ht="15.95" customHeight="1">
      <c r="A12" s="478"/>
      <c r="B12" s="241"/>
      <c r="C12" s="246"/>
      <c r="D12" s="246"/>
      <c r="E12" s="246"/>
      <c r="F12" s="250"/>
      <c r="G12" s="250"/>
      <c r="H12" s="192">
        <f t="shared" si="0"/>
        <v>0</v>
      </c>
      <c r="I12" s="247"/>
    </row>
    <row r="13" spans="1:9" ht="15.95" customHeight="1">
      <c r="A13" s="478"/>
      <c r="B13" s="241"/>
      <c r="C13" s="246"/>
      <c r="D13" s="246"/>
      <c r="E13" s="246"/>
      <c r="F13" s="250"/>
      <c r="G13" s="250"/>
      <c r="H13" s="192">
        <f t="shared" si="0"/>
        <v>0</v>
      </c>
      <c r="I13" s="247"/>
    </row>
    <row r="14" spans="1:9" ht="15.95" customHeight="1">
      <c r="A14" s="478"/>
      <c r="B14" s="241"/>
      <c r="C14" s="246"/>
      <c r="D14" s="246"/>
      <c r="E14" s="246"/>
      <c r="F14" s="250"/>
      <c r="G14" s="250"/>
      <c r="H14" s="192">
        <f t="shared" si="0"/>
        <v>0</v>
      </c>
      <c r="I14" s="247"/>
    </row>
    <row r="15" spans="1:9" ht="15.95" customHeight="1">
      <c r="A15" s="478"/>
      <c r="B15" s="241"/>
      <c r="C15" s="246"/>
      <c r="D15" s="246"/>
      <c r="E15" s="246"/>
      <c r="F15" s="250"/>
      <c r="G15" s="250"/>
      <c r="H15" s="192">
        <f t="shared" si="0"/>
        <v>0</v>
      </c>
      <c r="I15" s="247"/>
    </row>
    <row r="16" spans="1:9" ht="15.95" customHeight="1">
      <c r="A16" s="478"/>
      <c r="B16" s="241"/>
      <c r="C16" s="246"/>
      <c r="D16" s="246"/>
      <c r="E16" s="246"/>
      <c r="F16" s="250"/>
      <c r="G16" s="250"/>
      <c r="H16" s="192">
        <f t="shared" si="0"/>
        <v>0</v>
      </c>
      <c r="I16" s="247"/>
    </row>
    <row r="17" spans="1:9" ht="15.95" customHeight="1">
      <c r="A17" s="478"/>
      <c r="B17" s="241"/>
      <c r="C17" s="246"/>
      <c r="D17" s="246"/>
      <c r="E17" s="246"/>
      <c r="F17" s="250"/>
      <c r="G17" s="250"/>
      <c r="H17" s="192">
        <f t="shared" si="0"/>
        <v>0</v>
      </c>
      <c r="I17" s="247"/>
    </row>
    <row r="18" spans="1:9" ht="15.95" customHeight="1">
      <c r="A18" s="478"/>
      <c r="B18" s="241"/>
      <c r="C18" s="246"/>
      <c r="D18" s="246"/>
      <c r="E18" s="246"/>
      <c r="F18" s="250"/>
      <c r="G18" s="250"/>
      <c r="H18" s="192">
        <f t="shared" si="0"/>
        <v>0</v>
      </c>
      <c r="I18" s="247"/>
    </row>
    <row r="19" spans="1:9" ht="15.95" customHeight="1">
      <c r="A19" s="478"/>
      <c r="B19" s="241"/>
      <c r="C19" s="246"/>
      <c r="D19" s="246"/>
      <c r="E19" s="246"/>
      <c r="F19" s="250"/>
      <c r="G19" s="250"/>
      <c r="H19" s="192">
        <f t="shared" si="0"/>
        <v>0</v>
      </c>
      <c r="I19" s="247"/>
    </row>
    <row r="20" spans="1:9" ht="15.95" customHeight="1">
      <c r="A20" s="478"/>
      <c r="B20" s="241"/>
      <c r="C20" s="246"/>
      <c r="D20" s="246"/>
      <c r="E20" s="246"/>
      <c r="F20" s="250"/>
      <c r="G20" s="250"/>
      <c r="H20" s="192">
        <f t="shared" si="0"/>
        <v>0</v>
      </c>
      <c r="I20" s="247"/>
    </row>
    <row r="21" spans="1:9" ht="15.95" customHeight="1">
      <c r="A21" s="478"/>
      <c r="B21" s="241"/>
      <c r="C21" s="246"/>
      <c r="D21" s="246"/>
      <c r="E21" s="246"/>
      <c r="F21" s="250"/>
      <c r="G21" s="250"/>
      <c r="H21" s="192">
        <f t="shared" si="0"/>
        <v>0</v>
      </c>
      <c r="I21" s="247"/>
    </row>
    <row r="22" spans="1:9" ht="15.95" customHeight="1">
      <c r="A22" s="478"/>
      <c r="B22" s="241"/>
      <c r="C22" s="246"/>
      <c r="D22" s="246"/>
      <c r="E22" s="246"/>
      <c r="F22" s="250"/>
      <c r="G22" s="250"/>
      <c r="H22" s="192">
        <f t="shared" si="0"/>
        <v>0</v>
      </c>
      <c r="I22" s="247"/>
    </row>
    <row r="23" spans="1:9" ht="15.95" customHeight="1">
      <c r="A23" s="478"/>
      <c r="B23" s="241"/>
      <c r="C23" s="251" t="s">
        <v>251</v>
      </c>
      <c r="D23" s="269"/>
      <c r="E23" s="269"/>
      <c r="F23" s="270"/>
      <c r="G23" s="270"/>
      <c r="H23" s="271">
        <f t="shared" si="0"/>
        <v>0</v>
      </c>
      <c r="I23" s="272"/>
    </row>
    <row r="24" spans="1:9" ht="15.95" customHeight="1">
      <c r="A24" s="478"/>
      <c r="B24" s="256"/>
      <c r="C24" s="279"/>
      <c r="D24" s="279"/>
      <c r="E24" s="279"/>
      <c r="F24" s="277"/>
      <c r="G24" s="277"/>
      <c r="H24" s="278">
        <f>SUM(H3:H23)</f>
        <v>0</v>
      </c>
      <c r="I24" s="279"/>
    </row>
    <row r="25" spans="1:9" ht="15.95" customHeight="1">
      <c r="A25" s="478"/>
      <c r="B25" s="241" t="s">
        <v>256</v>
      </c>
      <c r="C25" s="242"/>
      <c r="D25" s="242"/>
      <c r="E25" s="242"/>
      <c r="F25" s="243"/>
      <c r="G25" s="243"/>
      <c r="H25" s="244">
        <f t="shared" si="0"/>
        <v>0</v>
      </c>
      <c r="I25" s="245"/>
    </row>
    <row r="26" spans="1:9" ht="15.95" customHeight="1">
      <c r="A26" s="478"/>
      <c r="B26" s="241" t="s">
        <v>257</v>
      </c>
      <c r="C26" s="246"/>
      <c r="D26" s="246"/>
      <c r="E26" s="246"/>
      <c r="F26" s="250"/>
      <c r="G26" s="250"/>
      <c r="H26" s="192">
        <f t="shared" si="0"/>
        <v>0</v>
      </c>
      <c r="I26" s="247"/>
    </row>
    <row r="27" spans="1:9" ht="15.95" customHeight="1">
      <c r="A27" s="478"/>
      <c r="B27" s="241"/>
      <c r="C27" s="246"/>
      <c r="D27" s="246"/>
      <c r="E27" s="246"/>
      <c r="F27" s="250"/>
      <c r="G27" s="250"/>
      <c r="H27" s="192">
        <f t="shared" si="0"/>
        <v>0</v>
      </c>
      <c r="I27" s="247"/>
    </row>
    <row r="28" spans="1:9" ht="15.95" customHeight="1">
      <c r="A28" s="478"/>
      <c r="B28" s="241"/>
      <c r="C28" s="246"/>
      <c r="D28" s="246"/>
      <c r="E28" s="246"/>
      <c r="F28" s="250"/>
      <c r="G28" s="250"/>
      <c r="H28" s="192">
        <f t="shared" si="0"/>
        <v>0</v>
      </c>
      <c r="I28" s="247"/>
    </row>
    <row r="29" spans="1:9" ht="15.95" customHeight="1">
      <c r="A29" s="478"/>
      <c r="B29" s="241"/>
      <c r="C29" s="251" t="s">
        <v>251</v>
      </c>
      <c r="D29" s="251"/>
      <c r="E29" s="251"/>
      <c r="F29" s="254"/>
      <c r="G29" s="254"/>
      <c r="H29" s="192">
        <f t="shared" si="0"/>
        <v>0</v>
      </c>
      <c r="I29" s="255"/>
    </row>
    <row r="30" spans="1:9" ht="15.95" customHeight="1">
      <c r="A30" s="478"/>
      <c r="B30" s="256"/>
      <c r="C30" s="257"/>
      <c r="D30" s="258"/>
      <c r="E30" s="258"/>
      <c r="F30" s="312"/>
      <c r="G30" s="260"/>
      <c r="H30" s="261">
        <f>SUM(H25:H29)</f>
        <v>0</v>
      </c>
      <c r="I30" s="262"/>
    </row>
    <row r="31" spans="1:9" ht="15.95" customHeight="1">
      <c r="A31" s="478"/>
      <c r="B31" s="280" t="s">
        <v>258</v>
      </c>
      <c r="C31" s="264"/>
      <c r="D31" s="264"/>
      <c r="E31" s="264"/>
      <c r="F31" s="265"/>
      <c r="G31" s="265"/>
      <c r="H31" s="266">
        <f t="shared" si="0"/>
        <v>0</v>
      </c>
      <c r="I31" s="267"/>
    </row>
    <row r="32" spans="1:9" ht="15.95" customHeight="1">
      <c r="A32" s="478"/>
      <c r="B32" s="241" t="s">
        <v>259</v>
      </c>
      <c r="C32" s="246"/>
      <c r="D32" s="246"/>
      <c r="E32" s="246"/>
      <c r="F32" s="250"/>
      <c r="G32" s="250"/>
      <c r="H32" s="192">
        <f t="shared" si="0"/>
        <v>0</v>
      </c>
      <c r="I32" s="247"/>
    </row>
    <row r="33" spans="1:9" ht="15.95" customHeight="1">
      <c r="A33" s="478"/>
      <c r="B33" s="241"/>
      <c r="C33" s="246"/>
      <c r="D33" s="246"/>
      <c r="E33" s="246"/>
      <c r="F33" s="250"/>
      <c r="G33" s="250"/>
      <c r="H33" s="192">
        <f t="shared" si="0"/>
        <v>0</v>
      </c>
      <c r="I33" s="247"/>
    </row>
    <row r="34" spans="1:9" ht="15.95" customHeight="1">
      <c r="A34" s="478"/>
      <c r="B34" s="241"/>
      <c r="C34" s="246"/>
      <c r="D34" s="246"/>
      <c r="E34" s="246"/>
      <c r="F34" s="250"/>
      <c r="G34" s="250"/>
      <c r="H34" s="192">
        <f t="shared" si="0"/>
        <v>0</v>
      </c>
      <c r="I34" s="247"/>
    </row>
    <row r="35" spans="1:9" ht="15.95" customHeight="1">
      <c r="A35" s="478"/>
      <c r="B35" s="241"/>
      <c r="C35" s="246"/>
      <c r="D35" s="246"/>
      <c r="E35" s="246"/>
      <c r="F35" s="250"/>
      <c r="G35" s="250"/>
      <c r="H35" s="192">
        <f t="shared" si="0"/>
        <v>0</v>
      </c>
      <c r="I35" s="247"/>
    </row>
    <row r="36" spans="1:9" ht="15.95" customHeight="1">
      <c r="A36" s="478"/>
      <c r="B36" s="241"/>
      <c r="C36" s="246"/>
      <c r="D36" s="246"/>
      <c r="E36" s="246"/>
      <c r="F36" s="250"/>
      <c r="G36" s="250"/>
      <c r="H36" s="192">
        <f t="shared" si="0"/>
        <v>0</v>
      </c>
      <c r="I36" s="247"/>
    </row>
    <row r="37" spans="1:9" ht="15.95" customHeight="1">
      <c r="A37" s="478"/>
      <c r="B37" s="241"/>
      <c r="C37" s="246"/>
      <c r="D37" s="246"/>
      <c r="E37" s="246"/>
      <c r="F37" s="250"/>
      <c r="G37" s="250"/>
      <c r="H37" s="192">
        <f t="shared" si="0"/>
        <v>0</v>
      </c>
      <c r="I37" s="247"/>
    </row>
    <row r="38" spans="1:9" ht="15.95" customHeight="1">
      <c r="A38" s="478"/>
      <c r="B38" s="241"/>
      <c r="C38" s="246"/>
      <c r="D38" s="246"/>
      <c r="E38" s="246"/>
      <c r="F38" s="250"/>
      <c r="G38" s="250"/>
      <c r="H38" s="192">
        <f t="shared" si="0"/>
        <v>0</v>
      </c>
      <c r="I38" s="247"/>
    </row>
    <row r="39" spans="1:9" ht="15.95" customHeight="1">
      <c r="A39" s="478"/>
      <c r="B39" s="241"/>
      <c r="C39" s="246"/>
      <c r="D39" s="246"/>
      <c r="E39" s="246"/>
      <c r="F39" s="250"/>
      <c r="G39" s="250"/>
      <c r="H39" s="192">
        <f t="shared" si="0"/>
        <v>0</v>
      </c>
      <c r="I39" s="247"/>
    </row>
    <row r="40" spans="1:9" ht="15.95" customHeight="1">
      <c r="A40" s="478"/>
      <c r="B40" s="241"/>
      <c r="C40" s="246"/>
      <c r="D40" s="246"/>
      <c r="E40" s="246"/>
      <c r="F40" s="250"/>
      <c r="G40" s="250"/>
      <c r="H40" s="192">
        <f t="shared" si="0"/>
        <v>0</v>
      </c>
      <c r="I40" s="247"/>
    </row>
    <row r="41" spans="1:9" ht="15.95" customHeight="1">
      <c r="A41" s="478"/>
      <c r="B41" s="241"/>
      <c r="C41" s="246"/>
      <c r="D41" s="246"/>
      <c r="E41" s="246"/>
      <c r="F41" s="250"/>
      <c r="G41" s="250"/>
      <c r="H41" s="192">
        <f t="shared" si="0"/>
        <v>0</v>
      </c>
      <c r="I41" s="247"/>
    </row>
    <row r="42" spans="1:9" ht="15.95" customHeight="1">
      <c r="A42" s="478"/>
      <c r="B42" s="241"/>
      <c r="C42" s="246"/>
      <c r="D42" s="246"/>
      <c r="E42" s="246"/>
      <c r="F42" s="250"/>
      <c r="G42" s="250"/>
      <c r="H42" s="192">
        <f t="shared" si="0"/>
        <v>0</v>
      </c>
      <c r="I42" s="247"/>
    </row>
    <row r="43" spans="1:9" ht="15.95" customHeight="1">
      <c r="A43" s="478"/>
      <c r="B43" s="241"/>
      <c r="C43" s="246"/>
      <c r="D43" s="246"/>
      <c r="E43" s="246"/>
      <c r="F43" s="250"/>
      <c r="G43" s="250"/>
      <c r="H43" s="192">
        <f t="shared" si="0"/>
        <v>0</v>
      </c>
      <c r="I43" s="247"/>
    </row>
    <row r="44" spans="1:9" ht="15.95" customHeight="1">
      <c r="A44" s="478"/>
      <c r="B44" s="241"/>
      <c r="C44" s="246"/>
      <c r="D44" s="246"/>
      <c r="E44" s="246"/>
      <c r="F44" s="250"/>
      <c r="G44" s="250"/>
      <c r="H44" s="192">
        <f t="shared" si="0"/>
        <v>0</v>
      </c>
      <c r="I44" s="247"/>
    </row>
    <row r="45" spans="1:9" ht="15.95" customHeight="1">
      <c r="A45" s="478"/>
      <c r="B45" s="241"/>
      <c r="C45" s="246"/>
      <c r="D45" s="246"/>
      <c r="E45" s="246"/>
      <c r="F45" s="250"/>
      <c r="G45" s="250"/>
      <c r="H45" s="192">
        <f t="shared" si="0"/>
        <v>0</v>
      </c>
      <c r="I45" s="247"/>
    </row>
    <row r="46" spans="1:9" ht="15.95" customHeight="1">
      <c r="A46" s="478"/>
      <c r="B46" s="241"/>
      <c r="C46" s="251" t="s">
        <v>251</v>
      </c>
      <c r="D46" s="251"/>
      <c r="E46" s="251"/>
      <c r="F46" s="254"/>
      <c r="G46" s="254"/>
      <c r="H46" s="281">
        <f t="shared" si="0"/>
        <v>0</v>
      </c>
      <c r="I46" s="255"/>
    </row>
    <row r="47" spans="1:9" ht="15.95" customHeight="1">
      <c r="A47" s="478"/>
      <c r="B47" s="256"/>
      <c r="C47" s="257"/>
      <c r="D47" s="258"/>
      <c r="E47" s="258"/>
      <c r="F47" s="260"/>
      <c r="G47" s="260"/>
      <c r="H47" s="261">
        <f>SUM(H31:H46)</f>
        <v>0</v>
      </c>
      <c r="I47" s="262"/>
    </row>
    <row r="48" spans="1:9" ht="15.95" customHeight="1">
      <c r="A48" s="478"/>
      <c r="B48" s="280" t="s">
        <v>250</v>
      </c>
      <c r="C48" s="264"/>
      <c r="D48" s="264"/>
      <c r="E48" s="264"/>
      <c r="F48" s="265"/>
      <c r="G48" s="265"/>
      <c r="H48" s="266">
        <f t="shared" si="0"/>
        <v>0</v>
      </c>
      <c r="I48" s="267"/>
    </row>
    <row r="49" spans="1:9" ht="15.95" customHeight="1">
      <c r="A49" s="478"/>
      <c r="B49" s="241"/>
      <c r="C49" s="246"/>
      <c r="D49" s="246"/>
      <c r="E49" s="246"/>
      <c r="F49" s="250"/>
      <c r="G49" s="250"/>
      <c r="H49" s="192">
        <f t="shared" si="0"/>
        <v>0</v>
      </c>
      <c r="I49" s="247"/>
    </row>
    <row r="50" spans="1:9" ht="15.95" customHeight="1">
      <c r="A50" s="478"/>
      <c r="B50" s="241"/>
      <c r="C50" s="246"/>
      <c r="D50" s="246"/>
      <c r="E50" s="246"/>
      <c r="F50" s="250"/>
      <c r="G50" s="250"/>
      <c r="H50" s="192">
        <f t="shared" si="0"/>
        <v>0</v>
      </c>
      <c r="I50" s="247"/>
    </row>
    <row r="51" spans="1:9" ht="15.95" customHeight="1">
      <c r="A51" s="478"/>
      <c r="B51" s="241"/>
      <c r="C51" s="246"/>
      <c r="D51" s="246"/>
      <c r="E51" s="246"/>
      <c r="F51" s="250"/>
      <c r="G51" s="250"/>
      <c r="H51" s="192">
        <f t="shared" si="0"/>
        <v>0</v>
      </c>
      <c r="I51" s="247"/>
    </row>
    <row r="52" spans="1:9" ht="15.95" customHeight="1">
      <c r="A52" s="478"/>
      <c r="B52" s="241"/>
      <c r="C52" s="246"/>
      <c r="D52" s="246"/>
      <c r="E52" s="246"/>
      <c r="F52" s="250"/>
      <c r="G52" s="250"/>
      <c r="H52" s="192">
        <f t="shared" si="0"/>
        <v>0</v>
      </c>
      <c r="I52" s="247"/>
    </row>
    <row r="53" spans="1:9" ht="15.95" customHeight="1">
      <c r="A53" s="478"/>
      <c r="B53" s="241"/>
      <c r="C53" s="246"/>
      <c r="D53" s="246"/>
      <c r="E53" s="246"/>
      <c r="F53" s="250"/>
      <c r="G53" s="250"/>
      <c r="H53" s="192">
        <f t="shared" si="0"/>
        <v>0</v>
      </c>
      <c r="I53" s="247"/>
    </row>
    <row r="54" spans="1:9" ht="15.95" customHeight="1">
      <c r="A54" s="478"/>
      <c r="B54" s="241"/>
      <c r="C54" s="251" t="s">
        <v>251</v>
      </c>
      <c r="D54" s="251"/>
      <c r="E54" s="251"/>
      <c r="F54" s="254"/>
      <c r="G54" s="254"/>
      <c r="H54" s="281">
        <f t="shared" si="0"/>
        <v>0</v>
      </c>
      <c r="I54" s="255"/>
    </row>
    <row r="55" spans="1:9" ht="15.95" customHeight="1">
      <c r="A55" s="478"/>
      <c r="B55" s="256"/>
      <c r="C55" s="257"/>
      <c r="D55" s="258"/>
      <c r="E55" s="258"/>
      <c r="F55" s="260"/>
      <c r="G55" s="260"/>
      <c r="H55" s="261">
        <f>SUM(H48:H54)</f>
        <v>0</v>
      </c>
      <c r="I55" s="262"/>
    </row>
    <row r="56" spans="1:9" ht="15.95" customHeight="1">
      <c r="A56" s="282"/>
      <c r="B56" s="283" t="s">
        <v>252</v>
      </c>
      <c r="C56" s="284"/>
      <c r="D56" s="262"/>
      <c r="E56" s="262"/>
      <c r="F56" s="286"/>
      <c r="G56" s="286"/>
      <c r="H56" s="261">
        <f>SUM(H55,H47,H30,H24)</f>
        <v>0</v>
      </c>
      <c r="I56" s="262"/>
    </row>
    <row r="57" spans="1:9" ht="15.95" customHeight="1">
      <c r="A57" s="479" t="s">
        <v>253</v>
      </c>
      <c r="B57" s="287" t="s">
        <v>254</v>
      </c>
      <c r="C57" s="284"/>
      <c r="D57" s="288"/>
      <c r="E57" s="313" t="s">
        <v>255</v>
      </c>
      <c r="F57" s="307"/>
      <c r="G57" s="307">
        <f>전기!G56</f>
        <v>0</v>
      </c>
      <c r="H57" s="290">
        <f>F57*G57</f>
        <v>0</v>
      </c>
      <c r="I57" s="262"/>
    </row>
    <row r="58" spans="1:9" ht="15.95" customHeight="1">
      <c r="A58" s="478"/>
      <c r="B58" s="291" t="s">
        <v>260</v>
      </c>
      <c r="C58" s="292"/>
      <c r="D58" s="293"/>
      <c r="E58" s="314" t="s">
        <v>153</v>
      </c>
      <c r="F58" s="265"/>
      <c r="G58" s="265"/>
      <c r="H58" s="266">
        <f t="shared" ref="H58:H64" si="1">F58*G58</f>
        <v>0</v>
      </c>
      <c r="I58" s="267"/>
    </row>
    <row r="59" spans="1:9" ht="15.95" customHeight="1">
      <c r="A59" s="478"/>
      <c r="B59" s="317" t="s">
        <v>261</v>
      </c>
      <c r="C59" s="296"/>
      <c r="D59" s="297"/>
      <c r="E59" s="315" t="s">
        <v>153</v>
      </c>
      <c r="F59" s="250"/>
      <c r="G59" s="250"/>
      <c r="H59" s="192">
        <f t="shared" si="1"/>
        <v>0</v>
      </c>
      <c r="I59" s="247"/>
    </row>
    <row r="60" spans="1:9" ht="15.95" customHeight="1">
      <c r="A60" s="478"/>
      <c r="B60" s="295" t="s">
        <v>262</v>
      </c>
      <c r="C60" s="296"/>
      <c r="D60" s="297"/>
      <c r="E60" s="315" t="s">
        <v>153</v>
      </c>
      <c r="F60" s="250"/>
      <c r="G60" s="250"/>
      <c r="H60" s="192">
        <f t="shared" si="1"/>
        <v>0</v>
      </c>
      <c r="I60" s="247"/>
    </row>
    <row r="61" spans="1:9" ht="15.95" customHeight="1">
      <c r="A61" s="478"/>
      <c r="B61" s="295" t="s">
        <v>263</v>
      </c>
      <c r="C61" s="296"/>
      <c r="D61" s="297"/>
      <c r="E61" s="315" t="s">
        <v>153</v>
      </c>
      <c r="F61" s="250"/>
      <c r="G61" s="250"/>
      <c r="H61" s="192">
        <f t="shared" si="1"/>
        <v>0</v>
      </c>
      <c r="I61" s="247"/>
    </row>
    <row r="62" spans="1:9" ht="15.95" customHeight="1">
      <c r="A62" s="478"/>
      <c r="B62" s="295" t="s">
        <v>264</v>
      </c>
      <c r="C62" s="296"/>
      <c r="D62" s="297"/>
      <c r="E62" s="315" t="s">
        <v>153</v>
      </c>
      <c r="F62" s="250"/>
      <c r="G62" s="250"/>
      <c r="H62" s="192">
        <f t="shared" si="1"/>
        <v>0</v>
      </c>
      <c r="I62" s="247"/>
    </row>
    <row r="63" spans="1:9" ht="15.95" customHeight="1">
      <c r="A63" s="478"/>
      <c r="B63" s="295" t="s">
        <v>265</v>
      </c>
      <c r="C63" s="296"/>
      <c r="D63" s="297"/>
      <c r="E63" s="315" t="s">
        <v>153</v>
      </c>
      <c r="F63" s="250"/>
      <c r="G63" s="250"/>
      <c r="H63" s="192">
        <f t="shared" si="1"/>
        <v>0</v>
      </c>
      <c r="I63" s="247"/>
    </row>
    <row r="64" spans="1:9" ht="15.95" customHeight="1">
      <c r="A64" s="478"/>
      <c r="B64" s="299" t="s">
        <v>266</v>
      </c>
      <c r="C64" s="300"/>
      <c r="D64" s="301"/>
      <c r="E64" s="316" t="s">
        <v>153</v>
      </c>
      <c r="F64" s="254"/>
      <c r="G64" s="254"/>
      <c r="H64" s="281">
        <f t="shared" si="1"/>
        <v>0</v>
      </c>
      <c r="I64" s="255"/>
    </row>
    <row r="65" spans="1:9" ht="15.95" customHeight="1">
      <c r="A65" s="282"/>
      <c r="B65" s="303" t="s">
        <v>267</v>
      </c>
      <c r="C65" s="284"/>
      <c r="D65" s="262"/>
      <c r="E65" s="262"/>
      <c r="F65" s="260"/>
      <c r="G65" s="260"/>
      <c r="H65" s="260">
        <f>SUM(H57:H64)</f>
        <v>0</v>
      </c>
      <c r="I65" s="258"/>
    </row>
    <row r="66" spans="1:9" ht="15.95" customHeight="1">
      <c r="A66" s="304"/>
      <c r="B66" s="303" t="s">
        <v>268</v>
      </c>
      <c r="C66" s="284"/>
      <c r="D66" s="262"/>
      <c r="E66" s="262"/>
      <c r="F66" s="261"/>
      <c r="G66" s="261"/>
      <c r="H66" s="286">
        <f>'단위공사별(집계)'!L14+'단위공사별(집계)'!I14</f>
        <v>0</v>
      </c>
      <c r="I66" s="262"/>
    </row>
    <row r="67" spans="1:9" ht="15.95" customHeight="1">
      <c r="A67" s="304"/>
      <c r="B67" s="303" t="s">
        <v>269</v>
      </c>
      <c r="C67" s="284"/>
      <c r="D67" s="262"/>
      <c r="E67" s="262"/>
      <c r="F67" s="261"/>
      <c r="G67" s="306"/>
      <c r="H67" s="307"/>
      <c r="I67" s="284"/>
    </row>
    <row r="68" spans="1:9" ht="15.95" customHeight="1">
      <c r="A68" s="304"/>
      <c r="B68" s="303" t="s">
        <v>270</v>
      </c>
      <c r="C68" s="284"/>
      <c r="D68" s="262"/>
      <c r="E68" s="262"/>
      <c r="F68" s="261"/>
      <c r="G68" s="306"/>
      <c r="H68" s="307"/>
      <c r="I68" s="284"/>
    </row>
    <row r="69" spans="1:9" ht="15.95" customHeight="1">
      <c r="A69" s="304"/>
      <c r="B69" s="303" t="s">
        <v>271</v>
      </c>
      <c r="C69" s="284"/>
      <c r="D69" s="262"/>
      <c r="E69" s="262"/>
      <c r="F69" s="261"/>
      <c r="G69" s="261"/>
      <c r="H69" s="260">
        <f>H56+H65+H66+H67+H68</f>
        <v>0</v>
      </c>
      <c r="I69" s="262"/>
    </row>
    <row r="70" spans="1:9">
      <c r="A70" s="159"/>
    </row>
  </sheetData>
  <mergeCells count="3">
    <mergeCell ref="A2:B2"/>
    <mergeCell ref="A3:A55"/>
    <mergeCell ref="A57:A64"/>
  </mergeCells>
  <phoneticPr fontId="2" type="noConversion"/>
  <printOptions horizontalCentered="1"/>
  <pageMargins left="0.39370078740157483" right="0.39370078740157483" top="0.59055118110236227" bottom="0.39370078740157483" header="0.51181102362204722" footer="0.39370078740157483"/>
  <pageSetup paperSize="9" scale="69" orientation="portrait" horizontalDpi="4294967292" verticalDpi="0" r:id="rId1"/>
  <headerFooter alignWithMargins="0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6"/>
  <sheetViews>
    <sheetView zoomScale="85" workbookViewId="0">
      <selection activeCell="G33" sqref="G33:I33"/>
    </sheetView>
  </sheetViews>
  <sheetFormatPr defaultRowHeight="17.25" customHeight="1"/>
  <cols>
    <col min="1" max="1" width="16.5" style="142" customWidth="1"/>
    <col min="2" max="3" width="27.625" style="142" customWidth="1"/>
    <col min="4" max="4" width="11.5" style="142" customWidth="1"/>
    <col min="5" max="16384" width="9" style="142"/>
  </cols>
  <sheetData>
    <row r="1" spans="1:4" ht="17.25" customHeight="1">
      <c r="A1" s="142" t="s">
        <v>272</v>
      </c>
    </row>
    <row r="2" spans="1:4" ht="17.25" customHeight="1">
      <c r="D2" s="159" t="s">
        <v>239</v>
      </c>
    </row>
    <row r="3" spans="1:4" ht="24.75" customHeight="1">
      <c r="A3" s="318" t="s">
        <v>273</v>
      </c>
    </row>
    <row r="4" spans="1:4" ht="11.25" customHeight="1"/>
    <row r="5" spans="1:4" s="320" customFormat="1" ht="21" customHeight="1" thickBot="1">
      <c r="A5" s="319" t="s">
        <v>274</v>
      </c>
      <c r="B5" s="319" t="s">
        <v>275</v>
      </c>
      <c r="C5" s="319" t="s">
        <v>276</v>
      </c>
      <c r="D5" s="319" t="s">
        <v>277</v>
      </c>
    </row>
    <row r="6" spans="1:4" ht="17.25" customHeight="1" thickTop="1">
      <c r="A6" s="321"/>
      <c r="B6" s="321"/>
      <c r="C6" s="321"/>
      <c r="D6" s="321"/>
    </row>
    <row r="7" spans="1:4" ht="17.25" customHeight="1">
      <c r="A7" s="321"/>
      <c r="B7" s="321"/>
      <c r="C7" s="321"/>
      <c r="D7" s="321"/>
    </row>
    <row r="8" spans="1:4" ht="17.25" customHeight="1">
      <c r="A8" s="321"/>
      <c r="B8" s="321"/>
      <c r="C8" s="321"/>
      <c r="D8" s="321"/>
    </row>
    <row r="9" spans="1:4" ht="17.25" customHeight="1">
      <c r="A9" s="321"/>
      <c r="B9" s="321"/>
      <c r="C9" s="321"/>
      <c r="D9" s="321"/>
    </row>
    <row r="10" spans="1:4" ht="17.25" customHeight="1">
      <c r="A10" s="321"/>
      <c r="B10" s="321"/>
      <c r="C10" s="321"/>
      <c r="D10" s="321"/>
    </row>
    <row r="11" spans="1:4" ht="17.25" customHeight="1">
      <c r="A11" s="321"/>
      <c r="B11" s="321"/>
      <c r="C11" s="321"/>
      <c r="D11" s="321"/>
    </row>
    <row r="12" spans="1:4" ht="17.25" customHeight="1">
      <c r="A12" s="321"/>
      <c r="B12" s="321"/>
      <c r="C12" s="321"/>
      <c r="D12" s="321"/>
    </row>
    <row r="13" spans="1:4" ht="17.25" customHeight="1">
      <c r="A13" s="321"/>
      <c r="B13" s="321"/>
      <c r="C13" s="321"/>
      <c r="D13" s="321"/>
    </row>
    <row r="14" spans="1:4" ht="17.25" customHeight="1">
      <c r="A14" s="321"/>
      <c r="B14" s="321"/>
      <c r="C14" s="321"/>
      <c r="D14" s="321"/>
    </row>
    <row r="15" spans="1:4" ht="17.25" customHeight="1">
      <c r="A15" s="321"/>
      <c r="B15" s="321"/>
      <c r="C15" s="321"/>
      <c r="D15" s="321"/>
    </row>
    <row r="16" spans="1:4" ht="17.25" customHeight="1">
      <c r="A16" s="321"/>
      <c r="B16" s="321"/>
      <c r="C16" s="321"/>
      <c r="D16" s="321"/>
    </row>
    <row r="17" spans="1:4" ht="17.25" customHeight="1">
      <c r="A17" s="321"/>
      <c r="B17" s="321"/>
      <c r="C17" s="321"/>
      <c r="D17" s="321"/>
    </row>
    <row r="18" spans="1:4" ht="17.25" customHeight="1">
      <c r="A18" s="321"/>
      <c r="B18" s="321"/>
      <c r="C18" s="321"/>
      <c r="D18" s="321"/>
    </row>
    <row r="19" spans="1:4" ht="17.25" customHeight="1">
      <c r="A19" s="321"/>
      <c r="B19" s="321"/>
      <c r="C19" s="321"/>
      <c r="D19" s="321"/>
    </row>
    <row r="20" spans="1:4" ht="17.25" customHeight="1">
      <c r="A20" s="321"/>
      <c r="B20" s="321"/>
      <c r="C20" s="321"/>
      <c r="D20" s="321"/>
    </row>
    <row r="21" spans="1:4" ht="17.25" customHeight="1">
      <c r="A21" s="321"/>
      <c r="B21" s="321"/>
      <c r="C21" s="321"/>
      <c r="D21" s="321"/>
    </row>
    <row r="22" spans="1:4" ht="17.25" customHeight="1">
      <c r="A22" s="321"/>
      <c r="B22" s="321"/>
      <c r="C22" s="321"/>
      <c r="D22" s="321"/>
    </row>
    <row r="23" spans="1:4" ht="17.25" customHeight="1">
      <c r="A23" s="321"/>
      <c r="B23" s="321"/>
      <c r="C23" s="321"/>
      <c r="D23" s="321"/>
    </row>
    <row r="24" spans="1:4" ht="17.25" customHeight="1">
      <c r="A24" s="321"/>
      <c r="B24" s="321"/>
      <c r="C24" s="321"/>
      <c r="D24" s="321"/>
    </row>
    <row r="25" spans="1:4" ht="17.25" customHeight="1">
      <c r="A25" s="321"/>
      <c r="B25" s="321"/>
      <c r="C25" s="321"/>
      <c r="D25" s="321"/>
    </row>
    <row r="26" spans="1:4" ht="17.25" customHeight="1">
      <c r="A26" s="321"/>
      <c r="B26" s="321"/>
      <c r="C26" s="321"/>
      <c r="D26" s="321"/>
    </row>
    <row r="27" spans="1:4" ht="17.25" customHeight="1">
      <c r="A27" s="321"/>
      <c r="B27" s="321"/>
      <c r="C27" s="321"/>
      <c r="D27" s="321"/>
    </row>
    <row r="28" spans="1:4" ht="17.25" customHeight="1">
      <c r="A28" s="321"/>
      <c r="B28" s="321"/>
      <c r="C28" s="321"/>
      <c r="D28" s="321"/>
    </row>
    <row r="29" spans="1:4" ht="17.25" customHeight="1">
      <c r="A29" s="321"/>
      <c r="B29" s="321"/>
      <c r="C29" s="321"/>
      <c r="D29" s="321"/>
    </row>
    <row r="30" spans="1:4" ht="17.25" customHeight="1">
      <c r="A30" s="321"/>
      <c r="B30" s="321"/>
      <c r="C30" s="321"/>
      <c r="D30" s="321"/>
    </row>
    <row r="31" spans="1:4" ht="17.25" customHeight="1">
      <c r="A31" s="321"/>
      <c r="B31" s="321"/>
      <c r="C31" s="321"/>
      <c r="D31" s="321"/>
    </row>
    <row r="32" spans="1:4" ht="17.25" customHeight="1">
      <c r="A32" s="321"/>
      <c r="B32" s="321"/>
      <c r="C32" s="321"/>
      <c r="D32" s="321"/>
    </row>
    <row r="33" spans="1:4" ht="17.25" customHeight="1">
      <c r="A33" s="321"/>
      <c r="B33" s="321"/>
      <c r="C33" s="321"/>
      <c r="D33" s="321"/>
    </row>
    <row r="34" spans="1:4" ht="17.25" customHeight="1">
      <c r="A34" s="321"/>
      <c r="B34" s="321"/>
      <c r="C34" s="321"/>
      <c r="D34" s="321"/>
    </row>
    <row r="35" spans="1:4" ht="17.25" customHeight="1">
      <c r="A35" s="321"/>
      <c r="B35" s="321"/>
      <c r="C35" s="321"/>
      <c r="D35" s="321"/>
    </row>
    <row r="36" spans="1:4" ht="17.25" customHeight="1">
      <c r="A36" s="258"/>
      <c r="B36" s="258"/>
      <c r="C36" s="258"/>
      <c r="D36" s="258"/>
    </row>
  </sheetData>
  <phoneticPr fontId="2" type="noConversion"/>
  <printOptions horizontalCentered="1"/>
  <pageMargins left="0.39370078740157483" right="0.39370078740157483" top="0.78740157480314965" bottom="0.39370078740157483" header="0.51181102362204722" footer="0.19685039370078741"/>
  <pageSetup paperSize="9" orientation="portrait" horizontalDpi="4294967292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15</vt:i4>
      </vt:variant>
      <vt:variant>
        <vt:lpstr>이름이 지정된 범위</vt:lpstr>
      </vt:variant>
      <vt:variant>
        <vt:i4>6</vt:i4>
      </vt:variant>
    </vt:vector>
  </HeadingPairs>
  <TitlesOfParts>
    <vt:vector size="21" baseType="lpstr">
      <vt:lpstr>갑지</vt:lpstr>
      <vt:lpstr>원가항목별(집계)</vt:lpstr>
      <vt:lpstr>단위공사별(집계)</vt:lpstr>
      <vt:lpstr>전기</vt:lpstr>
      <vt:lpstr>단위장비1</vt:lpstr>
      <vt:lpstr>단위장비2</vt:lpstr>
      <vt:lpstr>단위장비3</vt:lpstr>
      <vt:lpstr>단위장비4</vt:lpstr>
      <vt:lpstr>단위장비5</vt:lpstr>
      <vt:lpstr>단위장비6</vt:lpstr>
      <vt:lpstr>단위장비7</vt:lpstr>
      <vt:lpstr>단위장비8</vt:lpstr>
      <vt:lpstr>단위장비9</vt:lpstr>
      <vt:lpstr>단위장비10</vt:lpstr>
      <vt:lpstr>첨부(견적조건차이내역)</vt:lpstr>
      <vt:lpstr>갑지!Print_Area</vt:lpstr>
      <vt:lpstr>'단위공사별(집계)'!Print_Area</vt:lpstr>
      <vt:lpstr>'원가항목별(집계)'!Print_Area</vt:lpstr>
      <vt:lpstr>전기!Print_Area</vt:lpstr>
      <vt:lpstr>'첨부(견적조건차이내역)'!Print_Area</vt:lpstr>
      <vt:lpstr>전기!Print_Titles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WIA</dc:creator>
  <cp:lastModifiedBy>Windows 사용자</cp:lastModifiedBy>
  <cp:lastPrinted>2019-07-19T00:08:58Z</cp:lastPrinted>
  <dcterms:created xsi:type="dcterms:W3CDTF">2018-11-27T02:42:21Z</dcterms:created>
  <dcterms:modified xsi:type="dcterms:W3CDTF">2019-07-19T01:15:33Z</dcterms:modified>
</cp:coreProperties>
</file>