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3715" windowHeight="11430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#10" sheetId="5" r:id="rId5"/>
    <sheet name="#20" sheetId="6" r:id="rId6"/>
    <sheet name="#30" sheetId="7" r:id="rId7"/>
    <sheet name="#40" sheetId="8" r:id="rId8"/>
    <sheet name="#50" sheetId="9" r:id="rId9"/>
    <sheet name="#60" sheetId="10" r:id="rId10"/>
    <sheet name="#70" sheetId="11" r:id="rId11"/>
    <sheet name="#80" sheetId="12" r:id="rId12"/>
    <sheet name="#90" sheetId="13" r:id="rId13"/>
    <sheet name="#100" sheetId="14" r:id="rId14"/>
    <sheet name="첨부(견적조건차이내역)" sheetId="15" r:id="rId15"/>
    <sheet name="Sheet1" sheetId="16" r:id="rId16"/>
  </sheets>
  <externalReferences>
    <externalReference r:id="rId17"/>
  </externalReferences>
  <definedNames>
    <definedName name="_xlnm._FilterDatabase" localSheetId="4" hidden="1">'#10'!$A$2:$I$59</definedName>
    <definedName name="_xlnm._FilterDatabase" localSheetId="5" hidden="1">'#20'!$A$2:$I$69</definedName>
    <definedName name="_xlnm._FilterDatabase" localSheetId="6" hidden="1">'#30'!$J$2:$J$69</definedName>
    <definedName name="_xlnm._FilterDatabase" localSheetId="7" hidden="1">'#40'!$J$2:$J$69</definedName>
    <definedName name="_xlnm._FilterDatabase" localSheetId="8" hidden="1">'#50'!$J$2:$J$69</definedName>
    <definedName name="_xlnm._FilterDatabase" localSheetId="9" hidden="1">'#60'!$J$2:$J$86</definedName>
    <definedName name="_xlnm._FilterDatabase" localSheetId="10" hidden="1">'#70'!$J$2:$J$66</definedName>
    <definedName name="_xlnm._FilterDatabase" localSheetId="11" hidden="1">'#80'!$J$2:$J$81</definedName>
    <definedName name="_xlnm._FilterDatabase" localSheetId="3" hidden="1">전기!$A$2:$I$62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H61" i="4" l="1"/>
  <c r="H60" i="4"/>
  <c r="H68" i="14"/>
  <c r="H67" i="14"/>
  <c r="H68" i="13"/>
  <c r="H67" i="13"/>
  <c r="H80" i="12"/>
  <c r="H79" i="12"/>
  <c r="H65" i="11"/>
  <c r="H64" i="11"/>
  <c r="H24" i="4" l="1"/>
  <c r="H25" i="4"/>
  <c r="H26" i="4"/>
  <c r="H29" i="4"/>
  <c r="H28" i="4"/>
  <c r="H27" i="4"/>
  <c r="H36" i="14"/>
  <c r="H35" i="14"/>
  <c r="H34" i="14"/>
  <c r="H46" i="13"/>
  <c r="H31" i="13"/>
  <c r="H23" i="13"/>
  <c r="H7" i="13"/>
  <c r="H6" i="13"/>
  <c r="H5" i="13"/>
  <c r="H4" i="13"/>
  <c r="H3" i="13"/>
  <c r="H58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57" i="12"/>
  <c r="H56" i="12"/>
  <c r="H55" i="12"/>
  <c r="H60" i="12"/>
  <c r="H61" i="12"/>
  <c r="H62" i="12"/>
  <c r="H63" i="12"/>
  <c r="H64" i="12"/>
  <c r="H65" i="12"/>
  <c r="H66" i="12"/>
  <c r="H23" i="12"/>
  <c r="H9" i="12"/>
  <c r="H8" i="12"/>
  <c r="H7" i="12"/>
  <c r="H6" i="12"/>
  <c r="H5" i="12"/>
  <c r="H4" i="12"/>
  <c r="H3" i="12"/>
  <c r="H28" i="11"/>
  <c r="H22" i="4"/>
  <c r="H21" i="4"/>
  <c r="H23" i="4"/>
  <c r="H23" i="10"/>
  <c r="H3" i="10"/>
  <c r="H46" i="9"/>
  <c r="H34" i="9"/>
  <c r="H33" i="9"/>
  <c r="H32" i="9"/>
  <c r="H31" i="9"/>
  <c r="H23" i="9"/>
  <c r="H3" i="9"/>
  <c r="H31" i="8"/>
  <c r="H23" i="8"/>
  <c r="H31" i="7"/>
  <c r="H23" i="7"/>
  <c r="H3" i="7"/>
  <c r="H32" i="6"/>
  <c r="H31" i="6"/>
  <c r="H24" i="5"/>
  <c r="H25" i="5"/>
  <c r="H26" i="5"/>
  <c r="H27" i="5"/>
  <c r="H28" i="5"/>
  <c r="H29" i="5"/>
  <c r="H30" i="5"/>
  <c r="H22" i="5"/>
  <c r="H23" i="5"/>
  <c r="H31" i="5"/>
  <c r="H32" i="5"/>
  <c r="H33" i="5"/>
  <c r="H34" i="5"/>
  <c r="H35" i="5"/>
  <c r="H59" i="12" l="1"/>
  <c r="H41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58" i="10" l="1"/>
  <c r="H57" i="10"/>
  <c r="H56" i="10"/>
  <c r="H55" i="10"/>
  <c r="H60" i="10"/>
  <c r="H59" i="10"/>
  <c r="H54" i="10"/>
  <c r="H53" i="10"/>
  <c r="H52" i="10"/>
  <c r="H51" i="10"/>
  <c r="H50" i="10"/>
  <c r="H49" i="10"/>
  <c r="H48" i="10"/>
  <c r="H47" i="10"/>
  <c r="H46" i="10"/>
  <c r="H45" i="10"/>
  <c r="H44" i="10"/>
  <c r="H21" i="5" l="1"/>
  <c r="H20" i="5"/>
  <c r="H6" i="5" l="1"/>
  <c r="H36" i="5"/>
  <c r="H49" i="5" l="1"/>
  <c r="H54" i="5"/>
  <c r="H9" i="5" l="1"/>
  <c r="H8" i="5"/>
  <c r="H7" i="5"/>
  <c r="H18" i="4" l="1"/>
  <c r="H19" i="4"/>
  <c r="H20" i="4"/>
  <c r="H17" i="4"/>
  <c r="H4" i="5" l="1"/>
  <c r="H3" i="5"/>
  <c r="H43" i="11" l="1"/>
  <c r="H3" i="11"/>
  <c r="H63" i="10"/>
  <c r="H46" i="8"/>
  <c r="H4" i="8"/>
  <c r="H3" i="8"/>
  <c r="H46" i="7"/>
  <c r="H46" i="6"/>
  <c r="H3" i="6"/>
  <c r="H64" i="14" l="1"/>
  <c r="H63" i="14"/>
  <c r="H16" i="3" s="1"/>
  <c r="H62" i="14"/>
  <c r="H61" i="14"/>
  <c r="G16" i="3" s="1"/>
  <c r="H60" i="14"/>
  <c r="H59" i="14"/>
  <c r="H58" i="14"/>
  <c r="H57" i="14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64" i="13"/>
  <c r="H63" i="13"/>
  <c r="H15" i="3" s="1"/>
  <c r="H62" i="13"/>
  <c r="H61" i="13"/>
  <c r="H60" i="13"/>
  <c r="H59" i="13"/>
  <c r="H58" i="13"/>
  <c r="H57" i="13"/>
  <c r="E15" i="3" s="1"/>
  <c r="H54" i="13"/>
  <c r="H53" i="13"/>
  <c r="H52" i="13"/>
  <c r="H51" i="13"/>
  <c r="H50" i="13"/>
  <c r="H49" i="13"/>
  <c r="H48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29" i="13"/>
  <c r="H28" i="13"/>
  <c r="H27" i="13"/>
  <c r="H26" i="13"/>
  <c r="H25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6" i="12"/>
  <c r="H75" i="12"/>
  <c r="H14" i="3" s="1"/>
  <c r="H74" i="12"/>
  <c r="H73" i="12"/>
  <c r="H72" i="12"/>
  <c r="H71" i="12"/>
  <c r="H70" i="12"/>
  <c r="H69" i="12"/>
  <c r="E14" i="3" s="1"/>
  <c r="H29" i="12"/>
  <c r="H28" i="12"/>
  <c r="H27" i="12"/>
  <c r="H26" i="12"/>
  <c r="H25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61" i="11"/>
  <c r="H60" i="11"/>
  <c r="H13" i="3" s="1"/>
  <c r="H59" i="11"/>
  <c r="H58" i="11"/>
  <c r="H57" i="11"/>
  <c r="H56" i="11"/>
  <c r="H55" i="11"/>
  <c r="H54" i="11"/>
  <c r="H51" i="11"/>
  <c r="H50" i="11"/>
  <c r="H49" i="11"/>
  <c r="H48" i="11"/>
  <c r="H47" i="11"/>
  <c r="H46" i="11"/>
  <c r="H45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6" i="11"/>
  <c r="H25" i="11"/>
  <c r="H24" i="11"/>
  <c r="H23" i="11"/>
  <c r="H22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81" i="10"/>
  <c r="H80" i="10"/>
  <c r="H12" i="3" s="1"/>
  <c r="H79" i="10"/>
  <c r="H78" i="10"/>
  <c r="H77" i="10"/>
  <c r="H76" i="10"/>
  <c r="H75" i="10"/>
  <c r="H74" i="10"/>
  <c r="H71" i="10"/>
  <c r="H70" i="10"/>
  <c r="H69" i="10"/>
  <c r="H68" i="10"/>
  <c r="H67" i="10"/>
  <c r="H66" i="10"/>
  <c r="H65" i="10"/>
  <c r="H62" i="10"/>
  <c r="H61" i="10"/>
  <c r="H43" i="10"/>
  <c r="H42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2" i="10"/>
  <c r="H64" i="9"/>
  <c r="H63" i="9"/>
  <c r="H11" i="3" s="1"/>
  <c r="H62" i="9"/>
  <c r="H61" i="9"/>
  <c r="H60" i="9"/>
  <c r="H59" i="9"/>
  <c r="H58" i="9"/>
  <c r="H57" i="9"/>
  <c r="E11" i="3" s="1"/>
  <c r="H54" i="9"/>
  <c r="H53" i="9"/>
  <c r="H52" i="9"/>
  <c r="H51" i="9"/>
  <c r="H50" i="9"/>
  <c r="H49" i="9"/>
  <c r="H48" i="9"/>
  <c r="H45" i="9"/>
  <c r="H44" i="9"/>
  <c r="H43" i="9"/>
  <c r="H42" i="9"/>
  <c r="H41" i="9"/>
  <c r="H40" i="9"/>
  <c r="H39" i="9"/>
  <c r="H38" i="9"/>
  <c r="H37" i="9"/>
  <c r="H36" i="9"/>
  <c r="H35" i="9"/>
  <c r="H29" i="9"/>
  <c r="H28" i="9"/>
  <c r="H27" i="9"/>
  <c r="H26" i="9"/>
  <c r="H25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64" i="8"/>
  <c r="H63" i="8"/>
  <c r="H10" i="3" s="1"/>
  <c r="H62" i="8"/>
  <c r="H61" i="8"/>
  <c r="H60" i="8"/>
  <c r="H59" i="8"/>
  <c r="H58" i="8"/>
  <c r="H57" i="8"/>
  <c r="H54" i="8"/>
  <c r="H53" i="8"/>
  <c r="H52" i="8"/>
  <c r="H51" i="8"/>
  <c r="H50" i="8"/>
  <c r="H49" i="8"/>
  <c r="H48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29" i="8"/>
  <c r="H28" i="8"/>
  <c r="H27" i="8"/>
  <c r="H26" i="8"/>
  <c r="H25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64" i="7"/>
  <c r="H63" i="7"/>
  <c r="H9" i="3" s="1"/>
  <c r="H62" i="7"/>
  <c r="H61" i="7"/>
  <c r="H60" i="7"/>
  <c r="H59" i="7"/>
  <c r="H58" i="7"/>
  <c r="H57" i="7"/>
  <c r="H54" i="7"/>
  <c r="H53" i="7"/>
  <c r="H52" i="7"/>
  <c r="H51" i="7"/>
  <c r="H50" i="7"/>
  <c r="H49" i="7"/>
  <c r="H48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29" i="7"/>
  <c r="H28" i="7"/>
  <c r="H27" i="7"/>
  <c r="H26" i="7"/>
  <c r="H25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64" i="6"/>
  <c r="H63" i="6"/>
  <c r="H8" i="3" s="1"/>
  <c r="H62" i="6"/>
  <c r="H61" i="6"/>
  <c r="H60" i="6"/>
  <c r="H59" i="6"/>
  <c r="H58" i="6"/>
  <c r="H57" i="6"/>
  <c r="H54" i="6"/>
  <c r="H53" i="6"/>
  <c r="H52" i="6"/>
  <c r="H51" i="6"/>
  <c r="H50" i="6"/>
  <c r="H49" i="6"/>
  <c r="H48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29" i="6"/>
  <c r="H28" i="6"/>
  <c r="H27" i="6"/>
  <c r="H26" i="6"/>
  <c r="H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53" i="5"/>
  <c r="H7" i="3" s="1"/>
  <c r="H52" i="5"/>
  <c r="H51" i="5"/>
  <c r="H50" i="5"/>
  <c r="H48" i="5"/>
  <c r="H47" i="5"/>
  <c r="E7" i="3" s="1"/>
  <c r="H44" i="5"/>
  <c r="H43" i="5"/>
  <c r="H42" i="5"/>
  <c r="H41" i="5"/>
  <c r="H40" i="5"/>
  <c r="H39" i="5"/>
  <c r="H38" i="5"/>
  <c r="H18" i="5"/>
  <c r="H17" i="5"/>
  <c r="H16" i="5"/>
  <c r="H15" i="5"/>
  <c r="H14" i="5"/>
  <c r="H12" i="5"/>
  <c r="H11" i="5"/>
  <c r="H10" i="5"/>
  <c r="H5" i="5"/>
  <c r="H57" i="4"/>
  <c r="I31" i="2" s="1"/>
  <c r="H56" i="4"/>
  <c r="I30" i="2" s="1"/>
  <c r="H55" i="4"/>
  <c r="I29" i="2" s="1"/>
  <c r="H54" i="4"/>
  <c r="I28" i="2" s="1"/>
  <c r="H53" i="4"/>
  <c r="I27" i="2" s="1"/>
  <c r="H52" i="4"/>
  <c r="I26" i="2" s="1"/>
  <c r="H51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15" i="4"/>
  <c r="H14" i="4"/>
  <c r="H13" i="4"/>
  <c r="H12" i="4"/>
  <c r="H11" i="4"/>
  <c r="H10" i="4"/>
  <c r="H8" i="4"/>
  <c r="H7" i="4"/>
  <c r="H6" i="4"/>
  <c r="H5" i="4"/>
  <c r="H4" i="4"/>
  <c r="H3" i="4"/>
  <c r="B16" i="3"/>
  <c r="B15" i="3"/>
  <c r="B14" i="3"/>
  <c r="B13" i="3"/>
  <c r="B12" i="3"/>
  <c r="B11" i="3"/>
  <c r="E10" i="3"/>
  <c r="B10" i="3"/>
  <c r="E9" i="3"/>
  <c r="B9" i="3"/>
  <c r="E8" i="3"/>
  <c r="B8" i="3"/>
  <c r="B7" i="3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G7" i="2"/>
  <c r="G9" i="3" l="1"/>
  <c r="G10" i="3"/>
  <c r="F16" i="3"/>
  <c r="H30" i="8"/>
  <c r="G15" i="3"/>
  <c r="H30" i="7"/>
  <c r="H55" i="9"/>
  <c r="H47" i="9"/>
  <c r="H30" i="12"/>
  <c r="H30" i="6"/>
  <c r="H9" i="4"/>
  <c r="F15" i="3"/>
  <c r="G11" i="3"/>
  <c r="F8" i="3"/>
  <c r="G13" i="3"/>
  <c r="H65" i="14"/>
  <c r="E16" i="3"/>
  <c r="F13" i="3"/>
  <c r="F10" i="3"/>
  <c r="G8" i="3"/>
  <c r="G7" i="3"/>
  <c r="H82" i="10"/>
  <c r="I12" i="2"/>
  <c r="E12" i="3"/>
  <c r="I18" i="2"/>
  <c r="H47" i="8"/>
  <c r="H24" i="9"/>
  <c r="H24" i="10"/>
  <c r="H67" i="12"/>
  <c r="H47" i="14"/>
  <c r="H55" i="14"/>
  <c r="H64" i="10"/>
  <c r="G14" i="3"/>
  <c r="H30" i="13"/>
  <c r="I16" i="2"/>
  <c r="H16" i="4"/>
  <c r="I24" i="2" s="1"/>
  <c r="H55" i="8"/>
  <c r="F11" i="3"/>
  <c r="F12" i="3"/>
  <c r="H24" i="12"/>
  <c r="H13" i="5"/>
  <c r="H55" i="5"/>
  <c r="H24" i="6"/>
  <c r="H30" i="9"/>
  <c r="H44" i="11"/>
  <c r="H52" i="11"/>
  <c r="H45" i="5"/>
  <c r="H65" i="6"/>
  <c r="H24" i="7"/>
  <c r="H72" i="10"/>
  <c r="H65" i="7"/>
  <c r="H24" i="8"/>
  <c r="F14" i="3"/>
  <c r="H24" i="13"/>
  <c r="H24" i="14"/>
  <c r="I14" i="2"/>
  <c r="G12" i="3"/>
  <c r="H27" i="11"/>
  <c r="I25" i="2"/>
  <c r="I32" i="2" s="1"/>
  <c r="H58" i="4"/>
  <c r="H65" i="8"/>
  <c r="H65" i="9"/>
  <c r="H65" i="13"/>
  <c r="H17" i="3"/>
  <c r="H19" i="5"/>
  <c r="I15" i="2"/>
  <c r="F7" i="3"/>
  <c r="I19" i="2"/>
  <c r="H47" i="6"/>
  <c r="H55" i="6"/>
  <c r="H47" i="7"/>
  <c r="H55" i="7"/>
  <c r="F9" i="3"/>
  <c r="I13" i="2"/>
  <c r="I17" i="2"/>
  <c r="H47" i="13"/>
  <c r="H55" i="13"/>
  <c r="A7" i="3"/>
  <c r="A8" i="3" s="1"/>
  <c r="A9" i="3" s="1"/>
  <c r="A10" i="3" s="1"/>
  <c r="A11" i="3" s="1"/>
  <c r="A12" i="3" s="1"/>
  <c r="A13" i="3" s="1"/>
  <c r="A14" i="3" s="1"/>
  <c r="A15" i="3" s="1"/>
  <c r="A16" i="3" s="1"/>
  <c r="H49" i="4"/>
  <c r="H37" i="5"/>
  <c r="H30" i="10"/>
  <c r="H21" i="11"/>
  <c r="H62" i="11"/>
  <c r="E13" i="3"/>
  <c r="H77" i="12"/>
  <c r="H30" i="14"/>
  <c r="H85" i="10" l="1"/>
  <c r="H84" i="10"/>
  <c r="H68" i="9"/>
  <c r="H67" i="9"/>
  <c r="H68" i="8"/>
  <c r="H67" i="8"/>
  <c r="H67" i="7"/>
  <c r="H68" i="7"/>
  <c r="H58" i="5"/>
  <c r="H57" i="5"/>
  <c r="H68" i="6"/>
  <c r="H67" i="6"/>
  <c r="H56" i="14"/>
  <c r="D16" i="3" s="1"/>
  <c r="E17" i="3"/>
  <c r="H56" i="9"/>
  <c r="D11" i="3" s="1"/>
  <c r="H56" i="8"/>
  <c r="D10" i="3" s="1"/>
  <c r="H50" i="4"/>
  <c r="I23" i="2" s="1"/>
  <c r="H56" i="13"/>
  <c r="D15" i="3" s="1"/>
  <c r="H53" i="11"/>
  <c r="D13" i="3" s="1"/>
  <c r="H73" i="10"/>
  <c r="D12" i="3" s="1"/>
  <c r="G17" i="3"/>
  <c r="H68" i="12"/>
  <c r="D14" i="3" s="1"/>
  <c r="I8" i="2"/>
  <c r="I9" i="2"/>
  <c r="I20" i="2"/>
  <c r="I36" i="2" s="1"/>
  <c r="H56" i="6"/>
  <c r="I7" i="2"/>
  <c r="H46" i="5"/>
  <c r="I10" i="2"/>
  <c r="J48" i="2" s="1"/>
  <c r="I48" i="2" s="1"/>
  <c r="H56" i="7"/>
  <c r="M16" i="3" l="1"/>
  <c r="D9" i="3"/>
  <c r="D7" i="3"/>
  <c r="J39" i="2"/>
  <c r="I11" i="2"/>
  <c r="I35" i="2" s="1"/>
  <c r="I37" i="2" s="1"/>
  <c r="J47" i="2"/>
  <c r="I47" i="2" s="1"/>
  <c r="I39" i="2" s="1"/>
  <c r="D8" i="3"/>
  <c r="M14" i="3" l="1"/>
  <c r="P14" i="3" s="1"/>
  <c r="M13" i="3"/>
  <c r="P13" i="3" s="1"/>
  <c r="M11" i="3"/>
  <c r="P11" i="3" s="1"/>
  <c r="M10" i="3"/>
  <c r="P10" i="3" s="1"/>
  <c r="H62" i="4"/>
  <c r="I33" i="2"/>
  <c r="I34" i="2" s="1"/>
  <c r="M12" i="3"/>
  <c r="P12" i="3" s="1"/>
  <c r="M15" i="3"/>
  <c r="C33" i="1"/>
  <c r="I41" i="2"/>
  <c r="M8" i="3"/>
  <c r="P8" i="3" s="1"/>
  <c r="D17" i="3"/>
  <c r="I40" i="2"/>
  <c r="M9" i="3"/>
  <c r="P9" i="3" s="1"/>
  <c r="I21" i="2"/>
  <c r="I22" i="2" s="1"/>
  <c r="M7" i="3"/>
  <c r="I42" i="2" l="1"/>
  <c r="P7" i="3"/>
  <c r="F17" i="3"/>
  <c r="P15" i="3"/>
  <c r="M17" i="3"/>
  <c r="P16" i="3"/>
  <c r="P17" i="3" l="1"/>
  <c r="K8" i="3" s="1"/>
  <c r="L15" i="3" l="1"/>
  <c r="L16" i="3"/>
  <c r="K16" i="3"/>
  <c r="I16" i="3"/>
  <c r="J16" i="3" s="1"/>
  <c r="I15" i="3"/>
  <c r="J15" i="3" s="1"/>
  <c r="K15" i="3"/>
  <c r="K14" i="3"/>
  <c r="I14" i="3"/>
  <c r="J14" i="3" s="1"/>
  <c r="L14" i="3"/>
  <c r="L13" i="3"/>
  <c r="K13" i="3"/>
  <c r="I13" i="3"/>
  <c r="J13" i="3" s="1"/>
  <c r="L10" i="3"/>
  <c r="I12" i="3"/>
  <c r="J12" i="3" s="1"/>
  <c r="L11" i="3"/>
  <c r="L9" i="3"/>
  <c r="I10" i="3"/>
  <c r="J10" i="3" s="1"/>
  <c r="K10" i="3"/>
  <c r="L12" i="3"/>
  <c r="K12" i="3"/>
  <c r="I11" i="3"/>
  <c r="J11" i="3" s="1"/>
  <c r="K11" i="3"/>
  <c r="I9" i="3"/>
  <c r="J9" i="3" s="1"/>
  <c r="K9" i="3"/>
  <c r="L8" i="3"/>
  <c r="I8" i="3"/>
  <c r="J8" i="3" s="1"/>
  <c r="L7" i="3"/>
  <c r="K7" i="3"/>
  <c r="I7" i="3"/>
  <c r="N16" i="3" l="1"/>
  <c r="H26" i="1" s="1"/>
  <c r="H66" i="14"/>
  <c r="H69" i="14" s="1"/>
  <c r="N15" i="3"/>
  <c r="E25" i="1" s="1"/>
  <c r="H66" i="13"/>
  <c r="H69" i="13" s="1"/>
  <c r="H78" i="12"/>
  <c r="H81" i="12" s="1"/>
  <c r="N14" i="3"/>
  <c r="E24" i="1" s="1"/>
  <c r="H63" i="11"/>
  <c r="H66" i="11" s="1"/>
  <c r="N13" i="3"/>
  <c r="G23" i="1" s="1"/>
  <c r="H83" i="10"/>
  <c r="H86" i="10" s="1"/>
  <c r="N12" i="3"/>
  <c r="N11" i="3"/>
  <c r="C21" i="1" s="1"/>
  <c r="N10" i="3"/>
  <c r="H20" i="1" s="1"/>
  <c r="H66" i="9"/>
  <c r="H69" i="9" s="1"/>
  <c r="K17" i="3"/>
  <c r="H66" i="8"/>
  <c r="H69" i="8" s="1"/>
  <c r="N9" i="3"/>
  <c r="C19" i="1" s="1"/>
  <c r="H66" i="7"/>
  <c r="H69" i="7" s="1"/>
  <c r="N8" i="3"/>
  <c r="H18" i="1" s="1"/>
  <c r="H66" i="6"/>
  <c r="H69" i="6" s="1"/>
  <c r="L17" i="3"/>
  <c r="J7" i="3"/>
  <c r="N7" i="3" s="1"/>
  <c r="I17" i="3"/>
  <c r="J17" i="3" s="1"/>
  <c r="H56" i="5"/>
  <c r="H59" i="5" s="1"/>
  <c r="G26" i="1" l="1"/>
  <c r="C26" i="1"/>
  <c r="E26" i="1"/>
  <c r="G25" i="1"/>
  <c r="C25" i="1"/>
  <c r="H25" i="1"/>
  <c r="E22" i="1"/>
  <c r="H22" i="1"/>
  <c r="C24" i="1"/>
  <c r="G24" i="1"/>
  <c r="H24" i="1"/>
  <c r="G21" i="1"/>
  <c r="C22" i="1"/>
  <c r="E23" i="1"/>
  <c r="C23" i="1"/>
  <c r="H23" i="1"/>
  <c r="E21" i="1"/>
  <c r="H21" i="1"/>
  <c r="G22" i="1"/>
  <c r="G20" i="1"/>
  <c r="E20" i="1"/>
  <c r="C20" i="1"/>
  <c r="E19" i="1"/>
  <c r="H19" i="1"/>
  <c r="G19" i="1"/>
  <c r="C18" i="1"/>
  <c r="G18" i="1"/>
  <c r="E18" i="1"/>
  <c r="G17" i="1"/>
  <c r="F17" i="1"/>
  <c r="F27" i="1" s="1"/>
  <c r="E17" i="1"/>
  <c r="H17" i="1"/>
  <c r="C17" i="1"/>
  <c r="N17" i="3"/>
  <c r="H27" i="1" l="1"/>
  <c r="E27" i="1"/>
  <c r="G27" i="1"/>
  <c r="N20" i="3"/>
  <c r="E18" i="3"/>
  <c r="M18" i="3"/>
  <c r="D18" i="3"/>
  <c r="H18" i="3"/>
  <c r="J18" i="3"/>
  <c r="I18" i="3"/>
  <c r="L18" i="3"/>
  <c r="K18" i="3"/>
  <c r="N18" i="3"/>
  <c r="G18" i="3"/>
  <c r="F18" i="3"/>
</calcChain>
</file>

<file path=xl/sharedStrings.xml><?xml version="1.0" encoding="utf-8"?>
<sst xmlns="http://schemas.openxmlformats.org/spreadsheetml/2006/main" count="859" uniqueCount="400">
  <si>
    <t>(현대/기아차 설비협력업체 견적통일양식)</t>
    <phoneticPr fontId="2" type="noConversion"/>
  </si>
  <si>
    <t xml:space="preserve">見  積  書   </t>
    <phoneticPr fontId="2" type="noConversion"/>
  </si>
  <si>
    <t>현대 위아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</si>
  <si>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</si>
  <si>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</si>
  <si>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</si>
  <si>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</si>
  <si>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</si>
  <si>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</si>
  <si>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</si>
  <si>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</si>
  <si>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t>연 락 처 :</t>
    <phoneticPr fontId="2" type="noConversion"/>
  </si>
  <si>
    <t>번호</t>
    <phoneticPr fontId="2" type="noConversion"/>
  </si>
  <si>
    <t>상세품목내역</t>
    <phoneticPr fontId="2" type="noConversion"/>
  </si>
  <si>
    <t>비  고</t>
    <phoneticPr fontId="2" type="noConversion"/>
  </si>
  <si>
    <t>수량</t>
    <phoneticPr fontId="2" type="noConversion"/>
  </si>
  <si>
    <t>단위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</si>
  <si>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</si>
  <si>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</si>
  <si>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</si>
  <si>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</si>
  <si>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</si>
  <si>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</si>
  <si>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</si>
  <si>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</si>
  <si>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</si>
  <si>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</si>
  <si>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</si>
  <si>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</si>
  <si>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</si>
  <si>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</si>
  <si>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</si>
  <si>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</si>
  <si>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</si>
  <si>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</si>
  <si>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</si>
  <si>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</si>
  <si>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</si>
  <si>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</si>
  <si>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</si>
  <si>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</si>
  <si>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</si>
  <si>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</si>
  <si>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</si>
  <si>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</si>
  <si>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</si>
  <si>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</si>
  <si>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</si>
  <si>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</si>
  <si>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</si>
  <si>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</si>
  <si>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</si>
  <si>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</si>
  <si>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</si>
  <si>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</si>
  <si>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</si>
  <si>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</si>
  <si>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</si>
  <si>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</si>
  <si>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</si>
  <si>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</si>
  <si>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</si>
  <si>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</si>
  <si>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</si>
  <si>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</si>
  <si>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</si>
  <si>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식</t>
    <phoneticPr fontId="2" type="noConversion"/>
  </si>
  <si>
    <t>설치/해체 공사 자재</t>
    <phoneticPr fontId="2" type="noConversion"/>
  </si>
  <si>
    <t>식</t>
    <phoneticPr fontId="2" type="noConversion"/>
  </si>
  <si>
    <t>노무비</t>
    <phoneticPr fontId="2" type="noConversion"/>
  </si>
  <si>
    <t>철거(개조시)</t>
    <phoneticPr fontId="2" type="noConversion"/>
  </si>
  <si>
    <t>M/D</t>
    <phoneticPr fontId="2" type="noConversion"/>
  </si>
  <si>
    <t>설계,프로그램</t>
    <phoneticPr fontId="2" type="noConversion"/>
  </si>
  <si>
    <t>제작</t>
    <phoneticPr fontId="2" type="noConversion"/>
  </si>
  <si>
    <t>조립</t>
    <phoneticPr fontId="2" type="noConversion"/>
  </si>
  <si>
    <t>M/D</t>
    <phoneticPr fontId="2" type="noConversion"/>
  </si>
  <si>
    <t>설치</t>
    <phoneticPr fontId="2" type="noConversion"/>
  </si>
  <si>
    <t>소계</t>
    <phoneticPr fontId="2" type="noConversion"/>
  </si>
  <si>
    <t>일반관리 및 이윤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</si>
  <si>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</si>
  <si>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</si>
  <si>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</si>
  <si>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</si>
  <si>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</si>
  <si>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</si>
  <si>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</si>
  <si>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</si>
  <si>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</si>
  <si>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</si>
  <si>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</si>
  <si>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</si>
  <si>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</si>
  <si>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</si>
  <si>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</si>
  <si>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</si>
  <si>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</si>
  <si>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</si>
  <si>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</si>
  <si>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</si>
  <si>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</si>
  <si>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</si>
  <si>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</si>
  <si>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</si>
  <si>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</si>
  <si>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</si>
  <si>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</si>
  <si>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일반관리비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</si>
  <si>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</si>
  <si>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</si>
  <si>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</si>
  <si>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</si>
  <si>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</si>
  <si>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</si>
  <si>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</si>
  <si>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</si>
  <si>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</si>
  <si>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</si>
  <si>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</si>
  <si>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</si>
  <si>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</si>
  <si>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</si>
  <si>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비  고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</si>
  <si>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</si>
  <si>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</si>
  <si>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</si>
  <si>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</si>
  <si>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</si>
  <si>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</si>
  <si>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</si>
  <si>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</si>
  <si>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</si>
  <si>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</si>
  <si>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</si>
  <si>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</si>
  <si>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</si>
  <si>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</si>
  <si>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</si>
  <si>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</si>
  <si>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</si>
  <si>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</si>
  <si>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</si>
  <si>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</si>
  <si>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</si>
  <si>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</si>
  <si>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</si>
  <si>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</si>
  <si>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</si>
  <si>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전기 설계/프로그램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</si>
  <si>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</si>
  <si>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</si>
  <si>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</si>
  <si>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</si>
  <si>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</si>
  <si>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</si>
  <si>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</si>
  <si>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</si>
  <si>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</si>
  <si>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</si>
  <si>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</si>
  <si>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</si>
  <si>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</si>
  <si>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</si>
  <si>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</si>
  <si>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</si>
  <si>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</si>
  <si>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</si>
  <si>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</si>
  <si>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</si>
  <si>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</si>
  <si>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</si>
  <si>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</si>
  <si>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</si>
  <si>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</si>
  <si>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</si>
  <si>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</si>
  <si>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</si>
  <si>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</si>
  <si>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</si>
  <si>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</si>
  <si>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</si>
  <si>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</si>
  <si>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</si>
  <si>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</si>
  <si>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</si>
  <si>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</si>
  <si>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</si>
  <si>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</si>
  <si>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</si>
  <si>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</si>
  <si>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</si>
  <si>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</si>
  <si>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</si>
  <si>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</si>
  <si>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</si>
  <si>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</si>
  <si>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</si>
  <si>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</si>
  <si>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</si>
  <si>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</si>
  <si>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</si>
  <si>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</si>
  <si>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</si>
  <si>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</si>
  <si>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</si>
  <si>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</si>
  <si>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</si>
  <si>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</si>
  <si>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</si>
  <si>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</si>
  <si>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</si>
  <si>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</si>
  <si>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</si>
  <si>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</si>
  <si>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</si>
  <si>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</si>
  <si>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</si>
  <si>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</si>
  <si>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</si>
  <si>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</si>
  <si>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</si>
  <si>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</si>
  <si>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</si>
  <si>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</si>
  <si>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</si>
  <si>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</si>
  <si>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</si>
  <si>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</si>
  <si>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</si>
  <si>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</si>
  <si>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</si>
  <si>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</si>
  <si>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</si>
  <si>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</si>
  <si>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</si>
  <si>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</si>
  <si>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</si>
  <si>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</si>
  <si>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</si>
  <si>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</si>
  <si>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</si>
  <si>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</si>
  <si>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</si>
  <si>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</si>
  <si>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</si>
  <si>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</si>
  <si>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</si>
  <si>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</si>
  <si>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</si>
  <si>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</si>
  <si>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</si>
  <si>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</si>
  <si>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</si>
  <si>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</si>
  <si>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</si>
  <si>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</si>
  <si>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</si>
  <si>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</si>
  <si>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</si>
  <si>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</si>
  <si>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</si>
  <si>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</si>
  <si>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</si>
  <si>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</si>
  <si>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</si>
  <si>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</si>
  <si>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</si>
  <si>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</si>
  <si>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</si>
  <si>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</si>
  <si>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</si>
  <si>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</si>
  <si>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</si>
  <si>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㈜지이엠</t>
  </si>
  <si>
    <t>대표 : 송 칠 영 (인)</t>
    <phoneticPr fontId="2" type="noConversion"/>
  </si>
  <si>
    <t xml:space="preserve">주소 : 경남 창원시 성산구 </t>
    <phoneticPr fontId="2" type="noConversion"/>
  </si>
  <si>
    <t xml:space="preserve">         성산패총로24번길 1</t>
    <phoneticPr fontId="2" type="noConversion"/>
  </si>
  <si>
    <t>전화: 055-282-9488</t>
    <phoneticPr fontId="2" type="noConversion"/>
  </si>
  <si>
    <t>Fax: 055-282-9484 / 9490</t>
    <phoneticPr fontId="2" type="noConversion"/>
  </si>
  <si>
    <t>견적담당:</t>
    <phoneticPr fontId="2" type="noConversion"/>
  </si>
  <si>
    <t>정대헌부장</t>
    <phoneticPr fontId="2" type="noConversion"/>
  </si>
  <si>
    <t>010-3452-0737</t>
    <phoneticPr fontId="2" type="noConversion"/>
  </si>
  <si>
    <t>견적일로부터30일</t>
    <phoneticPr fontId="2" type="noConversion"/>
  </si>
  <si>
    <t>현대위아 공장</t>
    <phoneticPr fontId="2" type="noConversion"/>
  </si>
  <si>
    <t>현대위아 기준</t>
    <phoneticPr fontId="2" type="noConversion"/>
  </si>
  <si>
    <t>식</t>
  </si>
  <si>
    <t>기타자재</t>
  </si>
  <si>
    <t>기계부분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</si>
  <si>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</si>
  <si>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</si>
  <si>
    <t>식</t>
    <phoneticPr fontId="2" type="noConversion"/>
  </si>
  <si>
    <t>■FRAME류</t>
  </si>
  <si>
    <t>제관,가공</t>
  </si>
  <si>
    <t>■BASE 류</t>
  </si>
  <si>
    <t>가공</t>
  </si>
  <si>
    <t>■각종 COVER류</t>
  </si>
  <si>
    <t>■일반 부품류</t>
  </si>
  <si>
    <t>판금품,가공품</t>
  </si>
  <si>
    <t>■정도 부품류</t>
  </si>
  <si>
    <t>가공품</t>
  </si>
  <si>
    <t>■일반 자재류</t>
  </si>
  <si>
    <t xml:space="preserve">  F.R.L Unit</t>
  </si>
  <si>
    <t xml:space="preserve">  Shut off Valve</t>
  </si>
  <si>
    <t xml:space="preserve">  Manifold</t>
  </si>
  <si>
    <t xml:space="preserve">  Speed Con.</t>
  </si>
  <si>
    <t xml:space="preserve">  배관자재</t>
  </si>
  <si>
    <t xml:space="preserve">  잡자재</t>
  </si>
  <si>
    <t>기타</t>
    <phoneticPr fontId="2" type="noConversion"/>
  </si>
  <si>
    <t>(유공압품외)</t>
    <phoneticPr fontId="2" type="noConversion"/>
  </si>
  <si>
    <t xml:space="preserve"> </t>
    <phoneticPr fontId="2" type="noConversion"/>
  </si>
  <si>
    <t>허버베어링 에어블로잉 공정 추가</t>
    <phoneticPr fontId="2" type="noConversion"/>
  </si>
  <si>
    <t>집진기</t>
    <phoneticPr fontId="2" type="noConversion"/>
  </si>
  <si>
    <t>식</t>
    <phoneticPr fontId="2" type="noConversion"/>
  </si>
  <si>
    <t>기타자재</t>
    <phoneticPr fontId="2" type="noConversion"/>
  </si>
  <si>
    <t>기타 구입품</t>
    <phoneticPr fontId="2" type="noConversion"/>
  </si>
  <si>
    <t>식</t>
    <phoneticPr fontId="2" type="noConversion"/>
  </si>
  <si>
    <t>식</t>
    <phoneticPr fontId="2" type="noConversion"/>
  </si>
  <si>
    <t>에어블로우 공정 추가</t>
    <phoneticPr fontId="2" type="noConversion"/>
  </si>
  <si>
    <t>허버볼트 이종사양 검출</t>
    <phoneticPr fontId="2" type="noConversion"/>
  </si>
  <si>
    <t>기타</t>
    <phoneticPr fontId="2" type="noConversion"/>
  </si>
  <si>
    <t>■이종검출부</t>
    <phoneticPr fontId="2" type="noConversion"/>
  </si>
  <si>
    <t xml:space="preserve">  검출센스</t>
    <phoneticPr fontId="2" type="noConversion"/>
  </si>
  <si>
    <t>ZX1 변위센스</t>
    <phoneticPr fontId="2" type="noConversion"/>
  </si>
  <si>
    <t>OMRON</t>
    <phoneticPr fontId="2" type="noConversion"/>
  </si>
  <si>
    <t>기타자재</t>
    <phoneticPr fontId="2" type="noConversion"/>
  </si>
  <si>
    <t>식</t>
    <phoneticPr fontId="2" type="noConversion"/>
  </si>
  <si>
    <t>허브볼트이종사양검출</t>
    <phoneticPr fontId="2" type="noConversion"/>
  </si>
  <si>
    <t>허버베어링 2D리딩추가</t>
    <phoneticPr fontId="2" type="noConversion"/>
  </si>
  <si>
    <t>기타자재</t>
    <phoneticPr fontId="2" type="noConversion"/>
  </si>
  <si>
    <t>■2D 리더</t>
    <phoneticPr fontId="2" type="noConversion"/>
  </si>
  <si>
    <t>SR-2000</t>
    <phoneticPr fontId="2" type="noConversion"/>
  </si>
  <si>
    <t>KEYENCE</t>
    <phoneticPr fontId="2" type="noConversion"/>
  </si>
  <si>
    <r>
      <t xml:space="preserve">허버베어링 </t>
    </r>
    <r>
      <rPr>
        <sz val="11"/>
        <rFont val="굴림"/>
        <family val="3"/>
        <charset val="129"/>
      </rPr>
      <t>2D바코드추가</t>
    </r>
    <phoneticPr fontId="2" type="noConversion"/>
  </si>
  <si>
    <t>허버베어링 센트링디바이스추가</t>
    <phoneticPr fontId="2" type="noConversion"/>
  </si>
  <si>
    <t>■일반 부품류</t>
    <phoneticPr fontId="2" type="noConversion"/>
  </si>
  <si>
    <t>기타 가공물</t>
    <phoneticPr fontId="2" type="noConversion"/>
  </si>
  <si>
    <t>센트링 디바이스</t>
    <phoneticPr fontId="2" type="noConversion"/>
  </si>
  <si>
    <t>모비코 7톤</t>
    <phoneticPr fontId="2" type="noConversion"/>
  </si>
  <si>
    <t>이너레이스 자동박스 2D 바코드 리더기 추가</t>
    <phoneticPr fontId="2" type="noConversion"/>
  </si>
  <si>
    <t>■TRAY 및 BOX</t>
    <phoneticPr fontId="2" type="noConversion"/>
  </si>
  <si>
    <t>■2D BARCODE부</t>
    <phoneticPr fontId="2" type="noConversion"/>
  </si>
  <si>
    <t xml:space="preserve">  2D BARCODE</t>
    <phoneticPr fontId="2" type="noConversion"/>
  </si>
  <si>
    <t xml:space="preserve">  1축동작부</t>
    <phoneticPr fontId="2" type="noConversion"/>
  </si>
  <si>
    <t>이너레이스 2D바코드추가</t>
    <phoneticPr fontId="2" type="noConversion"/>
  </si>
  <si>
    <t>I/B 모니트링 장치 추가</t>
    <phoneticPr fontId="2" type="noConversion"/>
  </si>
  <si>
    <t>I/B모니터링 장치 추가</t>
    <phoneticPr fontId="2" type="noConversion"/>
  </si>
  <si>
    <t>I/B저상리프트 추가</t>
    <phoneticPr fontId="2" type="noConversion"/>
  </si>
  <si>
    <t>저상리프트</t>
    <phoneticPr fontId="2" type="noConversion"/>
  </si>
  <si>
    <t>드레그토크 측정기</t>
    <phoneticPr fontId="2" type="noConversion"/>
  </si>
  <si>
    <t>■OP BOX</t>
    <phoneticPr fontId="2" type="noConversion"/>
  </si>
  <si>
    <t>■치구류</t>
    <phoneticPr fontId="2" type="noConversion"/>
  </si>
  <si>
    <t>■상하 1축</t>
    <phoneticPr fontId="2" type="noConversion"/>
  </si>
  <si>
    <t xml:space="preserve">  #상하실린더</t>
    <phoneticPr fontId="2" type="noConversion"/>
  </si>
  <si>
    <t xml:space="preserve">  #LM GUIDE</t>
    <phoneticPr fontId="2" type="noConversion"/>
  </si>
  <si>
    <t xml:space="preserve">  #센스류</t>
    <phoneticPr fontId="2" type="noConversion"/>
  </si>
  <si>
    <t xml:space="preserve">  #기타(케이블베어등)</t>
    <phoneticPr fontId="2" type="noConversion"/>
  </si>
  <si>
    <t>■측정부</t>
    <phoneticPr fontId="2" type="noConversion"/>
  </si>
  <si>
    <t xml:space="preserve">  #인덕션모타</t>
    <phoneticPr fontId="2" type="noConversion"/>
  </si>
  <si>
    <t xml:space="preserve">  #베어링류</t>
    <phoneticPr fontId="2" type="noConversion"/>
  </si>
  <si>
    <t xml:space="preserve">  #그리퍼 실린더</t>
    <phoneticPr fontId="2" type="noConversion"/>
  </si>
  <si>
    <t xml:space="preserve">  #수동 토로크센스</t>
    <phoneticPr fontId="2" type="noConversion"/>
  </si>
  <si>
    <t>다이얼 게이지 포함</t>
    <phoneticPr fontId="2" type="noConversion"/>
  </si>
  <si>
    <t>스프링</t>
    <phoneticPr fontId="2" type="noConversion"/>
  </si>
  <si>
    <t>■장착부</t>
    <phoneticPr fontId="2" type="noConversion"/>
  </si>
  <si>
    <t xml:space="preserve">  #소재 클램프</t>
    <phoneticPr fontId="2" type="noConversion"/>
  </si>
  <si>
    <t>실린더</t>
    <phoneticPr fontId="2" type="noConversion"/>
  </si>
  <si>
    <t>드레그토크측정기</t>
    <phoneticPr fontId="2" type="noConversion"/>
  </si>
  <si>
    <t>RG3공유 리툴링</t>
    <phoneticPr fontId="2" type="noConversion"/>
  </si>
  <si>
    <t>가공품(PALLETS)</t>
    <phoneticPr fontId="2" type="noConversion"/>
  </si>
  <si>
    <t xml:space="preserve">  HOLDER</t>
    <phoneticPr fontId="2" type="noConversion"/>
  </si>
  <si>
    <t>수정-&gt;신규</t>
    <phoneticPr fontId="2" type="noConversion"/>
  </si>
  <si>
    <t>EA</t>
    <phoneticPr fontId="2" type="noConversion"/>
  </si>
  <si>
    <t xml:space="preserve">  EV용 장착 지그</t>
    <phoneticPr fontId="2" type="noConversion"/>
  </si>
  <si>
    <t>신규</t>
    <phoneticPr fontId="2" type="noConversion"/>
  </si>
  <si>
    <t xml:space="preserve">  RG3 장착 지그</t>
    <phoneticPr fontId="2" type="noConversion"/>
  </si>
  <si>
    <t xml:space="preserve">  RG3 세레이션 지그</t>
    <phoneticPr fontId="2" type="noConversion"/>
  </si>
  <si>
    <t>기타자재</t>
    <phoneticPr fontId="2" type="noConversion"/>
  </si>
  <si>
    <t>식</t>
    <phoneticPr fontId="2" type="noConversion"/>
  </si>
  <si>
    <t>인덱스부란저</t>
    <phoneticPr fontId="2" type="noConversion"/>
  </si>
  <si>
    <t>■비젼시스템</t>
  </si>
  <si>
    <t>■좌우1축</t>
  </si>
  <si>
    <t>기타</t>
  </si>
  <si>
    <t>1600 X 1400 컬러</t>
  </si>
  <si>
    <t>실린더</t>
  </si>
  <si>
    <t>■PROXIMITY SENSOR</t>
  </si>
  <si>
    <t>EA</t>
  </si>
  <si>
    <t>스토퍼링비젼대응</t>
    <phoneticPr fontId="2" type="noConversion"/>
  </si>
  <si>
    <t>■PLC구매품</t>
  </si>
  <si>
    <t>PLC등</t>
  </si>
  <si>
    <t>■PC구매품</t>
  </si>
  <si>
    <t>PC등</t>
  </si>
  <si>
    <t>■PC P/G</t>
  </si>
  <si>
    <t>잡자재</t>
    <phoneticPr fontId="2" type="noConversion"/>
  </si>
  <si>
    <t>잡자재</t>
    <phoneticPr fontId="2" type="noConversion"/>
  </si>
  <si>
    <t>터치등</t>
    <phoneticPr fontId="2" type="noConversion"/>
  </si>
  <si>
    <t>PLC등</t>
    <phoneticPr fontId="2" type="noConversion"/>
  </si>
  <si>
    <t>스토퍼링 P/FROOF</t>
    <phoneticPr fontId="2" type="noConversion"/>
  </si>
  <si>
    <t>식</t>
    <phoneticPr fontId="2" type="noConversion"/>
  </si>
  <si>
    <t>견적금액: 一金이억삼천칠백칠십만원整(\237,700,000    )</t>
    <phoneticPr fontId="2" type="noConversion"/>
  </si>
  <si>
    <t>GD1_201210-001</t>
    <phoneticPr fontId="2" type="noConversion"/>
  </si>
  <si>
    <t>견적금액 (천원)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</si>
</sst>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sz val="11"/>
      <color rgb="FFFF0000"/>
      <name val="굴림"/>
      <family val="3"/>
      <charset val="129"/>
    </font>
    <font>
      <strike/>
      <sz val="11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3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51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right" vertical="center"/>
    </xf>
    <xf numFmtId="0" fontId="1" fillId="0" borderId="16" xfId="0" applyFont="1" applyFill="1" applyBorder="1" applyAlignment="1">
      <alignment vertical="center"/>
    </xf>
    <xf numFmtId="176" fontId="1" fillId="0" borderId="19" xfId="0" applyNumberFormat="1" applyFont="1" applyFill="1" applyBorder="1" applyAlignment="1">
      <alignment horizontal="right" vertical="center"/>
    </xf>
    <xf numFmtId="0" fontId="0" fillId="0" borderId="20" xfId="0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176" fontId="1" fillId="0" borderId="24" xfId="0" applyNumberFormat="1" applyFont="1" applyFill="1" applyBorder="1" applyAlignment="1">
      <alignment horizontal="right" vertical="center"/>
    </xf>
    <xf numFmtId="0" fontId="0" fillId="0" borderId="25" xfId="0" applyFill="1" applyBorder="1" applyAlignment="1">
      <alignment vertical="center"/>
    </xf>
    <xf numFmtId="176" fontId="1" fillId="0" borderId="26" xfId="0" applyNumberFormat="1" applyFont="1" applyFill="1" applyBorder="1" applyAlignment="1">
      <alignment horizontal="right" vertical="center"/>
    </xf>
    <xf numFmtId="176" fontId="1" fillId="0" borderId="23" xfId="0" applyNumberFormat="1" applyFont="1" applyFill="1" applyBorder="1" applyAlignment="1">
      <alignment horizontal="right" vertical="center"/>
    </xf>
    <xf numFmtId="0" fontId="1" fillId="0" borderId="27" xfId="0" applyFont="1" applyFill="1" applyBorder="1" applyAlignment="1">
      <alignment vertical="center"/>
    </xf>
    <xf numFmtId="176" fontId="1" fillId="0" borderId="31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12" fillId="3" borderId="3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33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4" fillId="0" borderId="0" xfId="0" applyNumberFormat="1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vertical="center"/>
    </xf>
    <xf numFmtId="3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/>
    </xf>
    <xf numFmtId="4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9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179" fontId="1" fillId="0" borderId="50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179" fontId="1" fillId="0" borderId="56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3" fillId="0" borderId="60" xfId="0" applyNumberFormat="1" applyFont="1" applyFill="1" applyBorder="1" applyAlignment="1">
      <alignment horizontal="center" vertical="center"/>
    </xf>
    <xf numFmtId="179" fontId="1" fillId="0" borderId="60" xfId="0" applyNumberFormat="1" applyFont="1" applyFill="1" applyBorder="1" applyAlignment="1">
      <alignment horizontal="right" vertical="center"/>
    </xf>
    <xf numFmtId="179" fontId="1" fillId="0" borderId="60" xfId="0" applyNumberFormat="1" applyFont="1" applyFill="1" applyBorder="1" applyAlignment="1">
      <alignment vertical="center"/>
    </xf>
    <xf numFmtId="3" fontId="1" fillId="0" borderId="61" xfId="0" applyNumberFormat="1" applyFont="1" applyFill="1" applyBorder="1" applyAlignment="1">
      <alignment vertical="center"/>
    </xf>
    <xf numFmtId="3" fontId="1" fillId="0" borderId="3" xfId="0" applyNumberFormat="1" applyFont="1" applyFill="1" applyBorder="1" applyAlignment="1">
      <alignment horizontal="center" vertical="center"/>
    </xf>
    <xf numFmtId="3" fontId="13" fillId="0" borderId="3" xfId="0" applyNumberFormat="1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right" vertical="center"/>
    </xf>
    <xf numFmtId="179" fontId="1" fillId="0" borderId="3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179" fontId="1" fillId="0" borderId="3" xfId="0" applyNumberFormat="1" applyFont="1" applyFill="1" applyBorder="1" applyAlignment="1">
      <alignment horizontal="right" vertical="center"/>
    </xf>
    <xf numFmtId="3" fontId="0" fillId="4" borderId="3" xfId="0" applyNumberFormat="1" applyFill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right" vertical="center"/>
    </xf>
    <xf numFmtId="179" fontId="1" fillId="4" borderId="3" xfId="0" applyNumberFormat="1" applyFont="1" applyFill="1" applyBorder="1" applyAlignment="1">
      <alignment vertical="center"/>
    </xf>
    <xf numFmtId="3" fontId="0" fillId="0" borderId="62" xfId="0" applyNumberFormat="1" applyFill="1" applyBorder="1" applyAlignment="1">
      <alignment vertical="center"/>
    </xf>
    <xf numFmtId="3" fontId="1" fillId="0" borderId="64" xfId="0" applyNumberFormat="1" applyFont="1" applyFill="1" applyBorder="1" applyAlignment="1">
      <alignment horizontal="center" vertical="center"/>
    </xf>
    <xf numFmtId="179" fontId="5" fillId="0" borderId="3" xfId="0" applyNumberFormat="1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3" fontId="1" fillId="0" borderId="66" xfId="0" applyNumberFormat="1" applyFont="1" applyFill="1" applyBorder="1" applyAlignment="1">
      <alignment horizontal="center" vertical="center"/>
    </xf>
    <xf numFmtId="179" fontId="5" fillId="0" borderId="67" xfId="0" applyNumberFormat="1" applyFont="1" applyFill="1" applyBorder="1" applyAlignment="1">
      <alignment vertical="center"/>
    </xf>
    <xf numFmtId="3" fontId="1" fillId="0" borderId="68" xfId="0" applyNumberFormat="1" applyFont="1" applyFill="1" applyBorder="1" applyAlignment="1">
      <alignment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179" fontId="5" fillId="0" borderId="26" xfId="0" applyNumberFormat="1" applyFont="1" applyFill="1" applyBorder="1" applyAlignment="1">
      <alignment vertical="center"/>
    </xf>
    <xf numFmtId="3" fontId="1" fillId="0" borderId="72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horizontal="center" vertical="center"/>
    </xf>
    <xf numFmtId="3" fontId="13" fillId="0" borderId="73" xfId="0" applyNumberFormat="1" applyFont="1" applyFill="1" applyBorder="1" applyAlignment="1">
      <alignment horizontal="center" vertical="center"/>
    </xf>
    <xf numFmtId="179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vertical="center"/>
    </xf>
    <xf numFmtId="3" fontId="13" fillId="4" borderId="60" xfId="0" applyNumberFormat="1" applyFont="1" applyFill="1" applyBorder="1" applyAlignment="1">
      <alignment horizontal="center" vertical="center"/>
    </xf>
    <xf numFmtId="179" fontId="1" fillId="4" borderId="60" xfId="0" applyNumberFormat="1" applyFont="1" applyFill="1" applyBorder="1" applyAlignment="1">
      <alignment vertical="center"/>
    </xf>
    <xf numFmtId="179" fontId="5" fillId="0" borderId="73" xfId="0" applyNumberFormat="1" applyFont="1" applyFill="1" applyBorder="1" applyAlignment="1">
      <alignment vertical="center"/>
    </xf>
    <xf numFmtId="179" fontId="5" fillId="0" borderId="12" xfId="0" applyNumberFormat="1" applyFont="1" applyFill="1" applyBorder="1" applyAlignment="1">
      <alignment vertical="center"/>
    </xf>
    <xf numFmtId="3" fontId="1" fillId="0" borderId="79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horizontal="center" vertical="center"/>
    </xf>
    <xf numFmtId="179" fontId="5" fillId="3" borderId="85" xfId="0" applyNumberFormat="1" applyFont="1" applyFill="1" applyBorder="1" applyAlignment="1">
      <alignment vertical="center"/>
    </xf>
    <xf numFmtId="3" fontId="1" fillId="0" borderId="21" xfId="0" applyNumberFormat="1" applyFont="1" applyFill="1" applyBorder="1" applyAlignment="1">
      <alignment vertical="center"/>
    </xf>
    <xf numFmtId="3" fontId="1" fillId="0" borderId="19" xfId="0" applyNumberFormat="1" applyFont="1" applyFill="1" applyBorder="1" applyAlignment="1">
      <alignment horizontal="center" vertical="center"/>
    </xf>
    <xf numFmtId="179" fontId="5" fillId="0" borderId="60" xfId="0" applyNumberFormat="1" applyFont="1" applyFill="1" applyBorder="1" applyAlignment="1">
      <alignment vertical="center"/>
    </xf>
    <xf numFmtId="3" fontId="13" fillId="4" borderId="62" xfId="0" applyNumberFormat="1" applyFont="1" applyFill="1" applyBorder="1" applyAlignment="1">
      <alignment vertical="center" wrapText="1"/>
    </xf>
    <xf numFmtId="10" fontId="1" fillId="0" borderId="0" xfId="0" applyNumberFormat="1" applyFont="1" applyFill="1" applyAlignment="1">
      <alignment vertical="center"/>
    </xf>
    <xf numFmtId="3" fontId="1" fillId="0" borderId="86" xfId="0" applyNumberFormat="1" applyFont="1" applyFill="1" applyBorder="1" applyAlignment="1">
      <alignment horizontal="center" vertical="center"/>
    </xf>
    <xf numFmtId="3" fontId="1" fillId="0" borderId="87" xfId="0" applyNumberFormat="1" applyFont="1" applyFill="1" applyBorder="1" applyAlignment="1">
      <alignment horizontal="left" vertical="center"/>
    </xf>
    <xf numFmtId="179" fontId="5" fillId="0" borderId="89" xfId="0" applyNumberFormat="1" applyFont="1" applyFill="1" applyBorder="1" applyAlignment="1">
      <alignment vertical="center"/>
    </xf>
    <xf numFmtId="3" fontId="1" fillId="0" borderId="91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4" borderId="3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6" fontId="0" fillId="0" borderId="101" xfId="0" applyNumberFormat="1" applyBorder="1" applyAlignment="1">
      <alignment horizontal="center" vertical="center"/>
    </xf>
    <xf numFmtId="176" fontId="0" fillId="0" borderId="101" xfId="0" applyNumberFormat="1" applyFill="1" applyBorder="1" applyAlignment="1">
      <alignment horizontal="left" vertical="center"/>
    </xf>
    <xf numFmtId="176" fontId="0" fillId="0" borderId="101" xfId="0" applyNumberFormat="1" applyFill="1" applyBorder="1" applyAlignment="1">
      <alignment horizontal="center" vertical="center"/>
    </xf>
    <xf numFmtId="176" fontId="20" fillId="0" borderId="102" xfId="0" applyNumberFormat="1" applyFont="1" applyFill="1" applyBorder="1" applyAlignment="1">
      <alignment vertical="center"/>
    </xf>
    <xf numFmtId="176" fontId="20" fillId="0" borderId="103" xfId="0" applyNumberFormat="1" applyFont="1" applyFill="1" applyBorder="1" applyAlignment="1">
      <alignment vertical="center"/>
    </xf>
    <xf numFmtId="176" fontId="20" fillId="0" borderId="104" xfId="0" applyNumberFormat="1" applyFont="1" applyFill="1" applyBorder="1" applyAlignment="1">
      <alignment vertical="center"/>
    </xf>
    <xf numFmtId="176" fontId="1" fillId="0" borderId="105" xfId="0" applyNumberFormat="1" applyFont="1" applyFill="1" applyBorder="1" applyAlignment="1">
      <alignment vertical="center"/>
    </xf>
    <xf numFmtId="176" fontId="1" fillId="0" borderId="103" xfId="0" applyNumberFormat="1" applyFont="1" applyFill="1" applyBorder="1" applyAlignment="1">
      <alignment vertical="center"/>
    </xf>
    <xf numFmtId="176" fontId="0" fillId="0" borderId="106" xfId="0" applyNumberFormat="1" applyFill="1" applyBorder="1" applyAlignment="1">
      <alignment vertical="center"/>
    </xf>
    <xf numFmtId="176" fontId="0" fillId="0" borderId="107" xfId="0" applyNumberFormat="1" applyBorder="1" applyAlignment="1">
      <alignment vertical="center"/>
    </xf>
    <xf numFmtId="176" fontId="0" fillId="0" borderId="108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6" xfId="0" applyNumberFormat="1" applyFill="1" applyBorder="1" applyAlignment="1">
      <alignment horizontal="left" vertical="center"/>
    </xf>
    <xf numFmtId="176" fontId="0" fillId="0" borderId="16" xfId="0" applyNumberFormat="1" applyFill="1" applyBorder="1" applyAlignment="1">
      <alignment horizontal="center" vertical="center"/>
    </xf>
    <xf numFmtId="176" fontId="20" fillId="0" borderId="19" xfId="0" applyNumberFormat="1" applyFont="1" applyFill="1" applyBorder="1" applyAlignment="1">
      <alignment vertical="center"/>
    </xf>
    <xf numFmtId="176" fontId="20" fillId="0" borderId="3" xfId="0" applyNumberFormat="1" applyFont="1" applyFill="1" applyBorder="1" applyAlignment="1">
      <alignment vertical="center"/>
    </xf>
    <xf numFmtId="176" fontId="20" fillId="0" borderId="62" xfId="0" applyNumberFormat="1" applyFont="1" applyFill="1" applyBorder="1" applyAlignment="1">
      <alignment vertical="center"/>
    </xf>
    <xf numFmtId="176" fontId="1" fillId="0" borderId="64" xfId="0" applyNumberFormat="1" applyFont="1" applyFill="1" applyBorder="1" applyAlignment="1">
      <alignment vertical="center"/>
    </xf>
    <xf numFmtId="176" fontId="1" fillId="0" borderId="3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18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27" xfId="0" applyNumberFormat="1" applyFill="1" applyBorder="1" applyAlignment="1">
      <alignment horizontal="center" vertical="center"/>
    </xf>
    <xf numFmtId="176" fontId="0" fillId="0" borderId="27" xfId="0" applyNumberFormat="1" applyFill="1" applyBorder="1" applyAlignment="1">
      <alignment horizontal="left" vertical="center"/>
    </xf>
    <xf numFmtId="176" fontId="20" fillId="0" borderId="24" xfId="0" applyNumberFormat="1" applyFont="1" applyFill="1" applyBorder="1" applyAlignment="1">
      <alignment vertical="center"/>
    </xf>
    <xf numFmtId="176" fontId="20" fillId="0" borderId="26" xfId="0" applyNumberFormat="1" applyFont="1" applyFill="1" applyBorder="1" applyAlignment="1">
      <alignment vertical="center"/>
    </xf>
    <xf numFmtId="176" fontId="20" fillId="0" borderId="72" xfId="0" applyNumberFormat="1" applyFont="1" applyFill="1" applyBorder="1" applyAlignment="1">
      <alignment vertical="center"/>
    </xf>
    <xf numFmtId="176" fontId="1" fillId="0" borderId="71" xfId="0" applyNumberFormat="1" applyFont="1" applyFill="1" applyBorder="1" applyAlignment="1">
      <alignment vertical="center"/>
    </xf>
    <xf numFmtId="176" fontId="1" fillId="0" borderId="26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23" xfId="0" applyNumberFormat="1" applyFill="1" applyBorder="1" applyAlignment="1">
      <alignment vertical="center"/>
    </xf>
    <xf numFmtId="176" fontId="20" fillId="0" borderId="47" xfId="0" applyNumberFormat="1" applyFont="1" applyBorder="1" applyAlignment="1">
      <alignment vertical="center"/>
    </xf>
    <xf numFmtId="176" fontId="20" fillId="0" borderId="50" xfId="0" applyNumberFormat="1" applyFont="1" applyBorder="1" applyAlignment="1">
      <alignment vertical="center"/>
    </xf>
    <xf numFmtId="176" fontId="20" fillId="0" borderId="51" xfId="0" applyNumberFormat="1" applyFont="1" applyBorder="1" applyAlignment="1">
      <alignment vertical="center"/>
    </xf>
    <xf numFmtId="176" fontId="5" fillId="0" borderId="49" xfId="0" applyNumberFormat="1" applyFont="1" applyBorder="1" applyAlignment="1">
      <alignment vertical="center"/>
    </xf>
    <xf numFmtId="176" fontId="5" fillId="0" borderId="50" xfId="0" applyNumberFormat="1" applyFont="1" applyFill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92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13" fillId="0" borderId="42" xfId="0" applyNumberFormat="1" applyFont="1" applyBorder="1" applyAlignment="1">
      <alignment horizontal="center" vertical="center"/>
    </xf>
    <xf numFmtId="176" fontId="13" fillId="0" borderId="43" xfId="0" applyNumberFormat="1" applyFont="1" applyBorder="1" applyAlignment="1">
      <alignment horizontal="center" vertical="center"/>
    </xf>
    <xf numFmtId="176" fontId="13" fillId="0" borderId="44" xfId="0" applyNumberFormat="1" applyFont="1" applyBorder="1" applyAlignment="1">
      <alignment horizontal="center" vertical="center"/>
    </xf>
    <xf numFmtId="9" fontId="21" fillId="0" borderId="69" xfId="0" applyNumberFormat="1" applyFont="1" applyBorder="1" applyAlignment="1">
      <alignment vertical="center"/>
    </xf>
    <xf numFmtId="9" fontId="21" fillId="0" borderId="25" xfId="0" applyNumberFormat="1" applyFont="1" applyBorder="1" applyAlignment="1">
      <alignment vertical="center"/>
    </xf>
    <xf numFmtId="9" fontId="21" fillId="0" borderId="114" xfId="0" applyNumberFormat="1" applyFont="1" applyBorder="1" applyAlignment="1">
      <alignment vertical="center"/>
    </xf>
    <xf numFmtId="9" fontId="13" fillId="0" borderId="115" xfId="0" applyNumberFormat="1" applyFont="1" applyBorder="1" applyAlignment="1">
      <alignment vertical="center"/>
    </xf>
    <xf numFmtId="9" fontId="13" fillId="0" borderId="25" xfId="0" applyNumberFormat="1" applyFont="1" applyFill="1" applyBorder="1" applyAlignment="1">
      <alignment vertical="center"/>
    </xf>
    <xf numFmtId="9" fontId="13" fillId="0" borderId="25" xfId="0" applyNumberFormat="1" applyFont="1" applyBorder="1" applyAlignment="1">
      <alignment vertical="center"/>
    </xf>
    <xf numFmtId="9" fontId="13" fillId="0" borderId="116" xfId="0" applyNumberFormat="1" applyFont="1" applyBorder="1" applyAlignment="1">
      <alignment vertical="center"/>
    </xf>
    <xf numFmtId="9" fontId="13" fillId="0" borderId="117" xfId="0" applyNumberFormat="1" applyFont="1" applyBorder="1" applyAlignment="1">
      <alignment vertical="center"/>
    </xf>
    <xf numFmtId="176" fontId="13" fillId="0" borderId="44" xfId="0" applyNumberFormat="1" applyFont="1" applyBorder="1" applyAlignment="1">
      <alignment vertical="center"/>
    </xf>
    <xf numFmtId="176" fontId="13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41" fontId="22" fillId="0" borderId="0" xfId="0" applyNumberFormat="1" applyFont="1" applyAlignment="1">
      <alignment vertical="center"/>
    </xf>
    <xf numFmtId="179" fontId="23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80" fontId="24" fillId="0" borderId="43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2" borderId="118" xfId="0" applyNumberForma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1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0" xfId="0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/>
    </xf>
    <xf numFmtId="176" fontId="0" fillId="6" borderId="4" xfId="0" applyNumberFormat="1" applyFill="1" applyBorder="1" applyAlignment="1">
      <alignment vertical="center"/>
    </xf>
    <xf numFmtId="176" fontId="0" fillId="6" borderId="30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28" xfId="0" applyFill="1" applyBorder="1" applyAlignment="1">
      <alignment horizontal="center" vertical="center"/>
    </xf>
    <xf numFmtId="176" fontId="0" fillId="2" borderId="7" xfId="0" applyNumberFormat="1" applyFill="1" applyBorder="1" applyAlignment="1">
      <alignment vertical="center"/>
    </xf>
    <xf numFmtId="176" fontId="0" fillId="0" borderId="30" xfId="0" applyNumberFormat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0" borderId="37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2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176" fontId="0" fillId="0" borderId="28" xfId="0" applyNumberFormat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176" fontId="23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41" xfId="0" applyNumberFormat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3" fontId="0" fillId="0" borderId="56" xfId="0" applyNumberFormat="1" applyFont="1" applyFill="1" applyBorder="1" applyAlignment="1">
      <alignment horizontal="center" vertical="center"/>
    </xf>
    <xf numFmtId="0" fontId="0" fillId="2" borderId="120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0" fillId="7" borderId="119" xfId="0" applyNumberFormat="1" applyFill="1" applyBorder="1" applyAlignment="1">
      <alignment horizontal="center"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6" xfId="0" applyFill="1" applyBorder="1" applyAlignment="1">
      <alignment horizontal="left"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horizontal="right"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2" borderId="27" xfId="0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0" fillId="2" borderId="27" xfId="0" applyNumberFormat="1" applyFill="1" applyBorder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2" borderId="119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16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176" fontId="1" fillId="0" borderId="19" xfId="0" applyNumberFormat="1" applyFont="1" applyFill="1" applyBorder="1" applyAlignment="1">
      <alignment horizontal="righ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0" fillId="2" borderId="16" xfId="0" applyNumberFormat="1" applyFill="1" applyBorder="1" applyAlignment="1">
      <alignment vertical="center"/>
    </xf>
    <xf numFmtId="176" fontId="0" fillId="2" borderId="27" xfId="0" applyNumberFormat="1" applyFill="1" applyBorder="1" applyAlignment="1">
      <alignment vertical="center"/>
    </xf>
    <xf numFmtId="176" fontId="0" fillId="7" borderId="16" xfId="0" applyNumberFormat="1" applyFill="1" applyBorder="1" applyAlignment="1">
      <alignment vertical="center"/>
    </xf>
    <xf numFmtId="176" fontId="0" fillId="2" borderId="4" xfId="0" applyNumberFormat="1" applyFill="1" applyBorder="1" applyAlignment="1">
      <alignment vertical="center"/>
    </xf>
    <xf numFmtId="176" fontId="0" fillId="7" borderId="119" xfId="0" applyNumberFormat="1" applyFill="1" applyBorder="1" applyAlignment="1">
      <alignment vertical="center"/>
    </xf>
    <xf numFmtId="176" fontId="0" fillId="7" borderId="27" xfId="0" applyNumberFormat="1" applyFill="1" applyBorder="1" applyAlignment="1">
      <alignment vertical="center"/>
    </xf>
    <xf numFmtId="176" fontId="1" fillId="0" borderId="18" xfId="0" applyNumberFormat="1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176" fontId="0" fillId="0" borderId="16" xfId="0" applyNumberFormat="1" applyBorder="1" applyAlignment="1">
      <alignment horizontal="center" vertical="center"/>
    </xf>
    <xf numFmtId="176" fontId="1" fillId="0" borderId="67" xfId="0" applyNumberFormat="1" applyFont="1" applyFill="1" applyBorder="1" applyAlignment="1">
      <alignment horizontal="right" vertical="center"/>
    </xf>
    <xf numFmtId="182" fontId="1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3" fillId="0" borderId="0" xfId="0" applyNumberFormat="1" applyFont="1" applyBorder="1" applyAlignment="1">
      <alignment horizontal="center" vertical="center"/>
    </xf>
    <xf numFmtId="176" fontId="0" fillId="0" borderId="18" xfId="0" applyNumberFormat="1" applyBorder="1" applyAlignment="1">
      <alignment vertical="center"/>
    </xf>
    <xf numFmtId="180" fontId="9" fillId="2" borderId="43" xfId="0" applyNumberFormat="1" applyFont="1" applyFill="1" applyBorder="1" applyAlignment="1">
      <alignment vertical="center"/>
    </xf>
    <xf numFmtId="0" fontId="0" fillId="2" borderId="123" xfId="0" applyFill="1" applyBorder="1" applyAlignment="1">
      <alignment vertical="center"/>
    </xf>
    <xf numFmtId="0" fontId="0" fillId="2" borderId="123" xfId="0" applyFill="1" applyBorder="1" applyAlignment="1">
      <alignment horizontal="center" vertical="center"/>
    </xf>
    <xf numFmtId="176" fontId="0" fillId="2" borderId="123" xfId="0" applyNumberFormat="1" applyFill="1" applyBorder="1" applyAlignment="1">
      <alignment vertical="center"/>
    </xf>
    <xf numFmtId="176" fontId="0" fillId="7" borderId="4" xfId="0" applyNumberFormat="1" applyFill="1" applyBorder="1" applyAlignment="1">
      <alignment vertical="center"/>
    </xf>
    <xf numFmtId="0" fontId="0" fillId="7" borderId="124" xfId="0" applyFill="1" applyBorder="1" applyAlignment="1">
      <alignment vertical="center"/>
    </xf>
    <xf numFmtId="0" fontId="0" fillId="2" borderId="124" xfId="0" applyFill="1" applyBorder="1" applyAlignment="1">
      <alignment vertical="center"/>
    </xf>
    <xf numFmtId="176" fontId="0" fillId="2" borderId="124" xfId="0" applyNumberFormat="1" applyFill="1" applyBorder="1" applyAlignment="1">
      <alignment vertical="center"/>
    </xf>
    <xf numFmtId="176" fontId="0" fillId="7" borderId="124" xfId="0" applyNumberFormat="1" applyFill="1" applyBorder="1" applyAlignment="1">
      <alignment vertical="center"/>
    </xf>
    <xf numFmtId="176" fontId="0" fillId="2" borderId="124" xfId="0" applyNumberFormat="1" applyFill="1" applyBorder="1" applyAlignment="1">
      <alignment horizontal="right" vertical="center"/>
    </xf>
    <xf numFmtId="0" fontId="0" fillId="7" borderId="124" xfId="0" applyFill="1" applyBorder="1" applyAlignment="1">
      <alignment horizontal="center" vertical="center"/>
    </xf>
    <xf numFmtId="176" fontId="0" fillId="7" borderId="16" xfId="0" applyNumberFormat="1" applyFill="1" applyBorder="1" applyAlignment="1">
      <alignment vertical="center"/>
    </xf>
    <xf numFmtId="0" fontId="0" fillId="7" borderId="125" xfId="0" applyFill="1" applyBorder="1" applyAlignment="1">
      <alignment vertical="center"/>
    </xf>
    <xf numFmtId="0" fontId="0" fillId="2" borderId="125" xfId="0" applyFill="1" applyBorder="1" applyAlignment="1">
      <alignment vertical="center"/>
    </xf>
    <xf numFmtId="0" fontId="0" fillId="2" borderId="125" xfId="0" applyFill="1" applyBorder="1" applyAlignment="1">
      <alignment horizontal="center" vertical="center"/>
    </xf>
    <xf numFmtId="176" fontId="0" fillId="2" borderId="125" xfId="0" applyNumberFormat="1" applyFill="1" applyBorder="1" applyAlignment="1">
      <alignment vertical="center"/>
    </xf>
    <xf numFmtId="176" fontId="0" fillId="7" borderId="125" xfId="0" applyNumberFormat="1" applyFill="1" applyBorder="1" applyAlignment="1">
      <alignment vertical="center"/>
    </xf>
    <xf numFmtId="176" fontId="0" fillId="2" borderId="125" xfId="0" applyNumberFormat="1" applyFill="1" applyBorder="1" applyAlignment="1">
      <alignment horizontal="right" vertical="center"/>
    </xf>
    <xf numFmtId="0" fontId="0" fillId="7" borderId="125" xfId="0" applyFill="1" applyBorder="1" applyAlignment="1">
      <alignment horizontal="center" vertical="center"/>
    </xf>
    <xf numFmtId="0" fontId="0" fillId="2" borderId="125" xfId="0" applyFont="1" applyFill="1" applyBorder="1" applyAlignment="1">
      <alignment horizontal="left" vertical="center"/>
    </xf>
    <xf numFmtId="176" fontId="0" fillId="7" borderId="119" xfId="0" applyNumberForma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26" xfId="0" applyFill="1" applyBorder="1" applyAlignment="1">
      <alignment vertical="center"/>
    </xf>
    <xf numFmtId="0" fontId="0" fillId="2" borderId="126" xfId="0" applyFill="1" applyBorder="1" applyAlignment="1">
      <alignment horizontal="center" vertical="center"/>
    </xf>
    <xf numFmtId="176" fontId="0" fillId="2" borderId="126" xfId="0" applyNumberFormat="1" applyFill="1" applyBorder="1" applyAlignment="1">
      <alignment vertical="center"/>
    </xf>
    <xf numFmtId="0" fontId="0" fillId="2" borderId="127" xfId="0" applyFill="1" applyBorder="1" applyAlignment="1">
      <alignment vertical="center"/>
    </xf>
    <xf numFmtId="0" fontId="0" fillId="2" borderId="127" xfId="0" applyFill="1" applyBorder="1" applyAlignment="1">
      <alignment horizontal="center" vertical="center"/>
    </xf>
    <xf numFmtId="176" fontId="0" fillId="2" borderId="127" xfId="0" applyNumberFormat="1" applyFill="1" applyBorder="1" applyAlignment="1">
      <alignment horizontal="center" vertical="center"/>
    </xf>
    <xf numFmtId="176" fontId="0" fillId="2" borderId="127" xfId="0" applyNumberFormat="1" applyFill="1" applyBorder="1" applyAlignment="1">
      <alignment vertical="center"/>
    </xf>
    <xf numFmtId="176" fontId="0" fillId="2" borderId="126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0" fontId="0" fillId="2" borderId="128" xfId="0" applyFill="1" applyBorder="1" applyAlignment="1">
      <alignment vertical="center"/>
    </xf>
    <xf numFmtId="0" fontId="0" fillId="2" borderId="128" xfId="0" applyFill="1" applyBorder="1" applyAlignment="1">
      <alignment horizontal="center" vertical="center"/>
    </xf>
    <xf numFmtId="176" fontId="0" fillId="2" borderId="128" xfId="0" applyNumberFormat="1" applyFill="1" applyBorder="1" applyAlignment="1">
      <alignment vertical="center"/>
    </xf>
    <xf numFmtId="0" fontId="0" fillId="0" borderId="128" xfId="0" applyBorder="1" applyAlignment="1">
      <alignment vertical="center"/>
    </xf>
    <xf numFmtId="176" fontId="0" fillId="2" borderId="128" xfId="0" applyNumberFormat="1" applyFill="1" applyBorder="1" applyAlignment="1">
      <alignment horizontal="right" vertical="center"/>
    </xf>
    <xf numFmtId="0" fontId="0" fillId="2" borderId="128" xfId="0" applyFont="1" applyFill="1" applyBorder="1" applyAlignment="1">
      <alignment horizontal="left" vertical="center"/>
    </xf>
    <xf numFmtId="0" fontId="0" fillId="0" borderId="130" xfId="0" applyBorder="1" applyAlignment="1">
      <alignment vertical="center"/>
    </xf>
    <xf numFmtId="0" fontId="0" fillId="7" borderId="129" xfId="0" applyFill="1" applyBorder="1" applyAlignment="1">
      <alignment vertical="center"/>
    </xf>
    <xf numFmtId="0" fontId="0" fillId="7" borderId="129" xfId="0" applyFill="1" applyBorder="1" applyAlignment="1">
      <alignment horizontal="center" vertical="center"/>
    </xf>
    <xf numFmtId="176" fontId="0" fillId="7" borderId="129" xfId="0" applyNumberFormat="1" applyFill="1" applyBorder="1" applyAlignment="1">
      <alignment vertical="center"/>
    </xf>
    <xf numFmtId="0" fontId="0" fillId="0" borderId="129" xfId="0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28" xfId="0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129" xfId="0" applyFill="1" applyBorder="1" applyAlignment="1">
      <alignment vertical="center"/>
    </xf>
    <xf numFmtId="0" fontId="0" fillId="2" borderId="129" xfId="0" applyFill="1" applyBorder="1" applyAlignment="1">
      <alignment horizontal="center" vertical="center"/>
    </xf>
    <xf numFmtId="176" fontId="0" fillId="2" borderId="129" xfId="0" applyNumberFormat="1" applyFill="1" applyBorder="1" applyAlignment="1">
      <alignment vertical="center"/>
    </xf>
    <xf numFmtId="0" fontId="27" fillId="0" borderId="16" xfId="0" applyFont="1" applyFill="1" applyBorder="1" applyAlignment="1">
      <alignment horizontal="center" vertical="center"/>
    </xf>
    <xf numFmtId="0" fontId="27" fillId="0" borderId="20" xfId="0" applyFont="1" applyFill="1" applyBorder="1" applyAlignment="1">
      <alignment vertical="center"/>
    </xf>
    <xf numFmtId="176" fontId="0" fillId="0" borderId="19" xfId="0" applyNumberFormat="1" applyFont="1" applyFill="1" applyBorder="1" applyAlignment="1">
      <alignment horizontal="right" vertical="center"/>
    </xf>
    <xf numFmtId="176" fontId="0" fillId="0" borderId="3" xfId="0" applyNumberFormat="1" applyFont="1" applyFill="1" applyBorder="1" applyAlignment="1">
      <alignment horizontal="right" vertical="center"/>
    </xf>
    <xf numFmtId="176" fontId="0" fillId="0" borderId="18" xfId="0" applyNumberFormat="1" applyFont="1" applyFill="1" applyBorder="1" applyAlignment="1">
      <alignment horizontal="right" vertical="center"/>
    </xf>
    <xf numFmtId="0" fontId="0" fillId="7" borderId="128" xfId="0" applyFill="1" applyBorder="1" applyAlignment="1">
      <alignment vertical="center"/>
    </xf>
    <xf numFmtId="0" fontId="0" fillId="7" borderId="128" xfId="0" applyFill="1" applyBorder="1" applyAlignment="1">
      <alignment horizontal="center" vertical="center"/>
    </xf>
    <xf numFmtId="176" fontId="0" fillId="7" borderId="128" xfId="0" applyNumberFormat="1" applyFill="1" applyBorder="1" applyAlignment="1">
      <alignment vertical="center"/>
    </xf>
    <xf numFmtId="0" fontId="0" fillId="2" borderId="133" xfId="0" applyFill="1" applyBorder="1" applyAlignment="1">
      <alignment vertical="center"/>
    </xf>
    <xf numFmtId="0" fontId="0" fillId="2" borderId="133" xfId="0" applyFill="1" applyBorder="1" applyAlignment="1">
      <alignment horizontal="center" vertical="center"/>
    </xf>
    <xf numFmtId="176" fontId="0" fillId="2" borderId="133" xfId="0" applyNumberFormat="1" applyFill="1" applyBorder="1" applyAlignment="1">
      <alignment vertical="center"/>
    </xf>
    <xf numFmtId="176" fontId="0" fillId="0" borderId="132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176" fontId="0" fillId="2" borderId="128" xfId="0" applyNumberFormat="1" applyFill="1" applyBorder="1" applyAlignment="1">
      <alignment horizontal="center" vertical="center"/>
    </xf>
    <xf numFmtId="176" fontId="0" fillId="0" borderId="134" xfId="0" applyNumberFormat="1" applyBorder="1" applyAlignment="1">
      <alignment vertical="center"/>
    </xf>
    <xf numFmtId="0" fontId="0" fillId="2" borderId="16" xfId="0" applyNumberFormat="1" applyFont="1" applyFill="1" applyBorder="1" applyAlignment="1">
      <alignment horizontal="left" vertical="center"/>
    </xf>
    <xf numFmtId="176" fontId="0" fillId="7" borderId="128" xfId="0" applyNumberFormat="1" applyFill="1" applyBorder="1" applyAlignment="1">
      <alignment horizontal="right" vertical="center"/>
    </xf>
    <xf numFmtId="176" fontId="0" fillId="7" borderId="133" xfId="0" applyNumberFormat="1" applyFill="1" applyBorder="1" applyAlignment="1">
      <alignment horizontal="right" vertical="center"/>
    </xf>
    <xf numFmtId="176" fontId="0" fillId="0" borderId="128" xfId="0" applyNumberFormat="1" applyBorder="1" applyAlignment="1">
      <alignment vertical="center"/>
    </xf>
    <xf numFmtId="176" fontId="0" fillId="7" borderId="128" xfId="0" applyNumberFormat="1" applyFill="1" applyBorder="1" applyAlignment="1">
      <alignment horizontal="center" vertical="center"/>
    </xf>
    <xf numFmtId="176" fontId="0" fillId="7" borderId="133" xfId="0" applyNumberFormat="1" applyFill="1" applyBorder="1" applyAlignment="1">
      <alignment horizontal="center" vertical="center"/>
    </xf>
    <xf numFmtId="0" fontId="0" fillId="7" borderId="16" xfId="0" applyFill="1" applyBorder="1" applyAlignment="1">
      <alignment vertical="center" wrapText="1"/>
    </xf>
    <xf numFmtId="176" fontId="0" fillId="0" borderId="132" xfId="0" applyNumberFormat="1" applyBorder="1" applyAlignment="1">
      <alignment vertical="center"/>
    </xf>
    <xf numFmtId="0" fontId="0" fillId="2" borderId="128" xfId="0" applyFill="1" applyBorder="1" applyAlignment="1">
      <alignment vertical="center"/>
    </xf>
    <xf numFmtId="0" fontId="0" fillId="2" borderId="128" xfId="0" applyFill="1" applyBorder="1" applyAlignment="1">
      <alignment horizontal="center" vertical="center"/>
    </xf>
    <xf numFmtId="176" fontId="0" fillId="2" borderId="128" xfId="0" applyNumberFormat="1" applyFill="1" applyBorder="1" applyAlignment="1">
      <alignment horizontal="center" vertical="center"/>
    </xf>
    <xf numFmtId="176" fontId="0" fillId="2" borderId="128" xfId="0" applyNumberFormat="1" applyFill="1" applyBorder="1" applyAlignment="1">
      <alignment vertical="center"/>
    </xf>
    <xf numFmtId="0" fontId="0" fillId="2" borderId="129" xfId="0" applyFill="1" applyBorder="1" applyAlignment="1">
      <alignment vertical="center"/>
    </xf>
    <xf numFmtId="176" fontId="0" fillId="2" borderId="129" xfId="0" applyNumberFormat="1" applyFill="1" applyBorder="1" applyAlignment="1">
      <alignment vertical="center"/>
    </xf>
    <xf numFmtId="0" fontId="0" fillId="2" borderId="129" xfId="0" applyFill="1" applyBorder="1" applyAlignment="1">
      <alignment horizontal="center" vertical="center"/>
    </xf>
    <xf numFmtId="0" fontId="0" fillId="2" borderId="41" xfId="0" applyFill="1" applyBorder="1" applyAlignment="1">
      <alignment vertical="center"/>
    </xf>
    <xf numFmtId="176" fontId="0" fillId="0" borderId="132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0" xfId="0" applyNumberFormat="1" applyBorder="1" applyAlignment="1">
      <alignment vertical="center"/>
    </xf>
    <xf numFmtId="176" fontId="0" fillId="7" borderId="119" xfId="0" applyNumberFormat="1" applyFill="1" applyBorder="1" applyAlignment="1">
      <alignment horizontal="right" vertical="center"/>
    </xf>
    <xf numFmtId="176" fontId="0" fillId="7" borderId="16" xfId="0" applyNumberFormat="1" applyFill="1" applyBorder="1" applyAlignment="1">
      <alignment horizontal="right" vertical="center"/>
    </xf>
    <xf numFmtId="176" fontId="0" fillId="7" borderId="133" xfId="0" applyNumberFormat="1" applyFill="1" applyBorder="1" applyAlignment="1">
      <alignment horizontal="right" vertical="center"/>
    </xf>
    <xf numFmtId="176" fontId="0" fillId="2" borderId="4" xfId="0" applyNumberFormat="1" applyFill="1" applyBorder="1" applyAlignment="1">
      <alignment horizontal="right"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33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29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0" borderId="132" xfId="0" applyNumberForma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2" borderId="16" xfId="0" applyNumberFormat="1" applyFill="1" applyBorder="1" applyAlignment="1">
      <alignment vertical="center"/>
    </xf>
    <xf numFmtId="0" fontId="0" fillId="2" borderId="129" xfId="0" applyFill="1" applyBorder="1" applyAlignment="1">
      <alignment vertical="center"/>
    </xf>
    <xf numFmtId="41" fontId="1" fillId="7" borderId="16" xfId="0" applyNumberFormat="1" applyFont="1" applyFill="1" applyBorder="1" applyAlignment="1">
      <alignment horizontal="right" vertical="center"/>
    </xf>
    <xf numFmtId="41" fontId="0" fillId="7" borderId="16" xfId="0" applyNumberFormat="1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textRotation="255"/>
    </xf>
    <xf numFmtId="0" fontId="1" fillId="0" borderId="34" xfId="0" applyFont="1" applyBorder="1" applyAlignment="1">
      <alignment horizontal="center" vertical="center" textRotation="255"/>
    </xf>
    <xf numFmtId="0" fontId="1" fillId="0" borderId="41" xfId="0" applyFont="1" applyBorder="1" applyAlignment="1">
      <alignment horizontal="center" vertical="center" textRotation="255"/>
    </xf>
    <xf numFmtId="0" fontId="1" fillId="2" borderId="5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40" xfId="0" applyFont="1" applyFill="1" applyBorder="1" applyAlignment="1">
      <alignment vertical="center"/>
    </xf>
    <xf numFmtId="177" fontId="1" fillId="2" borderId="35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36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178" fontId="1" fillId="2" borderId="35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36" xfId="0" applyNumberFormat="1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6" fontId="1" fillId="0" borderId="28" xfId="0" applyNumberFormat="1" applyFont="1" applyBorder="1" applyAlignment="1">
      <alignment horizontal="center" vertical="center" wrapText="1"/>
    </xf>
    <xf numFmtId="176" fontId="1" fillId="0" borderId="30" xfId="0" applyNumberFormat="1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131" xfId="0" applyFont="1" applyFill="1" applyBorder="1" applyAlignment="1">
      <alignment horizontal="left" vertical="center" shrinkToFit="1"/>
    </xf>
    <xf numFmtId="0" fontId="1" fillId="0" borderId="132" xfId="0" applyFont="1" applyFill="1" applyBorder="1" applyAlignment="1">
      <alignment horizontal="left" vertical="center" shrinkToFit="1"/>
    </xf>
    <xf numFmtId="0" fontId="1" fillId="0" borderId="17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0" fillId="0" borderId="17" xfId="0" applyFont="1" applyFill="1" applyBorder="1" applyAlignment="1">
      <alignment horizontal="left" vertical="center"/>
    </xf>
    <xf numFmtId="0" fontId="0" fillId="0" borderId="18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left" vertical="center"/>
    </xf>
    <xf numFmtId="176" fontId="1" fillId="0" borderId="28" xfId="0" applyNumberFormat="1" applyFont="1" applyBorder="1" applyAlignment="1">
      <alignment horizontal="center" vertical="center"/>
    </xf>
    <xf numFmtId="176" fontId="1" fillId="0" borderId="29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1" fillId="0" borderId="45" xfId="0" applyNumberFormat="1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71" xfId="0" applyNumberFormat="1" applyFont="1" applyFill="1" applyBorder="1" applyAlignment="1">
      <alignment horizontal="center" vertical="center"/>
    </xf>
    <xf numFmtId="3" fontId="0" fillId="0" borderId="45" xfId="0" quotePrefix="1" applyNumberForma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71" xfId="0" quotePrefix="1" applyNumberFormat="1" applyFill="1" applyBorder="1" applyAlignment="1">
      <alignment horizontal="left"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3" fillId="0" borderId="89" xfId="0" quotePrefix="1" applyNumberFormat="1" applyFont="1" applyFill="1" applyBorder="1" applyAlignment="1">
      <alignment horizontal="left" vertical="center"/>
    </xf>
    <xf numFmtId="3" fontId="13" fillId="0" borderId="88" xfId="0" quotePrefix="1" applyNumberFormat="1" applyFont="1" applyFill="1" applyBorder="1" applyAlignment="1">
      <alignment horizontal="left" vertical="center"/>
    </xf>
    <xf numFmtId="3" fontId="13" fillId="0" borderId="90" xfId="0" quotePrefix="1" applyNumberFormat="1" applyFont="1" applyFill="1" applyBorder="1" applyAlignment="1">
      <alignment horizontal="left" vertical="center"/>
    </xf>
    <xf numFmtId="3" fontId="0" fillId="0" borderId="67" xfId="0" applyNumberFormat="1" applyFont="1" applyFill="1" applyBorder="1" applyAlignment="1">
      <alignment horizontal="center" vertical="center" wrapText="1"/>
    </xf>
    <xf numFmtId="3" fontId="0" fillId="0" borderId="20" xfId="0" applyNumberFormat="1" applyFont="1" applyFill="1" applyBorder="1" applyAlignment="1">
      <alignment horizontal="center" vertical="center"/>
    </xf>
    <xf numFmtId="3" fontId="0" fillId="0" borderId="60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179" fontId="0" fillId="0" borderId="64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63" xfId="0" applyNumberFormat="1" applyFont="1" applyFill="1" applyBorder="1" applyAlignment="1">
      <alignment horizontal="center" vertical="center"/>
    </xf>
    <xf numFmtId="3" fontId="1" fillId="0" borderId="81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3" fillId="4" borderId="1" xfId="0" applyNumberFormat="1" applyFont="1" applyFill="1" applyBorder="1" applyAlignment="1">
      <alignment horizontal="left" vertical="center"/>
    </xf>
    <xf numFmtId="3" fontId="13" fillId="4" borderId="2" xfId="0" applyNumberFormat="1" applyFont="1" applyFill="1" applyBorder="1" applyAlignment="1">
      <alignment horizontal="left" vertical="center"/>
    </xf>
    <xf numFmtId="3" fontId="13" fillId="4" borderId="64" xfId="0" applyNumberFormat="1" applyFont="1" applyFill="1" applyBorder="1" applyAlignment="1">
      <alignment horizontal="left" vertical="center"/>
    </xf>
    <xf numFmtId="3" fontId="13" fillId="0" borderId="1" xfId="0" applyNumberFormat="1" applyFont="1" applyFill="1" applyBorder="1" applyAlignment="1">
      <alignment horizontal="left" vertical="center"/>
    </xf>
    <xf numFmtId="3" fontId="13" fillId="0" borderId="2" xfId="0" applyNumberFormat="1" applyFont="1" applyFill="1" applyBorder="1" applyAlignment="1">
      <alignment horizontal="left" vertical="center"/>
    </xf>
    <xf numFmtId="3" fontId="13" fillId="0" borderId="64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35" xfId="0" applyNumberFormat="1" applyFont="1" applyFill="1" applyBorder="1" applyAlignment="1">
      <alignment horizontal="center" vertical="center"/>
    </xf>
    <xf numFmtId="3" fontId="1" fillId="0" borderId="9" xfId="0" applyNumberFormat="1" applyFont="1" applyFill="1" applyBorder="1" applyAlignment="1">
      <alignment horizontal="center" vertical="center"/>
    </xf>
    <xf numFmtId="3" fontId="1" fillId="0" borderId="38" xfId="0" applyNumberFormat="1" applyFont="1" applyFill="1" applyBorder="1" applyAlignment="1">
      <alignment horizontal="center" vertical="center"/>
    </xf>
    <xf numFmtId="3" fontId="1" fillId="0" borderId="39" xfId="0" applyNumberFormat="1" applyFont="1" applyFill="1" applyBorder="1" applyAlignment="1">
      <alignment horizontal="center" vertical="center"/>
    </xf>
    <xf numFmtId="3" fontId="1" fillId="0" borderId="75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9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  <xf numFmtId="182" fontId="13" fillId="0" borderId="0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3</xdr:row>
      <xdr:rowOff>57150</xdr:rowOff>
    </xdr:from>
    <xdr:to>
      <xdr:col>7</xdr:col>
      <xdr:colOff>937364</xdr:colOff>
      <xdr:row>5</xdr:row>
      <xdr:rowOff>16125</xdr:rowOff>
    </xdr:to>
    <xdr:pic>
      <xdr:nvPicPr>
        <xdr:cNvPr id="2" name="Picture 3" descr="도ㅏㅇ꺼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85825"/>
          <a:ext cx="470639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2" name="AutoShape 5"/>
        <xdr:cNvSpPr>
          <a:spLocks/>
        </xdr:cNvSpPr>
      </xdr:nvSpPr>
      <xdr:spPr bwMode="auto">
        <a:xfrm>
          <a:off x="7705725" y="385762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/>
        <xdr:cNvSpPr>
          <a:spLocks/>
        </xdr:cNvSpPr>
      </xdr:nvSpPr>
      <xdr:spPr bwMode="auto">
        <a:xfrm>
          <a:off x="7724775" y="284797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/>
        <xdr:cNvSpPr>
          <a:spLocks/>
        </xdr:cNvSpPr>
      </xdr:nvSpPr>
      <xdr:spPr bwMode="auto">
        <a:xfrm>
          <a:off x="7724775" y="433387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7734300" y="1995490"/>
          <a:ext cx="3009900" cy="29051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7708101" y="3581400"/>
          <a:ext cx="300990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7" name="AutoShape 9"/>
        <xdr:cNvSpPr>
          <a:spLocks/>
        </xdr:cNvSpPr>
      </xdr:nvSpPr>
      <xdr:spPr bwMode="auto">
        <a:xfrm>
          <a:off x="7720007" y="2321718"/>
          <a:ext cx="3009900" cy="45958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1]!값이있는행만출력하시오" textlink="">
      <xdr:nvSpPr>
        <xdr:cNvPr id="3" name="AutoShape 22"/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1]!값이있는행만출력하시오" textlink="">
      <xdr:nvSpPr>
        <xdr:cNvPr id="3" name="AutoShape 5"/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3" name="Rectangle 15"/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3" name="Rectangle 7"/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4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67</xdr:row>
      <xdr:rowOff>0</xdr:rowOff>
    </xdr:from>
    <xdr:to>
      <xdr:col>9</xdr:col>
      <xdr:colOff>0</xdr:colOff>
      <xdr:row>67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1]!값이있는행만출력하시오" textlink="">
      <xdr:nvSpPr>
        <xdr:cNvPr id="2" name="AutoShape 2"/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3" name="Rectangle 3"/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/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053536\Users\DSA\AppData\Local\Microsoft\Windows\INetCache\Content.Outlook\EZ4891R5\3.%20&#50577;&#49885;\&#53685;&#54633;&#44204;&#51201;&#49436;(&#49328;&#50629;&#50504;&#51204;&#44288;&#47532;&#48708;%20&#51088;&#46041;&#44228;&#4932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통합견적서(산업안전관리비 자동계산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topLeftCell="A7" zoomScaleNormal="100" workbookViewId="0">
      <selection activeCell="K19" sqref="K19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6.875" style="1" customWidth="1"/>
    <col min="5" max="6" width="11.125" style="1" customWidth="1"/>
    <col min="7" max="7" width="12.375" style="1" customWidth="1"/>
    <col min="8" max="8" width="16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565" t="s">
        <v>1</v>
      </c>
      <c r="C2" s="565"/>
      <c r="D2" s="565"/>
      <c r="E2" s="565"/>
      <c r="F2" s="565"/>
      <c r="G2" s="565"/>
      <c r="H2" s="565"/>
      <c r="I2" s="565"/>
    </row>
    <row r="4" spans="2:10" s="4" customFormat="1" ht="24" customHeight="1" x14ac:dyDescent="0.15">
      <c r="B4" s="566" t="s">
        <v>2</v>
      </c>
      <c r="C4" s="566"/>
      <c r="D4" s="566"/>
      <c r="E4" s="2"/>
      <c r="F4" s="2"/>
      <c r="G4" s="320" t="s">
        <v>272</v>
      </c>
      <c r="H4" s="320"/>
      <c r="I4" s="3"/>
    </row>
    <row r="5" spans="2:10" s="4" customFormat="1" ht="21.75" customHeight="1" x14ac:dyDescent="0.15">
      <c r="B5" s="567" t="s">
        <v>3</v>
      </c>
      <c r="C5" s="568"/>
      <c r="D5" s="321">
        <v>44175</v>
      </c>
      <c r="E5" s="6"/>
      <c r="F5" s="2"/>
      <c r="G5" s="7" t="s">
        <v>273</v>
      </c>
      <c r="H5" s="8"/>
      <c r="I5" s="8"/>
    </row>
    <row r="6" spans="2:10" s="4" customFormat="1" ht="21.75" customHeight="1" x14ac:dyDescent="0.15">
      <c r="B6" s="567" t="s">
        <v>4</v>
      </c>
      <c r="C6" s="568"/>
      <c r="D6" s="5" t="s">
        <v>398</v>
      </c>
      <c r="E6" s="6"/>
      <c r="F6" s="2"/>
      <c r="G6" s="7" t="s">
        <v>274</v>
      </c>
      <c r="H6" s="9"/>
      <c r="I6" s="9"/>
      <c r="J6" s="1"/>
    </row>
    <row r="7" spans="2:10" s="4" customFormat="1" ht="21.75" customHeight="1" x14ac:dyDescent="0.15">
      <c r="B7" s="569" t="s">
        <v>5</v>
      </c>
      <c r="C7" s="10" t="s">
        <v>6</v>
      </c>
      <c r="D7" s="5"/>
      <c r="E7" s="6"/>
      <c r="F7" s="2"/>
      <c r="G7" s="11" t="s">
        <v>275</v>
      </c>
      <c r="H7" s="9"/>
      <c r="I7" s="9"/>
      <c r="J7" s="1"/>
    </row>
    <row r="8" spans="2:10" s="4" customFormat="1" ht="21.75" customHeight="1" x14ac:dyDescent="0.15">
      <c r="B8" s="569"/>
      <c r="C8" s="10" t="s">
        <v>7</v>
      </c>
      <c r="D8" s="12"/>
      <c r="E8" s="6"/>
      <c r="F8" s="2"/>
      <c r="G8" s="11" t="s">
        <v>276</v>
      </c>
      <c r="H8" s="9"/>
      <c r="I8" s="9"/>
      <c r="J8" s="1"/>
    </row>
    <row r="9" spans="2:10" s="4" customFormat="1" ht="21.75" customHeight="1" x14ac:dyDescent="0.15">
      <c r="B9" s="567" t="s">
        <v>8</v>
      </c>
      <c r="C9" s="568"/>
      <c r="D9" s="324" t="s">
        <v>281</v>
      </c>
      <c r="E9" s="6"/>
      <c r="F9" s="2"/>
      <c r="G9" s="7" t="s">
        <v>277</v>
      </c>
      <c r="H9" s="9"/>
      <c r="I9" s="9"/>
      <c r="J9" s="1"/>
    </row>
    <row r="10" spans="2:10" s="4" customFormat="1" ht="21.75" customHeight="1" x14ac:dyDescent="0.15">
      <c r="B10" s="567" t="s">
        <v>9</v>
      </c>
      <c r="C10" s="568"/>
      <c r="D10" s="5" t="s">
        <v>282</v>
      </c>
      <c r="E10" s="6"/>
      <c r="G10" s="13" t="s">
        <v>278</v>
      </c>
      <c r="H10" s="14" t="s">
        <v>279</v>
      </c>
      <c r="I10" s="15"/>
    </row>
    <row r="11" spans="2:10" s="4" customFormat="1" ht="21.75" customHeight="1" x14ac:dyDescent="0.15">
      <c r="B11" s="567" t="s">
        <v>10</v>
      </c>
      <c r="C11" s="568"/>
      <c r="D11" s="322" t="s">
        <v>283</v>
      </c>
      <c r="E11" s="6"/>
      <c r="G11" s="323" t="s">
        <v>11</v>
      </c>
      <c r="H11" s="14" t="s">
        <v>280</v>
      </c>
      <c r="I11" s="15"/>
    </row>
    <row r="12" spans="2:10" s="17" customFormat="1" ht="10.5" customHeight="1" x14ac:dyDescent="0.15">
      <c r="B12" s="16"/>
      <c r="I12" s="18"/>
    </row>
    <row r="13" spans="2:10" s="21" customFormat="1" ht="24.95" customHeight="1" x14ac:dyDescent="0.15">
      <c r="B13" s="19" t="s">
        <v>397</v>
      </c>
      <c r="C13" s="19"/>
      <c r="D13" s="19"/>
      <c r="E13" s="19"/>
      <c r="F13" s="20"/>
      <c r="G13" s="20"/>
      <c r="H13" s="20"/>
    </row>
    <row r="14" spans="2:10" s="4" customFormat="1" ht="8.25" customHeight="1" x14ac:dyDescent="0.15"/>
    <row r="15" spans="2:10" s="22" customFormat="1" ht="24.95" customHeight="1" x14ac:dyDescent="0.15">
      <c r="B15" s="563" t="s">
        <v>12</v>
      </c>
      <c r="C15" s="570" t="s">
        <v>13</v>
      </c>
      <c r="D15" s="571"/>
      <c r="E15" s="574" t="s">
        <v>399</v>
      </c>
      <c r="F15" s="575"/>
      <c r="G15" s="575"/>
      <c r="H15" s="575"/>
      <c r="I15" s="563" t="s">
        <v>14</v>
      </c>
    </row>
    <row r="16" spans="2:10" s="22" customFormat="1" ht="29.25" customHeight="1" thickBot="1" x14ac:dyDescent="0.2">
      <c r="B16" s="564"/>
      <c r="C16" s="572"/>
      <c r="D16" s="573"/>
      <c r="E16" s="23" t="s">
        <v>286</v>
      </c>
      <c r="F16" s="24" t="s">
        <v>287</v>
      </c>
      <c r="G16" s="397" t="s">
        <v>288</v>
      </c>
      <c r="H16" s="25" t="s">
        <v>17</v>
      </c>
      <c r="I16" s="564"/>
    </row>
    <row r="17" spans="1:13" s="26" customFormat="1" ht="24.95" customHeight="1" x14ac:dyDescent="0.15">
      <c r="B17" s="27">
        <v>1</v>
      </c>
      <c r="C17" s="550" t="str">
        <f>IF('단위공사별(집계)'!N7&gt;0,'단위공사별(집계)'!B7,"")</f>
        <v>허버베어링 에어블로잉 공정 추가</v>
      </c>
      <c r="D17" s="551"/>
      <c r="E17" s="388">
        <f>IF('단위공사별(집계)'!N7&gt;1,('단위공사별(집계)'!D7+'단위공사별(집계)'!E7+'단위공사별(집계)'!F7+'단위공사별(집계)'!G7+'단위공사별(집계)'!H7+'단위공사별(집계)'!I7)/1000," ")</f>
        <v>17983.921568627451</v>
      </c>
      <c r="F17" s="399">
        <f>IF('단위공사별(집계)'!N7&gt;0,'단위공사별(집계)'!K17/1000,"")</f>
        <v>70400</v>
      </c>
      <c r="G17" s="389">
        <f>IF('단위공사별(집계)'!N7&gt;0,('단위공사별(집계)'!L7+'단위공사별(집계)'!M7)/1000,"")</f>
        <v>62.441176470588239</v>
      </c>
      <c r="H17" s="396">
        <f>IF('단위공사별(집계)'!N7&gt;0,'단위공사별(집계)'!N7/1000,"")</f>
        <v>25638.51960784314</v>
      </c>
      <c r="I17" s="28"/>
      <c r="L17" s="457"/>
      <c r="M17" s="29"/>
    </row>
    <row r="18" spans="1:13" s="26" customFormat="1" ht="24.95" customHeight="1" x14ac:dyDescent="0.15">
      <c r="B18" s="30">
        <v>2</v>
      </c>
      <c r="C18" s="552" t="str">
        <f>IF('단위공사별(집계)'!N8&gt;0,'단위공사별(집계)'!B8,"")</f>
        <v>허버볼트 이종사양 검출</v>
      </c>
      <c r="D18" s="553"/>
      <c r="E18" s="388">
        <f>IF('단위공사별(집계)'!N8&gt;1,('단위공사별(집계)'!D8+'단위공사별(집계)'!E8+'단위공사별(집계)'!F8+'단위공사별(집계)'!G8+'단위공사별(집계)'!H8+'단위공사별(집계)'!I8)/1000," ")</f>
        <v>4764.2848550463132</v>
      </c>
      <c r="F18" s="31"/>
      <c r="G18" s="389">
        <f>IF('단위공사별(집계)'!N8&gt;0,('단위공사별(집계)'!L8+'단위공사별(집계)'!M8)/1000,"")</f>
        <v>16.541862143630457</v>
      </c>
      <c r="H18" s="396">
        <f>IF('단위공사별(집계)'!N8&gt;0,'단위공사별(집계)'!N8/1000,"")</f>
        <v>6792.134307710814</v>
      </c>
      <c r="I18" s="33"/>
      <c r="L18" s="457"/>
    </row>
    <row r="19" spans="1:13" s="26" customFormat="1" ht="24.95" customHeight="1" x14ac:dyDescent="0.15">
      <c r="B19" s="30">
        <v>3</v>
      </c>
      <c r="C19" s="554" t="str">
        <f>IF('단위공사별(집계)'!N9&gt;0,'단위공사별(집계)'!B9,"")</f>
        <v>허버베어링 2D리딩추가</v>
      </c>
      <c r="D19" s="555"/>
      <c r="E19" s="388">
        <f>IF('단위공사별(집계)'!N9&gt;1,('단위공사별(집계)'!D9+'단위공사별(집계)'!E9+'단위공사별(집계)'!F9+'단위공사별(집계)'!G9+'단위공사별(집계)'!H9+'단위공사별(집계)'!I9)/1000," ")</f>
        <v>7171.5024660170811</v>
      </c>
      <c r="F19" s="31"/>
      <c r="G19" s="389">
        <f>IF('단위공사별(집계)'!N9&gt;0,('단위공사별(집계)'!L9+'단위공사별(집계)'!M9)/1000,"")</f>
        <v>24.899855647780583</v>
      </c>
      <c r="H19" s="396">
        <f>IF('단위공사별(집계)'!N9&gt;0,'단위공사별(집계)'!N9/1000,"")</f>
        <v>10223.949536869961</v>
      </c>
      <c r="I19" s="33"/>
      <c r="L19" s="457"/>
    </row>
    <row r="20" spans="1:13" s="26" customFormat="1" ht="24.95" customHeight="1" x14ac:dyDescent="0.15">
      <c r="B20" s="30">
        <v>4</v>
      </c>
      <c r="C20" s="554" t="str">
        <f>IF('단위공사별(집계)'!N10&gt;0,'단위공사별(집계)'!B10,"")</f>
        <v>허버베어링 센트링디바이스추가</v>
      </c>
      <c r="D20" s="555"/>
      <c r="E20" s="388">
        <f>IF('단위공사별(집계)'!N10&gt;1,('단위공사별(집계)'!D10+'단위공사별(집계)'!E10+'단위공사별(집계)'!F10+'단위공사별(집계)'!G10+'단위공사별(집계)'!H10+'단위공사별(집계)'!I10)/1000," ")</f>
        <v>6369.0965956934924</v>
      </c>
      <c r="F20" s="35"/>
      <c r="G20" s="32">
        <f>IF('단위공사별(집계)'!N10&gt;0,('단위공사별(집계)'!L10+'단위공사별(집계)'!M10)/1000,"")</f>
        <v>22.113857813063873</v>
      </c>
      <c r="H20" s="36">
        <f>IF('단위공사별(집계)'!N10&gt;0,'단위공사별(집계)'!N10/1000,"")</f>
        <v>9080.0111271502465</v>
      </c>
      <c r="I20" s="33"/>
      <c r="L20" s="457"/>
    </row>
    <row r="21" spans="1:13" s="26" customFormat="1" ht="24.95" customHeight="1" x14ac:dyDescent="0.15">
      <c r="B21" s="30">
        <v>5</v>
      </c>
      <c r="C21" s="554" t="str">
        <f>IF('단위공사별(집계)'!N11&gt;0,'단위공사별(집계)'!B11,"")</f>
        <v>이너레이스 자동박스 2D 바코드 리더기 추가</v>
      </c>
      <c r="D21" s="555"/>
      <c r="E21" s="34">
        <f>IF('단위공사별(집계)'!N11&gt;1,('단위공사별(집계)'!D11+'단위공사별(집계)'!E11+'단위공사별(집계)'!F11+'단위공사별(집계)'!G11+'단위공사별(집계)'!H11+'단위공사별(집계)'!I11)/1000," ")</f>
        <v>16148.41814026224</v>
      </c>
      <c r="F21" s="35"/>
      <c r="G21" s="32">
        <f>IF('단위공사별(집계)'!N11&gt;0,('단위공사별(집계)'!L11+'단위공사별(집계)'!M11)/1000,"")</f>
        <v>56.068206423673765</v>
      </c>
      <c r="H21" s="36">
        <f>IF('단위공사별(집계)'!N11&gt;0,'단위공사별(집계)'!N11/1000,"")</f>
        <v>23021.760495609287</v>
      </c>
      <c r="I21" s="33"/>
      <c r="L21" s="457"/>
    </row>
    <row r="22" spans="1:13" s="26" customFormat="1" ht="24.95" customHeight="1" x14ac:dyDescent="0.15">
      <c r="B22" s="461">
        <v>6</v>
      </c>
      <c r="C22" s="556" t="str">
        <f>IF('단위공사별(집계)'!N12&gt;0,'단위공사별(집계)'!B12,"")</f>
        <v>I/B 모니트링 장치 추가</v>
      </c>
      <c r="D22" s="557"/>
      <c r="E22" s="463">
        <f>IF('단위공사별(집계)'!N12&gt;1,('단위공사별(집계)'!D12+'단위공사별(집계)'!E12+'단위공사별(집계)'!F12+'단위공사별(집계)'!G12+'단위공사별(집계)'!H12+'단위공사별(집계)'!I12)/1000," ")</f>
        <v>2958.8716468182365</v>
      </c>
      <c r="F22" s="462"/>
      <c r="G22" s="464">
        <f>IF('단위공사별(집계)'!N12&gt;0,('단위공사별(집계)'!L12+'단위공사별(집계)'!M12)/1000,"")</f>
        <v>10.273367015517865</v>
      </c>
      <c r="H22" s="465">
        <f>IF('단위공사별(집계)'!N12&gt;0,'단위공사별(집계)'!N12/1000,"")</f>
        <v>4218.2728858414539</v>
      </c>
      <c r="I22" s="33"/>
      <c r="L22" s="457"/>
    </row>
    <row r="23" spans="1:13" s="26" customFormat="1" ht="24.95" customHeight="1" x14ac:dyDescent="0.15">
      <c r="B23" s="30">
        <v>7</v>
      </c>
      <c r="C23" s="554" t="str">
        <f>IF('단위공사별(집계)'!N13&gt;0,'단위공사별(집계)'!B13,"")</f>
        <v>I/B저상리프트 추가</v>
      </c>
      <c r="D23" s="555"/>
      <c r="E23" s="34">
        <f>IF('단위공사별(집계)'!N13&gt;1,('단위공사별(집계)'!D13+'단위공사별(집계)'!E13+'단위공사별(집계)'!F13+'단위공사별(집계)'!G13+'단위공사별(집계)'!H13+'단위공사별(집계)'!I13)/1000," ")</f>
        <v>14042.102730662817</v>
      </c>
      <c r="F23" s="35"/>
      <c r="G23" s="32">
        <f>IF('단위공사별(집계)'!N13&gt;0,('단위공사별(집계)'!L13+'단위공사별(집계)'!M13)/1000,"")</f>
        <v>48.754962107542397</v>
      </c>
      <c r="H23" s="36">
        <f>IF('단위공사별(집계)'!N13&gt;0,'단위공사별(집계)'!N13/1000,"")</f>
        <v>20018.922170095029</v>
      </c>
      <c r="I23" s="33"/>
      <c r="L23" s="457"/>
    </row>
    <row r="24" spans="1:13" s="26" customFormat="1" ht="24.95" customHeight="1" x14ac:dyDescent="0.15">
      <c r="B24" s="37">
        <v>8</v>
      </c>
      <c r="C24" s="554" t="str">
        <f>IF('단위공사별(집계)'!N14&gt;0,'단위공사별(집계)'!B14,"")</f>
        <v>드레그토크 측정기</v>
      </c>
      <c r="D24" s="555"/>
      <c r="E24" s="34">
        <f>IF('단위공사별(집계)'!N14&gt;1,('단위공사별(집계)'!D14+'단위공사별(집계)'!E14+'단위공사별(집계)'!F14+'단위공사별(집계)'!G14+'단위공사별(집계)'!H14+'단위공사별(집계)'!I14)/1000," ")</f>
        <v>30601.753879465898</v>
      </c>
      <c r="F24" s="35"/>
      <c r="G24" s="32">
        <f>IF('단위공사별(집계)'!N14&gt;0,('단위공사별(집계)'!L14+'단위공사별(집계)'!M14)/1000,"")</f>
        <v>106.25099242150847</v>
      </c>
      <c r="H24" s="36">
        <f>IF('단위공사별(집계)'!N14&gt;0,'단위공사별(집계)'!N14/1000,"")</f>
        <v>43626.95110068567</v>
      </c>
      <c r="I24" s="33"/>
      <c r="L24" s="457"/>
    </row>
    <row r="25" spans="1:13" s="26" customFormat="1" ht="24.95" customHeight="1" x14ac:dyDescent="0.15">
      <c r="B25" s="37">
        <v>9</v>
      </c>
      <c r="C25" s="554" t="str">
        <f>IF('단위공사별(집계)'!N15&gt;0,'단위공사별(집계)'!B15,"")</f>
        <v>RG3공유 리툴링</v>
      </c>
      <c r="D25" s="555"/>
      <c r="E25" s="34">
        <f>IF('단위공사별(집계)'!N15&gt;1,('단위공사별(집계)'!D15+'단위공사별(집계)'!E15+'단위공사별(집계)'!F15+'단위공사별(집계)'!G15+'단위공사별(집계)'!H15+'단위공사별(집계)'!I15)/1000," ")</f>
        <v>10290.855286900036</v>
      </c>
      <c r="F25" s="35"/>
      <c r="G25" s="32">
        <f>IF('단위공사별(집계)'!N15&gt;0,('단위공사별(집계)'!L15+'단위공사별(집계)'!M15)/1000,"")</f>
        <v>35.730422230241793</v>
      </c>
      <c r="H25" s="36">
        <f>IF('단위공사별(집계)'!N15&gt;0,'단위공사별(집계)'!N15/1000,"")</f>
        <v>14671.010104655359</v>
      </c>
      <c r="I25" s="33"/>
      <c r="L25" s="457"/>
    </row>
    <row r="26" spans="1:13" s="26" customFormat="1" ht="24.95" customHeight="1" x14ac:dyDescent="0.15">
      <c r="B26" s="38">
        <v>10</v>
      </c>
      <c r="C26" s="558" t="str">
        <f>IF('단위공사별(집계)'!N16&gt;0,'단위공사별(집계)'!B16,"")</f>
        <v>스토퍼링 P/FROOF</v>
      </c>
      <c r="D26" s="559"/>
      <c r="E26" s="39">
        <f>IF('단위공사별(집계)'!N16&gt;1,('단위공사별(집계)'!D16+'단위공사별(집계)'!E16+'단위공사별(집계)'!F16+'단위공사별(집계)'!G16+'단위공사별(집계)'!H16+'단위공사별(집계)'!I16)/1000," ")</f>
        <v>56429.192830506436</v>
      </c>
      <c r="F26" s="40"/>
      <c r="G26" s="41">
        <f>IF('단위공사별(집계)'!N16&gt;0,('단위공사별(집계)'!L16+'단위공사별(집계)'!M16)/1000,"")</f>
        <v>195.92529772645256</v>
      </c>
      <c r="H26" s="42">
        <f>IF('단위공사별(집계)'!N16&gt;0,'단위공사별(집계)'!N16/1000,"")</f>
        <v>80447.468663539039</v>
      </c>
      <c r="I26" s="43"/>
    </row>
    <row r="27" spans="1:13" ht="24.95" customHeight="1" x14ac:dyDescent="0.15">
      <c r="B27" s="560" t="s">
        <v>18</v>
      </c>
      <c r="C27" s="561"/>
      <c r="D27" s="562"/>
      <c r="E27" s="44">
        <f>SUM(E17:E26)</f>
        <v>166760</v>
      </c>
      <c r="F27" s="45">
        <f>SUM(F17:F23)</f>
        <v>70400</v>
      </c>
      <c r="G27" s="45">
        <f>SUM(G17:G26)</f>
        <v>579</v>
      </c>
      <c r="H27" s="46">
        <f>ROUNDDOWN(SUM(H17:H26),-2)</f>
        <v>237700</v>
      </c>
      <c r="I27" s="47"/>
      <c r="J27" s="48"/>
    </row>
    <row r="28" spans="1:13" ht="4.5" customHeight="1" x14ac:dyDescent="0.15">
      <c r="A28" s="49"/>
      <c r="B28" s="50"/>
      <c r="C28" s="51"/>
      <c r="D28" s="51"/>
      <c r="E28" s="52"/>
      <c r="F28" s="52"/>
      <c r="G28" s="52"/>
      <c r="H28" s="52"/>
      <c r="I28" s="49"/>
    </row>
    <row r="29" spans="1:13" ht="24" customHeight="1" x14ac:dyDescent="0.15">
      <c r="A29" s="49"/>
      <c r="B29" s="51"/>
      <c r="C29" s="51"/>
      <c r="D29" s="51"/>
      <c r="E29" s="52"/>
      <c r="F29" s="548" t="s">
        <v>19</v>
      </c>
      <c r="G29" s="549"/>
      <c r="H29" s="53">
        <v>237700</v>
      </c>
      <c r="I29" s="49"/>
    </row>
    <row r="30" spans="1:13" ht="15" customHeight="1" x14ac:dyDescent="0.15">
      <c r="A30" s="49"/>
      <c r="B30" s="51"/>
      <c r="C30" s="51"/>
      <c r="D30" s="51"/>
      <c r="E30" s="52"/>
      <c r="F30" s="52"/>
      <c r="G30" s="52"/>
      <c r="H30" s="52"/>
      <c r="I30" s="49"/>
    </row>
    <row r="31" spans="1:13" ht="22.5" customHeight="1" x14ac:dyDescent="0.15">
      <c r="B31" s="521" t="s">
        <v>20</v>
      </c>
      <c r="C31" s="524" t="s">
        <v>21</v>
      </c>
      <c r="D31" s="525"/>
      <c r="E31" s="526"/>
      <c r="F31" s="527" t="s">
        <v>22</v>
      </c>
      <c r="G31" s="528"/>
      <c r="H31" s="528"/>
      <c r="I31" s="529"/>
    </row>
    <row r="32" spans="1:13" ht="22.5" customHeight="1" x14ac:dyDescent="0.15">
      <c r="B32" s="522"/>
      <c r="C32" s="530" t="s">
        <v>23</v>
      </c>
      <c r="D32" s="531"/>
      <c r="E32" s="532"/>
      <c r="F32" s="54" t="s">
        <v>24</v>
      </c>
      <c r="G32" s="533"/>
      <c r="H32" s="534"/>
      <c r="I32" s="535"/>
    </row>
    <row r="33" spans="2:9" ht="22.5" customHeight="1" x14ac:dyDescent="0.15">
      <c r="B33" s="522"/>
      <c r="C33" s="536">
        <f>'원가항목별(집계)'!I39</f>
        <v>579000</v>
      </c>
      <c r="D33" s="537"/>
      <c r="E33" s="538"/>
      <c r="F33" s="55" t="s">
        <v>25</v>
      </c>
      <c r="G33" s="539"/>
      <c r="H33" s="540"/>
      <c r="I33" s="541"/>
    </row>
    <row r="34" spans="2:9" ht="22.5" customHeight="1" x14ac:dyDescent="0.15">
      <c r="B34" s="522"/>
      <c r="C34" s="542"/>
      <c r="D34" s="543"/>
      <c r="E34" s="544"/>
      <c r="F34" s="55" t="s">
        <v>26</v>
      </c>
      <c r="G34" s="539"/>
      <c r="H34" s="540"/>
      <c r="I34" s="541"/>
    </row>
    <row r="35" spans="2:9" ht="22.5" customHeight="1" x14ac:dyDescent="0.15">
      <c r="B35" s="523"/>
      <c r="C35" s="545"/>
      <c r="D35" s="546"/>
      <c r="E35" s="547"/>
      <c r="F35" s="56" t="s">
        <v>27</v>
      </c>
      <c r="G35" s="518"/>
      <c r="H35" s="519"/>
      <c r="I35" s="520"/>
    </row>
  </sheetData>
  <mergeCells count="35">
    <mergeCell ref="I15:I16"/>
    <mergeCell ref="B2:I2"/>
    <mergeCell ref="B4:D4"/>
    <mergeCell ref="B5:C5"/>
    <mergeCell ref="B6:C6"/>
    <mergeCell ref="B7:B8"/>
    <mergeCell ref="B9:C9"/>
    <mergeCell ref="B10:C10"/>
    <mergeCell ref="B11:C11"/>
    <mergeCell ref="B15:B16"/>
    <mergeCell ref="C15:D16"/>
    <mergeCell ref="E15:H15"/>
    <mergeCell ref="F29:G29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G35:I35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horizontalDpi="4294967292" r:id="rId1"/>
  <headerFooter alignWithMargins="0"/>
  <ignoredErrors>
    <ignoredError sqref="F2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49"/>
  <sheetViews>
    <sheetView showGridLines="0" zoomScale="85" zoomScaleNormal="85" workbookViewId="0">
      <pane ySplit="6" topLeftCell="A19" activePane="bottomLeft" state="frozen"/>
      <selection activeCell="G33" sqref="G33:I33"/>
      <selection pane="bottomLeft" activeCell="I39" sqref="I39"/>
    </sheetView>
  </sheetViews>
  <sheetFormatPr defaultRowHeight="19.5" customHeight="1" x14ac:dyDescent="0.15"/>
  <cols>
    <col min="1" max="1" width="0.5" style="57" customWidth="1"/>
    <col min="2" max="2" width="5.25" style="57" bestFit="1" customWidth="1"/>
    <col min="3" max="3" width="7.375" style="57" customWidth="1"/>
    <col min="4" max="4" width="8.875" style="57" customWidth="1"/>
    <col min="5" max="5" width="17.75" style="57" customWidth="1"/>
    <col min="6" max="6" width="6.375" style="58" customWidth="1"/>
    <col min="7" max="7" width="8.875" style="59" customWidth="1"/>
    <col min="8" max="8" width="9.75" style="60" customWidth="1"/>
    <col min="9" max="9" width="17.5" style="60" bestFit="1" customWidth="1"/>
    <col min="10" max="10" width="15.625" style="57" customWidth="1"/>
    <col min="11" max="11" width="13.75" style="61" bestFit="1" customWidth="1"/>
    <col min="12" max="12" width="10.875" style="57" bestFit="1" customWidth="1"/>
    <col min="13" max="16384" width="9" style="57"/>
  </cols>
  <sheetData>
    <row r="2" spans="2:11" s="69" customFormat="1" ht="26.25" customHeight="1" x14ac:dyDescent="0.15">
      <c r="B2" s="62"/>
      <c r="C2" s="63" t="s">
        <v>28</v>
      </c>
      <c r="D2" s="64"/>
      <c r="E2" s="64"/>
      <c r="F2" s="65"/>
      <c r="G2" s="66"/>
      <c r="H2" s="67"/>
      <c r="I2" s="67"/>
      <c r="J2" s="64"/>
      <c r="K2" s="68"/>
    </row>
    <row r="3" spans="2:11" s="69" customFormat="1" ht="19.5" customHeight="1" x14ac:dyDescent="0.15">
      <c r="B3" s="62"/>
      <c r="C3" s="63"/>
      <c r="D3" s="64"/>
      <c r="E3" s="64"/>
      <c r="F3" s="65"/>
      <c r="G3" s="66"/>
      <c r="H3" s="67"/>
      <c r="I3" s="67"/>
      <c r="J3" s="64"/>
      <c r="K3" s="68"/>
    </row>
    <row r="4" spans="2:11" ht="30" customHeight="1" x14ac:dyDescent="0.15">
      <c r="B4" s="70" t="s">
        <v>29</v>
      </c>
      <c r="D4" s="71"/>
      <c r="J4" s="58"/>
    </row>
    <row r="5" spans="2:11" s="58" customFormat="1" ht="8.25" customHeight="1" x14ac:dyDescent="0.15">
      <c r="B5" s="72"/>
      <c r="C5" s="629"/>
      <c r="D5" s="630"/>
      <c r="E5" s="631"/>
      <c r="F5" s="73"/>
      <c r="G5" s="74"/>
      <c r="H5" s="74"/>
      <c r="I5" s="74"/>
      <c r="J5" s="75"/>
      <c r="K5" s="76"/>
    </row>
    <row r="6" spans="2:11" s="58" customFormat="1" ht="22.5" customHeight="1" thickBot="1" x14ac:dyDescent="0.2">
      <c r="B6" s="77" t="s">
        <v>30</v>
      </c>
      <c r="C6" s="632" t="s">
        <v>31</v>
      </c>
      <c r="D6" s="633"/>
      <c r="E6" s="634"/>
      <c r="F6" s="325" t="s">
        <v>16</v>
      </c>
      <c r="G6" s="78" t="s">
        <v>15</v>
      </c>
      <c r="H6" s="78" t="s">
        <v>32</v>
      </c>
      <c r="I6" s="78" t="s">
        <v>33</v>
      </c>
      <c r="J6" s="79" t="s">
        <v>34</v>
      </c>
      <c r="K6" s="76"/>
    </row>
    <row r="7" spans="2:11" ht="19.5" customHeight="1" thickTop="1" x14ac:dyDescent="0.15">
      <c r="B7" s="619">
        <v>1</v>
      </c>
      <c r="C7" s="635" t="s">
        <v>35</v>
      </c>
      <c r="D7" s="624" t="s">
        <v>36</v>
      </c>
      <c r="E7" s="80" t="s">
        <v>37</v>
      </c>
      <c r="F7" s="81" t="s">
        <v>38</v>
      </c>
      <c r="G7" s="82">
        <f>'#10'!F19+'#20'!F30+'#30'!F30+'#40'!F30+'#50'!F30+'#60'!F30+'#70'!F27+'#80'!F30+'#90'!F30+'#100'!F30</f>
        <v>0</v>
      </c>
      <c r="H7" s="83"/>
      <c r="I7" s="83">
        <f>'#10'!H13+'#20'!H24+'#30'!H24+'#40'!H24+'#50'!H24+'#60'!H24+'#70'!H21+'#80'!H24+'#90'!H24+'#100'!H24</f>
        <v>35250000</v>
      </c>
      <c r="J7" s="84" t="s">
        <v>39</v>
      </c>
    </row>
    <row r="8" spans="2:11" ht="19.5" customHeight="1" x14ac:dyDescent="0.15">
      <c r="B8" s="619"/>
      <c r="C8" s="624"/>
      <c r="D8" s="624"/>
      <c r="E8" s="85" t="s">
        <v>40</v>
      </c>
      <c r="F8" s="86" t="s">
        <v>41</v>
      </c>
      <c r="G8" s="87">
        <v>1</v>
      </c>
      <c r="H8" s="88"/>
      <c r="I8" s="88">
        <f>'#10'!H37+'#20'!H47+'#30'!H47+'#40'!H47+'#50'!H47+'#60'!H64+'#70'!H44+'#80'!H59+'#90'!H47+'#100'!H47</f>
        <v>87560000</v>
      </c>
      <c r="J8" s="89" t="s">
        <v>42</v>
      </c>
    </row>
    <row r="9" spans="2:11" ht="19.5" customHeight="1" x14ac:dyDescent="0.15">
      <c r="B9" s="619"/>
      <c r="C9" s="624"/>
      <c r="D9" s="624"/>
      <c r="E9" s="85" t="s">
        <v>43</v>
      </c>
      <c r="F9" s="86" t="s">
        <v>41</v>
      </c>
      <c r="G9" s="90">
        <v>1</v>
      </c>
      <c r="H9" s="88"/>
      <c r="I9" s="88">
        <f>'#10'!H45+'#20'!H55+'#30'!H55+'#40'!H55+'#50'!H55+'#60'!H72+'#70'!H52+'#80'!H67+'#90'!H55+'#100'!H55</f>
        <v>0</v>
      </c>
      <c r="J9" s="89" t="s">
        <v>44</v>
      </c>
    </row>
    <row r="10" spans="2:11" ht="19.5" customHeight="1" x14ac:dyDescent="0.15">
      <c r="B10" s="619"/>
      <c r="C10" s="624"/>
      <c r="D10" s="624"/>
      <c r="E10" s="91" t="s">
        <v>45</v>
      </c>
      <c r="F10" s="92" t="s">
        <v>41</v>
      </c>
      <c r="G10" s="93">
        <v>1</v>
      </c>
      <c r="H10" s="94"/>
      <c r="I10" s="94">
        <f>'#10'!H19+'#20'!H30+'#30'!H30+'#40'!H30+'#50'!H30+'#60'!H30+'#70'!H27+'#80'!H30+'#90'!H30+'#100'!H30</f>
        <v>0</v>
      </c>
      <c r="J10" s="95" t="s">
        <v>46</v>
      </c>
    </row>
    <row r="11" spans="2:11" ht="19.5" customHeight="1" x14ac:dyDescent="0.15">
      <c r="B11" s="619"/>
      <c r="C11" s="624"/>
      <c r="D11" s="594"/>
      <c r="E11" s="96" t="s">
        <v>47</v>
      </c>
      <c r="F11" s="600"/>
      <c r="G11" s="601"/>
      <c r="H11" s="602"/>
      <c r="I11" s="97">
        <f>SUM(I7:I10)</f>
        <v>122810000</v>
      </c>
      <c r="J11" s="89"/>
    </row>
    <row r="12" spans="2:11" ht="19.5" customHeight="1" x14ac:dyDescent="0.15">
      <c r="B12" s="619"/>
      <c r="C12" s="624"/>
      <c r="D12" s="628" t="s">
        <v>48</v>
      </c>
      <c r="E12" s="98" t="s">
        <v>49</v>
      </c>
      <c r="F12" s="92" t="s">
        <v>50</v>
      </c>
      <c r="G12" s="94">
        <f>'#10'!F47+'#20'!F57+'#30'!F57+'#40'!F57+'#50'!F57+'#60'!F74+'#70'!F54+'#80'!F69+'#90'!F57+'#100'!F57</f>
        <v>1</v>
      </c>
      <c r="H12" s="94">
        <f>IF('#10'!G47&gt;0,'#10'!G47,"")</f>
        <v>250000</v>
      </c>
      <c r="I12" s="94">
        <f>'#10'!H47+'#20'!H57+'#30'!H57+'#40'!H57+'#50'!H57+'#60'!H74+'#70'!H54+'#80'!H69+'#90'!H57+'#100'!H57</f>
        <v>300000</v>
      </c>
      <c r="J12" s="89" t="s">
        <v>51</v>
      </c>
    </row>
    <row r="13" spans="2:11" ht="19.5" customHeight="1" x14ac:dyDescent="0.15">
      <c r="B13" s="619"/>
      <c r="C13" s="624"/>
      <c r="D13" s="624"/>
      <c r="E13" s="85" t="s">
        <v>52</v>
      </c>
      <c r="F13" s="86" t="s">
        <v>50</v>
      </c>
      <c r="G13" s="88">
        <f>'#10'!F48+'#20'!F58+'#30'!F58+'#40'!F58+'#50'!F58+'#60'!F75+'#70'!F55+'#80'!F70+'#90'!F58+'#100'!F58</f>
        <v>45</v>
      </c>
      <c r="H13" s="88">
        <f>IF('#10'!G48&gt;0,'#10'!G48,"")</f>
        <v>300000</v>
      </c>
      <c r="I13" s="88">
        <f>'#10'!H48+'#20'!H58+'#30'!H58+'#40'!H58+'#50'!H58+'#60'!H75+'#70'!H55+'#80'!H70+'#90'!H58+'#100'!H58</f>
        <v>13500000</v>
      </c>
      <c r="J13" s="89"/>
    </row>
    <row r="14" spans="2:11" ht="19.5" customHeight="1" x14ac:dyDescent="0.15">
      <c r="B14" s="619"/>
      <c r="C14" s="624"/>
      <c r="D14" s="624"/>
      <c r="E14" s="85" t="s">
        <v>53</v>
      </c>
      <c r="F14" s="86" t="s">
        <v>50</v>
      </c>
      <c r="G14" s="88">
        <f>'#10'!F49+'#20'!F59+'#30'!F59+'#40'!F59+'#50'!F59+'#60'!F76+'#70'!F56+'#80'!F71+'#90'!F59+'#100'!F59</f>
        <v>18</v>
      </c>
      <c r="H14" s="88">
        <f>IF('#10'!G49&gt;0,'#10'!G49,"")</f>
        <v>250000</v>
      </c>
      <c r="I14" s="88">
        <f>'#10'!H49+'#20'!H59+'#30'!H59+'#40'!H59+'#50'!H59+'#60'!H76+'#70'!H56+'#80'!H71+'#90'!H59+'#100'!H59</f>
        <v>4500000</v>
      </c>
      <c r="J14" s="89"/>
    </row>
    <row r="15" spans="2:11" ht="19.5" customHeight="1" x14ac:dyDescent="0.15">
      <c r="B15" s="619"/>
      <c r="C15" s="624"/>
      <c r="D15" s="624"/>
      <c r="E15" s="85" t="s">
        <v>54</v>
      </c>
      <c r="F15" s="86" t="s">
        <v>50</v>
      </c>
      <c r="G15" s="88">
        <f>'#10'!F50+'#20'!F60+'#30'!F60+'#40'!F60+'#50'!F60+'#60'!F77+'#70'!F57+'#80'!F72+'#90'!F60+'#100'!F60</f>
        <v>31</v>
      </c>
      <c r="H15" s="88">
        <f>IF('#10'!G50&gt;0,'#10'!G50,"")</f>
        <v>250000</v>
      </c>
      <c r="I15" s="88">
        <f>'#10'!H50+'#20'!H60+'#30'!H60+'#40'!H60+'#50'!H60+'#60'!H77+'#70'!H57+'#80'!H72+'#90'!H60+'#100'!H60</f>
        <v>7750000</v>
      </c>
      <c r="J15" s="89" t="s">
        <v>55</v>
      </c>
    </row>
    <row r="16" spans="2:11" ht="19.5" customHeight="1" x14ac:dyDescent="0.15">
      <c r="B16" s="619"/>
      <c r="C16" s="624"/>
      <c r="D16" s="624"/>
      <c r="E16" s="98" t="s">
        <v>56</v>
      </c>
      <c r="F16" s="92" t="s">
        <v>50</v>
      </c>
      <c r="G16" s="94">
        <f>'#10'!F51+'#20'!F61+'#30'!F61+'#40'!F61+'#50'!F61+'#60'!F78+'#70'!F58+'#80'!F73+'#90'!F61+'#100'!F61</f>
        <v>15</v>
      </c>
      <c r="H16" s="94">
        <f>IF('#10'!G51&gt;0,'#10'!G51,"")</f>
        <v>300000</v>
      </c>
      <c r="I16" s="94">
        <f>'#10'!H51+'#20'!H61+'#30'!H61+'#40'!H61+'#50'!H61+'#60'!H78+'#70'!H58+'#80'!H73+'#90'!H61+'#100'!H61</f>
        <v>4500000</v>
      </c>
      <c r="J16" s="89"/>
    </row>
    <row r="17" spans="2:10" ht="19.5" customHeight="1" x14ac:dyDescent="0.15">
      <c r="B17" s="619"/>
      <c r="C17" s="624"/>
      <c r="D17" s="624"/>
      <c r="E17" s="98" t="s">
        <v>57</v>
      </c>
      <c r="F17" s="92" t="s">
        <v>50</v>
      </c>
      <c r="G17" s="94">
        <f>'#10'!F52+'#20'!F62+'#30'!F62+'#40'!F62+'#50'!F62+'#60'!F79+'#70'!F59+'#80'!F74+'#90'!F62+'#100'!F62</f>
        <v>16</v>
      </c>
      <c r="H17" s="94">
        <f>IF('#10'!G52&gt;0,'#10'!G52,"")</f>
        <v>300000</v>
      </c>
      <c r="I17" s="94">
        <f>'#10'!H52+'#20'!H62+'#30'!H62+'#40'!H62+'#50'!H62+'#60'!H79+'#70'!H59+'#80'!H74+'#90'!H62+'#100'!H62</f>
        <v>4800000</v>
      </c>
      <c r="J17" s="89"/>
    </row>
    <row r="18" spans="2:10" ht="19.5" customHeight="1" x14ac:dyDescent="0.15">
      <c r="B18" s="619"/>
      <c r="C18" s="624"/>
      <c r="D18" s="624"/>
      <c r="E18" s="85" t="s">
        <v>58</v>
      </c>
      <c r="F18" s="86" t="s">
        <v>50</v>
      </c>
      <c r="G18" s="88">
        <f>'#10'!F53+'#20'!F63+'#30'!F63+'#40'!F63+'#50'!F63+'#60'!F80+'#70'!F60+'#80'!F75+'#90'!F63+'#100'!F63</f>
        <v>12</v>
      </c>
      <c r="H18" s="88">
        <f>IF('#10'!G53&gt;0,'#10'!G53,"")</f>
        <v>300000</v>
      </c>
      <c r="I18" s="88">
        <f>'#10'!H53+'#20'!H63+'#30'!H63+'#40'!H63+'#50'!H63+'#60'!H80+'#70'!H60+'#80'!H75+'#90'!H63+'#100'!H63</f>
        <v>3600000</v>
      </c>
      <c r="J18" s="89"/>
    </row>
    <row r="19" spans="2:10" ht="19.5" customHeight="1" x14ac:dyDescent="0.15">
      <c r="B19" s="619"/>
      <c r="C19" s="624"/>
      <c r="D19" s="624"/>
      <c r="E19" s="85" t="s">
        <v>59</v>
      </c>
      <c r="F19" s="86" t="s">
        <v>50</v>
      </c>
      <c r="G19" s="88">
        <f>'#10'!F54+'#20'!F64+'#30'!F64+'#40'!F64+'#50'!F64+'#60'!F81+'#70'!F61+'#80'!F76+'#90'!F64+'#100'!F64</f>
        <v>18</v>
      </c>
      <c r="H19" s="88">
        <f>IF('#10'!G54&gt;0,'#10'!G54,"")</f>
        <v>250000</v>
      </c>
      <c r="I19" s="88">
        <f>'#10'!H54+'#20'!H64+'#30'!H64+'#40'!H64+'#50'!H64+'#60'!H81+'#70'!H61+'#80'!H76+'#90'!H64+'#100'!H64</f>
        <v>4500000</v>
      </c>
      <c r="J19" s="89"/>
    </row>
    <row r="20" spans="2:10" ht="19.5" customHeight="1" x14ac:dyDescent="0.15">
      <c r="B20" s="619"/>
      <c r="C20" s="624"/>
      <c r="D20" s="594"/>
      <c r="E20" s="96" t="s">
        <v>60</v>
      </c>
      <c r="F20" s="600"/>
      <c r="G20" s="601"/>
      <c r="H20" s="602"/>
      <c r="I20" s="97">
        <f>SUM(I12:I19)</f>
        <v>43450000</v>
      </c>
      <c r="J20" s="89"/>
    </row>
    <row r="21" spans="2:10" ht="19.5" customHeight="1" x14ac:dyDescent="0.15">
      <c r="B21" s="619"/>
      <c r="C21" s="624"/>
      <c r="D21" s="99" t="s">
        <v>61</v>
      </c>
      <c r="E21" s="100"/>
      <c r="F21" s="600"/>
      <c r="G21" s="601"/>
      <c r="H21" s="602"/>
      <c r="I21" s="101">
        <f>'#10'!H57+'#10'!H58+'#20'!H67+'#20'!H68+'#30'!H67+'#30'!H68+'#40'!H67+'#40'!H68+'#50'!H67+'#50'!H68+'#60'!H84+'#60'!H85+'#70'!H64+'#70'!H65+'#80'!H79+'#80'!H80+'#90'!H67+'#90'!H68+'#100'!H67+'#100'!H68</f>
        <v>0</v>
      </c>
      <c r="J21" s="102"/>
    </row>
    <row r="22" spans="2:10" ht="19.5" customHeight="1" x14ac:dyDescent="0.15">
      <c r="B22" s="620"/>
      <c r="C22" s="625"/>
      <c r="D22" s="103"/>
      <c r="E22" s="104" t="s">
        <v>62</v>
      </c>
      <c r="F22" s="576"/>
      <c r="G22" s="577"/>
      <c r="H22" s="578"/>
      <c r="I22" s="105">
        <f>I20+I11+I21</f>
        <v>166260000</v>
      </c>
      <c r="J22" s="106"/>
    </row>
    <row r="23" spans="2:10" ht="19.5" customHeight="1" x14ac:dyDescent="0.15">
      <c r="B23" s="618">
        <v>2</v>
      </c>
      <c r="C23" s="621" t="s">
        <v>63</v>
      </c>
      <c r="D23" s="626" t="s">
        <v>64</v>
      </c>
      <c r="E23" s="107" t="s">
        <v>65</v>
      </c>
      <c r="F23" s="108" t="s">
        <v>66</v>
      </c>
      <c r="G23" s="109">
        <v>1</v>
      </c>
      <c r="H23" s="109"/>
      <c r="I23" s="109">
        <f>전기!H50-I24</f>
        <v>52200000</v>
      </c>
      <c r="J23" s="110"/>
    </row>
    <row r="24" spans="2:10" ht="19.5" customHeight="1" x14ac:dyDescent="0.15">
      <c r="B24" s="619"/>
      <c r="C24" s="622"/>
      <c r="D24" s="627"/>
      <c r="E24" s="91" t="s">
        <v>67</v>
      </c>
      <c r="F24" s="111" t="s">
        <v>68</v>
      </c>
      <c r="G24" s="112">
        <v>1</v>
      </c>
      <c r="H24" s="112"/>
      <c r="I24" s="112">
        <f>전기!H16</f>
        <v>0</v>
      </c>
      <c r="J24" s="95" t="s">
        <v>46</v>
      </c>
    </row>
    <row r="25" spans="2:10" ht="19.5" customHeight="1" x14ac:dyDescent="0.15">
      <c r="B25" s="619"/>
      <c r="C25" s="623"/>
      <c r="D25" s="628" t="s">
        <v>69</v>
      </c>
      <c r="E25" s="98" t="s">
        <v>70</v>
      </c>
      <c r="F25" s="92" t="s">
        <v>71</v>
      </c>
      <c r="G25" s="94">
        <f>전기!F51</f>
        <v>0</v>
      </c>
      <c r="H25" s="94">
        <f>IF(전기!G51&gt;0,전기!G51,"")</f>
        <v>300000</v>
      </c>
      <c r="I25" s="94">
        <f>전기!H51</f>
        <v>0</v>
      </c>
      <c r="J25" s="89"/>
    </row>
    <row r="26" spans="2:10" ht="19.5" customHeight="1" x14ac:dyDescent="0.15">
      <c r="B26" s="619"/>
      <c r="C26" s="623"/>
      <c r="D26" s="624"/>
      <c r="E26" s="85" t="s">
        <v>72</v>
      </c>
      <c r="F26" s="86" t="s">
        <v>50</v>
      </c>
      <c r="G26" s="88">
        <f>전기!F52</f>
        <v>20</v>
      </c>
      <c r="H26" s="88">
        <f>IF(전기!G52&gt;0,전기!G52,"")</f>
        <v>300000</v>
      </c>
      <c r="I26" s="88">
        <f>전기!H52</f>
        <v>6000000</v>
      </c>
      <c r="J26" s="89"/>
    </row>
    <row r="27" spans="2:10" ht="19.5" customHeight="1" x14ac:dyDescent="0.15">
      <c r="B27" s="619"/>
      <c r="C27" s="623"/>
      <c r="D27" s="624"/>
      <c r="E27" s="85" t="s">
        <v>73</v>
      </c>
      <c r="F27" s="86" t="s">
        <v>50</v>
      </c>
      <c r="G27" s="88">
        <f>전기!F53</f>
        <v>10</v>
      </c>
      <c r="H27" s="88">
        <f>IF(전기!G53&gt;0,전기!G53,"")</f>
        <v>250000</v>
      </c>
      <c r="I27" s="88">
        <f>전기!H53</f>
        <v>2500000</v>
      </c>
      <c r="J27" s="89"/>
    </row>
    <row r="28" spans="2:10" ht="19.5" customHeight="1" x14ac:dyDescent="0.15">
      <c r="B28" s="619"/>
      <c r="C28" s="623"/>
      <c r="D28" s="624"/>
      <c r="E28" s="85" t="s">
        <v>74</v>
      </c>
      <c r="F28" s="86" t="s">
        <v>75</v>
      </c>
      <c r="G28" s="88">
        <f>전기!F54</f>
        <v>10</v>
      </c>
      <c r="H28" s="88">
        <f>IF(전기!G54&gt;0,전기!G54,"")</f>
        <v>250000</v>
      </c>
      <c r="I28" s="88">
        <f>전기!H54</f>
        <v>2500000</v>
      </c>
      <c r="J28" s="89"/>
    </row>
    <row r="29" spans="2:10" ht="19.5" customHeight="1" x14ac:dyDescent="0.15">
      <c r="B29" s="619"/>
      <c r="C29" s="623"/>
      <c r="D29" s="624"/>
      <c r="E29" s="98" t="s">
        <v>76</v>
      </c>
      <c r="F29" s="92" t="s">
        <v>71</v>
      </c>
      <c r="G29" s="94">
        <f>전기!F55</f>
        <v>10</v>
      </c>
      <c r="H29" s="94">
        <f>IF(전기!G55&gt;0,전기!G55,"")</f>
        <v>300000</v>
      </c>
      <c r="I29" s="94">
        <f>전기!H55</f>
        <v>3000000</v>
      </c>
      <c r="J29" s="89"/>
    </row>
    <row r="30" spans="2:10" ht="19.5" customHeight="1" x14ac:dyDescent="0.15">
      <c r="B30" s="619"/>
      <c r="C30" s="623"/>
      <c r="D30" s="624"/>
      <c r="E30" s="98" t="s">
        <v>57</v>
      </c>
      <c r="F30" s="92" t="s">
        <v>50</v>
      </c>
      <c r="G30" s="94">
        <f>전기!F56</f>
        <v>10</v>
      </c>
      <c r="H30" s="94">
        <f>IF(전기!G56&gt;0,전기!G56,"")</f>
        <v>300000</v>
      </c>
      <c r="I30" s="94">
        <f>전기!H56</f>
        <v>3000000</v>
      </c>
      <c r="J30" s="89"/>
    </row>
    <row r="31" spans="2:10" ht="19.5" customHeight="1" x14ac:dyDescent="0.15">
      <c r="B31" s="619"/>
      <c r="C31" s="623"/>
      <c r="D31" s="624"/>
      <c r="E31" s="85" t="s">
        <v>58</v>
      </c>
      <c r="F31" s="86" t="s">
        <v>50</v>
      </c>
      <c r="G31" s="88">
        <f>전기!F57</f>
        <v>4</v>
      </c>
      <c r="H31" s="88">
        <f>IF(전기!G57&gt;0,전기!G57,"")</f>
        <v>300000</v>
      </c>
      <c r="I31" s="88">
        <f>전기!H57</f>
        <v>1200000</v>
      </c>
      <c r="J31" s="89"/>
    </row>
    <row r="32" spans="2:10" ht="19.5" customHeight="1" x14ac:dyDescent="0.15">
      <c r="B32" s="619"/>
      <c r="C32" s="623"/>
      <c r="D32" s="594"/>
      <c r="E32" s="96" t="s">
        <v>77</v>
      </c>
      <c r="F32" s="600"/>
      <c r="G32" s="601"/>
      <c r="H32" s="602"/>
      <c r="I32" s="97">
        <f>SUM(I25:I31)</f>
        <v>18200000</v>
      </c>
      <c r="J32" s="89"/>
    </row>
    <row r="33" spans="2:13" ht="19.5" customHeight="1" x14ac:dyDescent="0.15">
      <c r="B33" s="619"/>
      <c r="C33" s="624"/>
      <c r="D33" s="99" t="s">
        <v>78</v>
      </c>
      <c r="E33" s="100"/>
      <c r="F33" s="600"/>
      <c r="G33" s="601"/>
      <c r="H33" s="602"/>
      <c r="I33" s="101">
        <f>전기!H60+전기!H61</f>
        <v>0</v>
      </c>
      <c r="J33" s="102"/>
    </row>
    <row r="34" spans="2:13" ht="19.5" customHeight="1" x14ac:dyDescent="0.15">
      <c r="B34" s="620"/>
      <c r="C34" s="625"/>
      <c r="D34" s="103"/>
      <c r="E34" s="104" t="s">
        <v>79</v>
      </c>
      <c r="F34" s="576"/>
      <c r="G34" s="577"/>
      <c r="H34" s="578"/>
      <c r="I34" s="105">
        <f>I32+I23+I33+I24</f>
        <v>70400000</v>
      </c>
      <c r="J34" s="106"/>
    </row>
    <row r="35" spans="2:13" ht="19.5" customHeight="1" x14ac:dyDescent="0.15">
      <c r="B35" s="609">
        <v>3</v>
      </c>
      <c r="C35" s="612" t="s">
        <v>80</v>
      </c>
      <c r="D35" s="613"/>
      <c r="E35" s="614"/>
      <c r="F35" s="612"/>
      <c r="G35" s="613"/>
      <c r="H35" s="614"/>
      <c r="I35" s="113">
        <f>I23+I11+I24</f>
        <v>175010000</v>
      </c>
      <c r="J35" s="110"/>
    </row>
    <row r="36" spans="2:13" ht="19.5" customHeight="1" x14ac:dyDescent="0.15">
      <c r="B36" s="610"/>
      <c r="C36" s="600" t="s">
        <v>81</v>
      </c>
      <c r="D36" s="601"/>
      <c r="E36" s="602"/>
      <c r="F36" s="600"/>
      <c r="G36" s="601"/>
      <c r="H36" s="602"/>
      <c r="I36" s="97">
        <f>I32+I20</f>
        <v>61650000</v>
      </c>
      <c r="J36" s="89"/>
    </row>
    <row r="37" spans="2:13" ht="19.5" customHeight="1" thickBot="1" x14ac:dyDescent="0.2">
      <c r="B37" s="611"/>
      <c r="C37" s="615" t="s">
        <v>82</v>
      </c>
      <c r="D37" s="615"/>
      <c r="E37" s="616"/>
      <c r="F37" s="617"/>
      <c r="G37" s="615"/>
      <c r="H37" s="616"/>
      <c r="I37" s="114">
        <f>I36+I35</f>
        <v>236660000</v>
      </c>
      <c r="J37" s="115"/>
    </row>
    <row r="38" spans="2:13" ht="20.25" customHeight="1" x14ac:dyDescent="0.15">
      <c r="B38" s="116">
        <v>4</v>
      </c>
      <c r="C38" s="594" t="s">
        <v>83</v>
      </c>
      <c r="D38" s="595"/>
      <c r="E38" s="596"/>
      <c r="F38" s="597"/>
      <c r="G38" s="598"/>
      <c r="H38" s="599"/>
      <c r="I38" s="117">
        <v>500000</v>
      </c>
      <c r="J38" s="118"/>
    </row>
    <row r="39" spans="2:13" ht="22.5" customHeight="1" x14ac:dyDescent="0.15">
      <c r="B39" s="119">
        <v>5</v>
      </c>
      <c r="C39" s="600" t="s">
        <v>84</v>
      </c>
      <c r="D39" s="601"/>
      <c r="E39" s="602"/>
      <c r="F39" s="603" t="s">
        <v>85</v>
      </c>
      <c r="G39" s="604"/>
      <c r="H39" s="605"/>
      <c r="I39" s="120">
        <f>CEILING(MIN(I47:I48),1000)</f>
        <v>579000</v>
      </c>
      <c r="J39" s="121">
        <f>I30+I29+I25+I24+I17+I16+I12+I10</f>
        <v>15600000</v>
      </c>
      <c r="K39" s="122"/>
      <c r="M39" s="122"/>
    </row>
    <row r="40" spans="2:13" ht="20.25" customHeight="1" x14ac:dyDescent="0.15">
      <c r="B40" s="119">
        <v>6</v>
      </c>
      <c r="C40" s="600" t="s">
        <v>86</v>
      </c>
      <c r="D40" s="601"/>
      <c r="E40" s="602"/>
      <c r="F40" s="606"/>
      <c r="G40" s="607"/>
      <c r="H40" s="608"/>
      <c r="I40" s="97">
        <f>전기!H60+'#10'!H57+'#20'!H67+'#30'!H67+'#40'!H67+'#50'!H67+'#60'!H84+'#70'!H64+'#80'!H79+'#90'!H67+'#100'!H67</f>
        <v>0</v>
      </c>
      <c r="J40" s="89"/>
    </row>
    <row r="41" spans="2:13" ht="20.25" customHeight="1" x14ac:dyDescent="0.15">
      <c r="B41" s="123">
        <v>7</v>
      </c>
      <c r="C41" s="576" t="s">
        <v>87</v>
      </c>
      <c r="D41" s="577"/>
      <c r="E41" s="578"/>
      <c r="F41" s="579"/>
      <c r="G41" s="580"/>
      <c r="H41" s="581"/>
      <c r="I41" s="101">
        <f>전기!H61+'#10'!H58+'#20'!H68+'#30'!H68+'#40'!H68+'#50'!H68+'#60'!H85+'#70'!H65+'#80'!H80+'#90'!H68+'#100'!H68</f>
        <v>0</v>
      </c>
      <c r="J41" s="102"/>
      <c r="K41" s="57"/>
    </row>
    <row r="42" spans="2:13" ht="28.5" customHeight="1" thickBot="1" x14ac:dyDescent="0.2">
      <c r="B42" s="124"/>
      <c r="C42" s="582" t="s">
        <v>88</v>
      </c>
      <c r="D42" s="582"/>
      <c r="E42" s="582"/>
      <c r="F42" s="583" t="s">
        <v>89</v>
      </c>
      <c r="G42" s="584"/>
      <c r="H42" s="585"/>
      <c r="I42" s="125">
        <f>I22+I34+I38+I39</f>
        <v>237739000</v>
      </c>
      <c r="J42" s="126"/>
      <c r="K42" s="57"/>
    </row>
    <row r="43" spans="2:13" ht="19.5" customHeight="1" x14ac:dyDescent="0.15">
      <c r="B43" s="127" t="s">
        <v>90</v>
      </c>
      <c r="C43" s="58"/>
      <c r="D43" s="58"/>
      <c r="E43" s="58"/>
    </row>
    <row r="44" spans="2:13" ht="19.5" customHeight="1" x14ac:dyDescent="0.15">
      <c r="B44" s="57" t="s">
        <v>91</v>
      </c>
      <c r="C44" s="58"/>
      <c r="D44" s="58"/>
      <c r="E44" s="58"/>
    </row>
    <row r="45" spans="2:13" ht="19.5" customHeight="1" x14ac:dyDescent="0.15">
      <c r="C45" s="58"/>
      <c r="D45" s="58"/>
      <c r="E45" s="58"/>
    </row>
    <row r="46" spans="2:13" ht="19.5" customHeight="1" x14ac:dyDescent="0.15">
      <c r="C46" s="58"/>
      <c r="D46" s="58"/>
      <c r="E46" s="586" t="s">
        <v>92</v>
      </c>
      <c r="F46" s="589" t="s">
        <v>93</v>
      </c>
      <c r="G46" s="590"/>
      <c r="H46" s="591"/>
      <c r="I46" s="128" t="s">
        <v>94</v>
      </c>
      <c r="J46" s="129" t="s">
        <v>95</v>
      </c>
      <c r="K46" s="130" t="s">
        <v>96</v>
      </c>
    </row>
    <row r="47" spans="2:13" ht="19.5" customHeight="1" x14ac:dyDescent="0.15">
      <c r="C47" s="58"/>
      <c r="D47" s="58"/>
      <c r="E47" s="587"/>
      <c r="F47" s="592" t="s">
        <v>97</v>
      </c>
      <c r="G47" s="593"/>
      <c r="H47" s="593"/>
      <c r="I47" s="97">
        <f>IF(J47&lt;500000000,J47*0.0309,1)+IF(J47&gt;500000000,J47*0.0199+5499000)*IF(J47&gt;5000000000,0,1)+IF(J47&gt;5000000000,J47*0.021,0)</f>
        <v>7328244</v>
      </c>
      <c r="J47" s="131">
        <f>SUM(I7:I10,I12:I19,I23:I31,I38)</f>
        <v>237160000</v>
      </c>
      <c r="K47" s="131" t="s">
        <v>98</v>
      </c>
    </row>
    <row r="48" spans="2:13" ht="19.5" customHeight="1" x14ac:dyDescent="0.15">
      <c r="E48" s="588"/>
      <c r="F48" s="592" t="s">
        <v>99</v>
      </c>
      <c r="G48" s="593"/>
      <c r="H48" s="593"/>
      <c r="I48" s="97">
        <f>(IF(J48&lt;500000000,J48*0.0309,1)+IF(J48&gt;500000000,J48*0.0199+5499000)*IF(J48&gt;5000000000,0,1)+IF(J48&gt;5000000000,J48*0.021,0))*1.2</f>
        <v>578448</v>
      </c>
      <c r="J48" s="132">
        <f>SUM(I10,I24,I12,I16:I17,I25,I29:I30)</f>
        <v>15600000</v>
      </c>
      <c r="K48" s="131" t="s">
        <v>100</v>
      </c>
    </row>
    <row r="49" spans="7:7" ht="19.5" customHeight="1" x14ac:dyDescent="0.15">
      <c r="G49" s="133" t="s">
        <v>101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6:E48"/>
    <mergeCell ref="F46:H46"/>
    <mergeCell ref="F47:H47"/>
    <mergeCell ref="F48:H48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2"/>
  <sheetViews>
    <sheetView zoomScale="90" zoomScaleNormal="90" workbookViewId="0">
      <selection activeCell="I26" sqref="I26"/>
    </sheetView>
  </sheetViews>
  <sheetFormatPr defaultRowHeight="17.25" customHeight="1" x14ac:dyDescent="0.15"/>
  <cols>
    <col min="1" max="1" width="5" style="134" customWidth="1"/>
    <col min="2" max="2" width="26.625" style="134" customWidth="1"/>
    <col min="3" max="3" width="6.25" style="134" customWidth="1"/>
    <col min="4" max="8" width="11.875" style="134" customWidth="1"/>
    <col min="9" max="9" width="13" style="134" customWidth="1"/>
    <col min="10" max="11" width="13.875" style="134" customWidth="1"/>
    <col min="12" max="12" width="12.5" style="134" bestFit="1" customWidth="1"/>
    <col min="13" max="13" width="15" style="134" bestFit="1" customWidth="1"/>
    <col min="14" max="14" width="13.875" style="134" customWidth="1"/>
    <col min="15" max="15" width="9.625" style="134" customWidth="1"/>
    <col min="16" max="16" width="12.625" style="134" hidden="1" customWidth="1"/>
    <col min="17" max="17" width="10" style="134" customWidth="1"/>
    <col min="18" max="16384" width="9" style="134"/>
  </cols>
  <sheetData>
    <row r="2" spans="1:16" ht="31.5" customHeight="1" x14ac:dyDescent="0.15">
      <c r="A2" s="63" t="s">
        <v>102</v>
      </c>
    </row>
    <row r="3" spans="1:16" ht="17.25" customHeight="1" thickBot="1" x14ac:dyDescent="0.2">
      <c r="N3" s="134" t="s">
        <v>103</v>
      </c>
    </row>
    <row r="4" spans="1:16" s="141" customFormat="1" ht="8.25" customHeight="1" x14ac:dyDescent="0.15">
      <c r="A4" s="135"/>
      <c r="B4" s="135"/>
      <c r="C4" s="135"/>
      <c r="D4" s="636"/>
      <c r="E4" s="637"/>
      <c r="F4" s="637"/>
      <c r="G4" s="637"/>
      <c r="H4" s="637"/>
      <c r="I4" s="637"/>
      <c r="J4" s="638"/>
      <c r="K4" s="136"/>
      <c r="L4" s="137"/>
      <c r="M4" s="138"/>
      <c r="N4" s="139"/>
      <c r="O4" s="140"/>
    </row>
    <row r="5" spans="1:16" s="151" customFormat="1" ht="25.5" customHeight="1" x14ac:dyDescent="0.15">
      <c r="A5" s="142"/>
      <c r="B5" s="142"/>
      <c r="C5" s="142"/>
      <c r="D5" s="143"/>
      <c r="E5" s="144"/>
      <c r="F5" s="144"/>
      <c r="G5" s="144"/>
      <c r="H5" s="144"/>
      <c r="I5" s="145" t="s">
        <v>104</v>
      </c>
      <c r="J5" s="146"/>
      <c r="K5" s="31"/>
      <c r="L5" s="147" t="s">
        <v>105</v>
      </c>
      <c r="M5" s="148" t="s">
        <v>106</v>
      </c>
      <c r="N5" s="149"/>
      <c r="O5" s="150"/>
    </row>
    <row r="6" spans="1:16" s="151" customFormat="1" ht="25.5" customHeight="1" thickBot="1" x14ac:dyDescent="0.2">
      <c r="A6" s="152" t="s">
        <v>107</v>
      </c>
      <c r="B6" s="152" t="s">
        <v>108</v>
      </c>
      <c r="C6" s="152" t="s">
        <v>109</v>
      </c>
      <c r="D6" s="153" t="s">
        <v>110</v>
      </c>
      <c r="E6" s="154" t="s">
        <v>111</v>
      </c>
      <c r="F6" s="154" t="s">
        <v>112</v>
      </c>
      <c r="G6" s="154" t="s">
        <v>113</v>
      </c>
      <c r="H6" s="154" t="s">
        <v>114</v>
      </c>
      <c r="I6" s="155" t="s">
        <v>115</v>
      </c>
      <c r="J6" s="156" t="s">
        <v>116</v>
      </c>
      <c r="K6" s="157" t="s">
        <v>117</v>
      </c>
      <c r="L6" s="158" t="s">
        <v>118</v>
      </c>
      <c r="M6" s="159" t="s">
        <v>119</v>
      </c>
      <c r="N6" s="160" t="s">
        <v>120</v>
      </c>
      <c r="O6" s="161" t="s">
        <v>121</v>
      </c>
    </row>
    <row r="7" spans="1:16" s="173" customFormat="1" ht="25.5" customHeight="1" thickTop="1" x14ac:dyDescent="0.15">
      <c r="A7" s="162">
        <f>IF(B7&gt;0,1,"")</f>
        <v>1</v>
      </c>
      <c r="B7" s="163" t="str">
        <f>'#10'!C$1</f>
        <v>허버베어링 에어블로잉 공정 추가</v>
      </c>
      <c r="C7" s="164" t="s">
        <v>122</v>
      </c>
      <c r="D7" s="165">
        <f>'#10'!H46</f>
        <v>9980000</v>
      </c>
      <c r="E7" s="166">
        <f>'#10'!H47</f>
        <v>0</v>
      </c>
      <c r="F7" s="166">
        <f>'#10'!H48+'#10'!H49+'#10'!H50+'#10'!H54</f>
        <v>6150000</v>
      </c>
      <c r="G7" s="166">
        <f>'#10'!H51+'#10'!H52</f>
        <v>1200000</v>
      </c>
      <c r="H7" s="166">
        <f>'#10'!H53</f>
        <v>600000</v>
      </c>
      <c r="I7" s="167">
        <f>IF($B7&gt;0,'원가항목별(집계)'!I$38*$P7/$P$17,0)</f>
        <v>53921.568627450979</v>
      </c>
      <c r="J7" s="168">
        <f>SUM(D7:I7)</f>
        <v>17983921.568627451</v>
      </c>
      <c r="K7" s="169">
        <f>IF(B7&gt;0,'원가항목별(집계)'!I$34*P7/P$17,0)</f>
        <v>7592156.8627450978</v>
      </c>
      <c r="L7" s="169">
        <f>IF($B7&gt;0,'원가항목별(집계)'!I$39*$P7/$P$17,0)</f>
        <v>62441.176470588238</v>
      </c>
      <c r="M7" s="170">
        <f>'#10'!H57+'#10'!H58</f>
        <v>0</v>
      </c>
      <c r="N7" s="171">
        <f>SUM(J7:M7)</f>
        <v>25638519.607843138</v>
      </c>
      <c r="O7" s="172"/>
      <c r="P7" s="173">
        <f>D7+E7+F7+G7+H7+M7</f>
        <v>17930000</v>
      </c>
    </row>
    <row r="8" spans="1:16" s="173" customFormat="1" ht="25.5" customHeight="1" x14ac:dyDescent="0.15">
      <c r="A8" s="174">
        <f>IF(B8&gt;0,A7+1,"")</f>
        <v>2</v>
      </c>
      <c r="B8" s="175" t="str">
        <f>'#20'!C$1</f>
        <v>허버볼트 이종사양 검출</v>
      </c>
      <c r="C8" s="176" t="s">
        <v>123</v>
      </c>
      <c r="D8" s="177">
        <f>'#20'!H56</f>
        <v>2500000</v>
      </c>
      <c r="E8" s="178">
        <f>'#20'!H57</f>
        <v>0</v>
      </c>
      <c r="F8" s="178">
        <f>'#20'!H58+'#20'!H59+'#20'!H60+'#20'!H64</f>
        <v>1350000</v>
      </c>
      <c r="G8" s="178">
        <f>'#20'!H61+'#20'!H62</f>
        <v>600000</v>
      </c>
      <c r="H8" s="178">
        <f>'#20'!H63</f>
        <v>300000</v>
      </c>
      <c r="I8" s="179">
        <f>IF($B8&gt;0,'원가항목별(집계)'!I$38*$P8/$P$17,0)</f>
        <v>14284.855046313003</v>
      </c>
      <c r="J8" s="180">
        <f>SUM(D8:I8)</f>
        <v>4764284.8550463133</v>
      </c>
      <c r="K8" s="181">
        <f>IF(B8&gt;0,'원가항목별(집계)'!I$34*P8/P$17,0)</f>
        <v>2011307.5905208709</v>
      </c>
      <c r="L8" s="181">
        <f>IF($B8&gt;0,'원가항목별(집계)'!I$39*$P8/$P$17,0)</f>
        <v>16541.862143630457</v>
      </c>
      <c r="M8" s="182">
        <f>'#20'!H67+'#20'!H68</f>
        <v>0</v>
      </c>
      <c r="N8" s="183">
        <f t="shared" ref="N8:N16" si="0">SUM(J8:M8)</f>
        <v>6792134.3077108143</v>
      </c>
      <c r="O8" s="184"/>
      <c r="P8" s="173">
        <f t="shared" ref="P8:P16" si="1">D8+E8+F8+G8+H8+M8</f>
        <v>4750000</v>
      </c>
    </row>
    <row r="9" spans="1:16" s="173" customFormat="1" ht="25.5" customHeight="1" x14ac:dyDescent="0.15">
      <c r="A9" s="174">
        <f>IF(B9&gt;0,A8+1,"")</f>
        <v>3</v>
      </c>
      <c r="B9" s="175" t="str">
        <f>'#30'!C$1</f>
        <v>허버베어링 2D리딩추가</v>
      </c>
      <c r="C9" s="176" t="s">
        <v>124</v>
      </c>
      <c r="D9" s="177">
        <f>'#30'!H56</f>
        <v>4900000</v>
      </c>
      <c r="E9" s="178">
        <f>'#30'!H57</f>
        <v>0</v>
      </c>
      <c r="F9" s="178">
        <f>'#30'!H58+'#30'!H59+'#30'!H60+'#30'!H64</f>
        <v>1350000</v>
      </c>
      <c r="G9" s="178">
        <f>'#30'!H61+'#30'!H62</f>
        <v>600000</v>
      </c>
      <c r="H9" s="178">
        <f>'#30'!H63</f>
        <v>300000</v>
      </c>
      <c r="I9" s="179">
        <f>IF($B9&gt;0,'원가항목별(집계)'!I$38*$P9/$P$17,0)</f>
        <v>21502.466017081679</v>
      </c>
      <c r="J9" s="180">
        <f t="shared" ref="J9:J17" si="2">SUM(D9:I9)</f>
        <v>7171502.4660170814</v>
      </c>
      <c r="K9" s="181">
        <f>IF(B9&gt;0,'원가항목별(집계)'!I$34*P9/P$17,0)</f>
        <v>3027547.2152051004</v>
      </c>
      <c r="L9" s="181">
        <f>IF($B9&gt;0,'원가항목별(집계)'!I$39*$P9/$P$17,0)</f>
        <v>24899.855647780583</v>
      </c>
      <c r="M9" s="182">
        <f>'#30'!H67+'#30'!H68</f>
        <v>0</v>
      </c>
      <c r="N9" s="183">
        <f t="shared" si="0"/>
        <v>10223949.536869962</v>
      </c>
      <c r="O9" s="184"/>
      <c r="P9" s="173">
        <f t="shared" si="1"/>
        <v>7150000</v>
      </c>
    </row>
    <row r="10" spans="1:16" s="173" customFormat="1" ht="25.5" customHeight="1" x14ac:dyDescent="0.15">
      <c r="A10" s="174">
        <f>IF(B10&gt;0,A9+1,"")</f>
        <v>4</v>
      </c>
      <c r="B10" s="175" t="str">
        <f>'#40'!C$1</f>
        <v>허버베어링 센트링디바이스추가</v>
      </c>
      <c r="C10" s="176" t="s">
        <v>124</v>
      </c>
      <c r="D10" s="177">
        <f>'#40'!H56</f>
        <v>4100000</v>
      </c>
      <c r="E10" s="178">
        <f>'#40'!H57</f>
        <v>0</v>
      </c>
      <c r="F10" s="178">
        <f>'#40'!H58+'#40'!H59+'#40'!H60+'#40'!H64</f>
        <v>1350000</v>
      </c>
      <c r="G10" s="178">
        <f>'#40'!H61+'#40'!H62</f>
        <v>600000</v>
      </c>
      <c r="H10" s="178">
        <f>'#40'!H63</f>
        <v>300000</v>
      </c>
      <c r="I10" s="179">
        <f>IF($B10&gt;0,'원가항목별(집계)'!I$38*$P10/$P$17,0)</f>
        <v>19096.59569349212</v>
      </c>
      <c r="J10" s="180">
        <f t="shared" si="2"/>
        <v>6369096.5956934923</v>
      </c>
      <c r="K10" s="181">
        <f>IF(B10&gt;0,'원가항목별(집계)'!I$34*P10/P$17,0)</f>
        <v>2688800.6736436905</v>
      </c>
      <c r="L10" s="181">
        <f>IF($B10&gt;0,'원가항목별(집계)'!I$39*$P10/$P$17,0)</f>
        <v>22113.857813063874</v>
      </c>
      <c r="M10" s="182">
        <f>'#40'!H67+'#40'!H68</f>
        <v>0</v>
      </c>
      <c r="N10" s="183">
        <f t="shared" si="0"/>
        <v>9080011.1271502469</v>
      </c>
      <c r="O10" s="184"/>
      <c r="P10" s="173">
        <f t="shared" si="1"/>
        <v>6350000</v>
      </c>
    </row>
    <row r="11" spans="1:16" s="173" customFormat="1" ht="25.5" customHeight="1" x14ac:dyDescent="0.15">
      <c r="A11" s="174">
        <f>IF(B11&gt;0,A10+1,"")</f>
        <v>5</v>
      </c>
      <c r="B11" s="175" t="str">
        <f>'#50'!C$1</f>
        <v>이너레이스 자동박스 2D 바코드 리더기 추가</v>
      </c>
      <c r="C11" s="176" t="s">
        <v>124</v>
      </c>
      <c r="D11" s="177">
        <f>'#50'!H56</f>
        <v>12700000</v>
      </c>
      <c r="E11" s="178">
        <f>'#50'!H57</f>
        <v>0</v>
      </c>
      <c r="F11" s="178">
        <f>'#50'!H58+'#50'!H59+'#50'!H60+'#50'!H64</f>
        <v>1900000</v>
      </c>
      <c r="G11" s="178">
        <f>'#50'!H61+'#50'!H62</f>
        <v>1200000</v>
      </c>
      <c r="H11" s="178">
        <f>'#50'!H63</f>
        <v>300000</v>
      </c>
      <c r="I11" s="179">
        <f>IF($B11&gt;0,'원가항목별(집계)'!I$38*$P11/$P$17,0)</f>
        <v>48418.140262239867</v>
      </c>
      <c r="J11" s="180">
        <f t="shared" si="2"/>
        <v>16148418.140262241</v>
      </c>
      <c r="K11" s="181">
        <f>IF(B11&gt;0,'원가항목별(집계)'!I$34*P11/P$17,0)</f>
        <v>6817274.1489233728</v>
      </c>
      <c r="L11" s="181">
        <f>IF($B11&gt;0,'원가항목별(집계)'!I$39*$P11/$P$17,0)</f>
        <v>56068.206423673764</v>
      </c>
      <c r="M11" s="182">
        <f>'#50'!H67+'#50'!H68</f>
        <v>0</v>
      </c>
      <c r="N11" s="183">
        <f t="shared" si="0"/>
        <v>23021760.495609287</v>
      </c>
      <c r="O11" s="184"/>
      <c r="P11" s="173">
        <f t="shared" si="1"/>
        <v>16100000</v>
      </c>
    </row>
    <row r="12" spans="1:16" s="173" customFormat="1" ht="25.5" customHeight="1" x14ac:dyDescent="0.15">
      <c r="A12" s="174">
        <f>IF(B12&gt;0,A11+1,"")</f>
        <v>6</v>
      </c>
      <c r="B12" s="175" t="str">
        <f>'#60'!C$1</f>
        <v>I/B 모니트링 장치 추가</v>
      </c>
      <c r="C12" s="176" t="s">
        <v>124</v>
      </c>
      <c r="D12" s="177">
        <f>'#60'!H73</f>
        <v>700000</v>
      </c>
      <c r="E12" s="178">
        <f>'#60'!H74</f>
        <v>0</v>
      </c>
      <c r="F12" s="178">
        <f>'#60'!H75+'#60'!H76+'#60'!H77+'#60'!H81</f>
        <v>1350000</v>
      </c>
      <c r="G12" s="178">
        <f>'#60'!H78+'#60'!H79</f>
        <v>600000</v>
      </c>
      <c r="H12" s="178">
        <f>'#60'!H80</f>
        <v>300000</v>
      </c>
      <c r="I12" s="179">
        <f>IF($B12&gt;0,'원가항목별(집계)'!I$38*$P12/$P$17,0)</f>
        <v>8871.646818236497</v>
      </c>
      <c r="J12" s="180">
        <f t="shared" si="2"/>
        <v>2958871.6468182364</v>
      </c>
      <c r="K12" s="181">
        <f>IF(B12&gt;0,'원가항목별(집계)'!I$34*P12/P$17,0)</f>
        <v>1249127.8720076988</v>
      </c>
      <c r="L12" s="181">
        <f>IF($B12&gt;0,'원가항목별(집계)'!I$39*$P12/$P$17,0)</f>
        <v>10273.367015517864</v>
      </c>
      <c r="M12" s="182">
        <f>'#60'!H84+'#60'!H85</f>
        <v>0</v>
      </c>
      <c r="N12" s="183">
        <f t="shared" si="0"/>
        <v>4218272.8858414534</v>
      </c>
      <c r="O12" s="184"/>
      <c r="P12" s="173">
        <f t="shared" si="1"/>
        <v>2950000</v>
      </c>
    </row>
    <row r="13" spans="1:16" s="173" customFormat="1" ht="25.5" customHeight="1" x14ac:dyDescent="0.15">
      <c r="A13" s="398">
        <f t="shared" ref="A13:A16" si="3">IF(B13&gt;0,A12+1,"")</f>
        <v>7</v>
      </c>
      <c r="B13" s="175" t="str">
        <f>'#70'!C$1</f>
        <v>I/B저상리프트 추가</v>
      </c>
      <c r="C13" s="176" t="s">
        <v>124</v>
      </c>
      <c r="D13" s="177">
        <f>'#70'!H53</f>
        <v>14000000</v>
      </c>
      <c r="E13" s="178">
        <f>'#70'!H54</f>
        <v>0</v>
      </c>
      <c r="F13" s="178">
        <f>'#70'!H55+'#70'!H56+'#70'!H57+'#70'!H61</f>
        <v>0</v>
      </c>
      <c r="G13" s="178">
        <f>'#70'!H58+'#70'!H59</f>
        <v>0</v>
      </c>
      <c r="H13" s="178">
        <f>'#70'!H60</f>
        <v>0</v>
      </c>
      <c r="I13" s="179">
        <f>IF($B13&gt;0,'원가항목별(집계)'!I$38*$P13/$P$17,0)</f>
        <v>42102.730662817274</v>
      </c>
      <c r="J13" s="180">
        <f t="shared" si="2"/>
        <v>14042102.730662817</v>
      </c>
      <c r="K13" s="181">
        <f>IF(B13&gt;0,'원가항목별(집계)'!I$34*P13/P$17,0)</f>
        <v>5928064.477324672</v>
      </c>
      <c r="L13" s="181">
        <f>IF($B13&gt;0,'원가항목별(집계)'!I$39*$P13/$P$17,0)</f>
        <v>48754.9621075424</v>
      </c>
      <c r="M13" s="182">
        <f>'#70'!H64+'#70'!H65</f>
        <v>0</v>
      </c>
      <c r="N13" s="183">
        <f t="shared" si="0"/>
        <v>20018922.17009503</v>
      </c>
      <c r="O13" s="184"/>
      <c r="P13" s="173">
        <f t="shared" si="1"/>
        <v>14000000</v>
      </c>
    </row>
    <row r="14" spans="1:16" s="173" customFormat="1" ht="25.5" customHeight="1" x14ac:dyDescent="0.15">
      <c r="A14" s="398">
        <f t="shared" si="3"/>
        <v>8</v>
      </c>
      <c r="B14" s="175" t="str">
        <f>'#80'!C$1</f>
        <v>드레그토크 측정기</v>
      </c>
      <c r="C14" s="176" t="s">
        <v>124</v>
      </c>
      <c r="D14" s="177">
        <f>'#80'!H68</f>
        <v>17060000</v>
      </c>
      <c r="E14" s="178">
        <f>'#80'!H69</f>
        <v>0</v>
      </c>
      <c r="F14" s="178">
        <f>'#80'!H70+'#80'!H71+'#80'!H72+'#80'!H76</f>
        <v>10750000</v>
      </c>
      <c r="G14" s="178">
        <f>'#80'!H73+'#80'!H74</f>
        <v>2100000</v>
      </c>
      <c r="H14" s="178">
        <f>'#80'!H75</f>
        <v>600000</v>
      </c>
      <c r="I14" s="179">
        <f>IF($B14&gt;0,'원가항목별(집계)'!I$38*$P14/$P$17,0)</f>
        <v>91753.879465896782</v>
      </c>
      <c r="J14" s="180">
        <f t="shared" si="2"/>
        <v>30601753.879465897</v>
      </c>
      <c r="K14" s="181">
        <f>IF(B14&gt;0,'원가항목별(집계)'!I$34*P14/P$17,0)</f>
        <v>12918946.228798268</v>
      </c>
      <c r="L14" s="181">
        <f>IF($B14&gt;0,'원가항목별(집계)'!I$39*$P14/$P$17,0)</f>
        <v>106250.99242150848</v>
      </c>
      <c r="M14" s="182">
        <f>'#80'!H79+'#80'!H80</f>
        <v>0</v>
      </c>
      <c r="N14" s="183">
        <f t="shared" si="0"/>
        <v>43626951.100685671</v>
      </c>
      <c r="O14" s="184"/>
      <c r="P14" s="173">
        <f t="shared" si="1"/>
        <v>30510000</v>
      </c>
    </row>
    <row r="15" spans="1:16" s="187" customFormat="1" ht="25.5" customHeight="1" x14ac:dyDescent="0.15">
      <c r="A15" s="398">
        <f t="shared" si="3"/>
        <v>9</v>
      </c>
      <c r="B15" s="175" t="str">
        <f>'#90'!C$1</f>
        <v>RG3공유 리툴링</v>
      </c>
      <c r="C15" s="176" t="s">
        <v>124</v>
      </c>
      <c r="D15" s="177">
        <f>'#90'!H56</f>
        <v>8010000</v>
      </c>
      <c r="E15" s="178">
        <f>'#90'!H57</f>
        <v>300000</v>
      </c>
      <c r="F15" s="178">
        <f>'#90'!H58+'#90'!H59+'#90'!H60+'#90'!H64</f>
        <v>1050000</v>
      </c>
      <c r="G15" s="178">
        <f>'#90'!H61+'#90'!H62</f>
        <v>600000</v>
      </c>
      <c r="H15" s="178">
        <f>'#90'!H63</f>
        <v>300000</v>
      </c>
      <c r="I15" s="179">
        <f>IF($B15&gt;0,'원가항목별(집계)'!I$38*$P15/$P$17,0)</f>
        <v>30855.286900036088</v>
      </c>
      <c r="J15" s="180">
        <f t="shared" si="2"/>
        <v>10290855.286900036</v>
      </c>
      <c r="K15" s="181">
        <f>IF(B15&gt;0,'원가항목별(집계)'!I$34*P15/P$17,0)</f>
        <v>4344424.3955250811</v>
      </c>
      <c r="L15" s="181">
        <f>IF($B15&gt;0,'원가항목별(집계)'!I$39*$P15/$P$17,0)</f>
        <v>35730.422230241791</v>
      </c>
      <c r="M15" s="182">
        <f>'#90'!H67+'#90'!H68</f>
        <v>0</v>
      </c>
      <c r="N15" s="185">
        <f t="shared" si="0"/>
        <v>14671010.104655359</v>
      </c>
      <c r="O15" s="186"/>
      <c r="P15" s="378">
        <f t="shared" si="1"/>
        <v>10260000</v>
      </c>
    </row>
    <row r="16" spans="1:16" s="187" customFormat="1" ht="25.5" customHeight="1" x14ac:dyDescent="0.15">
      <c r="A16" s="398">
        <f t="shared" si="3"/>
        <v>10</v>
      </c>
      <c r="B16" s="189" t="str">
        <f>'#100'!C$1</f>
        <v>스토퍼링 P/FROOF</v>
      </c>
      <c r="C16" s="188" t="s">
        <v>124</v>
      </c>
      <c r="D16" s="190">
        <f>'#100'!H56</f>
        <v>48860000</v>
      </c>
      <c r="E16" s="191">
        <f>'#100'!H57</f>
        <v>0</v>
      </c>
      <c r="F16" s="191">
        <f>'#100'!H58+'#100'!H59+'#100'!H60+'#100'!H64</f>
        <v>5000000</v>
      </c>
      <c r="G16" s="191">
        <f>'#100'!H61+'#100'!H62</f>
        <v>1800000</v>
      </c>
      <c r="H16" s="191">
        <f>'#100'!H63</f>
        <v>600000</v>
      </c>
      <c r="I16" s="192">
        <f>IF($B16&gt;0,'원가항목별(집계)'!I$38*$P16/$P$17,0)</f>
        <v>169192.83050643571</v>
      </c>
      <c r="J16" s="193">
        <f t="shared" si="2"/>
        <v>56429192.830506437</v>
      </c>
      <c r="K16" s="194">
        <f>IF(B16&gt;0,'원가항목별(집계)'!I$34*P16/P$17,0)</f>
        <v>23822350.535306148</v>
      </c>
      <c r="L16" s="194">
        <f>IF($B16&gt;0,'원가항목별(집계)'!I$39*$P16/$P$17,0)</f>
        <v>195925.29772645255</v>
      </c>
      <c r="M16" s="195">
        <f>'#100'!H67+'#100'!H68</f>
        <v>0</v>
      </c>
      <c r="N16" s="196">
        <f t="shared" si="0"/>
        <v>80447468.663539037</v>
      </c>
      <c r="O16" s="197"/>
      <c r="P16" s="378">
        <f t="shared" si="1"/>
        <v>56260000</v>
      </c>
    </row>
    <row r="17" spans="1:16" s="173" customFormat="1" ht="33" customHeight="1" x14ac:dyDescent="0.15">
      <c r="A17" s="639" t="s">
        <v>125</v>
      </c>
      <c r="B17" s="640"/>
      <c r="C17" s="641"/>
      <c r="D17" s="198">
        <f t="shared" ref="D17:M17" si="4">SUM(D7:D16)</f>
        <v>122810000</v>
      </c>
      <c r="E17" s="199">
        <f t="shared" si="4"/>
        <v>300000</v>
      </c>
      <c r="F17" s="199">
        <f t="shared" si="4"/>
        <v>30250000</v>
      </c>
      <c r="G17" s="199">
        <f t="shared" si="4"/>
        <v>9300000</v>
      </c>
      <c r="H17" s="199">
        <f t="shared" si="4"/>
        <v>3600000</v>
      </c>
      <c r="I17" s="200">
        <f t="shared" si="4"/>
        <v>500000.00000000006</v>
      </c>
      <c r="J17" s="201">
        <f t="shared" si="2"/>
        <v>166760000</v>
      </c>
      <c r="K17" s="202">
        <f>SUM(K7:K16)</f>
        <v>70400000</v>
      </c>
      <c r="L17" s="203">
        <f t="shared" si="4"/>
        <v>579000</v>
      </c>
      <c r="M17" s="204">
        <f t="shared" si="4"/>
        <v>0</v>
      </c>
      <c r="N17" s="205">
        <f>SUM(N7:N16)</f>
        <v>237739000</v>
      </c>
      <c r="O17" s="206"/>
      <c r="P17" s="173">
        <f>SUM(P7:P16)</f>
        <v>166260000</v>
      </c>
    </row>
    <row r="18" spans="1:16" s="219" customFormat="1" ht="18.75" customHeight="1" x14ac:dyDescent="0.15">
      <c r="A18" s="207"/>
      <c r="B18" s="208"/>
      <c r="C18" s="209"/>
      <c r="D18" s="210">
        <f t="shared" ref="D18:N18" si="5">IF(D17=0,"",D17/$N17)</f>
        <v>0.51657489936442902</v>
      </c>
      <c r="E18" s="211">
        <f t="shared" si="5"/>
        <v>1.2618880368807811E-3</v>
      </c>
      <c r="F18" s="211">
        <f t="shared" si="5"/>
        <v>0.12724037705214541</v>
      </c>
      <c r="G18" s="211">
        <f t="shared" si="5"/>
        <v>3.9118529143304215E-2</v>
      </c>
      <c r="H18" s="211">
        <f t="shared" si="5"/>
        <v>1.5142656442569373E-2</v>
      </c>
      <c r="I18" s="212">
        <f t="shared" si="5"/>
        <v>2.1031467281346352E-3</v>
      </c>
      <c r="J18" s="213">
        <f t="shared" si="5"/>
        <v>0.70144149676746348</v>
      </c>
      <c r="K18" s="214">
        <f t="shared" si="5"/>
        <v>0.29612305932135663</v>
      </c>
      <c r="L18" s="215">
        <f t="shared" si="5"/>
        <v>2.4354439111799074E-3</v>
      </c>
      <c r="M18" s="216" t="str">
        <f t="shared" si="5"/>
        <v/>
      </c>
      <c r="N18" s="217">
        <f t="shared" si="5"/>
        <v>1</v>
      </c>
      <c r="O18" s="218"/>
    </row>
    <row r="19" spans="1:16" ht="28.5" customHeight="1" x14ac:dyDescent="0.15">
      <c r="A19" s="134" t="s">
        <v>126</v>
      </c>
      <c r="H19" s="220"/>
      <c r="I19" s="220"/>
      <c r="J19" s="220"/>
      <c r="K19" s="220"/>
      <c r="L19" s="220"/>
    </row>
    <row r="20" spans="1:16" ht="17.25" customHeight="1" x14ac:dyDescent="0.15">
      <c r="H20" s="221"/>
      <c r="I20" s="221"/>
      <c r="J20" s="221"/>
      <c r="K20" s="221"/>
      <c r="L20" s="221"/>
      <c r="M20" s="222"/>
      <c r="N20" s="223" t="str">
        <f>IF('원가항목별(집계)'!I42='단위공사별(집계)'!N17,"","DATA오류입니다!")</f>
        <v/>
      </c>
    </row>
    <row r="21" spans="1:16" ht="17.25" customHeight="1" x14ac:dyDescent="0.15">
      <c r="H21" s="224"/>
      <c r="I21" s="224"/>
      <c r="J21" s="224"/>
      <c r="K21" s="224"/>
      <c r="L21" s="224"/>
      <c r="N21" s="224"/>
    </row>
    <row r="22" spans="1:16" ht="17.25" customHeight="1" x14ac:dyDescent="0.15">
      <c r="H22" s="173"/>
      <c r="I22" s="173"/>
      <c r="J22" s="173"/>
      <c r="L22" s="173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65"/>
  <sheetViews>
    <sheetView zoomScaleNormal="100" workbookViewId="0">
      <pane xSplit="3" ySplit="2" topLeftCell="D37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I69" sqref="I69"/>
    </sheetView>
  </sheetViews>
  <sheetFormatPr defaultRowHeight="13.5" x14ac:dyDescent="0.15"/>
  <cols>
    <col min="1" max="1" width="5" style="134" customWidth="1"/>
    <col min="2" max="2" width="13" style="134" customWidth="1"/>
    <col min="3" max="3" width="23.625" style="134" customWidth="1"/>
    <col min="4" max="4" width="18.25" style="134" customWidth="1"/>
    <col min="5" max="5" width="5.25" style="151" bestFit="1" customWidth="1"/>
    <col min="6" max="6" width="6.75" style="306" customWidth="1"/>
    <col min="7" max="7" width="11.875" style="173" customWidth="1"/>
    <col min="8" max="8" width="13.625" style="173" customWidth="1"/>
    <col min="9" max="9" width="12.75" style="134" customWidth="1"/>
    <col min="10" max="10" width="9.25" style="134" customWidth="1"/>
    <col min="11" max="11" width="11.5" style="134" bestFit="1" customWidth="1"/>
    <col min="12" max="12" width="9" style="134"/>
    <col min="13" max="18" width="9" style="401"/>
    <col min="19" max="16384" width="9" style="134"/>
  </cols>
  <sheetData>
    <row r="1" spans="1:18" ht="22.5" customHeight="1" x14ac:dyDescent="0.15">
      <c r="B1" s="225" t="s">
        <v>127</v>
      </c>
      <c r="C1" s="226" t="s">
        <v>128</v>
      </c>
      <c r="D1" s="227"/>
      <c r="E1" s="228"/>
      <c r="F1" s="229"/>
      <c r="G1" s="187"/>
      <c r="I1" s="134" t="s">
        <v>129</v>
      </c>
    </row>
    <row r="2" spans="1:18" s="151" customFormat="1" ht="16.5" customHeight="1" x14ac:dyDescent="0.15">
      <c r="A2" s="527" t="s">
        <v>130</v>
      </c>
      <c r="B2" s="642"/>
      <c r="C2" s="230" t="s">
        <v>131</v>
      </c>
      <c r="D2" s="231" t="s">
        <v>132</v>
      </c>
      <c r="E2" s="231" t="s">
        <v>133</v>
      </c>
      <c r="F2" s="232" t="s">
        <v>134</v>
      </c>
      <c r="G2" s="232" t="s">
        <v>135</v>
      </c>
      <c r="H2" s="232" t="s">
        <v>136</v>
      </c>
      <c r="I2" s="231" t="s">
        <v>137</v>
      </c>
      <c r="M2" s="141"/>
      <c r="N2" s="141"/>
      <c r="O2" s="141"/>
      <c r="P2" s="141"/>
      <c r="Q2" s="141"/>
      <c r="R2" s="141"/>
    </row>
    <row r="3" spans="1:18" ht="15.95" customHeight="1" x14ac:dyDescent="0.15">
      <c r="A3" s="643" t="s">
        <v>138</v>
      </c>
      <c r="B3" s="233" t="s">
        <v>139</v>
      </c>
      <c r="C3" s="234"/>
      <c r="D3" s="234"/>
      <c r="E3" s="235"/>
      <c r="F3" s="236"/>
      <c r="G3" s="237"/>
      <c r="H3" s="238">
        <f t="shared" ref="H3:H8" si="0">IF(F3=0,G3,G3*F3)</f>
        <v>0</v>
      </c>
      <c r="I3" s="239"/>
    </row>
    <row r="4" spans="1:18" ht="15.95" customHeight="1" x14ac:dyDescent="0.15">
      <c r="A4" s="644"/>
      <c r="B4" s="233"/>
      <c r="C4" s="240"/>
      <c r="D4" s="234"/>
      <c r="E4" s="235"/>
      <c r="F4" s="236"/>
      <c r="G4" s="237"/>
      <c r="H4" s="184">
        <f t="shared" si="0"/>
        <v>0</v>
      </c>
      <c r="I4" s="241"/>
    </row>
    <row r="5" spans="1:18" ht="15.95" customHeight="1" x14ac:dyDescent="0.15">
      <c r="A5" s="644"/>
      <c r="B5" s="233"/>
      <c r="C5" s="240"/>
      <c r="D5" s="234"/>
      <c r="E5" s="235"/>
      <c r="F5" s="236"/>
      <c r="G5" s="237"/>
      <c r="H5" s="184">
        <f t="shared" si="0"/>
        <v>0</v>
      </c>
      <c r="I5" s="241"/>
    </row>
    <row r="6" spans="1:18" ht="15.95" customHeight="1" x14ac:dyDescent="0.15">
      <c r="A6" s="644"/>
      <c r="B6" s="233"/>
      <c r="C6" s="240"/>
      <c r="D6" s="234"/>
      <c r="E6" s="235"/>
      <c r="F6" s="236"/>
      <c r="G6" s="237"/>
      <c r="H6" s="184">
        <f t="shared" si="0"/>
        <v>0</v>
      </c>
      <c r="I6" s="241"/>
    </row>
    <row r="7" spans="1:18" ht="15.95" customHeight="1" x14ac:dyDescent="0.15">
      <c r="A7" s="644"/>
      <c r="B7" s="233"/>
      <c r="C7" s="240"/>
      <c r="D7" s="240"/>
      <c r="E7" s="242"/>
      <c r="F7" s="243"/>
      <c r="G7" s="244"/>
      <c r="H7" s="184">
        <f t="shared" si="0"/>
        <v>0</v>
      </c>
      <c r="I7" s="241"/>
    </row>
    <row r="8" spans="1:18" ht="15.95" customHeight="1" x14ac:dyDescent="0.15">
      <c r="A8" s="644"/>
      <c r="B8" s="233"/>
      <c r="C8" s="245"/>
      <c r="D8" s="245"/>
      <c r="E8" s="246"/>
      <c r="F8" s="247"/>
      <c r="G8" s="248"/>
      <c r="H8" s="184">
        <f t="shared" si="0"/>
        <v>0</v>
      </c>
      <c r="I8" s="249"/>
    </row>
    <row r="9" spans="1:18" ht="15.95" customHeight="1" x14ac:dyDescent="0.15">
      <c r="A9" s="644"/>
      <c r="B9" s="250"/>
      <c r="C9" s="251"/>
      <c r="D9" s="252"/>
      <c r="E9" s="230"/>
      <c r="F9" s="253"/>
      <c r="G9" s="254"/>
      <c r="H9" s="255">
        <f>SUM(H3:H8)</f>
        <v>0</v>
      </c>
      <c r="I9" s="256"/>
    </row>
    <row r="10" spans="1:18" ht="15.95" customHeight="1" x14ac:dyDescent="0.15">
      <c r="A10" s="644"/>
      <c r="B10" s="257" t="s">
        <v>140</v>
      </c>
      <c r="C10" s="258"/>
      <c r="D10" s="258"/>
      <c r="E10" s="259"/>
      <c r="F10" s="260"/>
      <c r="G10" s="261"/>
      <c r="H10" s="262">
        <f t="shared" ref="H10:H48" si="1">IF(F10=0,G10,G10*F10)</f>
        <v>0</v>
      </c>
      <c r="I10" s="263"/>
    </row>
    <row r="11" spans="1:18" ht="15.95" customHeight="1" x14ac:dyDescent="0.15">
      <c r="A11" s="644"/>
      <c r="B11" s="264" t="s">
        <v>141</v>
      </c>
      <c r="C11" s="240"/>
      <c r="D11" s="240"/>
      <c r="E11" s="242"/>
      <c r="F11" s="243"/>
      <c r="G11" s="244"/>
      <c r="H11" s="184">
        <f t="shared" si="1"/>
        <v>0</v>
      </c>
      <c r="I11" s="241"/>
    </row>
    <row r="12" spans="1:18" ht="15.95" customHeight="1" x14ac:dyDescent="0.15">
      <c r="A12" s="644"/>
      <c r="B12" s="264" t="s">
        <v>142</v>
      </c>
      <c r="C12" s="240"/>
      <c r="D12" s="240"/>
      <c r="E12" s="242"/>
      <c r="F12" s="243"/>
      <c r="G12" s="244"/>
      <c r="H12" s="184">
        <f t="shared" si="1"/>
        <v>0</v>
      </c>
      <c r="I12" s="241"/>
    </row>
    <row r="13" spans="1:18" ht="15.95" customHeight="1" x14ac:dyDescent="0.15">
      <c r="A13" s="644"/>
      <c r="B13" s="233"/>
      <c r="C13" s="240"/>
      <c r="D13" s="240"/>
      <c r="E13" s="242"/>
      <c r="F13" s="243"/>
      <c r="G13" s="244"/>
      <c r="H13" s="184">
        <f t="shared" si="1"/>
        <v>0</v>
      </c>
      <c r="I13" s="241"/>
    </row>
    <row r="14" spans="1:18" ht="15.95" customHeight="1" x14ac:dyDescent="0.15">
      <c r="A14" s="644"/>
      <c r="B14" s="233"/>
      <c r="C14" s="240"/>
      <c r="D14" s="240"/>
      <c r="E14" s="242"/>
      <c r="F14" s="243"/>
      <c r="G14" s="244"/>
      <c r="H14" s="184">
        <f t="shared" si="1"/>
        <v>0</v>
      </c>
      <c r="I14" s="241"/>
    </row>
    <row r="15" spans="1:18" ht="15.95" customHeight="1" x14ac:dyDescent="0.15">
      <c r="A15" s="644"/>
      <c r="B15" s="233"/>
      <c r="C15" s="245"/>
      <c r="D15" s="265"/>
      <c r="E15" s="246"/>
      <c r="F15" s="266"/>
      <c r="G15" s="267"/>
      <c r="H15" s="268">
        <f t="shared" si="1"/>
        <v>0</v>
      </c>
      <c r="I15" s="269"/>
    </row>
    <row r="16" spans="1:18" ht="15.95" customHeight="1" x14ac:dyDescent="0.15">
      <c r="A16" s="644"/>
      <c r="B16" s="233"/>
      <c r="C16" s="270"/>
      <c r="D16" s="271"/>
      <c r="E16" s="272"/>
      <c r="F16" s="273"/>
      <c r="G16" s="274"/>
      <c r="H16" s="275">
        <f>SUM(H10:H15)</f>
        <v>0</v>
      </c>
      <c r="I16" s="276"/>
    </row>
    <row r="17" spans="1:9" ht="15.95" customHeight="1" x14ac:dyDescent="0.15">
      <c r="A17" s="644"/>
      <c r="B17" s="277" t="s">
        <v>143</v>
      </c>
      <c r="C17" s="444" t="s">
        <v>316</v>
      </c>
      <c r="D17" s="444" t="s">
        <v>391</v>
      </c>
      <c r="E17" s="445" t="s">
        <v>315</v>
      </c>
      <c r="F17" s="474">
        <v>1</v>
      </c>
      <c r="G17" s="446">
        <v>500000</v>
      </c>
      <c r="H17" s="359">
        <f t="shared" si="1"/>
        <v>500000</v>
      </c>
      <c r="I17" s="263"/>
    </row>
    <row r="18" spans="1:9" ht="15.95" customHeight="1" x14ac:dyDescent="0.15">
      <c r="A18" s="644"/>
      <c r="B18" s="233"/>
      <c r="C18" s="437" t="s">
        <v>325</v>
      </c>
      <c r="D18" s="437" t="s">
        <v>391</v>
      </c>
      <c r="E18" s="438" t="s">
        <v>315</v>
      </c>
      <c r="F18" s="439">
        <v>1</v>
      </c>
      <c r="G18" s="440">
        <v>500000</v>
      </c>
      <c r="H18" s="359">
        <f t="shared" si="1"/>
        <v>500000</v>
      </c>
      <c r="I18" s="241"/>
    </row>
    <row r="19" spans="1:9" ht="15.95" customHeight="1" x14ac:dyDescent="0.15">
      <c r="A19" s="644"/>
      <c r="B19" s="233"/>
      <c r="C19" s="476" t="s">
        <v>331</v>
      </c>
      <c r="D19" s="437" t="s">
        <v>391</v>
      </c>
      <c r="E19" s="438" t="s">
        <v>315</v>
      </c>
      <c r="F19" s="439">
        <v>1</v>
      </c>
      <c r="G19" s="440">
        <v>2000000</v>
      </c>
      <c r="H19" s="359">
        <f t="shared" si="1"/>
        <v>2000000</v>
      </c>
      <c r="I19" s="241"/>
    </row>
    <row r="20" spans="1:9" ht="15.95" customHeight="1" x14ac:dyDescent="0.15">
      <c r="A20" s="644"/>
      <c r="B20" s="233"/>
      <c r="C20" s="476" t="s">
        <v>342</v>
      </c>
      <c r="D20" s="437" t="s">
        <v>392</v>
      </c>
      <c r="E20" s="438" t="s">
        <v>315</v>
      </c>
      <c r="F20" s="439">
        <v>1</v>
      </c>
      <c r="G20" s="440">
        <v>2000000</v>
      </c>
      <c r="H20" s="359">
        <f t="shared" si="1"/>
        <v>2000000</v>
      </c>
      <c r="I20" s="241"/>
    </row>
    <row r="21" spans="1:9" ht="15.95" customHeight="1" x14ac:dyDescent="0.15">
      <c r="A21" s="644"/>
      <c r="B21" s="233"/>
      <c r="C21" s="444" t="s">
        <v>344</v>
      </c>
      <c r="D21" s="437" t="s">
        <v>393</v>
      </c>
      <c r="E21" s="445" t="s">
        <v>311</v>
      </c>
      <c r="F21" s="474">
        <v>1</v>
      </c>
      <c r="G21" s="446">
        <v>3200000</v>
      </c>
      <c r="H21" s="479">
        <f t="shared" ref="H21:H22" si="2">IF(F21=0,G21,G21*F21)</f>
        <v>3200000</v>
      </c>
      <c r="I21" s="241"/>
    </row>
    <row r="22" spans="1:9" ht="15.95" customHeight="1" x14ac:dyDescent="0.15">
      <c r="A22" s="644"/>
      <c r="B22" s="233"/>
      <c r="C22" s="444" t="s">
        <v>365</v>
      </c>
      <c r="D22" s="437" t="s">
        <v>394</v>
      </c>
      <c r="E22" s="445" t="s">
        <v>311</v>
      </c>
      <c r="F22" s="474">
        <v>1</v>
      </c>
      <c r="G22" s="446">
        <v>3000000</v>
      </c>
      <c r="H22" s="472">
        <f t="shared" si="2"/>
        <v>3000000</v>
      </c>
      <c r="I22" s="241"/>
    </row>
    <row r="23" spans="1:9" ht="15.95" customHeight="1" x14ac:dyDescent="0.15">
      <c r="A23" s="644"/>
      <c r="B23" s="233"/>
      <c r="C23" s="444" t="s">
        <v>385</v>
      </c>
      <c r="D23" s="515"/>
      <c r="E23" s="445"/>
      <c r="F23" s="486"/>
      <c r="G23" s="446"/>
      <c r="H23" s="472">
        <f t="shared" ref="H23:H26" si="3">IF(F23=0,G23,G23*F23)</f>
        <v>0</v>
      </c>
      <c r="I23" s="241"/>
    </row>
    <row r="24" spans="1:9" ht="15.95" customHeight="1" x14ac:dyDescent="0.15">
      <c r="A24" s="644"/>
      <c r="B24" s="233"/>
      <c r="C24" s="511" t="s">
        <v>386</v>
      </c>
      <c r="D24" s="482" t="s">
        <v>387</v>
      </c>
      <c r="E24" s="517" t="s">
        <v>284</v>
      </c>
      <c r="F24" s="513">
        <v>1</v>
      </c>
      <c r="G24" s="516">
        <v>1000000</v>
      </c>
      <c r="H24" s="510">
        <f t="shared" si="3"/>
        <v>1000000</v>
      </c>
      <c r="I24" s="241"/>
    </row>
    <row r="25" spans="1:9" ht="15.95" customHeight="1" x14ac:dyDescent="0.15">
      <c r="A25" s="644"/>
      <c r="B25" s="233"/>
      <c r="C25" s="511" t="s">
        <v>388</v>
      </c>
      <c r="D25" s="511" t="s">
        <v>389</v>
      </c>
      <c r="E25" s="512" t="s">
        <v>284</v>
      </c>
      <c r="F25" s="513">
        <v>1</v>
      </c>
      <c r="G25" s="514">
        <v>10000000</v>
      </c>
      <c r="H25" s="510">
        <f t="shared" si="3"/>
        <v>10000000</v>
      </c>
      <c r="I25" s="241"/>
    </row>
    <row r="26" spans="1:9" ht="15.95" customHeight="1" x14ac:dyDescent="0.15">
      <c r="A26" s="644"/>
      <c r="B26" s="233"/>
      <c r="C26" s="511" t="s">
        <v>390</v>
      </c>
      <c r="D26" s="511"/>
      <c r="E26" s="512" t="s">
        <v>284</v>
      </c>
      <c r="F26" s="513">
        <v>1</v>
      </c>
      <c r="G26" s="514">
        <v>30000000</v>
      </c>
      <c r="H26" s="510">
        <f t="shared" si="3"/>
        <v>30000000</v>
      </c>
      <c r="I26" s="241"/>
    </row>
    <row r="27" spans="1:9" ht="15.95" customHeight="1" x14ac:dyDescent="0.15">
      <c r="A27" s="644"/>
      <c r="B27" s="233"/>
      <c r="C27" s="511"/>
      <c r="D27" s="511"/>
      <c r="E27" s="512"/>
      <c r="F27" s="513"/>
      <c r="G27" s="514"/>
      <c r="H27" s="403">
        <f t="shared" si="1"/>
        <v>0</v>
      </c>
      <c r="I27" s="241"/>
    </row>
    <row r="28" spans="1:9" ht="15.95" customHeight="1" x14ac:dyDescent="0.15">
      <c r="A28" s="644"/>
      <c r="B28" s="233"/>
      <c r="C28" s="240"/>
      <c r="D28" s="240"/>
      <c r="E28" s="242"/>
      <c r="F28" s="243"/>
      <c r="G28" s="244"/>
      <c r="H28" s="403">
        <f t="shared" si="1"/>
        <v>0</v>
      </c>
      <c r="I28" s="241"/>
    </row>
    <row r="29" spans="1:9" ht="15.95" customHeight="1" x14ac:dyDescent="0.15">
      <c r="A29" s="644"/>
      <c r="B29" s="233"/>
      <c r="C29" s="240"/>
      <c r="D29" s="240"/>
      <c r="E29" s="242"/>
      <c r="F29" s="243"/>
      <c r="G29" s="244"/>
      <c r="H29" s="403">
        <f t="shared" si="1"/>
        <v>0</v>
      </c>
      <c r="I29" s="241"/>
    </row>
    <row r="30" spans="1:9" ht="15.95" customHeight="1" x14ac:dyDescent="0.15">
      <c r="A30" s="644"/>
      <c r="B30" s="233"/>
      <c r="C30" s="240"/>
      <c r="D30" s="240"/>
      <c r="E30" s="242"/>
      <c r="F30" s="243"/>
      <c r="G30" s="244"/>
      <c r="H30" s="184">
        <f t="shared" si="1"/>
        <v>0</v>
      </c>
      <c r="I30" s="241"/>
    </row>
    <row r="31" spans="1:9" ht="15.95" customHeight="1" x14ac:dyDescent="0.15">
      <c r="A31" s="644"/>
      <c r="B31" s="233"/>
      <c r="C31" s="240"/>
      <c r="D31" s="240"/>
      <c r="E31" s="242"/>
      <c r="F31" s="243"/>
      <c r="G31" s="244"/>
      <c r="H31" s="184">
        <f t="shared" si="1"/>
        <v>0</v>
      </c>
      <c r="I31" s="241"/>
    </row>
    <row r="32" spans="1:9" ht="15.95" customHeight="1" x14ac:dyDescent="0.15">
      <c r="A32" s="644"/>
      <c r="B32" s="233"/>
      <c r="C32" s="240"/>
      <c r="D32" s="240"/>
      <c r="E32" s="242"/>
      <c r="F32" s="243"/>
      <c r="G32" s="244"/>
      <c r="H32" s="184">
        <f t="shared" si="1"/>
        <v>0</v>
      </c>
      <c r="I32" s="241"/>
    </row>
    <row r="33" spans="1:9" ht="15.95" customHeight="1" x14ac:dyDescent="0.15">
      <c r="A33" s="644"/>
      <c r="B33" s="233"/>
      <c r="C33" s="240"/>
      <c r="D33" s="240"/>
      <c r="E33" s="242"/>
      <c r="F33" s="243"/>
      <c r="G33" s="244"/>
      <c r="H33" s="184">
        <f t="shared" si="1"/>
        <v>0</v>
      </c>
      <c r="I33" s="241"/>
    </row>
    <row r="34" spans="1:9" ht="15.95" customHeight="1" x14ac:dyDescent="0.15">
      <c r="A34" s="644"/>
      <c r="B34" s="233"/>
      <c r="C34" s="240"/>
      <c r="D34" s="240"/>
      <c r="E34" s="242"/>
      <c r="F34" s="243"/>
      <c r="G34" s="244"/>
      <c r="H34" s="184">
        <f t="shared" si="1"/>
        <v>0</v>
      </c>
      <c r="I34" s="241"/>
    </row>
    <row r="35" spans="1:9" ht="15.95" customHeight="1" x14ac:dyDescent="0.15">
      <c r="A35" s="644"/>
      <c r="B35" s="233"/>
      <c r="C35" s="240"/>
      <c r="D35" s="240"/>
      <c r="E35" s="242"/>
      <c r="F35" s="243"/>
      <c r="G35" s="244"/>
      <c r="H35" s="184">
        <f t="shared" si="1"/>
        <v>0</v>
      </c>
      <c r="I35" s="241"/>
    </row>
    <row r="36" spans="1:9" ht="15.95" customHeight="1" x14ac:dyDescent="0.15">
      <c r="A36" s="644"/>
      <c r="B36" s="233"/>
      <c r="C36" s="240"/>
      <c r="D36" s="240"/>
      <c r="E36" s="242"/>
      <c r="F36" s="243"/>
      <c r="G36" s="244"/>
      <c r="H36" s="184">
        <f t="shared" si="1"/>
        <v>0</v>
      </c>
      <c r="I36" s="241"/>
    </row>
    <row r="37" spans="1:9" ht="15.95" customHeight="1" x14ac:dyDescent="0.15">
      <c r="A37" s="644"/>
      <c r="B37" s="233"/>
      <c r="C37" s="240"/>
      <c r="D37" s="240"/>
      <c r="E37" s="242"/>
      <c r="F37" s="243"/>
      <c r="G37" s="244"/>
      <c r="H37" s="184">
        <f t="shared" si="1"/>
        <v>0</v>
      </c>
      <c r="I37" s="241"/>
    </row>
    <row r="38" spans="1:9" ht="15.95" customHeight="1" x14ac:dyDescent="0.15">
      <c r="A38" s="644"/>
      <c r="B38" s="233"/>
      <c r="C38" s="240"/>
      <c r="D38" s="240"/>
      <c r="E38" s="242"/>
      <c r="F38" s="243"/>
      <c r="G38" s="244"/>
      <c r="H38" s="184">
        <f t="shared" si="1"/>
        <v>0</v>
      </c>
      <c r="I38" s="241"/>
    </row>
    <row r="39" spans="1:9" ht="15.95" customHeight="1" x14ac:dyDescent="0.15">
      <c r="A39" s="644"/>
      <c r="B39" s="233"/>
      <c r="C39" s="240"/>
      <c r="D39" s="240"/>
      <c r="E39" s="242"/>
      <c r="F39" s="243"/>
      <c r="G39" s="244"/>
      <c r="H39" s="184">
        <f t="shared" si="1"/>
        <v>0</v>
      </c>
      <c r="I39" s="241"/>
    </row>
    <row r="40" spans="1:9" ht="15.95" customHeight="1" x14ac:dyDescent="0.15">
      <c r="A40" s="644"/>
      <c r="B40" s="233"/>
      <c r="C40" s="240"/>
      <c r="D40" s="240"/>
      <c r="E40" s="242"/>
      <c r="F40" s="243"/>
      <c r="G40" s="244"/>
      <c r="H40" s="184">
        <f t="shared" si="1"/>
        <v>0</v>
      </c>
      <c r="I40" s="241"/>
    </row>
    <row r="41" spans="1:9" ht="15.95" customHeight="1" x14ac:dyDescent="0.15">
      <c r="A41" s="644"/>
      <c r="B41" s="233"/>
      <c r="C41" s="425"/>
      <c r="D41" s="429"/>
      <c r="E41" s="430"/>
      <c r="F41" s="436"/>
      <c r="G41" s="431"/>
      <c r="H41" s="184">
        <f t="shared" si="1"/>
        <v>0</v>
      </c>
      <c r="I41" s="241"/>
    </row>
    <row r="42" spans="1:9" ht="15.95" customHeight="1" x14ac:dyDescent="0.15">
      <c r="A42" s="644"/>
      <c r="B42" s="233"/>
      <c r="C42" s="425"/>
      <c r="D42" s="425"/>
      <c r="E42" s="426"/>
      <c r="F42" s="427"/>
      <c r="G42" s="428"/>
      <c r="H42" s="184">
        <f t="shared" si="1"/>
        <v>0</v>
      </c>
      <c r="I42" s="241"/>
    </row>
    <row r="43" spans="1:9" ht="15.95" customHeight="1" x14ac:dyDescent="0.15">
      <c r="A43" s="644"/>
      <c r="B43" s="233"/>
      <c r="C43" s="425"/>
      <c r="D43" s="432"/>
      <c r="E43" s="433"/>
      <c r="F43" s="434"/>
      <c r="G43" s="435"/>
      <c r="H43" s="184">
        <f t="shared" si="1"/>
        <v>0</v>
      </c>
      <c r="I43" s="241"/>
    </row>
    <row r="44" spans="1:9" ht="15.95" customHeight="1" x14ac:dyDescent="0.15">
      <c r="A44" s="644"/>
      <c r="B44" s="233"/>
      <c r="C44" s="240"/>
      <c r="D44" s="240"/>
      <c r="E44" s="242"/>
      <c r="F44" s="243"/>
      <c r="G44" s="244"/>
      <c r="H44" s="184">
        <f t="shared" si="1"/>
        <v>0</v>
      </c>
      <c r="I44" s="241"/>
    </row>
    <row r="45" spans="1:9" ht="15.95" customHeight="1" x14ac:dyDescent="0.15">
      <c r="A45" s="644"/>
      <c r="B45" s="233"/>
      <c r="C45" s="240"/>
      <c r="D45" s="240"/>
      <c r="E45" s="242"/>
      <c r="F45" s="243"/>
      <c r="G45" s="244"/>
      <c r="H45" s="184">
        <f t="shared" si="1"/>
        <v>0</v>
      </c>
      <c r="I45" s="241"/>
    </row>
    <row r="46" spans="1:9" ht="15.95" customHeight="1" x14ac:dyDescent="0.15">
      <c r="A46" s="644"/>
      <c r="B46" s="233"/>
      <c r="C46" s="240"/>
      <c r="D46" s="240"/>
      <c r="E46" s="242"/>
      <c r="F46" s="243"/>
      <c r="G46" s="244"/>
      <c r="H46" s="184">
        <f t="shared" si="1"/>
        <v>0</v>
      </c>
      <c r="I46" s="241"/>
    </row>
    <row r="47" spans="1:9" ht="15.95" customHeight="1" x14ac:dyDescent="0.15">
      <c r="A47" s="644"/>
      <c r="B47" s="233"/>
      <c r="C47" s="240"/>
      <c r="D47" s="240"/>
      <c r="E47" s="242"/>
      <c r="F47" s="243"/>
      <c r="G47" s="244"/>
      <c r="H47" s="184">
        <f t="shared" si="1"/>
        <v>0</v>
      </c>
      <c r="I47" s="241"/>
    </row>
    <row r="48" spans="1:9" ht="15.95" customHeight="1" x14ac:dyDescent="0.15">
      <c r="A48" s="644"/>
      <c r="B48" s="233"/>
      <c r="C48" s="386" t="s">
        <v>306</v>
      </c>
      <c r="D48" s="386"/>
      <c r="E48" s="387" t="s">
        <v>289</v>
      </c>
      <c r="F48" s="247"/>
      <c r="G48" s="391"/>
      <c r="H48" s="278">
        <f t="shared" si="1"/>
        <v>0</v>
      </c>
      <c r="I48" s="249"/>
    </row>
    <row r="49" spans="1:17" ht="15.95" customHeight="1" x14ac:dyDescent="0.15">
      <c r="A49" s="644"/>
      <c r="B49" s="250"/>
      <c r="C49" s="251"/>
      <c r="D49" s="252"/>
      <c r="E49" s="230"/>
      <c r="F49" s="253"/>
      <c r="G49" s="254"/>
      <c r="H49" s="255">
        <f>SUM(H17:H48)</f>
        <v>52200000</v>
      </c>
      <c r="I49" s="256"/>
    </row>
    <row r="50" spans="1:17" ht="15.95" customHeight="1" x14ac:dyDescent="0.15">
      <c r="A50" s="279"/>
      <c r="B50" s="280" t="s">
        <v>144</v>
      </c>
      <c r="C50" s="281"/>
      <c r="D50" s="256"/>
      <c r="E50" s="231"/>
      <c r="F50" s="282"/>
      <c r="G50" s="283"/>
      <c r="H50" s="255">
        <f>SUM(H49,H9,H16)</f>
        <v>52200000</v>
      </c>
      <c r="I50" s="256"/>
    </row>
    <row r="51" spans="1:17" ht="15.95" customHeight="1" x14ac:dyDescent="0.15">
      <c r="A51" s="645" t="s">
        <v>145</v>
      </c>
      <c r="B51" s="284" t="s">
        <v>146</v>
      </c>
      <c r="C51" s="281"/>
      <c r="D51" s="285"/>
      <c r="E51" s="286" t="s">
        <v>71</v>
      </c>
      <c r="F51" s="509">
        <v>0</v>
      </c>
      <c r="G51" s="287">
        <v>300000</v>
      </c>
      <c r="H51" s="288">
        <f t="shared" ref="H51:H57" si="4">F51*G51</f>
        <v>0</v>
      </c>
      <c r="I51" s="256"/>
    </row>
    <row r="52" spans="1:17" ht="15.95" customHeight="1" x14ac:dyDescent="0.15">
      <c r="A52" s="646"/>
      <c r="B52" s="289" t="s">
        <v>147</v>
      </c>
      <c r="C52" s="290"/>
      <c r="D52" s="291"/>
      <c r="E52" s="292" t="s">
        <v>148</v>
      </c>
      <c r="F52" s="507">
        <v>20</v>
      </c>
      <c r="G52" s="261">
        <v>300000</v>
      </c>
      <c r="H52" s="262">
        <f t="shared" si="4"/>
        <v>6000000</v>
      </c>
      <c r="I52" s="263"/>
      <c r="N52" s="647"/>
      <c r="O52" s="648"/>
      <c r="P52" s="400"/>
      <c r="Q52" s="402"/>
    </row>
    <row r="53" spans="1:17" ht="15.95" customHeight="1" x14ac:dyDescent="0.15">
      <c r="A53" s="646"/>
      <c r="B53" s="293" t="s">
        <v>149</v>
      </c>
      <c r="C53" s="294"/>
      <c r="D53" s="295"/>
      <c r="E53" s="296" t="s">
        <v>148</v>
      </c>
      <c r="F53" s="504">
        <v>10</v>
      </c>
      <c r="G53" s="244">
        <v>250000</v>
      </c>
      <c r="H53" s="184">
        <f t="shared" si="4"/>
        <v>2500000</v>
      </c>
      <c r="I53" s="241"/>
      <c r="N53" s="647"/>
      <c r="O53" s="648"/>
      <c r="P53" s="400"/>
      <c r="Q53" s="402"/>
    </row>
    <row r="54" spans="1:17" ht="15.95" customHeight="1" x14ac:dyDescent="0.15">
      <c r="A54" s="646"/>
      <c r="B54" s="293" t="s">
        <v>150</v>
      </c>
      <c r="C54" s="294"/>
      <c r="D54" s="295"/>
      <c r="E54" s="296" t="s">
        <v>148</v>
      </c>
      <c r="F54" s="505">
        <v>10</v>
      </c>
      <c r="G54" s="244">
        <v>250000</v>
      </c>
      <c r="H54" s="184">
        <f>F54*G54</f>
        <v>2500000</v>
      </c>
      <c r="I54" s="241"/>
      <c r="N54" s="647"/>
      <c r="O54" s="647"/>
      <c r="P54" s="400"/>
      <c r="Q54" s="402"/>
    </row>
    <row r="55" spans="1:17" ht="15.95" customHeight="1" x14ac:dyDescent="0.15">
      <c r="A55" s="646"/>
      <c r="B55" s="293" t="s">
        <v>151</v>
      </c>
      <c r="C55" s="294"/>
      <c r="D55" s="295"/>
      <c r="E55" s="296" t="s">
        <v>148</v>
      </c>
      <c r="F55" s="505">
        <v>10</v>
      </c>
      <c r="G55" s="244">
        <v>300000</v>
      </c>
      <c r="H55" s="184">
        <f t="shared" si="4"/>
        <v>3000000</v>
      </c>
      <c r="I55" s="241"/>
      <c r="N55" s="647"/>
      <c r="O55" s="648"/>
      <c r="P55" s="400"/>
      <c r="Q55" s="402"/>
    </row>
    <row r="56" spans="1:17" ht="15.95" customHeight="1" x14ac:dyDescent="0.15">
      <c r="A56" s="646"/>
      <c r="B56" s="293" t="s">
        <v>152</v>
      </c>
      <c r="C56" s="294"/>
      <c r="D56" s="295"/>
      <c r="E56" s="296" t="s">
        <v>148</v>
      </c>
      <c r="F56" s="508">
        <v>10</v>
      </c>
      <c r="G56" s="267">
        <v>300000</v>
      </c>
      <c r="H56" s="184">
        <f t="shared" si="4"/>
        <v>3000000</v>
      </c>
      <c r="I56" s="241"/>
      <c r="N56" s="647"/>
      <c r="O56" s="648"/>
      <c r="P56" s="400"/>
      <c r="Q56" s="402"/>
    </row>
    <row r="57" spans="1:17" ht="15.95" customHeight="1" x14ac:dyDescent="0.15">
      <c r="A57" s="646"/>
      <c r="B57" s="297" t="s">
        <v>153</v>
      </c>
      <c r="C57" s="298"/>
      <c r="D57" s="299"/>
      <c r="E57" s="300" t="s">
        <v>148</v>
      </c>
      <c r="F57" s="506">
        <v>4</v>
      </c>
      <c r="G57" s="248">
        <v>300000</v>
      </c>
      <c r="H57" s="278">
        <f t="shared" si="4"/>
        <v>1200000</v>
      </c>
      <c r="I57" s="249"/>
      <c r="N57" s="647"/>
      <c r="O57" s="648"/>
      <c r="P57" s="400"/>
      <c r="Q57" s="402"/>
    </row>
    <row r="58" spans="1:17" ht="15.95" customHeight="1" x14ac:dyDescent="0.15">
      <c r="A58" s="279"/>
      <c r="B58" s="301" t="s">
        <v>154</v>
      </c>
      <c r="C58" s="281"/>
      <c r="D58" s="256"/>
      <c r="E58" s="231"/>
      <c r="F58" s="253"/>
      <c r="G58" s="254"/>
      <c r="H58" s="255">
        <f>SUM(H51:H57)</f>
        <v>18200000</v>
      </c>
      <c r="I58" s="256"/>
    </row>
    <row r="59" spans="1:17" ht="15.95" customHeight="1" x14ac:dyDescent="0.15">
      <c r="A59" s="302"/>
      <c r="B59" s="301" t="s">
        <v>155</v>
      </c>
      <c r="C59" s="281"/>
      <c r="D59" s="256"/>
      <c r="E59" s="231"/>
      <c r="F59" s="232"/>
      <c r="G59" s="303" t="s">
        <v>156</v>
      </c>
      <c r="H59" s="283">
        <v>0</v>
      </c>
      <c r="I59" s="256"/>
    </row>
    <row r="60" spans="1:17" ht="15.95" customHeight="1" x14ac:dyDescent="0.15">
      <c r="A60" s="302"/>
      <c r="B60" s="301" t="s">
        <v>157</v>
      </c>
      <c r="C60" s="281"/>
      <c r="D60" s="256"/>
      <c r="E60" s="231"/>
      <c r="F60" s="232"/>
      <c r="G60" s="304"/>
      <c r="H60" s="305">
        <f>(H58+H50)*0</f>
        <v>0</v>
      </c>
      <c r="I60" s="281"/>
    </row>
    <row r="61" spans="1:17" ht="15.95" customHeight="1" x14ac:dyDescent="0.15">
      <c r="A61" s="302"/>
      <c r="B61" s="301" t="s">
        <v>158</v>
      </c>
      <c r="C61" s="281"/>
      <c r="D61" s="256"/>
      <c r="E61" s="231"/>
      <c r="F61" s="232"/>
      <c r="G61" s="304"/>
      <c r="H61" s="305">
        <f>(H58+H50)*0</f>
        <v>0</v>
      </c>
      <c r="I61" s="281"/>
    </row>
    <row r="62" spans="1:17" ht="15.95" customHeight="1" x14ac:dyDescent="0.15">
      <c r="A62" s="302"/>
      <c r="B62" s="301" t="s">
        <v>159</v>
      </c>
      <c r="C62" s="281"/>
      <c r="D62" s="256"/>
      <c r="E62" s="231"/>
      <c r="F62" s="232"/>
      <c r="G62" s="255"/>
      <c r="H62" s="254">
        <f>H50+H58+H59+H60+H61</f>
        <v>70400000</v>
      </c>
      <c r="I62" s="256"/>
      <c r="K62" s="173"/>
    </row>
    <row r="63" spans="1:17" x14ac:dyDescent="0.15">
      <c r="A63" s="151"/>
    </row>
    <row r="65" spans="9:9" x14ac:dyDescent="0.15">
      <c r="I65" s="378"/>
    </row>
  </sheetData>
  <mergeCells count="9">
    <mergeCell ref="A2:B2"/>
    <mergeCell ref="A3:A49"/>
    <mergeCell ref="A51:A57"/>
    <mergeCell ref="N57:O57"/>
    <mergeCell ref="N52:O52"/>
    <mergeCell ref="N56:O56"/>
    <mergeCell ref="N53:O53"/>
    <mergeCell ref="N55:O55"/>
    <mergeCell ref="N54:O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ignoredErrors>
    <ignoredError sqref="H16 H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0"/>
  <sheetViews>
    <sheetView zoomScaleNormal="100" workbookViewId="0">
      <pane xSplit="2" ySplit="2" topLeftCell="C30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F55" sqref="F55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0" width="9" style="134"/>
    <col min="11" max="11" width="10" style="134" bestFit="1" customWidth="1"/>
    <col min="12" max="16384" width="9" style="134"/>
  </cols>
  <sheetData>
    <row r="1" spans="1:11" ht="22.5" customHeight="1" x14ac:dyDescent="0.15">
      <c r="B1" s="225" t="s">
        <v>160</v>
      </c>
      <c r="C1" s="404" t="s">
        <v>309</v>
      </c>
      <c r="D1" s="227"/>
      <c r="E1" s="227"/>
      <c r="F1" s="308"/>
      <c r="G1" s="187"/>
      <c r="I1" s="134" t="s">
        <v>161</v>
      </c>
      <c r="K1" s="309"/>
    </row>
    <row r="2" spans="1:11" s="151" customFormat="1" ht="16.5" customHeight="1" x14ac:dyDescent="0.15">
      <c r="A2" s="527" t="s">
        <v>162</v>
      </c>
      <c r="B2" s="642"/>
      <c r="C2" s="142" t="s">
        <v>163</v>
      </c>
      <c r="D2" s="135" t="s">
        <v>164</v>
      </c>
      <c r="E2" s="135" t="s">
        <v>165</v>
      </c>
      <c r="F2" s="282" t="s">
        <v>166</v>
      </c>
      <c r="G2" s="282" t="s">
        <v>167</v>
      </c>
      <c r="H2" s="282" t="s">
        <v>168</v>
      </c>
      <c r="I2" s="135" t="s">
        <v>169</v>
      </c>
    </row>
    <row r="3" spans="1:11" ht="15.95" customHeight="1" x14ac:dyDescent="0.15">
      <c r="A3" s="643" t="s">
        <v>308</v>
      </c>
      <c r="B3" s="233" t="s">
        <v>171</v>
      </c>
      <c r="C3" s="444" t="s">
        <v>290</v>
      </c>
      <c r="D3" s="444" t="s">
        <v>291</v>
      </c>
      <c r="E3" s="445" t="s">
        <v>284</v>
      </c>
      <c r="F3" s="446">
        <v>2</v>
      </c>
      <c r="G3" s="446">
        <v>500000</v>
      </c>
      <c r="H3" s="359">
        <f t="shared" ref="H3:H44" si="0">IF(F3=0,G3,G3*F3)</f>
        <v>1000000</v>
      </c>
      <c r="I3" s="263"/>
    </row>
    <row r="4" spans="1:11" ht="15.95" customHeight="1" x14ac:dyDescent="0.15">
      <c r="A4" s="649"/>
      <c r="B4" s="233"/>
      <c r="C4" s="466" t="s">
        <v>292</v>
      </c>
      <c r="D4" s="444" t="s">
        <v>293</v>
      </c>
      <c r="E4" s="467" t="s">
        <v>284</v>
      </c>
      <c r="F4" s="446">
        <v>2</v>
      </c>
      <c r="G4" s="468">
        <v>500000</v>
      </c>
      <c r="H4" s="359">
        <f t="shared" si="0"/>
        <v>1000000</v>
      </c>
      <c r="I4" s="241"/>
    </row>
    <row r="5" spans="1:11" ht="15.95" customHeight="1" x14ac:dyDescent="0.15">
      <c r="A5" s="649"/>
      <c r="B5" s="233"/>
      <c r="C5" s="444" t="s">
        <v>295</v>
      </c>
      <c r="D5" s="444" t="s">
        <v>296</v>
      </c>
      <c r="E5" s="467" t="s">
        <v>284</v>
      </c>
      <c r="F5" s="448">
        <v>40</v>
      </c>
      <c r="G5" s="468">
        <v>70000</v>
      </c>
      <c r="H5" s="184">
        <f t="shared" si="0"/>
        <v>2800000</v>
      </c>
      <c r="I5" s="241"/>
    </row>
    <row r="6" spans="1:11" ht="15.95" customHeight="1" x14ac:dyDescent="0.15">
      <c r="A6" s="649"/>
      <c r="B6" s="233"/>
      <c r="C6" s="444" t="s">
        <v>297</v>
      </c>
      <c r="D6" s="444" t="s">
        <v>298</v>
      </c>
      <c r="E6" s="467" t="s">
        <v>284</v>
      </c>
      <c r="F6" s="446">
        <v>20</v>
      </c>
      <c r="G6" s="468">
        <v>150000</v>
      </c>
      <c r="H6" s="403">
        <f t="shared" ref="H6" si="1">IF(F6=0,G6,G6*F6)</f>
        <v>3000000</v>
      </c>
      <c r="I6" s="241"/>
    </row>
    <row r="7" spans="1:11" ht="15.95" customHeight="1" x14ac:dyDescent="0.15">
      <c r="A7" s="649"/>
      <c r="B7" s="233"/>
      <c r="C7" s="410"/>
      <c r="D7" s="410"/>
      <c r="E7" s="414"/>
      <c r="F7" s="413"/>
      <c r="G7" s="412"/>
      <c r="H7" s="359">
        <f t="shared" si="0"/>
        <v>0</v>
      </c>
      <c r="I7" s="241"/>
    </row>
    <row r="8" spans="1:11" ht="15.95" customHeight="1" x14ac:dyDescent="0.15">
      <c r="A8" s="649"/>
      <c r="B8" s="233"/>
      <c r="C8" s="410"/>
      <c r="D8" s="410"/>
      <c r="E8" s="414"/>
      <c r="F8" s="413"/>
      <c r="G8" s="412"/>
      <c r="H8" s="359">
        <f t="shared" si="0"/>
        <v>0</v>
      </c>
      <c r="I8" s="241"/>
    </row>
    <row r="9" spans="1:11" ht="15.95" customHeight="1" x14ac:dyDescent="0.15">
      <c r="A9" s="649"/>
      <c r="B9" s="233"/>
      <c r="C9" s="410"/>
      <c r="D9" s="410"/>
      <c r="E9" s="414"/>
      <c r="F9" s="413"/>
      <c r="G9" s="412"/>
      <c r="H9" s="359">
        <f t="shared" si="0"/>
        <v>0</v>
      </c>
      <c r="I9" s="241"/>
    </row>
    <row r="10" spans="1:11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0"/>
        <v>0</v>
      </c>
      <c r="I10" s="241"/>
    </row>
    <row r="11" spans="1:11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0"/>
        <v>0</v>
      </c>
      <c r="I11" s="241"/>
    </row>
    <row r="12" spans="1:11" ht="15.95" customHeight="1" x14ac:dyDescent="0.15">
      <c r="A12" s="649"/>
      <c r="B12" s="233"/>
      <c r="C12" s="469" t="s">
        <v>312</v>
      </c>
      <c r="D12" s="265"/>
      <c r="E12" s="326"/>
      <c r="F12" s="267"/>
      <c r="G12" s="267"/>
      <c r="H12" s="268">
        <f t="shared" si="0"/>
        <v>0</v>
      </c>
      <c r="I12" s="269"/>
    </row>
    <row r="13" spans="1:11" ht="15.95" customHeight="1" x14ac:dyDescent="0.15">
      <c r="A13" s="649"/>
      <c r="B13" s="250"/>
      <c r="C13" s="276"/>
      <c r="D13" s="276"/>
      <c r="E13" s="276"/>
      <c r="F13" s="274"/>
      <c r="G13" s="274"/>
      <c r="H13" s="275">
        <f>SUM(H3:H12)</f>
        <v>7800000</v>
      </c>
      <c r="I13" s="276"/>
    </row>
    <row r="14" spans="1:11" ht="15.95" customHeight="1" x14ac:dyDescent="0.15">
      <c r="A14" s="649"/>
      <c r="B14" s="233" t="s">
        <v>172</v>
      </c>
      <c r="C14" s="234"/>
      <c r="D14" s="234"/>
      <c r="E14" s="234"/>
      <c r="F14" s="237"/>
      <c r="G14" s="237"/>
      <c r="H14" s="238">
        <f t="shared" si="0"/>
        <v>0</v>
      </c>
      <c r="I14" s="239"/>
    </row>
    <row r="15" spans="1:11" ht="15.95" customHeight="1" x14ac:dyDescent="0.15">
      <c r="A15" s="649"/>
      <c r="B15" s="233" t="s">
        <v>173</v>
      </c>
      <c r="C15" s="240"/>
      <c r="D15" s="240"/>
      <c r="E15" s="240"/>
      <c r="F15" s="244"/>
      <c r="G15" s="244"/>
      <c r="H15" s="184">
        <f t="shared" si="0"/>
        <v>0</v>
      </c>
      <c r="I15" s="241"/>
    </row>
    <row r="16" spans="1:11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5"/>
      <c r="D18" s="245"/>
      <c r="E18" s="245"/>
      <c r="F18" s="248"/>
      <c r="G18" s="248"/>
      <c r="H18" s="184">
        <f t="shared" si="0"/>
        <v>0</v>
      </c>
      <c r="I18" s="249"/>
    </row>
    <row r="19" spans="1:9" ht="15.95" customHeight="1" x14ac:dyDescent="0.15">
      <c r="A19" s="649"/>
      <c r="B19" s="250"/>
      <c r="C19" s="251"/>
      <c r="D19" s="252"/>
      <c r="E19" s="252"/>
      <c r="F19" s="310"/>
      <c r="G19" s="254"/>
      <c r="H19" s="255">
        <f>SUM(H14:H18)</f>
        <v>0</v>
      </c>
      <c r="I19" s="256"/>
    </row>
    <row r="20" spans="1:9" ht="15.95" customHeight="1" x14ac:dyDescent="0.15">
      <c r="A20" s="649"/>
      <c r="B20" s="277" t="s">
        <v>174</v>
      </c>
      <c r="C20" s="441" t="s">
        <v>310</v>
      </c>
      <c r="D20" s="441"/>
      <c r="E20" s="442" t="s">
        <v>311</v>
      </c>
      <c r="F20" s="443">
        <v>1</v>
      </c>
      <c r="G20" s="443">
        <v>1000000</v>
      </c>
      <c r="H20" s="403">
        <f>IF(F20=0,0,G20*F20)</f>
        <v>1000000</v>
      </c>
      <c r="I20" s="450"/>
    </row>
    <row r="21" spans="1:9" ht="15.95" customHeight="1" x14ac:dyDescent="0.15">
      <c r="A21" s="649"/>
      <c r="B21" s="233" t="s">
        <v>307</v>
      </c>
      <c r="C21" s="417" t="s">
        <v>313</v>
      </c>
      <c r="D21" s="423"/>
      <c r="E21" s="438" t="s">
        <v>314</v>
      </c>
      <c r="F21" s="421">
        <v>1</v>
      </c>
      <c r="G21" s="419">
        <v>500000</v>
      </c>
      <c r="H21" s="403">
        <f t="shared" ref="H21:H35" si="2">IF(F21=0,0,G21*F21)</f>
        <v>500000</v>
      </c>
      <c r="I21" s="241"/>
    </row>
    <row r="22" spans="1:9" ht="15.95" customHeight="1" x14ac:dyDescent="0.15">
      <c r="A22" s="649"/>
      <c r="B22" s="233"/>
      <c r="C22" s="466"/>
      <c r="D22" s="466"/>
      <c r="E22" s="467"/>
      <c r="F22" s="468"/>
      <c r="G22" s="468"/>
      <c r="H22" s="403">
        <f t="shared" si="2"/>
        <v>0</v>
      </c>
      <c r="I22" s="241"/>
    </row>
    <row r="23" spans="1:9" ht="15.95" customHeight="1" x14ac:dyDescent="0.15">
      <c r="A23" s="649"/>
      <c r="B23" s="233"/>
      <c r="C23" s="444"/>
      <c r="D23" s="444"/>
      <c r="E23" s="445"/>
      <c r="F23" s="448"/>
      <c r="G23" s="446"/>
      <c r="H23" s="403">
        <f t="shared" si="2"/>
        <v>0</v>
      </c>
      <c r="I23" s="241"/>
    </row>
    <row r="24" spans="1:9" ht="15.95" customHeight="1" x14ac:dyDescent="0.15">
      <c r="A24" s="649"/>
      <c r="B24" s="233"/>
      <c r="C24" s="466" t="s">
        <v>299</v>
      </c>
      <c r="D24" s="466"/>
      <c r="E24" s="467"/>
      <c r="F24" s="468"/>
      <c r="G24" s="468"/>
      <c r="H24" s="403">
        <f t="shared" ref="H24:H30" si="3">IF(F24=0,0,G24*F24)</f>
        <v>0</v>
      </c>
      <c r="I24" s="239"/>
    </row>
    <row r="25" spans="1:9" ht="15.95" customHeight="1" x14ac:dyDescent="0.15">
      <c r="A25" s="649"/>
      <c r="B25" s="233"/>
      <c r="C25" s="444" t="s">
        <v>300</v>
      </c>
      <c r="D25" s="444"/>
      <c r="E25" s="445" t="s">
        <v>284</v>
      </c>
      <c r="F25" s="448">
        <v>0</v>
      </c>
      <c r="G25" s="446">
        <v>350000</v>
      </c>
      <c r="H25" s="403">
        <f t="shared" si="3"/>
        <v>0</v>
      </c>
      <c r="I25" s="241"/>
    </row>
    <row r="26" spans="1:9" ht="15.95" customHeight="1" x14ac:dyDescent="0.15">
      <c r="A26" s="649"/>
      <c r="B26" s="233"/>
      <c r="C26" s="444" t="s">
        <v>301</v>
      </c>
      <c r="D26" s="444"/>
      <c r="E26" s="445" t="s">
        <v>284</v>
      </c>
      <c r="F26" s="448">
        <v>4</v>
      </c>
      <c r="G26" s="446">
        <v>70000</v>
      </c>
      <c r="H26" s="403">
        <f t="shared" si="3"/>
        <v>280000</v>
      </c>
      <c r="I26" s="456"/>
    </row>
    <row r="27" spans="1:9" ht="15.95" customHeight="1" x14ac:dyDescent="0.15">
      <c r="A27" s="649"/>
      <c r="B27" s="233"/>
      <c r="C27" s="444" t="s">
        <v>302</v>
      </c>
      <c r="D27" s="444"/>
      <c r="E27" s="445" t="s">
        <v>284</v>
      </c>
      <c r="F27" s="448">
        <v>0</v>
      </c>
      <c r="G27" s="446">
        <v>800000</v>
      </c>
      <c r="H27" s="403">
        <f t="shared" si="3"/>
        <v>0</v>
      </c>
      <c r="I27" s="447"/>
    </row>
    <row r="28" spans="1:9" ht="15.95" customHeight="1" x14ac:dyDescent="0.15">
      <c r="A28" s="649"/>
      <c r="B28" s="233"/>
      <c r="C28" s="444" t="s">
        <v>303</v>
      </c>
      <c r="D28" s="444"/>
      <c r="E28" s="445" t="s">
        <v>284</v>
      </c>
      <c r="F28" s="448">
        <v>2</v>
      </c>
      <c r="G28" s="446">
        <v>50000</v>
      </c>
      <c r="H28" s="403">
        <f t="shared" si="3"/>
        <v>100000</v>
      </c>
      <c r="I28" s="241"/>
    </row>
    <row r="29" spans="1:9" ht="15.95" customHeight="1" x14ac:dyDescent="0.15">
      <c r="A29" s="649"/>
      <c r="B29" s="233"/>
      <c r="C29" s="444" t="s">
        <v>304</v>
      </c>
      <c r="D29" s="444"/>
      <c r="E29" s="445" t="s">
        <v>284</v>
      </c>
      <c r="F29" s="448">
        <v>2</v>
      </c>
      <c r="G29" s="446">
        <v>50000</v>
      </c>
      <c r="H29" s="403">
        <f t="shared" si="3"/>
        <v>100000</v>
      </c>
      <c r="I29" s="455"/>
    </row>
    <row r="30" spans="1:9" ht="15.95" customHeight="1" x14ac:dyDescent="0.15">
      <c r="A30" s="649"/>
      <c r="B30" s="233"/>
      <c r="C30" s="466" t="s">
        <v>305</v>
      </c>
      <c r="D30" s="466"/>
      <c r="E30" s="467" t="s">
        <v>284</v>
      </c>
      <c r="F30" s="468">
        <v>2</v>
      </c>
      <c r="G30" s="468">
        <v>50000</v>
      </c>
      <c r="H30" s="403">
        <f t="shared" si="3"/>
        <v>100000</v>
      </c>
      <c r="I30" s="241"/>
    </row>
    <row r="31" spans="1:9" ht="15.95" customHeight="1" x14ac:dyDescent="0.15">
      <c r="A31" s="649"/>
      <c r="B31" s="233"/>
      <c r="C31" s="417"/>
      <c r="D31" s="417"/>
      <c r="E31" s="418"/>
      <c r="F31" s="421"/>
      <c r="G31" s="419"/>
      <c r="H31" s="403">
        <f t="shared" si="2"/>
        <v>0</v>
      </c>
      <c r="I31" s="455"/>
    </row>
    <row r="32" spans="1:9" ht="15.95" customHeight="1" x14ac:dyDescent="0.15">
      <c r="A32" s="649"/>
      <c r="B32" s="233"/>
      <c r="C32" s="417"/>
      <c r="D32" s="417"/>
      <c r="E32" s="418"/>
      <c r="F32" s="421"/>
      <c r="G32" s="419"/>
      <c r="H32" s="403">
        <f t="shared" si="2"/>
        <v>0</v>
      </c>
      <c r="I32" s="241"/>
    </row>
    <row r="33" spans="1:9" ht="15.95" customHeight="1" x14ac:dyDescent="0.15">
      <c r="A33" s="649"/>
      <c r="B33" s="233"/>
      <c r="C33" s="417"/>
      <c r="D33" s="417"/>
      <c r="E33" s="418"/>
      <c r="F33" s="421"/>
      <c r="G33" s="419"/>
      <c r="H33" s="403">
        <f t="shared" si="2"/>
        <v>0</v>
      </c>
      <c r="I33" s="241"/>
    </row>
    <row r="34" spans="1:9" ht="15.95" customHeight="1" x14ac:dyDescent="0.15">
      <c r="A34" s="649"/>
      <c r="B34" s="233"/>
      <c r="C34" s="416"/>
      <c r="D34" s="416"/>
      <c r="E34" s="422"/>
      <c r="F34" s="420"/>
      <c r="G34" s="420"/>
      <c r="H34" s="403">
        <f t="shared" si="2"/>
        <v>0</v>
      </c>
      <c r="I34" s="241"/>
    </row>
    <row r="35" spans="1:9" ht="15.95" customHeight="1" x14ac:dyDescent="0.15">
      <c r="A35" s="649"/>
      <c r="B35" s="233"/>
      <c r="C35" s="451"/>
      <c r="D35" s="451"/>
      <c r="E35" s="452"/>
      <c r="F35" s="453"/>
      <c r="G35" s="453"/>
      <c r="H35" s="403">
        <f t="shared" si="2"/>
        <v>0</v>
      </c>
      <c r="I35" s="454"/>
    </row>
    <row r="36" spans="1:9" ht="15.95" customHeight="1" x14ac:dyDescent="0.15">
      <c r="A36" s="649"/>
      <c r="B36" s="233"/>
      <c r="C36" s="469" t="s">
        <v>285</v>
      </c>
      <c r="D36" s="469"/>
      <c r="E36" s="470" t="s">
        <v>284</v>
      </c>
      <c r="F36" s="471">
        <v>1</v>
      </c>
      <c r="G36" s="471">
        <v>100000</v>
      </c>
      <c r="H36" s="403">
        <f t="shared" ref="H36" si="4">IF(F36=0,0,G36*F36)</f>
        <v>100000</v>
      </c>
      <c r="I36" s="249"/>
    </row>
    <row r="37" spans="1:9" ht="15.95" customHeight="1" x14ac:dyDescent="0.15">
      <c r="A37" s="649"/>
      <c r="B37" s="250"/>
      <c r="C37" s="251"/>
      <c r="D37" s="252"/>
      <c r="E37" s="252"/>
      <c r="F37" s="254"/>
      <c r="G37" s="254"/>
      <c r="H37" s="255">
        <f>SUM(H20:H36)</f>
        <v>2180000</v>
      </c>
      <c r="I37" s="256"/>
    </row>
    <row r="38" spans="1:9" ht="15.95" customHeight="1" x14ac:dyDescent="0.15">
      <c r="A38" s="649"/>
      <c r="B38" s="277" t="s">
        <v>43</v>
      </c>
      <c r="C38" s="258"/>
      <c r="D38" s="258"/>
      <c r="E38" s="259"/>
      <c r="F38" s="261"/>
      <c r="G38" s="261"/>
      <c r="H38" s="262">
        <f t="shared" si="0"/>
        <v>0</v>
      </c>
      <c r="I38" s="263"/>
    </row>
    <row r="39" spans="1:9" ht="15.95" customHeight="1" x14ac:dyDescent="0.15">
      <c r="A39" s="649"/>
      <c r="B39" s="233"/>
      <c r="C39" s="240"/>
      <c r="D39" s="240"/>
      <c r="E39" s="385"/>
      <c r="F39" s="244"/>
      <c r="G39" s="244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0"/>
        <v>0</v>
      </c>
      <c r="I43" s="241"/>
    </row>
    <row r="44" spans="1:9" ht="15.95" customHeight="1" x14ac:dyDescent="0.15">
      <c r="A44" s="649"/>
      <c r="B44" s="233"/>
      <c r="C44" s="245"/>
      <c r="D44" s="245"/>
      <c r="E44" s="245"/>
      <c r="F44" s="248"/>
      <c r="G44" s="248"/>
      <c r="H44" s="278">
        <f t="shared" si="0"/>
        <v>0</v>
      </c>
      <c r="I44" s="249"/>
    </row>
    <row r="45" spans="1:9" ht="15.95" customHeight="1" x14ac:dyDescent="0.15">
      <c r="A45" s="649"/>
      <c r="B45" s="250"/>
      <c r="C45" s="251"/>
      <c r="D45" s="252"/>
      <c r="E45" s="252"/>
      <c r="F45" s="254"/>
      <c r="G45" s="254"/>
      <c r="H45" s="255">
        <f>SUM(H38:H44)</f>
        <v>0</v>
      </c>
      <c r="I45" s="256"/>
    </row>
    <row r="46" spans="1:9" ht="15.95" customHeight="1" x14ac:dyDescent="0.15">
      <c r="A46" s="279"/>
      <c r="B46" s="280" t="s">
        <v>144</v>
      </c>
      <c r="C46" s="281"/>
      <c r="D46" s="256"/>
      <c r="E46" s="256"/>
      <c r="F46" s="283"/>
      <c r="G46" s="283"/>
      <c r="H46" s="255">
        <f>SUM(H45,H37,H19,H13)</f>
        <v>9980000</v>
      </c>
      <c r="I46" s="256"/>
    </row>
    <row r="47" spans="1:9" ht="15.95" customHeight="1" x14ac:dyDescent="0.15">
      <c r="A47" s="643" t="s">
        <v>145</v>
      </c>
      <c r="B47" s="284" t="s">
        <v>146</v>
      </c>
      <c r="C47" s="281"/>
      <c r="D47" s="285"/>
      <c r="E47" s="311" t="s">
        <v>71</v>
      </c>
      <c r="F47" s="393">
        <v>0</v>
      </c>
      <c r="G47" s="330">
        <v>250000</v>
      </c>
      <c r="H47" s="288">
        <f>F47*G47</f>
        <v>0</v>
      </c>
      <c r="I47" s="256"/>
    </row>
    <row r="48" spans="1:9" ht="15.95" customHeight="1" x14ac:dyDescent="0.15">
      <c r="A48" s="649"/>
      <c r="B48" s="289" t="s">
        <v>176</v>
      </c>
      <c r="C48" s="290"/>
      <c r="D48" s="291"/>
      <c r="E48" s="312" t="s">
        <v>148</v>
      </c>
      <c r="F48" s="443">
        <v>8</v>
      </c>
      <c r="G48" s="329">
        <v>300000</v>
      </c>
      <c r="H48" s="262">
        <f t="shared" ref="H48:H54" si="5">F48*G48</f>
        <v>2400000</v>
      </c>
      <c r="I48" s="263"/>
    </row>
    <row r="49" spans="1:9" ht="15.95" customHeight="1" x14ac:dyDescent="0.15">
      <c r="A49" s="649"/>
      <c r="B49" s="293" t="s">
        <v>177</v>
      </c>
      <c r="C49" s="294"/>
      <c r="D49" s="295"/>
      <c r="E49" s="313" t="s">
        <v>148</v>
      </c>
      <c r="F49" s="446">
        <v>5</v>
      </c>
      <c r="G49" s="327">
        <v>250000</v>
      </c>
      <c r="H49" s="184">
        <f t="shared" si="5"/>
        <v>1250000</v>
      </c>
      <c r="I49" s="241"/>
    </row>
    <row r="50" spans="1:9" ht="15.95" customHeight="1" x14ac:dyDescent="0.15">
      <c r="A50" s="649"/>
      <c r="B50" s="293" t="s">
        <v>178</v>
      </c>
      <c r="C50" s="294"/>
      <c r="D50" s="295"/>
      <c r="E50" s="313" t="s">
        <v>148</v>
      </c>
      <c r="F50" s="446">
        <v>5</v>
      </c>
      <c r="G50" s="327">
        <v>250000</v>
      </c>
      <c r="H50" s="184">
        <f t="shared" si="5"/>
        <v>1250000</v>
      </c>
      <c r="I50" s="241"/>
    </row>
    <row r="51" spans="1:9" ht="15.95" customHeight="1" x14ac:dyDescent="0.15">
      <c r="A51" s="649"/>
      <c r="B51" s="293" t="s">
        <v>179</v>
      </c>
      <c r="C51" s="294"/>
      <c r="D51" s="295"/>
      <c r="E51" s="313" t="s">
        <v>148</v>
      </c>
      <c r="F51" s="446">
        <v>2</v>
      </c>
      <c r="G51" s="327">
        <v>300000</v>
      </c>
      <c r="H51" s="184">
        <f t="shared" si="5"/>
        <v>600000</v>
      </c>
      <c r="I51" s="241"/>
    </row>
    <row r="52" spans="1:9" ht="15.95" customHeight="1" x14ac:dyDescent="0.15">
      <c r="A52" s="649"/>
      <c r="B52" s="293" t="s">
        <v>180</v>
      </c>
      <c r="C52" s="294"/>
      <c r="D52" s="295"/>
      <c r="E52" s="313" t="s">
        <v>148</v>
      </c>
      <c r="F52" s="446">
        <v>2</v>
      </c>
      <c r="G52" s="327">
        <v>300000</v>
      </c>
      <c r="H52" s="184">
        <f t="shared" si="5"/>
        <v>600000</v>
      </c>
      <c r="I52" s="241"/>
    </row>
    <row r="53" spans="1:9" ht="15.95" customHeight="1" x14ac:dyDescent="0.15">
      <c r="A53" s="649"/>
      <c r="B53" s="293" t="s">
        <v>181</v>
      </c>
      <c r="C53" s="294"/>
      <c r="D53" s="295"/>
      <c r="E53" s="313" t="s">
        <v>148</v>
      </c>
      <c r="F53" s="446">
        <v>2</v>
      </c>
      <c r="G53" s="327">
        <v>300000</v>
      </c>
      <c r="H53" s="184">
        <f t="shared" si="5"/>
        <v>600000</v>
      </c>
      <c r="I53" s="241"/>
    </row>
    <row r="54" spans="1:9" ht="15.95" customHeight="1" x14ac:dyDescent="0.15">
      <c r="A54" s="649"/>
      <c r="B54" s="297" t="s">
        <v>182</v>
      </c>
      <c r="C54" s="298"/>
      <c r="D54" s="299"/>
      <c r="E54" s="314" t="s">
        <v>148</v>
      </c>
      <c r="F54" s="471">
        <v>5</v>
      </c>
      <c r="G54" s="328">
        <v>250000</v>
      </c>
      <c r="H54" s="278">
        <f t="shared" si="5"/>
        <v>1250000</v>
      </c>
      <c r="I54" s="249"/>
    </row>
    <row r="55" spans="1:9" ht="15.95" customHeight="1" x14ac:dyDescent="0.15">
      <c r="A55" s="279"/>
      <c r="B55" s="301" t="s">
        <v>154</v>
      </c>
      <c r="C55" s="281"/>
      <c r="D55" s="256"/>
      <c r="E55" s="256"/>
      <c r="F55" s="254"/>
      <c r="G55" s="254"/>
      <c r="H55" s="254">
        <f>SUM(H47:H54)</f>
        <v>7950000</v>
      </c>
      <c r="I55" s="252"/>
    </row>
    <row r="56" spans="1:9" ht="15.95" customHeight="1" x14ac:dyDescent="0.15">
      <c r="A56" s="302"/>
      <c r="B56" s="301" t="s">
        <v>183</v>
      </c>
      <c r="C56" s="281"/>
      <c r="D56" s="256"/>
      <c r="E56" s="256"/>
      <c r="F56" s="255"/>
      <c r="G56" s="255"/>
      <c r="H56" s="283">
        <f>'단위공사별(집계)'!I7+'단위공사별(집계)'!L7</f>
        <v>116362.74509803922</v>
      </c>
      <c r="I56" s="256"/>
    </row>
    <row r="57" spans="1:9" ht="15.95" customHeight="1" x14ac:dyDescent="0.15">
      <c r="A57" s="302"/>
      <c r="B57" s="301" t="s">
        <v>157</v>
      </c>
      <c r="C57" s="281"/>
      <c r="D57" s="256"/>
      <c r="E57" s="256"/>
      <c r="F57" s="255"/>
      <c r="G57" s="304"/>
      <c r="H57" s="305">
        <f>(H55+H46)*0</f>
        <v>0</v>
      </c>
      <c r="I57" s="281"/>
    </row>
    <row r="58" spans="1:9" ht="15.95" customHeight="1" x14ac:dyDescent="0.15">
      <c r="A58" s="302"/>
      <c r="B58" s="301" t="s">
        <v>158</v>
      </c>
      <c r="C58" s="281"/>
      <c r="D58" s="256"/>
      <c r="E58" s="256"/>
      <c r="F58" s="255"/>
      <c r="G58" s="304"/>
      <c r="H58" s="305">
        <f>(H55+H46)*0</f>
        <v>0</v>
      </c>
      <c r="I58" s="281"/>
    </row>
    <row r="59" spans="1:9" ht="15.95" customHeight="1" x14ac:dyDescent="0.15">
      <c r="A59" s="302"/>
      <c r="B59" s="301" t="s">
        <v>159</v>
      </c>
      <c r="C59" s="281"/>
      <c r="D59" s="256"/>
      <c r="E59" s="256"/>
      <c r="F59" s="255"/>
      <c r="G59" s="255"/>
      <c r="H59" s="254">
        <f>H46+H55+H56+H57+H58</f>
        <v>18046362.74509804</v>
      </c>
      <c r="I59" s="256"/>
    </row>
    <row r="60" spans="1:9" x14ac:dyDescent="0.15">
      <c r="A60" s="151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1200" r:id="rId1"/>
  <headerFooter alignWithMargins="0"/>
  <ignoredErrors>
    <ignoredError sqref="H13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42" activePane="bottomRight" state="frozen"/>
      <selection activeCell="M60" sqref="M60"/>
      <selection pane="topRight" activeCell="M60" sqref="M60"/>
      <selection pane="bottomLeft" activeCell="M60" sqref="M60"/>
      <selection pane="bottomRight" activeCell="H73" sqref="H73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160</v>
      </c>
      <c r="C1" s="331" t="s">
        <v>317</v>
      </c>
      <c r="D1" s="227"/>
      <c r="E1" s="227"/>
      <c r="F1" s="308"/>
      <c r="G1" s="187"/>
      <c r="I1" s="134" t="s">
        <v>161</v>
      </c>
    </row>
    <row r="2" spans="1:9" s="151" customFormat="1" ht="16.5" customHeight="1" x14ac:dyDescent="0.15">
      <c r="A2" s="527" t="s">
        <v>162</v>
      </c>
      <c r="B2" s="642"/>
      <c r="C2" s="142" t="s">
        <v>163</v>
      </c>
      <c r="D2" s="135" t="s">
        <v>164</v>
      </c>
      <c r="E2" s="135" t="s">
        <v>165</v>
      </c>
      <c r="F2" s="282" t="s">
        <v>166</v>
      </c>
      <c r="G2" s="282" t="s">
        <v>167</v>
      </c>
      <c r="H2" s="282" t="s">
        <v>168</v>
      </c>
      <c r="I2" s="135" t="s">
        <v>169</v>
      </c>
    </row>
    <row r="3" spans="1:9" ht="15.95" customHeight="1" x14ac:dyDescent="0.15">
      <c r="A3" s="643" t="s">
        <v>170</v>
      </c>
      <c r="B3" s="233" t="s">
        <v>171</v>
      </c>
      <c r="C3" s="444" t="s">
        <v>295</v>
      </c>
      <c r="D3" s="444" t="s">
        <v>296</v>
      </c>
      <c r="E3" s="467" t="s">
        <v>284</v>
      </c>
      <c r="F3" s="448">
        <v>1</v>
      </c>
      <c r="G3" s="468">
        <v>1000000</v>
      </c>
      <c r="H3" s="359">
        <f>IF(F3=0,G3,G3*F3)</f>
        <v>1000000</v>
      </c>
      <c r="I3" s="263"/>
    </row>
    <row r="4" spans="1:9" ht="15.95" customHeight="1" x14ac:dyDescent="0.15">
      <c r="A4" s="649"/>
      <c r="B4" s="233"/>
      <c r="C4" s="240"/>
      <c r="D4" s="240"/>
      <c r="E4" s="240"/>
      <c r="F4" s="244"/>
      <c r="G4" s="244"/>
      <c r="H4" s="184">
        <f>IF(F4=0,G4,G4*F4)</f>
        <v>0</v>
      </c>
      <c r="I4" s="241"/>
    </row>
    <row r="5" spans="1:9" ht="15.95" customHeight="1" x14ac:dyDescent="0.15">
      <c r="A5" s="649"/>
      <c r="B5" s="233"/>
      <c r="C5" s="240"/>
      <c r="D5" s="240"/>
      <c r="E5" s="240"/>
      <c r="F5" s="244"/>
      <c r="G5" s="244"/>
      <c r="H5" s="184">
        <f t="shared" ref="H5:H54" si="0">IF(F5=0,G5,G5*F5)</f>
        <v>0</v>
      </c>
      <c r="I5" s="241"/>
    </row>
    <row r="6" spans="1:9" ht="15.95" customHeight="1" x14ac:dyDescent="0.15">
      <c r="A6" s="649"/>
      <c r="B6" s="233"/>
      <c r="C6" s="240"/>
      <c r="D6" s="240"/>
      <c r="E6" s="240"/>
      <c r="F6" s="244"/>
      <c r="G6" s="244"/>
      <c r="H6" s="184">
        <f t="shared" si="0"/>
        <v>0</v>
      </c>
      <c r="I6" s="241"/>
    </row>
    <row r="7" spans="1:9" ht="15.95" customHeight="1" x14ac:dyDescent="0.15">
      <c r="A7" s="649"/>
      <c r="B7" s="233"/>
      <c r="C7" s="240"/>
      <c r="D7" s="240"/>
      <c r="E7" s="240"/>
      <c r="F7" s="244"/>
      <c r="G7" s="244"/>
      <c r="H7" s="184">
        <f t="shared" si="0"/>
        <v>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si="0"/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0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0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0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0"/>
        <v>0</v>
      </c>
      <c r="I22" s="241"/>
    </row>
    <row r="23" spans="1:9" ht="15.95" customHeight="1" x14ac:dyDescent="0.15">
      <c r="A23" s="649"/>
      <c r="B23" s="233"/>
      <c r="C23" s="469" t="s">
        <v>318</v>
      </c>
      <c r="D23" s="458"/>
      <c r="E23" s="459" t="s">
        <v>311</v>
      </c>
      <c r="F23" s="460">
        <v>1</v>
      </c>
      <c r="G23" s="460">
        <v>200000</v>
      </c>
      <c r="H23" s="268">
        <f t="shared" si="0"/>
        <v>200000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1200000</v>
      </c>
      <c r="I24" s="276"/>
    </row>
    <row r="25" spans="1:9" ht="15.95" customHeight="1" x14ac:dyDescent="0.15">
      <c r="A25" s="649"/>
      <c r="B25" s="233" t="s">
        <v>172</v>
      </c>
      <c r="C25" s="234"/>
      <c r="D25" s="234"/>
      <c r="E25" s="234"/>
      <c r="F25" s="237"/>
      <c r="G25" s="237"/>
      <c r="H25" s="238">
        <f t="shared" si="0"/>
        <v>0</v>
      </c>
      <c r="I25" s="239"/>
    </row>
    <row r="26" spans="1:9" ht="15.95" customHeight="1" x14ac:dyDescent="0.15">
      <c r="A26" s="649"/>
      <c r="B26" s="233" t="s">
        <v>173</v>
      </c>
      <c r="C26" s="240"/>
      <c r="D26" s="240"/>
      <c r="E26" s="240"/>
      <c r="F26" s="244"/>
      <c r="G26" s="244"/>
      <c r="H26" s="184">
        <f t="shared" si="0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0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0"/>
        <v>0</v>
      </c>
      <c r="I28" s="241"/>
    </row>
    <row r="29" spans="1:9" ht="15.95" customHeight="1" x14ac:dyDescent="0.15">
      <c r="A29" s="649"/>
      <c r="B29" s="233"/>
      <c r="C29" s="245"/>
      <c r="D29" s="245"/>
      <c r="E29" s="245"/>
      <c r="F29" s="248"/>
      <c r="G29" s="248"/>
      <c r="H29" s="184">
        <f t="shared" si="0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174</v>
      </c>
      <c r="C31" s="466" t="s">
        <v>319</v>
      </c>
      <c r="D31" s="444"/>
      <c r="E31" s="445"/>
      <c r="F31" s="448"/>
      <c r="G31" s="446"/>
      <c r="H31" s="472">
        <f>IF(F31=0,0,G31*F31)</f>
        <v>0</v>
      </c>
      <c r="I31" s="473"/>
    </row>
    <row r="32" spans="1:9" ht="15.95" customHeight="1" x14ac:dyDescent="0.15">
      <c r="A32" s="649"/>
      <c r="B32" s="233" t="s">
        <v>175</v>
      </c>
      <c r="C32" s="444" t="s">
        <v>320</v>
      </c>
      <c r="D32" s="449" t="s">
        <v>321</v>
      </c>
      <c r="E32" s="445" t="s">
        <v>311</v>
      </c>
      <c r="F32" s="448">
        <v>1</v>
      </c>
      <c r="G32" s="446">
        <v>1200000</v>
      </c>
      <c r="H32" s="472">
        <f t="shared" ref="H32" si="1">IF(F32=0,0,G32*F32)</f>
        <v>1200000</v>
      </c>
      <c r="I32" s="447" t="s">
        <v>322</v>
      </c>
    </row>
    <row r="33" spans="1:9" ht="15.95" customHeight="1" x14ac:dyDescent="0.15">
      <c r="A33" s="649"/>
      <c r="B33" s="233"/>
      <c r="C33" s="240"/>
      <c r="D33" s="240"/>
      <c r="E33" s="240"/>
      <c r="F33" s="244"/>
      <c r="G33" s="244"/>
      <c r="H33" s="184">
        <f>IF(F33=0,G33,G33*F33)</f>
        <v>0</v>
      </c>
      <c r="I33" s="241"/>
    </row>
    <row r="34" spans="1:9" ht="15.95" customHeight="1" x14ac:dyDescent="0.15">
      <c r="A34" s="649"/>
      <c r="B34" s="233"/>
      <c r="C34" s="240"/>
      <c r="D34" s="240"/>
      <c r="E34" s="240"/>
      <c r="F34" s="244"/>
      <c r="G34" s="244"/>
      <c r="H34" s="184">
        <f t="shared" si="0"/>
        <v>0</v>
      </c>
      <c r="I34" s="241"/>
    </row>
    <row r="35" spans="1:9" ht="15.95" customHeight="1" x14ac:dyDescent="0.15">
      <c r="A35" s="649"/>
      <c r="B35" s="233"/>
      <c r="C35" s="240"/>
      <c r="D35" s="240"/>
      <c r="E35" s="240"/>
      <c r="F35" s="244"/>
      <c r="G35" s="244"/>
      <c r="H35" s="184">
        <f t="shared" si="0"/>
        <v>0</v>
      </c>
      <c r="I35" s="241"/>
    </row>
    <row r="36" spans="1:9" ht="15.95" customHeight="1" x14ac:dyDescent="0.15">
      <c r="A36" s="649"/>
      <c r="B36" s="233"/>
      <c r="C36" s="240"/>
      <c r="D36" s="240"/>
      <c r="E36" s="240"/>
      <c r="F36" s="244"/>
      <c r="G36" s="244"/>
      <c r="H36" s="184">
        <f t="shared" si="0"/>
        <v>0</v>
      </c>
      <c r="I36" s="241"/>
    </row>
    <row r="37" spans="1:9" ht="15.95" customHeight="1" x14ac:dyDescent="0.15">
      <c r="A37" s="649"/>
      <c r="B37" s="233"/>
      <c r="C37" s="240"/>
      <c r="D37" s="240"/>
      <c r="E37" s="240"/>
      <c r="F37" s="244"/>
      <c r="G37" s="244"/>
      <c r="H37" s="184">
        <f t="shared" si="0"/>
        <v>0</v>
      </c>
      <c r="I37" s="241"/>
    </row>
    <row r="38" spans="1:9" ht="15.95" customHeight="1" x14ac:dyDescent="0.15">
      <c r="A38" s="649"/>
      <c r="B38" s="233"/>
      <c r="C38" s="240"/>
      <c r="D38" s="240"/>
      <c r="E38" s="240"/>
      <c r="F38" s="244"/>
      <c r="G38" s="244"/>
      <c r="H38" s="184">
        <f t="shared" si="0"/>
        <v>0</v>
      </c>
      <c r="I38" s="241"/>
    </row>
    <row r="39" spans="1:9" ht="15.95" customHeight="1" x14ac:dyDescent="0.15">
      <c r="A39" s="649"/>
      <c r="B39" s="233"/>
      <c r="C39" s="240"/>
      <c r="D39" s="240"/>
      <c r="E39" s="240"/>
      <c r="F39" s="244"/>
      <c r="G39" s="244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0"/>
        <v>0</v>
      </c>
      <c r="I43" s="241"/>
    </row>
    <row r="44" spans="1:9" ht="15.95" customHeight="1" x14ac:dyDescent="0.15">
      <c r="A44" s="649"/>
      <c r="B44" s="233"/>
      <c r="C44" s="240"/>
      <c r="D44" s="240"/>
      <c r="E44" s="240"/>
      <c r="F44" s="244"/>
      <c r="G44" s="244"/>
      <c r="H44" s="184">
        <f t="shared" si="0"/>
        <v>0</v>
      </c>
      <c r="I44" s="241"/>
    </row>
    <row r="45" spans="1:9" ht="15.95" customHeight="1" x14ac:dyDescent="0.15">
      <c r="A45" s="649"/>
      <c r="B45" s="233"/>
      <c r="C45" s="265"/>
      <c r="D45" s="265"/>
      <c r="E45" s="240"/>
      <c r="F45" s="267"/>
      <c r="G45" s="267"/>
      <c r="H45" s="184">
        <f t="shared" si="0"/>
        <v>0</v>
      </c>
      <c r="I45" s="241"/>
    </row>
    <row r="46" spans="1:9" ht="15.95" customHeight="1" x14ac:dyDescent="0.15">
      <c r="A46" s="649"/>
      <c r="B46" s="233"/>
      <c r="C46" s="469" t="s">
        <v>323</v>
      </c>
      <c r="D46" s="469"/>
      <c r="E46" s="470" t="s">
        <v>324</v>
      </c>
      <c r="F46" s="471">
        <v>1</v>
      </c>
      <c r="G46" s="471">
        <v>100000</v>
      </c>
      <c r="H46" s="359">
        <f t="shared" si="0"/>
        <v>100000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1300000</v>
      </c>
      <c r="I47" s="256"/>
    </row>
    <row r="48" spans="1:9" ht="15.95" customHeight="1" x14ac:dyDescent="0.15">
      <c r="A48" s="649"/>
      <c r="B48" s="277" t="s">
        <v>184</v>
      </c>
      <c r="C48" s="258"/>
      <c r="D48" s="258"/>
      <c r="E48" s="258"/>
      <c r="F48" s="261"/>
      <c r="G48" s="261"/>
      <c r="H48" s="262">
        <f t="shared" si="0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0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0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0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0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0"/>
        <v>0</v>
      </c>
      <c r="I53" s="241"/>
    </row>
    <row r="54" spans="1:9" ht="15.95" customHeight="1" x14ac:dyDescent="0.15">
      <c r="A54" s="649"/>
      <c r="B54" s="233"/>
      <c r="C54" s="245"/>
      <c r="D54" s="245"/>
      <c r="E54" s="245"/>
      <c r="F54" s="248"/>
      <c r="G54" s="248"/>
      <c r="H54" s="278">
        <f t="shared" si="0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185</v>
      </c>
      <c r="C56" s="281"/>
      <c r="D56" s="256"/>
      <c r="E56" s="256"/>
      <c r="F56" s="283"/>
      <c r="G56" s="283"/>
      <c r="H56" s="255">
        <f>SUM(H55,H47,H30,H24)</f>
        <v>2500000</v>
      </c>
      <c r="I56" s="256"/>
    </row>
    <row r="57" spans="1:9" ht="15.95" customHeight="1" x14ac:dyDescent="0.15">
      <c r="A57" s="650" t="s">
        <v>186</v>
      </c>
      <c r="B57" s="284" t="s">
        <v>187</v>
      </c>
      <c r="C57" s="281"/>
      <c r="D57" s="285"/>
      <c r="E57" s="311" t="s">
        <v>188</v>
      </c>
      <c r="F57" s="408">
        <v>0</v>
      </c>
      <c r="G57" s="335">
        <v>300000</v>
      </c>
      <c r="H57" s="288">
        <f>F57*G57</f>
        <v>0</v>
      </c>
      <c r="I57" s="256"/>
    </row>
    <row r="58" spans="1:9" ht="15.95" customHeight="1" x14ac:dyDescent="0.15">
      <c r="A58" s="649"/>
      <c r="B58" s="289" t="s">
        <v>189</v>
      </c>
      <c r="C58" s="290"/>
      <c r="D58" s="291"/>
      <c r="E58" s="312" t="s">
        <v>148</v>
      </c>
      <c r="F58" s="424">
        <v>2</v>
      </c>
      <c r="G58" s="334">
        <v>300000</v>
      </c>
      <c r="H58" s="262">
        <f t="shared" ref="H58:H64" si="2">F58*G58</f>
        <v>600000</v>
      </c>
      <c r="I58" s="263"/>
    </row>
    <row r="59" spans="1:9" ht="15.95" customHeight="1" x14ac:dyDescent="0.15">
      <c r="A59" s="649"/>
      <c r="B59" s="315" t="s">
        <v>190</v>
      </c>
      <c r="C59" s="294"/>
      <c r="D59" s="295"/>
      <c r="E59" s="313" t="s">
        <v>148</v>
      </c>
      <c r="F59" s="468">
        <v>1</v>
      </c>
      <c r="G59" s="332">
        <v>250000</v>
      </c>
      <c r="H59" s="184">
        <f t="shared" si="2"/>
        <v>250000</v>
      </c>
      <c r="I59" s="241"/>
    </row>
    <row r="60" spans="1:9" ht="15.95" customHeight="1" x14ac:dyDescent="0.15">
      <c r="A60" s="649"/>
      <c r="B60" s="293" t="s">
        <v>191</v>
      </c>
      <c r="C60" s="294"/>
      <c r="D60" s="295"/>
      <c r="E60" s="313" t="s">
        <v>148</v>
      </c>
      <c r="F60" s="468">
        <v>1</v>
      </c>
      <c r="G60" s="332">
        <v>250000</v>
      </c>
      <c r="H60" s="184">
        <f t="shared" si="2"/>
        <v>250000</v>
      </c>
      <c r="I60" s="241"/>
    </row>
    <row r="61" spans="1:9" ht="15.95" customHeight="1" x14ac:dyDescent="0.15">
      <c r="A61" s="649"/>
      <c r="B61" s="293" t="s">
        <v>192</v>
      </c>
      <c r="C61" s="294"/>
      <c r="D61" s="295"/>
      <c r="E61" s="313" t="s">
        <v>148</v>
      </c>
      <c r="F61" s="468">
        <v>1</v>
      </c>
      <c r="G61" s="332">
        <v>300000</v>
      </c>
      <c r="H61" s="184">
        <f t="shared" si="2"/>
        <v>300000</v>
      </c>
      <c r="I61" s="241"/>
    </row>
    <row r="62" spans="1:9" ht="15.95" customHeight="1" x14ac:dyDescent="0.15">
      <c r="A62" s="649"/>
      <c r="B62" s="293" t="s">
        <v>193</v>
      </c>
      <c r="C62" s="294"/>
      <c r="D62" s="295"/>
      <c r="E62" s="313" t="s">
        <v>148</v>
      </c>
      <c r="F62" s="446">
        <v>1</v>
      </c>
      <c r="G62" s="332">
        <v>300000</v>
      </c>
      <c r="H62" s="184">
        <f t="shared" si="2"/>
        <v>300000</v>
      </c>
      <c r="I62" s="241"/>
    </row>
    <row r="63" spans="1:9" ht="15.95" customHeight="1" x14ac:dyDescent="0.15">
      <c r="A63" s="649"/>
      <c r="B63" s="293" t="s">
        <v>194</v>
      </c>
      <c r="C63" s="294"/>
      <c r="D63" s="295"/>
      <c r="E63" s="313" t="s">
        <v>148</v>
      </c>
      <c r="F63" s="468">
        <v>1</v>
      </c>
      <c r="G63" s="332">
        <v>300000</v>
      </c>
      <c r="H63" s="184">
        <f t="shared" si="2"/>
        <v>300000</v>
      </c>
      <c r="I63" s="241"/>
    </row>
    <row r="64" spans="1:9" ht="15.95" customHeight="1" x14ac:dyDescent="0.15">
      <c r="A64" s="649"/>
      <c r="B64" s="297" t="s">
        <v>195</v>
      </c>
      <c r="C64" s="298"/>
      <c r="D64" s="299"/>
      <c r="E64" s="314" t="s">
        <v>148</v>
      </c>
      <c r="F64" s="471">
        <v>1</v>
      </c>
      <c r="G64" s="333">
        <v>250000</v>
      </c>
      <c r="H64" s="278">
        <f t="shared" si="2"/>
        <v>250000</v>
      </c>
      <c r="I64" s="249"/>
    </row>
    <row r="65" spans="1:9" ht="15.95" customHeight="1" x14ac:dyDescent="0.15">
      <c r="A65" s="279"/>
      <c r="B65" s="301" t="s">
        <v>196</v>
      </c>
      <c r="C65" s="281"/>
      <c r="D65" s="256"/>
      <c r="E65" s="256"/>
      <c r="F65" s="254"/>
      <c r="G65" s="254"/>
      <c r="H65" s="254">
        <f>SUM(H57:H64)</f>
        <v>2250000</v>
      </c>
      <c r="I65" s="252"/>
    </row>
    <row r="66" spans="1:9" ht="15.95" customHeight="1" x14ac:dyDescent="0.15">
      <c r="A66" s="302"/>
      <c r="B66" s="301" t="s">
        <v>197</v>
      </c>
      <c r="C66" s="281"/>
      <c r="D66" s="256"/>
      <c r="E66" s="256"/>
      <c r="F66" s="255"/>
      <c r="G66" s="255"/>
      <c r="H66" s="283">
        <f>'단위공사별(집계)'!L8+'단위공사별(집계)'!I8</f>
        <v>30826.717189943462</v>
      </c>
      <c r="I66" s="256"/>
    </row>
    <row r="67" spans="1:9" ht="15.95" customHeight="1" x14ac:dyDescent="0.15">
      <c r="A67" s="302"/>
      <c r="B67" s="301" t="s">
        <v>198</v>
      </c>
      <c r="C67" s="281"/>
      <c r="D67" s="256"/>
      <c r="E67" s="256"/>
      <c r="F67" s="255"/>
      <c r="G67" s="304"/>
      <c r="H67" s="305">
        <f>(H65+H56)*0</f>
        <v>0</v>
      </c>
      <c r="I67" s="281"/>
    </row>
    <row r="68" spans="1:9" ht="15.95" customHeight="1" x14ac:dyDescent="0.15">
      <c r="A68" s="302"/>
      <c r="B68" s="301" t="s">
        <v>199</v>
      </c>
      <c r="C68" s="281"/>
      <c r="D68" s="256"/>
      <c r="E68" s="256"/>
      <c r="F68" s="255"/>
      <c r="G68" s="304"/>
      <c r="H68" s="305">
        <f>(H65+H56)*0</f>
        <v>0</v>
      </c>
      <c r="I68" s="281"/>
    </row>
    <row r="69" spans="1:9" ht="15.95" customHeight="1" x14ac:dyDescent="0.15">
      <c r="A69" s="302"/>
      <c r="B69" s="301" t="s">
        <v>200</v>
      </c>
      <c r="C69" s="281"/>
      <c r="D69" s="256"/>
      <c r="E69" s="256"/>
      <c r="F69" s="255"/>
      <c r="G69" s="255"/>
      <c r="H69" s="254">
        <f>H56+H65+H66+H67+H68</f>
        <v>4780826.7171899434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47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48" activePane="bottomRight" state="frozen"/>
      <selection activeCell="M60" sqref="M60"/>
      <selection pane="topRight" activeCell="M60" sqref="M60"/>
      <selection pane="bottomLeft" activeCell="M60" sqref="M60"/>
      <selection pane="bottomRight" activeCell="F79" sqref="F79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160</v>
      </c>
      <c r="C1" s="404" t="s">
        <v>326</v>
      </c>
      <c r="D1" s="227"/>
      <c r="E1" s="227"/>
      <c r="F1" s="308"/>
      <c r="G1" s="187"/>
      <c r="I1" s="134" t="s">
        <v>161</v>
      </c>
    </row>
    <row r="2" spans="1:9" s="151" customFormat="1" ht="16.5" customHeight="1" x14ac:dyDescent="0.15">
      <c r="A2" s="527" t="s">
        <v>162</v>
      </c>
      <c r="B2" s="642"/>
      <c r="C2" s="142" t="s">
        <v>163</v>
      </c>
      <c r="D2" s="135" t="s">
        <v>164</v>
      </c>
      <c r="E2" s="135" t="s">
        <v>165</v>
      </c>
      <c r="F2" s="282" t="s">
        <v>166</v>
      </c>
      <c r="G2" s="282" t="s">
        <v>167</v>
      </c>
      <c r="H2" s="282" t="s">
        <v>168</v>
      </c>
      <c r="I2" s="135" t="s">
        <v>169</v>
      </c>
    </row>
    <row r="3" spans="1:9" ht="15.95" customHeight="1" x14ac:dyDescent="0.15">
      <c r="A3" s="643" t="s">
        <v>170</v>
      </c>
      <c r="B3" s="233" t="s">
        <v>171</v>
      </c>
      <c r="C3" s="444" t="s">
        <v>295</v>
      </c>
      <c r="D3" s="444" t="s">
        <v>296</v>
      </c>
      <c r="E3" s="467" t="s">
        <v>284</v>
      </c>
      <c r="F3" s="448">
        <v>1</v>
      </c>
      <c r="G3" s="468">
        <v>1000000</v>
      </c>
      <c r="H3" s="472">
        <f t="shared" ref="H3" si="0">IF(F3=0,G3,G3*F3)</f>
        <v>1000000</v>
      </c>
      <c r="I3" s="263"/>
    </row>
    <row r="4" spans="1:9" ht="15.95" customHeight="1" x14ac:dyDescent="0.15">
      <c r="A4" s="649"/>
      <c r="B4" s="233"/>
      <c r="C4" s="240"/>
      <c r="D4" s="240"/>
      <c r="E4" s="240"/>
      <c r="F4" s="244"/>
      <c r="G4" s="244"/>
      <c r="H4" s="184">
        <f>IF(F4=0,G4,G4*F4)</f>
        <v>0</v>
      </c>
      <c r="I4" s="241"/>
    </row>
    <row r="5" spans="1:9" ht="15.95" customHeight="1" x14ac:dyDescent="0.15">
      <c r="A5" s="649"/>
      <c r="B5" s="233"/>
      <c r="C5" s="240"/>
      <c r="D5" s="240"/>
      <c r="E5" s="240"/>
      <c r="F5" s="244"/>
      <c r="G5" s="244"/>
      <c r="H5" s="184">
        <f t="shared" ref="H5:H54" si="1">IF(F5=0,G5,G5*F5)</f>
        <v>0</v>
      </c>
      <c r="I5" s="241"/>
    </row>
    <row r="6" spans="1:9" ht="15.95" customHeight="1" x14ac:dyDescent="0.15">
      <c r="A6" s="649"/>
      <c r="B6" s="233"/>
      <c r="C6" s="240"/>
      <c r="D6" s="240"/>
      <c r="E6" s="240"/>
      <c r="F6" s="244"/>
      <c r="G6" s="244"/>
      <c r="H6" s="184">
        <f t="shared" si="1"/>
        <v>0</v>
      </c>
      <c r="I6" s="241"/>
    </row>
    <row r="7" spans="1:9" ht="15.95" customHeight="1" x14ac:dyDescent="0.15">
      <c r="A7" s="649"/>
      <c r="B7" s="233"/>
      <c r="C7" s="240"/>
      <c r="D7" s="240"/>
      <c r="E7" s="240"/>
      <c r="F7" s="244"/>
      <c r="G7" s="244"/>
      <c r="H7" s="184">
        <f t="shared" si="1"/>
        <v>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si="1"/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1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1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1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1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1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1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1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1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1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1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1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1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1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1"/>
        <v>0</v>
      </c>
      <c r="I22" s="241"/>
    </row>
    <row r="23" spans="1:9" ht="15.95" customHeight="1" x14ac:dyDescent="0.15">
      <c r="A23" s="649"/>
      <c r="B23" s="233"/>
      <c r="C23" s="469" t="s">
        <v>327</v>
      </c>
      <c r="D23" s="458"/>
      <c r="E23" s="459" t="s">
        <v>311</v>
      </c>
      <c r="F23" s="460">
        <v>1</v>
      </c>
      <c r="G23" s="460">
        <v>200000</v>
      </c>
      <c r="H23" s="475">
        <f t="shared" si="1"/>
        <v>200000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1200000</v>
      </c>
      <c r="I24" s="276"/>
    </row>
    <row r="25" spans="1:9" ht="15.95" customHeight="1" x14ac:dyDescent="0.15">
      <c r="A25" s="649"/>
      <c r="B25" s="233" t="s">
        <v>172</v>
      </c>
      <c r="C25" s="234"/>
      <c r="D25" s="234"/>
      <c r="E25" s="234"/>
      <c r="F25" s="237"/>
      <c r="G25" s="237"/>
      <c r="H25" s="238">
        <f t="shared" si="1"/>
        <v>0</v>
      </c>
      <c r="I25" s="239"/>
    </row>
    <row r="26" spans="1:9" ht="15.95" customHeight="1" x14ac:dyDescent="0.15">
      <c r="A26" s="649"/>
      <c r="B26" s="233" t="s">
        <v>173</v>
      </c>
      <c r="C26" s="240"/>
      <c r="D26" s="240"/>
      <c r="E26" s="240"/>
      <c r="F26" s="244"/>
      <c r="G26" s="244"/>
      <c r="H26" s="184">
        <f t="shared" si="1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1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1"/>
        <v>0</v>
      </c>
      <c r="I28" s="241"/>
    </row>
    <row r="29" spans="1:9" ht="15.95" customHeight="1" x14ac:dyDescent="0.15">
      <c r="A29" s="649"/>
      <c r="B29" s="233"/>
      <c r="C29" s="245"/>
      <c r="D29" s="245"/>
      <c r="E29" s="245"/>
      <c r="F29" s="248"/>
      <c r="G29" s="248"/>
      <c r="H29" s="184">
        <f t="shared" si="1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174</v>
      </c>
      <c r="C31" s="444" t="s">
        <v>328</v>
      </c>
      <c r="D31" s="444" t="s">
        <v>329</v>
      </c>
      <c r="E31" s="445" t="s">
        <v>311</v>
      </c>
      <c r="F31" s="446">
        <v>1</v>
      </c>
      <c r="G31" s="446">
        <v>3500000</v>
      </c>
      <c r="H31" s="262">
        <f t="shared" ref="H31" si="2">IF(F31=0,G31,G31*F31)</f>
        <v>3500000</v>
      </c>
      <c r="I31" s="263" t="s">
        <v>330</v>
      </c>
    </row>
    <row r="32" spans="1:9" ht="15.95" customHeight="1" x14ac:dyDescent="0.15">
      <c r="A32" s="649"/>
      <c r="B32" s="233" t="s">
        <v>175</v>
      </c>
      <c r="C32" s="240"/>
      <c r="D32" s="240"/>
      <c r="E32" s="438"/>
      <c r="F32" s="244"/>
      <c r="G32" s="244"/>
      <c r="H32" s="184">
        <f t="shared" si="1"/>
        <v>0</v>
      </c>
      <c r="I32" s="241"/>
    </row>
    <row r="33" spans="1:9" ht="15.95" customHeight="1" x14ac:dyDescent="0.15">
      <c r="A33" s="649"/>
      <c r="B33" s="233"/>
      <c r="C33" s="437"/>
      <c r="D33" s="240"/>
      <c r="E33" s="438"/>
      <c r="F33" s="244"/>
      <c r="G33" s="244"/>
      <c r="H33" s="184">
        <f t="shared" si="1"/>
        <v>0</v>
      </c>
      <c r="I33" s="241"/>
    </row>
    <row r="34" spans="1:9" ht="15.95" customHeight="1" x14ac:dyDescent="0.15">
      <c r="A34" s="649"/>
      <c r="B34" s="233"/>
      <c r="C34" s="240"/>
      <c r="D34" s="240"/>
      <c r="E34" s="240"/>
      <c r="F34" s="244"/>
      <c r="G34" s="244"/>
      <c r="H34" s="184">
        <f t="shared" si="1"/>
        <v>0</v>
      </c>
      <c r="I34" s="241"/>
    </row>
    <row r="35" spans="1:9" ht="15.95" customHeight="1" x14ac:dyDescent="0.15">
      <c r="A35" s="649"/>
      <c r="B35" s="233"/>
      <c r="C35" s="240"/>
      <c r="D35" s="240"/>
      <c r="E35" s="240"/>
      <c r="F35" s="244"/>
      <c r="G35" s="244"/>
      <c r="H35" s="184">
        <f t="shared" si="1"/>
        <v>0</v>
      </c>
      <c r="I35" s="241"/>
    </row>
    <row r="36" spans="1:9" ht="15.95" customHeight="1" x14ac:dyDescent="0.15">
      <c r="A36" s="649"/>
      <c r="B36" s="233"/>
      <c r="C36" s="240"/>
      <c r="D36" s="240"/>
      <c r="E36" s="240"/>
      <c r="F36" s="244"/>
      <c r="G36" s="244"/>
      <c r="H36" s="184">
        <f t="shared" si="1"/>
        <v>0</v>
      </c>
      <c r="I36" s="241"/>
    </row>
    <row r="37" spans="1:9" ht="15.95" customHeight="1" x14ac:dyDescent="0.15">
      <c r="A37" s="649"/>
      <c r="B37" s="233"/>
      <c r="C37" s="240"/>
      <c r="D37" s="240"/>
      <c r="E37" s="240"/>
      <c r="F37" s="244"/>
      <c r="G37" s="244"/>
      <c r="H37" s="184">
        <f t="shared" si="1"/>
        <v>0</v>
      </c>
      <c r="I37" s="241"/>
    </row>
    <row r="38" spans="1:9" ht="15.95" customHeight="1" x14ac:dyDescent="0.15">
      <c r="A38" s="649"/>
      <c r="B38" s="233"/>
      <c r="C38" s="240"/>
      <c r="D38" s="240"/>
      <c r="E38" s="240"/>
      <c r="F38" s="244"/>
      <c r="G38" s="244"/>
      <c r="H38" s="184">
        <f t="shared" si="1"/>
        <v>0</v>
      </c>
      <c r="I38" s="241"/>
    </row>
    <row r="39" spans="1:9" ht="15.95" customHeight="1" x14ac:dyDescent="0.15">
      <c r="A39" s="649"/>
      <c r="B39" s="233"/>
      <c r="C39" s="240"/>
      <c r="D39" s="240"/>
      <c r="E39" s="240"/>
      <c r="F39" s="244"/>
      <c r="G39" s="244"/>
      <c r="H39" s="184">
        <f t="shared" si="1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1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1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1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1"/>
        <v>0</v>
      </c>
      <c r="I43" s="241"/>
    </row>
    <row r="44" spans="1:9" ht="15.95" customHeight="1" x14ac:dyDescent="0.15">
      <c r="A44" s="649"/>
      <c r="B44" s="233"/>
      <c r="C44" s="240"/>
      <c r="D44" s="240"/>
      <c r="E44" s="240"/>
      <c r="F44" s="244"/>
      <c r="G44" s="244"/>
      <c r="H44" s="184">
        <f t="shared" si="1"/>
        <v>0</v>
      </c>
      <c r="I44" s="241"/>
    </row>
    <row r="45" spans="1:9" ht="15.95" customHeight="1" x14ac:dyDescent="0.15">
      <c r="A45" s="649"/>
      <c r="B45" s="233"/>
      <c r="C45" s="265"/>
      <c r="D45" s="265"/>
      <c r="E45" s="240"/>
      <c r="F45" s="267"/>
      <c r="G45" s="267"/>
      <c r="H45" s="184">
        <f t="shared" si="1"/>
        <v>0</v>
      </c>
      <c r="I45" s="241"/>
    </row>
    <row r="46" spans="1:9" ht="15.95" customHeight="1" x14ac:dyDescent="0.15">
      <c r="A46" s="649"/>
      <c r="B46" s="233"/>
      <c r="C46" s="469" t="s">
        <v>285</v>
      </c>
      <c r="D46" s="469"/>
      <c r="E46" s="470" t="s">
        <v>284</v>
      </c>
      <c r="F46" s="471">
        <v>1</v>
      </c>
      <c r="G46" s="471">
        <v>200000</v>
      </c>
      <c r="H46" s="359">
        <f t="shared" si="1"/>
        <v>200000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3700000</v>
      </c>
      <c r="I47" s="256"/>
    </row>
    <row r="48" spans="1:9" ht="15.95" customHeight="1" x14ac:dyDescent="0.15">
      <c r="A48" s="649"/>
      <c r="B48" s="277" t="s">
        <v>184</v>
      </c>
      <c r="C48" s="258"/>
      <c r="D48" s="258"/>
      <c r="E48" s="258"/>
      <c r="F48" s="261"/>
      <c r="G48" s="261"/>
      <c r="H48" s="262">
        <f t="shared" si="1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1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1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1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1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1"/>
        <v>0</v>
      </c>
      <c r="I53" s="241"/>
    </row>
    <row r="54" spans="1:9" ht="15.95" customHeight="1" x14ac:dyDescent="0.15">
      <c r="A54" s="649"/>
      <c r="B54" s="233"/>
      <c r="C54" s="245"/>
      <c r="D54" s="245"/>
      <c r="E54" s="245"/>
      <c r="F54" s="248"/>
      <c r="G54" s="248"/>
      <c r="H54" s="278">
        <f t="shared" si="1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185</v>
      </c>
      <c r="C56" s="281"/>
      <c r="D56" s="256"/>
      <c r="E56" s="256"/>
      <c r="F56" s="283"/>
      <c r="G56" s="283"/>
      <c r="H56" s="255">
        <f>SUM(H55,H47,H30,H24)</f>
        <v>4900000</v>
      </c>
      <c r="I56" s="256"/>
    </row>
    <row r="57" spans="1:9" ht="15.95" customHeight="1" x14ac:dyDescent="0.15">
      <c r="A57" s="650" t="s">
        <v>186</v>
      </c>
      <c r="B57" s="284" t="s">
        <v>187</v>
      </c>
      <c r="C57" s="281"/>
      <c r="D57" s="285"/>
      <c r="E57" s="311" t="s">
        <v>188</v>
      </c>
      <c r="F57" s="393">
        <v>0</v>
      </c>
      <c r="G57" s="339">
        <v>300000</v>
      </c>
      <c r="H57" s="288">
        <f>F57*G57</f>
        <v>0</v>
      </c>
      <c r="I57" s="256"/>
    </row>
    <row r="58" spans="1:9" ht="15.95" customHeight="1" x14ac:dyDescent="0.15">
      <c r="A58" s="649"/>
      <c r="B58" s="289" t="s">
        <v>189</v>
      </c>
      <c r="C58" s="290"/>
      <c r="D58" s="291"/>
      <c r="E58" s="312" t="s">
        <v>148</v>
      </c>
      <c r="F58" s="351">
        <v>2</v>
      </c>
      <c r="G58" s="338">
        <v>300000</v>
      </c>
      <c r="H58" s="262">
        <f t="shared" ref="H58:H64" si="3">F58*G58</f>
        <v>600000</v>
      </c>
      <c r="I58" s="263"/>
    </row>
    <row r="59" spans="1:9" ht="15.95" customHeight="1" x14ac:dyDescent="0.15">
      <c r="A59" s="649"/>
      <c r="B59" s="315" t="s">
        <v>190</v>
      </c>
      <c r="C59" s="294"/>
      <c r="D59" s="295"/>
      <c r="E59" s="313" t="s">
        <v>148</v>
      </c>
      <c r="F59" s="477">
        <v>1</v>
      </c>
      <c r="G59" s="336">
        <v>250000</v>
      </c>
      <c r="H59" s="184">
        <f t="shared" si="3"/>
        <v>250000</v>
      </c>
      <c r="I59" s="241"/>
    </row>
    <row r="60" spans="1:9" ht="15.95" customHeight="1" x14ac:dyDescent="0.15">
      <c r="A60" s="649"/>
      <c r="B60" s="293" t="s">
        <v>191</v>
      </c>
      <c r="C60" s="294"/>
      <c r="D60" s="295"/>
      <c r="E60" s="313" t="s">
        <v>148</v>
      </c>
      <c r="F60" s="477">
        <v>1</v>
      </c>
      <c r="G60" s="336">
        <v>250000</v>
      </c>
      <c r="H60" s="184">
        <f t="shared" si="3"/>
        <v>250000</v>
      </c>
      <c r="I60" s="241"/>
    </row>
    <row r="61" spans="1:9" ht="15.95" customHeight="1" x14ac:dyDescent="0.15">
      <c r="A61" s="649"/>
      <c r="B61" s="293" t="s">
        <v>192</v>
      </c>
      <c r="C61" s="294"/>
      <c r="D61" s="295"/>
      <c r="E61" s="313" t="s">
        <v>148</v>
      </c>
      <c r="F61" s="477">
        <v>1</v>
      </c>
      <c r="G61" s="336">
        <v>300000</v>
      </c>
      <c r="H61" s="184">
        <f t="shared" si="3"/>
        <v>300000</v>
      </c>
      <c r="I61" s="241"/>
    </row>
    <row r="62" spans="1:9" ht="15.95" customHeight="1" x14ac:dyDescent="0.15">
      <c r="A62" s="649"/>
      <c r="B62" s="293" t="s">
        <v>193</v>
      </c>
      <c r="C62" s="294"/>
      <c r="D62" s="295"/>
      <c r="E62" s="313" t="s">
        <v>148</v>
      </c>
      <c r="F62" s="477">
        <v>1</v>
      </c>
      <c r="G62" s="336">
        <v>300000</v>
      </c>
      <c r="H62" s="184">
        <f t="shared" si="3"/>
        <v>300000</v>
      </c>
      <c r="I62" s="241"/>
    </row>
    <row r="63" spans="1:9" ht="15.95" customHeight="1" x14ac:dyDescent="0.15">
      <c r="A63" s="649"/>
      <c r="B63" s="293" t="s">
        <v>194</v>
      </c>
      <c r="C63" s="294"/>
      <c r="D63" s="295"/>
      <c r="E63" s="313" t="s">
        <v>148</v>
      </c>
      <c r="F63" s="477">
        <v>1</v>
      </c>
      <c r="G63" s="336">
        <v>300000</v>
      </c>
      <c r="H63" s="184">
        <f t="shared" si="3"/>
        <v>300000</v>
      </c>
      <c r="I63" s="241"/>
    </row>
    <row r="64" spans="1:9" ht="15.95" customHeight="1" x14ac:dyDescent="0.15">
      <c r="A64" s="649"/>
      <c r="B64" s="297" t="s">
        <v>195</v>
      </c>
      <c r="C64" s="298"/>
      <c r="D64" s="299"/>
      <c r="E64" s="314" t="s">
        <v>148</v>
      </c>
      <c r="F64" s="478">
        <v>1</v>
      </c>
      <c r="G64" s="337">
        <v>250000</v>
      </c>
      <c r="H64" s="278">
        <f t="shared" si="3"/>
        <v>250000</v>
      </c>
      <c r="I64" s="249"/>
    </row>
    <row r="65" spans="1:9" ht="15.95" customHeight="1" x14ac:dyDescent="0.15">
      <c r="A65" s="279"/>
      <c r="B65" s="301" t="s">
        <v>196</v>
      </c>
      <c r="C65" s="281"/>
      <c r="D65" s="256"/>
      <c r="E65" s="256"/>
      <c r="F65" s="254"/>
      <c r="G65" s="254"/>
      <c r="H65" s="254">
        <f>SUM(H57:H64)</f>
        <v>2250000</v>
      </c>
      <c r="I65" s="252"/>
    </row>
    <row r="66" spans="1:9" ht="15.95" customHeight="1" x14ac:dyDescent="0.15">
      <c r="A66" s="302"/>
      <c r="B66" s="301" t="s">
        <v>197</v>
      </c>
      <c r="C66" s="281"/>
      <c r="D66" s="256"/>
      <c r="E66" s="256"/>
      <c r="F66" s="255"/>
      <c r="G66" s="255"/>
      <c r="H66" s="283">
        <f>'단위공사별(집계)'!L9+'단위공사별(집계)'!I9</f>
        <v>46402.321664862262</v>
      </c>
      <c r="I66" s="256"/>
    </row>
    <row r="67" spans="1:9" ht="15.95" customHeight="1" x14ac:dyDescent="0.15">
      <c r="A67" s="302"/>
      <c r="B67" s="301" t="s">
        <v>198</v>
      </c>
      <c r="C67" s="281"/>
      <c r="D67" s="256"/>
      <c r="E67" s="256"/>
      <c r="F67" s="255"/>
      <c r="G67" s="304"/>
      <c r="H67" s="305">
        <f>(H65+H56)*0</f>
        <v>0</v>
      </c>
      <c r="I67" s="281"/>
    </row>
    <row r="68" spans="1:9" ht="15.95" customHeight="1" x14ac:dyDescent="0.15">
      <c r="A68" s="302"/>
      <c r="B68" s="301" t="s">
        <v>199</v>
      </c>
      <c r="C68" s="281"/>
      <c r="D68" s="256"/>
      <c r="E68" s="256"/>
      <c r="F68" s="255"/>
      <c r="G68" s="304"/>
      <c r="H68" s="305">
        <f>(H65+H56)*0</f>
        <v>0</v>
      </c>
      <c r="I68" s="281"/>
    </row>
    <row r="69" spans="1:9" ht="15.95" customHeight="1" x14ac:dyDescent="0.15">
      <c r="A69" s="302"/>
      <c r="B69" s="301" t="s">
        <v>200</v>
      </c>
      <c r="C69" s="281"/>
      <c r="D69" s="256"/>
      <c r="E69" s="256"/>
      <c r="F69" s="255"/>
      <c r="G69" s="255"/>
      <c r="H69" s="254">
        <f>H56+H65+H66+H67+H68</f>
        <v>7196402.3216648623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ignoredErrors>
    <ignoredError sqref="H24 H30 H47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45" activePane="bottomRight" state="frozen"/>
      <selection activeCell="M60" sqref="M60"/>
      <selection pane="topRight" activeCell="M60" sqref="M60"/>
      <selection pane="bottomLeft" activeCell="M60" sqref="M60"/>
      <selection pane="bottomRight" activeCell="E77" sqref="E77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342" t="s">
        <v>332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527" t="s">
        <v>203</v>
      </c>
      <c r="B2" s="642"/>
      <c r="C2" s="142" t="s">
        <v>204</v>
      </c>
      <c r="D2" s="135" t="s">
        <v>205</v>
      </c>
      <c r="E2" s="135" t="s">
        <v>206</v>
      </c>
      <c r="F2" s="282" t="s">
        <v>207</v>
      </c>
      <c r="G2" s="282" t="s">
        <v>208</v>
      </c>
      <c r="H2" s="282" t="s">
        <v>209</v>
      </c>
      <c r="I2" s="135" t="s">
        <v>210</v>
      </c>
    </row>
    <row r="3" spans="1:9" ht="15.95" customHeight="1" x14ac:dyDescent="0.15">
      <c r="A3" s="643" t="s">
        <v>211</v>
      </c>
      <c r="B3" s="233" t="s">
        <v>212</v>
      </c>
      <c r="C3" s="444" t="s">
        <v>333</v>
      </c>
      <c r="D3" s="444" t="s">
        <v>296</v>
      </c>
      <c r="E3" s="467" t="s">
        <v>284</v>
      </c>
      <c r="F3" s="448">
        <v>1</v>
      </c>
      <c r="G3" s="468">
        <v>1200000</v>
      </c>
      <c r="H3" s="359">
        <f t="shared" ref="H3:H54" si="0">IF(F3=0,G3,G3*F3)</f>
        <v>1200000</v>
      </c>
      <c r="I3" s="263"/>
    </row>
    <row r="4" spans="1:9" ht="15.95" customHeight="1" x14ac:dyDescent="0.15">
      <c r="A4" s="649"/>
      <c r="B4" s="233"/>
      <c r="C4" s="343"/>
      <c r="D4" s="346"/>
      <c r="E4" s="344"/>
      <c r="F4" s="345"/>
      <c r="G4" s="345"/>
      <c r="H4" s="359">
        <f t="shared" si="0"/>
        <v>0</v>
      </c>
      <c r="I4" s="241"/>
    </row>
    <row r="5" spans="1:9" ht="15.95" customHeight="1" x14ac:dyDescent="0.15">
      <c r="A5" s="649"/>
      <c r="B5" s="233"/>
      <c r="C5" s="240"/>
      <c r="D5" s="240"/>
      <c r="E5" s="240"/>
      <c r="F5" s="244"/>
      <c r="G5" s="244"/>
      <c r="H5" s="184">
        <f t="shared" si="0"/>
        <v>0</v>
      </c>
      <c r="I5" s="241"/>
    </row>
    <row r="6" spans="1:9" ht="15.95" customHeight="1" x14ac:dyDescent="0.15">
      <c r="A6" s="649"/>
      <c r="B6" s="233"/>
      <c r="C6" s="240"/>
      <c r="D6" s="240"/>
      <c r="E6" s="240"/>
      <c r="F6" s="244"/>
      <c r="G6" s="244"/>
      <c r="H6" s="184">
        <f t="shared" si="0"/>
        <v>0</v>
      </c>
      <c r="I6" s="241"/>
    </row>
    <row r="7" spans="1:9" ht="15.95" customHeight="1" x14ac:dyDescent="0.15">
      <c r="A7" s="649"/>
      <c r="B7" s="233"/>
      <c r="C7" s="240"/>
      <c r="D7" s="240"/>
      <c r="E7" s="240"/>
      <c r="F7" s="244"/>
      <c r="G7" s="244"/>
      <c r="H7" s="184">
        <f t="shared" si="0"/>
        <v>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si="0"/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0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0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0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0"/>
        <v>0</v>
      </c>
      <c r="I22" s="241"/>
    </row>
    <row r="23" spans="1:9" ht="15.95" customHeight="1" x14ac:dyDescent="0.15">
      <c r="A23" s="649"/>
      <c r="B23" s="233"/>
      <c r="C23" s="469" t="s">
        <v>334</v>
      </c>
      <c r="D23" s="458"/>
      <c r="E23" s="459" t="s">
        <v>311</v>
      </c>
      <c r="F23" s="460">
        <v>1</v>
      </c>
      <c r="G23" s="460">
        <v>200000</v>
      </c>
      <c r="H23" s="475">
        <f t="shared" si="0"/>
        <v>200000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1400000</v>
      </c>
      <c r="I24" s="276"/>
    </row>
    <row r="25" spans="1:9" ht="15.95" customHeight="1" x14ac:dyDescent="0.15">
      <c r="A25" s="649"/>
      <c r="B25" s="233" t="s">
        <v>172</v>
      </c>
      <c r="C25" s="234"/>
      <c r="D25" s="234"/>
      <c r="E25" s="234"/>
      <c r="F25" s="237"/>
      <c r="G25" s="237"/>
      <c r="H25" s="238">
        <f t="shared" si="0"/>
        <v>0</v>
      </c>
      <c r="I25" s="239"/>
    </row>
    <row r="26" spans="1:9" ht="15.95" customHeight="1" x14ac:dyDescent="0.15">
      <c r="A26" s="649"/>
      <c r="B26" s="233" t="s">
        <v>173</v>
      </c>
      <c r="C26" s="240"/>
      <c r="D26" s="240"/>
      <c r="E26" s="240"/>
      <c r="F26" s="244"/>
      <c r="G26" s="244"/>
      <c r="H26" s="184">
        <f t="shared" si="0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0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0"/>
        <v>0</v>
      </c>
      <c r="I28" s="241"/>
    </row>
    <row r="29" spans="1:9" ht="15.95" customHeight="1" x14ac:dyDescent="0.15">
      <c r="A29" s="649"/>
      <c r="B29" s="233"/>
      <c r="C29" s="245" t="s">
        <v>213</v>
      </c>
      <c r="D29" s="245"/>
      <c r="E29" s="245"/>
      <c r="F29" s="248"/>
      <c r="G29" s="248"/>
      <c r="H29" s="184">
        <f t="shared" si="0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174</v>
      </c>
      <c r="C31" s="444" t="s">
        <v>335</v>
      </c>
      <c r="D31" s="444" t="s">
        <v>336</v>
      </c>
      <c r="E31" s="445" t="s">
        <v>311</v>
      </c>
      <c r="F31" s="446">
        <v>1</v>
      </c>
      <c r="G31" s="446">
        <v>2500000</v>
      </c>
      <c r="H31" s="262">
        <f>IF(F31=0,G31,G31*F31)</f>
        <v>2500000</v>
      </c>
      <c r="I31" s="263"/>
    </row>
    <row r="32" spans="1:9" ht="15.95" customHeight="1" x14ac:dyDescent="0.15">
      <c r="A32" s="649"/>
      <c r="B32" s="233" t="s">
        <v>175</v>
      </c>
      <c r="C32" s="437"/>
      <c r="D32" s="437"/>
      <c r="E32" s="438"/>
      <c r="F32" s="440"/>
      <c r="G32" s="440"/>
      <c r="H32" s="184">
        <f t="shared" si="0"/>
        <v>0</v>
      </c>
      <c r="I32" s="241"/>
    </row>
    <row r="33" spans="1:9" ht="15.95" customHeight="1" x14ac:dyDescent="0.15">
      <c r="A33" s="649"/>
      <c r="B33" s="233"/>
      <c r="C33" s="240"/>
      <c r="D33" s="240"/>
      <c r="E33" s="240"/>
      <c r="F33" s="244"/>
      <c r="G33" s="244"/>
      <c r="H33" s="184">
        <f t="shared" si="0"/>
        <v>0</v>
      </c>
      <c r="I33" s="241"/>
    </row>
    <row r="34" spans="1:9" ht="15.95" customHeight="1" x14ac:dyDescent="0.15">
      <c r="A34" s="649"/>
      <c r="B34" s="233"/>
      <c r="C34" s="240"/>
      <c r="D34" s="240"/>
      <c r="E34" s="240"/>
      <c r="F34" s="244"/>
      <c r="G34" s="244"/>
      <c r="H34" s="184">
        <f t="shared" si="0"/>
        <v>0</v>
      </c>
      <c r="I34" s="241"/>
    </row>
    <row r="35" spans="1:9" ht="15.95" customHeight="1" x14ac:dyDescent="0.15">
      <c r="A35" s="649"/>
      <c r="B35" s="233"/>
      <c r="C35" s="240"/>
      <c r="D35" s="240"/>
      <c r="E35" s="240"/>
      <c r="F35" s="244"/>
      <c r="G35" s="244"/>
      <c r="H35" s="184">
        <f t="shared" si="0"/>
        <v>0</v>
      </c>
      <c r="I35" s="241"/>
    </row>
    <row r="36" spans="1:9" ht="15.95" customHeight="1" x14ac:dyDescent="0.15">
      <c r="A36" s="649"/>
      <c r="B36" s="233"/>
      <c r="C36" s="240"/>
      <c r="D36" s="240"/>
      <c r="E36" s="240"/>
      <c r="F36" s="244"/>
      <c r="G36" s="244"/>
      <c r="H36" s="184">
        <f t="shared" si="0"/>
        <v>0</v>
      </c>
      <c r="I36" s="241"/>
    </row>
    <row r="37" spans="1:9" ht="15.95" customHeight="1" x14ac:dyDescent="0.15">
      <c r="A37" s="649"/>
      <c r="B37" s="233"/>
      <c r="C37" s="240"/>
      <c r="D37" s="240"/>
      <c r="E37" s="240"/>
      <c r="F37" s="244"/>
      <c r="G37" s="244"/>
      <c r="H37" s="184">
        <f t="shared" si="0"/>
        <v>0</v>
      </c>
      <c r="I37" s="241"/>
    </row>
    <row r="38" spans="1:9" ht="15.95" customHeight="1" x14ac:dyDescent="0.15">
      <c r="A38" s="649"/>
      <c r="B38" s="233"/>
      <c r="C38" s="240"/>
      <c r="D38" s="240"/>
      <c r="E38" s="240"/>
      <c r="F38" s="244"/>
      <c r="G38" s="244"/>
      <c r="H38" s="184">
        <f t="shared" si="0"/>
        <v>0</v>
      </c>
      <c r="I38" s="241"/>
    </row>
    <row r="39" spans="1:9" ht="15.95" customHeight="1" x14ac:dyDescent="0.15">
      <c r="A39" s="649"/>
      <c r="B39" s="233"/>
      <c r="C39" s="240"/>
      <c r="D39" s="240"/>
      <c r="E39" s="240"/>
      <c r="F39" s="244"/>
      <c r="G39" s="244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0"/>
        <v>0</v>
      </c>
      <c r="I43" s="241"/>
    </row>
    <row r="44" spans="1:9" ht="15.95" customHeight="1" x14ac:dyDescent="0.15">
      <c r="A44" s="649"/>
      <c r="B44" s="233"/>
      <c r="C44" s="240"/>
      <c r="D44" s="240"/>
      <c r="E44" s="240"/>
      <c r="F44" s="244"/>
      <c r="G44" s="244"/>
      <c r="H44" s="184">
        <f t="shared" si="0"/>
        <v>0</v>
      </c>
      <c r="I44" s="241"/>
    </row>
    <row r="45" spans="1:9" ht="15.95" customHeight="1" x14ac:dyDescent="0.15">
      <c r="A45" s="649"/>
      <c r="B45" s="233"/>
      <c r="C45" s="240"/>
      <c r="D45" s="240"/>
      <c r="E45" s="240"/>
      <c r="F45" s="244"/>
      <c r="G45" s="244"/>
      <c r="H45" s="184">
        <f t="shared" si="0"/>
        <v>0</v>
      </c>
      <c r="I45" s="241"/>
    </row>
    <row r="46" spans="1:9" ht="15.95" customHeight="1" x14ac:dyDescent="0.15">
      <c r="A46" s="649"/>
      <c r="B46" s="233"/>
      <c r="C46" s="469" t="s">
        <v>327</v>
      </c>
      <c r="D46" s="469"/>
      <c r="E46" s="470" t="s">
        <v>284</v>
      </c>
      <c r="F46" s="471">
        <v>1</v>
      </c>
      <c r="G46" s="471">
        <v>200000</v>
      </c>
      <c r="H46" s="359">
        <f t="shared" si="0"/>
        <v>200000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2700000</v>
      </c>
      <c r="I47" s="256"/>
    </row>
    <row r="48" spans="1:9" ht="15.95" customHeight="1" x14ac:dyDescent="0.15">
      <c r="A48" s="649"/>
      <c r="B48" s="277" t="s">
        <v>214</v>
      </c>
      <c r="C48" s="258"/>
      <c r="D48" s="258"/>
      <c r="E48" s="258"/>
      <c r="F48" s="261"/>
      <c r="G48" s="261"/>
      <c r="H48" s="262">
        <f t="shared" si="0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0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0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0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0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0"/>
        <v>0</v>
      </c>
      <c r="I53" s="241"/>
    </row>
    <row r="54" spans="1:9" ht="15.95" customHeight="1" x14ac:dyDescent="0.15">
      <c r="A54" s="649"/>
      <c r="B54" s="233"/>
      <c r="C54" s="245" t="s">
        <v>215</v>
      </c>
      <c r="D54" s="245"/>
      <c r="E54" s="245"/>
      <c r="F54" s="248"/>
      <c r="G54" s="248"/>
      <c r="H54" s="278">
        <f t="shared" si="0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216</v>
      </c>
      <c r="C56" s="281"/>
      <c r="D56" s="256"/>
      <c r="E56" s="256"/>
      <c r="F56" s="283"/>
      <c r="G56" s="283"/>
      <c r="H56" s="255">
        <f>SUM(H55,H47,H30,H24)</f>
        <v>4100000</v>
      </c>
      <c r="I56" s="256"/>
    </row>
    <row r="57" spans="1:9" ht="15.95" customHeight="1" x14ac:dyDescent="0.15">
      <c r="A57" s="650" t="s">
        <v>217</v>
      </c>
      <c r="B57" s="284" t="s">
        <v>218</v>
      </c>
      <c r="C57" s="281"/>
      <c r="D57" s="285"/>
      <c r="E57" s="311" t="s">
        <v>219</v>
      </c>
      <c r="F57" s="393">
        <v>0</v>
      </c>
      <c r="G57" s="349">
        <v>300000</v>
      </c>
      <c r="H57" s="288">
        <f>F57*G57</f>
        <v>0</v>
      </c>
      <c r="I57" s="256"/>
    </row>
    <row r="58" spans="1:9" ht="15.95" customHeight="1" x14ac:dyDescent="0.15">
      <c r="A58" s="649"/>
      <c r="B58" s="289" t="s">
        <v>220</v>
      </c>
      <c r="C58" s="290"/>
      <c r="D58" s="291"/>
      <c r="E58" s="312" t="s">
        <v>148</v>
      </c>
      <c r="F58" s="443">
        <v>2</v>
      </c>
      <c r="G58" s="350">
        <v>300000</v>
      </c>
      <c r="H58" s="262">
        <f t="shared" ref="H58:H64" si="1">F58*G58</f>
        <v>600000</v>
      </c>
      <c r="I58" s="263"/>
    </row>
    <row r="59" spans="1:9" ht="15.95" customHeight="1" x14ac:dyDescent="0.15">
      <c r="A59" s="649"/>
      <c r="B59" s="315" t="s">
        <v>221</v>
      </c>
      <c r="C59" s="294"/>
      <c r="D59" s="295"/>
      <c r="E59" s="313" t="s">
        <v>148</v>
      </c>
      <c r="F59" s="446">
        <v>1</v>
      </c>
      <c r="G59" s="348">
        <v>250000</v>
      </c>
      <c r="H59" s="184">
        <f t="shared" si="1"/>
        <v>250000</v>
      </c>
      <c r="I59" s="241"/>
    </row>
    <row r="60" spans="1:9" ht="15.95" customHeight="1" x14ac:dyDescent="0.15">
      <c r="A60" s="649"/>
      <c r="B60" s="293" t="s">
        <v>222</v>
      </c>
      <c r="C60" s="294"/>
      <c r="D60" s="295"/>
      <c r="E60" s="313" t="s">
        <v>148</v>
      </c>
      <c r="F60" s="446">
        <v>1</v>
      </c>
      <c r="G60" s="348">
        <v>250000</v>
      </c>
      <c r="H60" s="184">
        <f t="shared" si="1"/>
        <v>250000</v>
      </c>
      <c r="I60" s="241"/>
    </row>
    <row r="61" spans="1:9" ht="15.95" customHeight="1" x14ac:dyDescent="0.15">
      <c r="A61" s="649"/>
      <c r="B61" s="293" t="s">
        <v>223</v>
      </c>
      <c r="C61" s="294"/>
      <c r="D61" s="295"/>
      <c r="E61" s="313" t="s">
        <v>148</v>
      </c>
      <c r="F61" s="446">
        <v>1</v>
      </c>
      <c r="G61" s="347">
        <v>300000</v>
      </c>
      <c r="H61" s="184">
        <f t="shared" si="1"/>
        <v>300000</v>
      </c>
      <c r="I61" s="241"/>
    </row>
    <row r="62" spans="1:9" ht="15.95" customHeight="1" x14ac:dyDescent="0.15">
      <c r="A62" s="649"/>
      <c r="B62" s="293" t="s">
        <v>224</v>
      </c>
      <c r="C62" s="294"/>
      <c r="D62" s="295"/>
      <c r="E62" s="313" t="s">
        <v>148</v>
      </c>
      <c r="F62" s="446">
        <v>1</v>
      </c>
      <c r="G62" s="347">
        <v>300000</v>
      </c>
      <c r="H62" s="184">
        <f t="shared" si="1"/>
        <v>300000</v>
      </c>
      <c r="I62" s="241"/>
    </row>
    <row r="63" spans="1:9" ht="15.95" customHeight="1" x14ac:dyDescent="0.15">
      <c r="A63" s="649"/>
      <c r="B63" s="293" t="s">
        <v>225</v>
      </c>
      <c r="C63" s="294"/>
      <c r="D63" s="295"/>
      <c r="E63" s="313" t="s">
        <v>148</v>
      </c>
      <c r="F63" s="446">
        <v>1</v>
      </c>
      <c r="G63" s="347">
        <v>300000</v>
      </c>
      <c r="H63" s="184">
        <f t="shared" si="1"/>
        <v>300000</v>
      </c>
      <c r="I63" s="241"/>
    </row>
    <row r="64" spans="1:9" ht="15.95" customHeight="1" x14ac:dyDescent="0.15">
      <c r="A64" s="649"/>
      <c r="B64" s="297" t="s">
        <v>226</v>
      </c>
      <c r="C64" s="298"/>
      <c r="D64" s="299"/>
      <c r="E64" s="314" t="s">
        <v>148</v>
      </c>
      <c r="F64" s="478">
        <v>1</v>
      </c>
      <c r="G64" s="352">
        <v>250000</v>
      </c>
      <c r="H64" s="278">
        <f t="shared" si="1"/>
        <v>250000</v>
      </c>
      <c r="I64" s="249"/>
    </row>
    <row r="65" spans="1:9" ht="15.95" customHeight="1" x14ac:dyDescent="0.15">
      <c r="A65" s="279"/>
      <c r="B65" s="301" t="s">
        <v>227</v>
      </c>
      <c r="C65" s="281"/>
      <c r="D65" s="256"/>
      <c r="E65" s="256"/>
      <c r="F65" s="254"/>
      <c r="G65" s="254"/>
      <c r="H65" s="254">
        <f>SUM(H57:H64)</f>
        <v>2250000</v>
      </c>
      <c r="I65" s="252"/>
    </row>
    <row r="66" spans="1:9" ht="15.95" customHeight="1" x14ac:dyDescent="0.15">
      <c r="A66" s="302"/>
      <c r="B66" s="301" t="s">
        <v>228</v>
      </c>
      <c r="C66" s="281"/>
      <c r="D66" s="256"/>
      <c r="E66" s="256"/>
      <c r="F66" s="255"/>
      <c r="G66" s="255"/>
      <c r="H66" s="283">
        <f>'단위공사별(집계)'!L10+'단위공사별(집계)'!I10</f>
        <v>41210.45350655599</v>
      </c>
      <c r="I66" s="256"/>
    </row>
    <row r="67" spans="1:9" ht="15.95" customHeight="1" x14ac:dyDescent="0.15">
      <c r="A67" s="302"/>
      <c r="B67" s="301" t="s">
        <v>229</v>
      </c>
      <c r="C67" s="281"/>
      <c r="D67" s="256"/>
      <c r="E67" s="256"/>
      <c r="F67" s="255"/>
      <c r="G67" s="304"/>
      <c r="H67" s="305">
        <f>(H65+H56)*0</f>
        <v>0</v>
      </c>
      <c r="I67" s="281"/>
    </row>
    <row r="68" spans="1:9" ht="15.95" customHeight="1" x14ac:dyDescent="0.15">
      <c r="A68" s="302"/>
      <c r="B68" s="301" t="s">
        <v>230</v>
      </c>
      <c r="C68" s="281"/>
      <c r="D68" s="256"/>
      <c r="E68" s="256"/>
      <c r="F68" s="255"/>
      <c r="G68" s="304"/>
      <c r="H68" s="305">
        <f>(H65+H56)*0</f>
        <v>0</v>
      </c>
      <c r="I68" s="281"/>
    </row>
    <row r="69" spans="1:9" ht="15.95" customHeight="1" x14ac:dyDescent="0.15">
      <c r="A69" s="302"/>
      <c r="B69" s="301" t="s">
        <v>231</v>
      </c>
      <c r="C69" s="281"/>
      <c r="D69" s="256"/>
      <c r="E69" s="256"/>
      <c r="F69" s="255"/>
      <c r="G69" s="255"/>
      <c r="H69" s="254">
        <f>H56+H65+H66+H67+H68</f>
        <v>6391210.4535065563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47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48" activePane="bottomRight" state="frozen"/>
      <selection activeCell="M60" sqref="M60"/>
      <selection pane="topRight" activeCell="M60" sqref="M60"/>
      <selection pane="bottomLeft" activeCell="M60" sqref="M60"/>
      <selection pane="bottomRight" activeCell="H73" sqref="H73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353" t="s">
        <v>337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527" t="s">
        <v>203</v>
      </c>
      <c r="B2" s="642"/>
      <c r="C2" s="142" t="s">
        <v>204</v>
      </c>
      <c r="D2" s="135" t="s">
        <v>205</v>
      </c>
      <c r="E2" s="135" t="s">
        <v>206</v>
      </c>
      <c r="F2" s="282" t="s">
        <v>207</v>
      </c>
      <c r="G2" s="282" t="s">
        <v>208</v>
      </c>
      <c r="H2" s="282" t="s">
        <v>209</v>
      </c>
      <c r="I2" s="135" t="s">
        <v>210</v>
      </c>
    </row>
    <row r="3" spans="1:9" ht="15.95" customHeight="1" x14ac:dyDescent="0.15">
      <c r="A3" s="643" t="s">
        <v>211</v>
      </c>
      <c r="B3" s="233" t="s">
        <v>212</v>
      </c>
      <c r="C3" s="444" t="s">
        <v>333</v>
      </c>
      <c r="D3" s="444" t="s">
        <v>296</v>
      </c>
      <c r="E3" s="467" t="s">
        <v>284</v>
      </c>
      <c r="F3" s="448">
        <v>1</v>
      </c>
      <c r="G3" s="468">
        <v>500000</v>
      </c>
      <c r="H3" s="472">
        <f>IF(F3=0,G3,G3*F3)</f>
        <v>500000</v>
      </c>
      <c r="I3" s="263"/>
    </row>
    <row r="4" spans="1:9" ht="15.95" customHeight="1" x14ac:dyDescent="0.15">
      <c r="A4" s="649"/>
      <c r="B4" s="233"/>
      <c r="C4" s="240"/>
      <c r="D4" s="240"/>
      <c r="E4" s="240"/>
      <c r="F4" s="244"/>
      <c r="G4" s="244"/>
      <c r="H4" s="184">
        <f>IF(F4=0,G4,G4*F4)</f>
        <v>0</v>
      </c>
      <c r="I4" s="241"/>
    </row>
    <row r="5" spans="1:9" ht="15.95" customHeight="1" x14ac:dyDescent="0.15">
      <c r="A5" s="649"/>
      <c r="B5" s="233"/>
      <c r="C5" s="240"/>
      <c r="D5" s="240"/>
      <c r="E5" s="240"/>
      <c r="F5" s="244"/>
      <c r="G5" s="244"/>
      <c r="H5" s="184">
        <f t="shared" ref="H5:H54" si="0">IF(F5=0,G5,G5*F5)</f>
        <v>0</v>
      </c>
      <c r="I5" s="241"/>
    </row>
    <row r="6" spans="1:9" ht="15.95" customHeight="1" x14ac:dyDescent="0.15">
      <c r="A6" s="649"/>
      <c r="B6" s="233"/>
      <c r="C6" s="240"/>
      <c r="D6" s="240"/>
      <c r="E6" s="240"/>
      <c r="F6" s="244"/>
      <c r="G6" s="244"/>
      <c r="H6" s="184">
        <f t="shared" si="0"/>
        <v>0</v>
      </c>
      <c r="I6" s="241"/>
    </row>
    <row r="7" spans="1:9" ht="15.95" customHeight="1" x14ac:dyDescent="0.15">
      <c r="A7" s="649"/>
      <c r="B7" s="233"/>
      <c r="C7" s="240"/>
      <c r="D7" s="240"/>
      <c r="E7" s="240"/>
      <c r="F7" s="244"/>
      <c r="G7" s="244"/>
      <c r="H7" s="184">
        <f t="shared" si="0"/>
        <v>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si="0"/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0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0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0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0"/>
        <v>0</v>
      </c>
      <c r="I22" s="241"/>
    </row>
    <row r="23" spans="1:9" ht="15.95" customHeight="1" x14ac:dyDescent="0.15">
      <c r="A23" s="649"/>
      <c r="B23" s="233"/>
      <c r="C23" s="469" t="s">
        <v>327</v>
      </c>
      <c r="D23" s="458"/>
      <c r="E23" s="458" t="s">
        <v>311</v>
      </c>
      <c r="F23" s="460">
        <v>1</v>
      </c>
      <c r="G23" s="460">
        <v>100000</v>
      </c>
      <c r="H23" s="475">
        <f t="shared" si="0"/>
        <v>100000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600000</v>
      </c>
      <c r="I24" s="276"/>
    </row>
    <row r="25" spans="1:9" ht="15.95" customHeight="1" x14ac:dyDescent="0.15">
      <c r="A25" s="649"/>
      <c r="B25" s="233" t="s">
        <v>172</v>
      </c>
      <c r="C25" s="234"/>
      <c r="D25" s="234"/>
      <c r="E25" s="234"/>
      <c r="F25" s="237"/>
      <c r="G25" s="237"/>
      <c r="H25" s="238">
        <f t="shared" si="0"/>
        <v>0</v>
      </c>
      <c r="I25" s="239"/>
    </row>
    <row r="26" spans="1:9" ht="15.95" customHeight="1" x14ac:dyDescent="0.15">
      <c r="A26" s="649"/>
      <c r="B26" s="233" t="s">
        <v>173</v>
      </c>
      <c r="C26" s="240"/>
      <c r="D26" s="240"/>
      <c r="E26" s="240"/>
      <c r="F26" s="244"/>
      <c r="G26" s="244"/>
      <c r="H26" s="184">
        <f t="shared" si="0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0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0"/>
        <v>0</v>
      </c>
      <c r="I28" s="241"/>
    </row>
    <row r="29" spans="1:9" ht="15.95" customHeight="1" x14ac:dyDescent="0.15">
      <c r="A29" s="649"/>
      <c r="B29" s="233"/>
      <c r="C29" s="245" t="s">
        <v>213</v>
      </c>
      <c r="D29" s="245"/>
      <c r="E29" s="245"/>
      <c r="F29" s="248"/>
      <c r="G29" s="248"/>
      <c r="H29" s="184">
        <f t="shared" si="0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174</v>
      </c>
      <c r="C31" s="441" t="s">
        <v>338</v>
      </c>
      <c r="D31" s="441"/>
      <c r="E31" s="442" t="s">
        <v>311</v>
      </c>
      <c r="F31" s="443">
        <v>1</v>
      </c>
      <c r="G31" s="443">
        <v>7500000</v>
      </c>
      <c r="H31" s="262">
        <f t="shared" ref="H31:H34" si="1">IF(F31=0,G31,G31*F31)</f>
        <v>7500000</v>
      </c>
      <c r="I31" s="263"/>
    </row>
    <row r="32" spans="1:9" ht="15.95" customHeight="1" x14ac:dyDescent="0.15">
      <c r="A32" s="649"/>
      <c r="B32" s="233" t="s">
        <v>175</v>
      </c>
      <c r="C32" s="444" t="s">
        <v>339</v>
      </c>
      <c r="D32" s="444"/>
      <c r="E32" s="445"/>
      <c r="F32" s="446"/>
      <c r="G32" s="446"/>
      <c r="H32" s="472">
        <f t="shared" si="1"/>
        <v>0</v>
      </c>
      <c r="I32" s="241"/>
    </row>
    <row r="33" spans="1:9" ht="15.95" customHeight="1" x14ac:dyDescent="0.15">
      <c r="A33" s="649"/>
      <c r="B33" s="233"/>
      <c r="C33" s="444" t="s">
        <v>340</v>
      </c>
      <c r="D33" s="444"/>
      <c r="E33" s="445" t="s">
        <v>311</v>
      </c>
      <c r="F33" s="446">
        <v>1</v>
      </c>
      <c r="G33" s="446">
        <v>3500000</v>
      </c>
      <c r="H33" s="472">
        <f t="shared" si="1"/>
        <v>3500000</v>
      </c>
      <c r="I33" s="241"/>
    </row>
    <row r="34" spans="1:9" ht="15.95" customHeight="1" x14ac:dyDescent="0.15">
      <c r="A34" s="649"/>
      <c r="B34" s="233"/>
      <c r="C34" s="444" t="s">
        <v>341</v>
      </c>
      <c r="D34" s="444"/>
      <c r="E34" s="445" t="s">
        <v>311</v>
      </c>
      <c r="F34" s="446">
        <v>1</v>
      </c>
      <c r="G34" s="446">
        <v>1000000</v>
      </c>
      <c r="H34" s="472">
        <f t="shared" si="1"/>
        <v>1000000</v>
      </c>
      <c r="I34" s="241"/>
    </row>
    <row r="35" spans="1:9" ht="15.95" customHeight="1" x14ac:dyDescent="0.15">
      <c r="A35" s="649"/>
      <c r="B35" s="233"/>
      <c r="C35" s="240"/>
      <c r="D35" s="240"/>
      <c r="E35" s="438"/>
      <c r="F35" s="244"/>
      <c r="G35" s="244"/>
      <c r="H35" s="184">
        <f t="shared" si="0"/>
        <v>0</v>
      </c>
      <c r="I35" s="241"/>
    </row>
    <row r="36" spans="1:9" ht="15.95" customHeight="1" x14ac:dyDescent="0.15">
      <c r="A36" s="649"/>
      <c r="B36" s="233"/>
      <c r="C36" s="240"/>
      <c r="D36" s="240"/>
      <c r="E36" s="438"/>
      <c r="F36" s="244"/>
      <c r="G36" s="244"/>
      <c r="H36" s="184">
        <f t="shared" si="0"/>
        <v>0</v>
      </c>
      <c r="I36" s="241"/>
    </row>
    <row r="37" spans="1:9" ht="15.95" customHeight="1" x14ac:dyDescent="0.15">
      <c r="A37" s="649"/>
      <c r="B37" s="233"/>
      <c r="C37" s="240"/>
      <c r="D37" s="240"/>
      <c r="E37" s="438"/>
      <c r="F37" s="244"/>
      <c r="G37" s="244"/>
      <c r="H37" s="184">
        <f t="shared" si="0"/>
        <v>0</v>
      </c>
      <c r="I37" s="241"/>
    </row>
    <row r="38" spans="1:9" ht="15.95" customHeight="1" x14ac:dyDescent="0.15">
      <c r="A38" s="649"/>
      <c r="B38" s="233"/>
      <c r="C38" s="240"/>
      <c r="D38" s="240"/>
      <c r="E38" s="438"/>
      <c r="F38" s="244"/>
      <c r="G38" s="244"/>
      <c r="H38" s="184">
        <f t="shared" si="0"/>
        <v>0</v>
      </c>
      <c r="I38" s="241"/>
    </row>
    <row r="39" spans="1:9" ht="15.95" customHeight="1" x14ac:dyDescent="0.15">
      <c r="A39" s="649"/>
      <c r="B39" s="233"/>
      <c r="C39" s="240"/>
      <c r="D39" s="240"/>
      <c r="E39" s="438"/>
      <c r="F39" s="244"/>
      <c r="G39" s="244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240"/>
      <c r="D40" s="240"/>
      <c r="E40" s="438"/>
      <c r="F40" s="244"/>
      <c r="G40" s="244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438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438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240"/>
      <c r="D43" s="240"/>
      <c r="E43" s="438"/>
      <c r="F43" s="244"/>
      <c r="G43" s="244"/>
      <c r="H43" s="184">
        <f t="shared" si="0"/>
        <v>0</v>
      </c>
      <c r="I43" s="241"/>
    </row>
    <row r="44" spans="1:9" ht="15.95" customHeight="1" x14ac:dyDescent="0.15">
      <c r="A44" s="649"/>
      <c r="B44" s="233"/>
      <c r="C44" s="240"/>
      <c r="D44" s="240"/>
      <c r="E44" s="438"/>
      <c r="F44" s="244"/>
      <c r="G44" s="244"/>
      <c r="H44" s="184">
        <f t="shared" si="0"/>
        <v>0</v>
      </c>
      <c r="I44" s="241"/>
    </row>
    <row r="45" spans="1:9" ht="15.95" customHeight="1" x14ac:dyDescent="0.15">
      <c r="A45" s="649"/>
      <c r="B45" s="233"/>
      <c r="C45" s="240"/>
      <c r="D45" s="240"/>
      <c r="E45" s="438"/>
      <c r="F45" s="244"/>
      <c r="G45" s="244"/>
      <c r="H45" s="184">
        <f t="shared" si="0"/>
        <v>0</v>
      </c>
      <c r="I45" s="241"/>
    </row>
    <row r="46" spans="1:9" ht="15.95" customHeight="1" x14ac:dyDescent="0.15">
      <c r="A46" s="649"/>
      <c r="B46" s="233"/>
      <c r="C46" s="469" t="s">
        <v>285</v>
      </c>
      <c r="D46" s="469"/>
      <c r="E46" s="470" t="s">
        <v>284</v>
      </c>
      <c r="F46" s="471">
        <v>1</v>
      </c>
      <c r="G46" s="471">
        <v>100000</v>
      </c>
      <c r="H46" s="472">
        <f t="shared" si="0"/>
        <v>100000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12100000</v>
      </c>
      <c r="I47" s="256"/>
    </row>
    <row r="48" spans="1:9" ht="15.95" customHeight="1" x14ac:dyDescent="0.15">
      <c r="A48" s="649"/>
      <c r="B48" s="277" t="s">
        <v>214</v>
      </c>
      <c r="C48" s="258"/>
      <c r="D48" s="258"/>
      <c r="E48" s="258"/>
      <c r="F48" s="261"/>
      <c r="G48" s="261"/>
      <c r="H48" s="262">
        <f t="shared" si="0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0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0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0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0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0"/>
        <v>0</v>
      </c>
      <c r="I53" s="241"/>
    </row>
    <row r="54" spans="1:9" ht="15.95" customHeight="1" x14ac:dyDescent="0.15">
      <c r="A54" s="649"/>
      <c r="B54" s="233"/>
      <c r="C54" s="245" t="s">
        <v>215</v>
      </c>
      <c r="D54" s="245"/>
      <c r="E54" s="245"/>
      <c r="F54" s="248"/>
      <c r="G54" s="248"/>
      <c r="H54" s="278">
        <f t="shared" si="0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216</v>
      </c>
      <c r="C56" s="281"/>
      <c r="D56" s="256"/>
      <c r="E56" s="256"/>
      <c r="F56" s="283"/>
      <c r="G56" s="283"/>
      <c r="H56" s="255">
        <f>SUM(H55,H47,H30,H24)</f>
        <v>12700000</v>
      </c>
      <c r="I56" s="256"/>
    </row>
    <row r="57" spans="1:9" ht="15.95" customHeight="1" x14ac:dyDescent="0.15">
      <c r="A57" s="650" t="s">
        <v>217</v>
      </c>
      <c r="B57" s="284" t="s">
        <v>218</v>
      </c>
      <c r="C57" s="281"/>
      <c r="D57" s="285"/>
      <c r="E57" s="311" t="s">
        <v>219</v>
      </c>
      <c r="F57" s="393">
        <v>0</v>
      </c>
      <c r="G57" s="356">
        <v>300000</v>
      </c>
      <c r="H57" s="288">
        <f>F57*G57</f>
        <v>0</v>
      </c>
      <c r="I57" s="256"/>
    </row>
    <row r="58" spans="1:9" ht="15.95" customHeight="1" x14ac:dyDescent="0.15">
      <c r="A58" s="649"/>
      <c r="B58" s="289" t="s">
        <v>220</v>
      </c>
      <c r="C58" s="290"/>
      <c r="D58" s="291"/>
      <c r="E58" s="312" t="s">
        <v>148</v>
      </c>
      <c r="F58" s="443">
        <v>3</v>
      </c>
      <c r="G58" s="357">
        <v>300000</v>
      </c>
      <c r="H58" s="262">
        <f t="shared" ref="H58:H64" si="2">F58*G58</f>
        <v>900000</v>
      </c>
      <c r="I58" s="263"/>
    </row>
    <row r="59" spans="1:9" ht="15.95" customHeight="1" x14ac:dyDescent="0.15">
      <c r="A59" s="649"/>
      <c r="B59" s="315" t="s">
        <v>221</v>
      </c>
      <c r="C59" s="294"/>
      <c r="D59" s="295"/>
      <c r="E59" s="313" t="s">
        <v>148</v>
      </c>
      <c r="F59" s="446">
        <v>1</v>
      </c>
      <c r="G59" s="355">
        <v>250000</v>
      </c>
      <c r="H59" s="184">
        <f t="shared" si="2"/>
        <v>250000</v>
      </c>
      <c r="I59" s="241"/>
    </row>
    <row r="60" spans="1:9" ht="15.95" customHeight="1" x14ac:dyDescent="0.15">
      <c r="A60" s="649"/>
      <c r="B60" s="293" t="s">
        <v>222</v>
      </c>
      <c r="C60" s="294"/>
      <c r="D60" s="295"/>
      <c r="E60" s="313" t="s">
        <v>148</v>
      </c>
      <c r="F60" s="446">
        <v>2</v>
      </c>
      <c r="G60" s="355">
        <v>250000</v>
      </c>
      <c r="H60" s="184">
        <f t="shared" si="2"/>
        <v>500000</v>
      </c>
      <c r="I60" s="241"/>
    </row>
    <row r="61" spans="1:9" ht="15.95" customHeight="1" x14ac:dyDescent="0.15">
      <c r="A61" s="649"/>
      <c r="B61" s="293" t="s">
        <v>223</v>
      </c>
      <c r="C61" s="294"/>
      <c r="D61" s="295"/>
      <c r="E61" s="313" t="s">
        <v>148</v>
      </c>
      <c r="F61" s="446">
        <v>2</v>
      </c>
      <c r="G61" s="354">
        <v>300000</v>
      </c>
      <c r="H61" s="184">
        <f t="shared" si="2"/>
        <v>600000</v>
      </c>
      <c r="I61" s="241"/>
    </row>
    <row r="62" spans="1:9" ht="15.95" customHeight="1" x14ac:dyDescent="0.15">
      <c r="A62" s="649"/>
      <c r="B62" s="293" t="s">
        <v>224</v>
      </c>
      <c r="C62" s="294"/>
      <c r="D62" s="295"/>
      <c r="E62" s="313" t="s">
        <v>148</v>
      </c>
      <c r="F62" s="446">
        <v>2</v>
      </c>
      <c r="G62" s="354">
        <v>300000</v>
      </c>
      <c r="H62" s="184">
        <f t="shared" si="2"/>
        <v>600000</v>
      </c>
      <c r="I62" s="241"/>
    </row>
    <row r="63" spans="1:9" ht="15.95" customHeight="1" x14ac:dyDescent="0.15">
      <c r="A63" s="649"/>
      <c r="B63" s="293" t="s">
        <v>225</v>
      </c>
      <c r="C63" s="294"/>
      <c r="D63" s="295"/>
      <c r="E63" s="313" t="s">
        <v>148</v>
      </c>
      <c r="F63" s="446">
        <v>1</v>
      </c>
      <c r="G63" s="354">
        <v>300000</v>
      </c>
      <c r="H63" s="184">
        <f t="shared" si="2"/>
        <v>300000</v>
      </c>
      <c r="I63" s="241"/>
    </row>
    <row r="64" spans="1:9" ht="15.95" customHeight="1" x14ac:dyDescent="0.15">
      <c r="A64" s="649"/>
      <c r="B64" s="297" t="s">
        <v>226</v>
      </c>
      <c r="C64" s="298"/>
      <c r="D64" s="299"/>
      <c r="E64" s="314" t="s">
        <v>148</v>
      </c>
      <c r="F64" s="471">
        <v>1</v>
      </c>
      <c r="G64" s="358">
        <v>250000</v>
      </c>
      <c r="H64" s="278">
        <f t="shared" si="2"/>
        <v>250000</v>
      </c>
      <c r="I64" s="249"/>
    </row>
    <row r="65" spans="1:9" ht="15.95" customHeight="1" x14ac:dyDescent="0.15">
      <c r="A65" s="279"/>
      <c r="B65" s="301" t="s">
        <v>227</v>
      </c>
      <c r="C65" s="281"/>
      <c r="D65" s="256"/>
      <c r="E65" s="256"/>
      <c r="F65" s="254"/>
      <c r="G65" s="254"/>
      <c r="H65" s="254">
        <f>SUM(H57:H64)</f>
        <v>3400000</v>
      </c>
      <c r="I65" s="252"/>
    </row>
    <row r="66" spans="1:9" ht="15.95" customHeight="1" x14ac:dyDescent="0.15">
      <c r="A66" s="302"/>
      <c r="B66" s="301" t="s">
        <v>228</v>
      </c>
      <c r="C66" s="281"/>
      <c r="D66" s="256"/>
      <c r="E66" s="256"/>
      <c r="F66" s="255"/>
      <c r="G66" s="255"/>
      <c r="H66" s="283">
        <f>'단위공사별(집계)'!I11+'단위공사별(집계)'!L11</f>
        <v>104486.34668591362</v>
      </c>
      <c r="I66" s="256"/>
    </row>
    <row r="67" spans="1:9" ht="15.95" customHeight="1" x14ac:dyDescent="0.15">
      <c r="A67" s="302"/>
      <c r="B67" s="301" t="s">
        <v>229</v>
      </c>
      <c r="C67" s="281"/>
      <c r="D67" s="256"/>
      <c r="E67" s="256"/>
      <c r="F67" s="255"/>
      <c r="G67" s="304"/>
      <c r="H67" s="356">
        <f>(H65+H56)*0</f>
        <v>0</v>
      </c>
      <c r="I67" s="281"/>
    </row>
    <row r="68" spans="1:9" ht="15.95" customHeight="1" x14ac:dyDescent="0.15">
      <c r="A68" s="302"/>
      <c r="B68" s="301" t="s">
        <v>230</v>
      </c>
      <c r="C68" s="281"/>
      <c r="D68" s="256"/>
      <c r="E68" s="256"/>
      <c r="F68" s="255"/>
      <c r="G68" s="304"/>
      <c r="H68" s="356">
        <f>(H65+H56)*0</f>
        <v>0</v>
      </c>
      <c r="I68" s="281"/>
    </row>
    <row r="69" spans="1:9" ht="15.95" customHeight="1" x14ac:dyDescent="0.15">
      <c r="A69" s="302"/>
      <c r="B69" s="301" t="s">
        <v>231</v>
      </c>
      <c r="C69" s="281"/>
      <c r="D69" s="256"/>
      <c r="E69" s="256"/>
      <c r="F69" s="255"/>
      <c r="G69" s="255"/>
      <c r="H69" s="254">
        <f>H56+H65+H66+H67+H68</f>
        <v>16204486.346685914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47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N87"/>
  <sheetViews>
    <sheetView zoomScaleNormal="100" workbookViewId="0">
      <pane xSplit="2" ySplit="2" topLeftCell="C60" activePane="bottomRight" state="frozen"/>
      <selection activeCell="M60" sqref="M60"/>
      <selection pane="topRight" activeCell="M60" sqref="M60"/>
      <selection pane="bottomLeft" activeCell="M60" sqref="M60"/>
      <selection pane="bottomRight" activeCell="H92" sqref="H92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201</v>
      </c>
      <c r="C1" s="404" t="s">
        <v>343</v>
      </c>
      <c r="D1" s="227"/>
      <c r="E1" s="227"/>
      <c r="F1" s="308"/>
      <c r="G1" s="187"/>
      <c r="I1" s="134" t="s">
        <v>202</v>
      </c>
    </row>
    <row r="2" spans="1:9" s="151" customFormat="1" ht="16.5" customHeight="1" x14ac:dyDescent="0.15">
      <c r="A2" s="527" t="s">
        <v>203</v>
      </c>
      <c r="B2" s="642"/>
      <c r="C2" s="142" t="s">
        <v>204</v>
      </c>
      <c r="D2" s="135" t="s">
        <v>205</v>
      </c>
      <c r="E2" s="135" t="s">
        <v>206</v>
      </c>
      <c r="F2" s="282" t="s">
        <v>207</v>
      </c>
      <c r="G2" s="282" t="s">
        <v>208</v>
      </c>
      <c r="H2" s="282" t="s">
        <v>209</v>
      </c>
      <c r="I2" s="135" t="s">
        <v>210</v>
      </c>
    </row>
    <row r="3" spans="1:9" ht="15.95" customHeight="1" x14ac:dyDescent="0.15">
      <c r="A3" s="643" t="s">
        <v>211</v>
      </c>
      <c r="B3" s="233" t="s">
        <v>212</v>
      </c>
      <c r="C3" s="444" t="s">
        <v>295</v>
      </c>
      <c r="D3" s="444" t="s">
        <v>296</v>
      </c>
      <c r="E3" s="467" t="s">
        <v>284</v>
      </c>
      <c r="F3" s="448">
        <v>1</v>
      </c>
      <c r="G3" s="468">
        <v>600000</v>
      </c>
      <c r="H3" s="262">
        <f>IF(F3=0,G3,G3*F3)</f>
        <v>600000</v>
      </c>
      <c r="I3" s="263"/>
    </row>
    <row r="4" spans="1:9" ht="15.95" customHeight="1" x14ac:dyDescent="0.15">
      <c r="A4" s="649"/>
      <c r="B4" s="233"/>
      <c r="C4" s="409"/>
      <c r="D4" s="405"/>
      <c r="E4" s="414"/>
      <c r="F4" s="407"/>
      <c r="G4" s="412"/>
      <c r="H4" s="403">
        <f t="shared" ref="H4:H21" si="0">F4*G4</f>
        <v>0</v>
      </c>
      <c r="I4" s="241"/>
    </row>
    <row r="5" spans="1:9" ht="15.95" customHeight="1" x14ac:dyDescent="0.15">
      <c r="A5" s="649"/>
      <c r="B5" s="233"/>
      <c r="C5" s="409"/>
      <c r="D5" s="409"/>
      <c r="E5" s="414"/>
      <c r="F5" s="412"/>
      <c r="G5" s="412"/>
      <c r="H5" s="403">
        <f t="shared" si="0"/>
        <v>0</v>
      </c>
      <c r="I5" s="241"/>
    </row>
    <row r="6" spans="1:9" ht="15.95" customHeight="1" x14ac:dyDescent="0.15">
      <c r="A6" s="649"/>
      <c r="B6" s="233"/>
      <c r="C6" s="409"/>
      <c r="D6" s="409"/>
      <c r="E6" s="414"/>
      <c r="F6" s="412"/>
      <c r="G6" s="412"/>
      <c r="H6" s="403">
        <f t="shared" si="0"/>
        <v>0</v>
      </c>
      <c r="I6" s="241"/>
    </row>
    <row r="7" spans="1:9" ht="15.95" customHeight="1" x14ac:dyDescent="0.15">
      <c r="A7" s="649"/>
      <c r="B7" s="233"/>
      <c r="C7" s="410"/>
      <c r="D7" s="410"/>
      <c r="E7" s="414"/>
      <c r="F7" s="413"/>
      <c r="G7" s="412"/>
      <c r="H7" s="403">
        <f t="shared" si="0"/>
        <v>0</v>
      </c>
      <c r="I7" s="241"/>
    </row>
    <row r="8" spans="1:9" ht="15.95" customHeight="1" x14ac:dyDescent="0.15">
      <c r="A8" s="649"/>
      <c r="B8" s="233"/>
      <c r="C8" s="410"/>
      <c r="D8" s="410"/>
      <c r="E8" s="414"/>
      <c r="F8" s="411"/>
      <c r="G8" s="412"/>
      <c r="H8" s="403">
        <f t="shared" si="0"/>
        <v>0</v>
      </c>
      <c r="I8" s="241"/>
    </row>
    <row r="9" spans="1:9" ht="15.95" customHeight="1" x14ac:dyDescent="0.15">
      <c r="A9" s="649"/>
      <c r="B9" s="233"/>
      <c r="C9" s="410"/>
      <c r="D9" s="409"/>
      <c r="E9" s="414"/>
      <c r="F9" s="412"/>
      <c r="G9" s="412"/>
      <c r="H9" s="403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403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403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403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403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403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403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403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403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403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403">
        <f t="shared" si="0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403">
        <f t="shared" si="0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403">
        <f t="shared" si="0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ref="H22:H71" si="1">IF(F22=0,G22,G22*F22)</f>
        <v>0</v>
      </c>
      <c r="I22" s="241"/>
    </row>
    <row r="23" spans="1:9" ht="15.95" customHeight="1" x14ac:dyDescent="0.15">
      <c r="A23" s="649"/>
      <c r="B23" s="233"/>
      <c r="C23" s="469" t="s">
        <v>334</v>
      </c>
      <c r="D23" s="458"/>
      <c r="E23" s="459" t="s">
        <v>311</v>
      </c>
      <c r="F23" s="460">
        <v>1</v>
      </c>
      <c r="G23" s="460">
        <v>100000</v>
      </c>
      <c r="H23" s="475">
        <f t="shared" si="1"/>
        <v>100000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700000</v>
      </c>
      <c r="I24" s="276"/>
    </row>
    <row r="25" spans="1:9" ht="15.95" customHeight="1" x14ac:dyDescent="0.15">
      <c r="A25" s="649"/>
      <c r="B25" s="233" t="s">
        <v>172</v>
      </c>
      <c r="C25" s="234"/>
      <c r="D25" s="234"/>
      <c r="E25" s="234"/>
      <c r="F25" s="237"/>
      <c r="G25" s="237"/>
      <c r="H25" s="238">
        <f t="shared" si="1"/>
        <v>0</v>
      </c>
      <c r="I25" s="239"/>
    </row>
    <row r="26" spans="1:9" ht="15.95" customHeight="1" x14ac:dyDescent="0.15">
      <c r="A26" s="649"/>
      <c r="B26" s="233" t="s">
        <v>173</v>
      </c>
      <c r="C26" s="240"/>
      <c r="D26" s="240"/>
      <c r="E26" s="240"/>
      <c r="F26" s="244"/>
      <c r="G26" s="244"/>
      <c r="H26" s="184">
        <f t="shared" si="1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1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1"/>
        <v>0</v>
      </c>
      <c r="I28" s="241"/>
    </row>
    <row r="29" spans="1:9" ht="15.95" customHeight="1" x14ac:dyDescent="0.15">
      <c r="A29" s="649"/>
      <c r="B29" s="233"/>
      <c r="C29" s="245" t="s">
        <v>213</v>
      </c>
      <c r="D29" s="245"/>
      <c r="E29" s="245"/>
      <c r="F29" s="248"/>
      <c r="G29" s="248"/>
      <c r="H29" s="184">
        <f t="shared" si="1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174</v>
      </c>
      <c r="C31" s="444"/>
      <c r="D31" s="258"/>
      <c r="E31" s="442"/>
      <c r="F31" s="261"/>
      <c r="G31" s="261"/>
      <c r="H31" s="262">
        <f t="shared" si="1"/>
        <v>0</v>
      </c>
      <c r="I31" s="263"/>
    </row>
    <row r="32" spans="1:9" ht="15.95" customHeight="1" x14ac:dyDescent="0.15">
      <c r="A32" s="649"/>
      <c r="B32" s="233" t="s">
        <v>175</v>
      </c>
      <c r="C32" s="437"/>
      <c r="D32" s="240"/>
      <c r="E32" s="438"/>
      <c r="F32" s="244"/>
      <c r="G32" s="244"/>
      <c r="H32" s="184">
        <f t="shared" si="1"/>
        <v>0</v>
      </c>
      <c r="I32" s="241"/>
    </row>
    <row r="33" spans="1:9" ht="15.95" customHeight="1" x14ac:dyDescent="0.15">
      <c r="A33" s="649"/>
      <c r="B33" s="233"/>
      <c r="C33" s="437"/>
      <c r="D33" s="240"/>
      <c r="E33" s="438"/>
      <c r="F33" s="244"/>
      <c r="G33" s="244"/>
      <c r="H33" s="184">
        <f t="shared" si="1"/>
        <v>0</v>
      </c>
      <c r="I33" s="241"/>
    </row>
    <row r="34" spans="1:9" ht="15.95" customHeight="1" x14ac:dyDescent="0.15">
      <c r="A34" s="649"/>
      <c r="B34" s="233"/>
      <c r="C34" s="437"/>
      <c r="D34" s="437"/>
      <c r="E34" s="438"/>
      <c r="F34" s="440"/>
      <c r="G34" s="440"/>
      <c r="H34" s="184">
        <f t="shared" si="1"/>
        <v>0</v>
      </c>
      <c r="I34" s="241"/>
    </row>
    <row r="35" spans="1:9" ht="15.95" customHeight="1" x14ac:dyDescent="0.15">
      <c r="A35" s="649"/>
      <c r="B35" s="233"/>
      <c r="C35" s="437"/>
      <c r="D35" s="437"/>
      <c r="E35" s="438"/>
      <c r="F35" s="440"/>
      <c r="G35" s="440"/>
      <c r="H35" s="184">
        <f t="shared" si="1"/>
        <v>0</v>
      </c>
      <c r="I35" s="241"/>
    </row>
    <row r="36" spans="1:9" ht="15.95" customHeight="1" x14ac:dyDescent="0.15">
      <c r="A36" s="649"/>
      <c r="B36" s="233"/>
      <c r="C36" s="458"/>
      <c r="D36" s="458"/>
      <c r="E36" s="459"/>
      <c r="F36" s="460"/>
      <c r="G36" s="244"/>
      <c r="H36" s="184">
        <f t="shared" si="1"/>
        <v>0</v>
      </c>
      <c r="I36" s="241"/>
    </row>
    <row r="37" spans="1:9" ht="15.95" customHeight="1" x14ac:dyDescent="0.15">
      <c r="A37" s="649"/>
      <c r="B37" s="233"/>
      <c r="C37" s="444"/>
      <c r="D37" s="444"/>
      <c r="E37" s="445"/>
      <c r="F37" s="446"/>
      <c r="G37" s="244"/>
      <c r="H37" s="184">
        <f t="shared" si="1"/>
        <v>0</v>
      </c>
      <c r="I37" s="241"/>
    </row>
    <row r="38" spans="1:9" ht="15.95" customHeight="1" x14ac:dyDescent="0.15">
      <c r="A38" s="649"/>
      <c r="B38" s="233"/>
      <c r="C38" s="437"/>
      <c r="D38" s="437"/>
      <c r="E38" s="438"/>
      <c r="F38" s="440"/>
      <c r="G38" s="244"/>
      <c r="H38" s="184">
        <f t="shared" si="1"/>
        <v>0</v>
      </c>
      <c r="I38" s="241"/>
    </row>
    <row r="39" spans="1:9" ht="15.95" customHeight="1" x14ac:dyDescent="0.15">
      <c r="A39" s="649"/>
      <c r="B39" s="233"/>
      <c r="C39" s="437"/>
      <c r="D39" s="437"/>
      <c r="E39" s="438"/>
      <c r="F39" s="440"/>
      <c r="G39" s="244"/>
      <c r="H39" s="184">
        <f t="shared" si="1"/>
        <v>0</v>
      </c>
      <c r="I39" s="241"/>
    </row>
    <row r="40" spans="1:9" ht="15.95" customHeight="1" x14ac:dyDescent="0.15">
      <c r="A40" s="649"/>
      <c r="B40" s="233"/>
      <c r="C40" s="437"/>
      <c r="D40" s="437"/>
      <c r="E40" s="438"/>
      <c r="F40" s="440"/>
      <c r="G40" s="244"/>
      <c r="H40" s="184">
        <f t="shared" si="1"/>
        <v>0</v>
      </c>
      <c r="I40" s="241"/>
    </row>
    <row r="41" spans="1:9" ht="15.95" customHeight="1" x14ac:dyDescent="0.15">
      <c r="A41" s="649"/>
      <c r="B41" s="233"/>
      <c r="C41" s="437"/>
      <c r="D41" s="437"/>
      <c r="E41" s="438"/>
      <c r="F41" s="440"/>
      <c r="G41" s="440"/>
      <c r="H41" s="403">
        <f t="shared" ref="H41" si="2">IF(F41=0,G41,G41*F41)</f>
        <v>0</v>
      </c>
      <c r="I41" s="241"/>
    </row>
    <row r="42" spans="1:9" ht="15.95" customHeight="1" x14ac:dyDescent="0.15">
      <c r="A42" s="649"/>
      <c r="B42" s="233"/>
      <c r="C42" s="437"/>
      <c r="D42" s="437"/>
      <c r="E42" s="438"/>
      <c r="F42" s="440"/>
      <c r="G42" s="244"/>
      <c r="H42" s="184">
        <f t="shared" si="1"/>
        <v>0</v>
      </c>
      <c r="I42" s="241"/>
    </row>
    <row r="43" spans="1:9" ht="15.95" customHeight="1" x14ac:dyDescent="0.15">
      <c r="A43" s="649"/>
      <c r="B43" s="233"/>
      <c r="C43" s="437"/>
      <c r="D43" s="240"/>
      <c r="E43" s="438"/>
      <c r="F43" s="244"/>
      <c r="G43" s="244"/>
      <c r="H43" s="184">
        <f t="shared" si="1"/>
        <v>0</v>
      </c>
      <c r="I43" s="241"/>
    </row>
    <row r="44" spans="1:9" ht="15.95" customHeight="1" x14ac:dyDescent="0.15">
      <c r="A44" s="649"/>
      <c r="B44" s="233"/>
      <c r="C44" s="444"/>
      <c r="D44" s="444"/>
      <c r="E44" s="445"/>
      <c r="F44" s="446"/>
      <c r="G44" s="440"/>
      <c r="H44" s="403">
        <f t="shared" ref="H44:H47" si="3">IF(F44=0,G44,G44*F44)</f>
        <v>0</v>
      </c>
      <c r="I44" s="241"/>
    </row>
    <row r="45" spans="1:9" ht="15.95" customHeight="1" x14ac:dyDescent="0.15">
      <c r="A45" s="649"/>
      <c r="B45" s="233"/>
      <c r="C45" s="437"/>
      <c r="D45" s="437"/>
      <c r="E45" s="438"/>
      <c r="F45" s="440"/>
      <c r="G45" s="440"/>
      <c r="H45" s="403">
        <f t="shared" si="3"/>
        <v>0</v>
      </c>
      <c r="I45" s="241"/>
    </row>
    <row r="46" spans="1:9" ht="15.95" customHeight="1" x14ac:dyDescent="0.15">
      <c r="A46" s="649"/>
      <c r="B46" s="233"/>
      <c r="C46" s="437"/>
      <c r="D46" s="437"/>
      <c r="E46" s="438"/>
      <c r="F46" s="440"/>
      <c r="G46" s="440"/>
      <c r="H46" s="403">
        <f t="shared" si="3"/>
        <v>0</v>
      </c>
      <c r="I46" s="241"/>
    </row>
    <row r="47" spans="1:9" ht="15.95" customHeight="1" x14ac:dyDescent="0.15">
      <c r="A47" s="649"/>
      <c r="B47" s="233"/>
      <c r="C47" s="437"/>
      <c r="D47" s="437"/>
      <c r="E47" s="438"/>
      <c r="F47" s="440"/>
      <c r="G47" s="440"/>
      <c r="H47" s="403">
        <f t="shared" si="3"/>
        <v>0</v>
      </c>
      <c r="I47" s="241"/>
    </row>
    <row r="48" spans="1:9" ht="15.95" customHeight="1" x14ac:dyDescent="0.15">
      <c r="A48" s="649"/>
      <c r="B48" s="233"/>
      <c r="C48" s="416"/>
      <c r="D48" s="416"/>
      <c r="E48" s="422"/>
      <c r="F48" s="420"/>
      <c r="G48" s="420"/>
      <c r="H48" s="403">
        <f t="shared" ref="H48:H54" si="4">IF(F48=0,0,G48*F48)</f>
        <v>0</v>
      </c>
      <c r="I48" s="241"/>
    </row>
    <row r="49" spans="1:14" ht="15.95" customHeight="1" x14ac:dyDescent="0.15">
      <c r="A49" s="649"/>
      <c r="B49" s="233"/>
      <c r="C49" s="417"/>
      <c r="D49" s="417"/>
      <c r="E49" s="418"/>
      <c r="F49" s="421"/>
      <c r="G49" s="419"/>
      <c r="H49" s="403">
        <f t="shared" si="4"/>
        <v>0</v>
      </c>
      <c r="I49" s="455"/>
    </row>
    <row r="50" spans="1:14" ht="15.95" customHeight="1" x14ac:dyDescent="0.15">
      <c r="A50" s="649"/>
      <c r="B50" s="233"/>
      <c r="C50" s="417"/>
      <c r="D50" s="417"/>
      <c r="E50" s="418"/>
      <c r="F50" s="421"/>
      <c r="G50" s="419"/>
      <c r="H50" s="403">
        <f t="shared" si="4"/>
        <v>0</v>
      </c>
      <c r="I50" s="241"/>
      <c r="N50" s="151"/>
    </row>
    <row r="51" spans="1:14" ht="15.95" customHeight="1" x14ac:dyDescent="0.15">
      <c r="A51" s="649"/>
      <c r="B51" s="233"/>
      <c r="C51" s="417"/>
      <c r="D51" s="417"/>
      <c r="E51" s="418"/>
      <c r="F51" s="421"/>
      <c r="G51" s="419"/>
      <c r="H51" s="403">
        <f t="shared" si="4"/>
        <v>0</v>
      </c>
      <c r="I51" s="455"/>
    </row>
    <row r="52" spans="1:14" ht="15.95" customHeight="1" x14ac:dyDescent="0.15">
      <c r="A52" s="649"/>
      <c r="B52" s="233"/>
      <c r="C52" s="417"/>
      <c r="D52" s="417"/>
      <c r="E52" s="418"/>
      <c r="F52" s="421"/>
      <c r="G52" s="419"/>
      <c r="H52" s="403">
        <f t="shared" si="4"/>
        <v>0</v>
      </c>
      <c r="I52" s="241"/>
    </row>
    <row r="53" spans="1:14" ht="15.95" customHeight="1" x14ac:dyDescent="0.15">
      <c r="A53" s="649"/>
      <c r="B53" s="233"/>
      <c r="C53" s="417"/>
      <c r="D53" s="417"/>
      <c r="E53" s="418"/>
      <c r="F53" s="421"/>
      <c r="G53" s="419"/>
      <c r="H53" s="403">
        <f t="shared" si="4"/>
        <v>0</v>
      </c>
      <c r="I53" s="241"/>
    </row>
    <row r="54" spans="1:14" ht="15.95" customHeight="1" x14ac:dyDescent="0.15">
      <c r="A54" s="649"/>
      <c r="B54" s="233"/>
      <c r="C54" s="416"/>
      <c r="D54" s="416"/>
      <c r="E54" s="422"/>
      <c r="F54" s="420"/>
      <c r="G54" s="420"/>
      <c r="H54" s="403">
        <f t="shared" si="4"/>
        <v>0</v>
      </c>
      <c r="I54" s="241"/>
    </row>
    <row r="55" spans="1:14" ht="15.95" customHeight="1" x14ac:dyDescent="0.15">
      <c r="A55" s="649"/>
      <c r="B55" s="233"/>
      <c r="C55" s="437"/>
      <c r="D55" s="437"/>
      <c r="E55" s="438"/>
      <c r="F55" s="440"/>
      <c r="G55" s="440"/>
      <c r="H55" s="403">
        <f t="shared" ref="H55:H58" si="5">IF(F55=0,G55,G55*F55)</f>
        <v>0</v>
      </c>
      <c r="I55" s="241"/>
    </row>
    <row r="56" spans="1:14" ht="15.95" customHeight="1" x14ac:dyDescent="0.15">
      <c r="A56" s="649"/>
      <c r="B56" s="233"/>
      <c r="C56" s="416"/>
      <c r="D56" s="437"/>
      <c r="E56" s="438"/>
      <c r="F56" s="440"/>
      <c r="G56" s="440"/>
      <c r="H56" s="403">
        <f t="shared" si="5"/>
        <v>0</v>
      </c>
      <c r="I56" s="241"/>
    </row>
    <row r="57" spans="1:14" ht="15.95" customHeight="1" x14ac:dyDescent="0.15">
      <c r="A57" s="649"/>
      <c r="B57" s="233"/>
      <c r="C57" s="437"/>
      <c r="D57" s="437"/>
      <c r="E57" s="438"/>
      <c r="F57" s="440"/>
      <c r="G57" s="440"/>
      <c r="H57" s="403">
        <f t="shared" si="5"/>
        <v>0</v>
      </c>
      <c r="I57" s="241"/>
    </row>
    <row r="58" spans="1:14" ht="15.95" customHeight="1" x14ac:dyDescent="0.15">
      <c r="A58" s="649"/>
      <c r="B58" s="233"/>
      <c r="C58" s="437"/>
      <c r="D58" s="437"/>
      <c r="E58" s="438"/>
      <c r="F58" s="440"/>
      <c r="G58" s="440"/>
      <c r="H58" s="403">
        <f t="shared" si="5"/>
        <v>0</v>
      </c>
      <c r="I58" s="241"/>
    </row>
    <row r="59" spans="1:14" ht="15.95" customHeight="1" x14ac:dyDescent="0.15">
      <c r="A59" s="649"/>
      <c r="B59" s="233"/>
      <c r="C59" s="437"/>
      <c r="D59" s="437"/>
      <c r="E59" s="438"/>
      <c r="F59" s="440"/>
      <c r="G59" s="440"/>
      <c r="H59" s="403">
        <f t="shared" ref="H59:H60" si="6">IF(F59=0,G59,G59*F59)</f>
        <v>0</v>
      </c>
      <c r="I59" s="241"/>
    </row>
    <row r="60" spans="1:14" ht="15.95" customHeight="1" x14ac:dyDescent="0.15">
      <c r="A60" s="649"/>
      <c r="B60" s="233"/>
      <c r="C60" s="437"/>
      <c r="D60" s="437"/>
      <c r="E60" s="438"/>
      <c r="F60" s="440"/>
      <c r="G60" s="440"/>
      <c r="H60" s="403">
        <f t="shared" si="6"/>
        <v>0</v>
      </c>
      <c r="I60" s="241"/>
    </row>
    <row r="61" spans="1:14" ht="15.95" customHeight="1" x14ac:dyDescent="0.15">
      <c r="A61" s="649"/>
      <c r="B61" s="233"/>
      <c r="C61" s="240"/>
      <c r="D61" s="240"/>
      <c r="E61" s="438"/>
      <c r="F61" s="244"/>
      <c r="G61" s="244"/>
      <c r="H61" s="184">
        <f t="shared" si="1"/>
        <v>0</v>
      </c>
      <c r="I61" s="241"/>
    </row>
    <row r="62" spans="1:14" ht="15.95" customHeight="1" x14ac:dyDescent="0.15">
      <c r="A62" s="649"/>
      <c r="B62" s="233"/>
      <c r="C62" s="240"/>
      <c r="D62" s="240"/>
      <c r="E62" s="438"/>
      <c r="F62" s="244"/>
      <c r="G62" s="244"/>
      <c r="H62" s="184">
        <f t="shared" si="1"/>
        <v>0</v>
      </c>
      <c r="I62" s="241"/>
    </row>
    <row r="63" spans="1:14" ht="15.95" customHeight="1" x14ac:dyDescent="0.15">
      <c r="A63" s="649"/>
      <c r="B63" s="233"/>
      <c r="C63" s="360"/>
      <c r="D63" s="360"/>
      <c r="E63" s="387"/>
      <c r="F63" s="361"/>
      <c r="G63" s="361"/>
      <c r="H63" s="359">
        <f t="shared" si="1"/>
        <v>0</v>
      </c>
      <c r="I63" s="249"/>
    </row>
    <row r="64" spans="1:14" ht="15.95" customHeight="1" x14ac:dyDescent="0.15">
      <c r="A64" s="649"/>
      <c r="B64" s="250"/>
      <c r="C64" s="251"/>
      <c r="D64" s="252"/>
      <c r="E64" s="252"/>
      <c r="F64" s="254"/>
      <c r="G64" s="254"/>
      <c r="H64" s="255">
        <f>SUM(H31:H63)</f>
        <v>0</v>
      </c>
      <c r="I64" s="256"/>
    </row>
    <row r="65" spans="1:9" ht="15.95" customHeight="1" x14ac:dyDescent="0.15">
      <c r="A65" s="649"/>
      <c r="B65" s="277" t="s">
        <v>214</v>
      </c>
      <c r="C65" s="258"/>
      <c r="D65" s="258"/>
      <c r="E65" s="258"/>
      <c r="F65" s="261"/>
      <c r="G65" s="261"/>
      <c r="H65" s="262">
        <f t="shared" si="1"/>
        <v>0</v>
      </c>
      <c r="I65" s="263"/>
    </row>
    <row r="66" spans="1:9" ht="15.95" customHeight="1" x14ac:dyDescent="0.15">
      <c r="A66" s="649"/>
      <c r="B66" s="233"/>
      <c r="C66" s="240"/>
      <c r="D66" s="240"/>
      <c r="E66" s="240"/>
      <c r="F66" s="244"/>
      <c r="G66" s="244"/>
      <c r="H66" s="184">
        <f t="shared" si="1"/>
        <v>0</v>
      </c>
      <c r="I66" s="241"/>
    </row>
    <row r="67" spans="1:9" ht="15.95" customHeight="1" x14ac:dyDescent="0.15">
      <c r="A67" s="649"/>
      <c r="B67" s="233"/>
      <c r="C67" s="240"/>
      <c r="D67" s="240"/>
      <c r="E67" s="240"/>
      <c r="F67" s="244"/>
      <c r="G67" s="244"/>
      <c r="H67" s="184">
        <f t="shared" si="1"/>
        <v>0</v>
      </c>
      <c r="I67" s="241"/>
    </row>
    <row r="68" spans="1:9" ht="15.95" customHeight="1" x14ac:dyDescent="0.15">
      <c r="A68" s="649"/>
      <c r="B68" s="233"/>
      <c r="C68" s="240"/>
      <c r="D68" s="240"/>
      <c r="E68" s="240"/>
      <c r="F68" s="244"/>
      <c r="G68" s="244"/>
      <c r="H68" s="184">
        <f t="shared" si="1"/>
        <v>0</v>
      </c>
      <c r="I68" s="241"/>
    </row>
    <row r="69" spans="1:9" ht="15.95" customHeight="1" x14ac:dyDescent="0.15">
      <c r="A69" s="649"/>
      <c r="B69" s="233"/>
      <c r="C69" s="240"/>
      <c r="D69" s="240"/>
      <c r="E69" s="240"/>
      <c r="F69" s="244"/>
      <c r="G69" s="244"/>
      <c r="H69" s="184">
        <f t="shared" si="1"/>
        <v>0</v>
      </c>
      <c r="I69" s="241"/>
    </row>
    <row r="70" spans="1:9" ht="15.95" customHeight="1" x14ac:dyDescent="0.15">
      <c r="A70" s="649"/>
      <c r="B70" s="233"/>
      <c r="C70" s="240"/>
      <c r="D70" s="240"/>
      <c r="E70" s="240"/>
      <c r="F70" s="244"/>
      <c r="G70" s="244"/>
      <c r="H70" s="184">
        <f t="shared" si="1"/>
        <v>0</v>
      </c>
      <c r="I70" s="241"/>
    </row>
    <row r="71" spans="1:9" ht="15.95" customHeight="1" x14ac:dyDescent="0.15">
      <c r="A71" s="649"/>
      <c r="B71" s="233"/>
      <c r="C71" s="245" t="s">
        <v>215</v>
      </c>
      <c r="D71" s="245"/>
      <c r="E71" s="245"/>
      <c r="F71" s="248"/>
      <c r="G71" s="248"/>
      <c r="H71" s="278">
        <f t="shared" si="1"/>
        <v>0</v>
      </c>
      <c r="I71" s="249"/>
    </row>
    <row r="72" spans="1:9" ht="15.95" customHeight="1" x14ac:dyDescent="0.15">
      <c r="A72" s="649"/>
      <c r="B72" s="250"/>
      <c r="C72" s="251"/>
      <c r="D72" s="252"/>
      <c r="E72" s="252"/>
      <c r="F72" s="254"/>
      <c r="G72" s="254"/>
      <c r="H72" s="255">
        <f>SUM(H65:H71)</f>
        <v>0</v>
      </c>
      <c r="I72" s="256"/>
    </row>
    <row r="73" spans="1:9" ht="15.95" customHeight="1" x14ac:dyDescent="0.15">
      <c r="A73" s="279"/>
      <c r="B73" s="280" t="s">
        <v>216</v>
      </c>
      <c r="C73" s="281"/>
      <c r="D73" s="256"/>
      <c r="E73" s="256"/>
      <c r="F73" s="283"/>
      <c r="G73" s="283"/>
      <c r="H73" s="255">
        <f>SUM(H72,H64,H30,H24)</f>
        <v>700000</v>
      </c>
      <c r="I73" s="256"/>
    </row>
    <row r="74" spans="1:9" ht="15.95" customHeight="1" x14ac:dyDescent="0.15">
      <c r="A74" s="650" t="s">
        <v>217</v>
      </c>
      <c r="B74" s="284" t="s">
        <v>218</v>
      </c>
      <c r="C74" s="281"/>
      <c r="D74" s="285"/>
      <c r="E74" s="311" t="s">
        <v>219</v>
      </c>
      <c r="F74" s="340">
        <v>0</v>
      </c>
      <c r="G74" s="364">
        <v>300000</v>
      </c>
      <c r="H74" s="288">
        <f>F74*G74</f>
        <v>0</v>
      </c>
      <c r="I74" s="256"/>
    </row>
    <row r="75" spans="1:9" ht="15.95" customHeight="1" x14ac:dyDescent="0.15">
      <c r="A75" s="649"/>
      <c r="B75" s="289" t="s">
        <v>176</v>
      </c>
      <c r="C75" s="290"/>
      <c r="D75" s="291"/>
      <c r="E75" s="312" t="s">
        <v>148</v>
      </c>
      <c r="F75" s="341">
        <v>2</v>
      </c>
      <c r="G75" s="365">
        <v>300000</v>
      </c>
      <c r="H75" s="262">
        <f t="shared" ref="H75:H81" si="7">F75*G75</f>
        <v>600000</v>
      </c>
      <c r="I75" s="263"/>
    </row>
    <row r="76" spans="1:9" ht="15.95" customHeight="1" x14ac:dyDescent="0.15">
      <c r="A76" s="649"/>
      <c r="B76" s="315" t="s">
        <v>177</v>
      </c>
      <c r="C76" s="294"/>
      <c r="D76" s="295"/>
      <c r="E76" s="313" t="s">
        <v>148</v>
      </c>
      <c r="F76" s="480">
        <v>1</v>
      </c>
      <c r="G76" s="363">
        <v>250000</v>
      </c>
      <c r="H76" s="184">
        <f t="shared" si="7"/>
        <v>250000</v>
      </c>
      <c r="I76" s="241"/>
    </row>
    <row r="77" spans="1:9" ht="15.95" customHeight="1" x14ac:dyDescent="0.15">
      <c r="A77" s="649"/>
      <c r="B77" s="293" t="s">
        <v>178</v>
      </c>
      <c r="C77" s="294"/>
      <c r="D77" s="295"/>
      <c r="E77" s="313" t="s">
        <v>148</v>
      </c>
      <c r="F77" s="480">
        <v>1</v>
      </c>
      <c r="G77" s="363">
        <v>250000</v>
      </c>
      <c r="H77" s="184">
        <f t="shared" si="7"/>
        <v>250000</v>
      </c>
      <c r="I77" s="241"/>
    </row>
    <row r="78" spans="1:9" ht="15.95" customHeight="1" x14ac:dyDescent="0.15">
      <c r="A78" s="649"/>
      <c r="B78" s="293" t="s">
        <v>179</v>
      </c>
      <c r="C78" s="294"/>
      <c r="D78" s="295"/>
      <c r="E78" s="313" t="s">
        <v>148</v>
      </c>
      <c r="F78" s="480">
        <v>1</v>
      </c>
      <c r="G78" s="362">
        <v>300000</v>
      </c>
      <c r="H78" s="184">
        <f t="shared" si="7"/>
        <v>300000</v>
      </c>
      <c r="I78" s="241"/>
    </row>
    <row r="79" spans="1:9" ht="15.95" customHeight="1" x14ac:dyDescent="0.15">
      <c r="A79" s="649"/>
      <c r="B79" s="293" t="s">
        <v>180</v>
      </c>
      <c r="C79" s="294"/>
      <c r="D79" s="295"/>
      <c r="E79" s="313" t="s">
        <v>148</v>
      </c>
      <c r="F79" s="480">
        <v>1</v>
      </c>
      <c r="G79" s="362">
        <v>300000</v>
      </c>
      <c r="H79" s="184">
        <f t="shared" si="7"/>
        <v>300000</v>
      </c>
      <c r="I79" s="241"/>
    </row>
    <row r="80" spans="1:9" ht="15.95" customHeight="1" x14ac:dyDescent="0.15">
      <c r="A80" s="649"/>
      <c r="B80" s="293" t="s">
        <v>181</v>
      </c>
      <c r="C80" s="294"/>
      <c r="D80" s="295"/>
      <c r="E80" s="313" t="s">
        <v>148</v>
      </c>
      <c r="F80" s="480">
        <v>1</v>
      </c>
      <c r="G80" s="362">
        <v>300000</v>
      </c>
      <c r="H80" s="184">
        <f t="shared" si="7"/>
        <v>300000</v>
      </c>
      <c r="I80" s="241"/>
    </row>
    <row r="81" spans="1:9" ht="15.95" customHeight="1" x14ac:dyDescent="0.15">
      <c r="A81" s="649"/>
      <c r="B81" s="297" t="s">
        <v>182</v>
      </c>
      <c r="C81" s="298"/>
      <c r="D81" s="299"/>
      <c r="E81" s="314" t="s">
        <v>148</v>
      </c>
      <c r="F81" s="481">
        <v>1</v>
      </c>
      <c r="G81" s="366">
        <v>250000</v>
      </c>
      <c r="H81" s="278">
        <f t="shared" si="7"/>
        <v>250000</v>
      </c>
      <c r="I81" s="249"/>
    </row>
    <row r="82" spans="1:9" ht="15.95" customHeight="1" x14ac:dyDescent="0.15">
      <c r="A82" s="279"/>
      <c r="B82" s="301" t="s">
        <v>154</v>
      </c>
      <c r="C82" s="281"/>
      <c r="D82" s="256"/>
      <c r="E82" s="256"/>
      <c r="F82" s="254"/>
      <c r="G82" s="254"/>
      <c r="H82" s="254">
        <f>SUM(H74:H81)</f>
        <v>2250000</v>
      </c>
      <c r="I82" s="252"/>
    </row>
    <row r="83" spans="1:9" ht="15.95" customHeight="1" x14ac:dyDescent="0.15">
      <c r="A83" s="302"/>
      <c r="B83" s="301" t="s">
        <v>183</v>
      </c>
      <c r="C83" s="281"/>
      <c r="D83" s="256"/>
      <c r="E83" s="256"/>
      <c r="F83" s="255"/>
      <c r="G83" s="255"/>
      <c r="H83" s="283">
        <f>'단위공사별(집계)'!L12+'단위공사별(집계)'!I12</f>
        <v>19145.013833754361</v>
      </c>
      <c r="I83" s="256"/>
    </row>
    <row r="84" spans="1:9" ht="15.95" customHeight="1" x14ac:dyDescent="0.15">
      <c r="A84" s="302"/>
      <c r="B84" s="301" t="s">
        <v>157</v>
      </c>
      <c r="C84" s="281"/>
      <c r="D84" s="256"/>
      <c r="E84" s="256"/>
      <c r="F84" s="255"/>
      <c r="G84" s="304"/>
      <c r="H84" s="364">
        <f>(H82+H73)*0</f>
        <v>0</v>
      </c>
      <c r="I84" s="281"/>
    </row>
    <row r="85" spans="1:9" ht="15.95" customHeight="1" x14ac:dyDescent="0.15">
      <c r="A85" s="302"/>
      <c r="B85" s="301" t="s">
        <v>158</v>
      </c>
      <c r="C85" s="281"/>
      <c r="D85" s="256"/>
      <c r="E85" s="256"/>
      <c r="F85" s="255"/>
      <c r="G85" s="304"/>
      <c r="H85" s="364">
        <f>(H82+H73)*0</f>
        <v>0</v>
      </c>
      <c r="I85" s="281"/>
    </row>
    <row r="86" spans="1:9" ht="15.95" customHeight="1" x14ac:dyDescent="0.15">
      <c r="A86" s="302"/>
      <c r="B86" s="301" t="s">
        <v>159</v>
      </c>
      <c r="C86" s="281"/>
      <c r="D86" s="256"/>
      <c r="E86" s="256"/>
      <c r="F86" s="255"/>
      <c r="G86" s="255"/>
      <c r="H86" s="254">
        <f>H73+H82+H83+H84+H85</f>
        <v>2969145.0138337542</v>
      </c>
      <c r="I86" s="256"/>
    </row>
    <row r="87" spans="1:9" x14ac:dyDescent="0.15">
      <c r="A87" s="151"/>
    </row>
  </sheetData>
  <mergeCells count="3">
    <mergeCell ref="A2:B2"/>
    <mergeCell ref="A3:A72"/>
    <mergeCell ref="A74:A8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64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67"/>
  <sheetViews>
    <sheetView zoomScaleNormal="100" workbookViewId="0">
      <pane xSplit="2" ySplit="2" topLeftCell="C39" activePane="bottomRight" state="frozen"/>
      <selection activeCell="M60" sqref="M60"/>
      <selection pane="topRight" activeCell="M60" sqref="M60"/>
      <selection pane="bottomLeft" activeCell="M60" sqref="M60"/>
      <selection pane="bottomRight" activeCell="H70" sqref="H70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404" t="s">
        <v>345</v>
      </c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527" t="s">
        <v>234</v>
      </c>
      <c r="B2" s="642"/>
      <c r="C2" s="142" t="s">
        <v>235</v>
      </c>
      <c r="D2" s="135" t="s">
        <v>236</v>
      </c>
      <c r="E2" s="135" t="s">
        <v>237</v>
      </c>
      <c r="F2" s="282" t="s">
        <v>238</v>
      </c>
      <c r="G2" s="282" t="s">
        <v>239</v>
      </c>
      <c r="H2" s="282" t="s">
        <v>240</v>
      </c>
      <c r="I2" s="135" t="s">
        <v>241</v>
      </c>
    </row>
    <row r="3" spans="1:9" ht="15.95" customHeight="1" x14ac:dyDescent="0.15">
      <c r="A3" s="643" t="s">
        <v>242</v>
      </c>
      <c r="B3" s="233" t="s">
        <v>243</v>
      </c>
      <c r="C3" s="410"/>
      <c r="D3" s="405"/>
      <c r="E3" s="406"/>
      <c r="F3" s="407"/>
      <c r="G3" s="407"/>
      <c r="H3" s="359">
        <f t="shared" ref="H3:H51" si="0">IF(F3=0,G3,G3*F3)</f>
        <v>0</v>
      </c>
      <c r="I3" s="263"/>
    </row>
    <row r="4" spans="1:9" ht="15.95" customHeight="1" x14ac:dyDescent="0.15">
      <c r="A4" s="649"/>
      <c r="B4" s="233"/>
      <c r="C4" s="409"/>
      <c r="D4" s="405"/>
      <c r="E4" s="414"/>
      <c r="F4" s="407"/>
      <c r="G4" s="412"/>
      <c r="H4" s="184">
        <f>IF(F4=0,G4,G4*F4)</f>
        <v>0</v>
      </c>
      <c r="I4" s="241"/>
    </row>
    <row r="5" spans="1:9" ht="15.95" customHeight="1" x14ac:dyDescent="0.15">
      <c r="A5" s="649"/>
      <c r="B5" s="233"/>
      <c r="C5" s="410"/>
      <c r="D5" s="410"/>
      <c r="E5" s="414"/>
      <c r="F5" s="413"/>
      <c r="G5" s="412"/>
      <c r="H5" s="184">
        <f t="shared" si="0"/>
        <v>0</v>
      </c>
      <c r="I5" s="241"/>
    </row>
    <row r="6" spans="1:9" ht="15.95" customHeight="1" x14ac:dyDescent="0.15">
      <c r="A6" s="649"/>
      <c r="B6" s="233"/>
      <c r="C6" s="410"/>
      <c r="D6" s="410"/>
      <c r="E6" s="414"/>
      <c r="F6" s="411"/>
      <c r="G6" s="412"/>
      <c r="H6" s="184">
        <f t="shared" si="0"/>
        <v>0</v>
      </c>
      <c r="I6" s="241"/>
    </row>
    <row r="7" spans="1:9" ht="15.95" customHeight="1" x14ac:dyDescent="0.15">
      <c r="A7" s="649"/>
      <c r="B7" s="233"/>
      <c r="C7" s="240"/>
      <c r="D7" s="240"/>
      <c r="E7" s="240"/>
      <c r="F7" s="244"/>
      <c r="G7" s="244"/>
      <c r="H7" s="184">
        <f t="shared" si="0"/>
        <v>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si="0"/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0"/>
        <v>0</v>
      </c>
      <c r="I19" s="241"/>
    </row>
    <row r="20" spans="1:9" ht="15.95" customHeight="1" x14ac:dyDescent="0.15">
      <c r="A20" s="649"/>
      <c r="B20" s="233"/>
      <c r="C20" s="245"/>
      <c r="D20" s="265"/>
      <c r="E20" s="265"/>
      <c r="F20" s="267"/>
      <c r="G20" s="267"/>
      <c r="H20" s="268">
        <f t="shared" si="0"/>
        <v>0</v>
      </c>
      <c r="I20" s="269"/>
    </row>
    <row r="21" spans="1:9" ht="15.95" customHeight="1" x14ac:dyDescent="0.15">
      <c r="A21" s="649"/>
      <c r="B21" s="250"/>
      <c r="C21" s="276"/>
      <c r="D21" s="276"/>
      <c r="E21" s="276"/>
      <c r="F21" s="274"/>
      <c r="G21" s="274"/>
      <c r="H21" s="275">
        <f>SUM(H3:H20)</f>
        <v>0</v>
      </c>
      <c r="I21" s="276"/>
    </row>
    <row r="22" spans="1:9" ht="15.95" customHeight="1" x14ac:dyDescent="0.15">
      <c r="A22" s="649"/>
      <c r="B22" s="233" t="s">
        <v>172</v>
      </c>
      <c r="C22" s="234"/>
      <c r="D22" s="234"/>
      <c r="E22" s="234"/>
      <c r="F22" s="237"/>
      <c r="G22" s="237"/>
      <c r="H22" s="238">
        <f t="shared" si="0"/>
        <v>0</v>
      </c>
      <c r="I22" s="239"/>
    </row>
    <row r="23" spans="1:9" ht="15.95" customHeight="1" x14ac:dyDescent="0.15">
      <c r="A23" s="649"/>
      <c r="B23" s="233" t="s">
        <v>173</v>
      </c>
      <c r="C23" s="240"/>
      <c r="D23" s="240"/>
      <c r="E23" s="240"/>
      <c r="F23" s="244"/>
      <c r="G23" s="244"/>
      <c r="H23" s="184">
        <f t="shared" si="0"/>
        <v>0</v>
      </c>
      <c r="I23" s="241"/>
    </row>
    <row r="24" spans="1:9" ht="15.95" customHeight="1" x14ac:dyDescent="0.15">
      <c r="A24" s="649"/>
      <c r="B24" s="233"/>
      <c r="C24" s="240"/>
      <c r="D24" s="240"/>
      <c r="E24" s="240"/>
      <c r="F24" s="244"/>
      <c r="G24" s="244"/>
      <c r="H24" s="184">
        <f t="shared" si="0"/>
        <v>0</v>
      </c>
      <c r="I24" s="241"/>
    </row>
    <row r="25" spans="1:9" ht="15.95" customHeight="1" x14ac:dyDescent="0.15">
      <c r="A25" s="649"/>
      <c r="B25" s="233"/>
      <c r="C25" s="240"/>
      <c r="D25" s="240"/>
      <c r="E25" s="240"/>
      <c r="F25" s="244"/>
      <c r="G25" s="244"/>
      <c r="H25" s="184">
        <f t="shared" si="0"/>
        <v>0</v>
      </c>
      <c r="I25" s="241"/>
    </row>
    <row r="26" spans="1:9" ht="15.95" customHeight="1" x14ac:dyDescent="0.15">
      <c r="A26" s="649"/>
      <c r="B26" s="233"/>
      <c r="C26" s="245" t="s">
        <v>213</v>
      </c>
      <c r="D26" s="245"/>
      <c r="E26" s="245"/>
      <c r="F26" s="248"/>
      <c r="G26" s="248"/>
      <c r="H26" s="184">
        <f t="shared" si="0"/>
        <v>0</v>
      </c>
      <c r="I26" s="249"/>
    </row>
    <row r="27" spans="1:9" ht="15.95" customHeight="1" x14ac:dyDescent="0.15">
      <c r="A27" s="649"/>
      <c r="B27" s="250"/>
      <c r="C27" s="251"/>
      <c r="D27" s="252"/>
      <c r="E27" s="252"/>
      <c r="F27" s="310"/>
      <c r="G27" s="254"/>
      <c r="H27" s="255">
        <f>SUM(H22:H26)</f>
        <v>0</v>
      </c>
      <c r="I27" s="256"/>
    </row>
    <row r="28" spans="1:9" ht="15.95" customHeight="1" x14ac:dyDescent="0.15">
      <c r="A28" s="649"/>
      <c r="B28" s="277" t="s">
        <v>174</v>
      </c>
      <c r="C28" s="441" t="s">
        <v>346</v>
      </c>
      <c r="D28" s="441"/>
      <c r="E28" s="442" t="s">
        <v>311</v>
      </c>
      <c r="F28" s="443">
        <v>2</v>
      </c>
      <c r="G28" s="443">
        <v>7000000</v>
      </c>
      <c r="H28" s="262">
        <f t="shared" ref="H28" si="1">IF(F28=0,G28,G28*F28)</f>
        <v>14000000</v>
      </c>
      <c r="I28" s="263"/>
    </row>
    <row r="29" spans="1:9" ht="15.95" customHeight="1" x14ac:dyDescent="0.15">
      <c r="A29" s="649"/>
      <c r="B29" s="233" t="s">
        <v>175</v>
      </c>
      <c r="C29" s="240"/>
      <c r="D29" s="240"/>
      <c r="E29" s="240"/>
      <c r="F29" s="244"/>
      <c r="G29" s="244"/>
      <c r="H29" s="184">
        <f t="shared" si="0"/>
        <v>0</v>
      </c>
      <c r="I29" s="241"/>
    </row>
    <row r="30" spans="1:9" ht="15.95" customHeight="1" x14ac:dyDescent="0.15">
      <c r="A30" s="649"/>
      <c r="B30" s="233"/>
      <c r="C30" s="416"/>
      <c r="D30" s="437"/>
      <c r="E30" s="438"/>
      <c r="F30" s="440"/>
      <c r="G30" s="440"/>
      <c r="H30" s="184">
        <f t="shared" si="0"/>
        <v>0</v>
      </c>
      <c r="I30" s="241"/>
    </row>
    <row r="31" spans="1:9" ht="15.95" customHeight="1" x14ac:dyDescent="0.15">
      <c r="A31" s="649"/>
      <c r="B31" s="233"/>
      <c r="C31" s="437"/>
      <c r="D31" s="437"/>
      <c r="E31" s="438"/>
      <c r="F31" s="440"/>
      <c r="G31" s="440"/>
      <c r="H31" s="184">
        <f t="shared" si="0"/>
        <v>0</v>
      </c>
      <c r="I31" s="241"/>
    </row>
    <row r="32" spans="1:9" ht="15.95" customHeight="1" x14ac:dyDescent="0.15">
      <c r="A32" s="649"/>
      <c r="B32" s="233"/>
      <c r="C32" s="437"/>
      <c r="D32" s="437"/>
      <c r="E32" s="438"/>
      <c r="F32" s="440"/>
      <c r="G32" s="440"/>
      <c r="H32" s="184">
        <f t="shared" si="0"/>
        <v>0</v>
      </c>
      <c r="I32" s="241"/>
    </row>
    <row r="33" spans="1:9" ht="15.95" customHeight="1" x14ac:dyDescent="0.15">
      <c r="A33" s="649"/>
      <c r="B33" s="233"/>
      <c r="C33" s="240"/>
      <c r="D33" s="240"/>
      <c r="E33" s="240"/>
      <c r="F33" s="244"/>
      <c r="G33" s="244"/>
      <c r="H33" s="184">
        <f t="shared" si="0"/>
        <v>0</v>
      </c>
      <c r="I33" s="241"/>
    </row>
    <row r="34" spans="1:9" ht="15.95" customHeight="1" x14ac:dyDescent="0.15">
      <c r="A34" s="649"/>
      <c r="B34" s="233"/>
      <c r="C34" s="416"/>
      <c r="D34" s="416"/>
      <c r="E34" s="422"/>
      <c r="F34" s="420"/>
      <c r="G34" s="420"/>
      <c r="H34" s="184">
        <f t="shared" si="0"/>
        <v>0</v>
      </c>
      <c r="I34" s="241"/>
    </row>
    <row r="35" spans="1:9" ht="15.95" customHeight="1" x14ac:dyDescent="0.15">
      <c r="A35" s="649"/>
      <c r="B35" s="233"/>
      <c r="C35" s="417"/>
      <c r="D35" s="417"/>
      <c r="E35" s="418"/>
      <c r="F35" s="421"/>
      <c r="G35" s="419"/>
      <c r="H35" s="184">
        <f t="shared" si="0"/>
        <v>0</v>
      </c>
      <c r="I35" s="241"/>
    </row>
    <row r="36" spans="1:9" ht="15.95" customHeight="1" x14ac:dyDescent="0.15">
      <c r="A36" s="649"/>
      <c r="B36" s="233"/>
      <c r="C36" s="417"/>
      <c r="D36" s="417"/>
      <c r="E36" s="418"/>
      <c r="F36" s="421"/>
      <c r="G36" s="419"/>
      <c r="H36" s="184">
        <f t="shared" si="0"/>
        <v>0</v>
      </c>
      <c r="I36" s="241"/>
    </row>
    <row r="37" spans="1:9" ht="15.95" customHeight="1" x14ac:dyDescent="0.15">
      <c r="A37" s="649"/>
      <c r="B37" s="233"/>
      <c r="C37" s="417"/>
      <c r="D37" s="417"/>
      <c r="E37" s="418"/>
      <c r="F37" s="421"/>
      <c r="G37" s="419"/>
      <c r="H37" s="184">
        <f t="shared" si="0"/>
        <v>0</v>
      </c>
      <c r="I37" s="241"/>
    </row>
    <row r="38" spans="1:9" ht="15.95" customHeight="1" x14ac:dyDescent="0.15">
      <c r="A38" s="649"/>
      <c r="B38" s="233"/>
      <c r="C38" s="417"/>
      <c r="D38" s="417"/>
      <c r="E38" s="418"/>
      <c r="F38" s="421"/>
      <c r="G38" s="419"/>
      <c r="H38" s="184">
        <f t="shared" si="0"/>
        <v>0</v>
      </c>
      <c r="I38" s="241"/>
    </row>
    <row r="39" spans="1:9" ht="15.95" customHeight="1" x14ac:dyDescent="0.15">
      <c r="A39" s="649"/>
      <c r="B39" s="233"/>
      <c r="C39" s="417"/>
      <c r="D39" s="417"/>
      <c r="E39" s="418"/>
      <c r="F39" s="421"/>
      <c r="G39" s="419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416"/>
      <c r="D40" s="416"/>
      <c r="E40" s="422"/>
      <c r="F40" s="420"/>
      <c r="G40" s="420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367"/>
      <c r="D43" s="367"/>
      <c r="E43" s="368"/>
      <c r="F43" s="369"/>
      <c r="G43" s="369"/>
      <c r="H43" s="359">
        <f t="shared" si="0"/>
        <v>0</v>
      </c>
      <c r="I43" s="249"/>
    </row>
    <row r="44" spans="1:9" ht="15.95" customHeight="1" x14ac:dyDescent="0.15">
      <c r="A44" s="649"/>
      <c r="B44" s="250"/>
      <c r="C44" s="251"/>
      <c r="D44" s="252"/>
      <c r="E44" s="252"/>
      <c r="F44" s="254"/>
      <c r="G44" s="254"/>
      <c r="H44" s="255">
        <f>SUM(H28:H43)</f>
        <v>14000000</v>
      </c>
      <c r="I44" s="256"/>
    </row>
    <row r="45" spans="1:9" ht="15.95" customHeight="1" x14ac:dyDescent="0.15">
      <c r="A45" s="649"/>
      <c r="B45" s="277" t="s">
        <v>244</v>
      </c>
      <c r="C45" s="258"/>
      <c r="D45" s="258"/>
      <c r="E45" s="258"/>
      <c r="F45" s="261"/>
      <c r="G45" s="261"/>
      <c r="H45" s="262">
        <f t="shared" si="0"/>
        <v>0</v>
      </c>
      <c r="I45" s="263"/>
    </row>
    <row r="46" spans="1:9" ht="15.95" customHeight="1" x14ac:dyDescent="0.15">
      <c r="A46" s="649"/>
      <c r="B46" s="233"/>
      <c r="C46" s="240"/>
      <c r="D46" s="240"/>
      <c r="E46" s="240"/>
      <c r="F46" s="244"/>
      <c r="G46" s="244"/>
      <c r="H46" s="184">
        <f t="shared" si="0"/>
        <v>0</v>
      </c>
      <c r="I46" s="241"/>
    </row>
    <row r="47" spans="1:9" ht="15.95" customHeight="1" x14ac:dyDescent="0.15">
      <c r="A47" s="649"/>
      <c r="B47" s="233"/>
      <c r="C47" s="240"/>
      <c r="D47" s="240"/>
      <c r="E47" s="240"/>
      <c r="F47" s="244"/>
      <c r="G47" s="244"/>
      <c r="H47" s="184">
        <f t="shared" si="0"/>
        <v>0</v>
      </c>
      <c r="I47" s="241"/>
    </row>
    <row r="48" spans="1:9" ht="15.95" customHeight="1" x14ac:dyDescent="0.15">
      <c r="A48" s="649"/>
      <c r="B48" s="233"/>
      <c r="C48" s="240"/>
      <c r="D48" s="240"/>
      <c r="E48" s="240"/>
      <c r="F48" s="244"/>
      <c r="G48" s="244"/>
      <c r="H48" s="184">
        <f t="shared" si="0"/>
        <v>0</v>
      </c>
      <c r="I48" s="241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0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0"/>
        <v>0</v>
      </c>
      <c r="I50" s="241"/>
    </row>
    <row r="51" spans="1:9" ht="15.95" customHeight="1" x14ac:dyDescent="0.15">
      <c r="A51" s="649"/>
      <c r="B51" s="233"/>
      <c r="C51" s="245" t="s">
        <v>245</v>
      </c>
      <c r="D51" s="245"/>
      <c r="E51" s="245"/>
      <c r="F51" s="248"/>
      <c r="G51" s="248"/>
      <c r="H51" s="278">
        <f t="shared" si="0"/>
        <v>0</v>
      </c>
      <c r="I51" s="249"/>
    </row>
    <row r="52" spans="1:9" ht="15.95" customHeight="1" x14ac:dyDescent="0.15">
      <c r="A52" s="649"/>
      <c r="B52" s="250"/>
      <c r="C52" s="251"/>
      <c r="D52" s="252"/>
      <c r="E52" s="252"/>
      <c r="F52" s="254"/>
      <c r="G52" s="254"/>
      <c r="H52" s="255">
        <f>SUM(H45:H51)</f>
        <v>0</v>
      </c>
      <c r="I52" s="256"/>
    </row>
    <row r="53" spans="1:9" ht="15.95" customHeight="1" x14ac:dyDescent="0.15">
      <c r="A53" s="279"/>
      <c r="B53" s="280" t="s">
        <v>246</v>
      </c>
      <c r="C53" s="281"/>
      <c r="D53" s="256"/>
      <c r="E53" s="256"/>
      <c r="F53" s="283"/>
      <c r="G53" s="283"/>
      <c r="H53" s="255">
        <f>SUM(H52,H44,H27,H21)</f>
        <v>14000000</v>
      </c>
      <c r="I53" s="256"/>
    </row>
    <row r="54" spans="1:9" ht="15.95" customHeight="1" x14ac:dyDescent="0.15">
      <c r="A54" s="650" t="s">
        <v>247</v>
      </c>
      <c r="B54" s="284" t="s">
        <v>248</v>
      </c>
      <c r="C54" s="281"/>
      <c r="D54" s="285"/>
      <c r="E54" s="311" t="s">
        <v>249</v>
      </c>
      <c r="F54" s="374"/>
      <c r="G54" s="374">
        <v>300000</v>
      </c>
      <c r="H54" s="288">
        <f>F54*G54</f>
        <v>0</v>
      </c>
      <c r="I54" s="256"/>
    </row>
    <row r="55" spans="1:9" ht="15.95" customHeight="1" x14ac:dyDescent="0.15">
      <c r="A55" s="649"/>
      <c r="B55" s="289" t="s">
        <v>176</v>
      </c>
      <c r="C55" s="290"/>
      <c r="D55" s="291"/>
      <c r="E55" s="312" t="s">
        <v>148</v>
      </c>
      <c r="F55" s="372"/>
      <c r="G55" s="375">
        <v>300000</v>
      </c>
      <c r="H55" s="262">
        <f t="shared" ref="H55:H61" si="2">F55*G55</f>
        <v>0</v>
      </c>
      <c r="I55" s="263"/>
    </row>
    <row r="56" spans="1:9" ht="15.95" customHeight="1" x14ac:dyDescent="0.15">
      <c r="A56" s="649"/>
      <c r="B56" s="315" t="s">
        <v>177</v>
      </c>
      <c r="C56" s="294"/>
      <c r="D56" s="295"/>
      <c r="E56" s="313" t="s">
        <v>148</v>
      </c>
      <c r="F56" s="370"/>
      <c r="G56" s="373">
        <v>250000</v>
      </c>
      <c r="H56" s="184">
        <f t="shared" si="2"/>
        <v>0</v>
      </c>
      <c r="I56" s="241"/>
    </row>
    <row r="57" spans="1:9" ht="15.95" customHeight="1" x14ac:dyDescent="0.15">
      <c r="A57" s="649"/>
      <c r="B57" s="293" t="s">
        <v>178</v>
      </c>
      <c r="C57" s="294"/>
      <c r="D57" s="295"/>
      <c r="E57" s="313" t="s">
        <v>148</v>
      </c>
      <c r="F57" s="370"/>
      <c r="G57" s="373">
        <v>250000</v>
      </c>
      <c r="H57" s="184">
        <f t="shared" si="2"/>
        <v>0</v>
      </c>
      <c r="I57" s="241"/>
    </row>
    <row r="58" spans="1:9" ht="15.95" customHeight="1" x14ac:dyDescent="0.15">
      <c r="A58" s="649"/>
      <c r="B58" s="293" t="s">
        <v>179</v>
      </c>
      <c r="C58" s="294"/>
      <c r="D58" s="295"/>
      <c r="E58" s="313" t="s">
        <v>148</v>
      </c>
      <c r="F58" s="370"/>
      <c r="G58" s="370">
        <v>300000</v>
      </c>
      <c r="H58" s="184">
        <f t="shared" si="2"/>
        <v>0</v>
      </c>
      <c r="I58" s="241"/>
    </row>
    <row r="59" spans="1:9" ht="15.95" customHeight="1" x14ac:dyDescent="0.15">
      <c r="A59" s="649"/>
      <c r="B59" s="293" t="s">
        <v>180</v>
      </c>
      <c r="C59" s="294"/>
      <c r="D59" s="295"/>
      <c r="E59" s="313" t="s">
        <v>148</v>
      </c>
      <c r="F59" s="370"/>
      <c r="G59" s="370">
        <v>300000</v>
      </c>
      <c r="H59" s="184">
        <f t="shared" si="2"/>
        <v>0</v>
      </c>
      <c r="I59" s="241"/>
    </row>
    <row r="60" spans="1:9" ht="15.95" customHeight="1" x14ac:dyDescent="0.15">
      <c r="A60" s="649"/>
      <c r="B60" s="293" t="s">
        <v>181</v>
      </c>
      <c r="C60" s="294"/>
      <c r="D60" s="295"/>
      <c r="E60" s="313" t="s">
        <v>148</v>
      </c>
      <c r="F60" s="370"/>
      <c r="G60" s="370">
        <v>300000</v>
      </c>
      <c r="H60" s="184">
        <f t="shared" si="2"/>
        <v>0</v>
      </c>
      <c r="I60" s="241"/>
    </row>
    <row r="61" spans="1:9" ht="15.95" customHeight="1" x14ac:dyDescent="0.15">
      <c r="A61" s="649"/>
      <c r="B61" s="297" t="s">
        <v>182</v>
      </c>
      <c r="C61" s="298"/>
      <c r="D61" s="299"/>
      <c r="E61" s="314" t="s">
        <v>148</v>
      </c>
      <c r="F61" s="371"/>
      <c r="G61" s="376">
        <v>250000</v>
      </c>
      <c r="H61" s="278">
        <f t="shared" si="2"/>
        <v>0</v>
      </c>
      <c r="I61" s="249"/>
    </row>
    <row r="62" spans="1:9" ht="15.95" customHeight="1" x14ac:dyDescent="0.15">
      <c r="A62" s="279"/>
      <c r="B62" s="301" t="s">
        <v>154</v>
      </c>
      <c r="C62" s="281"/>
      <c r="D62" s="256"/>
      <c r="E62" s="256"/>
      <c r="F62" s="254"/>
      <c r="G62" s="254"/>
      <c r="H62" s="254">
        <f>SUM(H54:H61)</f>
        <v>0</v>
      </c>
      <c r="I62" s="252"/>
    </row>
    <row r="63" spans="1:9" ht="15.95" customHeight="1" x14ac:dyDescent="0.15">
      <c r="A63" s="302"/>
      <c r="B63" s="301" t="s">
        <v>183</v>
      </c>
      <c r="C63" s="281"/>
      <c r="D63" s="256"/>
      <c r="E63" s="256"/>
      <c r="F63" s="255"/>
      <c r="G63" s="255"/>
      <c r="H63" s="283">
        <f>'단위공사별(집계)'!L13+'단위공사별(집계)'!I13</f>
        <v>90857.692770359674</v>
      </c>
      <c r="I63" s="256"/>
    </row>
    <row r="64" spans="1:9" ht="15.95" customHeight="1" x14ac:dyDescent="0.15">
      <c r="A64" s="302"/>
      <c r="B64" s="301" t="s">
        <v>157</v>
      </c>
      <c r="C64" s="281"/>
      <c r="D64" s="256"/>
      <c r="E64" s="256"/>
      <c r="F64" s="255"/>
      <c r="G64" s="304"/>
      <c r="H64" s="374">
        <f>(H62+H53)*0</f>
        <v>0</v>
      </c>
      <c r="I64" s="281"/>
    </row>
    <row r="65" spans="1:9" ht="15.95" customHeight="1" x14ac:dyDescent="0.15">
      <c r="A65" s="302"/>
      <c r="B65" s="301" t="s">
        <v>158</v>
      </c>
      <c r="C65" s="281"/>
      <c r="D65" s="256"/>
      <c r="E65" s="256"/>
      <c r="F65" s="255"/>
      <c r="G65" s="304"/>
      <c r="H65" s="374">
        <f>(H62+H53)*0</f>
        <v>0</v>
      </c>
      <c r="I65" s="281"/>
    </row>
    <row r="66" spans="1:9" ht="15.95" customHeight="1" x14ac:dyDescent="0.15">
      <c r="A66" s="302"/>
      <c r="B66" s="301" t="s">
        <v>159</v>
      </c>
      <c r="C66" s="281"/>
      <c r="D66" s="256"/>
      <c r="E66" s="256"/>
      <c r="F66" s="255"/>
      <c r="G66" s="255"/>
      <c r="H66" s="254">
        <f>H53+H62+H63+H64+H65</f>
        <v>14090857.69277036</v>
      </c>
      <c r="I66" s="256"/>
    </row>
    <row r="67" spans="1:9" x14ac:dyDescent="0.15">
      <c r="A67" s="151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1 H27 H44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82"/>
  <sheetViews>
    <sheetView zoomScaleNormal="100" workbookViewId="0">
      <pane xSplit="2" ySplit="2" topLeftCell="C63" activePane="bottomRight" state="frozen"/>
      <selection activeCell="M60" sqref="M60"/>
      <selection pane="topRight" activeCell="M60" sqref="M60"/>
      <selection pane="bottomLeft" activeCell="M60" sqref="M60"/>
      <selection pane="bottomRight" activeCell="F76" sqref="F76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377" t="s">
        <v>347</v>
      </c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527" t="s">
        <v>234</v>
      </c>
      <c r="B2" s="642"/>
      <c r="C2" s="142" t="s">
        <v>235</v>
      </c>
      <c r="D2" s="135" t="s">
        <v>236</v>
      </c>
      <c r="E2" s="135" t="s">
        <v>237</v>
      </c>
      <c r="F2" s="282" t="s">
        <v>238</v>
      </c>
      <c r="G2" s="282" t="s">
        <v>239</v>
      </c>
      <c r="H2" s="282" t="s">
        <v>240</v>
      </c>
      <c r="I2" s="135" t="s">
        <v>241</v>
      </c>
    </row>
    <row r="3" spans="1:9" ht="15.95" customHeight="1" x14ac:dyDescent="0.15">
      <c r="A3" s="643" t="s">
        <v>242</v>
      </c>
      <c r="B3" s="233" t="s">
        <v>243</v>
      </c>
      <c r="C3" s="444" t="s">
        <v>290</v>
      </c>
      <c r="D3" s="444" t="s">
        <v>291</v>
      </c>
      <c r="E3" s="445" t="s">
        <v>284</v>
      </c>
      <c r="F3" s="446">
        <v>1</v>
      </c>
      <c r="G3" s="446">
        <v>1500000</v>
      </c>
      <c r="H3" s="472">
        <f>F3*G3</f>
        <v>1500000</v>
      </c>
      <c r="I3" s="263"/>
    </row>
    <row r="4" spans="1:9" ht="15.95" customHeight="1" x14ac:dyDescent="0.15">
      <c r="A4" s="649"/>
      <c r="B4" s="233"/>
      <c r="C4" s="466" t="s">
        <v>292</v>
      </c>
      <c r="D4" s="444" t="s">
        <v>293</v>
      </c>
      <c r="E4" s="467" t="s">
        <v>284</v>
      </c>
      <c r="F4" s="446">
        <v>1</v>
      </c>
      <c r="G4" s="468">
        <v>1000000</v>
      </c>
      <c r="H4" s="472">
        <f t="shared" ref="H4:H9" si="0">F4*G4</f>
        <v>1000000</v>
      </c>
      <c r="I4" s="241"/>
    </row>
    <row r="5" spans="1:9" ht="15.95" customHeight="1" x14ac:dyDescent="0.15">
      <c r="A5" s="649"/>
      <c r="B5" s="233"/>
      <c r="C5" s="466" t="s">
        <v>294</v>
      </c>
      <c r="D5" s="466"/>
      <c r="E5" s="467" t="s">
        <v>284</v>
      </c>
      <c r="F5" s="468">
        <v>1</v>
      </c>
      <c r="G5" s="468">
        <v>500000</v>
      </c>
      <c r="H5" s="472">
        <f t="shared" si="0"/>
        <v>500000</v>
      </c>
      <c r="I5" s="241"/>
    </row>
    <row r="6" spans="1:9" ht="15.95" customHeight="1" x14ac:dyDescent="0.15">
      <c r="A6" s="649"/>
      <c r="B6" s="233"/>
      <c r="C6" s="466" t="s">
        <v>348</v>
      </c>
      <c r="D6" s="466"/>
      <c r="E6" s="467" t="s">
        <v>284</v>
      </c>
      <c r="F6" s="468">
        <v>0</v>
      </c>
      <c r="G6" s="468">
        <v>600000</v>
      </c>
      <c r="H6" s="472">
        <f t="shared" si="0"/>
        <v>0</v>
      </c>
      <c r="I6" s="241"/>
    </row>
    <row r="7" spans="1:9" ht="15.95" customHeight="1" x14ac:dyDescent="0.15">
      <c r="A7" s="649"/>
      <c r="B7" s="233"/>
      <c r="C7" s="444" t="s">
        <v>295</v>
      </c>
      <c r="D7" s="444" t="s">
        <v>296</v>
      </c>
      <c r="E7" s="467" t="s">
        <v>284</v>
      </c>
      <c r="F7" s="448">
        <v>40</v>
      </c>
      <c r="G7" s="468">
        <v>70000</v>
      </c>
      <c r="H7" s="472">
        <f t="shared" si="0"/>
        <v>2800000</v>
      </c>
      <c r="I7" s="241"/>
    </row>
    <row r="8" spans="1:9" ht="15.95" customHeight="1" x14ac:dyDescent="0.15">
      <c r="A8" s="649"/>
      <c r="B8" s="233"/>
      <c r="C8" s="444" t="s">
        <v>297</v>
      </c>
      <c r="D8" s="444" t="s">
        <v>298</v>
      </c>
      <c r="E8" s="467" t="s">
        <v>284</v>
      </c>
      <c r="F8" s="446">
        <v>10</v>
      </c>
      <c r="G8" s="468">
        <v>150000</v>
      </c>
      <c r="H8" s="472">
        <f t="shared" si="0"/>
        <v>1500000</v>
      </c>
      <c r="I8" s="241"/>
    </row>
    <row r="9" spans="1:9" ht="15.95" customHeight="1" x14ac:dyDescent="0.15">
      <c r="A9" s="649"/>
      <c r="B9" s="233"/>
      <c r="C9" s="444" t="s">
        <v>349</v>
      </c>
      <c r="D9" s="466" t="s">
        <v>298</v>
      </c>
      <c r="E9" s="467" t="s">
        <v>284</v>
      </c>
      <c r="F9" s="468">
        <v>5</v>
      </c>
      <c r="G9" s="468">
        <v>200000</v>
      </c>
      <c r="H9" s="472">
        <f t="shared" si="0"/>
        <v>1000000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ref="H10:H66" si="1">IF(F10=0,G10,G10*F10)</f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1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1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1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1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1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1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1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1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1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1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1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1"/>
        <v>0</v>
      </c>
      <c r="I22" s="241"/>
    </row>
    <row r="23" spans="1:9" ht="15.95" customHeight="1" x14ac:dyDescent="0.15">
      <c r="A23" s="649"/>
      <c r="B23" s="233"/>
      <c r="C23" s="469" t="s">
        <v>327</v>
      </c>
      <c r="D23" s="458"/>
      <c r="E23" s="459" t="s">
        <v>311</v>
      </c>
      <c r="F23" s="460">
        <v>1</v>
      </c>
      <c r="G23" s="460">
        <v>300000</v>
      </c>
      <c r="H23" s="475">
        <f t="shared" si="1"/>
        <v>300000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8600000</v>
      </c>
      <c r="I24" s="276"/>
    </row>
    <row r="25" spans="1:9" ht="15.95" customHeight="1" x14ac:dyDescent="0.15">
      <c r="A25" s="649"/>
      <c r="B25" s="233" t="s">
        <v>250</v>
      </c>
      <c r="C25" s="234"/>
      <c r="D25" s="234"/>
      <c r="E25" s="234"/>
      <c r="F25" s="237"/>
      <c r="G25" s="237"/>
      <c r="H25" s="238">
        <f t="shared" si="1"/>
        <v>0</v>
      </c>
      <c r="I25" s="239"/>
    </row>
    <row r="26" spans="1:9" ht="15.95" customHeight="1" x14ac:dyDescent="0.15">
      <c r="A26" s="649"/>
      <c r="B26" s="233" t="s">
        <v>251</v>
      </c>
      <c r="C26" s="240"/>
      <c r="D26" s="240"/>
      <c r="E26" s="240"/>
      <c r="F26" s="244"/>
      <c r="G26" s="244"/>
      <c r="H26" s="184">
        <f t="shared" si="1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1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1"/>
        <v>0</v>
      </c>
      <c r="I28" s="241"/>
    </row>
    <row r="29" spans="1:9" ht="15.95" customHeight="1" x14ac:dyDescent="0.15">
      <c r="A29" s="649"/>
      <c r="B29" s="233"/>
      <c r="C29" s="245" t="s">
        <v>245</v>
      </c>
      <c r="D29" s="245"/>
      <c r="E29" s="245"/>
      <c r="F29" s="248"/>
      <c r="G29" s="248"/>
      <c r="H29" s="184">
        <f t="shared" si="1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252</v>
      </c>
      <c r="C31" s="444" t="s">
        <v>350</v>
      </c>
      <c r="D31" s="441"/>
      <c r="E31" s="442"/>
      <c r="F31" s="443"/>
      <c r="G31" s="443"/>
      <c r="H31" s="262">
        <f t="shared" ref="H31:H47" si="2">IF(F31=0,G31,G31*F31)</f>
        <v>0</v>
      </c>
      <c r="I31" s="263"/>
    </row>
    <row r="32" spans="1:9" ht="15.95" customHeight="1" x14ac:dyDescent="0.15">
      <c r="A32" s="649"/>
      <c r="B32" s="233" t="s">
        <v>253</v>
      </c>
      <c r="C32" s="444" t="s">
        <v>351</v>
      </c>
      <c r="D32" s="444"/>
      <c r="E32" s="445" t="s">
        <v>311</v>
      </c>
      <c r="F32" s="446">
        <v>1</v>
      </c>
      <c r="G32" s="446">
        <v>300000</v>
      </c>
      <c r="H32" s="472">
        <f t="shared" si="2"/>
        <v>300000</v>
      </c>
      <c r="I32" s="241"/>
    </row>
    <row r="33" spans="1:9" ht="15.95" customHeight="1" x14ac:dyDescent="0.15">
      <c r="A33" s="649"/>
      <c r="B33" s="233"/>
      <c r="C33" s="444" t="s">
        <v>352</v>
      </c>
      <c r="D33" s="444"/>
      <c r="E33" s="445" t="s">
        <v>311</v>
      </c>
      <c r="F33" s="446">
        <v>1</v>
      </c>
      <c r="G33" s="446">
        <v>500000</v>
      </c>
      <c r="H33" s="472">
        <f t="shared" si="2"/>
        <v>500000</v>
      </c>
      <c r="I33" s="241"/>
    </row>
    <row r="34" spans="1:9" ht="15.95" customHeight="1" x14ac:dyDescent="0.15">
      <c r="A34" s="649"/>
      <c r="B34" s="233"/>
      <c r="C34" s="444" t="s">
        <v>353</v>
      </c>
      <c r="D34" s="444"/>
      <c r="E34" s="445" t="s">
        <v>311</v>
      </c>
      <c r="F34" s="446">
        <v>1</v>
      </c>
      <c r="G34" s="446">
        <v>300000</v>
      </c>
      <c r="H34" s="472">
        <f t="shared" si="2"/>
        <v>300000</v>
      </c>
      <c r="I34" s="241"/>
    </row>
    <row r="35" spans="1:9" ht="15.95" customHeight="1" x14ac:dyDescent="0.15">
      <c r="A35" s="649"/>
      <c r="B35" s="233"/>
      <c r="C35" s="444" t="s">
        <v>354</v>
      </c>
      <c r="D35" s="444"/>
      <c r="E35" s="445" t="s">
        <v>311</v>
      </c>
      <c r="F35" s="446">
        <v>1</v>
      </c>
      <c r="G35" s="446">
        <v>500000</v>
      </c>
      <c r="H35" s="472">
        <f t="shared" si="2"/>
        <v>500000</v>
      </c>
      <c r="I35" s="241"/>
    </row>
    <row r="36" spans="1:9" ht="15.95" customHeight="1" x14ac:dyDescent="0.15">
      <c r="A36" s="649"/>
      <c r="B36" s="233"/>
      <c r="C36" s="458"/>
      <c r="D36" s="458"/>
      <c r="E36" s="459"/>
      <c r="F36" s="460"/>
      <c r="G36" s="446"/>
      <c r="H36" s="472">
        <f t="shared" si="2"/>
        <v>0</v>
      </c>
      <c r="I36" s="241"/>
    </row>
    <row r="37" spans="1:9" ht="15.95" customHeight="1" x14ac:dyDescent="0.15">
      <c r="A37" s="649"/>
      <c r="B37" s="233"/>
      <c r="C37" s="444" t="s">
        <v>355</v>
      </c>
      <c r="D37" s="444"/>
      <c r="E37" s="445"/>
      <c r="F37" s="446"/>
      <c r="G37" s="446"/>
      <c r="H37" s="472">
        <f t="shared" si="2"/>
        <v>0</v>
      </c>
      <c r="I37" s="241"/>
    </row>
    <row r="38" spans="1:9" ht="15.95" customHeight="1" x14ac:dyDescent="0.15">
      <c r="A38" s="649"/>
      <c r="B38" s="233"/>
      <c r="C38" s="444" t="s">
        <v>356</v>
      </c>
      <c r="D38" s="444"/>
      <c r="E38" s="445" t="s">
        <v>311</v>
      </c>
      <c r="F38" s="446">
        <v>1</v>
      </c>
      <c r="G38" s="446">
        <v>600000</v>
      </c>
      <c r="H38" s="472">
        <f t="shared" si="2"/>
        <v>600000</v>
      </c>
      <c r="I38" s="241"/>
    </row>
    <row r="39" spans="1:9" ht="15.95" customHeight="1" x14ac:dyDescent="0.15">
      <c r="A39" s="649"/>
      <c r="B39" s="233"/>
      <c r="C39" s="444" t="s">
        <v>357</v>
      </c>
      <c r="D39" s="444"/>
      <c r="E39" s="445" t="s">
        <v>311</v>
      </c>
      <c r="F39" s="446">
        <v>1</v>
      </c>
      <c r="G39" s="446">
        <v>400000</v>
      </c>
      <c r="H39" s="472">
        <f t="shared" si="2"/>
        <v>400000</v>
      </c>
      <c r="I39" s="241"/>
    </row>
    <row r="40" spans="1:9" ht="15.95" customHeight="1" x14ac:dyDescent="0.15">
      <c r="A40" s="649"/>
      <c r="B40" s="233"/>
      <c r="C40" s="444" t="s">
        <v>353</v>
      </c>
      <c r="D40" s="444"/>
      <c r="E40" s="445" t="s">
        <v>311</v>
      </c>
      <c r="F40" s="446">
        <v>1</v>
      </c>
      <c r="G40" s="446">
        <v>200000</v>
      </c>
      <c r="H40" s="472">
        <f t="shared" si="2"/>
        <v>200000</v>
      </c>
      <c r="I40" s="241"/>
    </row>
    <row r="41" spans="1:9" ht="15.95" customHeight="1" x14ac:dyDescent="0.15">
      <c r="A41" s="649"/>
      <c r="B41" s="233"/>
      <c r="C41" s="444" t="s">
        <v>358</v>
      </c>
      <c r="D41" s="444"/>
      <c r="E41" s="445" t="s">
        <v>311</v>
      </c>
      <c r="F41" s="446">
        <v>1</v>
      </c>
      <c r="G41" s="446">
        <v>800000</v>
      </c>
      <c r="H41" s="472">
        <f t="shared" si="2"/>
        <v>800000</v>
      </c>
      <c r="I41" s="241"/>
    </row>
    <row r="42" spans="1:9" ht="15.95" customHeight="1" x14ac:dyDescent="0.15">
      <c r="A42" s="649"/>
      <c r="B42" s="233"/>
      <c r="C42" s="444" t="s">
        <v>359</v>
      </c>
      <c r="D42" s="444" t="s">
        <v>360</v>
      </c>
      <c r="E42" s="445" t="s">
        <v>311</v>
      </c>
      <c r="F42" s="446">
        <v>1</v>
      </c>
      <c r="G42" s="446">
        <v>1000000</v>
      </c>
      <c r="H42" s="472">
        <f t="shared" si="2"/>
        <v>1000000</v>
      </c>
      <c r="I42" s="241"/>
    </row>
    <row r="43" spans="1:9" ht="15.95" customHeight="1" x14ac:dyDescent="0.15">
      <c r="A43" s="649"/>
      <c r="B43" s="233"/>
      <c r="C43" s="444" t="s">
        <v>354</v>
      </c>
      <c r="D43" s="444" t="s">
        <v>361</v>
      </c>
      <c r="E43" s="445" t="s">
        <v>311</v>
      </c>
      <c r="F43" s="446">
        <v>1</v>
      </c>
      <c r="G43" s="446">
        <v>500000</v>
      </c>
      <c r="H43" s="472">
        <f t="shared" si="2"/>
        <v>500000</v>
      </c>
      <c r="I43" s="241"/>
    </row>
    <row r="44" spans="1:9" ht="15.95" customHeight="1" x14ac:dyDescent="0.15">
      <c r="A44" s="649"/>
      <c r="B44" s="233"/>
      <c r="C44" s="444" t="s">
        <v>362</v>
      </c>
      <c r="D44" s="444"/>
      <c r="E44" s="445"/>
      <c r="F44" s="446"/>
      <c r="G44" s="446"/>
      <c r="H44" s="472">
        <f t="shared" si="2"/>
        <v>0</v>
      </c>
      <c r="I44" s="241"/>
    </row>
    <row r="45" spans="1:9" ht="15.95" customHeight="1" x14ac:dyDescent="0.15">
      <c r="A45" s="649"/>
      <c r="B45" s="233"/>
      <c r="C45" s="444" t="s">
        <v>363</v>
      </c>
      <c r="D45" s="444" t="s">
        <v>364</v>
      </c>
      <c r="E45" s="445" t="s">
        <v>311</v>
      </c>
      <c r="F45" s="446">
        <v>1</v>
      </c>
      <c r="G45" s="446">
        <v>500000</v>
      </c>
      <c r="H45" s="472">
        <f t="shared" si="2"/>
        <v>500000</v>
      </c>
      <c r="I45" s="241"/>
    </row>
    <row r="46" spans="1:9" ht="15.95" customHeight="1" x14ac:dyDescent="0.15">
      <c r="A46" s="649"/>
      <c r="B46" s="233"/>
      <c r="C46" s="444" t="s">
        <v>353</v>
      </c>
      <c r="D46" s="444"/>
      <c r="E46" s="445" t="s">
        <v>311</v>
      </c>
      <c r="F46" s="446">
        <v>1</v>
      </c>
      <c r="G46" s="446">
        <v>300000</v>
      </c>
      <c r="H46" s="472">
        <f t="shared" si="2"/>
        <v>300000</v>
      </c>
      <c r="I46" s="241"/>
    </row>
    <row r="47" spans="1:9" ht="15.95" customHeight="1" x14ac:dyDescent="0.15">
      <c r="A47" s="649"/>
      <c r="B47" s="233"/>
      <c r="C47" s="444" t="s">
        <v>354</v>
      </c>
      <c r="D47" s="444"/>
      <c r="E47" s="445" t="s">
        <v>311</v>
      </c>
      <c r="F47" s="446">
        <v>1</v>
      </c>
      <c r="G47" s="446">
        <v>500000</v>
      </c>
      <c r="H47" s="472">
        <f t="shared" si="2"/>
        <v>500000</v>
      </c>
      <c r="I47" s="241"/>
    </row>
    <row r="48" spans="1:9" ht="15.95" customHeight="1" x14ac:dyDescent="0.15">
      <c r="A48" s="649"/>
      <c r="B48" s="233"/>
      <c r="C48" s="466" t="s">
        <v>299</v>
      </c>
      <c r="D48" s="466"/>
      <c r="E48" s="467"/>
      <c r="F48" s="468"/>
      <c r="G48" s="468"/>
      <c r="H48" s="472">
        <f t="shared" ref="H48:H54" si="3">IF(F48=0,0,G48*F48)</f>
        <v>0</v>
      </c>
      <c r="I48" s="241"/>
    </row>
    <row r="49" spans="1:9" ht="15.95" customHeight="1" x14ac:dyDescent="0.15">
      <c r="A49" s="649"/>
      <c r="B49" s="233"/>
      <c r="C49" s="444" t="s">
        <v>300</v>
      </c>
      <c r="D49" s="444"/>
      <c r="E49" s="445" t="s">
        <v>284</v>
      </c>
      <c r="F49" s="448">
        <v>1</v>
      </c>
      <c r="G49" s="446">
        <v>350000</v>
      </c>
      <c r="H49" s="472">
        <f t="shared" si="3"/>
        <v>350000</v>
      </c>
      <c r="I49" s="241"/>
    </row>
    <row r="50" spans="1:9" ht="15.95" customHeight="1" x14ac:dyDescent="0.15">
      <c r="A50" s="649"/>
      <c r="B50" s="233"/>
      <c r="C50" s="444" t="s">
        <v>301</v>
      </c>
      <c r="D50" s="444"/>
      <c r="E50" s="445" t="s">
        <v>284</v>
      </c>
      <c r="F50" s="448">
        <v>3</v>
      </c>
      <c r="G50" s="446">
        <v>70000</v>
      </c>
      <c r="H50" s="472">
        <f t="shared" si="3"/>
        <v>210000</v>
      </c>
      <c r="I50" s="241"/>
    </row>
    <row r="51" spans="1:9" ht="15.95" customHeight="1" x14ac:dyDescent="0.15">
      <c r="A51" s="649"/>
      <c r="B51" s="233"/>
      <c r="C51" s="444" t="s">
        <v>302</v>
      </c>
      <c r="D51" s="444"/>
      <c r="E51" s="445" t="s">
        <v>284</v>
      </c>
      <c r="F51" s="448">
        <v>1</v>
      </c>
      <c r="G51" s="446">
        <v>800000</v>
      </c>
      <c r="H51" s="472">
        <f t="shared" si="3"/>
        <v>800000</v>
      </c>
      <c r="I51" s="241"/>
    </row>
    <row r="52" spans="1:9" ht="15.95" customHeight="1" x14ac:dyDescent="0.15">
      <c r="A52" s="649"/>
      <c r="B52" s="233"/>
      <c r="C52" s="444" t="s">
        <v>303</v>
      </c>
      <c r="D52" s="444"/>
      <c r="E52" s="445" t="s">
        <v>284</v>
      </c>
      <c r="F52" s="448">
        <v>1</v>
      </c>
      <c r="G52" s="446">
        <v>100000</v>
      </c>
      <c r="H52" s="472">
        <f t="shared" si="3"/>
        <v>100000</v>
      </c>
      <c r="I52" s="241"/>
    </row>
    <row r="53" spans="1:9" ht="15.95" customHeight="1" x14ac:dyDescent="0.15">
      <c r="A53" s="649"/>
      <c r="B53" s="233"/>
      <c r="C53" s="444" t="s">
        <v>304</v>
      </c>
      <c r="D53" s="444"/>
      <c r="E53" s="445" t="s">
        <v>284</v>
      </c>
      <c r="F53" s="448">
        <v>1</v>
      </c>
      <c r="G53" s="446">
        <v>200000</v>
      </c>
      <c r="H53" s="472">
        <f t="shared" si="3"/>
        <v>200000</v>
      </c>
      <c r="I53" s="241"/>
    </row>
    <row r="54" spans="1:9" ht="15.95" customHeight="1" x14ac:dyDescent="0.15">
      <c r="A54" s="649"/>
      <c r="B54" s="233"/>
      <c r="C54" s="466" t="s">
        <v>305</v>
      </c>
      <c r="D54" s="466"/>
      <c r="E54" s="467" t="s">
        <v>284</v>
      </c>
      <c r="F54" s="468">
        <v>1</v>
      </c>
      <c r="G54" s="468">
        <v>200000</v>
      </c>
      <c r="H54" s="472">
        <f t="shared" si="3"/>
        <v>200000</v>
      </c>
      <c r="I54" s="241"/>
    </row>
    <row r="55" spans="1:9" ht="15.95" customHeight="1" x14ac:dyDescent="0.15">
      <c r="A55" s="649"/>
      <c r="B55" s="233"/>
      <c r="C55" s="437"/>
      <c r="D55" s="437"/>
      <c r="E55" s="437"/>
      <c r="F55" s="440"/>
      <c r="G55" s="440"/>
      <c r="H55" s="403">
        <f t="shared" ref="H55:H58" si="4">IF(F55=0,G55,G55*F55)</f>
        <v>0</v>
      </c>
      <c r="I55" s="241"/>
    </row>
    <row r="56" spans="1:9" ht="15.95" customHeight="1" x14ac:dyDescent="0.15">
      <c r="A56" s="649"/>
      <c r="B56" s="233"/>
      <c r="C56" s="437"/>
      <c r="D56" s="437"/>
      <c r="E56" s="437"/>
      <c r="F56" s="440"/>
      <c r="G56" s="440"/>
      <c r="H56" s="403">
        <f t="shared" si="4"/>
        <v>0</v>
      </c>
      <c r="I56" s="241"/>
    </row>
    <row r="57" spans="1:9" ht="15.95" customHeight="1" x14ac:dyDescent="0.15">
      <c r="A57" s="649"/>
      <c r="B57" s="233"/>
      <c r="C57" s="437"/>
      <c r="D57" s="437"/>
      <c r="E57" s="437"/>
      <c r="F57" s="440"/>
      <c r="G57" s="440"/>
      <c r="H57" s="403">
        <f t="shared" si="4"/>
        <v>0</v>
      </c>
      <c r="I57" s="241"/>
    </row>
    <row r="58" spans="1:9" ht="15.95" customHeight="1" x14ac:dyDescent="0.15">
      <c r="A58" s="649"/>
      <c r="B58" s="233"/>
      <c r="C58" s="469" t="s">
        <v>285</v>
      </c>
      <c r="D58" s="469"/>
      <c r="E58" s="470" t="s">
        <v>284</v>
      </c>
      <c r="F58" s="471">
        <v>1</v>
      </c>
      <c r="G58" s="471">
        <v>200000</v>
      </c>
      <c r="H58" s="472">
        <f t="shared" si="4"/>
        <v>200000</v>
      </c>
      <c r="I58" s="249"/>
    </row>
    <row r="59" spans="1:9" ht="15.95" customHeight="1" x14ac:dyDescent="0.15">
      <c r="A59" s="649"/>
      <c r="B59" s="250"/>
      <c r="C59" s="251"/>
      <c r="D59" s="252"/>
      <c r="E59" s="252"/>
      <c r="F59" s="254"/>
      <c r="G59" s="254"/>
      <c r="H59" s="255">
        <f>SUM(H31:H58)</f>
        <v>8460000</v>
      </c>
      <c r="I59" s="256"/>
    </row>
    <row r="60" spans="1:9" ht="15.95" customHeight="1" x14ac:dyDescent="0.15">
      <c r="A60" s="649"/>
      <c r="B60" s="277" t="s">
        <v>244</v>
      </c>
      <c r="C60" s="258"/>
      <c r="D60" s="258"/>
      <c r="E60" s="258"/>
      <c r="F60" s="261"/>
      <c r="G60" s="261"/>
      <c r="H60" s="262">
        <f t="shared" si="1"/>
        <v>0</v>
      </c>
      <c r="I60" s="263"/>
    </row>
    <row r="61" spans="1:9" ht="15.95" customHeight="1" x14ac:dyDescent="0.15">
      <c r="A61" s="649"/>
      <c r="B61" s="233"/>
      <c r="C61" s="240"/>
      <c r="D61" s="240"/>
      <c r="E61" s="240"/>
      <c r="F61" s="244"/>
      <c r="G61" s="244"/>
      <c r="H61" s="184">
        <f t="shared" si="1"/>
        <v>0</v>
      </c>
      <c r="I61" s="241"/>
    </row>
    <row r="62" spans="1:9" ht="15.95" customHeight="1" x14ac:dyDescent="0.15">
      <c r="A62" s="649"/>
      <c r="B62" s="233"/>
      <c r="C62" s="240"/>
      <c r="D62" s="240"/>
      <c r="E62" s="240"/>
      <c r="F62" s="244"/>
      <c r="G62" s="244"/>
      <c r="H62" s="184">
        <f t="shared" si="1"/>
        <v>0</v>
      </c>
      <c r="I62" s="241"/>
    </row>
    <row r="63" spans="1:9" ht="15.95" customHeight="1" x14ac:dyDescent="0.15">
      <c r="A63" s="649"/>
      <c r="B63" s="233"/>
      <c r="C63" s="240"/>
      <c r="D63" s="240"/>
      <c r="E63" s="240"/>
      <c r="F63" s="244"/>
      <c r="G63" s="244"/>
      <c r="H63" s="184">
        <f t="shared" si="1"/>
        <v>0</v>
      </c>
      <c r="I63" s="241"/>
    </row>
    <row r="64" spans="1:9" ht="15.95" customHeight="1" x14ac:dyDescent="0.15">
      <c r="A64" s="649"/>
      <c r="B64" s="233"/>
      <c r="C64" s="240"/>
      <c r="D64" s="240"/>
      <c r="E64" s="240"/>
      <c r="F64" s="244"/>
      <c r="G64" s="244"/>
      <c r="H64" s="184">
        <f t="shared" si="1"/>
        <v>0</v>
      </c>
      <c r="I64" s="241"/>
    </row>
    <row r="65" spans="1:9" ht="15.95" customHeight="1" x14ac:dyDescent="0.15">
      <c r="A65" s="649"/>
      <c r="B65" s="233"/>
      <c r="C65" s="240"/>
      <c r="D65" s="240"/>
      <c r="E65" s="240"/>
      <c r="F65" s="244"/>
      <c r="G65" s="244"/>
      <c r="H65" s="184">
        <f t="shared" si="1"/>
        <v>0</v>
      </c>
      <c r="I65" s="241"/>
    </row>
    <row r="66" spans="1:9" ht="15.95" customHeight="1" x14ac:dyDescent="0.15">
      <c r="A66" s="649"/>
      <c r="B66" s="233"/>
      <c r="C66" s="245" t="s">
        <v>245</v>
      </c>
      <c r="D66" s="245"/>
      <c r="E66" s="245"/>
      <c r="F66" s="248"/>
      <c r="G66" s="248"/>
      <c r="H66" s="278">
        <f t="shared" si="1"/>
        <v>0</v>
      </c>
      <c r="I66" s="249"/>
    </row>
    <row r="67" spans="1:9" ht="15.95" customHeight="1" x14ac:dyDescent="0.15">
      <c r="A67" s="649"/>
      <c r="B67" s="250"/>
      <c r="C67" s="251"/>
      <c r="D67" s="252"/>
      <c r="E67" s="252"/>
      <c r="F67" s="254"/>
      <c r="G67" s="254"/>
      <c r="H67" s="255">
        <f>SUM(H60:H66)</f>
        <v>0</v>
      </c>
      <c r="I67" s="256"/>
    </row>
    <row r="68" spans="1:9" ht="15.95" customHeight="1" x14ac:dyDescent="0.15">
      <c r="A68" s="279"/>
      <c r="B68" s="280" t="s">
        <v>246</v>
      </c>
      <c r="C68" s="281"/>
      <c r="D68" s="256"/>
      <c r="E68" s="256"/>
      <c r="F68" s="283"/>
      <c r="G68" s="283"/>
      <c r="H68" s="255">
        <f>SUM(H67,H59,H30,H24)</f>
        <v>17060000</v>
      </c>
      <c r="I68" s="256"/>
    </row>
    <row r="69" spans="1:9" ht="15.95" customHeight="1" x14ac:dyDescent="0.15">
      <c r="A69" s="650" t="s">
        <v>247</v>
      </c>
      <c r="B69" s="284" t="s">
        <v>248</v>
      </c>
      <c r="C69" s="281"/>
      <c r="D69" s="285"/>
      <c r="E69" s="311" t="s">
        <v>249</v>
      </c>
      <c r="F69" s="393">
        <v>0</v>
      </c>
      <c r="G69" s="381">
        <v>300000</v>
      </c>
      <c r="H69" s="288">
        <f>F69*G69</f>
        <v>0</v>
      </c>
      <c r="I69" s="256"/>
    </row>
    <row r="70" spans="1:9" ht="15.95" customHeight="1" x14ac:dyDescent="0.15">
      <c r="A70" s="649"/>
      <c r="B70" s="289" t="s">
        <v>254</v>
      </c>
      <c r="C70" s="290"/>
      <c r="D70" s="291"/>
      <c r="E70" s="312" t="s">
        <v>148</v>
      </c>
      <c r="F70" s="443">
        <v>15</v>
      </c>
      <c r="G70" s="382">
        <v>300000</v>
      </c>
      <c r="H70" s="262">
        <f t="shared" ref="H70:H76" si="5">F70*G70</f>
        <v>4500000</v>
      </c>
      <c r="I70" s="263"/>
    </row>
    <row r="71" spans="1:9" ht="15.95" customHeight="1" x14ac:dyDescent="0.15">
      <c r="A71" s="649"/>
      <c r="B71" s="315" t="s">
        <v>255</v>
      </c>
      <c r="C71" s="294"/>
      <c r="D71" s="295"/>
      <c r="E71" s="313" t="s">
        <v>148</v>
      </c>
      <c r="F71" s="446">
        <v>5</v>
      </c>
      <c r="G71" s="380">
        <v>250000</v>
      </c>
      <c r="H71" s="184">
        <f t="shared" si="5"/>
        <v>1250000</v>
      </c>
      <c r="I71" s="241"/>
    </row>
    <row r="72" spans="1:9" ht="15.95" customHeight="1" x14ac:dyDescent="0.15">
      <c r="A72" s="649"/>
      <c r="B72" s="293" t="s">
        <v>256</v>
      </c>
      <c r="C72" s="294"/>
      <c r="D72" s="295"/>
      <c r="E72" s="313" t="s">
        <v>148</v>
      </c>
      <c r="F72" s="446">
        <v>15</v>
      </c>
      <c r="G72" s="380">
        <v>250000</v>
      </c>
      <c r="H72" s="184">
        <f t="shared" si="5"/>
        <v>3750000</v>
      </c>
      <c r="I72" s="241"/>
    </row>
    <row r="73" spans="1:9" ht="15.95" customHeight="1" x14ac:dyDescent="0.15">
      <c r="A73" s="649"/>
      <c r="B73" s="293" t="s">
        <v>257</v>
      </c>
      <c r="C73" s="294"/>
      <c r="D73" s="295"/>
      <c r="E73" s="313" t="s">
        <v>148</v>
      </c>
      <c r="F73" s="446">
        <v>2</v>
      </c>
      <c r="G73" s="379">
        <v>300000</v>
      </c>
      <c r="H73" s="184">
        <f t="shared" si="5"/>
        <v>600000</v>
      </c>
      <c r="I73" s="241"/>
    </row>
    <row r="74" spans="1:9" ht="15.95" customHeight="1" x14ac:dyDescent="0.15">
      <c r="A74" s="649"/>
      <c r="B74" s="293" t="s">
        <v>258</v>
      </c>
      <c r="C74" s="294"/>
      <c r="D74" s="295"/>
      <c r="E74" s="313" t="s">
        <v>148</v>
      </c>
      <c r="F74" s="446">
        <v>5</v>
      </c>
      <c r="G74" s="379">
        <v>300000</v>
      </c>
      <c r="H74" s="184">
        <f t="shared" si="5"/>
        <v>1500000</v>
      </c>
      <c r="I74" s="241"/>
    </row>
    <row r="75" spans="1:9" ht="15.95" customHeight="1" x14ac:dyDescent="0.15">
      <c r="A75" s="649"/>
      <c r="B75" s="293" t="s">
        <v>259</v>
      </c>
      <c r="C75" s="294"/>
      <c r="D75" s="295"/>
      <c r="E75" s="313" t="s">
        <v>148</v>
      </c>
      <c r="F75" s="446">
        <v>2</v>
      </c>
      <c r="G75" s="379">
        <v>300000</v>
      </c>
      <c r="H75" s="184">
        <f t="shared" si="5"/>
        <v>600000</v>
      </c>
      <c r="I75" s="241"/>
    </row>
    <row r="76" spans="1:9" ht="15.95" customHeight="1" x14ac:dyDescent="0.15">
      <c r="A76" s="649"/>
      <c r="B76" s="297" t="s">
        <v>260</v>
      </c>
      <c r="C76" s="298"/>
      <c r="D76" s="299"/>
      <c r="E76" s="314" t="s">
        <v>148</v>
      </c>
      <c r="F76" s="471">
        <v>5</v>
      </c>
      <c r="G76" s="383">
        <v>250000</v>
      </c>
      <c r="H76" s="278">
        <f t="shared" si="5"/>
        <v>1250000</v>
      </c>
      <c r="I76" s="249"/>
    </row>
    <row r="77" spans="1:9" ht="15.95" customHeight="1" x14ac:dyDescent="0.15">
      <c r="A77" s="279"/>
      <c r="B77" s="301" t="s">
        <v>261</v>
      </c>
      <c r="C77" s="281"/>
      <c r="D77" s="256"/>
      <c r="E77" s="256"/>
      <c r="F77" s="254"/>
      <c r="G77" s="254"/>
      <c r="H77" s="254">
        <f>SUM(H69:H76)</f>
        <v>13450000</v>
      </c>
      <c r="I77" s="252"/>
    </row>
    <row r="78" spans="1:9" ht="15.95" customHeight="1" x14ac:dyDescent="0.15">
      <c r="A78" s="302"/>
      <c r="B78" s="301" t="s">
        <v>262</v>
      </c>
      <c r="C78" s="281"/>
      <c r="D78" s="256"/>
      <c r="E78" s="256"/>
      <c r="F78" s="255"/>
      <c r="G78" s="255"/>
      <c r="H78" s="283">
        <f>'단위공사별(집계)'!L14+'단위공사별(집계)'!I14</f>
        <v>198004.87188740526</v>
      </c>
      <c r="I78" s="256"/>
    </row>
    <row r="79" spans="1:9" ht="15.95" customHeight="1" x14ac:dyDescent="0.15">
      <c r="A79" s="302"/>
      <c r="B79" s="301" t="s">
        <v>263</v>
      </c>
      <c r="C79" s="281"/>
      <c r="D79" s="256"/>
      <c r="E79" s="256"/>
      <c r="F79" s="255"/>
      <c r="G79" s="304"/>
      <c r="H79" s="381">
        <f>(H77+H68)*0</f>
        <v>0</v>
      </c>
      <c r="I79" s="281"/>
    </row>
    <row r="80" spans="1:9" ht="15.95" customHeight="1" x14ac:dyDescent="0.15">
      <c r="A80" s="302"/>
      <c r="B80" s="301" t="s">
        <v>264</v>
      </c>
      <c r="C80" s="281"/>
      <c r="D80" s="256"/>
      <c r="E80" s="256"/>
      <c r="F80" s="255"/>
      <c r="G80" s="304"/>
      <c r="H80" s="381">
        <f>(H77+H68)*0</f>
        <v>0</v>
      </c>
      <c r="I80" s="281"/>
    </row>
    <row r="81" spans="1:9" ht="15.95" customHeight="1" x14ac:dyDescent="0.15">
      <c r="A81" s="302"/>
      <c r="B81" s="301" t="s">
        <v>265</v>
      </c>
      <c r="C81" s="281"/>
      <c r="D81" s="256"/>
      <c r="E81" s="256"/>
      <c r="F81" s="255"/>
      <c r="G81" s="255"/>
      <c r="H81" s="254">
        <f>H68+H77+H78+H79+H80</f>
        <v>30708004.871887404</v>
      </c>
      <c r="I81" s="256"/>
    </row>
    <row r="82" spans="1:9" x14ac:dyDescent="0.15">
      <c r="A82" s="151"/>
    </row>
  </sheetData>
  <mergeCells count="3">
    <mergeCell ref="A2:B2"/>
    <mergeCell ref="A3:A67"/>
    <mergeCell ref="A69:A7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ignoredErrors>
    <ignoredError sqref="H24 H30 H59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39" activePane="bottomRight" state="frozen"/>
      <selection activeCell="F63" sqref="F63"/>
      <selection pane="topRight" activeCell="F63" sqref="F63"/>
      <selection pane="bottomLeft" activeCell="F63" sqref="F63"/>
      <selection pane="bottomRight" activeCell="M66" sqref="M66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384" t="s">
        <v>366</v>
      </c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527" t="s">
        <v>234</v>
      </c>
      <c r="B2" s="642"/>
      <c r="C2" s="142" t="s">
        <v>235</v>
      </c>
      <c r="D2" s="135" t="s">
        <v>236</v>
      </c>
      <c r="E2" s="135" t="s">
        <v>237</v>
      </c>
      <c r="F2" s="282" t="s">
        <v>238</v>
      </c>
      <c r="G2" s="282" t="s">
        <v>239</v>
      </c>
      <c r="H2" s="282" t="s">
        <v>240</v>
      </c>
      <c r="I2" s="135" t="s">
        <v>241</v>
      </c>
    </row>
    <row r="3" spans="1:9" ht="15.95" customHeight="1" x14ac:dyDescent="0.15">
      <c r="A3" s="643" t="s">
        <v>242</v>
      </c>
      <c r="B3" s="233" t="s">
        <v>243</v>
      </c>
      <c r="C3" s="444" t="s">
        <v>297</v>
      </c>
      <c r="D3" s="444" t="s">
        <v>367</v>
      </c>
      <c r="E3" s="467" t="s">
        <v>284</v>
      </c>
      <c r="F3" s="446">
        <v>1</v>
      </c>
      <c r="G3" s="468">
        <v>150000</v>
      </c>
      <c r="H3" s="472">
        <f>IF(F3=0,G3,G3*F3)</f>
        <v>150000</v>
      </c>
      <c r="I3" s="263"/>
    </row>
    <row r="4" spans="1:9" ht="15.95" customHeight="1" x14ac:dyDescent="0.15">
      <c r="A4" s="649"/>
      <c r="B4" s="233"/>
      <c r="C4" s="444" t="s">
        <v>368</v>
      </c>
      <c r="D4" s="444" t="s">
        <v>369</v>
      </c>
      <c r="E4" s="445" t="s">
        <v>370</v>
      </c>
      <c r="F4" s="446">
        <v>20</v>
      </c>
      <c r="G4" s="446">
        <v>100000</v>
      </c>
      <c r="H4" s="472">
        <f>IF(F4=0,G4,G4*F4)</f>
        <v>2000000</v>
      </c>
      <c r="I4" s="241"/>
    </row>
    <row r="5" spans="1:9" ht="15.95" customHeight="1" x14ac:dyDescent="0.15">
      <c r="A5" s="649"/>
      <c r="B5" s="233"/>
      <c r="C5" s="444" t="s">
        <v>371</v>
      </c>
      <c r="D5" s="444" t="s">
        <v>372</v>
      </c>
      <c r="E5" s="445" t="s">
        <v>370</v>
      </c>
      <c r="F5" s="446">
        <v>20</v>
      </c>
      <c r="G5" s="446">
        <v>100000</v>
      </c>
      <c r="H5" s="472">
        <f t="shared" ref="H5:H7" si="0">IF(F5=0,G5,G5*F5)</f>
        <v>2000000</v>
      </c>
      <c r="I5" s="241"/>
    </row>
    <row r="6" spans="1:9" ht="15.95" customHeight="1" x14ac:dyDescent="0.15">
      <c r="A6" s="649"/>
      <c r="B6" s="233"/>
      <c r="C6" s="444" t="s">
        <v>373</v>
      </c>
      <c r="D6" s="444" t="s">
        <v>372</v>
      </c>
      <c r="E6" s="445" t="s">
        <v>370</v>
      </c>
      <c r="F6" s="446">
        <v>20</v>
      </c>
      <c r="G6" s="446">
        <v>100000</v>
      </c>
      <c r="H6" s="472">
        <f t="shared" si="0"/>
        <v>2000000</v>
      </c>
      <c r="I6" s="241"/>
    </row>
    <row r="7" spans="1:9" ht="15.95" customHeight="1" x14ac:dyDescent="0.15">
      <c r="A7" s="649"/>
      <c r="B7" s="233"/>
      <c r="C7" s="444" t="s">
        <v>374</v>
      </c>
      <c r="D7" s="444" t="s">
        <v>372</v>
      </c>
      <c r="E7" s="444" t="s">
        <v>370</v>
      </c>
      <c r="F7" s="446">
        <v>20</v>
      </c>
      <c r="G7" s="446">
        <v>60000</v>
      </c>
      <c r="H7" s="472">
        <f t="shared" si="0"/>
        <v>1200000</v>
      </c>
      <c r="I7" s="241"/>
    </row>
    <row r="8" spans="1:9" ht="15.95" customHeight="1" x14ac:dyDescent="0.15">
      <c r="A8" s="649"/>
      <c r="B8" s="233"/>
      <c r="C8" s="240"/>
      <c r="D8" s="240"/>
      <c r="E8" s="240"/>
      <c r="F8" s="244"/>
      <c r="G8" s="244"/>
      <c r="H8" s="184">
        <f t="shared" ref="H8:H54" si="1">IF(F8=0,G8,G8*F8)</f>
        <v>0</v>
      </c>
      <c r="I8" s="241"/>
    </row>
    <row r="9" spans="1:9" ht="15.95" customHeight="1" x14ac:dyDescent="0.15">
      <c r="A9" s="649"/>
      <c r="B9" s="233"/>
      <c r="C9" s="240"/>
      <c r="D9" s="240"/>
      <c r="E9" s="240"/>
      <c r="F9" s="244"/>
      <c r="G9" s="244"/>
      <c r="H9" s="184">
        <f t="shared" si="1"/>
        <v>0</v>
      </c>
      <c r="I9" s="241"/>
    </row>
    <row r="10" spans="1:9" ht="15.95" customHeight="1" x14ac:dyDescent="0.15">
      <c r="A10" s="649"/>
      <c r="B10" s="233"/>
      <c r="C10" s="240"/>
      <c r="D10" s="240"/>
      <c r="E10" s="240"/>
      <c r="F10" s="244"/>
      <c r="G10" s="244"/>
      <c r="H10" s="184">
        <f t="shared" si="1"/>
        <v>0</v>
      </c>
      <c r="I10" s="241"/>
    </row>
    <row r="11" spans="1:9" ht="15.95" customHeight="1" x14ac:dyDescent="0.15">
      <c r="A11" s="649"/>
      <c r="B11" s="233"/>
      <c r="C11" s="240"/>
      <c r="D11" s="240"/>
      <c r="E11" s="240"/>
      <c r="F11" s="244"/>
      <c r="G11" s="244"/>
      <c r="H11" s="184">
        <f t="shared" si="1"/>
        <v>0</v>
      </c>
      <c r="I11" s="241"/>
    </row>
    <row r="12" spans="1:9" ht="15.95" customHeight="1" x14ac:dyDescent="0.15">
      <c r="A12" s="649"/>
      <c r="B12" s="233"/>
      <c r="C12" s="240"/>
      <c r="D12" s="240"/>
      <c r="E12" s="240"/>
      <c r="F12" s="244"/>
      <c r="G12" s="244"/>
      <c r="H12" s="184">
        <f t="shared" si="1"/>
        <v>0</v>
      </c>
      <c r="I12" s="241"/>
    </row>
    <row r="13" spans="1:9" ht="15.95" customHeight="1" x14ac:dyDescent="0.15">
      <c r="A13" s="649"/>
      <c r="B13" s="233"/>
      <c r="C13" s="240"/>
      <c r="D13" s="240"/>
      <c r="E13" s="240"/>
      <c r="F13" s="244"/>
      <c r="G13" s="244"/>
      <c r="H13" s="184">
        <f t="shared" si="1"/>
        <v>0</v>
      </c>
      <c r="I13" s="241"/>
    </row>
    <row r="14" spans="1:9" ht="15.95" customHeight="1" x14ac:dyDescent="0.15">
      <c r="A14" s="649"/>
      <c r="B14" s="233"/>
      <c r="C14" s="240"/>
      <c r="D14" s="240"/>
      <c r="E14" s="240"/>
      <c r="F14" s="244"/>
      <c r="G14" s="244"/>
      <c r="H14" s="184">
        <f t="shared" si="1"/>
        <v>0</v>
      </c>
      <c r="I14" s="241"/>
    </row>
    <row r="15" spans="1:9" ht="15.95" customHeight="1" x14ac:dyDescent="0.15">
      <c r="A15" s="649"/>
      <c r="B15" s="233"/>
      <c r="C15" s="240"/>
      <c r="D15" s="240"/>
      <c r="E15" s="240"/>
      <c r="F15" s="244"/>
      <c r="G15" s="244"/>
      <c r="H15" s="184">
        <f t="shared" si="1"/>
        <v>0</v>
      </c>
      <c r="I15" s="241"/>
    </row>
    <row r="16" spans="1:9" ht="15.95" customHeight="1" x14ac:dyDescent="0.15">
      <c r="A16" s="649"/>
      <c r="B16" s="233"/>
      <c r="C16" s="240"/>
      <c r="D16" s="240"/>
      <c r="E16" s="240"/>
      <c r="F16" s="244"/>
      <c r="G16" s="244"/>
      <c r="H16" s="184">
        <f t="shared" si="1"/>
        <v>0</v>
      </c>
      <c r="I16" s="241"/>
    </row>
    <row r="17" spans="1:9" ht="15.95" customHeight="1" x14ac:dyDescent="0.15">
      <c r="A17" s="649"/>
      <c r="B17" s="233"/>
      <c r="C17" s="240"/>
      <c r="D17" s="240"/>
      <c r="E17" s="240"/>
      <c r="F17" s="244"/>
      <c r="G17" s="244"/>
      <c r="H17" s="184">
        <f t="shared" si="1"/>
        <v>0</v>
      </c>
      <c r="I17" s="241"/>
    </row>
    <row r="18" spans="1:9" ht="15.95" customHeight="1" x14ac:dyDescent="0.15">
      <c r="A18" s="649"/>
      <c r="B18" s="233"/>
      <c r="C18" s="240"/>
      <c r="D18" s="240"/>
      <c r="E18" s="240"/>
      <c r="F18" s="244"/>
      <c r="G18" s="244"/>
      <c r="H18" s="184">
        <f t="shared" si="1"/>
        <v>0</v>
      </c>
      <c r="I18" s="241"/>
    </row>
    <row r="19" spans="1:9" ht="15.95" customHeight="1" x14ac:dyDescent="0.15">
      <c r="A19" s="649"/>
      <c r="B19" s="233"/>
      <c r="C19" s="240"/>
      <c r="D19" s="240"/>
      <c r="E19" s="240"/>
      <c r="F19" s="244"/>
      <c r="G19" s="244"/>
      <c r="H19" s="184">
        <f t="shared" si="1"/>
        <v>0</v>
      </c>
      <c r="I19" s="241"/>
    </row>
    <row r="20" spans="1:9" ht="15.95" customHeight="1" x14ac:dyDescent="0.15">
      <c r="A20" s="649"/>
      <c r="B20" s="233"/>
      <c r="C20" s="240"/>
      <c r="D20" s="240"/>
      <c r="E20" s="240"/>
      <c r="F20" s="244"/>
      <c r="G20" s="244"/>
      <c r="H20" s="184">
        <f t="shared" si="1"/>
        <v>0</v>
      </c>
      <c r="I20" s="241"/>
    </row>
    <row r="21" spans="1:9" ht="15.95" customHeight="1" x14ac:dyDescent="0.15">
      <c r="A21" s="649"/>
      <c r="B21" s="233"/>
      <c r="C21" s="240"/>
      <c r="D21" s="240"/>
      <c r="E21" s="240"/>
      <c r="F21" s="244"/>
      <c r="G21" s="244"/>
      <c r="H21" s="184">
        <f t="shared" si="1"/>
        <v>0</v>
      </c>
      <c r="I21" s="241"/>
    </row>
    <row r="22" spans="1:9" ht="15.95" customHeight="1" x14ac:dyDescent="0.15">
      <c r="A22" s="649"/>
      <c r="B22" s="233"/>
      <c r="C22" s="240"/>
      <c r="D22" s="240"/>
      <c r="E22" s="240"/>
      <c r="F22" s="244"/>
      <c r="G22" s="244"/>
      <c r="H22" s="184">
        <f t="shared" si="1"/>
        <v>0</v>
      </c>
      <c r="I22" s="241"/>
    </row>
    <row r="23" spans="1:9" ht="15.95" customHeight="1" x14ac:dyDescent="0.15">
      <c r="A23" s="649"/>
      <c r="B23" s="233"/>
      <c r="C23" s="469" t="s">
        <v>375</v>
      </c>
      <c r="D23" s="458"/>
      <c r="E23" s="459" t="s">
        <v>376</v>
      </c>
      <c r="F23" s="460">
        <v>1</v>
      </c>
      <c r="G23" s="460">
        <v>200000</v>
      </c>
      <c r="H23" s="475">
        <f t="shared" si="1"/>
        <v>200000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7550000</v>
      </c>
      <c r="I24" s="276"/>
    </row>
    <row r="25" spans="1:9" ht="15.95" customHeight="1" x14ac:dyDescent="0.15">
      <c r="A25" s="649"/>
      <c r="B25" s="233" t="s">
        <v>250</v>
      </c>
      <c r="C25" s="234"/>
      <c r="D25" s="234"/>
      <c r="E25" s="234"/>
      <c r="F25" s="237"/>
      <c r="G25" s="237"/>
      <c r="H25" s="238">
        <f t="shared" si="1"/>
        <v>0</v>
      </c>
      <c r="I25" s="239"/>
    </row>
    <row r="26" spans="1:9" ht="15.95" customHeight="1" x14ac:dyDescent="0.15">
      <c r="A26" s="649"/>
      <c r="B26" s="233" t="s">
        <v>251</v>
      </c>
      <c r="C26" s="240"/>
      <c r="D26" s="240"/>
      <c r="E26" s="240"/>
      <c r="F26" s="244"/>
      <c r="G26" s="244"/>
      <c r="H26" s="184">
        <f t="shared" si="1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1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1"/>
        <v>0</v>
      </c>
      <c r="I28" s="241"/>
    </row>
    <row r="29" spans="1:9" ht="15.95" customHeight="1" x14ac:dyDescent="0.15">
      <c r="A29" s="649"/>
      <c r="B29" s="233"/>
      <c r="C29" s="245" t="s">
        <v>245</v>
      </c>
      <c r="D29" s="245"/>
      <c r="E29" s="245"/>
      <c r="F29" s="248"/>
      <c r="G29" s="248"/>
      <c r="H29" s="184">
        <f t="shared" si="1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252</v>
      </c>
      <c r="C31" s="441" t="s">
        <v>377</v>
      </c>
      <c r="D31" s="441"/>
      <c r="E31" s="441" t="s">
        <v>370</v>
      </c>
      <c r="F31" s="443">
        <v>20</v>
      </c>
      <c r="G31" s="443">
        <v>18000</v>
      </c>
      <c r="H31" s="262">
        <f t="shared" ref="H31" si="2">IF(F31=0,G31,G31*F31)</f>
        <v>360000</v>
      </c>
      <c r="I31" s="263"/>
    </row>
    <row r="32" spans="1:9" ht="15.95" customHeight="1" x14ac:dyDescent="0.15">
      <c r="A32" s="649"/>
      <c r="B32" s="233" t="s">
        <v>253</v>
      </c>
      <c r="C32" s="240"/>
      <c r="D32" s="240"/>
      <c r="E32" s="240"/>
      <c r="F32" s="244"/>
      <c r="G32" s="244"/>
      <c r="H32" s="184">
        <f t="shared" si="1"/>
        <v>0</v>
      </c>
      <c r="I32" s="241"/>
    </row>
    <row r="33" spans="1:9" ht="15.95" customHeight="1" x14ac:dyDescent="0.15">
      <c r="A33" s="649"/>
      <c r="B33" s="233"/>
      <c r="C33" s="240"/>
      <c r="D33" s="240"/>
      <c r="E33" s="240"/>
      <c r="F33" s="244"/>
      <c r="G33" s="244"/>
      <c r="H33" s="184">
        <f t="shared" si="1"/>
        <v>0</v>
      </c>
      <c r="I33" s="241"/>
    </row>
    <row r="34" spans="1:9" ht="15.95" customHeight="1" x14ac:dyDescent="0.15">
      <c r="A34" s="649"/>
      <c r="B34" s="233"/>
      <c r="C34" s="240"/>
      <c r="D34" s="240"/>
      <c r="E34" s="240"/>
      <c r="F34" s="244"/>
      <c r="G34" s="244"/>
      <c r="H34" s="184">
        <f t="shared" si="1"/>
        <v>0</v>
      </c>
      <c r="I34" s="241"/>
    </row>
    <row r="35" spans="1:9" ht="15.95" customHeight="1" x14ac:dyDescent="0.15">
      <c r="A35" s="649"/>
      <c r="B35" s="233"/>
      <c r="C35" s="240"/>
      <c r="D35" s="240"/>
      <c r="E35" s="240"/>
      <c r="F35" s="244"/>
      <c r="G35" s="244"/>
      <c r="H35" s="184">
        <f t="shared" si="1"/>
        <v>0</v>
      </c>
      <c r="I35" s="241"/>
    </row>
    <row r="36" spans="1:9" ht="15.95" customHeight="1" x14ac:dyDescent="0.15">
      <c r="A36" s="649"/>
      <c r="B36" s="233"/>
      <c r="C36" s="240"/>
      <c r="D36" s="240"/>
      <c r="E36" s="240"/>
      <c r="F36" s="244"/>
      <c r="G36" s="244"/>
      <c r="H36" s="184">
        <f t="shared" si="1"/>
        <v>0</v>
      </c>
      <c r="I36" s="241"/>
    </row>
    <row r="37" spans="1:9" ht="15.95" customHeight="1" x14ac:dyDescent="0.15">
      <c r="A37" s="649"/>
      <c r="B37" s="233"/>
      <c r="C37" s="240"/>
      <c r="D37" s="240"/>
      <c r="E37" s="240"/>
      <c r="F37" s="244"/>
      <c r="G37" s="244"/>
      <c r="H37" s="184">
        <f t="shared" si="1"/>
        <v>0</v>
      </c>
      <c r="I37" s="241"/>
    </row>
    <row r="38" spans="1:9" ht="15.95" customHeight="1" x14ac:dyDescent="0.15">
      <c r="A38" s="649"/>
      <c r="B38" s="233"/>
      <c r="C38" s="240"/>
      <c r="D38" s="240"/>
      <c r="E38" s="240"/>
      <c r="F38" s="244"/>
      <c r="G38" s="244"/>
      <c r="H38" s="184">
        <f t="shared" si="1"/>
        <v>0</v>
      </c>
      <c r="I38" s="241"/>
    </row>
    <row r="39" spans="1:9" ht="15.95" customHeight="1" x14ac:dyDescent="0.15">
      <c r="A39" s="649"/>
      <c r="B39" s="233"/>
      <c r="C39" s="240"/>
      <c r="D39" s="240"/>
      <c r="E39" s="240"/>
      <c r="F39" s="244"/>
      <c r="G39" s="244"/>
      <c r="H39" s="184">
        <f t="shared" si="1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1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1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1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1"/>
        <v>0</v>
      </c>
      <c r="I43" s="241"/>
    </row>
    <row r="44" spans="1:9" ht="15.95" customHeight="1" x14ac:dyDescent="0.15">
      <c r="A44" s="649"/>
      <c r="B44" s="233"/>
      <c r="C44" s="240"/>
      <c r="D44" s="240"/>
      <c r="E44" s="240"/>
      <c r="F44" s="244"/>
      <c r="G44" s="244"/>
      <c r="H44" s="184">
        <f t="shared" si="1"/>
        <v>0</v>
      </c>
      <c r="I44" s="241"/>
    </row>
    <row r="45" spans="1:9" ht="15.95" customHeight="1" x14ac:dyDescent="0.15">
      <c r="A45" s="649"/>
      <c r="B45" s="233"/>
      <c r="C45" s="240"/>
      <c r="D45" s="240"/>
      <c r="E45" s="240"/>
      <c r="F45" s="244"/>
      <c r="G45" s="244"/>
      <c r="H45" s="184">
        <f t="shared" si="1"/>
        <v>0</v>
      </c>
      <c r="I45" s="241"/>
    </row>
    <row r="46" spans="1:9" ht="15.95" customHeight="1" x14ac:dyDescent="0.15">
      <c r="A46" s="649"/>
      <c r="B46" s="233"/>
      <c r="C46" s="469" t="s">
        <v>285</v>
      </c>
      <c r="D46" s="469"/>
      <c r="E46" s="470" t="s">
        <v>284</v>
      </c>
      <c r="F46" s="471">
        <v>1</v>
      </c>
      <c r="G46" s="471">
        <v>100000</v>
      </c>
      <c r="H46" s="472">
        <f t="shared" si="1"/>
        <v>100000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460000</v>
      </c>
      <c r="I47" s="256"/>
    </row>
    <row r="48" spans="1:9" ht="15.95" customHeight="1" x14ac:dyDescent="0.15">
      <c r="A48" s="649"/>
      <c r="B48" s="277" t="s">
        <v>244</v>
      </c>
      <c r="C48" s="258"/>
      <c r="D48" s="258"/>
      <c r="E48" s="258"/>
      <c r="F48" s="261"/>
      <c r="G48" s="261"/>
      <c r="H48" s="262">
        <f t="shared" si="1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1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1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1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1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1"/>
        <v>0</v>
      </c>
      <c r="I53" s="241"/>
    </row>
    <row r="54" spans="1:9" ht="15.95" customHeight="1" x14ac:dyDescent="0.15">
      <c r="A54" s="649"/>
      <c r="B54" s="233"/>
      <c r="C54" s="245" t="s">
        <v>245</v>
      </c>
      <c r="D54" s="245"/>
      <c r="E54" s="245"/>
      <c r="F54" s="248"/>
      <c r="G54" s="248"/>
      <c r="H54" s="278">
        <f t="shared" si="1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246</v>
      </c>
      <c r="C56" s="281"/>
      <c r="D56" s="256"/>
      <c r="E56" s="256"/>
      <c r="F56" s="283"/>
      <c r="G56" s="283"/>
      <c r="H56" s="255">
        <f>SUM(H55,H47,H30,H24)</f>
        <v>8010000</v>
      </c>
      <c r="I56" s="256"/>
    </row>
    <row r="57" spans="1:9" ht="15.95" customHeight="1" x14ac:dyDescent="0.15">
      <c r="A57" s="650" t="s">
        <v>247</v>
      </c>
      <c r="B57" s="284" t="s">
        <v>248</v>
      </c>
      <c r="C57" s="281"/>
      <c r="D57" s="285"/>
      <c r="E57" s="311" t="s">
        <v>249</v>
      </c>
      <c r="F57" s="393">
        <v>1</v>
      </c>
      <c r="G57" s="393">
        <v>300000</v>
      </c>
      <c r="H57" s="288">
        <f>F57*G57</f>
        <v>300000</v>
      </c>
      <c r="I57" s="256"/>
    </row>
    <row r="58" spans="1:9" ht="15.95" customHeight="1" x14ac:dyDescent="0.15">
      <c r="A58" s="649"/>
      <c r="B58" s="289" t="s">
        <v>254</v>
      </c>
      <c r="C58" s="290"/>
      <c r="D58" s="291"/>
      <c r="E58" s="312" t="s">
        <v>148</v>
      </c>
      <c r="F58" s="443">
        <v>1</v>
      </c>
      <c r="G58" s="394">
        <v>300000</v>
      </c>
      <c r="H58" s="262">
        <f t="shared" ref="H58:H64" si="3">F58*G58</f>
        <v>300000</v>
      </c>
      <c r="I58" s="263"/>
    </row>
    <row r="59" spans="1:9" ht="15.95" customHeight="1" x14ac:dyDescent="0.15">
      <c r="A59" s="649"/>
      <c r="B59" s="315" t="s">
        <v>255</v>
      </c>
      <c r="C59" s="294"/>
      <c r="D59" s="295"/>
      <c r="E59" s="313" t="s">
        <v>148</v>
      </c>
      <c r="F59" s="446">
        <v>1</v>
      </c>
      <c r="G59" s="392">
        <v>250000</v>
      </c>
      <c r="H59" s="184">
        <f t="shared" si="3"/>
        <v>250000</v>
      </c>
      <c r="I59" s="241"/>
    </row>
    <row r="60" spans="1:9" ht="15.95" customHeight="1" x14ac:dyDescent="0.15">
      <c r="A60" s="649"/>
      <c r="B60" s="293" t="s">
        <v>256</v>
      </c>
      <c r="C60" s="294"/>
      <c r="D60" s="295"/>
      <c r="E60" s="313" t="s">
        <v>148</v>
      </c>
      <c r="F60" s="446">
        <v>1</v>
      </c>
      <c r="G60" s="392">
        <v>250000</v>
      </c>
      <c r="H60" s="184">
        <f t="shared" si="3"/>
        <v>250000</v>
      </c>
      <c r="I60" s="241"/>
    </row>
    <row r="61" spans="1:9" ht="15.95" customHeight="1" x14ac:dyDescent="0.15">
      <c r="A61" s="649"/>
      <c r="B61" s="293" t="s">
        <v>257</v>
      </c>
      <c r="C61" s="294"/>
      <c r="D61" s="295"/>
      <c r="E61" s="313" t="s">
        <v>148</v>
      </c>
      <c r="F61" s="446">
        <v>1</v>
      </c>
      <c r="G61" s="390">
        <v>300000</v>
      </c>
      <c r="H61" s="184">
        <f t="shared" si="3"/>
        <v>300000</v>
      </c>
      <c r="I61" s="241"/>
    </row>
    <row r="62" spans="1:9" ht="15.95" customHeight="1" x14ac:dyDescent="0.15">
      <c r="A62" s="649"/>
      <c r="B62" s="293" t="s">
        <v>258</v>
      </c>
      <c r="C62" s="294"/>
      <c r="D62" s="295"/>
      <c r="E62" s="313" t="s">
        <v>148</v>
      </c>
      <c r="F62" s="446">
        <v>1</v>
      </c>
      <c r="G62" s="390">
        <v>300000</v>
      </c>
      <c r="H62" s="184">
        <f t="shared" si="3"/>
        <v>300000</v>
      </c>
      <c r="I62" s="241"/>
    </row>
    <row r="63" spans="1:9" ht="15.95" customHeight="1" x14ac:dyDescent="0.15">
      <c r="A63" s="649"/>
      <c r="B63" s="293" t="s">
        <v>259</v>
      </c>
      <c r="C63" s="294"/>
      <c r="D63" s="295"/>
      <c r="E63" s="313" t="s">
        <v>148</v>
      </c>
      <c r="F63" s="446">
        <v>1</v>
      </c>
      <c r="G63" s="390">
        <v>300000</v>
      </c>
      <c r="H63" s="184">
        <f t="shared" si="3"/>
        <v>300000</v>
      </c>
      <c r="I63" s="241"/>
    </row>
    <row r="64" spans="1:9" ht="15.95" customHeight="1" x14ac:dyDescent="0.15">
      <c r="A64" s="649"/>
      <c r="B64" s="297" t="s">
        <v>260</v>
      </c>
      <c r="C64" s="298"/>
      <c r="D64" s="299"/>
      <c r="E64" s="314" t="s">
        <v>148</v>
      </c>
      <c r="F64" s="471">
        <v>1</v>
      </c>
      <c r="G64" s="395">
        <v>250000</v>
      </c>
      <c r="H64" s="278">
        <f t="shared" si="3"/>
        <v>250000</v>
      </c>
      <c r="I64" s="249"/>
    </row>
    <row r="65" spans="1:9" ht="15.95" customHeight="1" x14ac:dyDescent="0.15">
      <c r="A65" s="279"/>
      <c r="B65" s="301" t="s">
        <v>261</v>
      </c>
      <c r="C65" s="281"/>
      <c r="D65" s="256"/>
      <c r="E65" s="256"/>
      <c r="F65" s="254"/>
      <c r="G65" s="254"/>
      <c r="H65" s="254">
        <f>SUM(H57:H64)</f>
        <v>2250000</v>
      </c>
      <c r="I65" s="252"/>
    </row>
    <row r="66" spans="1:9" ht="15.95" customHeight="1" x14ac:dyDescent="0.15">
      <c r="A66" s="302"/>
      <c r="B66" s="301" t="s">
        <v>262</v>
      </c>
      <c r="C66" s="281"/>
      <c r="D66" s="256"/>
      <c r="E66" s="256"/>
      <c r="F66" s="255"/>
      <c r="G66" s="255"/>
      <c r="H66" s="283">
        <f>'단위공사별(집계)'!L15+'단위공사별(집계)'!I15</f>
        <v>66585.709130277886</v>
      </c>
      <c r="I66" s="256"/>
    </row>
    <row r="67" spans="1:9" ht="15.95" customHeight="1" x14ac:dyDescent="0.15">
      <c r="A67" s="302"/>
      <c r="B67" s="301" t="s">
        <v>263</v>
      </c>
      <c r="C67" s="281"/>
      <c r="D67" s="256"/>
      <c r="E67" s="256"/>
      <c r="F67" s="255"/>
      <c r="G67" s="304"/>
      <c r="H67" s="393">
        <f>(H65+H56)*0</f>
        <v>0</v>
      </c>
      <c r="I67" s="281"/>
    </row>
    <row r="68" spans="1:9" ht="15.95" customHeight="1" x14ac:dyDescent="0.15">
      <c r="A68" s="302"/>
      <c r="B68" s="301" t="s">
        <v>264</v>
      </c>
      <c r="C68" s="281"/>
      <c r="D68" s="256"/>
      <c r="E68" s="256"/>
      <c r="F68" s="255"/>
      <c r="G68" s="304"/>
      <c r="H68" s="393">
        <f>(H65+H56)*0</f>
        <v>0</v>
      </c>
      <c r="I68" s="281"/>
    </row>
    <row r="69" spans="1:9" ht="15.95" customHeight="1" x14ac:dyDescent="0.15">
      <c r="A69" s="302"/>
      <c r="B69" s="301" t="s">
        <v>265</v>
      </c>
      <c r="C69" s="281"/>
      <c r="D69" s="256"/>
      <c r="E69" s="256"/>
      <c r="F69" s="255"/>
      <c r="G69" s="255"/>
      <c r="H69" s="254">
        <f>H56+H65+H66+H67+H68</f>
        <v>10326585.709130278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ignoredErrors>
    <ignoredError sqref="H24 H30 H47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70"/>
  <sheetViews>
    <sheetView zoomScaleNormal="100" workbookViewId="0">
      <pane xSplit="2" ySplit="2" topLeftCell="C45" activePane="bottomRight" state="frozen"/>
      <selection activeCell="G33" sqref="G33:I33"/>
      <selection pane="topRight" activeCell="G33" sqref="G33:I33"/>
      <selection pane="bottomLeft" activeCell="G33" sqref="G33:I33"/>
      <selection pane="bottomRight" activeCell="H74" sqref="H74"/>
    </sheetView>
  </sheetViews>
  <sheetFormatPr defaultRowHeight="13.5" x14ac:dyDescent="0.15"/>
  <cols>
    <col min="1" max="1" width="5" style="134" customWidth="1"/>
    <col min="2" max="2" width="17.875" style="134" bestFit="1" customWidth="1"/>
    <col min="3" max="3" width="23.625" style="134" customWidth="1"/>
    <col min="4" max="4" width="18.25" style="134" customWidth="1"/>
    <col min="5" max="5" width="5.25" style="134" bestFit="1" customWidth="1"/>
    <col min="6" max="6" width="9" style="173"/>
    <col min="7" max="7" width="11.875" style="173" customWidth="1"/>
    <col min="8" max="8" width="13.625" style="173" customWidth="1"/>
    <col min="9" max="9" width="12.75" style="134" customWidth="1"/>
    <col min="10" max="16384" width="9" style="134"/>
  </cols>
  <sheetData>
    <row r="1" spans="1:9" ht="22.5" customHeight="1" x14ac:dyDescent="0.15">
      <c r="B1" s="225" t="s">
        <v>232</v>
      </c>
      <c r="C1" s="307" t="s">
        <v>395</v>
      </c>
      <c r="D1" s="227"/>
      <c r="E1" s="227"/>
      <c r="F1" s="308"/>
      <c r="G1" s="187"/>
      <c r="I1" s="134" t="s">
        <v>233</v>
      </c>
    </row>
    <row r="2" spans="1:9" s="151" customFormat="1" ht="16.5" customHeight="1" x14ac:dyDescent="0.15">
      <c r="A2" s="527" t="s">
        <v>234</v>
      </c>
      <c r="B2" s="642"/>
      <c r="C2" s="142" t="s">
        <v>235</v>
      </c>
      <c r="D2" s="135" t="s">
        <v>236</v>
      </c>
      <c r="E2" s="135" t="s">
        <v>237</v>
      </c>
      <c r="F2" s="282" t="s">
        <v>238</v>
      </c>
      <c r="G2" s="282" t="s">
        <v>239</v>
      </c>
      <c r="H2" s="282" t="s">
        <v>240</v>
      </c>
      <c r="I2" s="135" t="s">
        <v>241</v>
      </c>
    </row>
    <row r="3" spans="1:9" ht="15.95" customHeight="1" x14ac:dyDescent="0.15">
      <c r="A3" s="643" t="s">
        <v>242</v>
      </c>
      <c r="B3" s="233" t="s">
        <v>243</v>
      </c>
      <c r="C3" s="484" t="s">
        <v>378</v>
      </c>
      <c r="D3" s="484"/>
      <c r="E3" s="485" t="s">
        <v>284</v>
      </c>
      <c r="F3" s="487">
        <v>2</v>
      </c>
      <c r="G3" s="487">
        <v>2000000</v>
      </c>
      <c r="H3" s="483">
        <v>4000000</v>
      </c>
      <c r="I3" s="263"/>
    </row>
    <row r="4" spans="1:9" ht="15.95" customHeight="1" x14ac:dyDescent="0.15">
      <c r="A4" s="649"/>
      <c r="B4" s="233"/>
      <c r="C4" s="484" t="s">
        <v>379</v>
      </c>
      <c r="D4" s="484"/>
      <c r="E4" s="485" t="s">
        <v>284</v>
      </c>
      <c r="F4" s="487">
        <v>2</v>
      </c>
      <c r="G4" s="487">
        <v>1000000</v>
      </c>
      <c r="H4" s="483">
        <v>2000000</v>
      </c>
      <c r="I4" s="241"/>
    </row>
    <row r="5" spans="1:9" ht="15.95" customHeight="1" x14ac:dyDescent="0.15">
      <c r="A5" s="649"/>
      <c r="B5" s="233"/>
      <c r="C5" s="240"/>
      <c r="D5" s="240"/>
      <c r="E5" s="438"/>
      <c r="F5" s="244"/>
      <c r="G5" s="244"/>
      <c r="H5" s="184">
        <f t="shared" ref="H5:H54" si="0">IF(F5=0,G5,G5*F5)</f>
        <v>0</v>
      </c>
      <c r="I5" s="241"/>
    </row>
    <row r="6" spans="1:9" ht="15.95" customHeight="1" x14ac:dyDescent="0.15">
      <c r="A6" s="649"/>
      <c r="B6" s="233"/>
      <c r="C6" s="240"/>
      <c r="D6" s="240"/>
      <c r="E6" s="438"/>
      <c r="F6" s="440"/>
      <c r="G6" s="440"/>
      <c r="H6" s="184">
        <f t="shared" si="0"/>
        <v>0</v>
      </c>
      <c r="I6" s="241"/>
    </row>
    <row r="7" spans="1:9" ht="15.95" customHeight="1" x14ac:dyDescent="0.15">
      <c r="A7" s="649"/>
      <c r="B7" s="233"/>
      <c r="C7" s="437"/>
      <c r="D7" s="240"/>
      <c r="E7" s="438"/>
      <c r="F7" s="244"/>
      <c r="G7" s="244"/>
      <c r="H7" s="184">
        <f t="shared" si="0"/>
        <v>0</v>
      </c>
      <c r="I7" s="241"/>
    </row>
    <row r="8" spans="1:9" ht="15.95" customHeight="1" x14ac:dyDescent="0.15">
      <c r="A8" s="649"/>
      <c r="B8" s="233"/>
      <c r="C8" s="437"/>
      <c r="D8" s="437"/>
      <c r="E8" s="438"/>
      <c r="F8" s="440"/>
      <c r="G8" s="244"/>
      <c r="H8" s="184">
        <f t="shared" si="0"/>
        <v>0</v>
      </c>
      <c r="I8" s="241"/>
    </row>
    <row r="9" spans="1:9" ht="15.95" customHeight="1" x14ac:dyDescent="0.15">
      <c r="A9" s="649"/>
      <c r="B9" s="233"/>
      <c r="C9" s="437"/>
      <c r="D9" s="437"/>
      <c r="E9" s="438"/>
      <c r="F9" s="440"/>
      <c r="G9" s="440"/>
      <c r="H9" s="184">
        <f t="shared" si="0"/>
        <v>0</v>
      </c>
      <c r="I9" s="241"/>
    </row>
    <row r="10" spans="1:9" ht="15.95" customHeight="1" x14ac:dyDescent="0.15">
      <c r="A10" s="649"/>
      <c r="B10" s="233"/>
      <c r="C10" s="240"/>
      <c r="D10" s="240"/>
      <c r="E10" s="438"/>
      <c r="F10" s="244"/>
      <c r="G10" s="244"/>
      <c r="H10" s="184">
        <f t="shared" si="0"/>
        <v>0</v>
      </c>
      <c r="I10" s="241"/>
    </row>
    <row r="11" spans="1:9" ht="15.95" customHeight="1" x14ac:dyDescent="0.15">
      <c r="A11" s="649"/>
      <c r="B11" s="233"/>
      <c r="C11" s="240"/>
      <c r="D11" s="240"/>
      <c r="E11" s="438"/>
      <c r="F11" s="244"/>
      <c r="G11" s="244"/>
      <c r="H11" s="184">
        <f t="shared" si="0"/>
        <v>0</v>
      </c>
      <c r="I11" s="241"/>
    </row>
    <row r="12" spans="1:9" ht="15.95" customHeight="1" x14ac:dyDescent="0.15">
      <c r="A12" s="649"/>
      <c r="B12" s="233"/>
      <c r="C12" s="240"/>
      <c r="D12" s="240"/>
      <c r="E12" s="438"/>
      <c r="F12" s="244"/>
      <c r="G12" s="244"/>
      <c r="H12" s="184">
        <f t="shared" si="0"/>
        <v>0</v>
      </c>
      <c r="I12" s="241"/>
    </row>
    <row r="13" spans="1:9" ht="15.95" customHeight="1" x14ac:dyDescent="0.15">
      <c r="A13" s="649"/>
      <c r="B13" s="233"/>
      <c r="C13" s="240"/>
      <c r="D13" s="240"/>
      <c r="E13" s="438"/>
      <c r="F13" s="244"/>
      <c r="G13" s="244"/>
      <c r="H13" s="184">
        <f t="shared" si="0"/>
        <v>0</v>
      </c>
      <c r="I13" s="241"/>
    </row>
    <row r="14" spans="1:9" ht="15.95" customHeight="1" x14ac:dyDescent="0.15">
      <c r="A14" s="649"/>
      <c r="B14" s="233"/>
      <c r="C14" s="240"/>
      <c r="D14" s="240"/>
      <c r="E14" s="438"/>
      <c r="F14" s="244"/>
      <c r="G14" s="244"/>
      <c r="H14" s="184">
        <f t="shared" si="0"/>
        <v>0</v>
      </c>
      <c r="I14" s="241"/>
    </row>
    <row r="15" spans="1:9" ht="15.95" customHeight="1" x14ac:dyDescent="0.15">
      <c r="A15" s="649"/>
      <c r="B15" s="233"/>
      <c r="C15" s="240"/>
      <c r="D15" s="240"/>
      <c r="E15" s="438"/>
      <c r="F15" s="244"/>
      <c r="G15" s="244"/>
      <c r="H15" s="184">
        <f t="shared" si="0"/>
        <v>0</v>
      </c>
      <c r="I15" s="241"/>
    </row>
    <row r="16" spans="1:9" ht="15.95" customHeight="1" x14ac:dyDescent="0.15">
      <c r="A16" s="649"/>
      <c r="B16" s="233"/>
      <c r="C16" s="240"/>
      <c r="D16" s="240"/>
      <c r="E16" s="438"/>
      <c r="F16" s="244"/>
      <c r="G16" s="244"/>
      <c r="H16" s="184">
        <f t="shared" si="0"/>
        <v>0</v>
      </c>
      <c r="I16" s="241"/>
    </row>
    <row r="17" spans="1:9" ht="15.95" customHeight="1" x14ac:dyDescent="0.15">
      <c r="A17" s="649"/>
      <c r="B17" s="233"/>
      <c r="C17" s="240"/>
      <c r="D17" s="240"/>
      <c r="E17" s="438"/>
      <c r="F17" s="244"/>
      <c r="G17" s="244"/>
      <c r="H17" s="184">
        <f t="shared" si="0"/>
        <v>0</v>
      </c>
      <c r="I17" s="241"/>
    </row>
    <row r="18" spans="1:9" ht="15.95" customHeight="1" x14ac:dyDescent="0.15">
      <c r="A18" s="649"/>
      <c r="B18" s="233"/>
      <c r="C18" s="240"/>
      <c r="D18" s="240"/>
      <c r="E18" s="438"/>
      <c r="F18" s="244"/>
      <c r="G18" s="244"/>
      <c r="H18" s="184">
        <f t="shared" si="0"/>
        <v>0</v>
      </c>
      <c r="I18" s="241"/>
    </row>
    <row r="19" spans="1:9" ht="15.95" customHeight="1" x14ac:dyDescent="0.15">
      <c r="A19" s="649"/>
      <c r="B19" s="233"/>
      <c r="C19" s="240"/>
      <c r="D19" s="240"/>
      <c r="E19" s="438"/>
      <c r="F19" s="244"/>
      <c r="G19" s="244"/>
      <c r="H19" s="184">
        <f t="shared" si="0"/>
        <v>0</v>
      </c>
      <c r="I19" s="241"/>
    </row>
    <row r="20" spans="1:9" ht="15.95" customHeight="1" x14ac:dyDescent="0.15">
      <c r="A20" s="649"/>
      <c r="B20" s="233"/>
      <c r="C20" s="240"/>
      <c r="D20" s="240"/>
      <c r="E20" s="438"/>
      <c r="F20" s="244"/>
      <c r="G20" s="244"/>
      <c r="H20" s="184">
        <f t="shared" si="0"/>
        <v>0</v>
      </c>
      <c r="I20" s="241"/>
    </row>
    <row r="21" spans="1:9" ht="15.95" customHeight="1" x14ac:dyDescent="0.15">
      <c r="A21" s="649"/>
      <c r="B21" s="233"/>
      <c r="C21" s="240"/>
      <c r="D21" s="240"/>
      <c r="E21" s="438"/>
      <c r="F21" s="244"/>
      <c r="G21" s="244"/>
      <c r="H21" s="184">
        <f t="shared" si="0"/>
        <v>0</v>
      </c>
      <c r="I21" s="241"/>
    </row>
    <row r="22" spans="1:9" ht="15.95" customHeight="1" x14ac:dyDescent="0.15">
      <c r="A22" s="649"/>
      <c r="B22" s="233"/>
      <c r="C22" s="240"/>
      <c r="D22" s="240"/>
      <c r="E22" s="438"/>
      <c r="F22" s="244"/>
      <c r="G22" s="244"/>
      <c r="H22" s="184">
        <f t="shared" si="0"/>
        <v>0</v>
      </c>
      <c r="I22" s="241"/>
    </row>
    <row r="23" spans="1:9" ht="15.95" customHeight="1" x14ac:dyDescent="0.15">
      <c r="A23" s="649"/>
      <c r="B23" s="233"/>
      <c r="C23" s="491" t="s">
        <v>380</v>
      </c>
      <c r="D23" s="488"/>
      <c r="E23" s="490" t="s">
        <v>284</v>
      </c>
      <c r="F23" s="489">
        <v>1</v>
      </c>
      <c r="G23" s="489">
        <v>200000</v>
      </c>
      <c r="H23" s="268">
        <f t="shared" si="0"/>
        <v>200000</v>
      </c>
      <c r="I23" s="269"/>
    </row>
    <row r="24" spans="1:9" ht="15.95" customHeight="1" x14ac:dyDescent="0.15">
      <c r="A24" s="649"/>
      <c r="B24" s="250"/>
      <c r="C24" s="276"/>
      <c r="D24" s="276"/>
      <c r="E24" s="276"/>
      <c r="F24" s="274"/>
      <c r="G24" s="274"/>
      <c r="H24" s="275">
        <f>SUM(H3:H23)</f>
        <v>6200000</v>
      </c>
      <c r="I24" s="276"/>
    </row>
    <row r="25" spans="1:9" ht="15.95" customHeight="1" x14ac:dyDescent="0.15">
      <c r="A25" s="649"/>
      <c r="B25" s="233" t="s">
        <v>250</v>
      </c>
      <c r="C25" s="234"/>
      <c r="D25" s="234"/>
      <c r="E25" s="234"/>
      <c r="F25" s="237"/>
      <c r="G25" s="237"/>
      <c r="H25" s="238">
        <f t="shared" si="0"/>
        <v>0</v>
      </c>
      <c r="I25" s="239"/>
    </row>
    <row r="26" spans="1:9" ht="15.95" customHeight="1" x14ac:dyDescent="0.15">
      <c r="A26" s="649"/>
      <c r="B26" s="233" t="s">
        <v>251</v>
      </c>
      <c r="C26" s="240"/>
      <c r="D26" s="240"/>
      <c r="E26" s="240"/>
      <c r="F26" s="244"/>
      <c r="G26" s="244"/>
      <c r="H26" s="184">
        <f t="shared" si="0"/>
        <v>0</v>
      </c>
      <c r="I26" s="241"/>
    </row>
    <row r="27" spans="1:9" ht="15.95" customHeight="1" x14ac:dyDescent="0.15">
      <c r="A27" s="649"/>
      <c r="B27" s="233"/>
      <c r="C27" s="240"/>
      <c r="D27" s="240"/>
      <c r="E27" s="240"/>
      <c r="F27" s="244"/>
      <c r="G27" s="244"/>
      <c r="H27" s="184">
        <f t="shared" si="0"/>
        <v>0</v>
      </c>
      <c r="I27" s="241"/>
    </row>
    <row r="28" spans="1:9" ht="15.95" customHeight="1" x14ac:dyDescent="0.15">
      <c r="A28" s="649"/>
      <c r="B28" s="233"/>
      <c r="C28" s="240"/>
      <c r="D28" s="240"/>
      <c r="E28" s="240"/>
      <c r="F28" s="244"/>
      <c r="G28" s="244"/>
      <c r="H28" s="184">
        <f t="shared" si="0"/>
        <v>0</v>
      </c>
      <c r="I28" s="241"/>
    </row>
    <row r="29" spans="1:9" ht="15.95" customHeight="1" x14ac:dyDescent="0.15">
      <c r="A29" s="649"/>
      <c r="B29" s="233"/>
      <c r="C29" s="245" t="s">
        <v>245</v>
      </c>
      <c r="D29" s="245"/>
      <c r="E29" s="245"/>
      <c r="F29" s="248"/>
      <c r="G29" s="248"/>
      <c r="H29" s="184">
        <f t="shared" si="0"/>
        <v>0</v>
      </c>
      <c r="I29" s="249"/>
    </row>
    <row r="30" spans="1:9" ht="15.95" customHeight="1" x14ac:dyDescent="0.15">
      <c r="A30" s="649"/>
      <c r="B30" s="250"/>
      <c r="C30" s="251"/>
      <c r="D30" s="252"/>
      <c r="E30" s="252"/>
      <c r="F30" s="310"/>
      <c r="G30" s="254"/>
      <c r="H30" s="255">
        <f>SUM(H25:H29)</f>
        <v>0</v>
      </c>
      <c r="I30" s="256"/>
    </row>
    <row r="31" spans="1:9" ht="15.95" customHeight="1" x14ac:dyDescent="0.15">
      <c r="A31" s="649"/>
      <c r="B31" s="277" t="s">
        <v>252</v>
      </c>
      <c r="C31" s="496" t="s">
        <v>378</v>
      </c>
      <c r="D31" s="496" t="s">
        <v>381</v>
      </c>
      <c r="E31" s="497" t="s">
        <v>284</v>
      </c>
      <c r="F31" s="498">
        <v>2</v>
      </c>
      <c r="G31" s="498">
        <v>20000000</v>
      </c>
      <c r="H31" s="499">
        <v>40000000</v>
      </c>
      <c r="I31" s="263"/>
    </row>
    <row r="32" spans="1:9" ht="15.95" customHeight="1" x14ac:dyDescent="0.15">
      <c r="A32" s="649"/>
      <c r="B32" s="233" t="s">
        <v>253</v>
      </c>
      <c r="C32" s="493" t="s">
        <v>379</v>
      </c>
      <c r="D32" s="493" t="s">
        <v>382</v>
      </c>
      <c r="E32" s="494" t="s">
        <v>284</v>
      </c>
      <c r="F32" s="495">
        <v>2</v>
      </c>
      <c r="G32" s="495">
        <v>1000000</v>
      </c>
      <c r="H32" s="492">
        <v>2000000</v>
      </c>
      <c r="I32" s="241"/>
    </row>
    <row r="33" spans="1:9" ht="15.95" customHeight="1" x14ac:dyDescent="0.15">
      <c r="A33" s="649"/>
      <c r="B33" s="233"/>
      <c r="C33" s="493" t="s">
        <v>383</v>
      </c>
      <c r="D33" s="493"/>
      <c r="E33" s="494" t="s">
        <v>384</v>
      </c>
      <c r="F33" s="495">
        <v>4</v>
      </c>
      <c r="G33" s="495">
        <v>40000</v>
      </c>
      <c r="H33" s="492">
        <v>160000</v>
      </c>
      <c r="I33" s="241"/>
    </row>
    <row r="34" spans="1:9" ht="15.95" customHeight="1" x14ac:dyDescent="0.15">
      <c r="A34" s="649"/>
      <c r="B34" s="233"/>
      <c r="C34" s="493"/>
      <c r="D34" s="493"/>
      <c r="E34" s="494"/>
      <c r="F34" s="495"/>
      <c r="G34" s="495"/>
      <c r="H34" s="403">
        <f t="shared" si="0"/>
        <v>0</v>
      </c>
      <c r="I34" s="241"/>
    </row>
    <row r="35" spans="1:9" ht="15.95" customHeight="1" x14ac:dyDescent="0.15">
      <c r="A35" s="649"/>
      <c r="B35" s="233"/>
      <c r="C35" s="493"/>
      <c r="D35" s="493"/>
      <c r="E35" s="494"/>
      <c r="F35" s="495"/>
      <c r="G35" s="495"/>
      <c r="H35" s="403">
        <f t="shared" si="0"/>
        <v>0</v>
      </c>
      <c r="I35" s="241"/>
    </row>
    <row r="36" spans="1:9" ht="15.95" customHeight="1" x14ac:dyDescent="0.15">
      <c r="A36" s="649"/>
      <c r="B36" s="233"/>
      <c r="C36" s="437"/>
      <c r="D36" s="437"/>
      <c r="E36" s="438"/>
      <c r="F36" s="440"/>
      <c r="G36" s="440"/>
      <c r="H36" s="403">
        <f t="shared" si="0"/>
        <v>0</v>
      </c>
      <c r="I36" s="241"/>
    </row>
    <row r="37" spans="1:9" ht="15.95" customHeight="1" x14ac:dyDescent="0.15">
      <c r="A37" s="649"/>
      <c r="B37" s="233"/>
      <c r="C37" s="240"/>
      <c r="D37" s="240"/>
      <c r="E37" s="240"/>
      <c r="F37" s="244"/>
      <c r="G37" s="244"/>
      <c r="H37" s="184">
        <f t="shared" si="0"/>
        <v>0</v>
      </c>
      <c r="I37" s="241"/>
    </row>
    <row r="38" spans="1:9" ht="15.95" customHeight="1" x14ac:dyDescent="0.15">
      <c r="A38" s="649"/>
      <c r="B38" s="233"/>
      <c r="C38" s="240"/>
      <c r="D38" s="240"/>
      <c r="E38" s="240"/>
      <c r="F38" s="244"/>
      <c r="G38" s="244"/>
      <c r="H38" s="184">
        <f t="shared" si="0"/>
        <v>0</v>
      </c>
      <c r="I38" s="241"/>
    </row>
    <row r="39" spans="1:9" ht="15.95" customHeight="1" x14ac:dyDescent="0.15">
      <c r="A39" s="649"/>
      <c r="B39" s="233"/>
      <c r="C39" s="240"/>
      <c r="D39" s="240"/>
      <c r="E39" s="240"/>
      <c r="F39" s="244"/>
      <c r="G39" s="244"/>
      <c r="H39" s="184">
        <f t="shared" si="0"/>
        <v>0</v>
      </c>
      <c r="I39" s="241"/>
    </row>
    <row r="40" spans="1:9" ht="15.95" customHeight="1" x14ac:dyDescent="0.15">
      <c r="A40" s="649"/>
      <c r="B40" s="233"/>
      <c r="C40" s="240"/>
      <c r="D40" s="240"/>
      <c r="E40" s="240"/>
      <c r="F40" s="244"/>
      <c r="G40" s="244"/>
      <c r="H40" s="184">
        <f t="shared" si="0"/>
        <v>0</v>
      </c>
      <c r="I40" s="241"/>
    </row>
    <row r="41" spans="1:9" ht="15.95" customHeight="1" x14ac:dyDescent="0.15">
      <c r="A41" s="649"/>
      <c r="B41" s="233"/>
      <c r="C41" s="240"/>
      <c r="D41" s="240"/>
      <c r="E41" s="240"/>
      <c r="F41" s="244"/>
      <c r="G41" s="244"/>
      <c r="H41" s="184">
        <f t="shared" si="0"/>
        <v>0</v>
      </c>
      <c r="I41" s="241"/>
    </row>
    <row r="42" spans="1:9" ht="15.95" customHeight="1" x14ac:dyDescent="0.15">
      <c r="A42" s="649"/>
      <c r="B42" s="233"/>
      <c r="C42" s="240"/>
      <c r="D42" s="240"/>
      <c r="E42" s="240"/>
      <c r="F42" s="244"/>
      <c r="G42" s="244"/>
      <c r="H42" s="184">
        <f t="shared" si="0"/>
        <v>0</v>
      </c>
      <c r="I42" s="241"/>
    </row>
    <row r="43" spans="1:9" ht="15.95" customHeight="1" x14ac:dyDescent="0.15">
      <c r="A43" s="649"/>
      <c r="B43" s="233"/>
      <c r="C43" s="240"/>
      <c r="D43" s="240"/>
      <c r="E43" s="240"/>
      <c r="F43" s="244"/>
      <c r="G43" s="244"/>
      <c r="H43" s="184">
        <f t="shared" si="0"/>
        <v>0</v>
      </c>
      <c r="I43" s="241"/>
    </row>
    <row r="44" spans="1:9" ht="15.95" customHeight="1" x14ac:dyDescent="0.15">
      <c r="A44" s="649"/>
      <c r="B44" s="233"/>
      <c r="C44" s="240"/>
      <c r="D44" s="240"/>
      <c r="E44" s="240"/>
      <c r="F44" s="244"/>
      <c r="G44" s="244"/>
      <c r="H44" s="184">
        <f t="shared" si="0"/>
        <v>0</v>
      </c>
      <c r="I44" s="241"/>
    </row>
    <row r="45" spans="1:9" ht="15.95" customHeight="1" x14ac:dyDescent="0.15">
      <c r="A45" s="649"/>
      <c r="B45" s="233"/>
      <c r="C45" s="240"/>
      <c r="D45" s="240"/>
      <c r="E45" s="240"/>
      <c r="F45" s="244"/>
      <c r="G45" s="244"/>
      <c r="H45" s="184">
        <f t="shared" si="0"/>
        <v>0</v>
      </c>
      <c r="I45" s="241"/>
    </row>
    <row r="46" spans="1:9" ht="15.95" customHeight="1" x14ac:dyDescent="0.15">
      <c r="A46" s="649"/>
      <c r="B46" s="233"/>
      <c r="C46" s="245" t="s">
        <v>245</v>
      </c>
      <c r="D46" s="245"/>
      <c r="E46" s="387" t="s">
        <v>396</v>
      </c>
      <c r="F46" s="248">
        <v>1</v>
      </c>
      <c r="G46" s="248">
        <v>500000</v>
      </c>
      <c r="H46" s="278">
        <f t="shared" si="0"/>
        <v>500000</v>
      </c>
      <c r="I46" s="249"/>
    </row>
    <row r="47" spans="1:9" ht="15.95" customHeight="1" x14ac:dyDescent="0.15">
      <c r="A47" s="649"/>
      <c r="B47" s="250"/>
      <c r="C47" s="251"/>
      <c r="D47" s="252"/>
      <c r="E47" s="252"/>
      <c r="F47" s="254"/>
      <c r="G47" s="254"/>
      <c r="H47" s="255">
        <f>SUM(H31:H46)</f>
        <v>42660000</v>
      </c>
      <c r="I47" s="256"/>
    </row>
    <row r="48" spans="1:9" ht="15.95" customHeight="1" x14ac:dyDescent="0.15">
      <c r="A48" s="649"/>
      <c r="B48" s="277" t="s">
        <v>244</v>
      </c>
      <c r="C48" s="258"/>
      <c r="D48" s="258"/>
      <c r="E48" s="258"/>
      <c r="F48" s="261"/>
      <c r="G48" s="261"/>
      <c r="H48" s="262">
        <f t="shared" si="0"/>
        <v>0</v>
      </c>
      <c r="I48" s="263"/>
    </row>
    <row r="49" spans="1:9" ht="15.95" customHeight="1" x14ac:dyDescent="0.15">
      <c r="A49" s="649"/>
      <c r="B49" s="233"/>
      <c r="C49" s="240"/>
      <c r="D49" s="240"/>
      <c r="E49" s="240"/>
      <c r="F49" s="244"/>
      <c r="G49" s="244"/>
      <c r="H49" s="184">
        <f t="shared" si="0"/>
        <v>0</v>
      </c>
      <c r="I49" s="241"/>
    </row>
    <row r="50" spans="1:9" ht="15.95" customHeight="1" x14ac:dyDescent="0.15">
      <c r="A50" s="649"/>
      <c r="B50" s="233"/>
      <c r="C50" s="240"/>
      <c r="D50" s="240"/>
      <c r="E50" s="240"/>
      <c r="F50" s="244"/>
      <c r="G50" s="244"/>
      <c r="H50" s="184">
        <f t="shared" si="0"/>
        <v>0</v>
      </c>
      <c r="I50" s="241"/>
    </row>
    <row r="51" spans="1:9" ht="15.95" customHeight="1" x14ac:dyDescent="0.15">
      <c r="A51" s="649"/>
      <c r="B51" s="233"/>
      <c r="C51" s="240"/>
      <c r="D51" s="240"/>
      <c r="E51" s="240"/>
      <c r="F51" s="244"/>
      <c r="G51" s="244"/>
      <c r="H51" s="184">
        <f t="shared" si="0"/>
        <v>0</v>
      </c>
      <c r="I51" s="241"/>
    </row>
    <row r="52" spans="1:9" ht="15.95" customHeight="1" x14ac:dyDescent="0.15">
      <c r="A52" s="649"/>
      <c r="B52" s="233"/>
      <c r="C52" s="240"/>
      <c r="D52" s="240"/>
      <c r="E52" s="240"/>
      <c r="F52" s="244"/>
      <c r="G52" s="244"/>
      <c r="H52" s="184">
        <f t="shared" si="0"/>
        <v>0</v>
      </c>
      <c r="I52" s="241"/>
    </row>
    <row r="53" spans="1:9" ht="15.95" customHeight="1" x14ac:dyDescent="0.15">
      <c r="A53" s="649"/>
      <c r="B53" s="233"/>
      <c r="C53" s="240"/>
      <c r="D53" s="240"/>
      <c r="E53" s="240"/>
      <c r="F53" s="244"/>
      <c r="G53" s="244"/>
      <c r="H53" s="184">
        <f t="shared" si="0"/>
        <v>0</v>
      </c>
      <c r="I53" s="241"/>
    </row>
    <row r="54" spans="1:9" ht="15.95" customHeight="1" x14ac:dyDescent="0.15">
      <c r="A54" s="649"/>
      <c r="B54" s="233"/>
      <c r="C54" s="245" t="s">
        <v>245</v>
      </c>
      <c r="D54" s="245"/>
      <c r="E54" s="245"/>
      <c r="F54" s="248"/>
      <c r="G54" s="248"/>
      <c r="H54" s="278">
        <f t="shared" si="0"/>
        <v>0</v>
      </c>
      <c r="I54" s="249"/>
    </row>
    <row r="55" spans="1:9" ht="15.95" customHeight="1" x14ac:dyDescent="0.15">
      <c r="A55" s="649"/>
      <c r="B55" s="250"/>
      <c r="C55" s="251"/>
      <c r="D55" s="252"/>
      <c r="E55" s="252"/>
      <c r="F55" s="254"/>
      <c r="G55" s="254"/>
      <c r="H55" s="255">
        <f>SUM(H48:H54)</f>
        <v>0</v>
      </c>
      <c r="I55" s="256"/>
    </row>
    <row r="56" spans="1:9" ht="15.95" customHeight="1" x14ac:dyDescent="0.15">
      <c r="A56" s="279"/>
      <c r="B56" s="280" t="s">
        <v>246</v>
      </c>
      <c r="C56" s="281"/>
      <c r="D56" s="256"/>
      <c r="E56" s="256"/>
      <c r="F56" s="283"/>
      <c r="G56" s="283"/>
      <c r="H56" s="255">
        <f>SUM(H55,H47,H30,H24)</f>
        <v>48860000</v>
      </c>
      <c r="I56" s="256"/>
    </row>
    <row r="57" spans="1:9" ht="15.95" customHeight="1" x14ac:dyDescent="0.15">
      <c r="A57" s="650" t="s">
        <v>247</v>
      </c>
      <c r="B57" s="284" t="s">
        <v>248</v>
      </c>
      <c r="C57" s="281"/>
      <c r="D57" s="285"/>
      <c r="E57" s="311" t="s">
        <v>249</v>
      </c>
      <c r="F57" s="503">
        <v>0</v>
      </c>
      <c r="G57" s="393">
        <v>300000</v>
      </c>
      <c r="H57" s="288">
        <f>F57*G57</f>
        <v>0</v>
      </c>
      <c r="I57" s="256"/>
    </row>
    <row r="58" spans="1:9" ht="15.95" customHeight="1" x14ac:dyDescent="0.15">
      <c r="A58" s="649"/>
      <c r="B58" s="289" t="s">
        <v>254</v>
      </c>
      <c r="C58" s="290"/>
      <c r="D58" s="291"/>
      <c r="E58" s="312" t="s">
        <v>148</v>
      </c>
      <c r="F58" s="500">
        <v>10</v>
      </c>
      <c r="G58" s="424">
        <v>300000</v>
      </c>
      <c r="H58" s="262">
        <f t="shared" ref="H58:H64" si="1">F58*G58</f>
        <v>3000000</v>
      </c>
      <c r="I58" s="263"/>
    </row>
    <row r="59" spans="1:9" ht="15.95" customHeight="1" x14ac:dyDescent="0.15">
      <c r="A59" s="649"/>
      <c r="B59" s="315" t="s">
        <v>255</v>
      </c>
      <c r="C59" s="294"/>
      <c r="D59" s="295"/>
      <c r="E59" s="313" t="s">
        <v>148</v>
      </c>
      <c r="F59" s="501">
        <v>2</v>
      </c>
      <c r="G59" s="415">
        <v>250000</v>
      </c>
      <c r="H59" s="184">
        <f t="shared" si="1"/>
        <v>500000</v>
      </c>
      <c r="I59" s="241"/>
    </row>
    <row r="60" spans="1:9" ht="15.95" customHeight="1" x14ac:dyDescent="0.15">
      <c r="A60" s="649"/>
      <c r="B60" s="293" t="s">
        <v>256</v>
      </c>
      <c r="C60" s="294"/>
      <c r="D60" s="295"/>
      <c r="E60" s="313" t="s">
        <v>148</v>
      </c>
      <c r="F60" s="501">
        <v>4</v>
      </c>
      <c r="G60" s="415">
        <v>250000</v>
      </c>
      <c r="H60" s="184">
        <f t="shared" si="1"/>
        <v>1000000</v>
      </c>
      <c r="I60" s="241"/>
    </row>
    <row r="61" spans="1:9" ht="15.95" customHeight="1" x14ac:dyDescent="0.15">
      <c r="A61" s="649"/>
      <c r="B61" s="293" t="s">
        <v>257</v>
      </c>
      <c r="C61" s="294"/>
      <c r="D61" s="295"/>
      <c r="E61" s="313" t="s">
        <v>148</v>
      </c>
      <c r="F61" s="501">
        <v>4</v>
      </c>
      <c r="G61" s="440">
        <v>300000</v>
      </c>
      <c r="H61" s="184">
        <f t="shared" si="1"/>
        <v>1200000</v>
      </c>
      <c r="I61" s="241"/>
    </row>
    <row r="62" spans="1:9" ht="15.95" customHeight="1" x14ac:dyDescent="0.15">
      <c r="A62" s="649"/>
      <c r="B62" s="293" t="s">
        <v>258</v>
      </c>
      <c r="C62" s="294"/>
      <c r="D62" s="295"/>
      <c r="E62" s="313" t="s">
        <v>148</v>
      </c>
      <c r="F62" s="501">
        <v>2</v>
      </c>
      <c r="G62" s="440">
        <v>300000</v>
      </c>
      <c r="H62" s="184">
        <f t="shared" si="1"/>
        <v>600000</v>
      </c>
      <c r="I62" s="241"/>
    </row>
    <row r="63" spans="1:9" ht="15.95" customHeight="1" x14ac:dyDescent="0.15">
      <c r="A63" s="649"/>
      <c r="B63" s="293" t="s">
        <v>259</v>
      </c>
      <c r="C63" s="294"/>
      <c r="D63" s="295"/>
      <c r="E63" s="313" t="s">
        <v>148</v>
      </c>
      <c r="F63" s="501">
        <v>2</v>
      </c>
      <c r="G63" s="440">
        <v>300000</v>
      </c>
      <c r="H63" s="184">
        <f t="shared" si="1"/>
        <v>600000</v>
      </c>
      <c r="I63" s="241"/>
    </row>
    <row r="64" spans="1:9" ht="15.95" customHeight="1" x14ac:dyDescent="0.15">
      <c r="A64" s="649"/>
      <c r="B64" s="297" t="s">
        <v>260</v>
      </c>
      <c r="C64" s="298"/>
      <c r="D64" s="299"/>
      <c r="E64" s="314" t="s">
        <v>148</v>
      </c>
      <c r="F64" s="502">
        <v>2</v>
      </c>
      <c r="G64" s="395">
        <v>250000</v>
      </c>
      <c r="H64" s="278">
        <f t="shared" si="1"/>
        <v>500000</v>
      </c>
      <c r="I64" s="249"/>
    </row>
    <row r="65" spans="1:9" ht="15.95" customHeight="1" x14ac:dyDescent="0.15">
      <c r="A65" s="279"/>
      <c r="B65" s="301" t="s">
        <v>261</v>
      </c>
      <c r="C65" s="281"/>
      <c r="D65" s="256"/>
      <c r="E65" s="256"/>
      <c r="F65" s="254"/>
      <c r="G65" s="254"/>
      <c r="H65" s="254">
        <f>SUM(H57:H64)</f>
        <v>7400000</v>
      </c>
      <c r="I65" s="252"/>
    </row>
    <row r="66" spans="1:9" ht="15.95" customHeight="1" x14ac:dyDescent="0.15">
      <c r="A66" s="302"/>
      <c r="B66" s="301" t="s">
        <v>262</v>
      </c>
      <c r="C66" s="281"/>
      <c r="D66" s="256"/>
      <c r="E66" s="256"/>
      <c r="F66" s="255"/>
      <c r="G66" s="255"/>
      <c r="H66" s="283">
        <f>'단위공사별(집계)'!L16+'단위공사별(집계)'!I16</f>
        <v>365118.1282328883</v>
      </c>
      <c r="I66" s="256"/>
    </row>
    <row r="67" spans="1:9" ht="15.95" customHeight="1" x14ac:dyDescent="0.15">
      <c r="A67" s="302"/>
      <c r="B67" s="301" t="s">
        <v>263</v>
      </c>
      <c r="C67" s="281"/>
      <c r="D67" s="256"/>
      <c r="E67" s="256"/>
      <c r="F67" s="255"/>
      <c r="G67" s="304"/>
      <c r="H67" s="393">
        <f>(H65+H56)*0</f>
        <v>0</v>
      </c>
      <c r="I67" s="281"/>
    </row>
    <row r="68" spans="1:9" ht="15.95" customHeight="1" x14ac:dyDescent="0.15">
      <c r="A68" s="302"/>
      <c r="B68" s="301" t="s">
        <v>264</v>
      </c>
      <c r="C68" s="281"/>
      <c r="D68" s="256"/>
      <c r="E68" s="256"/>
      <c r="F68" s="255"/>
      <c r="G68" s="304"/>
      <c r="H68" s="393">
        <f>(H65+H56)*0</f>
        <v>0</v>
      </c>
      <c r="I68" s="281"/>
    </row>
    <row r="69" spans="1:9" ht="15.95" customHeight="1" x14ac:dyDescent="0.15">
      <c r="A69" s="302"/>
      <c r="B69" s="301" t="s">
        <v>265</v>
      </c>
      <c r="C69" s="281"/>
      <c r="D69" s="256"/>
      <c r="E69" s="256"/>
      <c r="F69" s="255"/>
      <c r="G69" s="255"/>
      <c r="H69" s="254">
        <f>H56+H65+H66+H67+H68</f>
        <v>56625118.128232889</v>
      </c>
      <c r="I69" s="256"/>
    </row>
    <row r="70" spans="1:9" x14ac:dyDescent="0.15">
      <c r="A70" s="15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ignoredErrors>
    <ignoredError sqref="H24 H30 H47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zoomScale="85" workbookViewId="0">
      <selection activeCell="L30" sqref="L30"/>
    </sheetView>
  </sheetViews>
  <sheetFormatPr defaultRowHeight="17.25" customHeight="1" x14ac:dyDescent="0.15"/>
  <cols>
    <col min="1" max="1" width="16.5" style="134" customWidth="1"/>
    <col min="2" max="3" width="27.625" style="134" customWidth="1"/>
    <col min="4" max="4" width="11.5" style="134" customWidth="1"/>
    <col min="5" max="16384" width="9" style="134"/>
  </cols>
  <sheetData>
    <row r="1" spans="1:4" ht="17.25" customHeight="1" x14ac:dyDescent="0.15">
      <c r="A1" s="134" t="s">
        <v>266</v>
      </c>
    </row>
    <row r="2" spans="1:4" ht="17.25" customHeight="1" x14ac:dyDescent="0.15">
      <c r="D2" s="151" t="s">
        <v>233</v>
      </c>
    </row>
    <row r="3" spans="1:4" ht="24.75" customHeight="1" x14ac:dyDescent="0.15">
      <c r="A3" s="316" t="s">
        <v>267</v>
      </c>
    </row>
    <row r="4" spans="1:4" ht="11.25" customHeight="1" x14ac:dyDescent="0.15"/>
    <row r="5" spans="1:4" s="318" customFormat="1" ht="21" customHeight="1" thickBot="1" x14ac:dyDescent="0.2">
      <c r="A5" s="317" t="s">
        <v>268</v>
      </c>
      <c r="B5" s="317" t="s">
        <v>269</v>
      </c>
      <c r="C5" s="317" t="s">
        <v>270</v>
      </c>
      <c r="D5" s="317" t="s">
        <v>271</v>
      </c>
    </row>
    <row r="6" spans="1:4" ht="17.25" customHeight="1" thickTop="1" x14ac:dyDescent="0.15">
      <c r="A6" s="319"/>
      <c r="B6" s="319"/>
      <c r="C6" s="319"/>
      <c r="D6" s="319"/>
    </row>
    <row r="7" spans="1:4" ht="17.25" customHeight="1" x14ac:dyDescent="0.15">
      <c r="A7" s="319"/>
      <c r="B7" s="319"/>
      <c r="C7" s="319"/>
      <c r="D7" s="319"/>
    </row>
    <row r="8" spans="1:4" ht="17.25" customHeight="1" x14ac:dyDescent="0.15">
      <c r="A8" s="319"/>
      <c r="B8" s="319"/>
      <c r="C8" s="319"/>
      <c r="D8" s="319"/>
    </row>
    <row r="9" spans="1:4" ht="17.25" customHeight="1" x14ac:dyDescent="0.15">
      <c r="A9" s="319"/>
      <c r="B9" s="319"/>
      <c r="C9" s="319"/>
      <c r="D9" s="319"/>
    </row>
    <row r="10" spans="1:4" ht="17.25" customHeight="1" x14ac:dyDescent="0.15">
      <c r="A10" s="319"/>
      <c r="B10" s="319"/>
      <c r="C10" s="319"/>
      <c r="D10" s="319"/>
    </row>
    <row r="11" spans="1:4" ht="17.25" customHeight="1" x14ac:dyDescent="0.15">
      <c r="A11" s="319"/>
      <c r="B11" s="319"/>
      <c r="C11" s="319"/>
      <c r="D11" s="319"/>
    </row>
    <row r="12" spans="1:4" ht="17.25" customHeight="1" x14ac:dyDescent="0.15">
      <c r="A12" s="319"/>
      <c r="B12" s="319"/>
      <c r="C12" s="319"/>
      <c r="D12" s="319"/>
    </row>
    <row r="13" spans="1:4" ht="17.25" customHeight="1" x14ac:dyDescent="0.15">
      <c r="A13" s="319"/>
      <c r="B13" s="319"/>
      <c r="C13" s="319"/>
      <c r="D13" s="319"/>
    </row>
    <row r="14" spans="1:4" ht="17.25" customHeight="1" x14ac:dyDescent="0.15">
      <c r="A14" s="319"/>
      <c r="B14" s="319"/>
      <c r="C14" s="319"/>
      <c r="D14" s="319"/>
    </row>
    <row r="15" spans="1:4" ht="17.25" customHeight="1" x14ac:dyDescent="0.15">
      <c r="A15" s="319"/>
      <c r="B15" s="319"/>
      <c r="C15" s="319"/>
      <c r="D15" s="319"/>
    </row>
    <row r="16" spans="1:4" ht="17.25" customHeight="1" x14ac:dyDescent="0.15">
      <c r="A16" s="319"/>
      <c r="B16" s="319"/>
      <c r="C16" s="319"/>
      <c r="D16" s="319"/>
    </row>
    <row r="17" spans="1:4" ht="17.25" customHeight="1" x14ac:dyDescent="0.15">
      <c r="A17" s="319"/>
      <c r="B17" s="319"/>
      <c r="C17" s="319"/>
      <c r="D17" s="319"/>
    </row>
    <row r="18" spans="1:4" ht="17.25" customHeight="1" x14ac:dyDescent="0.15">
      <c r="A18" s="319"/>
      <c r="B18" s="319"/>
      <c r="C18" s="319"/>
      <c r="D18" s="319"/>
    </row>
    <row r="19" spans="1:4" ht="17.25" customHeight="1" x14ac:dyDescent="0.15">
      <c r="A19" s="319"/>
      <c r="B19" s="319"/>
      <c r="C19" s="319"/>
      <c r="D19" s="319"/>
    </row>
    <row r="20" spans="1:4" ht="17.25" customHeight="1" x14ac:dyDescent="0.15">
      <c r="A20" s="319"/>
      <c r="B20" s="319"/>
      <c r="C20" s="319"/>
      <c r="D20" s="319"/>
    </row>
    <row r="21" spans="1:4" ht="17.25" customHeight="1" x14ac:dyDescent="0.15">
      <c r="A21" s="319"/>
      <c r="B21" s="319"/>
      <c r="C21" s="319"/>
      <c r="D21" s="319"/>
    </row>
    <row r="22" spans="1:4" ht="17.25" customHeight="1" x14ac:dyDescent="0.15">
      <c r="A22" s="319"/>
      <c r="B22" s="319"/>
      <c r="C22" s="319"/>
      <c r="D22" s="319"/>
    </row>
    <row r="23" spans="1:4" ht="17.25" customHeight="1" x14ac:dyDescent="0.15">
      <c r="A23" s="319"/>
      <c r="B23" s="319"/>
      <c r="C23" s="319"/>
      <c r="D23" s="319"/>
    </row>
    <row r="24" spans="1:4" ht="17.25" customHeight="1" x14ac:dyDescent="0.15">
      <c r="A24" s="319"/>
      <c r="B24" s="319"/>
      <c r="C24" s="319"/>
      <c r="D24" s="319"/>
    </row>
    <row r="25" spans="1:4" ht="17.25" customHeight="1" x14ac:dyDescent="0.15">
      <c r="A25" s="319"/>
      <c r="B25" s="319"/>
      <c r="C25" s="319"/>
      <c r="D25" s="319"/>
    </row>
    <row r="26" spans="1:4" ht="17.25" customHeight="1" x14ac:dyDescent="0.15">
      <c r="A26" s="319"/>
      <c r="B26" s="319"/>
      <c r="C26" s="319"/>
      <c r="D26" s="319"/>
    </row>
    <row r="27" spans="1:4" ht="17.25" customHeight="1" x14ac:dyDescent="0.15">
      <c r="A27" s="319"/>
      <c r="B27" s="319"/>
      <c r="C27" s="319"/>
      <c r="D27" s="319"/>
    </row>
    <row r="28" spans="1:4" ht="17.25" customHeight="1" x14ac:dyDescent="0.15">
      <c r="A28" s="319"/>
      <c r="B28" s="319"/>
      <c r="C28" s="319"/>
      <c r="D28" s="319"/>
    </row>
    <row r="29" spans="1:4" ht="17.25" customHeight="1" x14ac:dyDescent="0.15">
      <c r="A29" s="319"/>
      <c r="B29" s="319"/>
      <c r="C29" s="319"/>
      <c r="D29" s="319"/>
    </row>
    <row r="30" spans="1:4" ht="17.25" customHeight="1" x14ac:dyDescent="0.15">
      <c r="A30" s="319"/>
      <c r="B30" s="319"/>
      <c r="C30" s="319"/>
      <c r="D30" s="319"/>
    </row>
    <row r="31" spans="1:4" ht="17.25" customHeight="1" x14ac:dyDescent="0.15">
      <c r="A31" s="319"/>
      <c r="B31" s="319"/>
      <c r="C31" s="319"/>
      <c r="D31" s="319"/>
    </row>
    <row r="32" spans="1:4" ht="17.25" customHeight="1" x14ac:dyDescent="0.15">
      <c r="A32" s="319"/>
      <c r="B32" s="319"/>
      <c r="C32" s="319"/>
      <c r="D32" s="319"/>
    </row>
    <row r="33" spans="1:4" ht="17.25" customHeight="1" x14ac:dyDescent="0.15">
      <c r="A33" s="319"/>
      <c r="B33" s="319"/>
      <c r="C33" s="319"/>
      <c r="D33" s="319"/>
    </row>
    <row r="34" spans="1:4" ht="17.25" customHeight="1" x14ac:dyDescent="0.15">
      <c r="A34" s="319"/>
      <c r="B34" s="319"/>
      <c r="C34" s="319"/>
      <c r="D34" s="319"/>
    </row>
    <row r="35" spans="1:4" ht="17.25" customHeight="1" x14ac:dyDescent="0.15">
      <c r="A35" s="319"/>
      <c r="B35" s="319"/>
      <c r="C35" s="319"/>
      <c r="D35" s="319"/>
    </row>
    <row r="36" spans="1:4" ht="17.25" customHeight="1" x14ac:dyDescent="0.15">
      <c r="A36" s="252"/>
      <c r="B36" s="252"/>
      <c r="C36" s="252"/>
      <c r="D36" s="252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6</vt:i4>
      </vt:variant>
    </vt:vector>
  </HeadingPairs>
  <TitlesOfParts>
    <vt:vector size="22" baseType="lpstr">
      <vt:lpstr>갑지</vt:lpstr>
      <vt:lpstr>원가항목별(집계)</vt:lpstr>
      <vt:lpstr>단위공사별(집계)</vt:lpstr>
      <vt:lpstr>전기</vt:lpstr>
      <vt:lpstr>#10</vt:lpstr>
      <vt:lpstr>#20</vt:lpstr>
      <vt:lpstr>#30</vt:lpstr>
      <vt:lpstr>#40</vt:lpstr>
      <vt:lpstr>#50</vt:lpstr>
      <vt:lpstr>#60</vt:lpstr>
      <vt:lpstr>#70</vt:lpstr>
      <vt:lpstr>#80</vt:lpstr>
      <vt:lpstr>#90</vt:lpstr>
      <vt:lpstr>#100</vt:lpstr>
      <vt:lpstr>첨부(견적조건차이내역)</vt:lpstr>
      <vt:lpstr>Sheet1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</dc:creator>
  <cp:lastModifiedBy>김소윤</cp:lastModifiedBy>
  <dcterms:created xsi:type="dcterms:W3CDTF">2018-11-27T02:42:21Z</dcterms:created>
  <dcterms:modified xsi:type="dcterms:W3CDTF">2020-12-10T04:54:34Z</dcterms:modified>
</cp:coreProperties>
</file>