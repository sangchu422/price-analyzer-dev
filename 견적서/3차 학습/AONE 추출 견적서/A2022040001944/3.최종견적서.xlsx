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room\r_workroom\1.구매\[가격결정 결과보고] 창원3공장 등속조립라인 RRING 공정개선공사건\"/>
    </mc:Choice>
  </mc:AlternateContent>
  <xr:revisionPtr revIDLastSave="0" documentId="13_ncr:1_{256765D0-7B2F-40E5-9B9E-3CFB53CE1005}" xr6:coauthVersionLast="47" xr6:coauthVersionMax="47" xr10:uidLastSave="{00000000-0000-0000-0000-000000000000}"/>
  <bookViews>
    <workbookView xWindow="-108" yWindow="-108" windowWidth="23256" windowHeight="12576" tabRatio="879" xr2:uid="{00000000-000D-0000-FFFF-FFFF00000000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</sheets>
  <definedNames>
    <definedName name="_xlnm._FilterDatabase" localSheetId="4" hidden="1">단위장비1!$A$2:$I$69</definedName>
    <definedName name="_xlnm._FilterDatabase" localSheetId="3" hidden="1">전기!$A$2:$I$69</definedName>
    <definedName name="_xlnm.Print_Area" localSheetId="0">갑지!$B:$I</definedName>
    <definedName name="_xlnm.Print_Area" localSheetId="2">'단위공사별(집계)'!$A$1:$O$11</definedName>
    <definedName name="_xlnm.Print_Area" localSheetId="1">'원가항목별(집계)'!$A$1:$J$44</definedName>
    <definedName name="_xlnm.Print_Area" localSheetId="3">전기!$A:$I</definedName>
    <definedName name="_xlnm.Print_Titles" localSheetId="3">전기!$1:$2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5" l="1"/>
  <c r="I39" i="2"/>
  <c r="I48" i="2"/>
  <c r="I47" i="2"/>
  <c r="J48" i="2"/>
  <c r="H16" i="5"/>
  <c r="H51" i="5"/>
  <c r="H15" i="4"/>
  <c r="H17" i="4"/>
  <c r="H18" i="4"/>
  <c r="H21" i="4"/>
  <c r="H22" i="4"/>
  <c r="H23" i="4"/>
  <c r="H24" i="4"/>
  <c r="H25" i="4"/>
  <c r="H27" i="4"/>
  <c r="H28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16" i="4"/>
  <c r="H18" i="5" l="1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17" i="5"/>
  <c r="G19" i="2" l="1"/>
  <c r="G18" i="2"/>
  <c r="G17" i="2"/>
  <c r="G16" i="2"/>
  <c r="G15" i="2"/>
  <c r="G14" i="2"/>
  <c r="G13" i="2"/>
  <c r="G12" i="2"/>
  <c r="H36" i="5" l="1"/>
  <c r="H50" i="4"/>
  <c r="H49" i="4"/>
  <c r="H48" i="4"/>
  <c r="H47" i="4"/>
  <c r="H53" i="5"/>
  <c r="H49" i="5"/>
  <c r="H48" i="5"/>
  <c r="H45" i="5"/>
  <c r="H44" i="5"/>
  <c r="H43" i="5"/>
  <c r="H42" i="5"/>
  <c r="H41" i="5"/>
  <c r="H64" i="5"/>
  <c r="I19" i="2" s="1"/>
  <c r="H63" i="5"/>
  <c r="I18" i="2" s="1"/>
  <c r="H62" i="5"/>
  <c r="I17" i="2" s="1"/>
  <c r="H61" i="5"/>
  <c r="H60" i="5"/>
  <c r="I15" i="2" s="1"/>
  <c r="H59" i="5"/>
  <c r="I14" i="2" s="1"/>
  <c r="H58" i="5"/>
  <c r="I13" i="2" s="1"/>
  <c r="H57" i="5"/>
  <c r="H54" i="5"/>
  <c r="H47" i="5"/>
  <c r="H46" i="5"/>
  <c r="H40" i="5"/>
  <c r="H39" i="5"/>
  <c r="H37" i="5"/>
  <c r="H14" i="5"/>
  <c r="H13" i="5"/>
  <c r="H12" i="5"/>
  <c r="H11" i="5"/>
  <c r="H10" i="5"/>
  <c r="H8" i="5"/>
  <c r="H7" i="5"/>
  <c r="H6" i="5"/>
  <c r="H5" i="5"/>
  <c r="H4" i="5"/>
  <c r="H3" i="5"/>
  <c r="H64" i="4"/>
  <c r="I31" i="2" s="1"/>
  <c r="H63" i="4"/>
  <c r="I30" i="2" s="1"/>
  <c r="H62" i="4"/>
  <c r="H61" i="4"/>
  <c r="I28" i="2" s="1"/>
  <c r="H60" i="4"/>
  <c r="I27" i="2" s="1"/>
  <c r="H59" i="4"/>
  <c r="I26" i="2" s="1"/>
  <c r="H58" i="4"/>
  <c r="H55" i="4"/>
  <c r="H54" i="4"/>
  <c r="H53" i="4"/>
  <c r="H52" i="4"/>
  <c r="H51" i="4"/>
  <c r="H46" i="4"/>
  <c r="H45" i="4"/>
  <c r="H13" i="4"/>
  <c r="H12" i="4"/>
  <c r="H11" i="4"/>
  <c r="H10" i="4"/>
  <c r="H9" i="4"/>
  <c r="H8" i="4"/>
  <c r="H6" i="4"/>
  <c r="H5" i="4"/>
  <c r="H4" i="4"/>
  <c r="H3" i="4"/>
  <c r="B7" i="3"/>
  <c r="A7" i="3" s="1"/>
  <c r="H31" i="2"/>
  <c r="G31" i="2"/>
  <c r="H30" i="2"/>
  <c r="G30" i="2"/>
  <c r="H29" i="2"/>
  <c r="G29" i="2"/>
  <c r="H28" i="2"/>
  <c r="G28" i="2"/>
  <c r="H27" i="2"/>
  <c r="G27" i="2"/>
  <c r="H26" i="2"/>
  <c r="G26" i="2"/>
  <c r="I25" i="2"/>
  <c r="H25" i="2"/>
  <c r="G25" i="2"/>
  <c r="H19" i="2"/>
  <c r="H18" i="2"/>
  <c r="H17" i="2"/>
  <c r="H16" i="2"/>
  <c r="H15" i="2"/>
  <c r="H14" i="2"/>
  <c r="H13" i="2"/>
  <c r="H12" i="2"/>
  <c r="H7" i="3" l="1"/>
  <c r="H8" i="3" s="1"/>
  <c r="E7" i="3"/>
  <c r="I12" i="2"/>
  <c r="H7" i="4"/>
  <c r="G7" i="3"/>
  <c r="I16" i="2"/>
  <c r="H65" i="5"/>
  <c r="H9" i="5"/>
  <c r="I7" i="2" s="1"/>
  <c r="F7" i="3"/>
  <c r="H56" i="4"/>
  <c r="H57" i="4" s="1"/>
  <c r="H38" i="5"/>
  <c r="I8" i="2" s="1"/>
  <c r="H14" i="4"/>
  <c r="I24" i="2" s="1"/>
  <c r="H15" i="5"/>
  <c r="I10" i="2" s="1"/>
  <c r="H55" i="5"/>
  <c r="I9" i="2" s="1"/>
  <c r="I29" i="2"/>
  <c r="H65" i="4"/>
  <c r="H68" i="4" l="1"/>
  <c r="H67" i="4"/>
  <c r="I20" i="2"/>
  <c r="I32" i="2"/>
  <c r="G8" i="3"/>
  <c r="H56" i="5"/>
  <c r="H67" i="5" s="1"/>
  <c r="I23" i="2"/>
  <c r="F8" i="3"/>
  <c r="E8" i="3"/>
  <c r="E9" i="3" s="1"/>
  <c r="I40" i="2" l="1"/>
  <c r="H69" i="4"/>
  <c r="I36" i="2"/>
  <c r="J47" i="2"/>
  <c r="D7" i="3"/>
  <c r="I21" i="2"/>
  <c r="J39" i="2"/>
  <c r="I11" i="2"/>
  <c r="I33" i="2"/>
  <c r="I34" i="2" s="1"/>
  <c r="I41" i="2" l="1"/>
  <c r="M7" i="3"/>
  <c r="P7" i="3" s="1"/>
  <c r="I22" i="2"/>
  <c r="I42" i="2" s="1"/>
  <c r="D8" i="3"/>
  <c r="I35" i="2"/>
  <c r="I37" i="2" s="1"/>
  <c r="M8" i="3" l="1"/>
  <c r="P8" i="3"/>
  <c r="I7" i="3" l="1"/>
  <c r="L7" i="3"/>
  <c r="K7" i="3"/>
  <c r="K8" i="3" l="1"/>
  <c r="L8" i="3"/>
  <c r="I8" i="3"/>
  <c r="J8" i="3" s="1"/>
  <c r="J7" i="3"/>
  <c r="N7" i="3" s="1"/>
  <c r="H66" i="5"/>
  <c r="H69" i="5" s="1"/>
  <c r="G18" i="1" l="1"/>
  <c r="H18" i="1"/>
  <c r="F18" i="1"/>
  <c r="F19" i="1" s="1"/>
  <c r="E18" i="1"/>
  <c r="N8" i="3"/>
  <c r="K9" i="3" s="1"/>
  <c r="C18" i="1"/>
  <c r="I9" i="3" l="1"/>
  <c r="G19" i="1"/>
  <c r="E19" i="1"/>
  <c r="H19" i="1"/>
  <c r="D14" i="1" s="1"/>
  <c r="H9" i="3"/>
  <c r="F9" i="3"/>
  <c r="G9" i="3"/>
  <c r="L9" i="3"/>
  <c r="N9" i="3"/>
  <c r="D9" i="3"/>
  <c r="M9" i="3"/>
  <c r="N11" i="3"/>
  <c r="J9" i="3"/>
</calcChain>
</file>

<file path=xl/sharedStrings.xml><?xml version="1.0" encoding="utf-8"?>
<sst xmlns="http://schemas.openxmlformats.org/spreadsheetml/2006/main" count="363" uniqueCount="251">
  <si>
    <t>(현대/기아차 설비협력업체 견적통일양식)</t>
    <phoneticPr fontId="2" type="noConversion"/>
  </si>
  <si>
    <t xml:space="preserve">見  積  書   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</si>
  <si>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</si>
  <si>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</si>
  <si>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</si>
  <si>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최종검수</t>
    <phoneticPr fontId="2" type="noConversion"/>
  </si>
  <si>
    <t>견적유효기간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</si>
  <si>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</si>
  <si>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</si>
  <si>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</si>
  <si>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</si>
  <si>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</si>
  <si>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</si>
  <si>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</si>
  <si>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</si>
  <si>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</si>
  <si>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</si>
  <si>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</si>
  <si>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</si>
  <si>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</si>
  <si>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</si>
  <si>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</si>
  <si>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</si>
  <si>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</si>
  <si>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</si>
  <si>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</si>
  <si>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</si>
  <si>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</si>
  <si>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</si>
  <si>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</si>
  <si>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</si>
  <si>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</si>
  <si>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</si>
  <si>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</si>
  <si>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</si>
  <si>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</si>
  <si>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</si>
  <si>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</si>
  <si>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</si>
  <si>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</si>
  <si>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</si>
  <si>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</si>
  <si>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</si>
  <si>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</si>
  <si>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</si>
  <si>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</si>
  <si>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</si>
  <si>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</si>
  <si>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</si>
  <si>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</si>
  <si>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</si>
  <si>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</si>
  <si>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</si>
  <si>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</si>
  <si>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</si>
  <si>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</si>
  <si>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</si>
  <si>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</si>
  <si>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</si>
  <si>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</si>
  <si>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</si>
  <si>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</si>
  <si>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</si>
  <si>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</si>
  <si>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</si>
  <si>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</si>
  <si>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양산대응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</si>
  <si>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</si>
  <si>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</si>
  <si>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</si>
  <si>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</si>
  <si>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</si>
  <si>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</si>
  <si>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</si>
  <si>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</si>
  <si>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</si>
  <si>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</si>
  <si>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</si>
  <si>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</si>
  <si>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</si>
  <si>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</si>
  <si>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</si>
  <si>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</si>
  <si>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</si>
  <si>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</si>
  <si>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</si>
  <si>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</si>
  <si>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</si>
  <si>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</si>
  <si>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</si>
  <si>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</si>
  <si>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</si>
  <si>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</si>
  <si>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</si>
  <si>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</si>
  <si>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</si>
  <si>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</si>
  <si>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</si>
  <si>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</si>
  <si>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</si>
  <si>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</si>
  <si>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</si>
  <si>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</si>
  <si>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</si>
  <si>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</si>
  <si>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</si>
  <si>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</si>
  <si>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</si>
  <si>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</si>
  <si>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</si>
  <si>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</si>
  <si>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</si>
  <si>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</si>
  <si>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</si>
  <si>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</si>
  <si>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</si>
  <si>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</si>
  <si>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</si>
  <si>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</si>
  <si>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</si>
  <si>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</si>
  <si>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</si>
  <si>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</si>
  <si>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</si>
  <si>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</si>
  <si>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</si>
  <si>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</si>
  <si>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</si>
  <si>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</si>
  <si>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</si>
  <si>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</si>
  <si>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</si>
  <si>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</si>
  <si>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</si>
  <si>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</si>
  <si>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</si>
  <si>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</si>
  <si>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</si>
  <si>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</si>
  <si>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</si>
  <si>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</si>
  <si>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</si>
  <si>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</si>
  <si>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</si>
  <si>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</si>
  <si>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</si>
  <si>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</si>
  <si>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</si>
  <si>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</si>
  <si>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</si>
  <si>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</si>
  <si>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</si>
  <si>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</si>
  <si>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</si>
  <si>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</si>
  <si>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</si>
  <si>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</si>
  <si>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</si>
  <si>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</si>
  <si>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</si>
  <si>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</si>
  <si>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</si>
  <si>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</si>
  <si>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현대위아(주) 貴下</t>
    <phoneticPr fontId="2" type="noConversion"/>
  </si>
  <si>
    <t>담 당 자</t>
    <phoneticPr fontId="2" type="noConversion"/>
  </si>
  <si>
    <t>공 사 명:</t>
    <phoneticPr fontId="2" type="noConversion"/>
  </si>
  <si>
    <t>최종견적금액: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</si>
  <si>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</si>
  <si>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</si>
  <si>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</si>
  <si>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</si>
  <si>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>식</t>
  </si>
  <si>
    <t>전화: 82-55-294-8847</t>
    <phoneticPr fontId="2" type="noConversion"/>
  </si>
  <si>
    <t>㈜에스엠티</t>
    <phoneticPr fontId="2" type="noConversion"/>
  </si>
  <si>
    <t>대표 : 박 현 (인)</t>
    <phoneticPr fontId="2" type="noConversion"/>
  </si>
  <si>
    <t>주소 : 창원시 마산회원구 봉암공단 10길41-1</t>
    <phoneticPr fontId="2" type="noConversion"/>
  </si>
  <si>
    <t>연 락 처 : 82-55-294-8847</t>
    <phoneticPr fontId="2" type="noConversion"/>
  </si>
  <si>
    <t>Fax : 82-55-294-8850</t>
    <phoneticPr fontId="2" type="noConversion"/>
  </si>
  <si>
    <t>E-mail : hyeon@so-ul.co.kr</t>
    <phoneticPr fontId="2" type="noConversion"/>
  </si>
  <si>
    <t>견적담당 : 박 현 대표</t>
    <phoneticPr fontId="2" type="noConversion"/>
  </si>
  <si>
    <t>FRAME 류</t>
  </si>
  <si>
    <t>SS400</t>
  </si>
  <si>
    <t>KG</t>
  </si>
  <si>
    <t>PLATE 류</t>
  </si>
  <si>
    <t>BLOCK 류</t>
  </si>
  <si>
    <t>기타자재</t>
    <phoneticPr fontId="2" type="noConversion"/>
  </si>
  <si>
    <t>기타자재</t>
    <phoneticPr fontId="2" type="noConversion"/>
  </si>
  <si>
    <t>식</t>
    <phoneticPr fontId="2" type="noConversion"/>
  </si>
  <si>
    <t>창원3공장 등속조립라인 R/RING 공정개선</t>
    <phoneticPr fontId="2" type="noConversion"/>
  </si>
  <si>
    <t>R/RING공정개선(112,203,204,205)</t>
    <phoneticPr fontId="2" type="noConversion"/>
  </si>
  <si>
    <t>AIR CYL' 류</t>
  </si>
  <si>
    <t>CLAMP CYL' 류</t>
    <phoneticPr fontId="2" type="noConversion"/>
  </si>
  <si>
    <t>직선운동 류 ( LM GUIDE / BALL BUSH )</t>
  </si>
  <si>
    <t>회전운동 류 ( BEARING / SPROCKET )</t>
  </si>
  <si>
    <t>PRX' SENSOR</t>
  </si>
  <si>
    <t>SENSOR CABLE</t>
  </si>
  <si>
    <t>PHOTO' SENSOR</t>
  </si>
  <si>
    <t>DOOR SENSOR</t>
    <phoneticPr fontId="2" type="noConversion"/>
  </si>
  <si>
    <t>AREA SENSOR</t>
    <phoneticPr fontId="2" type="noConversion"/>
  </si>
  <si>
    <t>SOL VELVE 류</t>
    <phoneticPr fontId="2" type="noConversion"/>
  </si>
  <si>
    <t>F,R,L UNIT</t>
    <phoneticPr fontId="2" type="noConversion"/>
  </si>
  <si>
    <t>기타 구매품</t>
    <phoneticPr fontId="2" type="noConversion"/>
  </si>
  <si>
    <t>SLIDE BASE UNIT</t>
    <phoneticPr fontId="2" type="noConversion"/>
  </si>
  <si>
    <t>RING SUPPLY UNIT</t>
    <phoneticPr fontId="2" type="noConversion"/>
  </si>
  <si>
    <t>RING MAGAZINE UNIT</t>
    <phoneticPr fontId="2" type="noConversion"/>
  </si>
  <si>
    <t>PRESS UNIT</t>
    <phoneticPr fontId="2" type="noConversion"/>
  </si>
  <si>
    <t>PRESS HEAD UNIT</t>
    <phoneticPr fontId="2" type="noConversion"/>
  </si>
  <si>
    <t>PALLET LIFT &amp; BACK UP UNIT</t>
    <phoneticPr fontId="2" type="noConversion"/>
  </si>
  <si>
    <t>PRESS PC BOX UNIT</t>
    <phoneticPr fontId="2" type="noConversion"/>
  </si>
  <si>
    <t>INDICATOR BOX UNIT</t>
    <phoneticPr fontId="2" type="noConversion"/>
  </si>
  <si>
    <t>차종별 MAGAZINE SET</t>
    <phoneticPr fontId="2" type="noConversion"/>
  </si>
  <si>
    <t>차종별 PRESS JIG SET</t>
    <phoneticPr fontId="2" type="noConversion"/>
  </si>
  <si>
    <t>기타 가공품</t>
    <phoneticPr fontId="2" type="noConversion"/>
  </si>
  <si>
    <t>HMI</t>
  </si>
  <si>
    <t>EA</t>
  </si>
  <si>
    <t>PLC BASE</t>
  </si>
  <si>
    <t>PLC CPU</t>
  </si>
  <si>
    <t>PLC COMMUNICATON CARD</t>
  </si>
  <si>
    <t>E-NET</t>
  </si>
  <si>
    <t>CC-LINK</t>
  </si>
  <si>
    <t>RS232C</t>
  </si>
  <si>
    <t>COUNT</t>
  </si>
  <si>
    <t>PLC 위치결정 CARD</t>
  </si>
  <si>
    <t>SERVO</t>
  </si>
  <si>
    <t>PLC POWER</t>
  </si>
  <si>
    <t>IN PUT I/O CARD</t>
  </si>
  <si>
    <t>OUT PUT I/O CARD</t>
  </si>
  <si>
    <t>REMOTE I/O CARD</t>
  </si>
  <si>
    <t>CIRCUIT PROTECTER</t>
  </si>
  <si>
    <t>HUB</t>
  </si>
  <si>
    <t>POWER SUPPLY</t>
  </si>
  <si>
    <t>SWITCH</t>
  </si>
  <si>
    <t>AIR CON</t>
  </si>
  <si>
    <t>조작반 자재류</t>
  </si>
  <si>
    <t>제어반 자재류</t>
  </si>
  <si>
    <t>CABLE 류</t>
  </si>
  <si>
    <t>전장반 및 조작반 외함</t>
    <phoneticPr fontId="2" type="noConversion"/>
  </si>
  <si>
    <t>기타 구매품</t>
  </si>
  <si>
    <t>사급</t>
    <phoneticPr fontId="2" type="noConversion"/>
  </si>
  <si>
    <t>0.5 Ton</t>
    <phoneticPr fontId="2" type="noConversion"/>
  </si>
  <si>
    <t>서보 프레스 SET</t>
    <phoneticPr fontId="2" type="noConversion"/>
  </si>
  <si>
    <t>사급</t>
    <phoneticPr fontId="2" type="noConversion"/>
  </si>
  <si>
    <t>서보프레스 차종 셋팅</t>
    <phoneticPr fontId="2" type="noConversion"/>
  </si>
  <si>
    <t>모비코</t>
    <phoneticPr fontId="2" type="noConversion"/>
  </si>
  <si>
    <t>TPL220404-01-03</t>
    <phoneticPr fontId="2" type="noConversion"/>
  </si>
  <si>
    <t>구매팀 / 이주헌 님</t>
    <phoneticPr fontId="2" type="noConversion"/>
  </si>
  <si>
    <t>3. 사급(서보프레스SET,PLC부품,인디게이터 류, 등)</t>
    <phoneticPr fontId="2" type="noConversion"/>
  </si>
  <si>
    <t>로드셀 및 인디게이터 SET</t>
    <phoneticPr fontId="2" type="noConversion"/>
  </si>
  <si>
    <t>대금지급조건</t>
    <phoneticPr fontId="2" type="noConversion"/>
  </si>
  <si>
    <t>계약후 20%, FAC완료후 80%</t>
    <phoneticPr fontId="2" type="noConversion"/>
  </si>
  <si>
    <t>공사완료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</si>
</sst>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 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4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7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176" fontId="1" fillId="0" borderId="12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vertical="center"/>
    </xf>
    <xf numFmtId="176" fontId="13" fillId="3" borderId="14" xfId="0" applyNumberFormat="1" applyFont="1" applyFill="1" applyBorder="1" applyAlignment="1">
      <alignment vertical="center"/>
    </xf>
    <xf numFmtId="0" fontId="0" fillId="0" borderId="15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20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179" fontId="1" fillId="0" borderId="21" xfId="0" applyNumberFormat="1" applyFont="1" applyFill="1" applyBorder="1" applyAlignment="1">
      <alignment horizontal="center" vertical="center"/>
    </xf>
    <xf numFmtId="3" fontId="1" fillId="0" borderId="2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23" xfId="0" applyNumberFormat="1" applyFont="1" applyFill="1" applyBorder="1" applyAlignment="1">
      <alignment horizontal="center" vertical="center"/>
    </xf>
    <xf numFmtId="3" fontId="1" fillId="0" borderId="24" xfId="0" applyNumberFormat="1" applyFont="1" applyFill="1" applyBorder="1" applyAlignment="1">
      <alignment horizontal="center" vertical="center"/>
    </xf>
    <xf numFmtId="179" fontId="1" fillId="0" borderId="24" xfId="0" applyNumberFormat="1" applyFont="1" applyFill="1" applyBorder="1" applyAlignment="1">
      <alignment horizontal="center" vertical="center"/>
    </xf>
    <xf numFmtId="3" fontId="1" fillId="0" borderId="25" xfId="0" applyNumberFormat="1" applyFont="1" applyFill="1" applyBorder="1" applyAlignment="1">
      <alignment horizontal="center" vertical="center"/>
    </xf>
    <xf numFmtId="3" fontId="1" fillId="0" borderId="26" xfId="0" applyNumberFormat="1" applyFont="1" applyFill="1" applyBorder="1" applyAlignment="1">
      <alignment horizontal="center" vertical="center"/>
    </xf>
    <xf numFmtId="3" fontId="14" fillId="0" borderId="26" xfId="0" applyNumberFormat="1" applyFont="1" applyFill="1" applyBorder="1" applyAlignment="1">
      <alignment horizontal="center" vertical="center"/>
    </xf>
    <xf numFmtId="179" fontId="1" fillId="0" borderId="26" xfId="0" applyNumberFormat="1" applyFont="1" applyFill="1" applyBorder="1" applyAlignment="1">
      <alignment horizontal="right" vertical="center"/>
    </xf>
    <xf numFmtId="179" fontId="1" fillId="0" borderId="26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9" fontId="1" fillId="0" borderId="1" xfId="1" applyNumberFormat="1" applyFont="1" applyFill="1" applyBorder="1" applyAlignment="1">
      <alignment horizontal="right" vertical="center"/>
    </xf>
    <xf numFmtId="179" fontId="1" fillId="0" borderId="1" xfId="0" applyNumberFormat="1" applyFont="1" applyFill="1" applyBorder="1" applyAlignment="1">
      <alignment vertical="center"/>
    </xf>
    <xf numFmtId="3" fontId="1" fillId="0" borderId="28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right" vertical="center"/>
    </xf>
    <xf numFmtId="179" fontId="1" fillId="4" borderId="1" xfId="0" applyNumberFormat="1" applyFont="1" applyFill="1" applyBorder="1" applyAlignment="1">
      <alignment vertical="center"/>
    </xf>
    <xf numFmtId="3" fontId="0" fillId="0" borderId="28" xfId="0" applyNumberFormat="1" applyFill="1" applyBorder="1" applyAlignment="1">
      <alignment vertical="center"/>
    </xf>
    <xf numFmtId="3" fontId="1" fillId="0" borderId="29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left" vertical="center"/>
    </xf>
    <xf numFmtId="3" fontId="1" fillId="0" borderId="30" xfId="0" applyNumberFormat="1" applyFont="1" applyFill="1" applyBorder="1" applyAlignment="1">
      <alignment horizontal="center" vertical="center"/>
    </xf>
    <xf numFmtId="179" fontId="5" fillId="0" borderId="31" xfId="0" applyNumberFormat="1" applyFont="1" applyFill="1" applyBorder="1" applyAlignment="1">
      <alignment vertical="center"/>
    </xf>
    <xf numFmtId="3" fontId="1" fillId="0" borderId="32" xfId="0" applyNumberFormat="1" applyFont="1" applyFill="1" applyBorder="1" applyAlignment="1">
      <alignment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34" xfId="0" applyNumberFormat="1" applyFont="1" applyFill="1" applyBorder="1" applyAlignment="1">
      <alignment horizontal="center" vertical="center"/>
    </xf>
    <xf numFmtId="179" fontId="5" fillId="0" borderId="35" xfId="0" applyNumberFormat="1" applyFont="1" applyFill="1" applyBorder="1" applyAlignment="1">
      <alignment vertical="center"/>
    </xf>
    <xf numFmtId="3" fontId="1" fillId="0" borderId="36" xfId="0" applyNumberFormat="1" applyFont="1" applyFill="1" applyBorder="1" applyAlignment="1">
      <alignment vertical="center"/>
    </xf>
    <xf numFmtId="3" fontId="1" fillId="0" borderId="37" xfId="0" applyNumberFormat="1" applyFont="1" applyFill="1" applyBorder="1" applyAlignment="1">
      <alignment horizontal="center" vertical="center"/>
    </xf>
    <xf numFmtId="3" fontId="14" fillId="0" borderId="37" xfId="0" applyNumberFormat="1" applyFont="1" applyFill="1" applyBorder="1" applyAlignment="1">
      <alignment horizontal="center" vertical="center"/>
    </xf>
    <xf numFmtId="179" fontId="1" fillId="0" borderId="37" xfId="0" applyNumberFormat="1" applyFont="1" applyFill="1" applyBorder="1" applyAlignment="1">
      <alignment vertical="center"/>
    </xf>
    <xf numFmtId="3" fontId="1" fillId="0" borderId="38" xfId="0" applyNumberFormat="1" applyFont="1" applyFill="1" applyBorder="1" applyAlignment="1">
      <alignment vertical="center"/>
    </xf>
    <xf numFmtId="3" fontId="14" fillId="4" borderId="26" xfId="0" applyNumberFormat="1" applyFont="1" applyFill="1" applyBorder="1" applyAlignment="1">
      <alignment horizontal="center" vertical="center"/>
    </xf>
    <xf numFmtId="179" fontId="1" fillId="4" borderId="26" xfId="0" applyNumberFormat="1" applyFont="1" applyFill="1" applyBorder="1" applyAlignment="1">
      <alignment vertical="center"/>
    </xf>
    <xf numFmtId="179" fontId="5" fillId="0" borderId="37" xfId="0" applyNumberFormat="1" applyFont="1" applyFill="1" applyBorder="1" applyAlignment="1">
      <alignment vertical="center"/>
    </xf>
    <xf numFmtId="179" fontId="5" fillId="0" borderId="39" xfId="0" applyNumberFormat="1" applyFont="1" applyFill="1" applyBorder="1" applyAlignment="1">
      <alignment vertical="center"/>
    </xf>
    <xf numFmtId="3" fontId="1" fillId="0" borderId="40" xfId="0" applyNumberFormat="1" applyFont="1" applyFill="1" applyBorder="1" applyAlignment="1">
      <alignment vertical="center"/>
    </xf>
    <xf numFmtId="3" fontId="1" fillId="0" borderId="41" xfId="0" applyNumberFormat="1" applyFont="1" applyFill="1" applyBorder="1" applyAlignment="1">
      <alignment horizontal="center" vertical="center"/>
    </xf>
    <xf numFmtId="179" fontId="5" fillId="3" borderId="42" xfId="0" applyNumberFormat="1" applyFont="1" applyFill="1" applyBorder="1" applyAlignment="1">
      <alignment vertical="center"/>
    </xf>
    <xf numFmtId="3" fontId="1" fillId="0" borderId="11" xfId="0" applyNumberFormat="1" applyFont="1" applyFill="1" applyBorder="1" applyAlignment="1">
      <alignment vertical="center"/>
    </xf>
    <xf numFmtId="3" fontId="1" fillId="0" borderId="9" xfId="0" applyNumberFormat="1" applyFont="1" applyFill="1" applyBorder="1" applyAlignment="1">
      <alignment horizontal="center" vertical="center"/>
    </xf>
    <xf numFmtId="179" fontId="5" fillId="0" borderId="26" xfId="0" applyNumberFormat="1" applyFont="1" applyFill="1" applyBorder="1" applyAlignment="1">
      <alignment vertical="center"/>
    </xf>
    <xf numFmtId="3" fontId="14" fillId="4" borderId="28" xfId="0" applyNumberFormat="1" applyFont="1" applyFill="1" applyBorder="1" applyAlignment="1">
      <alignment vertical="center" wrapText="1"/>
    </xf>
    <xf numFmtId="10" fontId="1" fillId="0" borderId="0" xfId="1" applyNumberFormat="1" applyFont="1" applyFill="1" applyAlignment="1">
      <alignment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44" xfId="0" applyNumberFormat="1" applyFont="1" applyFill="1" applyBorder="1" applyAlignment="1">
      <alignment horizontal="left" vertical="center"/>
    </xf>
    <xf numFmtId="179" fontId="5" fillId="0" borderId="45" xfId="0" applyNumberFormat="1" applyFont="1" applyFill="1" applyBorder="1" applyAlignment="1">
      <alignment vertical="center"/>
    </xf>
    <xf numFmtId="3" fontId="1" fillId="0" borderId="46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vertical="center"/>
    </xf>
    <xf numFmtId="3" fontId="0" fillId="4" borderId="1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47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6" fontId="0" fillId="0" borderId="61" xfId="0" applyNumberFormat="1" applyFill="1" applyBorder="1" applyAlignment="1">
      <alignment horizontal="left" vertical="center"/>
    </xf>
    <xf numFmtId="176" fontId="21" fillId="0" borderId="62" xfId="0" applyNumberFormat="1" applyFont="1" applyFill="1" applyBorder="1" applyAlignment="1">
      <alignment vertical="center"/>
    </xf>
    <xf numFmtId="176" fontId="21" fillId="0" borderId="63" xfId="0" applyNumberFormat="1" applyFont="1" applyFill="1" applyBorder="1" applyAlignment="1">
      <alignment vertical="center"/>
    </xf>
    <xf numFmtId="176" fontId="21" fillId="0" borderId="64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3" xfId="0" applyNumberFormat="1" applyFont="1" applyFill="1" applyBorder="1" applyAlignment="1">
      <alignment vertical="center"/>
    </xf>
    <xf numFmtId="176" fontId="0" fillId="0" borderId="66" xfId="0" applyNumberFormat="1" applyFill="1" applyBorder="1" applyAlignment="1">
      <alignment vertical="center"/>
    </xf>
    <xf numFmtId="176" fontId="0" fillId="0" borderId="67" xfId="0" applyNumberFormat="1" applyBorder="1" applyAlignment="1">
      <alignment vertical="center"/>
    </xf>
    <xf numFmtId="176" fontId="0" fillId="0" borderId="6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69" xfId="0" applyNumberFormat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21" fillId="0" borderId="20" xfId="0" applyNumberFormat="1" applyFont="1" applyBorder="1" applyAlignment="1">
      <alignment vertical="center"/>
    </xf>
    <xf numFmtId="176" fontId="21" fillId="0" borderId="21" xfId="0" applyNumberFormat="1" applyFont="1" applyBorder="1" applyAlignment="1">
      <alignment vertical="center"/>
    </xf>
    <xf numFmtId="176" fontId="21" fillId="0" borderId="22" xfId="0" applyNumberFormat="1" applyFont="1" applyBorder="1" applyAlignment="1">
      <alignment vertical="center"/>
    </xf>
    <xf numFmtId="176" fontId="5" fillId="0" borderId="70" xfId="0" applyNumberFormat="1" applyFont="1" applyBorder="1" applyAlignment="1">
      <alignment vertical="center"/>
    </xf>
    <xf numFmtId="176" fontId="5" fillId="0" borderId="21" xfId="0" applyNumberFormat="1" applyFont="1" applyFill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48" xfId="0" applyNumberFormat="1" applyFont="1" applyBorder="1" applyAlignment="1">
      <alignment vertical="center"/>
    </xf>
    <xf numFmtId="176" fontId="5" fillId="0" borderId="71" xfId="0" applyNumberFormat="1" applyFont="1" applyBorder="1" applyAlignment="1">
      <alignment vertical="center"/>
    </xf>
    <xf numFmtId="176" fontId="0" fillId="0" borderId="50" xfId="0" applyNumberFormat="1" applyBorder="1" applyAlignment="1">
      <alignment vertical="center"/>
    </xf>
    <xf numFmtId="176" fontId="14" fillId="0" borderId="72" xfId="0" applyNumberFormat="1" applyFont="1" applyBorder="1" applyAlignment="1">
      <alignment horizontal="center" vertical="center"/>
    </xf>
    <xf numFmtId="176" fontId="14" fillId="0" borderId="73" xfId="0" applyNumberFormat="1" applyFont="1" applyBorder="1" applyAlignment="1">
      <alignment horizontal="center" vertical="center"/>
    </xf>
    <xf numFmtId="176" fontId="14" fillId="0" borderId="74" xfId="0" applyNumberFormat="1" applyFont="1" applyBorder="1" applyAlignment="1">
      <alignment horizontal="center" vertical="center"/>
    </xf>
    <xf numFmtId="9" fontId="22" fillId="0" borderId="75" xfId="1" applyFont="1" applyBorder="1" applyAlignment="1">
      <alignment vertical="center"/>
    </xf>
    <xf numFmtId="9" fontId="22" fillId="0" borderId="76" xfId="1" applyFont="1" applyBorder="1" applyAlignment="1">
      <alignment vertical="center"/>
    </xf>
    <xf numFmtId="9" fontId="22" fillId="0" borderId="77" xfId="1" applyFont="1" applyBorder="1" applyAlignment="1">
      <alignment vertical="center"/>
    </xf>
    <xf numFmtId="9" fontId="14" fillId="0" borderId="78" xfId="1" applyFont="1" applyBorder="1" applyAlignment="1">
      <alignment vertical="center"/>
    </xf>
    <xf numFmtId="9" fontId="14" fillId="0" borderId="76" xfId="1" applyFont="1" applyFill="1" applyBorder="1" applyAlignment="1">
      <alignment vertical="center"/>
    </xf>
    <xf numFmtId="9" fontId="14" fillId="0" borderId="76" xfId="1" applyFont="1" applyBorder="1" applyAlignment="1">
      <alignment vertical="center"/>
    </xf>
    <xf numFmtId="9" fontId="14" fillId="0" borderId="79" xfId="1" applyFont="1" applyBorder="1" applyAlignment="1">
      <alignment vertical="center"/>
    </xf>
    <xf numFmtId="9" fontId="14" fillId="0" borderId="80" xfId="1" applyFont="1" applyBorder="1" applyAlignment="1">
      <alignment vertical="center"/>
    </xf>
    <xf numFmtId="176" fontId="14" fillId="0" borderId="74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2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7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82" xfId="0" applyBorder="1" applyAlignment="1">
      <alignment vertical="center"/>
    </xf>
    <xf numFmtId="0" fontId="0" fillId="2" borderId="83" xfId="0" applyFill="1" applyBorder="1" applyAlignment="1">
      <alignment vertical="center"/>
    </xf>
    <xf numFmtId="0" fontId="0" fillId="2" borderId="83" xfId="0" applyFill="1" applyBorder="1" applyAlignment="1">
      <alignment horizontal="center" vertical="center"/>
    </xf>
    <xf numFmtId="176" fontId="0" fillId="2" borderId="83" xfId="0" applyNumberFormat="1" applyFill="1" applyBorder="1" applyAlignment="1">
      <alignment horizontal="center" vertical="center"/>
    </xf>
    <xf numFmtId="176" fontId="0" fillId="2" borderId="83" xfId="0" applyNumberFormat="1" applyFill="1" applyBorder="1" applyAlignment="1">
      <alignment vertical="center"/>
    </xf>
    <xf numFmtId="176" fontId="0" fillId="0" borderId="11" xfId="0" applyNumberFormat="1" applyBorder="1" applyAlignment="1">
      <alignment vertical="center"/>
    </xf>
    <xf numFmtId="0" fontId="0" fillId="0" borderId="83" xfId="0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vertical="center"/>
    </xf>
    <xf numFmtId="0" fontId="0" fillId="2" borderId="84" xfId="0" applyFill="1" applyBorder="1" applyAlignment="1">
      <alignment vertical="center"/>
    </xf>
    <xf numFmtId="0" fontId="0" fillId="2" borderId="84" xfId="0" applyFill="1" applyBorder="1" applyAlignment="1">
      <alignment horizontal="center" vertical="center"/>
    </xf>
    <xf numFmtId="176" fontId="0" fillId="2" borderId="84" xfId="0" applyNumberFormat="1" applyFill="1" applyBorder="1" applyAlignment="1">
      <alignment horizontal="center" vertical="center"/>
    </xf>
    <xf numFmtId="176" fontId="0" fillId="2" borderId="84" xfId="0" applyNumberFormat="1" applyFill="1" applyBorder="1" applyAlignment="1">
      <alignment vertical="center"/>
    </xf>
    <xf numFmtId="0" fontId="0" fillId="0" borderId="84" xfId="0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81" xfId="0" applyBorder="1" applyAlignment="1">
      <alignment vertical="center"/>
    </xf>
    <xf numFmtId="176" fontId="0" fillId="0" borderId="81" xfId="0" applyNumberFormat="1" applyBorder="1" applyAlignment="1">
      <alignment horizontal="center" vertical="center"/>
    </xf>
    <xf numFmtId="176" fontId="0" fillId="0" borderId="81" xfId="0" applyNumberForma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5" borderId="85" xfId="0" applyFill="1" applyBorder="1" applyAlignment="1">
      <alignment vertical="center"/>
    </xf>
    <xf numFmtId="0" fontId="0" fillId="2" borderId="86" xfId="0" applyFill="1" applyBorder="1" applyAlignment="1">
      <alignment vertical="center"/>
    </xf>
    <xf numFmtId="0" fontId="0" fillId="2" borderId="86" xfId="0" applyFill="1" applyBorder="1" applyAlignment="1">
      <alignment horizontal="center" vertical="center"/>
    </xf>
    <xf numFmtId="176" fontId="0" fillId="2" borderId="86" xfId="0" applyNumberFormat="1" applyFill="1" applyBorder="1" applyAlignment="1">
      <alignment horizontal="center" vertical="center"/>
    </xf>
    <xf numFmtId="176" fontId="0" fillId="2" borderId="86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86" xfId="0" applyBorder="1" applyAlignment="1">
      <alignment vertical="center"/>
    </xf>
    <xf numFmtId="0" fontId="0" fillId="5" borderId="82" xfId="0" applyFill="1" applyBorder="1" applyAlignment="1">
      <alignment vertical="center"/>
    </xf>
    <xf numFmtId="0" fontId="0" fillId="2" borderId="88" xfId="0" applyFill="1" applyBorder="1" applyAlignment="1">
      <alignment vertical="center"/>
    </xf>
    <xf numFmtId="176" fontId="0" fillId="2" borderId="88" xfId="0" applyNumberFormat="1" applyFill="1" applyBorder="1" applyAlignment="1">
      <alignment horizontal="center" vertical="center"/>
    </xf>
    <xf numFmtId="176" fontId="0" fillId="2" borderId="88" xfId="0" applyNumberFormat="1" applyFill="1" applyBorder="1" applyAlignment="1">
      <alignment vertical="center"/>
    </xf>
    <xf numFmtId="176" fontId="0" fillId="0" borderId="89" xfId="0" applyNumberFormat="1" applyBorder="1" applyAlignment="1">
      <alignment vertical="center"/>
    </xf>
    <xf numFmtId="0" fontId="0" fillId="0" borderId="88" xfId="0" applyBorder="1" applyAlignment="1">
      <alignment vertical="center"/>
    </xf>
    <xf numFmtId="0" fontId="0" fillId="6" borderId="14" xfId="0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0" fillId="6" borderId="15" xfId="0" applyFill="1" applyBorder="1" applyAlignment="1">
      <alignment horizontal="center" vertical="center"/>
    </xf>
    <xf numFmtId="176" fontId="0" fillId="6" borderId="15" xfId="0" applyNumberFormat="1" applyFill="1" applyBorder="1" applyAlignment="1">
      <alignment horizontal="center" vertical="center"/>
    </xf>
    <xf numFmtId="176" fontId="0" fillId="6" borderId="15" xfId="0" applyNumberFormat="1" applyFill="1" applyBorder="1" applyAlignment="1">
      <alignment vertical="center"/>
    </xf>
    <xf numFmtId="176" fontId="0" fillId="6" borderId="14" xfId="0" applyNumberFormat="1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0" borderId="85" xfId="0" applyBorder="1" applyAlignment="1">
      <alignment vertical="center"/>
    </xf>
    <xf numFmtId="176" fontId="0" fillId="0" borderId="90" xfId="0" applyNumberFormat="1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91" xfId="0" applyBorder="1" applyAlignment="1">
      <alignment horizontal="left" vertical="center"/>
    </xf>
    <xf numFmtId="0" fontId="0" fillId="0" borderId="14" xfId="0" applyBorder="1" applyAlignment="1">
      <alignment vertical="center"/>
    </xf>
    <xf numFmtId="176" fontId="0" fillId="0" borderId="47" xfId="0" applyNumberFormat="1" applyBorder="1" applyAlignment="1">
      <alignment horizontal="center" vertical="center"/>
    </xf>
    <xf numFmtId="176" fontId="0" fillId="0" borderId="47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2" xfId="0" applyFill="1" applyBorder="1" applyAlignment="1">
      <alignment horizontal="center" vertical="center"/>
    </xf>
    <xf numFmtId="176" fontId="0" fillId="2" borderId="47" xfId="0" applyNumberFormat="1" applyFill="1" applyBorder="1" applyAlignment="1">
      <alignment horizontal="center" vertical="center"/>
    </xf>
    <xf numFmtId="176" fontId="0" fillId="2" borderId="47" xfId="0" applyNumberFormat="1" applyFill="1" applyBorder="1" applyAlignment="1">
      <alignment vertical="center"/>
    </xf>
    <xf numFmtId="176" fontId="0" fillId="0" borderId="14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87" xfId="0" applyBorder="1" applyAlignment="1">
      <alignment vertical="center"/>
    </xf>
    <xf numFmtId="0" fontId="0" fillId="0" borderId="8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90" xfId="0" applyBorder="1" applyAlignment="1">
      <alignment vertical="center"/>
    </xf>
    <xf numFmtId="0" fontId="0" fillId="0" borderId="84" xfId="0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91" xfId="0" applyBorder="1" applyAlignment="1">
      <alignment vertical="center"/>
    </xf>
    <xf numFmtId="0" fontId="0" fillId="0" borderId="92" xfId="0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176" fontId="0" fillId="0" borderId="92" xfId="0" applyNumberFormat="1" applyBorder="1" applyAlignment="1">
      <alignment vertical="center"/>
    </xf>
    <xf numFmtId="176" fontId="0" fillId="2" borderId="15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73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81" xfId="0" applyNumberFormat="1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176" fontId="0" fillId="0" borderId="93" xfId="0" applyNumberFormat="1" applyBorder="1" applyAlignment="1">
      <alignment horizontal="center" vertical="center"/>
    </xf>
    <xf numFmtId="176" fontId="0" fillId="0" borderId="68" xfId="0" applyNumberForma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14" fontId="0" fillId="2" borderId="1" xfId="0" applyNumberFormat="1" applyFon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0" fillId="2" borderId="8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176" fontId="1" fillId="0" borderId="94" xfId="0" applyNumberFormat="1" applyFont="1" applyFill="1" applyBorder="1" applyAlignment="1">
      <alignment horizontal="right" vertical="center"/>
    </xf>
    <xf numFmtId="176" fontId="0" fillId="0" borderId="8" xfId="0" applyNumberFormat="1" applyBorder="1" applyAlignment="1">
      <alignment vertical="center"/>
    </xf>
    <xf numFmtId="176" fontId="0" fillId="0" borderId="84" xfId="0" applyNumberFormat="1" applyBorder="1" applyAlignment="1">
      <alignment vertical="center"/>
    </xf>
    <xf numFmtId="0" fontId="10" fillId="7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0" fillId="2" borderId="88" xfId="0" applyFont="1" applyFill="1" applyBorder="1" applyAlignment="1">
      <alignment horizontal="left" vertical="center"/>
    </xf>
    <xf numFmtId="0" fontId="0" fillId="2" borderId="84" xfId="0" applyFont="1" applyFill="1" applyBorder="1" applyAlignment="1">
      <alignment horizontal="left" vertical="center"/>
    </xf>
    <xf numFmtId="0" fontId="0" fillId="2" borderId="84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" fillId="0" borderId="9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182" fontId="0" fillId="2" borderId="86" xfId="0" applyNumberForma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vertical="center"/>
    </xf>
    <xf numFmtId="0" fontId="0" fillId="2" borderId="8" xfId="0" applyFill="1" applyBorder="1" applyAlignment="1">
      <alignment horizontal="left" vertical="center"/>
    </xf>
    <xf numFmtId="176" fontId="0" fillId="2" borderId="15" xfId="0" applyNumberFormat="1" applyFill="1" applyBorder="1" applyAlignment="1">
      <alignment horizontal="center" vertical="center"/>
    </xf>
    <xf numFmtId="0" fontId="0" fillId="2" borderId="88" xfId="0" applyFont="1" applyFill="1" applyBorder="1" applyAlignment="1">
      <alignment vertical="center"/>
    </xf>
    <xf numFmtId="0" fontId="0" fillId="2" borderId="88" xfId="0" applyFill="1" applyBorder="1" applyAlignment="1">
      <alignment horizontal="center" vertical="center"/>
    </xf>
    <xf numFmtId="0" fontId="0" fillId="2" borderId="86" xfId="0" applyFont="1" applyFill="1" applyBorder="1" applyAlignment="1">
      <alignment horizontal="left" vertical="center"/>
    </xf>
    <xf numFmtId="0" fontId="26" fillId="2" borderId="8" xfId="0" applyFont="1" applyFill="1" applyBorder="1" applyAlignment="1">
      <alignment vertical="center"/>
    </xf>
    <xf numFmtId="0" fontId="26" fillId="2" borderId="8" xfId="0" applyFont="1" applyFill="1" applyBorder="1" applyAlignment="1">
      <alignment horizontal="center" vertical="center"/>
    </xf>
    <xf numFmtId="176" fontId="26" fillId="2" borderId="8" xfId="0" applyNumberFormat="1" applyFont="1" applyFill="1" applyBorder="1" applyAlignment="1">
      <alignment horizontal="center" vertical="center"/>
    </xf>
    <xf numFmtId="176" fontId="26" fillId="2" borderId="8" xfId="0" applyNumberFormat="1" applyFont="1" applyFill="1" applyBorder="1" applyAlignment="1">
      <alignment vertical="center"/>
    </xf>
    <xf numFmtId="176" fontId="26" fillId="0" borderId="69" xfId="0" applyNumberFormat="1" applyFont="1" applyBorder="1" applyAlignment="1">
      <alignment vertical="center"/>
    </xf>
    <xf numFmtId="0" fontId="26" fillId="0" borderId="8" xfId="0" applyFont="1" applyBorder="1" applyAlignment="1">
      <alignment vertical="center"/>
    </xf>
    <xf numFmtId="0" fontId="26" fillId="2" borderId="8" xfId="0" applyFont="1" applyFill="1" applyBorder="1" applyAlignment="1">
      <alignment horizontal="left" vertical="center"/>
    </xf>
    <xf numFmtId="0" fontId="26" fillId="2" borderId="88" xfId="0" applyFont="1" applyFill="1" applyBorder="1" applyAlignment="1">
      <alignment vertical="center"/>
    </xf>
    <xf numFmtId="176" fontId="26" fillId="2" borderId="88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2" borderId="96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90" xfId="0" applyFont="1" applyFill="1" applyBorder="1" applyAlignment="1">
      <alignment vertical="center"/>
    </xf>
    <xf numFmtId="0" fontId="1" fillId="0" borderId="47" xfId="0" applyFont="1" applyBorder="1" applyAlignment="1">
      <alignment horizontal="center" vertical="center" textRotation="255"/>
    </xf>
    <xf numFmtId="0" fontId="1" fillId="0" borderId="51" xfId="0" applyFont="1" applyBorder="1" applyAlignment="1">
      <alignment horizontal="center" vertical="center" textRotation="255"/>
    </xf>
    <xf numFmtId="0" fontId="1" fillId="0" borderId="81" xfId="0" applyFont="1" applyBorder="1" applyAlignment="1">
      <alignment horizontal="center" vertical="center" textRotation="255"/>
    </xf>
    <xf numFmtId="0" fontId="1" fillId="2" borderId="8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0" fillId="0" borderId="92" xfId="0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8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5" xfId="0" applyFont="1" applyFill="1" applyBorder="1" applyAlignment="1">
      <alignment vertical="center"/>
    </xf>
    <xf numFmtId="178" fontId="1" fillId="2" borderId="82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55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99" xfId="0" applyFont="1" applyFill="1" applyBorder="1" applyAlignment="1">
      <alignment vertical="center"/>
    </xf>
    <xf numFmtId="0" fontId="1" fillId="2" borderId="69" xfId="0" applyFont="1" applyFill="1" applyBorder="1" applyAlignment="1">
      <alignment vertical="center"/>
    </xf>
    <xf numFmtId="0" fontId="1" fillId="2" borderId="72" xfId="0" applyFont="1" applyFill="1" applyBorder="1" applyAlignment="1">
      <alignment vertical="center"/>
    </xf>
    <xf numFmtId="0" fontId="1" fillId="2" borderId="73" xfId="0" applyFont="1" applyFill="1" applyBorder="1" applyAlignment="1">
      <alignment vertical="center"/>
    </xf>
    <xf numFmtId="0" fontId="1" fillId="2" borderId="74" xfId="0" applyFont="1" applyFill="1" applyBorder="1" applyAlignment="1">
      <alignment vertical="center"/>
    </xf>
    <xf numFmtId="176" fontId="1" fillId="0" borderId="92" xfId="0" applyNumberFormat="1" applyFont="1" applyBorder="1" applyAlignment="1">
      <alignment horizontal="center" vertical="center" wrapText="1"/>
    </xf>
    <xf numFmtId="176" fontId="1" fillId="0" borderId="14" xfId="0" applyNumberFormat="1" applyFont="1" applyBorder="1" applyAlignment="1">
      <alignment horizontal="center" vertical="center" wrapText="1"/>
    </xf>
    <xf numFmtId="0" fontId="1" fillId="0" borderId="102" xfId="0" applyFont="1" applyFill="1" applyBorder="1" applyAlignment="1">
      <alignment horizontal="left" vertical="center"/>
    </xf>
    <xf numFmtId="0" fontId="1" fillId="0" borderId="103" xfId="0" applyFont="1" applyFill="1" applyBorder="1" applyAlignment="1">
      <alignment horizontal="left" vertical="center"/>
    </xf>
    <xf numFmtId="0" fontId="1" fillId="2" borderId="97" xfId="0" applyFont="1" applyFill="1" applyBorder="1" applyAlignment="1">
      <alignment vertical="center"/>
    </xf>
    <xf numFmtId="0" fontId="1" fillId="2" borderId="98" xfId="0" applyFont="1" applyFill="1" applyBorder="1" applyAlignment="1">
      <alignment vertical="center"/>
    </xf>
    <xf numFmtId="0" fontId="1" fillId="2" borderId="87" xfId="0" applyFont="1" applyFill="1" applyBorder="1" applyAlignment="1">
      <alignment vertical="center"/>
    </xf>
    <xf numFmtId="177" fontId="27" fillId="2" borderId="82" xfId="0" applyNumberFormat="1" applyFont="1" applyFill="1" applyBorder="1" applyAlignment="1">
      <alignment horizontal="left" vertical="center"/>
    </xf>
    <xf numFmtId="177" fontId="27" fillId="2" borderId="0" xfId="0" applyNumberFormat="1" applyFont="1" applyFill="1" applyBorder="1" applyAlignment="1">
      <alignment horizontal="left" vertical="center"/>
    </xf>
    <xf numFmtId="177" fontId="27" fillId="2" borderId="55" xfId="0" applyNumberFormat="1" applyFont="1" applyFill="1" applyBorder="1" applyAlignment="1">
      <alignment horizontal="left" vertical="center"/>
    </xf>
    <xf numFmtId="176" fontId="1" fillId="0" borderId="92" xfId="0" applyNumberFormat="1" applyFont="1" applyBorder="1" applyAlignment="1">
      <alignment horizontal="center" vertical="center"/>
    </xf>
    <xf numFmtId="176" fontId="1" fillId="0" borderId="91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3" fontId="1" fillId="0" borderId="119" xfId="0" applyNumberFormat="1" applyFont="1" applyFill="1" applyBorder="1" applyAlignment="1">
      <alignment horizontal="center" vertical="center"/>
    </xf>
    <xf numFmtId="3" fontId="1" fillId="0" borderId="16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120" xfId="0" applyNumberFormat="1" applyFont="1" applyFill="1" applyBorder="1" applyAlignment="1">
      <alignment horizontal="center" vertical="center"/>
    </xf>
    <xf numFmtId="3" fontId="1" fillId="0" borderId="121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99" xfId="0" applyNumberFormat="1" applyFont="1" applyFill="1" applyBorder="1" applyAlignment="1">
      <alignment horizontal="center" vertical="center"/>
    </xf>
    <xf numFmtId="3" fontId="1" fillId="0" borderId="29" xfId="0" applyNumberFormat="1" applyFont="1" applyFill="1" applyBorder="1" applyAlignment="1">
      <alignment horizontal="center" vertical="center"/>
    </xf>
    <xf numFmtId="3" fontId="1" fillId="0" borderId="118" xfId="0" applyNumberFormat="1" applyFont="1" applyFill="1" applyBorder="1" applyAlignment="1">
      <alignment horizontal="center" vertical="center"/>
    </xf>
    <xf numFmtId="3" fontId="1" fillId="0" borderId="116" xfId="0" applyNumberFormat="1" applyFont="1" applyFill="1" applyBorder="1" applyAlignment="1">
      <alignment horizontal="center" vertical="center"/>
    </xf>
    <xf numFmtId="3" fontId="1" fillId="0" borderId="106" xfId="0" applyNumberFormat="1" applyFont="1" applyFill="1" applyBorder="1" applyAlignment="1">
      <alignment horizontal="center" vertical="center"/>
    </xf>
    <xf numFmtId="3" fontId="1" fillId="0" borderId="96" xfId="0" applyNumberFormat="1" applyFont="1" applyFill="1" applyBorder="1" applyAlignment="1">
      <alignment horizontal="center"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34" xfId="0" applyNumberFormat="1" applyFont="1" applyFill="1" applyBorder="1" applyAlignment="1">
      <alignment horizontal="center" vertical="center"/>
    </xf>
    <xf numFmtId="3" fontId="1" fillId="0" borderId="115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" fillId="0" borderId="116" xfId="0" applyNumberFormat="1" applyFont="1" applyFill="1" applyBorder="1" applyAlignment="1">
      <alignment horizontal="center" vertical="center" wrapText="1"/>
    </xf>
    <xf numFmtId="3" fontId="1" fillId="0" borderId="117" xfId="0" applyNumberFormat="1" applyFont="1" applyFill="1" applyBorder="1" applyAlignment="1">
      <alignment horizontal="center" vertical="center"/>
    </xf>
    <xf numFmtId="3" fontId="1" fillId="0" borderId="20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 wrapText="1"/>
    </xf>
    <xf numFmtId="3" fontId="1" fillId="0" borderId="10" xfId="0" applyNumberFormat="1" applyFont="1" applyFill="1" applyBorder="1" applyAlignment="1">
      <alignment horizontal="center" vertical="center" wrapText="1"/>
    </xf>
    <xf numFmtId="3" fontId="1" fillId="0" borderId="10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26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101" xfId="0" applyNumberFormat="1" applyFont="1" applyFill="1" applyBorder="1" applyAlignment="1">
      <alignment horizontal="center" vertical="center"/>
    </xf>
    <xf numFmtId="3" fontId="1" fillId="0" borderId="97" xfId="0" applyNumberFormat="1" applyFont="1" applyFill="1" applyBorder="1" applyAlignment="1">
      <alignment horizontal="center" vertical="center"/>
    </xf>
    <xf numFmtId="3" fontId="1" fillId="0" borderId="98" xfId="0" applyNumberFormat="1" applyFont="1" applyFill="1" applyBorder="1" applyAlignment="1">
      <alignment horizontal="center" vertical="center"/>
    </xf>
    <xf numFmtId="3" fontId="1" fillId="0" borderId="111" xfId="0" applyNumberFormat="1" applyFont="1" applyFill="1" applyBorder="1" applyAlignment="1">
      <alignment horizontal="center" vertical="center"/>
    </xf>
    <xf numFmtId="3" fontId="1" fillId="0" borderId="112" xfId="0" applyNumberFormat="1" applyFont="1" applyFill="1" applyBorder="1" applyAlignment="1">
      <alignment horizontal="center" vertical="center"/>
    </xf>
    <xf numFmtId="3" fontId="1" fillId="0" borderId="113" xfId="0" applyNumberFormat="1" applyFont="1" applyFill="1" applyBorder="1" applyAlignment="1">
      <alignment horizontal="center" vertical="center"/>
    </xf>
    <xf numFmtId="3" fontId="1" fillId="0" borderId="114" xfId="0" applyNumberFormat="1" applyFont="1" applyFill="1" applyBorder="1" applyAlignment="1">
      <alignment horizontal="center" vertical="center"/>
    </xf>
    <xf numFmtId="3" fontId="1" fillId="0" borderId="107" xfId="0" applyNumberFormat="1" applyFont="1" applyFill="1" applyBorder="1" applyAlignment="1">
      <alignment horizontal="center" vertical="center"/>
    </xf>
    <xf numFmtId="3" fontId="1" fillId="0" borderId="108" xfId="0" applyNumberFormat="1" applyFont="1" applyFill="1" applyBorder="1" applyAlignment="1">
      <alignment horizontal="center" vertical="center"/>
    </xf>
    <xf numFmtId="3" fontId="1" fillId="0" borderId="109" xfId="0" applyNumberFormat="1" applyFont="1" applyFill="1" applyBorder="1" applyAlignment="1">
      <alignment horizontal="center" vertical="center"/>
    </xf>
    <xf numFmtId="3" fontId="1" fillId="0" borderId="110" xfId="0" applyNumberFormat="1" applyFont="1" applyFill="1" applyBorder="1" applyAlignment="1">
      <alignment horizontal="center" vertical="center"/>
    </xf>
    <xf numFmtId="3" fontId="1" fillId="0" borderId="103" xfId="0" applyNumberFormat="1" applyFont="1" applyFill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left" vertical="center"/>
    </xf>
    <xf numFmtId="3" fontId="14" fillId="4" borderId="99" xfId="0" applyNumberFormat="1" applyFont="1" applyFill="1" applyBorder="1" applyAlignment="1">
      <alignment horizontal="left" vertical="center"/>
    </xf>
    <xf numFmtId="3" fontId="14" fillId="4" borderId="29" xfId="0" applyNumberFormat="1" applyFont="1" applyFill="1" applyBorder="1" applyAlignment="1">
      <alignment horizontal="left" vertical="center"/>
    </xf>
    <xf numFmtId="3" fontId="14" fillId="0" borderId="2" xfId="0" applyNumberFormat="1" applyFont="1" applyFill="1" applyBorder="1" applyAlignment="1">
      <alignment horizontal="left" vertical="center"/>
    </xf>
    <xf numFmtId="3" fontId="14" fillId="0" borderId="99" xfId="0" applyNumberFormat="1" applyFont="1" applyFill="1" applyBorder="1" applyAlignment="1">
      <alignment horizontal="left" vertical="center"/>
    </xf>
    <xf numFmtId="3" fontId="14" fillId="0" borderId="29" xfId="0" applyNumberFormat="1" applyFont="1" applyFill="1" applyBorder="1" applyAlignment="1">
      <alignment horizontal="left" vertical="center"/>
    </xf>
    <xf numFmtId="3" fontId="0" fillId="0" borderId="96" xfId="0" quotePrefix="1" applyNumberFormat="1" applyFill="1" applyBorder="1" applyAlignment="1">
      <alignment horizontal="left" vertical="center"/>
    </xf>
    <xf numFmtId="3" fontId="0" fillId="0" borderId="33" xfId="0" quotePrefix="1" applyNumberFormat="1" applyFill="1" applyBorder="1" applyAlignment="1">
      <alignment horizontal="left" vertical="center"/>
    </xf>
    <xf numFmtId="3" fontId="0" fillId="0" borderId="34" xfId="0" quotePrefix="1" applyNumberFormat="1" applyFill="1" applyBorder="1" applyAlignment="1">
      <alignment horizontal="left" vertical="center"/>
    </xf>
    <xf numFmtId="3" fontId="1" fillId="0" borderId="104" xfId="0" applyNumberFormat="1" applyFont="1" applyFill="1" applyBorder="1" applyAlignment="1">
      <alignment horizontal="center" vertical="center"/>
    </xf>
    <xf numFmtId="3" fontId="14" fillId="0" borderId="45" xfId="0" quotePrefix="1" applyNumberFormat="1" applyFont="1" applyFill="1" applyBorder="1" applyAlignment="1">
      <alignment horizontal="left" vertical="center"/>
    </xf>
    <xf numFmtId="3" fontId="14" fillId="0" borderId="104" xfId="0" quotePrefix="1" applyNumberFormat="1" applyFont="1" applyFill="1" applyBorder="1" applyAlignment="1">
      <alignment horizontal="left" vertical="center"/>
    </xf>
    <xf numFmtId="3" fontId="14" fillId="0" borderId="105" xfId="0" quotePrefix="1" applyNumberFormat="1" applyFont="1" applyFill="1" applyBorder="1" applyAlignment="1">
      <alignment horizontal="left" vertical="center"/>
    </xf>
    <xf numFmtId="3" fontId="0" fillId="0" borderId="31" xfId="0" applyNumberFormat="1" applyFont="1" applyFill="1" applyBorder="1" applyAlignment="1">
      <alignment horizontal="center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0" fillId="0" borderId="26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99" xfId="0" applyNumberFormat="1" applyFont="1" applyFill="1" applyBorder="1" applyAlignment="1">
      <alignment horizontal="center" vertical="center"/>
    </xf>
    <xf numFmtId="179" fontId="0" fillId="0" borderId="29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6" fontId="0" fillId="0" borderId="8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5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center" vertical="top" wrapText="1" shrinkToFit="1"/>
    </xf>
    <xf numFmtId="0" fontId="0" fillId="0" borderId="51" xfId="0" applyBorder="1" applyAlignment="1">
      <alignment horizontal="center" vertical="top" wrapText="1" shrinkToFit="1"/>
    </xf>
    <xf numFmtId="0" fontId="0" fillId="0" borderId="51" xfId="0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" textlink="">
      <xdr:nvSpPr>
        <xdr:cNvPr id="3" name="AutoShape 2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showGridLines="0" tabSelected="1" workbookViewId="0">
      <selection activeCell="E10" sqref="E10"/>
    </sheetView>
  </sheetViews>
  <sheetFormatPr defaultColWidth="9" defaultRowHeight="14.4" x14ac:dyDescent="0.25"/>
  <cols>
    <col min="1" max="1" width="2" style="1" customWidth="1"/>
    <col min="2" max="2" width="4.8984375" style="1" customWidth="1"/>
    <col min="3" max="3" width="8.5" style="1" customWidth="1"/>
    <col min="4" max="4" width="30.09765625" style="1" customWidth="1"/>
    <col min="5" max="5" width="12.69921875" style="1" customWidth="1"/>
    <col min="6" max="6" width="13.59765625" style="1" customWidth="1"/>
    <col min="7" max="7" width="14" style="1" customWidth="1"/>
    <col min="8" max="8" width="14.69921875" style="1" customWidth="1"/>
    <col min="9" max="9" width="8.5" style="1" customWidth="1"/>
    <col min="10" max="10" width="1.3984375" style="1" customWidth="1"/>
    <col min="11" max="11" width="9" style="1"/>
    <col min="12" max="12" width="33.19921875" style="1" customWidth="1"/>
    <col min="13" max="16384" width="9" style="1"/>
  </cols>
  <sheetData>
    <row r="1" spans="2:10" x14ac:dyDescent="0.25">
      <c r="B1" s="1" t="s">
        <v>0</v>
      </c>
    </row>
    <row r="2" spans="2:10" ht="38.4" x14ac:dyDescent="0.25">
      <c r="B2" s="315" t="s">
        <v>1</v>
      </c>
      <c r="C2" s="315"/>
      <c r="D2" s="315"/>
      <c r="E2" s="315"/>
      <c r="F2" s="315"/>
      <c r="G2" s="315"/>
      <c r="H2" s="315"/>
      <c r="I2" s="315"/>
    </row>
    <row r="4" spans="2:10" s="5" customFormat="1" ht="24" customHeight="1" x14ac:dyDescent="0.25">
      <c r="B4" s="316" t="s">
        <v>163</v>
      </c>
      <c r="C4" s="316"/>
      <c r="D4" s="316"/>
      <c r="E4" s="2"/>
      <c r="F4" s="2"/>
      <c r="G4" s="279" t="s">
        <v>173</v>
      </c>
      <c r="H4" s="3"/>
      <c r="I4" s="4"/>
    </row>
    <row r="5" spans="2:10" s="5" customFormat="1" ht="21.75" customHeight="1" x14ac:dyDescent="0.25">
      <c r="B5" s="317" t="s">
        <v>2</v>
      </c>
      <c r="C5" s="318"/>
      <c r="D5" s="282">
        <v>44655</v>
      </c>
      <c r="E5" s="7"/>
      <c r="F5" s="2"/>
      <c r="G5" s="280" t="s">
        <v>174</v>
      </c>
      <c r="H5" s="8"/>
      <c r="I5" s="8"/>
    </row>
    <row r="6" spans="2:10" s="5" customFormat="1" ht="21.75" customHeight="1" x14ac:dyDescent="0.25">
      <c r="B6" s="317" t="s">
        <v>3</v>
      </c>
      <c r="C6" s="318"/>
      <c r="D6" s="6" t="s">
        <v>244</v>
      </c>
      <c r="E6" s="7"/>
      <c r="F6" s="2"/>
      <c r="G6" s="280" t="s">
        <v>175</v>
      </c>
      <c r="H6" s="9"/>
      <c r="I6" s="9"/>
      <c r="J6" s="1"/>
    </row>
    <row r="7" spans="2:10" s="5" customFormat="1" ht="21.75" customHeight="1" x14ac:dyDescent="0.25">
      <c r="B7" s="319" t="s">
        <v>4</v>
      </c>
      <c r="C7" s="10" t="s">
        <v>250</v>
      </c>
      <c r="D7" s="283">
        <v>44780</v>
      </c>
      <c r="E7" s="7"/>
      <c r="F7" s="2"/>
      <c r="G7" s="281" t="s">
        <v>172</v>
      </c>
      <c r="H7" s="9"/>
      <c r="I7" s="9"/>
      <c r="J7" s="1"/>
    </row>
    <row r="8" spans="2:10" s="5" customFormat="1" ht="21.75" customHeight="1" x14ac:dyDescent="0.25">
      <c r="B8" s="319"/>
      <c r="C8" s="10" t="s">
        <v>5</v>
      </c>
      <c r="D8" s="284">
        <v>44804</v>
      </c>
      <c r="E8" s="7"/>
      <c r="F8" s="2"/>
      <c r="G8" s="281" t="s">
        <v>177</v>
      </c>
      <c r="H8" s="9"/>
      <c r="I8" s="9"/>
      <c r="J8" s="1"/>
    </row>
    <row r="9" spans="2:10" s="5" customFormat="1" ht="21.75" customHeight="1" x14ac:dyDescent="0.25">
      <c r="B9" s="317" t="s">
        <v>6</v>
      </c>
      <c r="C9" s="318"/>
      <c r="D9" s="11" t="s">
        <v>162</v>
      </c>
      <c r="E9" s="7"/>
      <c r="F9" s="2"/>
      <c r="G9" s="280" t="s">
        <v>178</v>
      </c>
      <c r="H9" s="9"/>
      <c r="I9" s="9"/>
      <c r="J9" s="1"/>
    </row>
    <row r="10" spans="2:10" s="5" customFormat="1" ht="21.75" customHeight="1" x14ac:dyDescent="0.25">
      <c r="B10" s="317" t="s">
        <v>248</v>
      </c>
      <c r="C10" s="318"/>
      <c r="D10" s="6" t="s">
        <v>249</v>
      </c>
      <c r="E10" s="7"/>
      <c r="G10" s="280" t="s">
        <v>179</v>
      </c>
      <c r="H10" s="12"/>
      <c r="I10" s="13"/>
    </row>
    <row r="11" spans="2:10" s="5" customFormat="1" ht="21.75" customHeight="1" x14ac:dyDescent="0.25">
      <c r="B11" s="324" t="s">
        <v>164</v>
      </c>
      <c r="C11" s="318"/>
      <c r="D11" s="6" t="s">
        <v>245</v>
      </c>
      <c r="E11" s="7"/>
      <c r="G11" s="280" t="s">
        <v>176</v>
      </c>
      <c r="H11" s="12"/>
      <c r="I11" s="13"/>
    </row>
    <row r="12" spans="2:10" s="15" customFormat="1" ht="10.5" customHeight="1" x14ac:dyDescent="0.25">
      <c r="B12" s="14"/>
      <c r="I12" s="16"/>
    </row>
    <row r="13" spans="2:10" s="18" customFormat="1" ht="24.9" customHeight="1" x14ac:dyDescent="0.25">
      <c r="B13" s="296" t="s">
        <v>165</v>
      </c>
      <c r="C13" s="296"/>
      <c r="D13" s="291" t="s">
        <v>188</v>
      </c>
      <c r="E13" s="292"/>
      <c r="F13" s="292"/>
      <c r="G13" s="17"/>
      <c r="H13" s="17"/>
    </row>
    <row r="14" spans="2:10" s="18" customFormat="1" ht="24.9" customHeight="1" x14ac:dyDescent="0.25">
      <c r="B14" s="329" t="s">
        <v>166</v>
      </c>
      <c r="C14" s="330"/>
      <c r="D14" s="291" t="str">
        <f>"一金"&amp;NUMBERSTRING(H19,1)&amp;"원整 ("&amp;TEXT(H19,"\#,#)")</f>
        <v>一金일억일천사백만원整 (₩114,000,000)</v>
      </c>
      <c r="E14" s="292"/>
      <c r="F14" s="292"/>
      <c r="G14" s="292"/>
      <c r="H14" s="292"/>
    </row>
    <row r="15" spans="2:10" s="5" customFormat="1" ht="8.25" customHeight="1" x14ac:dyDescent="0.25"/>
    <row r="16" spans="2:10" s="19" customFormat="1" ht="24.9" customHeight="1" x14ac:dyDescent="0.25">
      <c r="B16" s="320" t="s">
        <v>7</v>
      </c>
      <c r="C16" s="325" t="s">
        <v>8</v>
      </c>
      <c r="D16" s="326"/>
      <c r="E16" s="322" t="s">
        <v>170</v>
      </c>
      <c r="F16" s="323"/>
      <c r="G16" s="323"/>
      <c r="H16" s="323"/>
      <c r="I16" s="320" t="s">
        <v>9</v>
      </c>
    </row>
    <row r="17" spans="1:13" s="19" customFormat="1" ht="29.25" customHeight="1" thickBot="1" x14ac:dyDescent="0.3">
      <c r="B17" s="321"/>
      <c r="C17" s="327"/>
      <c r="D17" s="328"/>
      <c r="E17" s="297" t="s">
        <v>167</v>
      </c>
      <c r="F17" s="287" t="s">
        <v>168</v>
      </c>
      <c r="G17" s="298" t="s">
        <v>169</v>
      </c>
      <c r="H17" s="20" t="s">
        <v>12</v>
      </c>
      <c r="I17" s="321"/>
    </row>
    <row r="18" spans="1:13" s="21" customFormat="1" ht="24.9" customHeight="1" x14ac:dyDescent="0.25">
      <c r="B18" s="22">
        <v>1</v>
      </c>
      <c r="C18" s="357" t="str">
        <f>IF('단위공사별(집계)'!N7&gt;0,'단위공사별(집계)'!B7,"")</f>
        <v>R/RING공정개선(112,203,204,205)</v>
      </c>
      <c r="D18" s="358"/>
      <c r="E18" s="300">
        <f>IF('단위공사별(집계)'!N7&gt;1,('단위공사별(집계)'!D7+'단위공사별(집계)'!E7+'단위공사별(집계)'!F7+'단위공사별(집계)'!G7+'단위공사별(집계)'!H7+'단위공사별(집계)'!I7)," ")</f>
        <v>71230000</v>
      </c>
      <c r="F18" s="288">
        <f>IF('단위공사별(집계)'!N7&gt;0,'단위공사별(집계)'!K8,"")</f>
        <v>31495500</v>
      </c>
      <c r="G18" s="23">
        <f>IF('단위공사별(집계)'!N7&gt;0,('단위공사별(집계)'!L7+'단위공사별(집계)'!M7),"")</f>
        <v>11274500</v>
      </c>
      <c r="H18" s="24">
        <f>IF('단위공사별(집계)'!N7&gt;0,'단위공사별(집계)'!N7,"")</f>
        <v>114000000</v>
      </c>
      <c r="I18" s="25"/>
      <c r="M18" s="26"/>
    </row>
    <row r="19" spans="1:13" ht="24.9" customHeight="1" x14ac:dyDescent="0.25">
      <c r="B19" s="365" t="s">
        <v>13</v>
      </c>
      <c r="C19" s="366"/>
      <c r="D19" s="367"/>
      <c r="E19" s="28">
        <f>SUM(E18:E18)</f>
        <v>71230000</v>
      </c>
      <c r="F19" s="29">
        <f>SUM(F18:F18)</f>
        <v>31495500</v>
      </c>
      <c r="G19" s="29">
        <f>SUM(G18:G18)</f>
        <v>11274500</v>
      </c>
      <c r="H19" s="30">
        <f>SUM(H18:H18)</f>
        <v>114000000</v>
      </c>
      <c r="I19" s="31"/>
      <c r="J19" s="32"/>
    </row>
    <row r="20" spans="1:13" ht="4.5" customHeight="1" x14ac:dyDescent="0.25">
      <c r="A20" s="33"/>
      <c r="B20" s="34"/>
      <c r="C20" s="35"/>
      <c r="D20" s="35"/>
      <c r="E20" s="36"/>
      <c r="F20" s="36"/>
      <c r="G20" s="36"/>
      <c r="H20" s="36"/>
      <c r="I20" s="33"/>
    </row>
    <row r="21" spans="1:13" ht="24" customHeight="1" x14ac:dyDescent="0.25">
      <c r="A21" s="33"/>
      <c r="B21" s="35"/>
      <c r="C21" s="35"/>
      <c r="D21" s="35"/>
      <c r="E21" s="36"/>
      <c r="F21" s="355" t="s">
        <v>14</v>
      </c>
      <c r="G21" s="356"/>
      <c r="H21" s="37"/>
      <c r="I21" s="33"/>
    </row>
    <row r="22" spans="1:13" ht="15" customHeight="1" x14ac:dyDescent="0.25">
      <c r="A22" s="33"/>
      <c r="B22" s="35"/>
      <c r="C22" s="35"/>
      <c r="D22" s="35"/>
      <c r="E22" s="36"/>
      <c r="F22" s="36"/>
      <c r="G22" s="36"/>
      <c r="H22" s="36"/>
      <c r="I22" s="33"/>
    </row>
    <row r="23" spans="1:13" ht="22.5" customHeight="1" x14ac:dyDescent="0.25">
      <c r="B23" s="334" t="s">
        <v>15</v>
      </c>
      <c r="C23" s="337" t="s">
        <v>16</v>
      </c>
      <c r="D23" s="338"/>
      <c r="E23" s="339"/>
      <c r="F23" s="340" t="s">
        <v>17</v>
      </c>
      <c r="G23" s="341"/>
      <c r="H23" s="341"/>
      <c r="I23" s="342"/>
    </row>
    <row r="24" spans="1:13" ht="22.5" customHeight="1" x14ac:dyDescent="0.25">
      <c r="B24" s="335"/>
      <c r="C24" s="343" t="s">
        <v>18</v>
      </c>
      <c r="D24" s="344"/>
      <c r="E24" s="345"/>
      <c r="F24" s="38" t="s">
        <v>19</v>
      </c>
      <c r="G24" s="359"/>
      <c r="H24" s="360"/>
      <c r="I24" s="361"/>
    </row>
    <row r="25" spans="1:13" ht="22.5" customHeight="1" x14ac:dyDescent="0.25">
      <c r="B25" s="335"/>
      <c r="C25" s="362" t="s">
        <v>246</v>
      </c>
      <c r="D25" s="363"/>
      <c r="E25" s="364"/>
      <c r="F25" s="39" t="s">
        <v>20</v>
      </c>
      <c r="G25" s="349"/>
      <c r="H25" s="350"/>
      <c r="I25" s="351"/>
    </row>
    <row r="26" spans="1:13" ht="22.5" customHeight="1" x14ac:dyDescent="0.25">
      <c r="B26" s="335"/>
      <c r="C26" s="346"/>
      <c r="D26" s="347"/>
      <c r="E26" s="348"/>
      <c r="F26" s="39" t="s">
        <v>21</v>
      </c>
      <c r="G26" s="349"/>
      <c r="H26" s="350"/>
      <c r="I26" s="351"/>
    </row>
    <row r="27" spans="1:13" ht="22.5" customHeight="1" x14ac:dyDescent="0.25">
      <c r="B27" s="336"/>
      <c r="C27" s="352"/>
      <c r="D27" s="353"/>
      <c r="E27" s="354"/>
      <c r="F27" s="40" t="s">
        <v>22</v>
      </c>
      <c r="G27" s="331"/>
      <c r="H27" s="332"/>
      <c r="I27" s="333"/>
    </row>
  </sheetData>
  <mergeCells count="27">
    <mergeCell ref="F21:G21"/>
    <mergeCell ref="C18:D18"/>
    <mergeCell ref="G24:I24"/>
    <mergeCell ref="C25:E25"/>
    <mergeCell ref="G25:I25"/>
    <mergeCell ref="B19:D19"/>
    <mergeCell ref="G27:I27"/>
    <mergeCell ref="B23:B27"/>
    <mergeCell ref="C23:E23"/>
    <mergeCell ref="F23:I23"/>
    <mergeCell ref="C24:E24"/>
    <mergeCell ref="C26:E26"/>
    <mergeCell ref="G26:I26"/>
    <mergeCell ref="C27:E27"/>
    <mergeCell ref="B9:C9"/>
    <mergeCell ref="I16:I17"/>
    <mergeCell ref="E16:H16"/>
    <mergeCell ref="B10:C10"/>
    <mergeCell ref="B11:C11"/>
    <mergeCell ref="B16:B17"/>
    <mergeCell ref="C16:D17"/>
    <mergeCell ref="B14:C14"/>
    <mergeCell ref="B2:I2"/>
    <mergeCell ref="B4:D4"/>
    <mergeCell ref="B5:C5"/>
    <mergeCell ref="B6:C6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78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49"/>
  <sheetViews>
    <sheetView showGridLines="0" zoomScale="80" workbookViewId="0">
      <pane ySplit="6" topLeftCell="A25" activePane="bottomLeft" state="frozen"/>
      <selection activeCell="L10" sqref="L10"/>
      <selection pane="bottomLeft" activeCell="I42" sqref="I42"/>
    </sheetView>
  </sheetViews>
  <sheetFormatPr defaultColWidth="9" defaultRowHeight="19.5" customHeight="1" x14ac:dyDescent="0.25"/>
  <cols>
    <col min="1" max="1" width="0.5" style="41" customWidth="1"/>
    <col min="2" max="2" width="5.19921875" style="41" bestFit="1" customWidth="1"/>
    <col min="3" max="3" width="7.3984375" style="41" customWidth="1"/>
    <col min="4" max="4" width="8.8984375" style="41" customWidth="1"/>
    <col min="5" max="5" width="17.69921875" style="41" customWidth="1"/>
    <col min="6" max="6" width="6.3984375" style="42" customWidth="1"/>
    <col min="7" max="7" width="8.8984375" style="43" customWidth="1"/>
    <col min="8" max="8" width="9.69921875" style="44" customWidth="1"/>
    <col min="9" max="9" width="17.5" style="44" bestFit="1" customWidth="1"/>
    <col min="10" max="10" width="15.59765625" style="41" customWidth="1"/>
    <col min="11" max="11" width="13.69921875" style="45" bestFit="1" customWidth="1"/>
    <col min="12" max="12" width="10.8984375" style="41" bestFit="1" customWidth="1"/>
    <col min="13" max="16384" width="9" style="41"/>
  </cols>
  <sheetData>
    <row r="2" spans="2:11" s="53" customFormat="1" ht="26.25" customHeight="1" x14ac:dyDescent="0.25">
      <c r="B2" s="46"/>
      <c r="C2" s="47" t="s">
        <v>23</v>
      </c>
      <c r="D2" s="48"/>
      <c r="E2" s="48"/>
      <c r="F2" s="49"/>
      <c r="G2" s="50"/>
      <c r="H2" s="51"/>
      <c r="I2" s="51"/>
      <c r="J2" s="48"/>
      <c r="K2" s="52"/>
    </row>
    <row r="3" spans="2:11" s="53" customFormat="1" ht="19.5" customHeight="1" x14ac:dyDescent="0.25">
      <c r="B3" s="46"/>
      <c r="C3" s="47"/>
      <c r="D3" s="48"/>
      <c r="E3" s="48"/>
      <c r="F3" s="49"/>
      <c r="G3" s="50"/>
      <c r="H3" s="51"/>
      <c r="I3" s="51"/>
      <c r="J3" s="48"/>
      <c r="K3" s="52"/>
    </row>
    <row r="4" spans="2:11" ht="30" customHeight="1" x14ac:dyDescent="0.25">
      <c r="B4" s="54" t="s">
        <v>24</v>
      </c>
      <c r="D4" s="55"/>
      <c r="J4" s="42"/>
    </row>
    <row r="5" spans="2:11" s="42" customFormat="1" ht="8.25" customHeight="1" x14ac:dyDescent="0.25">
      <c r="B5" s="56"/>
      <c r="C5" s="368"/>
      <c r="D5" s="369"/>
      <c r="E5" s="370"/>
      <c r="F5" s="57"/>
      <c r="G5" s="58"/>
      <c r="H5" s="58"/>
      <c r="I5" s="58"/>
      <c r="J5" s="59"/>
      <c r="K5" s="60"/>
    </row>
    <row r="6" spans="2:11" s="42" customFormat="1" ht="22.5" customHeight="1" thickBot="1" x14ac:dyDescent="0.3">
      <c r="B6" s="61" t="s">
        <v>25</v>
      </c>
      <c r="C6" s="371" t="s">
        <v>26</v>
      </c>
      <c r="D6" s="372"/>
      <c r="E6" s="373"/>
      <c r="F6" s="62" t="s">
        <v>27</v>
      </c>
      <c r="G6" s="63" t="s">
        <v>28</v>
      </c>
      <c r="H6" s="63" t="s">
        <v>29</v>
      </c>
      <c r="I6" s="63" t="s">
        <v>30</v>
      </c>
      <c r="J6" s="64" t="s">
        <v>31</v>
      </c>
      <c r="K6" s="60"/>
    </row>
    <row r="7" spans="2:11" ht="19.5" customHeight="1" thickTop="1" x14ac:dyDescent="0.25">
      <c r="B7" s="383">
        <v>1</v>
      </c>
      <c r="C7" s="385" t="s">
        <v>32</v>
      </c>
      <c r="D7" s="378" t="s">
        <v>33</v>
      </c>
      <c r="E7" s="65" t="s">
        <v>34</v>
      </c>
      <c r="F7" s="66" t="s">
        <v>35</v>
      </c>
      <c r="G7" s="67">
        <v>1</v>
      </c>
      <c r="H7" s="68"/>
      <c r="I7" s="68">
        <f>SUM(단위장비1!H9)</f>
        <v>370000</v>
      </c>
      <c r="J7" s="69" t="s">
        <v>36</v>
      </c>
    </row>
    <row r="8" spans="2:11" ht="19.5" customHeight="1" x14ac:dyDescent="0.25">
      <c r="B8" s="383"/>
      <c r="C8" s="378"/>
      <c r="D8" s="378"/>
      <c r="E8" s="70" t="s">
        <v>37</v>
      </c>
      <c r="F8" s="71" t="s">
        <v>38</v>
      </c>
      <c r="G8" s="72">
        <v>1</v>
      </c>
      <c r="H8" s="73"/>
      <c r="I8" s="73">
        <f>SUM(단위장비1!H38)</f>
        <v>1000000</v>
      </c>
      <c r="J8" s="74" t="s">
        <v>39</v>
      </c>
    </row>
    <row r="9" spans="2:11" ht="19.5" customHeight="1" x14ac:dyDescent="0.25">
      <c r="B9" s="383"/>
      <c r="C9" s="378"/>
      <c r="D9" s="378"/>
      <c r="E9" s="70" t="s">
        <v>40</v>
      </c>
      <c r="F9" s="71" t="s">
        <v>38</v>
      </c>
      <c r="G9" s="75">
        <v>1</v>
      </c>
      <c r="H9" s="73"/>
      <c r="I9" s="73">
        <f>SUM(단위장비1!H55)</f>
        <v>53260000</v>
      </c>
      <c r="J9" s="74" t="s">
        <v>41</v>
      </c>
    </row>
    <row r="10" spans="2:11" ht="19.5" customHeight="1" x14ac:dyDescent="0.25">
      <c r="B10" s="383"/>
      <c r="C10" s="378"/>
      <c r="D10" s="378"/>
      <c r="E10" s="76" t="s">
        <v>42</v>
      </c>
      <c r="F10" s="77" t="s">
        <v>38</v>
      </c>
      <c r="G10" s="78">
        <v>1</v>
      </c>
      <c r="H10" s="79"/>
      <c r="I10" s="79">
        <f>SUM(단위장비1!H15)</f>
        <v>0</v>
      </c>
      <c r="J10" s="80" t="s">
        <v>43</v>
      </c>
    </row>
    <row r="11" spans="2:11" ht="19.5" customHeight="1" x14ac:dyDescent="0.25">
      <c r="B11" s="383"/>
      <c r="C11" s="378"/>
      <c r="D11" s="379"/>
      <c r="E11" s="81" t="s">
        <v>44</v>
      </c>
      <c r="F11" s="374"/>
      <c r="G11" s="375"/>
      <c r="H11" s="376"/>
      <c r="I11" s="82">
        <f>SUM(I7:I10)</f>
        <v>54630000</v>
      </c>
      <c r="J11" s="74"/>
    </row>
    <row r="12" spans="2:11" ht="19.5" customHeight="1" x14ac:dyDescent="0.25">
      <c r="B12" s="383"/>
      <c r="C12" s="378"/>
      <c r="D12" s="377" t="s">
        <v>45</v>
      </c>
      <c r="E12" s="83" t="s">
        <v>46</v>
      </c>
      <c r="F12" s="77" t="s">
        <v>47</v>
      </c>
      <c r="G12" s="79">
        <f>SUM(단위장비1!F57)</f>
        <v>0</v>
      </c>
      <c r="H12" s="79">
        <f>IF(단위장비1!G57&gt;0,단위장비1!G57,"")</f>
        <v>300000</v>
      </c>
      <c r="I12" s="79">
        <f>SUM(단위장비1!H57)</f>
        <v>0</v>
      </c>
      <c r="J12" s="74" t="s">
        <v>48</v>
      </c>
    </row>
    <row r="13" spans="2:11" ht="19.5" customHeight="1" x14ac:dyDescent="0.25">
      <c r="B13" s="383"/>
      <c r="C13" s="378"/>
      <c r="D13" s="378"/>
      <c r="E13" s="70" t="s">
        <v>49</v>
      </c>
      <c r="F13" s="71" t="s">
        <v>47</v>
      </c>
      <c r="G13" s="73">
        <f>SUM(단위장비1!F58)</f>
        <v>8</v>
      </c>
      <c r="H13" s="73">
        <f>IF(단위장비1!G58&gt;0,단위장비1!G58,"")</f>
        <v>350000</v>
      </c>
      <c r="I13" s="73">
        <f>SUM(단위장비1!H58)</f>
        <v>2800000</v>
      </c>
      <c r="J13" s="74"/>
    </row>
    <row r="14" spans="2:11" ht="19.5" customHeight="1" x14ac:dyDescent="0.25">
      <c r="B14" s="383"/>
      <c r="C14" s="378"/>
      <c r="D14" s="378"/>
      <c r="E14" s="70" t="s">
        <v>50</v>
      </c>
      <c r="F14" s="71" t="s">
        <v>47</v>
      </c>
      <c r="G14" s="73">
        <f>SUM(단위장비1!F59)</f>
        <v>0</v>
      </c>
      <c r="H14" s="73">
        <f>IF(단위장비1!G59&gt;0,단위장비1!G59,"")</f>
        <v>300000</v>
      </c>
      <c r="I14" s="73">
        <f>SUM(단위장비1!H59)</f>
        <v>0</v>
      </c>
      <c r="J14" s="74"/>
    </row>
    <row r="15" spans="2:11" ht="19.5" customHeight="1" x14ac:dyDescent="0.25">
      <c r="B15" s="383"/>
      <c r="C15" s="378"/>
      <c r="D15" s="378"/>
      <c r="E15" s="70" t="s">
        <v>51</v>
      </c>
      <c r="F15" s="71" t="s">
        <v>47</v>
      </c>
      <c r="G15" s="73">
        <f>SUM(단위장비1!F60)</f>
        <v>8</v>
      </c>
      <c r="H15" s="73">
        <f>IF(단위장비1!G60&gt;0,단위장비1!G60,"")</f>
        <v>300000</v>
      </c>
      <c r="I15" s="73">
        <f>SUM(단위장비1!H60)</f>
        <v>2400000</v>
      </c>
      <c r="J15" s="74" t="s">
        <v>52</v>
      </c>
    </row>
    <row r="16" spans="2:11" ht="19.5" customHeight="1" x14ac:dyDescent="0.25">
      <c r="B16" s="383"/>
      <c r="C16" s="378"/>
      <c r="D16" s="378"/>
      <c r="E16" s="83" t="s">
        <v>53</v>
      </c>
      <c r="F16" s="77" t="s">
        <v>47</v>
      </c>
      <c r="G16" s="79">
        <f>SUM(단위장비1!F61)</f>
        <v>16</v>
      </c>
      <c r="H16" s="79">
        <f>IF(단위장비1!G61&gt;0,단위장비1!G61,"")</f>
        <v>300000</v>
      </c>
      <c r="I16" s="79">
        <f>SUM(단위장비1!H61)</f>
        <v>4800000</v>
      </c>
      <c r="J16" s="74"/>
    </row>
    <row r="17" spans="2:10" ht="19.5" customHeight="1" x14ac:dyDescent="0.25">
      <c r="B17" s="383"/>
      <c r="C17" s="378"/>
      <c r="D17" s="378"/>
      <c r="E17" s="83" t="s">
        <v>54</v>
      </c>
      <c r="F17" s="77" t="s">
        <v>47</v>
      </c>
      <c r="G17" s="79">
        <f>SUM(단위장비1!F62)</f>
        <v>10</v>
      </c>
      <c r="H17" s="79">
        <f>IF(단위장비1!G62&gt;0,단위장비1!G62,"")</f>
        <v>300000</v>
      </c>
      <c r="I17" s="79">
        <f>SUM(단위장비1!H62)</f>
        <v>3000000</v>
      </c>
      <c r="J17" s="74"/>
    </row>
    <row r="18" spans="2:10" ht="19.5" customHeight="1" x14ac:dyDescent="0.25">
      <c r="B18" s="383"/>
      <c r="C18" s="378"/>
      <c r="D18" s="378"/>
      <c r="E18" s="70" t="s">
        <v>55</v>
      </c>
      <c r="F18" s="71" t="s">
        <v>47</v>
      </c>
      <c r="G18" s="73">
        <f>SUM(단위장비1!F63)</f>
        <v>12</v>
      </c>
      <c r="H18" s="73">
        <f>IF(단위장비1!G63&gt;0,단위장비1!G63,"")</f>
        <v>300000</v>
      </c>
      <c r="I18" s="73">
        <f>SUM(단위장비1!H63)</f>
        <v>3600000</v>
      </c>
      <c r="J18" s="74"/>
    </row>
    <row r="19" spans="2:10" ht="19.5" customHeight="1" x14ac:dyDescent="0.25">
      <c r="B19" s="383"/>
      <c r="C19" s="378"/>
      <c r="D19" s="378"/>
      <c r="E19" s="70" t="s">
        <v>56</v>
      </c>
      <c r="F19" s="71" t="s">
        <v>47</v>
      </c>
      <c r="G19" s="73">
        <f>SUM(단위장비1!F64)</f>
        <v>0</v>
      </c>
      <c r="H19" s="73">
        <f>IF(단위장비1!G64&gt;0,단위장비1!G64,"")</f>
        <v>300000</v>
      </c>
      <c r="I19" s="73">
        <f>SUM(단위장비1!H64)</f>
        <v>0</v>
      </c>
      <c r="J19" s="74"/>
    </row>
    <row r="20" spans="2:10" ht="19.5" customHeight="1" x14ac:dyDescent="0.25">
      <c r="B20" s="383"/>
      <c r="C20" s="378"/>
      <c r="D20" s="379"/>
      <c r="E20" s="81" t="s">
        <v>44</v>
      </c>
      <c r="F20" s="374"/>
      <c r="G20" s="375"/>
      <c r="H20" s="376"/>
      <c r="I20" s="82">
        <f>SUM(I12:I19)</f>
        <v>16600000</v>
      </c>
      <c r="J20" s="74"/>
    </row>
    <row r="21" spans="2:10" ht="19.5" customHeight="1" x14ac:dyDescent="0.25">
      <c r="B21" s="383"/>
      <c r="C21" s="378"/>
      <c r="D21" s="84" t="s">
        <v>57</v>
      </c>
      <c r="E21" s="85"/>
      <c r="F21" s="374"/>
      <c r="G21" s="375"/>
      <c r="H21" s="376"/>
      <c r="I21" s="86">
        <f>(SUM(단위장비1!H67))+(SUM(단위장비1!H68))</f>
        <v>10417952</v>
      </c>
      <c r="J21" s="87"/>
    </row>
    <row r="22" spans="2:10" ht="19.5" customHeight="1" x14ac:dyDescent="0.25">
      <c r="B22" s="384"/>
      <c r="C22" s="386"/>
      <c r="D22" s="88"/>
      <c r="E22" s="89" t="s">
        <v>58</v>
      </c>
      <c r="F22" s="380"/>
      <c r="G22" s="381"/>
      <c r="H22" s="382"/>
      <c r="I22" s="90">
        <f>I20+I11+I21</f>
        <v>81647952</v>
      </c>
      <c r="J22" s="91"/>
    </row>
    <row r="23" spans="2:10" ht="19.5" customHeight="1" x14ac:dyDescent="0.25">
      <c r="B23" s="387">
        <v>2</v>
      </c>
      <c r="C23" s="388" t="s">
        <v>59</v>
      </c>
      <c r="D23" s="391" t="s">
        <v>33</v>
      </c>
      <c r="E23" s="92" t="s">
        <v>60</v>
      </c>
      <c r="F23" s="93" t="s">
        <v>38</v>
      </c>
      <c r="G23" s="94">
        <v>1</v>
      </c>
      <c r="H23" s="94"/>
      <c r="I23" s="94">
        <f>전기!H57-I24</f>
        <v>1840000</v>
      </c>
      <c r="J23" s="95"/>
    </row>
    <row r="24" spans="2:10" ht="19.5" customHeight="1" x14ac:dyDescent="0.25">
      <c r="B24" s="383"/>
      <c r="C24" s="389"/>
      <c r="D24" s="392"/>
      <c r="E24" s="76" t="s">
        <v>42</v>
      </c>
      <c r="F24" s="96" t="s">
        <v>38</v>
      </c>
      <c r="G24" s="97">
        <v>1</v>
      </c>
      <c r="H24" s="97"/>
      <c r="I24" s="97">
        <f>전기!H14</f>
        <v>0</v>
      </c>
      <c r="J24" s="80" t="s">
        <v>43</v>
      </c>
    </row>
    <row r="25" spans="2:10" ht="19.5" customHeight="1" x14ac:dyDescent="0.25">
      <c r="B25" s="383"/>
      <c r="C25" s="390"/>
      <c r="D25" s="377" t="s">
        <v>45</v>
      </c>
      <c r="E25" s="83" t="s">
        <v>61</v>
      </c>
      <c r="F25" s="77" t="s">
        <v>47</v>
      </c>
      <c r="G25" s="79">
        <f>전기!F58</f>
        <v>0</v>
      </c>
      <c r="H25" s="79" t="str">
        <f>IF(전기!G58&gt;0,전기!G58,"")</f>
        <v/>
      </c>
      <c r="I25" s="79">
        <f>전기!H58</f>
        <v>0</v>
      </c>
      <c r="J25" s="74"/>
    </row>
    <row r="26" spans="2:10" ht="19.5" customHeight="1" x14ac:dyDescent="0.25">
      <c r="B26" s="383"/>
      <c r="C26" s="390"/>
      <c r="D26" s="378"/>
      <c r="E26" s="70" t="s">
        <v>62</v>
      </c>
      <c r="F26" s="71" t="s">
        <v>63</v>
      </c>
      <c r="G26" s="73">
        <f>전기!F59</f>
        <v>25</v>
      </c>
      <c r="H26" s="73">
        <f>IF(전기!G59&gt;0,전기!G59,"")</f>
        <v>350000</v>
      </c>
      <c r="I26" s="73">
        <f>전기!H59</f>
        <v>8750000</v>
      </c>
      <c r="J26" s="74"/>
    </row>
    <row r="27" spans="2:10" ht="19.5" customHeight="1" x14ac:dyDescent="0.25">
      <c r="B27" s="383"/>
      <c r="C27" s="390"/>
      <c r="D27" s="378"/>
      <c r="E27" s="70" t="s">
        <v>64</v>
      </c>
      <c r="F27" s="71" t="s">
        <v>65</v>
      </c>
      <c r="G27" s="73">
        <f>전기!F60</f>
        <v>5</v>
      </c>
      <c r="H27" s="73">
        <f>IF(전기!G60&gt;0,전기!G60,"")</f>
        <v>300000</v>
      </c>
      <c r="I27" s="73">
        <f>전기!H60</f>
        <v>1500000</v>
      </c>
      <c r="J27" s="74"/>
    </row>
    <row r="28" spans="2:10" ht="19.5" customHeight="1" x14ac:dyDescent="0.25">
      <c r="B28" s="383"/>
      <c r="C28" s="390"/>
      <c r="D28" s="378"/>
      <c r="E28" s="70" t="s">
        <v>51</v>
      </c>
      <c r="F28" s="71" t="s">
        <v>47</v>
      </c>
      <c r="G28" s="73">
        <f>전기!F61</f>
        <v>12</v>
      </c>
      <c r="H28" s="73">
        <f>IF(전기!G61&gt;0,전기!G61,"")</f>
        <v>300000</v>
      </c>
      <c r="I28" s="73">
        <f>전기!H61</f>
        <v>3600000</v>
      </c>
      <c r="J28" s="74"/>
    </row>
    <row r="29" spans="2:10" ht="19.5" customHeight="1" x14ac:dyDescent="0.25">
      <c r="B29" s="383"/>
      <c r="C29" s="390"/>
      <c r="D29" s="378"/>
      <c r="E29" s="83" t="s">
        <v>53</v>
      </c>
      <c r="F29" s="77" t="s">
        <v>47</v>
      </c>
      <c r="G29" s="79">
        <f>전기!F62</f>
        <v>12</v>
      </c>
      <c r="H29" s="79">
        <f>IF(전기!G62&gt;0,전기!G62,"")</f>
        <v>300000</v>
      </c>
      <c r="I29" s="79">
        <f>전기!H62</f>
        <v>3600000</v>
      </c>
      <c r="J29" s="74"/>
    </row>
    <row r="30" spans="2:10" ht="19.5" customHeight="1" x14ac:dyDescent="0.25">
      <c r="B30" s="383"/>
      <c r="C30" s="390"/>
      <c r="D30" s="378"/>
      <c r="E30" s="83" t="s">
        <v>54</v>
      </c>
      <c r="F30" s="77" t="s">
        <v>47</v>
      </c>
      <c r="G30" s="79">
        <f>전기!F63</f>
        <v>15</v>
      </c>
      <c r="H30" s="79">
        <f>IF(전기!G63&gt;0,전기!G63,"")</f>
        <v>300000</v>
      </c>
      <c r="I30" s="79">
        <f>전기!H63</f>
        <v>4500000</v>
      </c>
      <c r="J30" s="74"/>
    </row>
    <row r="31" spans="2:10" ht="19.5" customHeight="1" x14ac:dyDescent="0.25">
      <c r="B31" s="383"/>
      <c r="C31" s="390"/>
      <c r="D31" s="378"/>
      <c r="E31" s="70" t="s">
        <v>66</v>
      </c>
      <c r="F31" s="71" t="s">
        <v>65</v>
      </c>
      <c r="G31" s="73">
        <f>전기!F64</f>
        <v>12</v>
      </c>
      <c r="H31" s="73">
        <f>IF(전기!G64&gt;0,전기!G64,"")</f>
        <v>300000</v>
      </c>
      <c r="I31" s="73">
        <f>전기!H64</f>
        <v>3600000</v>
      </c>
      <c r="J31" s="74"/>
    </row>
    <row r="32" spans="2:10" ht="19.5" customHeight="1" x14ac:dyDescent="0.25">
      <c r="B32" s="383"/>
      <c r="C32" s="390"/>
      <c r="D32" s="379"/>
      <c r="E32" s="81" t="s">
        <v>67</v>
      </c>
      <c r="F32" s="374"/>
      <c r="G32" s="375"/>
      <c r="H32" s="376"/>
      <c r="I32" s="82">
        <f>SUM(I25:I31)</f>
        <v>25550000</v>
      </c>
      <c r="J32" s="74"/>
    </row>
    <row r="33" spans="2:13" ht="19.5" customHeight="1" x14ac:dyDescent="0.25">
      <c r="B33" s="383"/>
      <c r="C33" s="378"/>
      <c r="D33" s="84" t="s">
        <v>68</v>
      </c>
      <c r="E33" s="85"/>
      <c r="F33" s="374"/>
      <c r="G33" s="375"/>
      <c r="H33" s="376"/>
      <c r="I33" s="86">
        <f>전기!H67+전기!H68</f>
        <v>4105500</v>
      </c>
      <c r="J33" s="87"/>
    </row>
    <row r="34" spans="2:13" ht="19.5" customHeight="1" x14ac:dyDescent="0.25">
      <c r="B34" s="384"/>
      <c r="C34" s="386"/>
      <c r="D34" s="88"/>
      <c r="E34" s="89" t="s">
        <v>69</v>
      </c>
      <c r="F34" s="380"/>
      <c r="G34" s="381"/>
      <c r="H34" s="382"/>
      <c r="I34" s="90">
        <f>I32+I23+I33+I24</f>
        <v>31495500</v>
      </c>
      <c r="J34" s="91"/>
    </row>
    <row r="35" spans="2:13" ht="19.5" customHeight="1" x14ac:dyDescent="0.25">
      <c r="B35" s="393">
        <v>3</v>
      </c>
      <c r="C35" s="396" t="s">
        <v>70</v>
      </c>
      <c r="D35" s="397"/>
      <c r="E35" s="398"/>
      <c r="F35" s="396"/>
      <c r="G35" s="397"/>
      <c r="H35" s="398"/>
      <c r="I35" s="98">
        <f>I23+I11+I24</f>
        <v>56470000</v>
      </c>
      <c r="J35" s="95"/>
    </row>
    <row r="36" spans="2:13" ht="19.5" customHeight="1" x14ac:dyDescent="0.25">
      <c r="B36" s="394"/>
      <c r="C36" s="374" t="s">
        <v>71</v>
      </c>
      <c r="D36" s="375"/>
      <c r="E36" s="376"/>
      <c r="F36" s="374"/>
      <c r="G36" s="375"/>
      <c r="H36" s="376"/>
      <c r="I36" s="82">
        <f>I32+I20</f>
        <v>42150000</v>
      </c>
      <c r="J36" s="74"/>
    </row>
    <row r="37" spans="2:13" ht="19.5" customHeight="1" thickBot="1" x14ac:dyDescent="0.3">
      <c r="B37" s="395"/>
      <c r="C37" s="399" t="s">
        <v>72</v>
      </c>
      <c r="D37" s="399"/>
      <c r="E37" s="400"/>
      <c r="F37" s="401"/>
      <c r="G37" s="399"/>
      <c r="H37" s="400"/>
      <c r="I37" s="99">
        <f>I36+I35</f>
        <v>98620000</v>
      </c>
      <c r="J37" s="100"/>
    </row>
    <row r="38" spans="2:13" ht="20.25" customHeight="1" x14ac:dyDescent="0.25">
      <c r="B38" s="101">
        <v>4</v>
      </c>
      <c r="C38" s="379" t="s">
        <v>73</v>
      </c>
      <c r="D38" s="402"/>
      <c r="E38" s="403"/>
      <c r="F38" s="404"/>
      <c r="G38" s="405"/>
      <c r="H38" s="406"/>
      <c r="I38" s="102"/>
      <c r="J38" s="103"/>
    </row>
    <row r="39" spans="2:13" ht="22.5" customHeight="1" x14ac:dyDescent="0.25">
      <c r="B39" s="104">
        <v>5</v>
      </c>
      <c r="C39" s="374" t="s">
        <v>74</v>
      </c>
      <c r="D39" s="375"/>
      <c r="E39" s="376"/>
      <c r="F39" s="407" t="s">
        <v>75</v>
      </c>
      <c r="G39" s="408"/>
      <c r="H39" s="409"/>
      <c r="I39" s="105">
        <f>I48</f>
        <v>856547.99999999988</v>
      </c>
      <c r="J39" s="106">
        <f>I30+I29+I25+I24+I17+I16+I12+I10</f>
        <v>15900000</v>
      </c>
      <c r="K39" s="107"/>
      <c r="M39" s="107"/>
    </row>
    <row r="40" spans="2:13" ht="20.25" customHeight="1" x14ac:dyDescent="0.25">
      <c r="B40" s="104">
        <v>6</v>
      </c>
      <c r="C40" s="374" t="s">
        <v>76</v>
      </c>
      <c r="D40" s="375"/>
      <c r="E40" s="376"/>
      <c r="F40" s="410"/>
      <c r="G40" s="411"/>
      <c r="H40" s="412"/>
      <c r="I40" s="82">
        <f>전기!H67+(SUM(단위장비1!H67))</f>
        <v>4931000</v>
      </c>
      <c r="J40" s="74"/>
    </row>
    <row r="41" spans="2:13" ht="20.25" customHeight="1" x14ac:dyDescent="0.25">
      <c r="B41" s="108">
        <v>7</v>
      </c>
      <c r="C41" s="380" t="s">
        <v>77</v>
      </c>
      <c r="D41" s="381"/>
      <c r="E41" s="382"/>
      <c r="F41" s="413"/>
      <c r="G41" s="414"/>
      <c r="H41" s="415"/>
      <c r="I41" s="86">
        <f>전기!H68+(SUM(단위장비1!H68))</f>
        <v>9592452</v>
      </c>
      <c r="J41" s="87"/>
      <c r="K41" s="41"/>
    </row>
    <row r="42" spans="2:13" ht="28.5" customHeight="1" thickBot="1" x14ac:dyDescent="0.3">
      <c r="B42" s="109"/>
      <c r="C42" s="416" t="s">
        <v>78</v>
      </c>
      <c r="D42" s="416"/>
      <c r="E42" s="416"/>
      <c r="F42" s="417" t="s">
        <v>79</v>
      </c>
      <c r="G42" s="418"/>
      <c r="H42" s="419"/>
      <c r="I42" s="110">
        <f>I22+I34+I38+I39</f>
        <v>114000000</v>
      </c>
      <c r="J42" s="111"/>
      <c r="K42" s="41"/>
    </row>
    <row r="43" spans="2:13" ht="19.5" customHeight="1" x14ac:dyDescent="0.25">
      <c r="B43" s="112" t="s">
        <v>80</v>
      </c>
      <c r="C43" s="42"/>
      <c r="D43" s="42"/>
      <c r="E43" s="42"/>
    </row>
    <row r="44" spans="2:13" ht="19.5" customHeight="1" x14ac:dyDescent="0.25">
      <c r="B44" s="41" t="s">
        <v>81</v>
      </c>
      <c r="C44" s="42"/>
      <c r="D44" s="42"/>
      <c r="E44" s="42"/>
    </row>
    <row r="45" spans="2:13" ht="19.5" customHeight="1" x14ac:dyDescent="0.25">
      <c r="C45" s="42"/>
      <c r="D45" s="42"/>
      <c r="E45" s="42"/>
    </row>
    <row r="46" spans="2:13" ht="19.5" customHeight="1" x14ac:dyDescent="0.25">
      <c r="C46" s="42"/>
      <c r="D46" s="42"/>
      <c r="E46" s="420" t="s">
        <v>82</v>
      </c>
      <c r="F46" s="423" t="s">
        <v>83</v>
      </c>
      <c r="G46" s="424"/>
      <c r="H46" s="425"/>
      <c r="I46" s="113" t="s">
        <v>84</v>
      </c>
      <c r="J46" s="114" t="s">
        <v>85</v>
      </c>
      <c r="K46" s="115" t="s">
        <v>86</v>
      </c>
    </row>
    <row r="47" spans="2:13" ht="19.5" customHeight="1" x14ac:dyDescent="0.25">
      <c r="C47" s="42"/>
      <c r="D47" s="42"/>
      <c r="E47" s="421"/>
      <c r="F47" s="426" t="s">
        <v>87</v>
      </c>
      <c r="G47" s="427"/>
      <c r="H47" s="427"/>
      <c r="I47" s="82">
        <f>J47*3.09%</f>
        <v>3047357.9999999995</v>
      </c>
      <c r="J47" s="116">
        <f>SUM(I7:I10,I12:I19,I23:I31,I38)</f>
        <v>98620000</v>
      </c>
      <c r="K47" s="116" t="s">
        <v>88</v>
      </c>
    </row>
    <row r="48" spans="2:13" ht="19.5" customHeight="1" x14ac:dyDescent="0.25">
      <c r="E48" s="422"/>
      <c r="F48" s="426" t="s">
        <v>89</v>
      </c>
      <c r="G48" s="427"/>
      <c r="H48" s="427"/>
      <c r="I48" s="82">
        <f>J48*3.09%*1.2</f>
        <v>856547.99999999988</v>
      </c>
      <c r="J48" s="117">
        <f>SUM(I10,I24,I12,I16:I17,I25,I29:I30,I31,I18)</f>
        <v>23100000</v>
      </c>
      <c r="K48" s="116" t="s">
        <v>90</v>
      </c>
    </row>
    <row r="49" spans="7:7" ht="19.5" customHeight="1" x14ac:dyDescent="0.25">
      <c r="G49" s="118" t="s">
        <v>91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F21:H21"/>
    <mergeCell ref="F22:H22"/>
    <mergeCell ref="B7:B22"/>
    <mergeCell ref="C7:C22"/>
    <mergeCell ref="D7:D11"/>
    <mergeCell ref="C5:E5"/>
    <mergeCell ref="C6:E6"/>
    <mergeCell ref="F11:H11"/>
    <mergeCell ref="D12:D20"/>
    <mergeCell ref="F20:H2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13"/>
  <sheetViews>
    <sheetView zoomScale="85" zoomScaleNormal="85" workbookViewId="0">
      <selection activeCell="G21" sqref="G21"/>
    </sheetView>
  </sheetViews>
  <sheetFormatPr defaultColWidth="9" defaultRowHeight="17.25" customHeight="1" x14ac:dyDescent="0.25"/>
  <cols>
    <col min="1" max="1" width="5" style="119" customWidth="1"/>
    <col min="2" max="2" width="29.8984375" style="119" customWidth="1"/>
    <col min="3" max="3" width="6.19921875" style="119" customWidth="1"/>
    <col min="4" max="8" width="11.8984375" style="119" customWidth="1"/>
    <col min="9" max="9" width="13" style="119" customWidth="1"/>
    <col min="10" max="11" width="16.59765625" style="119" bestFit="1" customWidth="1"/>
    <col min="12" max="12" width="13.69921875" style="119" bestFit="1" customWidth="1"/>
    <col min="13" max="13" width="15" style="119" bestFit="1" customWidth="1"/>
    <col min="14" max="14" width="19" style="119" customWidth="1"/>
    <col min="15" max="15" width="9.59765625" style="119" customWidth="1"/>
    <col min="16" max="16" width="12.59765625" style="119" hidden="1" customWidth="1"/>
    <col min="17" max="17" width="10" style="119" customWidth="1"/>
    <col min="18" max="16384" width="9" style="119"/>
  </cols>
  <sheetData>
    <row r="2" spans="1:16" ht="31.5" customHeight="1" x14ac:dyDescent="0.25">
      <c r="A2" s="47" t="s">
        <v>92</v>
      </c>
    </row>
    <row r="3" spans="1:16" ht="17.25" customHeight="1" thickBot="1" x14ac:dyDescent="0.3">
      <c r="N3" s="119" t="s">
        <v>93</v>
      </c>
    </row>
    <row r="4" spans="1:16" s="126" customFormat="1" ht="8.25" customHeight="1" x14ac:dyDescent="0.25">
      <c r="A4" s="120"/>
      <c r="B4" s="120"/>
      <c r="C4" s="120"/>
      <c r="D4" s="428"/>
      <c r="E4" s="429"/>
      <c r="F4" s="429"/>
      <c r="G4" s="429"/>
      <c r="H4" s="429"/>
      <c r="I4" s="429"/>
      <c r="J4" s="430"/>
      <c r="K4" s="121"/>
      <c r="L4" s="122"/>
      <c r="M4" s="123"/>
      <c r="N4" s="124"/>
      <c r="O4" s="125"/>
    </row>
    <row r="5" spans="1:16" s="136" customFormat="1" ht="25.5" customHeight="1" x14ac:dyDescent="0.25">
      <c r="A5" s="127"/>
      <c r="B5" s="127"/>
      <c r="C5" s="127"/>
      <c r="D5" s="128"/>
      <c r="E5" s="129"/>
      <c r="F5" s="129"/>
      <c r="G5" s="129"/>
      <c r="H5" s="129"/>
      <c r="I5" s="130" t="s">
        <v>94</v>
      </c>
      <c r="J5" s="131"/>
      <c r="K5" s="27"/>
      <c r="L5" s="132" t="s">
        <v>95</v>
      </c>
      <c r="M5" s="133" t="s">
        <v>76</v>
      </c>
      <c r="N5" s="134"/>
      <c r="O5" s="135"/>
    </row>
    <row r="6" spans="1:16" s="136" customFormat="1" ht="25.5" customHeight="1" thickBot="1" x14ac:dyDescent="0.3">
      <c r="A6" s="137" t="s">
        <v>25</v>
      </c>
      <c r="B6" s="137" t="s">
        <v>96</v>
      </c>
      <c r="C6" s="137" t="s">
        <v>10</v>
      </c>
      <c r="D6" s="138" t="s">
        <v>33</v>
      </c>
      <c r="E6" s="139" t="s">
        <v>97</v>
      </c>
      <c r="F6" s="139" t="s">
        <v>64</v>
      </c>
      <c r="G6" s="139" t="s">
        <v>98</v>
      </c>
      <c r="H6" s="139" t="s">
        <v>66</v>
      </c>
      <c r="I6" s="140" t="s">
        <v>99</v>
      </c>
      <c r="J6" s="141" t="s">
        <v>100</v>
      </c>
      <c r="K6" s="142" t="s">
        <v>101</v>
      </c>
      <c r="L6" s="143" t="s">
        <v>102</v>
      </c>
      <c r="M6" s="144" t="s">
        <v>103</v>
      </c>
      <c r="N6" s="145" t="s">
        <v>104</v>
      </c>
      <c r="O6" s="146" t="s">
        <v>9</v>
      </c>
    </row>
    <row r="7" spans="1:16" s="156" customFormat="1" ht="25.5" customHeight="1" thickTop="1" x14ac:dyDescent="0.25">
      <c r="A7" s="277">
        <f>IF(B7&gt;0,1,"")</f>
        <v>1</v>
      </c>
      <c r="B7" s="147" t="str">
        <f>단위장비1!C$1</f>
        <v>R/RING공정개선(112,203,204,205)</v>
      </c>
      <c r="C7" s="278" t="s">
        <v>105</v>
      </c>
      <c r="D7" s="148">
        <f>단위장비1!H56</f>
        <v>54630000</v>
      </c>
      <c r="E7" s="149">
        <f>단위장비1!H57</f>
        <v>0</v>
      </c>
      <c r="F7" s="149">
        <f>단위장비1!$H$58+단위장비1!$H$59+단위장비1!$H$60+단위장비1!$H$64</f>
        <v>5200000</v>
      </c>
      <c r="G7" s="149">
        <f>단위장비1!$H$61+단위장비1!$H$62</f>
        <v>7800000</v>
      </c>
      <c r="H7" s="149">
        <f>단위장비1!H63</f>
        <v>3600000</v>
      </c>
      <c r="I7" s="150">
        <f>IF($B7&gt;0,'원가항목별(집계)'!I$38*$P7/$P$8,0)</f>
        <v>0</v>
      </c>
      <c r="J7" s="151">
        <f t="shared" ref="J7" si="0">SUM(D7:I7)</f>
        <v>71230000</v>
      </c>
      <c r="K7" s="152">
        <f>IF(B7&gt;0,'원가항목별(집계)'!I$34*P7/P$8,0)</f>
        <v>31495500</v>
      </c>
      <c r="L7" s="152">
        <f>IF($B7&gt;0,'원가항목별(집계)'!I$39*$P7/$P$8,0)</f>
        <v>856547.99999999988</v>
      </c>
      <c r="M7" s="153">
        <f>단위장비1!$H$67+단위장비1!$H$68</f>
        <v>10417952</v>
      </c>
      <c r="N7" s="154">
        <f>SUM(J7:M7)</f>
        <v>114000000</v>
      </c>
      <c r="O7" s="155"/>
      <c r="P7" s="156">
        <f>D7+E7+F7+G7+H7+M7</f>
        <v>81647952</v>
      </c>
    </row>
    <row r="8" spans="1:16" s="156" customFormat="1" ht="33" customHeight="1" x14ac:dyDescent="0.25">
      <c r="A8" s="431" t="s">
        <v>106</v>
      </c>
      <c r="B8" s="432"/>
      <c r="C8" s="433"/>
      <c r="D8" s="159">
        <f t="shared" ref="D8:I8" si="1">SUM(D7:D7)</f>
        <v>54630000</v>
      </c>
      <c r="E8" s="160">
        <f t="shared" si="1"/>
        <v>0</v>
      </c>
      <c r="F8" s="160">
        <f t="shared" si="1"/>
        <v>5200000</v>
      </c>
      <c r="G8" s="160">
        <f t="shared" si="1"/>
        <v>7800000</v>
      </c>
      <c r="H8" s="160">
        <f t="shared" si="1"/>
        <v>3600000</v>
      </c>
      <c r="I8" s="161">
        <f t="shared" si="1"/>
        <v>0</v>
      </c>
      <c r="J8" s="162">
        <f>SUM(D8:I8)</f>
        <v>71230000</v>
      </c>
      <c r="K8" s="163">
        <f>SUM(K7:K7)</f>
        <v>31495500</v>
      </c>
      <c r="L8" s="164">
        <f>SUM(L7:L7)</f>
        <v>856547.99999999988</v>
      </c>
      <c r="M8" s="165">
        <f>SUM(M7:M7)</f>
        <v>10417952</v>
      </c>
      <c r="N8" s="166">
        <f>SUM(N7:N7)</f>
        <v>114000000</v>
      </c>
      <c r="O8" s="167"/>
      <c r="P8" s="156">
        <f>SUM(P7:P7)</f>
        <v>81647952</v>
      </c>
    </row>
    <row r="9" spans="1:16" s="180" customFormat="1" ht="18.75" customHeight="1" x14ac:dyDescent="0.25">
      <c r="A9" s="168"/>
      <c r="B9" s="169"/>
      <c r="C9" s="170"/>
      <c r="D9" s="171">
        <f t="shared" ref="D9:N9" si="2">IF(D8=0,"",D8/$N8)</f>
        <v>0.47921052631578948</v>
      </c>
      <c r="E9" s="172" t="str">
        <f t="shared" si="2"/>
        <v/>
      </c>
      <c r="F9" s="172">
        <f t="shared" si="2"/>
        <v>4.5614035087719301E-2</v>
      </c>
      <c r="G9" s="172">
        <f t="shared" si="2"/>
        <v>6.8421052631578952E-2</v>
      </c>
      <c r="H9" s="172">
        <f t="shared" si="2"/>
        <v>3.1578947368421054E-2</v>
      </c>
      <c r="I9" s="173" t="str">
        <f t="shared" si="2"/>
        <v/>
      </c>
      <c r="J9" s="174">
        <f t="shared" si="2"/>
        <v>0.62482456140350873</v>
      </c>
      <c r="K9" s="175">
        <f t="shared" si="2"/>
        <v>0.2762763157894737</v>
      </c>
      <c r="L9" s="176">
        <f t="shared" si="2"/>
        <v>7.5135789473684197E-3</v>
      </c>
      <c r="M9" s="177">
        <f t="shared" si="2"/>
        <v>9.1385543859649129E-2</v>
      </c>
      <c r="N9" s="178">
        <f t="shared" si="2"/>
        <v>1</v>
      </c>
      <c r="O9" s="179"/>
    </row>
    <row r="10" spans="1:16" ht="28.5" customHeight="1" x14ac:dyDescent="0.25">
      <c r="A10" s="119" t="s">
        <v>107</v>
      </c>
      <c r="H10" s="181"/>
      <c r="I10" s="181"/>
      <c r="J10" s="181"/>
      <c r="K10" s="181"/>
      <c r="L10" s="181"/>
    </row>
    <row r="11" spans="1:16" ht="17.25" customHeight="1" x14ac:dyDescent="0.25">
      <c r="H11" s="182"/>
      <c r="I11" s="182"/>
      <c r="J11" s="182"/>
      <c r="K11" s="182"/>
      <c r="L11" s="182"/>
      <c r="M11" s="183"/>
      <c r="N11" s="184" t="str">
        <f>IF('원가항목별(집계)'!I42='단위공사별(집계)'!N8,"","DATA오류입니다!")</f>
        <v/>
      </c>
    </row>
    <row r="12" spans="1:16" ht="17.25" customHeight="1" x14ac:dyDescent="0.25">
      <c r="H12" s="185"/>
      <c r="I12" s="185"/>
      <c r="J12" s="185"/>
      <c r="K12" s="185"/>
      <c r="L12" s="185"/>
      <c r="N12" s="185"/>
    </row>
    <row r="13" spans="1:16" ht="17.25" customHeight="1" x14ac:dyDescent="0.25">
      <c r="H13" s="156"/>
      <c r="I13" s="156"/>
      <c r="J13" s="156"/>
      <c r="L13" s="156"/>
    </row>
  </sheetData>
  <mergeCells count="2">
    <mergeCell ref="D4:J4"/>
    <mergeCell ref="A8:C8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K70"/>
  <sheetViews>
    <sheetView zoomScale="85" workbookViewId="0">
      <pane xSplit="3" ySplit="2" topLeftCell="D33" activePane="bottomRight" state="frozen"/>
      <selection activeCell="L10" sqref="L10"/>
      <selection pane="topRight" activeCell="L10" sqref="L10"/>
      <selection pane="bottomLeft" activeCell="L10" sqref="L10"/>
      <selection pane="bottomRight" activeCell="H68" sqref="H68"/>
    </sheetView>
  </sheetViews>
  <sheetFormatPr defaultColWidth="9" defaultRowHeight="14.4" x14ac:dyDescent="0.25"/>
  <cols>
    <col min="1" max="1" width="5" style="119" customWidth="1"/>
    <col min="2" max="2" width="13" style="119" customWidth="1"/>
    <col min="3" max="3" width="23.59765625" style="119" customWidth="1"/>
    <col min="4" max="4" width="18.19921875" style="119" customWidth="1"/>
    <col min="5" max="5" width="5.19921875" style="136" bestFit="1" customWidth="1"/>
    <col min="6" max="6" width="6.69921875" style="268" customWidth="1"/>
    <col min="7" max="7" width="11.8984375" style="156" customWidth="1"/>
    <col min="8" max="8" width="13.59765625" style="156" customWidth="1"/>
    <col min="9" max="9" width="12.69921875" style="119" customWidth="1"/>
    <col min="10" max="10" width="9.19921875" style="119" customWidth="1"/>
    <col min="11" max="11" width="11.5" style="119" bestFit="1" customWidth="1"/>
    <col min="12" max="16384" width="9" style="119"/>
  </cols>
  <sheetData>
    <row r="1" spans="1:9" ht="22.5" customHeight="1" x14ac:dyDescent="0.25">
      <c r="B1" s="186" t="s">
        <v>108</v>
      </c>
      <c r="C1" s="187" t="s">
        <v>109</v>
      </c>
      <c r="D1" s="188"/>
      <c r="E1" s="189"/>
      <c r="F1" s="190"/>
      <c r="G1" s="158"/>
      <c r="I1" s="119" t="s">
        <v>110</v>
      </c>
    </row>
    <row r="2" spans="1:9" s="136" customFormat="1" ht="16.5" customHeight="1" x14ac:dyDescent="0.25">
      <c r="A2" s="340" t="s">
        <v>111</v>
      </c>
      <c r="B2" s="434"/>
      <c r="C2" s="191" t="s">
        <v>112</v>
      </c>
      <c r="D2" s="192" t="s">
        <v>113</v>
      </c>
      <c r="E2" s="192" t="s">
        <v>11</v>
      </c>
      <c r="F2" s="193" t="s">
        <v>10</v>
      </c>
      <c r="G2" s="193" t="s">
        <v>114</v>
      </c>
      <c r="H2" s="193" t="s">
        <v>115</v>
      </c>
      <c r="I2" s="192" t="s">
        <v>116</v>
      </c>
    </row>
    <row r="3" spans="1:9" ht="15.9" customHeight="1" x14ac:dyDescent="0.25">
      <c r="A3" s="435" t="s">
        <v>117</v>
      </c>
      <c r="B3" s="194" t="s">
        <v>118</v>
      </c>
      <c r="C3" s="195"/>
      <c r="D3" s="195"/>
      <c r="E3" s="196"/>
      <c r="F3" s="197"/>
      <c r="G3" s="198"/>
      <c r="H3" s="199">
        <f>IF(F3=0,G3,G3*F3)</f>
        <v>0</v>
      </c>
      <c r="I3" s="200"/>
    </row>
    <row r="4" spans="1:9" ht="15.9" customHeight="1" x14ac:dyDescent="0.25">
      <c r="A4" s="436"/>
      <c r="B4" s="194"/>
      <c r="C4" s="201"/>
      <c r="D4" s="195"/>
      <c r="E4" s="196"/>
      <c r="F4" s="197"/>
      <c r="G4" s="198"/>
      <c r="H4" s="157">
        <f>IF(F4=0,G4,G4*F4)</f>
        <v>0</v>
      </c>
      <c r="I4" s="202"/>
    </row>
    <row r="5" spans="1:9" ht="15.9" customHeight="1" x14ac:dyDescent="0.25">
      <c r="A5" s="436"/>
      <c r="B5" s="194"/>
      <c r="C5" s="201"/>
      <c r="D5" s="201"/>
      <c r="E5" s="203"/>
      <c r="F5" s="204"/>
      <c r="G5" s="205"/>
      <c r="H5" s="157">
        <f>IF(F5=0,G5,G5*F5)</f>
        <v>0</v>
      </c>
      <c r="I5" s="202"/>
    </row>
    <row r="6" spans="1:9" ht="15.9" customHeight="1" x14ac:dyDescent="0.25">
      <c r="A6" s="436"/>
      <c r="B6" s="194"/>
      <c r="C6" s="206"/>
      <c r="D6" s="206"/>
      <c r="E6" s="207"/>
      <c r="F6" s="208"/>
      <c r="G6" s="209"/>
      <c r="H6" s="157">
        <f>IF(F6=0,G6,G6*F6)</f>
        <v>0</v>
      </c>
      <c r="I6" s="210"/>
    </row>
    <row r="7" spans="1:9" ht="15.9" customHeight="1" x14ac:dyDescent="0.25">
      <c r="A7" s="436"/>
      <c r="B7" s="211"/>
      <c r="C7" s="212"/>
      <c r="D7" s="213"/>
      <c r="E7" s="191"/>
      <c r="F7" s="214"/>
      <c r="G7" s="215"/>
      <c r="H7" s="216">
        <f>SUM(H3:H6)</f>
        <v>0</v>
      </c>
      <c r="I7" s="217"/>
    </row>
    <row r="8" spans="1:9" ht="15.9" customHeight="1" x14ac:dyDescent="0.25">
      <c r="A8" s="436"/>
      <c r="B8" s="218" t="s">
        <v>119</v>
      </c>
      <c r="C8" s="219"/>
      <c r="D8" s="219"/>
      <c r="E8" s="220"/>
      <c r="F8" s="221"/>
      <c r="G8" s="222"/>
      <c r="H8" s="223">
        <f t="shared" ref="H8:H55" si="0">IF(F8=0,G8,G8*F8)</f>
        <v>0</v>
      </c>
      <c r="I8" s="224"/>
    </row>
    <row r="9" spans="1:9" ht="15.9" customHeight="1" x14ac:dyDescent="0.25">
      <c r="A9" s="436"/>
      <c r="B9" s="225" t="s">
        <v>120</v>
      </c>
      <c r="C9" s="201"/>
      <c r="D9" s="201"/>
      <c r="E9" s="203"/>
      <c r="F9" s="204"/>
      <c r="G9" s="205"/>
      <c r="H9" s="157">
        <f t="shared" si="0"/>
        <v>0</v>
      </c>
      <c r="I9" s="202"/>
    </row>
    <row r="10" spans="1:9" ht="15.9" customHeight="1" x14ac:dyDescent="0.25">
      <c r="A10" s="436"/>
      <c r="B10" s="225" t="s">
        <v>121</v>
      </c>
      <c r="C10" s="201"/>
      <c r="D10" s="201"/>
      <c r="E10" s="203"/>
      <c r="F10" s="204"/>
      <c r="G10" s="205"/>
      <c r="H10" s="157">
        <f t="shared" si="0"/>
        <v>0</v>
      </c>
      <c r="I10" s="202"/>
    </row>
    <row r="11" spans="1:9" ht="15.9" customHeight="1" x14ac:dyDescent="0.25">
      <c r="A11" s="436"/>
      <c r="B11" s="194"/>
      <c r="C11" s="201"/>
      <c r="D11" s="201"/>
      <c r="E11" s="203"/>
      <c r="F11" s="204"/>
      <c r="G11" s="205"/>
      <c r="H11" s="157">
        <f t="shared" si="0"/>
        <v>0</v>
      </c>
      <c r="I11" s="202"/>
    </row>
    <row r="12" spans="1:9" ht="15.9" customHeight="1" x14ac:dyDescent="0.25">
      <c r="A12" s="436"/>
      <c r="B12" s="194"/>
      <c r="C12" s="201"/>
      <c r="D12" s="201"/>
      <c r="E12" s="203"/>
      <c r="F12" s="204"/>
      <c r="G12" s="205"/>
      <c r="H12" s="157">
        <f t="shared" si="0"/>
        <v>0</v>
      </c>
      <c r="I12" s="202"/>
    </row>
    <row r="13" spans="1:9" ht="15.9" customHeight="1" x14ac:dyDescent="0.25">
      <c r="A13" s="436"/>
      <c r="B13" s="194"/>
      <c r="C13" s="206"/>
      <c r="D13" s="226"/>
      <c r="E13" s="207"/>
      <c r="F13" s="227"/>
      <c r="G13" s="228"/>
      <c r="H13" s="229">
        <f t="shared" si="0"/>
        <v>0</v>
      </c>
      <c r="I13" s="230"/>
    </row>
    <row r="14" spans="1:9" ht="15.9" customHeight="1" x14ac:dyDescent="0.25">
      <c r="A14" s="436"/>
      <c r="B14" s="194"/>
      <c r="C14" s="231"/>
      <c r="D14" s="232"/>
      <c r="E14" s="233"/>
      <c r="F14" s="234"/>
      <c r="G14" s="235"/>
      <c r="H14" s="236">
        <f>SUM(H8:H13)</f>
        <v>0</v>
      </c>
      <c r="I14" s="237"/>
    </row>
    <row r="15" spans="1:9" ht="15.9" customHeight="1" x14ac:dyDescent="0.25">
      <c r="A15" s="436"/>
      <c r="B15" s="238" t="s">
        <v>122</v>
      </c>
      <c r="C15" s="286" t="s">
        <v>213</v>
      </c>
      <c r="D15" s="201"/>
      <c r="E15" s="203" t="s">
        <v>214</v>
      </c>
      <c r="F15" s="204">
        <v>0</v>
      </c>
      <c r="G15" s="205">
        <v>1450000</v>
      </c>
      <c r="H15" s="223">
        <f>G15*F15</f>
        <v>0</v>
      </c>
      <c r="I15" s="224"/>
    </row>
    <row r="16" spans="1:9" ht="15.9" customHeight="1" x14ac:dyDescent="0.25">
      <c r="A16" s="436"/>
      <c r="B16" s="194"/>
      <c r="C16" s="285" t="s">
        <v>215</v>
      </c>
      <c r="D16" s="201"/>
      <c r="E16" s="203" t="s">
        <v>171</v>
      </c>
      <c r="F16" s="204">
        <v>0</v>
      </c>
      <c r="G16" s="205">
        <v>255000</v>
      </c>
      <c r="H16" s="157">
        <f>G16*F16</f>
        <v>0</v>
      </c>
      <c r="I16" s="202"/>
    </row>
    <row r="17" spans="1:9" ht="15.9" customHeight="1" x14ac:dyDescent="0.25">
      <c r="A17" s="436"/>
      <c r="B17" s="194"/>
      <c r="C17" s="285" t="s">
        <v>216</v>
      </c>
      <c r="D17" s="201"/>
      <c r="E17" s="203" t="s">
        <v>171</v>
      </c>
      <c r="F17" s="204">
        <v>0</v>
      </c>
      <c r="G17" s="205">
        <v>1550000</v>
      </c>
      <c r="H17" s="157">
        <f t="shared" ref="H17:H44" si="1">G17*F17</f>
        <v>0</v>
      </c>
      <c r="I17" s="202"/>
    </row>
    <row r="18" spans="1:9" ht="15.9" customHeight="1" x14ac:dyDescent="0.25">
      <c r="A18" s="436"/>
      <c r="B18" s="194"/>
      <c r="C18" s="285" t="s">
        <v>217</v>
      </c>
      <c r="D18" s="201" t="s">
        <v>218</v>
      </c>
      <c r="E18" s="203" t="s">
        <v>171</v>
      </c>
      <c r="F18" s="204">
        <v>0</v>
      </c>
      <c r="G18" s="205">
        <v>420000</v>
      </c>
      <c r="H18" s="157">
        <f t="shared" si="1"/>
        <v>0</v>
      </c>
      <c r="I18" s="202"/>
    </row>
    <row r="19" spans="1:9" ht="15.9" customHeight="1" x14ac:dyDescent="0.25">
      <c r="A19" s="436"/>
      <c r="B19" s="194"/>
      <c r="C19" s="312" t="s">
        <v>217</v>
      </c>
      <c r="D19" s="306" t="s">
        <v>219</v>
      </c>
      <c r="E19" s="307" t="s">
        <v>171</v>
      </c>
      <c r="F19" s="308">
        <v>4</v>
      </c>
      <c r="G19" s="309">
        <v>195000</v>
      </c>
      <c r="H19" s="310">
        <v>0</v>
      </c>
      <c r="I19" s="311" t="s">
        <v>238</v>
      </c>
    </row>
    <row r="20" spans="1:9" ht="15.9" customHeight="1" x14ac:dyDescent="0.25">
      <c r="A20" s="436"/>
      <c r="B20" s="194"/>
      <c r="C20" s="306" t="s">
        <v>217</v>
      </c>
      <c r="D20" s="306" t="s">
        <v>220</v>
      </c>
      <c r="E20" s="307" t="s">
        <v>171</v>
      </c>
      <c r="F20" s="308">
        <v>4</v>
      </c>
      <c r="G20" s="309">
        <v>450000</v>
      </c>
      <c r="H20" s="310">
        <v>0</v>
      </c>
      <c r="I20" s="311" t="s">
        <v>238</v>
      </c>
    </row>
    <row r="21" spans="1:9" ht="15.9" customHeight="1" x14ac:dyDescent="0.25">
      <c r="A21" s="436"/>
      <c r="B21" s="194"/>
      <c r="C21" s="285" t="s">
        <v>217</v>
      </c>
      <c r="D21" s="201" t="s">
        <v>221</v>
      </c>
      <c r="E21" s="203" t="s">
        <v>171</v>
      </c>
      <c r="F21" s="204">
        <v>0</v>
      </c>
      <c r="G21" s="205">
        <v>450000</v>
      </c>
      <c r="H21" s="157">
        <f t="shared" si="1"/>
        <v>0</v>
      </c>
      <c r="I21" s="202"/>
    </row>
    <row r="22" spans="1:9" ht="15.9" customHeight="1" x14ac:dyDescent="0.25">
      <c r="A22" s="436"/>
      <c r="B22" s="194"/>
      <c r="C22" s="285" t="s">
        <v>222</v>
      </c>
      <c r="D22" s="201" t="s">
        <v>223</v>
      </c>
      <c r="E22" s="203" t="s">
        <v>171</v>
      </c>
      <c r="F22" s="204">
        <v>0</v>
      </c>
      <c r="G22" s="205">
        <v>1250000</v>
      </c>
      <c r="H22" s="157">
        <f t="shared" si="1"/>
        <v>0</v>
      </c>
      <c r="I22" s="202"/>
    </row>
    <row r="23" spans="1:9" ht="15.9" customHeight="1" x14ac:dyDescent="0.25">
      <c r="A23" s="436"/>
      <c r="B23" s="194"/>
      <c r="C23" s="285" t="s">
        <v>224</v>
      </c>
      <c r="D23" s="201"/>
      <c r="E23" s="203" t="s">
        <v>171</v>
      </c>
      <c r="F23" s="204">
        <v>0</v>
      </c>
      <c r="G23" s="205">
        <v>215000</v>
      </c>
      <c r="H23" s="157">
        <f t="shared" si="1"/>
        <v>0</v>
      </c>
      <c r="I23" s="202"/>
    </row>
    <row r="24" spans="1:9" ht="15.9" customHeight="1" x14ac:dyDescent="0.25">
      <c r="A24" s="436"/>
      <c r="B24" s="194"/>
      <c r="C24" s="285" t="s">
        <v>225</v>
      </c>
      <c r="D24" s="201"/>
      <c r="E24" s="203" t="s">
        <v>171</v>
      </c>
      <c r="F24" s="204">
        <v>0</v>
      </c>
      <c r="G24" s="205">
        <v>205000</v>
      </c>
      <c r="H24" s="157">
        <f t="shared" si="1"/>
        <v>0</v>
      </c>
      <c r="I24" s="202"/>
    </row>
    <row r="25" spans="1:9" ht="15.9" customHeight="1" x14ac:dyDescent="0.25">
      <c r="A25" s="436"/>
      <c r="B25" s="194"/>
      <c r="C25" s="285" t="s">
        <v>226</v>
      </c>
      <c r="D25" s="201"/>
      <c r="E25" s="203" t="s">
        <v>171</v>
      </c>
      <c r="F25" s="204">
        <v>0</v>
      </c>
      <c r="G25" s="205">
        <v>205000</v>
      </c>
      <c r="H25" s="157">
        <f t="shared" si="1"/>
        <v>0</v>
      </c>
      <c r="I25" s="202"/>
    </row>
    <row r="26" spans="1:9" ht="15.9" customHeight="1" x14ac:dyDescent="0.25">
      <c r="A26" s="436"/>
      <c r="B26" s="194"/>
      <c r="C26" s="306" t="s">
        <v>227</v>
      </c>
      <c r="D26" s="306"/>
      <c r="E26" s="307" t="s">
        <v>171</v>
      </c>
      <c r="F26" s="308">
        <v>4</v>
      </c>
      <c r="G26" s="309">
        <v>155000</v>
      </c>
      <c r="H26" s="310">
        <v>0</v>
      </c>
      <c r="I26" s="311" t="s">
        <v>238</v>
      </c>
    </row>
    <row r="27" spans="1:9" ht="15.9" customHeight="1" x14ac:dyDescent="0.25">
      <c r="A27" s="436"/>
      <c r="B27" s="194"/>
      <c r="C27" s="286" t="s">
        <v>228</v>
      </c>
      <c r="D27" s="201"/>
      <c r="E27" s="203" t="s">
        <v>171</v>
      </c>
      <c r="F27" s="204">
        <v>0</v>
      </c>
      <c r="G27" s="205">
        <v>35000</v>
      </c>
      <c r="H27" s="157">
        <f t="shared" si="1"/>
        <v>0</v>
      </c>
      <c r="I27" s="202"/>
    </row>
    <row r="28" spans="1:9" ht="15.9" customHeight="1" x14ac:dyDescent="0.25">
      <c r="A28" s="436"/>
      <c r="B28" s="194"/>
      <c r="C28" s="285" t="s">
        <v>229</v>
      </c>
      <c r="D28" s="201"/>
      <c r="E28" s="203" t="s">
        <v>171</v>
      </c>
      <c r="F28" s="204">
        <v>0</v>
      </c>
      <c r="G28" s="205">
        <v>500000</v>
      </c>
      <c r="H28" s="157">
        <f t="shared" si="1"/>
        <v>0</v>
      </c>
      <c r="I28" s="202"/>
    </row>
    <row r="29" spans="1:9" ht="15.9" customHeight="1" x14ac:dyDescent="0.25">
      <c r="A29" s="436"/>
      <c r="B29" s="194"/>
      <c r="C29" s="306" t="s">
        <v>230</v>
      </c>
      <c r="D29" s="306"/>
      <c r="E29" s="307" t="s">
        <v>171</v>
      </c>
      <c r="F29" s="308">
        <v>4</v>
      </c>
      <c r="G29" s="309">
        <v>350000</v>
      </c>
      <c r="H29" s="310">
        <v>0</v>
      </c>
      <c r="I29" s="311" t="s">
        <v>238</v>
      </c>
    </row>
    <row r="30" spans="1:9" ht="15.9" customHeight="1" x14ac:dyDescent="0.25">
      <c r="A30" s="436"/>
      <c r="B30" s="194"/>
      <c r="C30" s="285" t="s">
        <v>231</v>
      </c>
      <c r="D30" s="201"/>
      <c r="E30" s="203" t="s">
        <v>171</v>
      </c>
      <c r="F30" s="204">
        <v>0</v>
      </c>
      <c r="G30" s="205">
        <v>100000</v>
      </c>
      <c r="H30" s="157">
        <f t="shared" si="1"/>
        <v>0</v>
      </c>
      <c r="I30" s="202"/>
    </row>
    <row r="31" spans="1:9" ht="15.9" customHeight="1" x14ac:dyDescent="0.25">
      <c r="A31" s="436"/>
      <c r="B31" s="194"/>
      <c r="C31" s="201" t="s">
        <v>232</v>
      </c>
      <c r="D31" s="201"/>
      <c r="E31" s="203" t="s">
        <v>171</v>
      </c>
      <c r="F31" s="204">
        <v>0</v>
      </c>
      <c r="G31" s="205">
        <v>1550000</v>
      </c>
      <c r="H31" s="157">
        <f t="shared" si="1"/>
        <v>0</v>
      </c>
      <c r="I31" s="202"/>
    </row>
    <row r="32" spans="1:9" ht="15.9" customHeight="1" x14ac:dyDescent="0.25">
      <c r="A32" s="436"/>
      <c r="B32" s="194"/>
      <c r="C32" s="285" t="s">
        <v>233</v>
      </c>
      <c r="D32" s="201"/>
      <c r="E32" s="203" t="s">
        <v>171</v>
      </c>
      <c r="F32" s="204">
        <v>0</v>
      </c>
      <c r="G32" s="205">
        <v>200000</v>
      </c>
      <c r="H32" s="157">
        <f t="shared" si="1"/>
        <v>0</v>
      </c>
      <c r="I32" s="202"/>
    </row>
    <row r="33" spans="1:9" ht="15.9" customHeight="1" x14ac:dyDescent="0.25">
      <c r="A33" s="436"/>
      <c r="B33" s="194"/>
      <c r="C33" s="286" t="s">
        <v>234</v>
      </c>
      <c r="D33" s="201"/>
      <c r="E33" s="203" t="s">
        <v>171</v>
      </c>
      <c r="F33" s="204">
        <v>0</v>
      </c>
      <c r="G33" s="205">
        <v>200000</v>
      </c>
      <c r="H33" s="157">
        <f t="shared" si="1"/>
        <v>0</v>
      </c>
      <c r="I33" s="202"/>
    </row>
    <row r="34" spans="1:9" ht="15.9" customHeight="1" x14ac:dyDescent="0.25">
      <c r="A34" s="436"/>
      <c r="B34" s="194"/>
      <c r="C34" s="285" t="s">
        <v>235</v>
      </c>
      <c r="D34" s="201"/>
      <c r="E34" s="203" t="s">
        <v>171</v>
      </c>
      <c r="F34" s="204">
        <v>0</v>
      </c>
      <c r="G34" s="205">
        <v>700000</v>
      </c>
      <c r="H34" s="157">
        <f t="shared" si="1"/>
        <v>0</v>
      </c>
      <c r="I34" s="202"/>
    </row>
    <row r="35" spans="1:9" ht="15.9" customHeight="1" x14ac:dyDescent="0.25">
      <c r="A35" s="436"/>
      <c r="B35" s="194"/>
      <c r="C35" s="285" t="s">
        <v>236</v>
      </c>
      <c r="D35" s="201"/>
      <c r="E35" s="203" t="s">
        <v>171</v>
      </c>
      <c r="F35" s="204">
        <v>1</v>
      </c>
      <c r="G35" s="205">
        <v>1500000</v>
      </c>
      <c r="H35" s="157">
        <f t="shared" si="1"/>
        <v>1500000</v>
      </c>
      <c r="I35" s="202"/>
    </row>
    <row r="36" spans="1:9" ht="15.9" customHeight="1" x14ac:dyDescent="0.25">
      <c r="A36" s="436"/>
      <c r="B36" s="194"/>
      <c r="C36" s="285" t="s">
        <v>237</v>
      </c>
      <c r="D36" s="201"/>
      <c r="E36" s="203" t="s">
        <v>171</v>
      </c>
      <c r="F36" s="204">
        <v>1</v>
      </c>
      <c r="G36" s="205">
        <v>340000</v>
      </c>
      <c r="H36" s="157">
        <f t="shared" si="1"/>
        <v>340000</v>
      </c>
      <c r="I36" s="202"/>
    </row>
    <row r="37" spans="1:9" ht="15.9" customHeight="1" x14ac:dyDescent="0.25">
      <c r="A37" s="436"/>
      <c r="B37" s="194"/>
      <c r="C37" s="285"/>
      <c r="D37" s="201"/>
      <c r="E37" s="203"/>
      <c r="F37" s="204"/>
      <c r="G37" s="205"/>
      <c r="H37" s="157">
        <f t="shared" si="1"/>
        <v>0</v>
      </c>
      <c r="I37" s="202"/>
    </row>
    <row r="38" spans="1:9" ht="15.9" customHeight="1" x14ac:dyDescent="0.25">
      <c r="A38" s="436"/>
      <c r="B38" s="194"/>
      <c r="C38" s="285"/>
      <c r="D38" s="201"/>
      <c r="E38" s="203"/>
      <c r="F38" s="204"/>
      <c r="G38" s="205"/>
      <c r="H38" s="157">
        <f t="shared" si="1"/>
        <v>0</v>
      </c>
      <c r="I38" s="202"/>
    </row>
    <row r="39" spans="1:9" ht="15.9" customHeight="1" x14ac:dyDescent="0.25">
      <c r="A39" s="436"/>
      <c r="B39" s="194"/>
      <c r="C39" s="303"/>
      <c r="D39" s="226"/>
      <c r="E39" s="304"/>
      <c r="F39" s="227"/>
      <c r="G39" s="228"/>
      <c r="H39" s="229">
        <f t="shared" si="1"/>
        <v>0</v>
      </c>
      <c r="I39" s="230"/>
    </row>
    <row r="40" spans="1:9" ht="15.9" customHeight="1" x14ac:dyDescent="0.25">
      <c r="A40" s="436"/>
      <c r="B40" s="238" t="s">
        <v>40</v>
      </c>
      <c r="C40" s="305"/>
      <c r="D40" s="219"/>
      <c r="E40" s="220"/>
      <c r="F40" s="221"/>
      <c r="G40" s="222"/>
      <c r="H40" s="223">
        <f t="shared" si="1"/>
        <v>0</v>
      </c>
      <c r="I40" s="224"/>
    </row>
    <row r="41" spans="1:9" ht="15.9" customHeight="1" x14ac:dyDescent="0.25">
      <c r="A41" s="436"/>
      <c r="B41" s="194"/>
      <c r="C41" s="285"/>
      <c r="D41" s="201"/>
      <c r="E41" s="203"/>
      <c r="F41" s="204"/>
      <c r="G41" s="205"/>
      <c r="H41" s="157">
        <f t="shared" si="1"/>
        <v>0</v>
      </c>
      <c r="I41" s="202"/>
    </row>
    <row r="42" spans="1:9" ht="15.9" customHeight="1" x14ac:dyDescent="0.25">
      <c r="A42" s="436"/>
      <c r="B42" s="194"/>
      <c r="C42" s="285"/>
      <c r="D42" s="201"/>
      <c r="E42" s="203"/>
      <c r="F42" s="204"/>
      <c r="G42" s="205"/>
      <c r="H42" s="157">
        <f t="shared" si="1"/>
        <v>0</v>
      </c>
      <c r="I42" s="202"/>
    </row>
    <row r="43" spans="1:9" ht="15.9" customHeight="1" x14ac:dyDescent="0.25">
      <c r="A43" s="436"/>
      <c r="B43" s="194"/>
      <c r="C43" s="285"/>
      <c r="D43" s="201"/>
      <c r="E43" s="203"/>
      <c r="F43" s="204"/>
      <c r="G43" s="205"/>
      <c r="H43" s="157">
        <f t="shared" si="1"/>
        <v>0</v>
      </c>
      <c r="I43" s="202"/>
    </row>
    <row r="44" spans="1:9" ht="15.9" customHeight="1" x14ac:dyDescent="0.25">
      <c r="A44" s="436"/>
      <c r="B44" s="194"/>
      <c r="C44" s="285"/>
      <c r="D44" s="201"/>
      <c r="E44" s="203"/>
      <c r="F44" s="204"/>
      <c r="G44" s="205"/>
      <c r="H44" s="157">
        <f t="shared" si="1"/>
        <v>0</v>
      </c>
      <c r="I44" s="202"/>
    </row>
    <row r="45" spans="1:9" ht="15.9" customHeight="1" x14ac:dyDescent="0.25">
      <c r="A45" s="436"/>
      <c r="B45" s="194"/>
      <c r="C45" s="285"/>
      <c r="D45" s="201"/>
      <c r="E45" s="203"/>
      <c r="F45" s="204"/>
      <c r="G45" s="205"/>
      <c r="H45" s="157">
        <f t="shared" si="0"/>
        <v>0</v>
      </c>
      <c r="I45" s="202"/>
    </row>
    <row r="46" spans="1:9" ht="15.9" customHeight="1" x14ac:dyDescent="0.25">
      <c r="A46" s="436"/>
      <c r="B46" s="194"/>
      <c r="C46" s="286"/>
      <c r="D46" s="201"/>
      <c r="E46" s="203"/>
      <c r="F46" s="204"/>
      <c r="G46" s="205"/>
      <c r="H46" s="157">
        <f t="shared" si="0"/>
        <v>0</v>
      </c>
      <c r="I46" s="202"/>
    </row>
    <row r="47" spans="1:9" ht="15.9" customHeight="1" x14ac:dyDescent="0.25">
      <c r="A47" s="436"/>
      <c r="B47" s="194"/>
      <c r="C47" s="285"/>
      <c r="D47" s="201"/>
      <c r="E47" s="203"/>
      <c r="F47" s="204"/>
      <c r="G47" s="205"/>
      <c r="H47" s="157">
        <f t="shared" si="0"/>
        <v>0</v>
      </c>
      <c r="I47" s="202"/>
    </row>
    <row r="48" spans="1:9" ht="15.9" customHeight="1" x14ac:dyDescent="0.25">
      <c r="A48" s="436"/>
      <c r="B48" s="194"/>
      <c r="C48" s="285"/>
      <c r="D48" s="201"/>
      <c r="E48" s="203"/>
      <c r="F48" s="204"/>
      <c r="G48" s="205"/>
      <c r="H48" s="157">
        <f t="shared" si="0"/>
        <v>0</v>
      </c>
      <c r="I48" s="202"/>
    </row>
    <row r="49" spans="1:9" ht="15.9" customHeight="1" x14ac:dyDescent="0.25">
      <c r="A49" s="436"/>
      <c r="B49" s="194"/>
      <c r="C49" s="285"/>
      <c r="D49" s="201"/>
      <c r="E49" s="203"/>
      <c r="F49" s="204"/>
      <c r="G49" s="205"/>
      <c r="H49" s="157">
        <f t="shared" si="0"/>
        <v>0</v>
      </c>
      <c r="I49" s="202"/>
    </row>
    <row r="50" spans="1:9" ht="15.9" customHeight="1" x14ac:dyDescent="0.25">
      <c r="A50" s="436"/>
      <c r="B50" s="194"/>
      <c r="C50" s="285"/>
      <c r="D50" s="201"/>
      <c r="E50" s="203"/>
      <c r="F50" s="204"/>
      <c r="G50" s="205"/>
      <c r="H50" s="157">
        <f t="shared" si="0"/>
        <v>0</v>
      </c>
      <c r="I50" s="202"/>
    </row>
    <row r="51" spans="1:9" ht="15.9" customHeight="1" x14ac:dyDescent="0.25">
      <c r="A51" s="436"/>
      <c r="B51" s="194"/>
      <c r="C51" s="286"/>
      <c r="D51" s="201"/>
      <c r="E51" s="203"/>
      <c r="F51" s="204"/>
      <c r="G51" s="205"/>
      <c r="H51" s="157">
        <f t="shared" si="0"/>
        <v>0</v>
      </c>
      <c r="I51" s="202"/>
    </row>
    <row r="52" spans="1:9" ht="15.9" customHeight="1" x14ac:dyDescent="0.25">
      <c r="A52" s="436"/>
      <c r="B52" s="194"/>
      <c r="C52" s="285"/>
      <c r="D52" s="201"/>
      <c r="E52" s="203"/>
      <c r="F52" s="204"/>
      <c r="G52" s="205"/>
      <c r="H52" s="157">
        <f t="shared" si="0"/>
        <v>0</v>
      </c>
      <c r="I52" s="202"/>
    </row>
    <row r="53" spans="1:9" ht="15.9" customHeight="1" x14ac:dyDescent="0.25">
      <c r="A53" s="436"/>
      <c r="B53" s="194"/>
      <c r="C53" s="285"/>
      <c r="D53" s="201"/>
      <c r="E53" s="203"/>
      <c r="F53" s="204"/>
      <c r="G53" s="205"/>
      <c r="H53" s="157">
        <f t="shared" si="0"/>
        <v>0</v>
      </c>
      <c r="I53" s="202"/>
    </row>
    <row r="54" spans="1:9" ht="15.9" customHeight="1" x14ac:dyDescent="0.25">
      <c r="A54" s="436"/>
      <c r="B54" s="194"/>
      <c r="C54" s="285"/>
      <c r="D54" s="201"/>
      <c r="E54" s="203"/>
      <c r="F54" s="204"/>
      <c r="G54" s="205"/>
      <c r="H54" s="157">
        <f t="shared" si="0"/>
        <v>0</v>
      </c>
      <c r="I54" s="202"/>
    </row>
    <row r="55" spans="1:9" ht="15.9" customHeight="1" x14ac:dyDescent="0.25">
      <c r="A55" s="436"/>
      <c r="B55" s="194"/>
      <c r="C55" s="295"/>
      <c r="D55" s="206"/>
      <c r="E55" s="207"/>
      <c r="F55" s="208"/>
      <c r="G55" s="209"/>
      <c r="H55" s="239">
        <f t="shared" si="0"/>
        <v>0</v>
      </c>
      <c r="I55" s="210"/>
    </row>
    <row r="56" spans="1:9" ht="15.9" customHeight="1" x14ac:dyDescent="0.25">
      <c r="A56" s="436"/>
      <c r="B56" s="211"/>
      <c r="C56" s="212"/>
      <c r="D56" s="213"/>
      <c r="E56" s="191"/>
      <c r="F56" s="214"/>
      <c r="G56" s="215"/>
      <c r="H56" s="216">
        <f>SUM(H15:H55)</f>
        <v>1840000</v>
      </c>
      <c r="I56" s="217"/>
    </row>
    <row r="57" spans="1:9" ht="15.9" customHeight="1" x14ac:dyDescent="0.25">
      <c r="A57" s="240"/>
      <c r="B57" s="241" t="s">
        <v>123</v>
      </c>
      <c r="C57" s="242"/>
      <c r="D57" s="217"/>
      <c r="E57" s="192"/>
      <c r="F57" s="243"/>
      <c r="G57" s="244"/>
      <c r="H57" s="216">
        <f>SUM(H56,H7,H14)</f>
        <v>1840000</v>
      </c>
      <c r="I57" s="217"/>
    </row>
    <row r="58" spans="1:9" ht="15.9" customHeight="1" x14ac:dyDescent="0.25">
      <c r="A58" s="437" t="s">
        <v>124</v>
      </c>
      <c r="B58" s="245" t="s">
        <v>125</v>
      </c>
      <c r="C58" s="242"/>
      <c r="D58" s="246"/>
      <c r="E58" s="247" t="s">
        <v>65</v>
      </c>
      <c r="F58" s="248"/>
      <c r="G58" s="249"/>
      <c r="H58" s="250">
        <f t="shared" ref="H58:H64" si="2">F58*G58</f>
        <v>0</v>
      </c>
      <c r="I58" s="217"/>
    </row>
    <row r="59" spans="1:9" ht="15.9" customHeight="1" x14ac:dyDescent="0.25">
      <c r="A59" s="438"/>
      <c r="B59" s="251" t="s">
        <v>126</v>
      </c>
      <c r="C59" s="252"/>
      <c r="D59" s="253"/>
      <c r="E59" s="254" t="s">
        <v>127</v>
      </c>
      <c r="F59" s="299">
        <v>25</v>
      </c>
      <c r="G59" s="222">
        <v>350000</v>
      </c>
      <c r="H59" s="223">
        <f t="shared" si="2"/>
        <v>8750000</v>
      </c>
      <c r="I59" s="224"/>
    </row>
    <row r="60" spans="1:9" ht="15.9" customHeight="1" x14ac:dyDescent="0.25">
      <c r="A60" s="438"/>
      <c r="B60" s="255" t="s">
        <v>128</v>
      </c>
      <c r="C60" s="256"/>
      <c r="D60" s="257"/>
      <c r="E60" s="258" t="s">
        <v>127</v>
      </c>
      <c r="F60" s="197">
        <v>5</v>
      </c>
      <c r="G60" s="205">
        <v>300000</v>
      </c>
      <c r="H60" s="157">
        <f t="shared" si="2"/>
        <v>1500000</v>
      </c>
      <c r="I60" s="202"/>
    </row>
    <row r="61" spans="1:9" ht="15.9" customHeight="1" x14ac:dyDescent="0.25">
      <c r="A61" s="438"/>
      <c r="B61" s="255" t="s">
        <v>129</v>
      </c>
      <c r="C61" s="256"/>
      <c r="D61" s="257"/>
      <c r="E61" s="258" t="s">
        <v>127</v>
      </c>
      <c r="F61" s="204">
        <v>12</v>
      </c>
      <c r="G61" s="205">
        <v>300000</v>
      </c>
      <c r="H61" s="157">
        <f>F61*G61</f>
        <v>3600000</v>
      </c>
      <c r="I61" s="202"/>
    </row>
    <row r="62" spans="1:9" ht="15.9" customHeight="1" x14ac:dyDescent="0.25">
      <c r="A62" s="438"/>
      <c r="B62" s="255" t="s">
        <v>130</v>
      </c>
      <c r="C62" s="256"/>
      <c r="D62" s="257"/>
      <c r="E62" s="258" t="s">
        <v>127</v>
      </c>
      <c r="F62" s="204">
        <v>12</v>
      </c>
      <c r="G62" s="205">
        <v>300000</v>
      </c>
      <c r="H62" s="157">
        <f t="shared" si="2"/>
        <v>3600000</v>
      </c>
      <c r="I62" s="202"/>
    </row>
    <row r="63" spans="1:9" ht="15.9" customHeight="1" x14ac:dyDescent="0.25">
      <c r="A63" s="438"/>
      <c r="B63" s="255" t="s">
        <v>131</v>
      </c>
      <c r="C63" s="256"/>
      <c r="D63" s="257"/>
      <c r="E63" s="258" t="s">
        <v>127</v>
      </c>
      <c r="F63" s="227">
        <v>15</v>
      </c>
      <c r="G63" s="205">
        <v>300000</v>
      </c>
      <c r="H63" s="157">
        <f t="shared" si="2"/>
        <v>4500000</v>
      </c>
      <c r="I63" s="202"/>
    </row>
    <row r="64" spans="1:9" ht="15.9" customHeight="1" x14ac:dyDescent="0.25">
      <c r="A64" s="438"/>
      <c r="B64" s="259" t="s">
        <v>132</v>
      </c>
      <c r="C64" s="260"/>
      <c r="D64" s="261"/>
      <c r="E64" s="262" t="s">
        <v>127</v>
      </c>
      <c r="F64" s="208">
        <v>12</v>
      </c>
      <c r="G64" s="209">
        <v>300000</v>
      </c>
      <c r="H64" s="239">
        <f t="shared" si="2"/>
        <v>3600000</v>
      </c>
      <c r="I64" s="210"/>
    </row>
    <row r="65" spans="1:11" ht="15.9" customHeight="1" x14ac:dyDescent="0.25">
      <c r="A65" s="240"/>
      <c r="B65" s="263" t="s">
        <v>133</v>
      </c>
      <c r="C65" s="242"/>
      <c r="D65" s="217"/>
      <c r="E65" s="192"/>
      <c r="F65" s="214"/>
      <c r="G65" s="215"/>
      <c r="H65" s="216">
        <f>SUM(H58:H64)</f>
        <v>25550000</v>
      </c>
      <c r="I65" s="217"/>
    </row>
    <row r="66" spans="1:11" ht="15.9" customHeight="1" x14ac:dyDescent="0.25">
      <c r="A66" s="264"/>
      <c r="B66" s="263" t="s">
        <v>134</v>
      </c>
      <c r="C66" s="242"/>
      <c r="D66" s="217"/>
      <c r="E66" s="192"/>
      <c r="F66" s="193"/>
      <c r="G66" s="265" t="s">
        <v>135</v>
      </c>
      <c r="H66" s="244">
        <v>0</v>
      </c>
      <c r="I66" s="217"/>
    </row>
    <row r="67" spans="1:11" ht="15.9" customHeight="1" x14ac:dyDescent="0.25">
      <c r="A67" s="264"/>
      <c r="B67" s="263" t="s">
        <v>76</v>
      </c>
      <c r="C67" s="242"/>
      <c r="D67" s="217"/>
      <c r="E67" s="192"/>
      <c r="F67" s="193"/>
      <c r="G67" s="266"/>
      <c r="H67" s="267">
        <f>(H65+H57)*0.05</f>
        <v>1369500</v>
      </c>
      <c r="I67" s="242"/>
    </row>
    <row r="68" spans="1:11" ht="15.9" customHeight="1" x14ac:dyDescent="0.25">
      <c r="A68" s="264"/>
      <c r="B68" s="263" t="s">
        <v>136</v>
      </c>
      <c r="C68" s="242"/>
      <c r="D68" s="217"/>
      <c r="E68" s="192"/>
      <c r="F68" s="193"/>
      <c r="G68" s="266"/>
      <c r="H68" s="267">
        <f>(H65+H57)*0.1-3000</f>
        <v>2736000</v>
      </c>
      <c r="I68" s="242"/>
    </row>
    <row r="69" spans="1:11" ht="15.9" customHeight="1" x14ac:dyDescent="0.25">
      <c r="A69" s="264"/>
      <c r="B69" s="263" t="s">
        <v>137</v>
      </c>
      <c r="C69" s="242"/>
      <c r="D69" s="217"/>
      <c r="E69" s="192"/>
      <c r="F69" s="193"/>
      <c r="G69" s="216"/>
      <c r="H69" s="215">
        <f>H57+H65+H66+H67+H68</f>
        <v>31495500</v>
      </c>
      <c r="I69" s="217"/>
      <c r="K69" s="156"/>
    </row>
    <row r="70" spans="1:11" x14ac:dyDescent="0.25">
      <c r="A70" s="136"/>
    </row>
  </sheetData>
  <mergeCells count="3">
    <mergeCell ref="A2:B2"/>
    <mergeCell ref="A3:A56"/>
    <mergeCell ref="A58:A6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70"/>
  <sheetViews>
    <sheetView zoomScale="90" zoomScaleNormal="90" workbookViewId="0">
      <pane xSplit="2" ySplit="2" topLeftCell="C36" activePane="bottomRight" state="frozen"/>
      <selection activeCell="L10" sqref="L10"/>
      <selection pane="topRight" activeCell="L10" sqref="L10"/>
      <selection pane="bottomLeft" activeCell="L10" sqref="L10"/>
      <selection pane="bottomRight" activeCell="H69" sqref="H69"/>
    </sheetView>
  </sheetViews>
  <sheetFormatPr defaultColWidth="9" defaultRowHeight="14.4" x14ac:dyDescent="0.25"/>
  <cols>
    <col min="1" max="1" width="5" style="119" customWidth="1"/>
    <col min="2" max="2" width="17.8984375" style="119" bestFit="1" customWidth="1"/>
    <col min="3" max="3" width="23.59765625" style="119" customWidth="1"/>
    <col min="4" max="4" width="18.19921875" style="119" customWidth="1"/>
    <col min="5" max="5" width="5.19921875" style="119" bestFit="1" customWidth="1"/>
    <col min="6" max="6" width="9" style="156"/>
    <col min="7" max="7" width="11.8984375" style="156" customWidth="1"/>
    <col min="8" max="8" width="13.59765625" style="156" customWidth="1"/>
    <col min="9" max="9" width="12.69921875" style="119" customWidth="1"/>
    <col min="10" max="10" width="9" style="119"/>
    <col min="11" max="11" width="10" style="119" bestFit="1" customWidth="1"/>
    <col min="12" max="16384" width="9" style="119"/>
  </cols>
  <sheetData>
    <row r="1" spans="1:11" ht="22.5" customHeight="1" x14ac:dyDescent="0.25">
      <c r="B1" s="186" t="s">
        <v>138</v>
      </c>
      <c r="C1" s="269" t="s">
        <v>189</v>
      </c>
      <c r="D1" s="188"/>
      <c r="E1" s="188"/>
      <c r="F1" s="270"/>
      <c r="G1" s="158"/>
      <c r="I1" s="119" t="s">
        <v>139</v>
      </c>
      <c r="K1" s="271"/>
    </row>
    <row r="2" spans="1:11" s="136" customFormat="1" ht="16.5" customHeight="1" x14ac:dyDescent="0.25">
      <c r="A2" s="340" t="s">
        <v>140</v>
      </c>
      <c r="B2" s="434"/>
      <c r="C2" s="127" t="s">
        <v>141</v>
      </c>
      <c r="D2" s="120" t="s">
        <v>142</v>
      </c>
      <c r="E2" s="120" t="s">
        <v>143</v>
      </c>
      <c r="F2" s="243" t="s">
        <v>144</v>
      </c>
      <c r="G2" s="243" t="s">
        <v>145</v>
      </c>
      <c r="H2" s="243" t="s">
        <v>146</v>
      </c>
      <c r="I2" s="120" t="s">
        <v>147</v>
      </c>
    </row>
    <row r="3" spans="1:11" ht="15.9" customHeight="1" x14ac:dyDescent="0.25">
      <c r="A3" s="435" t="s">
        <v>148</v>
      </c>
      <c r="B3" s="194" t="s">
        <v>118</v>
      </c>
      <c r="C3" s="201" t="s">
        <v>180</v>
      </c>
      <c r="D3" s="301" t="s">
        <v>181</v>
      </c>
      <c r="E3" s="203" t="s">
        <v>182</v>
      </c>
      <c r="F3" s="204">
        <v>150</v>
      </c>
      <c r="G3" s="205">
        <v>1200</v>
      </c>
      <c r="H3" s="223">
        <f>IF(F3=0,G3,G3*F3)</f>
        <v>180000</v>
      </c>
      <c r="I3" s="224"/>
    </row>
    <row r="4" spans="1:11" ht="15.9" customHeight="1" x14ac:dyDescent="0.25">
      <c r="A4" s="439"/>
      <c r="B4" s="194"/>
      <c r="C4" s="201" t="s">
        <v>183</v>
      </c>
      <c r="D4" s="301" t="s">
        <v>181</v>
      </c>
      <c r="E4" s="203" t="s">
        <v>182</v>
      </c>
      <c r="F4" s="204">
        <v>100</v>
      </c>
      <c r="G4" s="205">
        <v>1200</v>
      </c>
      <c r="H4" s="157">
        <f>IF(F4=0,G4,G4*F4)</f>
        <v>120000</v>
      </c>
      <c r="I4" s="202"/>
    </row>
    <row r="5" spans="1:11" ht="15.9" customHeight="1" x14ac:dyDescent="0.25">
      <c r="A5" s="439"/>
      <c r="B5" s="194"/>
      <c r="C5" s="201" t="s">
        <v>184</v>
      </c>
      <c r="D5" s="301" t="s">
        <v>181</v>
      </c>
      <c r="E5" s="203" t="s">
        <v>182</v>
      </c>
      <c r="F5" s="204">
        <v>50</v>
      </c>
      <c r="G5" s="205">
        <v>1200</v>
      </c>
      <c r="H5" s="157">
        <f t="shared" ref="H5:H54" si="0">IF(F5=0,G5,G5*F5)</f>
        <v>60000</v>
      </c>
      <c r="I5" s="202"/>
    </row>
    <row r="6" spans="1:11" ht="15.9" customHeight="1" x14ac:dyDescent="0.25">
      <c r="A6" s="439"/>
      <c r="B6" s="194"/>
      <c r="C6" s="201"/>
      <c r="D6" s="201"/>
      <c r="E6" s="201"/>
      <c r="F6" s="205"/>
      <c r="G6" s="205"/>
      <c r="H6" s="157">
        <f t="shared" si="0"/>
        <v>0</v>
      </c>
      <c r="I6" s="202"/>
    </row>
    <row r="7" spans="1:11" ht="15.9" customHeight="1" x14ac:dyDescent="0.25">
      <c r="A7" s="439"/>
      <c r="B7" s="194"/>
      <c r="C7" s="201"/>
      <c r="D7" s="201"/>
      <c r="E7" s="201"/>
      <c r="F7" s="205"/>
      <c r="G7" s="205"/>
      <c r="H7" s="157">
        <f t="shared" si="0"/>
        <v>0</v>
      </c>
      <c r="I7" s="202"/>
    </row>
    <row r="8" spans="1:11" ht="15.9" customHeight="1" x14ac:dyDescent="0.25">
      <c r="A8" s="439"/>
      <c r="B8" s="194"/>
      <c r="C8" s="206" t="s">
        <v>185</v>
      </c>
      <c r="D8" s="226"/>
      <c r="E8" s="207" t="s">
        <v>171</v>
      </c>
      <c r="F8" s="208">
        <v>1</v>
      </c>
      <c r="G8" s="209">
        <v>10000</v>
      </c>
      <c r="H8" s="229">
        <f t="shared" si="0"/>
        <v>10000</v>
      </c>
      <c r="I8" s="230"/>
    </row>
    <row r="9" spans="1:11" ht="15.9" customHeight="1" x14ac:dyDescent="0.25">
      <c r="A9" s="439"/>
      <c r="B9" s="211"/>
      <c r="C9" s="237"/>
      <c r="D9" s="237"/>
      <c r="E9" s="237"/>
      <c r="F9" s="235"/>
      <c r="G9" s="235"/>
      <c r="H9" s="236">
        <f>SUM(H3:H8)</f>
        <v>370000</v>
      </c>
      <c r="I9" s="237"/>
    </row>
    <row r="10" spans="1:11" ht="15.9" customHeight="1" x14ac:dyDescent="0.25">
      <c r="A10" s="439"/>
      <c r="B10" s="194" t="s">
        <v>149</v>
      </c>
      <c r="C10" s="195"/>
      <c r="D10" s="195"/>
      <c r="E10" s="195"/>
      <c r="F10" s="198"/>
      <c r="G10" s="198"/>
      <c r="H10" s="199">
        <f t="shared" si="0"/>
        <v>0</v>
      </c>
      <c r="I10" s="200"/>
    </row>
    <row r="11" spans="1:11" ht="15.9" customHeight="1" x14ac:dyDescent="0.25">
      <c r="A11" s="439"/>
      <c r="B11" s="194" t="s">
        <v>150</v>
      </c>
      <c r="C11" s="201"/>
      <c r="D11" s="201"/>
      <c r="E11" s="201"/>
      <c r="F11" s="205"/>
      <c r="G11" s="205"/>
      <c r="H11" s="157">
        <f t="shared" si="0"/>
        <v>0</v>
      </c>
      <c r="I11" s="202"/>
    </row>
    <row r="12" spans="1:11" ht="15.9" customHeight="1" x14ac:dyDescent="0.25">
      <c r="A12" s="439"/>
      <c r="B12" s="194"/>
      <c r="C12" s="201"/>
      <c r="D12" s="201"/>
      <c r="E12" s="201"/>
      <c r="F12" s="205"/>
      <c r="G12" s="205"/>
      <c r="H12" s="157">
        <f t="shared" si="0"/>
        <v>0</v>
      </c>
      <c r="I12" s="202"/>
    </row>
    <row r="13" spans="1:11" ht="15.9" customHeight="1" x14ac:dyDescent="0.25">
      <c r="A13" s="439"/>
      <c r="B13" s="194"/>
      <c r="C13" s="201"/>
      <c r="D13" s="201"/>
      <c r="E13" s="201"/>
      <c r="F13" s="205"/>
      <c r="G13" s="205"/>
      <c r="H13" s="157">
        <f t="shared" si="0"/>
        <v>0</v>
      </c>
      <c r="I13" s="202"/>
    </row>
    <row r="14" spans="1:11" ht="15.9" customHeight="1" x14ac:dyDescent="0.25">
      <c r="A14" s="439"/>
      <c r="B14" s="194"/>
      <c r="C14" s="206" t="s">
        <v>186</v>
      </c>
      <c r="D14" s="206"/>
      <c r="E14" s="207"/>
      <c r="F14" s="208"/>
      <c r="G14" s="209"/>
      <c r="H14" s="157">
        <f t="shared" si="0"/>
        <v>0</v>
      </c>
      <c r="I14" s="210"/>
    </row>
    <row r="15" spans="1:11" ht="15.9" customHeight="1" x14ac:dyDescent="0.25">
      <c r="A15" s="439"/>
      <c r="B15" s="211"/>
      <c r="C15" s="212"/>
      <c r="D15" s="213"/>
      <c r="E15" s="213"/>
      <c r="F15" s="272"/>
      <c r="G15" s="215"/>
      <c r="H15" s="216">
        <f>SUM(H10:H14)</f>
        <v>0</v>
      </c>
      <c r="I15" s="217"/>
    </row>
    <row r="16" spans="1:11" ht="15.9" customHeight="1" x14ac:dyDescent="0.25">
      <c r="A16" s="439"/>
      <c r="B16" s="238" t="s">
        <v>151</v>
      </c>
      <c r="C16" s="286" t="s">
        <v>190</v>
      </c>
      <c r="D16" s="201"/>
      <c r="E16" s="201" t="s">
        <v>171</v>
      </c>
      <c r="F16" s="205">
        <v>0</v>
      </c>
      <c r="G16" s="205">
        <v>900000</v>
      </c>
      <c r="H16" s="157">
        <f>G16*F16</f>
        <v>0</v>
      </c>
      <c r="I16" s="224"/>
    </row>
    <row r="17" spans="1:9" ht="15.9" customHeight="1" x14ac:dyDescent="0.25">
      <c r="A17" s="439"/>
      <c r="B17" s="194" t="s">
        <v>152</v>
      </c>
      <c r="C17" s="201" t="s">
        <v>191</v>
      </c>
      <c r="D17" s="201"/>
      <c r="E17" s="201" t="s">
        <v>171</v>
      </c>
      <c r="F17" s="205">
        <v>0</v>
      </c>
      <c r="G17" s="205">
        <v>420000</v>
      </c>
      <c r="H17" s="157">
        <f>G17*F17</f>
        <v>0</v>
      </c>
      <c r="I17" s="202"/>
    </row>
    <row r="18" spans="1:9" ht="15.9" customHeight="1" x14ac:dyDescent="0.25">
      <c r="A18" s="439"/>
      <c r="B18" s="194"/>
      <c r="C18" s="201" t="s">
        <v>192</v>
      </c>
      <c r="D18" s="201"/>
      <c r="E18" s="201" t="s">
        <v>171</v>
      </c>
      <c r="F18" s="205">
        <v>0</v>
      </c>
      <c r="G18" s="205">
        <v>1350000</v>
      </c>
      <c r="H18" s="157">
        <f t="shared" ref="H18:H35" si="1">G18*F18</f>
        <v>0</v>
      </c>
      <c r="I18" s="202"/>
    </row>
    <row r="19" spans="1:9" ht="15.9" customHeight="1" x14ac:dyDescent="0.25">
      <c r="A19" s="439"/>
      <c r="B19" s="194"/>
      <c r="C19" s="201" t="s">
        <v>193</v>
      </c>
      <c r="D19" s="201"/>
      <c r="E19" s="201" t="s">
        <v>171</v>
      </c>
      <c r="F19" s="205">
        <v>0</v>
      </c>
      <c r="G19" s="205">
        <v>300000</v>
      </c>
      <c r="H19" s="157">
        <f t="shared" si="1"/>
        <v>0</v>
      </c>
      <c r="I19" s="202"/>
    </row>
    <row r="20" spans="1:9" ht="15.9" customHeight="1" x14ac:dyDescent="0.25">
      <c r="A20" s="439"/>
      <c r="B20" s="194"/>
      <c r="C20" s="201" t="s">
        <v>194</v>
      </c>
      <c r="D20" s="201"/>
      <c r="E20" s="201" t="s">
        <v>171</v>
      </c>
      <c r="F20" s="205">
        <v>0</v>
      </c>
      <c r="G20" s="205">
        <v>35000</v>
      </c>
      <c r="H20" s="157">
        <f t="shared" si="1"/>
        <v>0</v>
      </c>
      <c r="I20" s="202"/>
    </row>
    <row r="21" spans="1:9" ht="15.9" customHeight="1" x14ac:dyDescent="0.25">
      <c r="A21" s="439"/>
      <c r="B21" s="194"/>
      <c r="C21" s="201" t="s">
        <v>195</v>
      </c>
      <c r="D21" s="201"/>
      <c r="E21" s="201" t="s">
        <v>171</v>
      </c>
      <c r="F21" s="205">
        <v>0</v>
      </c>
      <c r="G21" s="205">
        <v>10000</v>
      </c>
      <c r="H21" s="157">
        <f t="shared" si="1"/>
        <v>0</v>
      </c>
      <c r="I21" s="202"/>
    </row>
    <row r="22" spans="1:9" ht="15.9" customHeight="1" x14ac:dyDescent="0.25">
      <c r="A22" s="439"/>
      <c r="B22" s="194"/>
      <c r="C22" s="201" t="s">
        <v>196</v>
      </c>
      <c r="D22" s="201"/>
      <c r="E22" s="201" t="s">
        <v>171</v>
      </c>
      <c r="F22" s="205">
        <v>0</v>
      </c>
      <c r="G22" s="205">
        <v>95000</v>
      </c>
      <c r="H22" s="157">
        <f t="shared" si="1"/>
        <v>0</v>
      </c>
      <c r="I22" s="202"/>
    </row>
    <row r="23" spans="1:9" ht="15.9" customHeight="1" x14ac:dyDescent="0.25">
      <c r="A23" s="439"/>
      <c r="B23" s="194"/>
      <c r="C23" s="201" t="s">
        <v>195</v>
      </c>
      <c r="D23" s="201"/>
      <c r="E23" s="201" t="s">
        <v>171</v>
      </c>
      <c r="F23" s="205">
        <v>0</v>
      </c>
      <c r="G23" s="205">
        <v>10000</v>
      </c>
      <c r="H23" s="157">
        <f t="shared" si="1"/>
        <v>0</v>
      </c>
      <c r="I23" s="202"/>
    </row>
    <row r="24" spans="1:9" ht="15.9" customHeight="1" x14ac:dyDescent="0.25">
      <c r="A24" s="439"/>
      <c r="B24" s="194"/>
      <c r="C24" s="201" t="s">
        <v>197</v>
      </c>
      <c r="D24" s="201"/>
      <c r="E24" s="201" t="s">
        <v>171</v>
      </c>
      <c r="F24" s="205">
        <v>0</v>
      </c>
      <c r="G24" s="205">
        <v>255000</v>
      </c>
      <c r="H24" s="157">
        <f t="shared" si="1"/>
        <v>0</v>
      </c>
      <c r="I24" s="202"/>
    </row>
    <row r="25" spans="1:9" ht="15.9" customHeight="1" x14ac:dyDescent="0.25">
      <c r="A25" s="439"/>
      <c r="B25" s="194"/>
      <c r="C25" s="201" t="s">
        <v>198</v>
      </c>
      <c r="D25" s="201"/>
      <c r="E25" s="201" t="s">
        <v>171</v>
      </c>
      <c r="F25" s="205">
        <v>0</v>
      </c>
      <c r="G25" s="205">
        <v>1750000</v>
      </c>
      <c r="H25" s="157">
        <f t="shared" si="1"/>
        <v>0</v>
      </c>
      <c r="I25" s="202"/>
    </row>
    <row r="26" spans="1:9" ht="15.9" customHeight="1" x14ac:dyDescent="0.25">
      <c r="A26" s="439"/>
      <c r="B26" s="194"/>
      <c r="C26" s="201" t="s">
        <v>199</v>
      </c>
      <c r="D26" s="201"/>
      <c r="E26" s="201" t="s">
        <v>171</v>
      </c>
      <c r="F26" s="205">
        <v>0</v>
      </c>
      <c r="G26" s="205">
        <v>1150000</v>
      </c>
      <c r="H26" s="157">
        <f t="shared" si="1"/>
        <v>0</v>
      </c>
      <c r="I26" s="202"/>
    </row>
    <row r="27" spans="1:9" ht="15.9" customHeight="1" x14ac:dyDescent="0.25">
      <c r="A27" s="439"/>
      <c r="B27" s="194"/>
      <c r="C27" s="201" t="s">
        <v>200</v>
      </c>
      <c r="D27" s="201"/>
      <c r="E27" s="201" t="s">
        <v>171</v>
      </c>
      <c r="F27" s="205">
        <v>0</v>
      </c>
      <c r="G27" s="205">
        <v>285000</v>
      </c>
      <c r="H27" s="157">
        <f t="shared" si="1"/>
        <v>0</v>
      </c>
      <c r="I27" s="202"/>
    </row>
    <row r="28" spans="1:9" ht="15.9" customHeight="1" x14ac:dyDescent="0.25">
      <c r="A28" s="439"/>
      <c r="B28" s="194"/>
      <c r="C28" s="201" t="s">
        <v>201</v>
      </c>
      <c r="D28" s="201"/>
      <c r="E28" s="201" t="s">
        <v>171</v>
      </c>
      <c r="F28" s="205">
        <v>1</v>
      </c>
      <c r="G28" s="205">
        <v>1000000</v>
      </c>
      <c r="H28" s="157">
        <f t="shared" si="1"/>
        <v>1000000</v>
      </c>
      <c r="I28" s="202"/>
    </row>
    <row r="29" spans="1:9" ht="15.9" customHeight="1" x14ac:dyDescent="0.25">
      <c r="A29" s="439"/>
      <c r="B29" s="194"/>
      <c r="C29" s="201"/>
      <c r="D29" s="201"/>
      <c r="E29" s="201"/>
      <c r="F29" s="205"/>
      <c r="G29" s="205"/>
      <c r="H29" s="157">
        <f t="shared" si="1"/>
        <v>0</v>
      </c>
      <c r="I29" s="202"/>
    </row>
    <row r="30" spans="1:9" ht="15.9" customHeight="1" x14ac:dyDescent="0.25">
      <c r="A30" s="439"/>
      <c r="B30" s="194"/>
      <c r="C30" s="306" t="s">
        <v>240</v>
      </c>
      <c r="D30" s="306" t="s">
        <v>239</v>
      </c>
      <c r="E30" s="306"/>
      <c r="F30" s="309"/>
      <c r="G30" s="309"/>
      <c r="H30" s="310">
        <f t="shared" si="1"/>
        <v>0</v>
      </c>
      <c r="I30" s="311" t="s">
        <v>238</v>
      </c>
    </row>
    <row r="31" spans="1:9" ht="15.9" customHeight="1" x14ac:dyDescent="0.25">
      <c r="A31" s="439"/>
      <c r="B31" s="194"/>
      <c r="C31" s="313" t="s">
        <v>247</v>
      </c>
      <c r="D31" s="313"/>
      <c r="E31" s="313"/>
      <c r="F31" s="314"/>
      <c r="G31" s="314"/>
      <c r="H31" s="310">
        <f t="shared" si="1"/>
        <v>0</v>
      </c>
      <c r="I31" s="311" t="s">
        <v>241</v>
      </c>
    </row>
    <row r="32" spans="1:9" ht="15.9" customHeight="1" x14ac:dyDescent="0.25">
      <c r="A32" s="439"/>
      <c r="B32" s="194"/>
      <c r="C32" s="226"/>
      <c r="D32" s="226"/>
      <c r="E32" s="226"/>
      <c r="F32" s="228"/>
      <c r="G32" s="228"/>
      <c r="H32" s="157">
        <f t="shared" si="1"/>
        <v>0</v>
      </c>
      <c r="I32" s="202"/>
    </row>
    <row r="33" spans="1:9" ht="15.9" customHeight="1" x14ac:dyDescent="0.25">
      <c r="A33" s="439"/>
      <c r="B33" s="194"/>
      <c r="C33" s="201"/>
      <c r="D33" s="201"/>
      <c r="E33" s="201"/>
      <c r="F33" s="205"/>
      <c r="G33" s="205"/>
      <c r="H33" s="157">
        <f t="shared" si="1"/>
        <v>0</v>
      </c>
      <c r="I33" s="202"/>
    </row>
    <row r="34" spans="1:9" ht="15.9" customHeight="1" x14ac:dyDescent="0.25">
      <c r="A34" s="439"/>
      <c r="B34" s="194"/>
      <c r="C34" s="226"/>
      <c r="D34" s="226"/>
      <c r="E34" s="226"/>
      <c r="F34" s="228"/>
      <c r="G34" s="228"/>
      <c r="H34" s="157">
        <f t="shared" si="1"/>
        <v>0</v>
      </c>
      <c r="I34" s="230"/>
    </row>
    <row r="35" spans="1:9" ht="15.9" customHeight="1" x14ac:dyDescent="0.25">
      <c r="A35" s="439"/>
      <c r="B35" s="194"/>
      <c r="C35" s="226"/>
      <c r="D35" s="226"/>
      <c r="E35" s="226"/>
      <c r="F35" s="228"/>
      <c r="G35" s="228"/>
      <c r="H35" s="157">
        <f t="shared" si="1"/>
        <v>0</v>
      </c>
      <c r="I35" s="230"/>
    </row>
    <row r="36" spans="1:9" ht="15.9" customHeight="1" x14ac:dyDescent="0.25">
      <c r="A36" s="439"/>
      <c r="B36" s="194"/>
      <c r="C36" s="226"/>
      <c r="D36" s="226"/>
      <c r="E36" s="226"/>
      <c r="F36" s="228"/>
      <c r="G36" s="228"/>
      <c r="H36" s="289">
        <f t="shared" si="0"/>
        <v>0</v>
      </c>
      <c r="I36" s="230"/>
    </row>
    <row r="37" spans="1:9" ht="15.9" customHeight="1" x14ac:dyDescent="0.25">
      <c r="A37" s="439"/>
      <c r="B37" s="194"/>
      <c r="C37" s="206"/>
      <c r="D37" s="206"/>
      <c r="E37" s="206"/>
      <c r="F37" s="209"/>
      <c r="G37" s="209"/>
      <c r="H37" s="290">
        <f t="shared" si="0"/>
        <v>0</v>
      </c>
      <c r="I37" s="210"/>
    </row>
    <row r="38" spans="1:9" ht="15.9" customHeight="1" x14ac:dyDescent="0.25">
      <c r="A38" s="439"/>
      <c r="B38" s="211"/>
      <c r="C38" s="212"/>
      <c r="D38" s="213"/>
      <c r="E38" s="213"/>
      <c r="F38" s="215"/>
      <c r="G38" s="215"/>
      <c r="H38" s="216">
        <f>SUM(H16:H37)</f>
        <v>1000000</v>
      </c>
      <c r="I38" s="217"/>
    </row>
    <row r="39" spans="1:9" ht="15.9" customHeight="1" x14ac:dyDescent="0.25">
      <c r="A39" s="439"/>
      <c r="B39" s="238" t="s">
        <v>153</v>
      </c>
      <c r="C39" s="201" t="s">
        <v>202</v>
      </c>
      <c r="D39" s="201"/>
      <c r="E39" s="196" t="s">
        <v>187</v>
      </c>
      <c r="F39" s="204">
        <v>4</v>
      </c>
      <c r="G39" s="205">
        <v>1000000</v>
      </c>
      <c r="H39" s="223">
        <f t="shared" si="0"/>
        <v>4000000</v>
      </c>
      <c r="I39" s="224"/>
    </row>
    <row r="40" spans="1:9" ht="15.9" customHeight="1" x14ac:dyDescent="0.25">
      <c r="A40" s="439"/>
      <c r="B40" s="194"/>
      <c r="C40" s="201" t="s">
        <v>203</v>
      </c>
      <c r="D40" s="201"/>
      <c r="E40" s="196" t="s">
        <v>187</v>
      </c>
      <c r="F40" s="204">
        <v>4</v>
      </c>
      <c r="G40" s="205">
        <v>1200000</v>
      </c>
      <c r="H40" s="157">
        <f t="shared" si="0"/>
        <v>4800000</v>
      </c>
      <c r="I40" s="202"/>
    </row>
    <row r="41" spans="1:9" ht="15.9" customHeight="1" x14ac:dyDescent="0.25">
      <c r="A41" s="439"/>
      <c r="B41" s="194"/>
      <c r="C41" s="201" t="s">
        <v>204</v>
      </c>
      <c r="D41" s="201"/>
      <c r="E41" s="196" t="s">
        <v>38</v>
      </c>
      <c r="F41" s="204">
        <v>4</v>
      </c>
      <c r="G41" s="205">
        <v>500000</v>
      </c>
      <c r="H41" s="157">
        <f t="shared" si="0"/>
        <v>2000000</v>
      </c>
      <c r="I41" s="202"/>
    </row>
    <row r="42" spans="1:9" ht="15.9" customHeight="1" x14ac:dyDescent="0.25">
      <c r="A42" s="439"/>
      <c r="B42" s="194"/>
      <c r="C42" s="201" t="s">
        <v>205</v>
      </c>
      <c r="D42" s="201"/>
      <c r="E42" s="196" t="s">
        <v>38</v>
      </c>
      <c r="F42" s="204">
        <v>4</v>
      </c>
      <c r="G42" s="205">
        <v>1500000</v>
      </c>
      <c r="H42" s="157">
        <f t="shared" si="0"/>
        <v>6000000</v>
      </c>
      <c r="I42" s="202"/>
    </row>
    <row r="43" spans="1:9" ht="15.9" customHeight="1" x14ac:dyDescent="0.25">
      <c r="A43" s="439"/>
      <c r="B43" s="194"/>
      <c r="C43" s="201" t="s">
        <v>206</v>
      </c>
      <c r="D43" s="201"/>
      <c r="E43" s="196" t="s">
        <v>38</v>
      </c>
      <c r="F43" s="204">
        <v>4</v>
      </c>
      <c r="G43" s="205">
        <v>800000</v>
      </c>
      <c r="H43" s="157">
        <f t="shared" si="0"/>
        <v>3200000</v>
      </c>
      <c r="I43" s="202"/>
    </row>
    <row r="44" spans="1:9" ht="15.9" customHeight="1" x14ac:dyDescent="0.25">
      <c r="A44" s="439"/>
      <c r="B44" s="194"/>
      <c r="C44" s="201" t="s">
        <v>207</v>
      </c>
      <c r="D44" s="201"/>
      <c r="E44" s="196" t="s">
        <v>38</v>
      </c>
      <c r="F44" s="204">
        <v>4</v>
      </c>
      <c r="G44" s="205">
        <v>2050000</v>
      </c>
      <c r="H44" s="157">
        <f t="shared" si="0"/>
        <v>8200000</v>
      </c>
      <c r="I44" s="202"/>
    </row>
    <row r="45" spans="1:9" ht="15.9" customHeight="1" x14ac:dyDescent="0.25">
      <c r="A45" s="439"/>
      <c r="B45" s="194"/>
      <c r="C45" s="201" t="s">
        <v>208</v>
      </c>
      <c r="D45" s="201"/>
      <c r="E45" s="196" t="s">
        <v>38</v>
      </c>
      <c r="F45" s="204">
        <v>4</v>
      </c>
      <c r="G45" s="205">
        <v>400000</v>
      </c>
      <c r="H45" s="157">
        <f t="shared" si="0"/>
        <v>1600000</v>
      </c>
      <c r="I45" s="202"/>
    </row>
    <row r="46" spans="1:9" ht="15.9" customHeight="1" x14ac:dyDescent="0.25">
      <c r="A46" s="439"/>
      <c r="B46" s="194"/>
      <c r="C46" s="201" t="s">
        <v>209</v>
      </c>
      <c r="D46" s="201"/>
      <c r="E46" s="196" t="s">
        <v>38</v>
      </c>
      <c r="F46" s="204">
        <v>4</v>
      </c>
      <c r="G46" s="205">
        <v>100000</v>
      </c>
      <c r="H46" s="157">
        <f t="shared" si="0"/>
        <v>400000</v>
      </c>
      <c r="I46" s="202"/>
    </row>
    <row r="47" spans="1:9" ht="15.9" customHeight="1" x14ac:dyDescent="0.25">
      <c r="A47" s="439"/>
      <c r="B47" s="194"/>
      <c r="C47" s="201" t="s">
        <v>210</v>
      </c>
      <c r="D47" s="201"/>
      <c r="E47" s="196" t="s">
        <v>38</v>
      </c>
      <c r="F47" s="204">
        <v>4</v>
      </c>
      <c r="G47" s="205">
        <v>500000</v>
      </c>
      <c r="H47" s="157">
        <f t="shared" si="0"/>
        <v>2000000</v>
      </c>
      <c r="I47" s="202"/>
    </row>
    <row r="48" spans="1:9" ht="15.9" customHeight="1" x14ac:dyDescent="0.25">
      <c r="A48" s="439"/>
      <c r="B48" s="194"/>
      <c r="C48" s="201" t="s">
        <v>211</v>
      </c>
      <c r="D48" s="201"/>
      <c r="E48" s="196" t="s">
        <v>38</v>
      </c>
      <c r="F48" s="204">
        <v>4</v>
      </c>
      <c r="G48" s="205">
        <v>500000</v>
      </c>
      <c r="H48" s="157">
        <f t="shared" si="0"/>
        <v>2000000</v>
      </c>
      <c r="I48" s="230"/>
    </row>
    <row r="49" spans="1:9" ht="15.9" customHeight="1" x14ac:dyDescent="0.25">
      <c r="A49" s="439"/>
      <c r="B49" s="194"/>
      <c r="C49" s="201" t="s">
        <v>212</v>
      </c>
      <c r="D49" s="201"/>
      <c r="E49" s="196" t="s">
        <v>38</v>
      </c>
      <c r="F49" s="204">
        <v>1</v>
      </c>
      <c r="G49" s="205">
        <v>560000</v>
      </c>
      <c r="H49" s="157">
        <f t="shared" si="0"/>
        <v>560000</v>
      </c>
      <c r="I49" s="230"/>
    </row>
    <row r="50" spans="1:9" ht="15.9" customHeight="1" x14ac:dyDescent="0.25">
      <c r="A50" s="439"/>
      <c r="B50" s="194"/>
      <c r="C50" s="226"/>
      <c r="D50" s="226"/>
      <c r="E50" s="196"/>
      <c r="F50" s="227"/>
      <c r="G50" s="228"/>
      <c r="H50" s="157"/>
      <c r="I50" s="230"/>
    </row>
    <row r="51" spans="1:9" ht="15.9" customHeight="1" x14ac:dyDescent="0.25">
      <c r="A51" s="439"/>
      <c r="B51" s="194"/>
      <c r="C51" s="201" t="s">
        <v>242</v>
      </c>
      <c r="D51" s="201" t="s">
        <v>243</v>
      </c>
      <c r="E51" s="196" t="s">
        <v>38</v>
      </c>
      <c r="F51" s="204">
        <v>1</v>
      </c>
      <c r="G51" s="205">
        <v>18500000</v>
      </c>
      <c r="H51" s="157">
        <f t="shared" ref="H51" si="2">IF(F51=0,G51,G51*F51)</f>
        <v>18500000</v>
      </c>
      <c r="I51" s="230"/>
    </row>
    <row r="52" spans="1:9" ht="15.9" customHeight="1" x14ac:dyDescent="0.25">
      <c r="A52" s="439"/>
      <c r="B52" s="194"/>
      <c r="C52" s="226"/>
      <c r="D52" s="226"/>
      <c r="E52" s="196"/>
      <c r="F52" s="227"/>
      <c r="G52" s="228"/>
      <c r="H52" s="157"/>
      <c r="I52" s="230"/>
    </row>
    <row r="53" spans="1:9" ht="15.9" customHeight="1" x14ac:dyDescent="0.25">
      <c r="A53" s="439"/>
      <c r="B53" s="194"/>
      <c r="C53" s="293"/>
      <c r="D53" s="226"/>
      <c r="E53" s="226"/>
      <c r="F53" s="228"/>
      <c r="G53" s="228"/>
      <c r="H53" s="157">
        <f t="shared" si="0"/>
        <v>0</v>
      </c>
      <c r="I53" s="230"/>
    </row>
    <row r="54" spans="1:9" ht="15.9" customHeight="1" x14ac:dyDescent="0.25">
      <c r="A54" s="439"/>
      <c r="B54" s="194"/>
      <c r="C54" s="294"/>
      <c r="D54" s="206"/>
      <c r="E54" s="206"/>
      <c r="F54" s="209"/>
      <c r="G54" s="209"/>
      <c r="H54" s="239">
        <f t="shared" si="0"/>
        <v>0</v>
      </c>
      <c r="I54" s="210"/>
    </row>
    <row r="55" spans="1:9" ht="15.9" customHeight="1" x14ac:dyDescent="0.25">
      <c r="A55" s="439"/>
      <c r="B55" s="211"/>
      <c r="C55" s="212"/>
      <c r="D55" s="213"/>
      <c r="E55" s="213"/>
      <c r="F55" s="215"/>
      <c r="G55" s="215"/>
      <c r="H55" s="216">
        <f>SUM(H39:H54)</f>
        <v>53260000</v>
      </c>
      <c r="I55" s="217"/>
    </row>
    <row r="56" spans="1:9" ht="15.9" customHeight="1" x14ac:dyDescent="0.25">
      <c r="A56" s="240"/>
      <c r="B56" s="241" t="s">
        <v>123</v>
      </c>
      <c r="C56" s="242"/>
      <c r="D56" s="217"/>
      <c r="E56" s="217"/>
      <c r="F56" s="244"/>
      <c r="G56" s="244"/>
      <c r="H56" s="216">
        <f>SUM(H55,H38,H15,H9)</f>
        <v>54630000</v>
      </c>
      <c r="I56" s="217"/>
    </row>
    <row r="57" spans="1:9" ht="15.9" customHeight="1" x14ac:dyDescent="0.25">
      <c r="A57" s="435" t="s">
        <v>124</v>
      </c>
      <c r="B57" s="245" t="s">
        <v>125</v>
      </c>
      <c r="C57" s="242"/>
      <c r="D57" s="246"/>
      <c r="E57" s="273" t="s">
        <v>65</v>
      </c>
      <c r="F57" s="302"/>
      <c r="G57" s="267">
        <v>300000</v>
      </c>
      <c r="H57" s="250">
        <f>F57*G57</f>
        <v>0</v>
      </c>
      <c r="I57" s="217"/>
    </row>
    <row r="58" spans="1:9" ht="15.9" customHeight="1" x14ac:dyDescent="0.25">
      <c r="A58" s="439"/>
      <c r="B58" s="251" t="s">
        <v>154</v>
      </c>
      <c r="C58" s="252"/>
      <c r="D58" s="253"/>
      <c r="E58" s="274" t="s">
        <v>127</v>
      </c>
      <c r="F58" s="221">
        <v>8</v>
      </c>
      <c r="G58" s="222">
        <v>350000</v>
      </c>
      <c r="H58" s="223">
        <f t="shared" ref="H58:H64" si="3">F58*G58</f>
        <v>2800000</v>
      </c>
      <c r="I58" s="224"/>
    </row>
    <row r="59" spans="1:9" ht="15.9" customHeight="1" x14ac:dyDescent="0.25">
      <c r="A59" s="439"/>
      <c r="B59" s="255" t="s">
        <v>155</v>
      </c>
      <c r="C59" s="256"/>
      <c r="D59" s="257"/>
      <c r="E59" s="275" t="s">
        <v>127</v>
      </c>
      <c r="F59" s="204">
        <v>0</v>
      </c>
      <c r="G59" s="205">
        <v>300000</v>
      </c>
      <c r="H59" s="157">
        <f t="shared" si="3"/>
        <v>0</v>
      </c>
      <c r="I59" s="202"/>
    </row>
    <row r="60" spans="1:9" ht="15.9" customHeight="1" x14ac:dyDescent="0.25">
      <c r="A60" s="439"/>
      <c r="B60" s="255" t="s">
        <v>156</v>
      </c>
      <c r="C60" s="256"/>
      <c r="D60" s="257"/>
      <c r="E60" s="275" t="s">
        <v>127</v>
      </c>
      <c r="F60" s="204">
        <v>8</v>
      </c>
      <c r="G60" s="205">
        <v>300000</v>
      </c>
      <c r="H60" s="157">
        <f t="shared" si="3"/>
        <v>2400000</v>
      </c>
      <c r="I60" s="202"/>
    </row>
    <row r="61" spans="1:9" ht="15.9" customHeight="1" x14ac:dyDescent="0.25">
      <c r="A61" s="439"/>
      <c r="B61" s="255" t="s">
        <v>157</v>
      </c>
      <c r="C61" s="256"/>
      <c r="D61" s="257"/>
      <c r="E61" s="275" t="s">
        <v>127</v>
      </c>
      <c r="F61" s="204">
        <v>16</v>
      </c>
      <c r="G61" s="205">
        <v>300000</v>
      </c>
      <c r="H61" s="157">
        <f t="shared" si="3"/>
        <v>4800000</v>
      </c>
      <c r="I61" s="202"/>
    </row>
    <row r="62" spans="1:9" ht="15.9" customHeight="1" x14ac:dyDescent="0.25">
      <c r="A62" s="439"/>
      <c r="B62" s="255" t="s">
        <v>158</v>
      </c>
      <c r="C62" s="256"/>
      <c r="D62" s="257"/>
      <c r="E62" s="275" t="s">
        <v>127</v>
      </c>
      <c r="F62" s="204">
        <v>10</v>
      </c>
      <c r="G62" s="205">
        <v>300000</v>
      </c>
      <c r="H62" s="157">
        <f t="shared" si="3"/>
        <v>3000000</v>
      </c>
      <c r="I62" s="202"/>
    </row>
    <row r="63" spans="1:9" ht="15.9" customHeight="1" x14ac:dyDescent="0.25">
      <c r="A63" s="439"/>
      <c r="B63" s="255" t="s">
        <v>159</v>
      </c>
      <c r="C63" s="256"/>
      <c r="D63" s="257"/>
      <c r="E63" s="275" t="s">
        <v>127</v>
      </c>
      <c r="F63" s="204">
        <v>12</v>
      </c>
      <c r="G63" s="205">
        <v>300000</v>
      </c>
      <c r="H63" s="157">
        <f t="shared" si="3"/>
        <v>3600000</v>
      </c>
      <c r="I63" s="202"/>
    </row>
    <row r="64" spans="1:9" ht="15.9" customHeight="1" x14ac:dyDescent="0.25">
      <c r="A64" s="439"/>
      <c r="B64" s="259" t="s">
        <v>160</v>
      </c>
      <c r="C64" s="260"/>
      <c r="D64" s="261"/>
      <c r="E64" s="276" t="s">
        <v>127</v>
      </c>
      <c r="F64" s="208">
        <v>0</v>
      </c>
      <c r="G64" s="209">
        <v>300000</v>
      </c>
      <c r="H64" s="239">
        <f t="shared" si="3"/>
        <v>0</v>
      </c>
      <c r="I64" s="210"/>
    </row>
    <row r="65" spans="1:9" ht="15.9" customHeight="1" x14ac:dyDescent="0.25">
      <c r="A65" s="240"/>
      <c r="B65" s="263" t="s">
        <v>133</v>
      </c>
      <c r="C65" s="242"/>
      <c r="D65" s="217"/>
      <c r="E65" s="217"/>
      <c r="F65" s="215"/>
      <c r="G65" s="215"/>
      <c r="H65" s="215">
        <f>SUM(H57:H64)</f>
        <v>16600000</v>
      </c>
      <c r="I65" s="213"/>
    </row>
    <row r="66" spans="1:9" ht="15.9" customHeight="1" x14ac:dyDescent="0.25">
      <c r="A66" s="264"/>
      <c r="B66" s="263" t="s">
        <v>161</v>
      </c>
      <c r="C66" s="242"/>
      <c r="D66" s="217"/>
      <c r="E66" s="217"/>
      <c r="F66" s="216"/>
      <c r="G66" s="216"/>
      <c r="H66" s="244">
        <f>'단위공사별(집계)'!I7+'단위공사별(집계)'!L7</f>
        <v>856547.99999999988</v>
      </c>
      <c r="I66" s="217"/>
    </row>
    <row r="67" spans="1:9" ht="15.9" customHeight="1" x14ac:dyDescent="0.25">
      <c r="A67" s="264"/>
      <c r="B67" s="263" t="s">
        <v>76</v>
      </c>
      <c r="C67" s="242"/>
      <c r="D67" s="217"/>
      <c r="E67" s="217"/>
      <c r="F67" s="216"/>
      <c r="G67" s="266"/>
      <c r="H67" s="267">
        <f>(H65+H56)*0.05</f>
        <v>3561500</v>
      </c>
      <c r="I67" s="242"/>
    </row>
    <row r="68" spans="1:9" ht="15.9" customHeight="1" x14ac:dyDescent="0.25">
      <c r="A68" s="264"/>
      <c r="B68" s="263" t="s">
        <v>136</v>
      </c>
      <c r="C68" s="242"/>
      <c r="D68" s="217"/>
      <c r="E68" s="217"/>
      <c r="F68" s="216"/>
      <c r="G68" s="266"/>
      <c r="H68" s="267">
        <f>(H65+H56)*0.1-266000-548</f>
        <v>6856452</v>
      </c>
      <c r="I68" s="242"/>
    </row>
    <row r="69" spans="1:9" ht="15.9" customHeight="1" x14ac:dyDescent="0.25">
      <c r="A69" s="264"/>
      <c r="B69" s="263" t="s">
        <v>137</v>
      </c>
      <c r="C69" s="242"/>
      <c r="D69" s="217"/>
      <c r="E69" s="217"/>
      <c r="F69" s="216"/>
      <c r="G69" s="216"/>
      <c r="H69" s="215">
        <f>H56+H65+H66+H67+H68</f>
        <v>82504500</v>
      </c>
      <c r="I69" s="217"/>
    </row>
    <row r="70" spans="1:9" x14ac:dyDescent="0.25">
      <c r="A70" s="13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갑지</vt:lpstr>
      <vt:lpstr>원가항목별(집계)</vt:lpstr>
      <vt:lpstr>단위공사별(집계)</vt:lpstr>
      <vt:lpstr>전기</vt:lpstr>
      <vt:lpstr>단위장비1</vt:lpstr>
      <vt:lpstr>갑지!Print_Area</vt:lpstr>
      <vt:lpstr>'단위공사별(집계)'!Print_Area</vt:lpstr>
      <vt:lpstr>'원가항목별(집계)'!Print_Area</vt:lpstr>
      <vt:lpstr>전기!Print_Area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이주헌</cp:lastModifiedBy>
  <cp:lastPrinted>2022-04-03T23:59:38Z</cp:lastPrinted>
  <dcterms:created xsi:type="dcterms:W3CDTF">2018-11-23T06:18:36Z</dcterms:created>
  <dcterms:modified xsi:type="dcterms:W3CDTF">2022-04-15T00:26:24Z</dcterms:modified>
</cp:coreProperties>
</file>