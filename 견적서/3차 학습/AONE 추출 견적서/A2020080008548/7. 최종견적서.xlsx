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3715" windowHeight="11430"/>
  </bookViews>
  <sheets>
    <sheet name="갑지" sheetId="1" r:id="rId1"/>
    <sheet name="원가항목별(집계)" sheetId="2" r:id="rId2"/>
    <sheet name="단위공사별(집계)" sheetId="3" r:id="rId3"/>
    <sheet name="전기" sheetId="4" r:id="rId4"/>
    <sheet name="#10" sheetId="5" r:id="rId5"/>
    <sheet name="#20" sheetId="6" r:id="rId6"/>
    <sheet name="#30" sheetId="7" r:id="rId7"/>
    <sheet name="#40" sheetId="8" r:id="rId8"/>
    <sheet name="#50" sheetId="9" r:id="rId9"/>
    <sheet name="#60" sheetId="10" r:id="rId10"/>
    <sheet name="#70" sheetId="11" r:id="rId11"/>
    <sheet name="#80" sheetId="12" r:id="rId12"/>
    <sheet name="#90" sheetId="13" r:id="rId13"/>
    <sheet name="#100" sheetId="14" r:id="rId14"/>
    <sheet name="첨부(견적조건차이내역)" sheetId="15" r:id="rId15"/>
  </sheets>
  <externalReferences>
    <externalReference r:id="rId16"/>
  </externalReferences>
  <definedNames>
    <definedName name="_xlnm._FilterDatabase" localSheetId="4" hidden="1">'#10'!$A$2:$I$77</definedName>
    <definedName name="_xlnm._FilterDatabase" localSheetId="5" hidden="1">'#20'!$A$2:$I$69</definedName>
    <definedName name="_xlnm._FilterDatabase" localSheetId="6" hidden="1">'#30'!$J$2:$J$69</definedName>
    <definedName name="_xlnm._FilterDatabase" localSheetId="7" hidden="1">'#40'!$J$2:$J$72</definedName>
    <definedName name="_xlnm._FilterDatabase" localSheetId="8" hidden="1">'#50'!$J$2:$J$70</definedName>
    <definedName name="_xlnm._FilterDatabase" localSheetId="9" hidden="1">'#60'!$J$2:$J$69</definedName>
    <definedName name="_xlnm._FilterDatabase" localSheetId="10" hidden="1">'#70'!$J$2:$J$81</definedName>
    <definedName name="_xlnm._FilterDatabase" localSheetId="11" hidden="1">'#80'!$J$2:$J$69</definedName>
    <definedName name="_xlnm._FilterDatabase" localSheetId="3" hidden="1">전기!$A$2:$I$61</definedName>
    <definedName name="_xlnm.Print_Area" localSheetId="0">갑지!$B:$I</definedName>
    <definedName name="_xlnm.Print_Area" localSheetId="2">'단위공사별(집계)'!$A$1:$O$20</definedName>
    <definedName name="_xlnm.Print_Area" localSheetId="1">'원가항목별(집계)'!$A$1:$J$44</definedName>
    <definedName name="_xlnm.Print_Area" localSheetId="3">전기!$A:$I</definedName>
    <definedName name="_xlnm.Print_Area" localSheetId="14">'첨부(견적조건차이내역)'!$A$1:$D$36</definedName>
    <definedName name="_xlnm.Print_Titles" localSheetId="3">전기!$1:$2</definedName>
  </definedNames>
  <calcPr calcId="145621"/>
</workbook>
</file>

<file path=xl/calcChain.xml><?xml version="1.0" encoding="utf-8"?>
<calcChain xmlns="http://schemas.openxmlformats.org/spreadsheetml/2006/main">
  <c r="H57" i="11" l="1"/>
  <c r="H24" i="11"/>
  <c r="H23" i="11"/>
  <c r="H22" i="11"/>
  <c r="H21" i="11"/>
  <c r="H20" i="11"/>
  <c r="H50" i="11"/>
  <c r="H49" i="11"/>
  <c r="H48" i="11"/>
  <c r="H47" i="11"/>
  <c r="H46" i="11"/>
  <c r="H45" i="11"/>
  <c r="H53" i="11"/>
  <c r="H52" i="11"/>
  <c r="H51" i="11"/>
  <c r="H67" i="10" l="1"/>
  <c r="H68" i="10" l="1"/>
  <c r="H4" i="7" l="1"/>
  <c r="H5" i="7"/>
  <c r="H6" i="7"/>
  <c r="H7" i="7"/>
  <c r="H8" i="7"/>
  <c r="H9" i="7"/>
  <c r="H3" i="7"/>
  <c r="H4" i="8"/>
  <c r="H5" i="8"/>
  <c r="H6" i="8"/>
  <c r="H7" i="8"/>
  <c r="H8" i="8"/>
  <c r="H9" i="8"/>
  <c r="H10" i="8"/>
  <c r="H3" i="8"/>
  <c r="H31" i="9" l="1"/>
  <c r="H3" i="9"/>
  <c r="H34" i="8" l="1"/>
  <c r="H43" i="5"/>
  <c r="H44" i="5"/>
  <c r="H45" i="5"/>
  <c r="H49" i="5"/>
  <c r="H50" i="5"/>
  <c r="H51" i="5"/>
  <c r="H52" i="5"/>
  <c r="H53" i="5"/>
  <c r="H47" i="5"/>
  <c r="H23" i="5" l="1"/>
  <c r="H22" i="5"/>
  <c r="H21" i="5"/>
  <c r="H20" i="5"/>
  <c r="H19" i="5"/>
  <c r="H18" i="5"/>
  <c r="H17" i="5"/>
  <c r="H54" i="5" l="1"/>
  <c r="H37" i="8" l="1"/>
  <c r="H40" i="8"/>
  <c r="H41" i="8"/>
  <c r="H42" i="8"/>
  <c r="H43" i="8"/>
  <c r="H44" i="8"/>
  <c r="H45" i="8"/>
  <c r="H25" i="4" l="1"/>
  <c r="H18" i="4" l="1"/>
  <c r="H19" i="4"/>
  <c r="H20" i="4"/>
  <c r="H21" i="4"/>
  <c r="H22" i="4"/>
  <c r="H23" i="4"/>
  <c r="H24" i="4"/>
  <c r="H26" i="4"/>
  <c r="H27" i="4"/>
  <c r="H17" i="4"/>
  <c r="H4" i="5" l="1"/>
  <c r="H3" i="5"/>
  <c r="H48" i="5"/>
  <c r="H46" i="5"/>
  <c r="H46" i="13" l="1"/>
  <c r="H3" i="13"/>
  <c r="H46" i="12"/>
  <c r="H3" i="12"/>
  <c r="H58" i="11"/>
  <c r="H3" i="11"/>
  <c r="H46" i="10"/>
  <c r="H4" i="10"/>
  <c r="H3" i="10"/>
  <c r="H47" i="9"/>
  <c r="H49" i="8"/>
  <c r="H46" i="7"/>
  <c r="H46" i="6"/>
  <c r="H3" i="6"/>
  <c r="H64" i="14" l="1"/>
  <c r="H63" i="14"/>
  <c r="H16" i="3" s="1"/>
  <c r="H62" i="14"/>
  <c r="H61" i="14"/>
  <c r="G16" i="3" s="1"/>
  <c r="H60" i="14"/>
  <c r="H59" i="14"/>
  <c r="H58" i="14"/>
  <c r="H57" i="14"/>
  <c r="H54" i="14"/>
  <c r="H53" i="14"/>
  <c r="H52" i="14"/>
  <c r="H51" i="14"/>
  <c r="H50" i="14"/>
  <c r="H49" i="14"/>
  <c r="H48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29" i="14"/>
  <c r="H28" i="14"/>
  <c r="H27" i="14"/>
  <c r="H26" i="14"/>
  <c r="H25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64" i="13"/>
  <c r="H63" i="13"/>
  <c r="H15" i="3" s="1"/>
  <c r="H62" i="13"/>
  <c r="H61" i="13"/>
  <c r="H60" i="13"/>
  <c r="H59" i="13"/>
  <c r="H58" i="13"/>
  <c r="H57" i="13"/>
  <c r="E15" i="3" s="1"/>
  <c r="H54" i="13"/>
  <c r="H53" i="13"/>
  <c r="H52" i="13"/>
  <c r="H51" i="13"/>
  <c r="H50" i="13"/>
  <c r="H49" i="13"/>
  <c r="H48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29" i="13"/>
  <c r="H28" i="13"/>
  <c r="H27" i="13"/>
  <c r="H26" i="13"/>
  <c r="H25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64" i="12"/>
  <c r="H63" i="12"/>
  <c r="H14" i="3" s="1"/>
  <c r="H62" i="12"/>
  <c r="H61" i="12"/>
  <c r="H60" i="12"/>
  <c r="H59" i="12"/>
  <c r="H58" i="12"/>
  <c r="H57" i="12"/>
  <c r="E14" i="3" s="1"/>
  <c r="H54" i="12"/>
  <c r="H53" i="12"/>
  <c r="H52" i="12"/>
  <c r="H51" i="12"/>
  <c r="H50" i="12"/>
  <c r="H49" i="12"/>
  <c r="H48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29" i="12"/>
  <c r="H28" i="12"/>
  <c r="H27" i="12"/>
  <c r="H26" i="12"/>
  <c r="H25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76" i="11"/>
  <c r="H75" i="11"/>
  <c r="H13" i="3" s="1"/>
  <c r="H74" i="11"/>
  <c r="H73" i="11"/>
  <c r="H72" i="11"/>
  <c r="H71" i="11"/>
  <c r="H70" i="11"/>
  <c r="H69" i="11"/>
  <c r="H66" i="11"/>
  <c r="H65" i="11"/>
  <c r="H64" i="11"/>
  <c r="H63" i="11"/>
  <c r="H62" i="11"/>
  <c r="H61" i="11"/>
  <c r="H60" i="11"/>
  <c r="H56" i="11"/>
  <c r="H55" i="11"/>
  <c r="H54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1" i="11"/>
  <c r="H30" i="11"/>
  <c r="H29" i="11"/>
  <c r="H28" i="11"/>
  <c r="H27" i="11"/>
  <c r="H25" i="11"/>
  <c r="H19" i="11"/>
  <c r="H18" i="11"/>
  <c r="H17" i="11"/>
  <c r="H16" i="11"/>
  <c r="H15" i="11"/>
  <c r="H14" i="11"/>
  <c r="H13" i="11"/>
  <c r="H12" i="11"/>
  <c r="H11" i="11"/>
  <c r="H10" i="11"/>
  <c r="H8" i="11"/>
  <c r="H7" i="11"/>
  <c r="H6" i="11"/>
  <c r="H5" i="11"/>
  <c r="H4" i="11"/>
  <c r="H64" i="10"/>
  <c r="H63" i="10"/>
  <c r="H12" i="3" s="1"/>
  <c r="H62" i="10"/>
  <c r="H61" i="10"/>
  <c r="H60" i="10"/>
  <c r="H59" i="10"/>
  <c r="H58" i="10"/>
  <c r="H57" i="10"/>
  <c r="H54" i="10"/>
  <c r="H53" i="10"/>
  <c r="H52" i="10"/>
  <c r="H51" i="10"/>
  <c r="H50" i="10"/>
  <c r="H49" i="10"/>
  <c r="H48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29" i="10"/>
  <c r="H28" i="10"/>
  <c r="H27" i="10"/>
  <c r="H26" i="10"/>
  <c r="H25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65" i="9"/>
  <c r="H64" i="9"/>
  <c r="H11" i="3" s="1"/>
  <c r="H63" i="9"/>
  <c r="H62" i="9"/>
  <c r="H61" i="9"/>
  <c r="H60" i="9"/>
  <c r="H59" i="9"/>
  <c r="H58" i="9"/>
  <c r="H55" i="9"/>
  <c r="H54" i="9"/>
  <c r="H53" i="9"/>
  <c r="H52" i="9"/>
  <c r="H51" i="9"/>
  <c r="H50" i="9"/>
  <c r="H49" i="9"/>
  <c r="H48" i="9"/>
  <c r="H29" i="9"/>
  <c r="H28" i="9"/>
  <c r="H27" i="9"/>
  <c r="H26" i="9"/>
  <c r="H25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67" i="8"/>
  <c r="H66" i="8"/>
  <c r="H10" i="3" s="1"/>
  <c r="H65" i="8"/>
  <c r="H64" i="8"/>
  <c r="H63" i="8"/>
  <c r="H62" i="8"/>
  <c r="H61" i="8"/>
  <c r="H60" i="8"/>
  <c r="E10" i="3" s="1"/>
  <c r="H57" i="8"/>
  <c r="H56" i="8"/>
  <c r="H55" i="8"/>
  <c r="H54" i="8"/>
  <c r="H53" i="8"/>
  <c r="H52" i="8"/>
  <c r="H51" i="8"/>
  <c r="H48" i="8"/>
  <c r="H47" i="8"/>
  <c r="H46" i="8"/>
  <c r="H39" i="8"/>
  <c r="H38" i="8"/>
  <c r="H36" i="8"/>
  <c r="H35" i="8"/>
  <c r="H33" i="8"/>
  <c r="H32" i="8"/>
  <c r="H30" i="8"/>
  <c r="H29" i="8"/>
  <c r="H28" i="8"/>
  <c r="H27" i="8"/>
  <c r="H26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64" i="7"/>
  <c r="H63" i="7"/>
  <c r="H9" i="3" s="1"/>
  <c r="H62" i="7"/>
  <c r="G9" i="3" s="1"/>
  <c r="H61" i="7"/>
  <c r="H60" i="7"/>
  <c r="H59" i="7"/>
  <c r="H58" i="7"/>
  <c r="H57" i="7"/>
  <c r="E9" i="3" s="1"/>
  <c r="H54" i="7"/>
  <c r="H53" i="7"/>
  <c r="H52" i="7"/>
  <c r="H51" i="7"/>
  <c r="H50" i="7"/>
  <c r="H49" i="7"/>
  <c r="H48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29" i="7"/>
  <c r="H28" i="7"/>
  <c r="H27" i="7"/>
  <c r="H26" i="7"/>
  <c r="H25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64" i="6"/>
  <c r="H63" i="6"/>
  <c r="H8" i="3" s="1"/>
  <c r="H62" i="6"/>
  <c r="H61" i="6"/>
  <c r="H60" i="6"/>
  <c r="H59" i="6"/>
  <c r="H58" i="6"/>
  <c r="H57" i="6"/>
  <c r="H54" i="6"/>
  <c r="H53" i="6"/>
  <c r="H52" i="6"/>
  <c r="H51" i="6"/>
  <c r="H50" i="6"/>
  <c r="H49" i="6"/>
  <c r="H48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29" i="6"/>
  <c r="H28" i="6"/>
  <c r="H27" i="6"/>
  <c r="H26" i="6"/>
  <c r="H25" i="6"/>
  <c r="H30" i="6" s="1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72" i="5"/>
  <c r="H71" i="5"/>
  <c r="H7" i="3" s="1"/>
  <c r="H70" i="5"/>
  <c r="H69" i="5"/>
  <c r="H68" i="5"/>
  <c r="H67" i="5"/>
  <c r="H66" i="5"/>
  <c r="H65" i="5"/>
  <c r="E7" i="3" s="1"/>
  <c r="H62" i="5"/>
  <c r="H61" i="5"/>
  <c r="H60" i="5"/>
  <c r="H59" i="5"/>
  <c r="H58" i="5"/>
  <c r="H57" i="5"/>
  <c r="H56" i="5"/>
  <c r="H42" i="5"/>
  <c r="H41" i="5"/>
  <c r="H40" i="5"/>
  <c r="H39" i="5"/>
  <c r="H38" i="5"/>
  <c r="H36" i="5"/>
  <c r="H35" i="5"/>
  <c r="H34" i="5"/>
  <c r="H33" i="5"/>
  <c r="H32" i="5"/>
  <c r="H30" i="5"/>
  <c r="H29" i="5"/>
  <c r="H28" i="5"/>
  <c r="H27" i="5"/>
  <c r="H26" i="5"/>
  <c r="H25" i="5"/>
  <c r="H24" i="5"/>
  <c r="H16" i="5"/>
  <c r="H15" i="5"/>
  <c r="H14" i="5"/>
  <c r="H13" i="5"/>
  <c r="H12" i="5"/>
  <c r="H11" i="5"/>
  <c r="H10" i="5"/>
  <c r="H9" i="5"/>
  <c r="H8" i="5"/>
  <c r="H7" i="5"/>
  <c r="H6" i="5"/>
  <c r="H5" i="5"/>
  <c r="H56" i="4"/>
  <c r="I31" i="2" s="1"/>
  <c r="H55" i="4"/>
  <c r="I30" i="2" s="1"/>
  <c r="H54" i="4"/>
  <c r="I29" i="2" s="1"/>
  <c r="H53" i="4"/>
  <c r="I28" i="2" s="1"/>
  <c r="H52" i="4"/>
  <c r="I27" i="2" s="1"/>
  <c r="H51" i="4"/>
  <c r="I26" i="2" s="1"/>
  <c r="H50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15" i="4"/>
  <c r="H14" i="4"/>
  <c r="H13" i="4"/>
  <c r="H12" i="4"/>
  <c r="H11" i="4"/>
  <c r="H10" i="4"/>
  <c r="H8" i="4"/>
  <c r="H7" i="4"/>
  <c r="H6" i="4"/>
  <c r="H5" i="4"/>
  <c r="H4" i="4"/>
  <c r="H3" i="4"/>
  <c r="B16" i="3"/>
  <c r="A16" i="3" s="1"/>
  <c r="B15" i="3"/>
  <c r="B14" i="3"/>
  <c r="B13" i="3"/>
  <c r="B12" i="3"/>
  <c r="E11" i="3"/>
  <c r="B11" i="3"/>
  <c r="B10" i="3"/>
  <c r="B9" i="3"/>
  <c r="E8" i="3"/>
  <c r="B8" i="3"/>
  <c r="B7" i="3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G7" i="2"/>
  <c r="H24" i="6" l="1"/>
  <c r="H31" i="5"/>
  <c r="I16" i="3"/>
  <c r="H30" i="7"/>
  <c r="F16" i="3"/>
  <c r="H9" i="4"/>
  <c r="G15" i="3"/>
  <c r="H31" i="8"/>
  <c r="G10" i="3"/>
  <c r="H30" i="12"/>
  <c r="H56" i="9"/>
  <c r="F15" i="3"/>
  <c r="G11" i="3"/>
  <c r="F8" i="3"/>
  <c r="G13" i="3"/>
  <c r="H65" i="14"/>
  <c r="E16" i="3"/>
  <c r="F13" i="3"/>
  <c r="F10" i="3"/>
  <c r="G8" i="3"/>
  <c r="G7" i="3"/>
  <c r="H65" i="10"/>
  <c r="I12" i="2"/>
  <c r="E12" i="3"/>
  <c r="I18" i="2"/>
  <c r="H50" i="8"/>
  <c r="H24" i="9"/>
  <c r="H57" i="9" s="1"/>
  <c r="H24" i="10"/>
  <c r="H55" i="12"/>
  <c r="H47" i="14"/>
  <c r="H55" i="14"/>
  <c r="H47" i="10"/>
  <c r="G14" i="3"/>
  <c r="H30" i="13"/>
  <c r="I16" i="2"/>
  <c r="H16" i="4"/>
  <c r="I24" i="2" s="1"/>
  <c r="H58" i="8"/>
  <c r="F11" i="3"/>
  <c r="F12" i="3"/>
  <c r="H24" i="12"/>
  <c r="H73" i="5"/>
  <c r="H30" i="9"/>
  <c r="H59" i="11"/>
  <c r="H67" i="11"/>
  <c r="H63" i="5"/>
  <c r="H65" i="6"/>
  <c r="H24" i="7"/>
  <c r="H55" i="10"/>
  <c r="H47" i="12"/>
  <c r="H65" i="7"/>
  <c r="H25" i="8"/>
  <c r="F14" i="3"/>
  <c r="H24" i="13"/>
  <c r="H24" i="14"/>
  <c r="I14" i="2"/>
  <c r="G12" i="3"/>
  <c r="H32" i="11"/>
  <c r="I25" i="2"/>
  <c r="I32" i="2" s="1"/>
  <c r="H57" i="4"/>
  <c r="H56" i="14"/>
  <c r="D16" i="3" s="1"/>
  <c r="H68" i="8"/>
  <c r="H66" i="9"/>
  <c r="H65" i="13"/>
  <c r="H17" i="3"/>
  <c r="H37" i="5"/>
  <c r="I15" i="2"/>
  <c r="F7" i="3"/>
  <c r="I19" i="2"/>
  <c r="H47" i="6"/>
  <c r="H55" i="6"/>
  <c r="H47" i="7"/>
  <c r="H55" i="7"/>
  <c r="F9" i="3"/>
  <c r="I13" i="2"/>
  <c r="I17" i="2"/>
  <c r="H47" i="13"/>
  <c r="H55" i="13"/>
  <c r="A7" i="3"/>
  <c r="A8" i="3" s="1"/>
  <c r="A9" i="3" s="1"/>
  <c r="A10" i="3" s="1"/>
  <c r="A11" i="3" s="1"/>
  <c r="A12" i="3" s="1"/>
  <c r="A13" i="3" s="1"/>
  <c r="A14" i="3" s="1"/>
  <c r="A15" i="3" s="1"/>
  <c r="H48" i="4"/>
  <c r="H49" i="4" s="1"/>
  <c r="H55" i="5"/>
  <c r="H30" i="10"/>
  <c r="H26" i="11"/>
  <c r="H77" i="11"/>
  <c r="E13" i="3"/>
  <c r="H65" i="12"/>
  <c r="H30" i="14"/>
  <c r="K16" i="3"/>
  <c r="L16" i="3"/>
  <c r="D11" i="3" l="1"/>
  <c r="H68" i="9"/>
  <c r="H69" i="9"/>
  <c r="H59" i="4"/>
  <c r="H60" i="4"/>
  <c r="E17" i="3"/>
  <c r="H66" i="14"/>
  <c r="H59" i="8"/>
  <c r="D10" i="3" s="1"/>
  <c r="H68" i="14"/>
  <c r="H67" i="14"/>
  <c r="M16" i="3" s="1"/>
  <c r="H56" i="13"/>
  <c r="D15" i="3" s="1"/>
  <c r="H68" i="11"/>
  <c r="D13" i="3" s="1"/>
  <c r="H56" i="10"/>
  <c r="D12" i="3" s="1"/>
  <c r="G17" i="3"/>
  <c r="H56" i="12"/>
  <c r="D14" i="3" s="1"/>
  <c r="I8" i="2"/>
  <c r="I9" i="2"/>
  <c r="I20" i="2"/>
  <c r="I36" i="2" s="1"/>
  <c r="H56" i="6"/>
  <c r="H68" i="6" s="1"/>
  <c r="I7" i="2"/>
  <c r="H64" i="5"/>
  <c r="H75" i="5" s="1"/>
  <c r="I10" i="2"/>
  <c r="J48" i="2" s="1"/>
  <c r="I48" i="2" s="1"/>
  <c r="I23" i="2"/>
  <c r="H56" i="7"/>
  <c r="H67" i="7" s="1"/>
  <c r="H80" i="11" l="1"/>
  <c r="H79" i="11"/>
  <c r="H71" i="8"/>
  <c r="H70" i="8"/>
  <c r="H68" i="7"/>
  <c r="H67" i="6"/>
  <c r="H76" i="5"/>
  <c r="H68" i="13"/>
  <c r="H67" i="13"/>
  <c r="H68" i="12"/>
  <c r="H67" i="12"/>
  <c r="M14" i="3" s="1"/>
  <c r="P14" i="3" s="1"/>
  <c r="M11" i="3"/>
  <c r="P11" i="3" s="1"/>
  <c r="H61" i="4"/>
  <c r="D9" i="3"/>
  <c r="D7" i="3"/>
  <c r="J39" i="2"/>
  <c r="I11" i="2"/>
  <c r="I35" i="2" s="1"/>
  <c r="I37" i="2" s="1"/>
  <c r="J47" i="2"/>
  <c r="I47" i="2" s="1"/>
  <c r="I39" i="2" s="1"/>
  <c r="D8" i="3"/>
  <c r="I33" i="2"/>
  <c r="I34" i="2" s="1"/>
  <c r="M13" i="3" l="1"/>
  <c r="P13" i="3" s="1"/>
  <c r="M12" i="3"/>
  <c r="P12" i="3" s="1"/>
  <c r="M10" i="3"/>
  <c r="P10" i="3" s="1"/>
  <c r="M15" i="3"/>
  <c r="C33" i="1"/>
  <c r="I41" i="2"/>
  <c r="M8" i="3"/>
  <c r="P8" i="3" s="1"/>
  <c r="D17" i="3"/>
  <c r="I40" i="2"/>
  <c r="M9" i="3"/>
  <c r="P9" i="3" s="1"/>
  <c r="I21" i="2"/>
  <c r="I22" i="2" s="1"/>
  <c r="I42" i="2" s="1"/>
  <c r="M7" i="3"/>
  <c r="P7" i="3" l="1"/>
  <c r="F17" i="3"/>
  <c r="J16" i="3"/>
  <c r="N16" i="3" s="1"/>
  <c r="G26" i="1" s="1"/>
  <c r="P15" i="3"/>
  <c r="M17" i="3"/>
  <c r="P16" i="3"/>
  <c r="P17" i="3" l="1"/>
  <c r="K8" i="3" s="1"/>
  <c r="H26" i="1"/>
  <c r="C26" i="1"/>
  <c r="E26" i="1"/>
  <c r="K15" i="3"/>
  <c r="I15" i="3"/>
  <c r="J15" i="3" s="1"/>
  <c r="I14" i="3"/>
  <c r="J14" i="3" s="1"/>
  <c r="K14" i="3"/>
  <c r="L15" i="3"/>
  <c r="L14" i="3"/>
  <c r="K13" i="3" l="1"/>
  <c r="L13" i="3"/>
  <c r="I13" i="3"/>
  <c r="J13" i="3" s="1"/>
  <c r="I12" i="3"/>
  <c r="J12" i="3" s="1"/>
  <c r="K12" i="3"/>
  <c r="L12" i="3"/>
  <c r="K11" i="3"/>
  <c r="I11" i="3"/>
  <c r="L11" i="3"/>
  <c r="I10" i="3"/>
  <c r="J10" i="3" s="1"/>
  <c r="L10" i="3"/>
  <c r="L9" i="3"/>
  <c r="K10" i="3"/>
  <c r="I9" i="3"/>
  <c r="J9" i="3" s="1"/>
  <c r="K9" i="3"/>
  <c r="L8" i="3"/>
  <c r="I8" i="3"/>
  <c r="J8" i="3" s="1"/>
  <c r="L7" i="3"/>
  <c r="K7" i="3"/>
  <c r="I7" i="3"/>
  <c r="J7" i="3" s="1"/>
  <c r="H66" i="13"/>
  <c r="H69" i="13" s="1"/>
  <c r="H69" i="14"/>
  <c r="H66" i="12"/>
  <c r="H69" i="12" s="1"/>
  <c r="N14" i="3"/>
  <c r="N15" i="3"/>
  <c r="H78" i="11" l="1"/>
  <c r="H81" i="11" s="1"/>
  <c r="N13" i="3"/>
  <c r="C23" i="1" s="1"/>
  <c r="H66" i="10"/>
  <c r="H69" i="10" s="1"/>
  <c r="N12" i="3"/>
  <c r="C22" i="1" s="1"/>
  <c r="H67" i="9"/>
  <c r="H70" i="9" s="1"/>
  <c r="J11" i="3"/>
  <c r="N11" i="3" s="1"/>
  <c r="N9" i="3"/>
  <c r="N10" i="3"/>
  <c r="C20" i="1" s="1"/>
  <c r="H69" i="8"/>
  <c r="H72" i="8" s="1"/>
  <c r="H66" i="7"/>
  <c r="H69" i="7" s="1"/>
  <c r="K17" i="3"/>
  <c r="N8" i="3"/>
  <c r="L17" i="3"/>
  <c r="H66" i="6"/>
  <c r="H69" i="6" s="1"/>
  <c r="N7" i="3"/>
  <c r="I17" i="3"/>
  <c r="J17" i="3" s="1"/>
  <c r="H74" i="5"/>
  <c r="H77" i="5" s="1"/>
  <c r="E24" i="1"/>
  <c r="H24" i="1"/>
  <c r="G24" i="1"/>
  <c r="C24" i="1"/>
  <c r="H25" i="1"/>
  <c r="E25" i="1"/>
  <c r="C25" i="1"/>
  <c r="G25" i="1"/>
  <c r="E23" i="1" l="1"/>
  <c r="G23" i="1"/>
  <c r="H23" i="1"/>
  <c r="C17" i="1"/>
  <c r="F17" i="1"/>
  <c r="F27" i="1" s="1"/>
  <c r="G22" i="1"/>
  <c r="E22" i="1"/>
  <c r="H22" i="1"/>
  <c r="E18" i="1"/>
  <c r="C18" i="1"/>
  <c r="H20" i="1"/>
  <c r="G19" i="1"/>
  <c r="C19" i="1"/>
  <c r="H21" i="1"/>
  <c r="C21" i="1"/>
  <c r="E21" i="1"/>
  <c r="G21" i="1"/>
  <c r="E19" i="1"/>
  <c r="H19" i="1"/>
  <c r="G20" i="1"/>
  <c r="E20" i="1"/>
  <c r="H18" i="1"/>
  <c r="G18" i="1"/>
  <c r="G17" i="1"/>
  <c r="E17" i="1"/>
  <c r="H17" i="1"/>
  <c r="N17" i="3"/>
  <c r="H27" i="1" l="1"/>
  <c r="E27" i="1"/>
  <c r="G27" i="1"/>
  <c r="N20" i="3"/>
  <c r="E18" i="3"/>
  <c r="M18" i="3"/>
  <c r="D18" i="3"/>
  <c r="H18" i="3"/>
  <c r="J18" i="3"/>
  <c r="I18" i="3"/>
  <c r="L18" i="3"/>
  <c r="K18" i="3"/>
  <c r="N18" i="3"/>
  <c r="G18" i="3"/>
  <c r="F18" i="3"/>
</calcChain>
</file>

<file path=xl/sharedStrings.xml><?xml version="1.0" encoding="utf-8"?>
<sst xmlns="http://schemas.openxmlformats.org/spreadsheetml/2006/main" count="953" uniqueCount="385">
  <si>
    <t>(현대/기아차 설비협력업체 견적통일양식)</t>
    <phoneticPr fontId="2" type="noConversion"/>
  </si>
  <si>
    <t xml:space="preserve">見  積  書   </t>
    <phoneticPr fontId="2" type="noConversion"/>
  </si>
  <si>
    <t>현대 위아 貴下</t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</si>
  <si>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</si>
  <si>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</si>
  <si>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</si>
  <si>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입하</t>
    <phoneticPr fontId="2" type="noConversion"/>
  </si>
  <si>
    <t>최종검수</t>
    <phoneticPr fontId="2" type="noConversion"/>
  </si>
  <si>
    <t>견적유효기간</t>
    <phoneticPr fontId="2" type="noConversion"/>
  </si>
  <si>
    <t>인도장소</t>
    <phoneticPr fontId="2" type="noConversion"/>
  </si>
  <si>
    <t>지불조건</t>
    <phoneticPr fontId="2" type="noConversion"/>
  </si>
  <si>
    <t>연 락 처 :</t>
    <phoneticPr fontId="2" type="noConversion"/>
  </si>
  <si>
    <t>번호</t>
    <phoneticPr fontId="2" type="noConversion"/>
  </si>
  <si>
    <t>상세품목내역</t>
    <phoneticPr fontId="2" type="noConversion"/>
  </si>
  <si>
    <t>비  고</t>
    <phoneticPr fontId="2" type="noConversion"/>
  </si>
  <si>
    <t>수량</t>
    <phoneticPr fontId="2" type="noConversion"/>
  </si>
  <si>
    <t>단위</t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</si>
  <si>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</si>
  <si>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</si>
  <si>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</si>
  <si>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특기사항</t>
    <phoneticPr fontId="2" type="noConversion"/>
  </si>
  <si>
    <t>1. VAT 제외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</si>
  <si>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</si>
  <si>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2. 기본 유틸리티공사 제외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</si>
  <si>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</si>
  <si>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</si>
  <si>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</si>
  <si>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</si>
  <si>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</si>
  <si>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</si>
  <si>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순번</t>
    <phoneticPr fontId="2" type="noConversion"/>
  </si>
  <si>
    <t>원가구분</t>
    <phoneticPr fontId="2" type="noConversion"/>
  </si>
  <si>
    <t>단가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</si>
  <si>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</si>
  <si>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</si>
  <si>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
부문</t>
    <phoneticPr fontId="2" type="noConversion"/>
  </si>
  <si>
    <t>자재비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</si>
  <si>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</si>
  <si>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kg</t>
    <phoneticPr fontId="2" type="noConversion"/>
  </si>
  <si>
    <t>加工必要資材</t>
    <phoneticPr fontId="2" type="noConversion"/>
  </si>
  <si>
    <t>일반구매품</t>
    <phoneticPr fontId="2" type="noConversion"/>
  </si>
  <si>
    <t>식</t>
    <phoneticPr fontId="2" type="noConversion"/>
  </si>
  <si>
    <t>加工不要資材</t>
    <phoneticPr fontId="2" type="noConversion"/>
  </si>
  <si>
    <t>외주제작품</t>
    <phoneticPr fontId="2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</si>
  <si>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2" type="noConversion"/>
  </si>
  <si>
    <t>설치/해체 공사 자재</t>
    <phoneticPr fontId="2" type="noConversion"/>
  </si>
  <si>
    <t>시운전 자재 포함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</si>
  <si>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</si>
  <si>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노무비</t>
    <phoneticPr fontId="2" type="noConversion"/>
  </si>
  <si>
    <t>기존설비 철거</t>
    <phoneticPr fontId="2" type="noConversion"/>
  </si>
  <si>
    <t>M/D</t>
    <phoneticPr fontId="2" type="noConversion"/>
  </si>
  <si>
    <t>개조공사時</t>
    <phoneticPr fontId="2" type="noConversion"/>
  </si>
  <si>
    <t>설계</t>
    <phoneticPr fontId="2" type="noConversion"/>
  </si>
  <si>
    <t>제작(제관,가공)</t>
    <phoneticPr fontId="2" type="noConversion"/>
  </si>
  <si>
    <t>조립</t>
    <phoneticPr fontId="2" type="noConversion"/>
  </si>
  <si>
    <t>정도검사포함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</si>
  <si>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</si>
  <si>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</si>
  <si>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</si>
  <si>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도장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</si>
  <si>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</si>
  <si>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일반관리 및 이윤</t>
    <phoneticPr fontId="2" type="noConversion"/>
  </si>
  <si>
    <t>기계 소계</t>
    <phoneticPr fontId="2" type="noConversion"/>
  </si>
  <si>
    <t>전기
부문</t>
    <phoneticPr fontId="2" type="noConversion"/>
  </si>
  <si>
    <t>자재비</t>
    <phoneticPr fontId="2" type="noConversion"/>
  </si>
  <si>
    <t>기계/전기자재</t>
    <phoneticPr fontId="2" type="noConversion"/>
  </si>
  <si>
    <t>식</t>
    <phoneticPr fontId="2" type="noConversion"/>
  </si>
  <si>
    <t>설치/해체 공사 자재</t>
    <phoneticPr fontId="2" type="noConversion"/>
  </si>
  <si>
    <t>식</t>
    <phoneticPr fontId="2" type="noConversion"/>
  </si>
  <si>
    <t>노무비</t>
    <phoneticPr fontId="2" type="noConversion"/>
  </si>
  <si>
    <t>철거(개조시)</t>
    <phoneticPr fontId="2" type="noConversion"/>
  </si>
  <si>
    <t>M/D</t>
    <phoneticPr fontId="2" type="noConversion"/>
  </si>
  <si>
    <t>설계,프로그램</t>
    <phoneticPr fontId="2" type="noConversion"/>
  </si>
  <si>
    <t>제작</t>
    <phoneticPr fontId="2" type="noConversion"/>
  </si>
  <si>
    <t>조립</t>
    <phoneticPr fontId="2" type="noConversion"/>
  </si>
  <si>
    <t>M/D</t>
    <phoneticPr fontId="2" type="noConversion"/>
  </si>
  <si>
    <t>설치</t>
    <phoneticPr fontId="2" type="noConversion"/>
  </si>
  <si>
    <t>소계</t>
    <phoneticPr fontId="2" type="noConversion"/>
  </si>
  <si>
    <t>일반관리 및 이윤</t>
    <phoneticPr fontId="2" type="noConversion"/>
  </si>
  <si>
    <t>전기 소계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</si>
  <si>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</si>
  <si>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</si>
  <si>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</si>
  <si>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포장,운송 및 중장비 사용료</t>
    <phoneticPr fontId="2" type="noConversion"/>
  </si>
  <si>
    <t>표준안전관리비</t>
  </si>
  <si>
    <t>설치/철거/수리금액 기준</t>
    <phoneticPr fontId="2" type="noConversion"/>
  </si>
  <si>
    <t>일반관리비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</si>
  <si>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</si>
  <si>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</si>
  <si>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3~7항 합계</t>
    <phoneticPr fontId="2" type="noConversion"/>
  </si>
  <si>
    <r>
      <t>주</t>
    </r>
    <r>
      <rPr>
        <sz val="11"/>
        <rFont val="굴림"/>
        <family val="3"/>
        <charset val="129"/>
      </rPr>
      <t xml:space="preserve">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 ⓐ2.66%,ⓑ1.95%+기초액,ⓒ2.02%(50억 이상일경우)</t>
    </r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</si>
  <si>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</si>
  <si>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산업안전관리비
[일반건설공사(을)]</t>
    <phoneticPr fontId="2" type="noConversion"/>
  </si>
  <si>
    <t>기준</t>
    <phoneticPr fontId="2" type="noConversion"/>
  </si>
  <si>
    <t>안전관리비</t>
    <phoneticPr fontId="2" type="noConversion"/>
  </si>
  <si>
    <t>대상액</t>
    <phoneticPr fontId="2" type="noConversion"/>
  </si>
  <si>
    <t>비고</t>
    <phoneticPr fontId="2" type="noConversion"/>
  </si>
  <si>
    <t>계상기준1</t>
    <phoneticPr fontId="2" type="noConversion"/>
  </si>
  <si>
    <t>제작/설치 전체</t>
    <phoneticPr fontId="2" type="noConversion"/>
  </si>
  <si>
    <t>계상기준2</t>
    <phoneticPr fontId="2" type="noConversion"/>
  </si>
  <si>
    <t>당사내 설치비限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</si>
  <si>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</si>
  <si>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</si>
  <si>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단위:원</t>
    <phoneticPr fontId="2" type="noConversion"/>
  </si>
  <si>
    <t>포장/운송</t>
    <phoneticPr fontId="2" type="noConversion"/>
  </si>
  <si>
    <t>표준안전</t>
    <phoneticPr fontId="2" type="noConversion"/>
  </si>
  <si>
    <t>일반관리비</t>
    <phoneticPr fontId="2" type="noConversion"/>
  </si>
  <si>
    <t>순번</t>
    <phoneticPr fontId="2" type="noConversion"/>
  </si>
  <si>
    <t>단위장비명</t>
    <phoneticPr fontId="2" type="noConversion"/>
  </si>
  <si>
    <t>수량</t>
    <phoneticPr fontId="2" type="noConversion"/>
  </si>
  <si>
    <t>자재비</t>
    <phoneticPr fontId="2" type="noConversion"/>
  </si>
  <si>
    <t>철거</t>
    <phoneticPr fontId="2" type="noConversion"/>
  </si>
  <si>
    <t>제작</t>
    <phoneticPr fontId="2" type="noConversion"/>
  </si>
  <si>
    <t>설치/시운전</t>
    <phoneticPr fontId="2" type="noConversion"/>
  </si>
  <si>
    <t>양산대응</t>
    <phoneticPr fontId="2" type="noConversion"/>
  </si>
  <si>
    <t>중장비사용</t>
    <phoneticPr fontId="2" type="noConversion"/>
  </si>
  <si>
    <t>기계소계</t>
    <phoneticPr fontId="2" type="noConversion"/>
  </si>
  <si>
    <t>전기소계</t>
    <phoneticPr fontId="2" type="noConversion"/>
  </si>
  <si>
    <t>관리비</t>
    <phoneticPr fontId="2" type="noConversion"/>
  </si>
  <si>
    <t>이윤</t>
    <phoneticPr fontId="2" type="noConversion"/>
  </si>
  <si>
    <t>합  계</t>
    <phoneticPr fontId="2" type="noConversion"/>
  </si>
  <si>
    <t>비  고</t>
    <phoneticPr fontId="2" type="noConversion"/>
  </si>
  <si>
    <t>1식</t>
    <phoneticPr fontId="2" type="noConversion"/>
  </si>
  <si>
    <t>1식</t>
    <phoneticPr fontId="2" type="noConversion"/>
  </si>
  <si>
    <t>1식</t>
  </si>
  <si>
    <t>합   계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</si>
  <si>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</si>
  <si>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□ 전기부문:</t>
    <phoneticPr fontId="2" type="noConversion"/>
  </si>
  <si>
    <t>전기부문(공통)</t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</si>
  <si>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</si>
  <si>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</si>
  <si>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</si>
  <si>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</si>
  <si>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</si>
  <si>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</si>
  <si>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</si>
  <si>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</si>
  <si>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</si>
  <si>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</si>
  <si>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</si>
  <si>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설치/해체/</t>
    <phoneticPr fontId="2" type="noConversion"/>
  </si>
  <si>
    <t>시운전 공사</t>
    <phoneticPr fontId="2" type="noConversion"/>
  </si>
  <si>
    <t>자재</t>
    <phoneticPr fontId="2" type="noConversion"/>
  </si>
  <si>
    <t>전기자재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</si>
  <si>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</si>
  <si>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</si>
  <si>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</si>
  <si>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전기 설계/프로그램</t>
    <phoneticPr fontId="2" type="noConversion"/>
  </si>
  <si>
    <t>M/D</t>
  </si>
  <si>
    <t>전기 제작</t>
    <phoneticPr fontId="2" type="noConversion"/>
  </si>
  <si>
    <t>전기 조립</t>
    <phoneticPr fontId="2" type="noConversion"/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</si>
  <si>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</si>
  <si>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</si>
  <si>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</si>
  <si>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노무비 소계</t>
    <phoneticPr fontId="2" type="noConversion"/>
  </si>
  <si>
    <t>운반및중장비사용,표준안전관리비</t>
    <phoneticPr fontId="2" type="noConversion"/>
  </si>
  <si>
    <t>* 기계부문에 포함시킴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</si>
  <si>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</si>
  <si>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</si>
  <si>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</si>
  <si>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</si>
  <si>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</si>
  <si>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</si>
  <si>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</si>
  <si>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</si>
  <si>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</si>
  <si>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</si>
  <si>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</si>
  <si>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</si>
  <si>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</si>
  <si>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</si>
  <si>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</si>
  <si>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</si>
  <si>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</si>
  <si>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</si>
  <si>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>(유공압품외)</t>
    <phoneticPr fontId="2" type="noConversion"/>
  </si>
  <si>
    <t>차량개조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</si>
  <si>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</si>
  <si>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</si>
  <si>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</si>
  <si>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</si>
  <si>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</si>
  <si>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</si>
  <si>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</si>
  <si>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운반및중장비사용</t>
    <phoneticPr fontId="2" type="noConversion"/>
  </si>
  <si>
    <t>외주제작품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</si>
  <si>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</si>
  <si>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</si>
  <si>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</si>
  <si>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</si>
  <si>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</si>
  <si>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</si>
  <si>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</si>
  <si>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</si>
  <si>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</si>
  <si>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</si>
  <si>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</si>
  <si>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</si>
  <si>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</si>
  <si>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</si>
  <si>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</si>
  <si>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</si>
  <si>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</si>
  <si>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</si>
  <si>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</si>
  <si>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</si>
  <si>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</si>
  <si>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</si>
  <si>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</si>
  <si>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</si>
  <si>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</si>
  <si>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</si>
  <si>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</si>
  <si>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</si>
  <si>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기타자재</t>
    <phoneticPr fontId="2" type="noConversion"/>
  </si>
  <si>
    <t>외주제작품</t>
    <phoneticPr fontId="2" type="noConversion"/>
  </si>
  <si>
    <t>기타자재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</si>
  <si>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</si>
  <si>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</si>
  <si>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</si>
  <si>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</si>
  <si>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</si>
  <si>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</si>
  <si>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</si>
  <si>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</si>
  <si>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</si>
  <si>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</si>
  <si>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</si>
  <si>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</si>
  <si>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</si>
  <si>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</si>
  <si>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</si>
  <si>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</si>
  <si>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</si>
  <si>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</si>
  <si>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</si>
  <si>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</si>
  <si>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</si>
  <si>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</si>
  <si>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</si>
  <si>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</si>
  <si>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</si>
  <si>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</si>
  <si>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</si>
  <si>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</si>
  <si>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외주제작품</t>
    <phoneticPr fontId="2" type="noConversion"/>
  </si>
  <si>
    <t>기타자재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</si>
  <si>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</si>
  <si>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</si>
  <si>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</si>
  <si>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</si>
  <si>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</si>
  <si>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</si>
  <si>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</si>
  <si>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>(유공압품외)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</si>
  <si>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</si>
  <si>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</si>
  <si>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</si>
  <si>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</si>
  <si>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</si>
  <si>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</si>
  <si>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</si>
  <si>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</si>
  <si>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</si>
  <si>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</si>
  <si>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</si>
  <si>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</si>
  <si>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t>※ 현대/기아차의 요구사양과 업체견적사양이 다른경우만 작성</t>
    <phoneticPr fontId="2" type="noConversion"/>
  </si>
  <si>
    <t>현대/기아차 요구사양대비 견적조건 상이내역</t>
    <phoneticPr fontId="2" type="noConversion"/>
  </si>
  <si>
    <t>항   목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</si>
  <si>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</si>
  <si>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</si>
  <si>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비  고</t>
    <phoneticPr fontId="2" type="noConversion"/>
  </si>
  <si>
    <t>㈜지이엠</t>
  </si>
  <si>
    <t>대표 : 송 칠 영 (인)</t>
    <phoneticPr fontId="2" type="noConversion"/>
  </si>
  <si>
    <t xml:space="preserve">주소 : 경남 창원시 성산구 </t>
    <phoneticPr fontId="2" type="noConversion"/>
  </si>
  <si>
    <t xml:space="preserve">         성산패총로24번길 1</t>
    <phoneticPr fontId="2" type="noConversion"/>
  </si>
  <si>
    <t>전화: 055-282-9488</t>
    <phoneticPr fontId="2" type="noConversion"/>
  </si>
  <si>
    <t>Fax: 055-282-9484 / 9490</t>
    <phoneticPr fontId="2" type="noConversion"/>
  </si>
  <si>
    <t>견적담당:</t>
    <phoneticPr fontId="2" type="noConversion"/>
  </si>
  <si>
    <t>정대헌부장</t>
    <phoneticPr fontId="2" type="noConversion"/>
  </si>
  <si>
    <t>010-3452-0737</t>
    <phoneticPr fontId="2" type="noConversion"/>
  </si>
  <si>
    <t>견적일로부터30일</t>
    <phoneticPr fontId="2" type="noConversion"/>
  </si>
  <si>
    <t>현대위아 공장</t>
    <phoneticPr fontId="2" type="noConversion"/>
  </si>
  <si>
    <t>현대위아 기준</t>
    <phoneticPr fontId="2" type="noConversion"/>
  </si>
  <si>
    <t>식</t>
  </si>
  <si>
    <t>기타자재</t>
  </si>
  <si>
    <t>기계부분</t>
    <phoneticPr fontId="2" type="noConversion"/>
  </si>
  <si>
    <t>전기부문</t>
    <phoneticPr fontId="2" type="noConversion"/>
  </si>
  <si>
    <r>
      <t xml:space="preserve">관리/이윤
</t>
    </r>
    <r>
      <rPr>
        <sz val="8"/>
        <rFont val="굴림"/>
        <family val="3"/>
        <charset val="129"/>
      </rPr>
      <t>(안전관리비포함)</t>
    </r>
  </si>
  <si>
    <t>식</t>
    <phoneticPr fontId="2" type="noConversion"/>
  </si>
  <si>
    <t>기타 잡자재</t>
    <phoneticPr fontId="2" type="noConversion"/>
  </si>
  <si>
    <t>견적금액 (천원)</t>
    <phoneticPr fontId="2" type="noConversion"/>
  </si>
  <si>
    <t>식</t>
    <phoneticPr fontId="2" type="noConversion"/>
  </si>
  <si>
    <t>기타자재</t>
    <phoneticPr fontId="2" type="noConversion"/>
  </si>
  <si>
    <t>볼조립</t>
    <phoneticPr fontId="2" type="noConversion"/>
  </si>
  <si>
    <t>절각 토크측정</t>
    <phoneticPr fontId="2" type="noConversion"/>
  </si>
  <si>
    <t>스파이더 비젼</t>
    <phoneticPr fontId="2" type="noConversion"/>
  </si>
  <si>
    <t>TJ PUMPING</t>
    <phoneticPr fontId="2" type="noConversion"/>
  </si>
  <si>
    <t>MAIN PALLETS</t>
    <phoneticPr fontId="2" type="noConversion"/>
  </si>
  <si>
    <t>그리스 펌프</t>
    <phoneticPr fontId="2" type="noConversion"/>
  </si>
  <si>
    <t>■BASE</t>
  </si>
  <si>
    <t>제관,가공</t>
  </si>
  <si>
    <t>■상측 COVER</t>
  </si>
  <si>
    <t>■FRAME</t>
    <phoneticPr fontId="2" type="noConversion"/>
  </si>
  <si>
    <t>■FRAME</t>
    <phoneticPr fontId="2" type="noConversion"/>
  </si>
  <si>
    <t>식</t>
    <phoneticPr fontId="2" type="noConversion"/>
  </si>
  <si>
    <t>제관,가공,카바</t>
    <phoneticPr fontId="2" type="noConversion"/>
  </si>
  <si>
    <t>■볼공급부</t>
    <phoneticPr fontId="2" type="noConversion"/>
  </si>
  <si>
    <t>■적재렉</t>
    <phoneticPr fontId="2" type="noConversion"/>
  </si>
  <si>
    <t>■적재랙</t>
    <phoneticPr fontId="2" type="noConversion"/>
  </si>
  <si>
    <t>■이종체크</t>
    <phoneticPr fontId="2" type="noConversion"/>
  </si>
  <si>
    <t>■치구보관함</t>
    <phoneticPr fontId="2" type="noConversion"/>
  </si>
  <si>
    <t>■일반 자재류</t>
  </si>
  <si>
    <t xml:space="preserve">  F.R.L Unit</t>
  </si>
  <si>
    <t>AV4000</t>
  </si>
  <si>
    <t xml:space="preserve">  SOL V/V</t>
  </si>
  <si>
    <t>VQC4201</t>
  </si>
  <si>
    <t xml:space="preserve">  Manifold</t>
  </si>
  <si>
    <t>VV5QC41</t>
  </si>
  <si>
    <t xml:space="preserve">  Speed Con</t>
  </si>
  <si>
    <t xml:space="preserve">  배관자재</t>
  </si>
  <si>
    <t xml:space="preserve">  잡자재</t>
  </si>
  <si>
    <t>■OP POST</t>
  </si>
  <si>
    <t>■FRAME</t>
    <phoneticPr fontId="2" type="noConversion"/>
  </si>
  <si>
    <t>■측정부</t>
    <phoneticPr fontId="2" type="noConversion"/>
  </si>
  <si>
    <t>■소재 클램프부</t>
    <phoneticPr fontId="2" type="noConversion"/>
  </si>
  <si>
    <t>■상하 이송부</t>
    <phoneticPr fontId="2" type="noConversion"/>
  </si>
  <si>
    <t>■비젼부</t>
    <phoneticPr fontId="2" type="noConversion"/>
  </si>
  <si>
    <t>■리프트</t>
    <phoneticPr fontId="2" type="noConversion"/>
  </si>
  <si>
    <t>■RFID</t>
  </si>
  <si>
    <t>■펌핑부</t>
    <phoneticPr fontId="2" type="noConversion"/>
  </si>
  <si>
    <t>■소재클램프부</t>
    <phoneticPr fontId="2" type="noConversion"/>
  </si>
  <si>
    <t>MAIN OP PANEL</t>
  </si>
  <si>
    <t>RT BOX</t>
    <phoneticPr fontId="2" type="noConversion"/>
  </si>
  <si>
    <t>S/W BOX</t>
  </si>
  <si>
    <t>단자대 BOX(주물 BOX)</t>
  </si>
  <si>
    <t xml:space="preserve">TOUCH SCREEN외 </t>
    <phoneticPr fontId="2" type="noConversion"/>
  </si>
  <si>
    <t>PC프로그램 개발</t>
  </si>
  <si>
    <t>■PALLET</t>
    <phoneticPr fontId="2" type="noConversion"/>
  </si>
  <si>
    <t>식</t>
    <phoneticPr fontId="2" type="noConversion"/>
  </si>
  <si>
    <t xml:space="preserve">  그리퍼</t>
    <phoneticPr fontId="2" type="noConversion"/>
  </si>
  <si>
    <t>RBA GREASE 정량시스템</t>
    <phoneticPr fontId="2" type="noConversion"/>
  </si>
  <si>
    <t>CW13 GREASE 정량시스템</t>
    <phoneticPr fontId="2" type="noConversion"/>
  </si>
  <si>
    <t>GD1_200813-001</t>
    <phoneticPr fontId="2" type="noConversion"/>
  </si>
  <si>
    <t>장비 리툴링</t>
    <phoneticPr fontId="2" type="noConversion"/>
  </si>
  <si>
    <t>■O/B SUB PALLETS</t>
    <phoneticPr fontId="2" type="noConversion"/>
  </si>
  <si>
    <t>식</t>
    <phoneticPr fontId="2" type="noConversion"/>
  </si>
  <si>
    <t>■HCG 클립 조립</t>
    <phoneticPr fontId="2" type="noConversion"/>
  </si>
  <si>
    <t>■O/R 선별기</t>
    <phoneticPr fontId="2" type="noConversion"/>
  </si>
  <si>
    <t>■I/B SUB PALLETS</t>
    <phoneticPr fontId="2" type="noConversion"/>
  </si>
  <si>
    <t>■BOOT SUB조립장치</t>
    <phoneticPr fontId="2" type="noConversion"/>
  </si>
  <si>
    <t>■샤프트압입,R/RING</t>
    <phoneticPr fontId="2" type="noConversion"/>
  </si>
  <si>
    <t>■O/B런아웃 측정장치 개조</t>
    <phoneticPr fontId="2" type="noConversion"/>
  </si>
  <si>
    <t>식</t>
    <phoneticPr fontId="2" type="noConversion"/>
  </si>
  <si>
    <t>식</t>
    <phoneticPr fontId="2" type="noConversion"/>
  </si>
  <si>
    <t xml:space="preserve">   측정부 가변 대응</t>
    <phoneticPr fontId="2" type="noConversion"/>
  </si>
  <si>
    <t>■O/B런아웃 측정장치 개조</t>
    <phoneticPr fontId="2" type="noConversion"/>
  </si>
  <si>
    <t>■O/B SUB그리스 주입 개조</t>
    <phoneticPr fontId="2" type="noConversion"/>
  </si>
  <si>
    <t xml:space="preserve">  기타가공물</t>
    <phoneticPr fontId="2" type="noConversion"/>
  </si>
  <si>
    <t>식</t>
    <phoneticPr fontId="2" type="noConversion"/>
  </si>
  <si>
    <t>■I/B SUB 그리스 주입 개조</t>
    <phoneticPr fontId="2" type="noConversion"/>
  </si>
  <si>
    <t xml:space="preserve">  잡자재</t>
    <phoneticPr fontId="2" type="noConversion"/>
  </si>
  <si>
    <t>■BOOT SUB 조립장치 개조</t>
    <phoneticPr fontId="2" type="noConversion"/>
  </si>
  <si>
    <t xml:space="preserve">  밴드체결</t>
    <phoneticPr fontId="2" type="noConversion"/>
  </si>
  <si>
    <t>HO 7000EL</t>
    <phoneticPr fontId="2" type="noConversion"/>
  </si>
  <si>
    <t>ELK02</t>
    <phoneticPr fontId="2" type="noConversion"/>
  </si>
  <si>
    <t>HO-14.5-16.6EL</t>
    <phoneticPr fontId="2" type="noConversion"/>
  </si>
  <si>
    <t>TEST EQUIPMENT CAL01</t>
    <phoneticPr fontId="2" type="noConversion"/>
  </si>
  <si>
    <t>■샤프트압입,R/RING 개조</t>
    <phoneticPr fontId="2" type="noConversion"/>
  </si>
  <si>
    <t xml:space="preserve">  샤프트압입지그</t>
    <phoneticPr fontId="2" type="noConversion"/>
  </si>
  <si>
    <t xml:space="preserve">  R/RING조립 및공급</t>
    <phoneticPr fontId="2" type="noConversion"/>
  </si>
  <si>
    <t xml:space="preserve">  오이티커핀서</t>
    <phoneticPr fontId="2" type="noConversion"/>
  </si>
  <si>
    <t xml:space="preserve">  컨트롤</t>
    <phoneticPr fontId="2" type="noConversion"/>
  </si>
  <si>
    <t xml:space="preserve">  핀서 헤드</t>
    <phoneticPr fontId="2" type="noConversion"/>
  </si>
  <si>
    <t xml:space="preserve">  에어툴 교정기</t>
    <phoneticPr fontId="2" type="noConversion"/>
  </si>
  <si>
    <t xml:space="preserve">  공압부스트</t>
    <phoneticPr fontId="2" type="noConversion"/>
  </si>
  <si>
    <t>■하우징조립/밴드체결 개조</t>
    <phoneticPr fontId="2" type="noConversion"/>
  </si>
  <si>
    <t>■완성배출개조</t>
    <phoneticPr fontId="2" type="noConversion"/>
  </si>
  <si>
    <t xml:space="preserve">  대차 가변대응</t>
    <phoneticPr fontId="2" type="noConversion"/>
  </si>
  <si>
    <t>식</t>
    <phoneticPr fontId="2" type="noConversion"/>
  </si>
  <si>
    <t xml:space="preserve">  다축로봇셋팅</t>
    <phoneticPr fontId="2" type="noConversion"/>
  </si>
  <si>
    <t xml:space="preserve">  서보프레스</t>
    <phoneticPr fontId="2" type="noConversion"/>
  </si>
  <si>
    <t xml:space="preserve">  비젼</t>
    <phoneticPr fontId="2" type="noConversion"/>
  </si>
  <si>
    <t>견적금액: 一金오억오천만원整(\550,000,000    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</si>
</sst>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176" formatCode="#,##0_ "/>
    <numFmt numFmtId="177" formatCode="&quot;3. 산업안전관리비&quot;\ #,##0_ &quot;원 포함&quot;"/>
    <numFmt numFmtId="178" formatCode="&quot;3.산업안전관리비&quot;\ #,##0_ &quot;원 포함&quot;"/>
    <numFmt numFmtId="179" formatCode="#,##0_);[Red]\(#,##0\)"/>
    <numFmt numFmtId="180" formatCode="General&quot;상세견적&quot;"/>
    <numFmt numFmtId="181" formatCode="0.0\K\G"/>
    <numFmt numFmtId="182" formatCode="_ * #,##0_ ;_ * \-#,##0_ ;_ * &quot;-&quot;_ ;_ @_ "/>
    <numFmt numFmtId="183" formatCode="_ * #,##0.00_ ;_ * \-#,##0.00_ ;_ * &quot;-&quot;??_ ;_ @_ "/>
    <numFmt numFmtId="184" formatCode="_(&quot;$&quot;* #,##0_);_(&quot;$&quot;* \(#,##0\);_(&quot;$&quot;* &quot;-&quot;_);_(@_)"/>
    <numFmt numFmtId="185" formatCode="_(&quot;$&quot;* #,##0.00_);_(&quot;$&quot;* \(#,##0.00\);_(&quot;$&quot;* &quot;-&quot;??_);_(@_)"/>
  </numFmts>
  <fonts count="40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 val="double"/>
      <sz val="12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name val="HY헤드라인M"/>
      <family val="1"/>
      <charset val="129"/>
    </font>
    <font>
      <sz val="14"/>
      <name val="HY헤드라인M"/>
      <family val="1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¹UAAA¼"/>
      <family val="3"/>
      <charset val="129"/>
    </font>
    <font>
      <sz val="12"/>
      <name val="바탕체"/>
      <family val="1"/>
      <charset val="129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돋움체"/>
      <family val="3"/>
      <charset val="129"/>
    </font>
    <font>
      <sz val="11"/>
      <name val="μ¸¿o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</fills>
  <borders count="12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6" fillId="0" borderId="0">
      <alignment vertical="center"/>
    </xf>
    <xf numFmtId="0" fontId="29" fillId="0" borderId="0"/>
    <xf numFmtId="0" fontId="27" fillId="0" borderId="0"/>
    <xf numFmtId="0" fontId="27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/>
    <xf numFmtId="0" fontId="34" fillId="0" borderId="0"/>
    <xf numFmtId="182" fontId="27" fillId="0" borderId="0" applyFont="0" applyFill="0" applyBorder="0" applyAlignment="0" applyProtection="0"/>
    <xf numFmtId="183" fontId="27" fillId="0" borderId="0" applyFont="0" applyFill="0" applyBorder="0" applyAlignment="0" applyProtection="0"/>
    <xf numFmtId="184" fontId="27" fillId="0" borderId="0" applyFont="0" applyFill="0" applyBorder="0" applyAlignment="0" applyProtection="0"/>
    <xf numFmtId="185" fontId="27" fillId="0" borderId="0" applyFont="0" applyFill="0" applyBorder="0" applyAlignment="0" applyProtection="0"/>
    <xf numFmtId="38" fontId="35" fillId="8" borderId="0" applyNumberFormat="0" applyBorder="0" applyAlignment="0" applyProtection="0"/>
    <xf numFmtId="0" fontId="36" fillId="0" borderId="0">
      <alignment horizontal="left"/>
    </xf>
    <xf numFmtId="0" fontId="37" fillId="0" borderId="123" applyNumberFormat="0" applyAlignment="0" applyProtection="0">
      <alignment horizontal="left" vertical="center"/>
    </xf>
    <xf numFmtId="0" fontId="37" fillId="0" borderId="29">
      <alignment horizontal="left" vertical="center"/>
    </xf>
    <xf numFmtId="10" fontId="35" fillId="8" borderId="4" applyNumberFormat="0" applyBorder="0" applyAlignment="0" applyProtection="0"/>
    <xf numFmtId="0" fontId="38" fillId="0" borderId="124"/>
    <xf numFmtId="0" fontId="29" fillId="0" borderId="0"/>
    <xf numFmtId="0" fontId="27" fillId="0" borderId="0"/>
    <xf numFmtId="10" fontId="27" fillId="0" borderId="0" applyFont="0" applyFill="0" applyBorder="0" applyAlignment="0" applyProtection="0"/>
    <xf numFmtId="0" fontId="38" fillId="0" borderId="0"/>
    <xf numFmtId="0" fontId="28" fillId="0" borderId="0"/>
    <xf numFmtId="0" fontId="39" fillId="0" borderId="0"/>
    <xf numFmtId="40" fontId="30" fillId="0" borderId="0" applyFont="0" applyFill="0" applyBorder="0" applyAlignment="0" applyProtection="0"/>
    <xf numFmtId="38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0" borderId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0" fontId="27" fillId="0" borderId="0"/>
    <xf numFmtId="182" fontId="32" fillId="0" borderId="0" applyFont="0" applyFill="0" applyBorder="0" applyAlignment="0" applyProtection="0"/>
    <xf numFmtId="183" fontId="32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13" fillId="0" borderId="0"/>
  </cellStyleXfs>
  <cellXfs count="701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2" borderId="3" xfId="0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" fillId="2" borderId="3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13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right" vertical="center"/>
    </xf>
    <xf numFmtId="0" fontId="1" fillId="0" borderId="16" xfId="0" applyFont="1" applyFill="1" applyBorder="1" applyAlignment="1">
      <alignment vertical="center"/>
    </xf>
    <xf numFmtId="176" fontId="1" fillId="0" borderId="19" xfId="0" applyNumberFormat="1" applyFont="1" applyFill="1" applyBorder="1" applyAlignment="1">
      <alignment horizontal="right" vertical="center"/>
    </xf>
    <xf numFmtId="0" fontId="0" fillId="0" borderId="20" xfId="0" applyFill="1" applyBorder="1" applyAlignment="1">
      <alignment vertical="center"/>
    </xf>
    <xf numFmtId="176" fontId="1" fillId="0" borderId="18" xfId="0" applyNumberFormat="1" applyFont="1" applyFill="1" applyBorder="1" applyAlignment="1">
      <alignment horizontal="right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176" fontId="1" fillId="0" borderId="24" xfId="0" applyNumberFormat="1" applyFont="1" applyFill="1" applyBorder="1" applyAlignment="1">
      <alignment horizontal="right" vertical="center"/>
    </xf>
    <xf numFmtId="0" fontId="0" fillId="0" borderId="25" xfId="0" applyFill="1" applyBorder="1" applyAlignment="1">
      <alignment vertical="center"/>
    </xf>
    <xf numFmtId="176" fontId="1" fillId="0" borderId="26" xfId="0" applyNumberFormat="1" applyFont="1" applyFill="1" applyBorder="1" applyAlignment="1">
      <alignment horizontal="right" vertical="center"/>
    </xf>
    <xf numFmtId="176" fontId="1" fillId="0" borderId="23" xfId="0" applyNumberFormat="1" applyFont="1" applyFill="1" applyBorder="1" applyAlignment="1">
      <alignment horizontal="right" vertical="center"/>
    </xf>
    <xf numFmtId="0" fontId="1" fillId="0" borderId="27" xfId="0" applyFont="1" applyFill="1" applyBorder="1" applyAlignment="1">
      <alignment vertical="center"/>
    </xf>
    <xf numFmtId="176" fontId="1" fillId="0" borderId="31" xfId="0" applyNumberFormat="1" applyFont="1" applyBorder="1" applyAlignment="1">
      <alignment vertical="center"/>
    </xf>
    <xf numFmtId="176" fontId="1" fillId="0" borderId="32" xfId="0" applyNumberFormat="1" applyFont="1" applyBorder="1" applyAlignment="1">
      <alignment vertical="center"/>
    </xf>
    <xf numFmtId="176" fontId="12" fillId="3" borderId="30" xfId="0" applyNumberFormat="1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vertical="center"/>
    </xf>
    <xf numFmtId="176" fontId="1" fillId="0" borderId="33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vertical="center"/>
    </xf>
    <xf numFmtId="176" fontId="1" fillId="0" borderId="4" xfId="0" applyNumberFormat="1" applyFont="1" applyBorder="1" applyAlignment="1">
      <alignment vertical="center"/>
    </xf>
    <xf numFmtId="0" fontId="1" fillId="0" borderId="3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3" fontId="1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vertical="center"/>
    </xf>
    <xf numFmtId="4" fontId="1" fillId="0" borderId="0" xfId="0" applyNumberFormat="1" applyFont="1" applyFill="1" applyAlignment="1">
      <alignment vertical="center"/>
    </xf>
    <xf numFmtId="3" fontId="14" fillId="0" borderId="0" xfId="0" applyNumberFormat="1" applyFont="1" applyFill="1" applyAlignment="1">
      <alignment vertical="center"/>
    </xf>
    <xf numFmtId="3" fontId="15" fillId="0" borderId="0" xfId="0" applyNumberFormat="1" applyFont="1" applyFill="1" applyAlignment="1">
      <alignment vertical="center"/>
    </xf>
    <xf numFmtId="3" fontId="17" fillId="0" borderId="0" xfId="0" applyNumberFormat="1" applyFont="1" applyFill="1" applyAlignment="1">
      <alignment vertical="center"/>
    </xf>
    <xf numFmtId="3" fontId="17" fillId="0" borderId="0" xfId="0" applyNumberFormat="1" applyFont="1" applyFill="1" applyAlignment="1">
      <alignment horizontal="center" vertical="center"/>
    </xf>
    <xf numFmtId="179" fontId="17" fillId="0" borderId="0" xfId="0" applyNumberFormat="1" applyFont="1" applyFill="1" applyAlignment="1">
      <alignment horizontal="center" vertical="center"/>
    </xf>
    <xf numFmtId="179" fontId="17" fillId="0" borderId="0" xfId="0" applyNumberFormat="1" applyFont="1" applyFill="1" applyAlignment="1">
      <alignment vertical="center"/>
    </xf>
    <xf numFmtId="4" fontId="18" fillId="0" borderId="0" xfId="0" applyNumberFormat="1" applyFont="1" applyFill="1" applyAlignment="1">
      <alignment vertical="center"/>
    </xf>
    <xf numFmtId="3" fontId="18" fillId="0" borderId="0" xfId="0" applyNumberFormat="1" applyFont="1" applyFill="1" applyAlignment="1">
      <alignment vertical="center"/>
    </xf>
    <xf numFmtId="3" fontId="9" fillId="0" borderId="0" xfId="0" applyNumberFormat="1" applyFont="1" applyFill="1" applyAlignment="1">
      <alignment vertical="center"/>
    </xf>
    <xf numFmtId="3" fontId="5" fillId="0" borderId="0" xfId="0" applyNumberFormat="1" applyFont="1" applyFill="1" applyAlignment="1">
      <alignment vertical="center"/>
    </xf>
    <xf numFmtId="3" fontId="1" fillId="0" borderId="47" xfId="0" applyNumberFormat="1" applyFont="1" applyFill="1" applyBorder="1" applyAlignment="1">
      <alignment horizontal="center" vertical="center"/>
    </xf>
    <xf numFmtId="3" fontId="1" fillId="0" borderId="50" xfId="0" applyNumberFormat="1" applyFont="1" applyFill="1" applyBorder="1" applyAlignment="1">
      <alignment horizontal="center" vertical="center"/>
    </xf>
    <xf numFmtId="179" fontId="1" fillId="0" borderId="50" xfId="0" applyNumberFormat="1" applyFont="1" applyFill="1" applyBorder="1" applyAlignment="1">
      <alignment horizontal="center" vertical="center"/>
    </xf>
    <xf numFmtId="3" fontId="1" fillId="0" borderId="51" xfId="0" applyNumberFormat="1" applyFont="1" applyFill="1" applyBorder="1" applyAlignment="1">
      <alignment horizontal="center" vertical="center"/>
    </xf>
    <xf numFmtId="4" fontId="1" fillId="0" borderId="0" xfId="0" applyNumberFormat="1" applyFont="1" applyFill="1" applyAlignment="1">
      <alignment horizontal="center" vertical="center"/>
    </xf>
    <xf numFmtId="3" fontId="1" fillId="0" borderId="52" xfId="0" applyNumberFormat="1" applyFont="1" applyFill="1" applyBorder="1" applyAlignment="1">
      <alignment horizontal="center" vertical="center"/>
    </xf>
    <xf numFmtId="179" fontId="1" fillId="0" borderId="56" xfId="0" applyNumberFormat="1" applyFont="1" applyFill="1" applyBorder="1" applyAlignment="1">
      <alignment horizontal="center" vertical="center"/>
    </xf>
    <xf numFmtId="3" fontId="1" fillId="0" borderId="57" xfId="0" applyNumberFormat="1" applyFont="1" applyFill="1" applyBorder="1" applyAlignment="1">
      <alignment horizontal="center" vertical="center"/>
    </xf>
    <xf numFmtId="3" fontId="1" fillId="0" borderId="60" xfId="0" applyNumberFormat="1" applyFont="1" applyFill="1" applyBorder="1" applyAlignment="1">
      <alignment horizontal="center" vertical="center"/>
    </xf>
    <xf numFmtId="3" fontId="13" fillId="0" borderId="60" xfId="0" applyNumberFormat="1" applyFont="1" applyFill="1" applyBorder="1" applyAlignment="1">
      <alignment horizontal="center" vertical="center"/>
    </xf>
    <xf numFmtId="179" fontId="1" fillId="0" borderId="60" xfId="0" applyNumberFormat="1" applyFont="1" applyFill="1" applyBorder="1" applyAlignment="1">
      <alignment horizontal="right" vertical="center"/>
    </xf>
    <xf numFmtId="179" fontId="1" fillId="0" borderId="60" xfId="0" applyNumberFormat="1" applyFont="1" applyFill="1" applyBorder="1" applyAlignment="1">
      <alignment vertical="center"/>
    </xf>
    <xf numFmtId="3" fontId="1" fillId="0" borderId="61" xfId="0" applyNumberFormat="1" applyFont="1" applyFill="1" applyBorder="1" applyAlignment="1">
      <alignment vertical="center"/>
    </xf>
    <xf numFmtId="3" fontId="1" fillId="0" borderId="3" xfId="0" applyNumberFormat="1" applyFont="1" applyFill="1" applyBorder="1" applyAlignment="1">
      <alignment horizontal="center" vertical="center"/>
    </xf>
    <xf numFmtId="3" fontId="13" fillId="0" borderId="3" xfId="0" applyNumberFormat="1" applyFont="1" applyFill="1" applyBorder="1" applyAlignment="1">
      <alignment horizontal="center" vertical="center"/>
    </xf>
    <xf numFmtId="179" fontId="1" fillId="0" borderId="3" xfId="2" applyNumberFormat="1" applyFont="1" applyFill="1" applyBorder="1" applyAlignment="1">
      <alignment horizontal="right" vertical="center"/>
    </xf>
    <xf numFmtId="179" fontId="1" fillId="0" borderId="3" xfId="0" applyNumberFormat="1" applyFont="1" applyFill="1" applyBorder="1" applyAlignment="1">
      <alignment vertical="center"/>
    </xf>
    <xf numFmtId="3" fontId="1" fillId="0" borderId="62" xfId="0" applyNumberFormat="1" applyFont="1" applyFill="1" applyBorder="1" applyAlignment="1">
      <alignment vertical="center"/>
    </xf>
    <xf numFmtId="179" fontId="1" fillId="0" borderId="3" xfId="0" applyNumberFormat="1" applyFont="1" applyFill="1" applyBorder="1" applyAlignment="1">
      <alignment horizontal="right" vertical="center"/>
    </xf>
    <xf numFmtId="3" fontId="0" fillId="4" borderId="3" xfId="0" applyNumberFormat="1" applyFill="1" applyBorder="1" applyAlignment="1">
      <alignment horizontal="center" vertical="center"/>
    </xf>
    <xf numFmtId="3" fontId="13" fillId="4" borderId="3" xfId="0" applyNumberFormat="1" applyFont="1" applyFill="1" applyBorder="1" applyAlignment="1">
      <alignment horizontal="center" vertical="center"/>
    </xf>
    <xf numFmtId="179" fontId="1" fillId="4" borderId="3" xfId="0" applyNumberFormat="1" applyFont="1" applyFill="1" applyBorder="1" applyAlignment="1">
      <alignment horizontal="right" vertical="center"/>
    </xf>
    <xf numFmtId="179" fontId="1" fillId="4" borderId="3" xfId="0" applyNumberFormat="1" applyFont="1" applyFill="1" applyBorder="1" applyAlignment="1">
      <alignment vertical="center"/>
    </xf>
    <xf numFmtId="3" fontId="0" fillId="0" borderId="62" xfId="0" applyNumberFormat="1" applyFill="1" applyBorder="1" applyAlignment="1">
      <alignment vertical="center"/>
    </xf>
    <xf numFmtId="3" fontId="1" fillId="0" borderId="64" xfId="0" applyNumberFormat="1" applyFont="1" applyFill="1" applyBorder="1" applyAlignment="1">
      <alignment horizontal="center" vertical="center"/>
    </xf>
    <xf numFmtId="179" fontId="5" fillId="0" borderId="3" xfId="0" applyNumberFormat="1" applyFont="1" applyFill="1" applyBorder="1" applyAlignment="1">
      <alignment vertical="center"/>
    </xf>
    <xf numFmtId="3" fontId="1" fillId="4" borderId="3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left" vertical="center"/>
    </xf>
    <xf numFmtId="3" fontId="1" fillId="0" borderId="66" xfId="0" applyNumberFormat="1" applyFont="1" applyFill="1" applyBorder="1" applyAlignment="1">
      <alignment horizontal="center" vertical="center"/>
    </xf>
    <xf numFmtId="179" fontId="5" fillId="0" borderId="67" xfId="0" applyNumberFormat="1" applyFont="1" applyFill="1" applyBorder="1" applyAlignment="1">
      <alignment vertical="center"/>
    </xf>
    <xf numFmtId="3" fontId="1" fillId="0" borderId="68" xfId="0" applyNumberFormat="1" applyFont="1" applyFill="1" applyBorder="1" applyAlignment="1">
      <alignment vertical="center"/>
    </xf>
    <xf numFmtId="3" fontId="1" fillId="0" borderId="46" xfId="0" applyNumberFormat="1" applyFont="1" applyFill="1" applyBorder="1" applyAlignment="1">
      <alignment horizontal="center" vertical="center"/>
    </xf>
    <xf numFmtId="3" fontId="1" fillId="0" borderId="71" xfId="0" applyNumberFormat="1" applyFont="1" applyFill="1" applyBorder="1" applyAlignment="1">
      <alignment horizontal="center" vertical="center"/>
    </xf>
    <xf numFmtId="179" fontId="5" fillId="0" borderId="26" xfId="0" applyNumberFormat="1" applyFont="1" applyFill="1" applyBorder="1" applyAlignment="1">
      <alignment vertical="center"/>
    </xf>
    <xf numFmtId="3" fontId="1" fillId="0" borderId="72" xfId="0" applyNumberFormat="1" applyFont="1" applyFill="1" applyBorder="1" applyAlignment="1">
      <alignment vertical="center"/>
    </xf>
    <xf numFmtId="3" fontId="1" fillId="0" borderId="73" xfId="0" applyNumberFormat="1" applyFont="1" applyFill="1" applyBorder="1" applyAlignment="1">
      <alignment horizontal="center" vertical="center"/>
    </xf>
    <xf numFmtId="3" fontId="13" fillId="0" borderId="73" xfId="0" applyNumberFormat="1" applyFont="1" applyFill="1" applyBorder="1" applyAlignment="1">
      <alignment horizontal="center" vertical="center"/>
    </xf>
    <xf numFmtId="179" fontId="1" fillId="0" borderId="73" xfId="0" applyNumberFormat="1" applyFont="1" applyFill="1" applyBorder="1" applyAlignment="1">
      <alignment vertical="center"/>
    </xf>
    <xf numFmtId="3" fontId="1" fillId="0" borderId="74" xfId="0" applyNumberFormat="1" applyFont="1" applyFill="1" applyBorder="1" applyAlignment="1">
      <alignment vertical="center"/>
    </xf>
    <xf numFmtId="3" fontId="13" fillId="4" borderId="60" xfId="0" applyNumberFormat="1" applyFont="1" applyFill="1" applyBorder="1" applyAlignment="1">
      <alignment horizontal="center" vertical="center"/>
    </xf>
    <xf numFmtId="179" fontId="1" fillId="4" borderId="60" xfId="0" applyNumberFormat="1" applyFont="1" applyFill="1" applyBorder="1" applyAlignment="1">
      <alignment vertical="center"/>
    </xf>
    <xf numFmtId="179" fontId="5" fillId="0" borderId="73" xfId="0" applyNumberFormat="1" applyFont="1" applyFill="1" applyBorder="1" applyAlignment="1">
      <alignment vertical="center"/>
    </xf>
    <xf numFmtId="179" fontId="5" fillId="0" borderId="12" xfId="0" applyNumberFormat="1" applyFont="1" applyFill="1" applyBorder="1" applyAlignment="1">
      <alignment vertical="center"/>
    </xf>
    <xf numFmtId="3" fontId="1" fillId="0" borderId="79" xfId="0" applyNumberFormat="1" applyFont="1" applyFill="1" applyBorder="1" applyAlignment="1">
      <alignment vertical="center"/>
    </xf>
    <xf numFmtId="3" fontId="1" fillId="0" borderId="80" xfId="0" applyNumberFormat="1" applyFont="1" applyFill="1" applyBorder="1" applyAlignment="1">
      <alignment horizontal="center" vertical="center"/>
    </xf>
    <xf numFmtId="179" fontId="5" fillId="3" borderId="85" xfId="0" applyNumberFormat="1" applyFont="1" applyFill="1" applyBorder="1" applyAlignment="1">
      <alignment vertical="center"/>
    </xf>
    <xf numFmtId="3" fontId="1" fillId="0" borderId="21" xfId="0" applyNumberFormat="1" applyFont="1" applyFill="1" applyBorder="1" applyAlignment="1">
      <alignment vertical="center"/>
    </xf>
    <xf numFmtId="3" fontId="1" fillId="0" borderId="19" xfId="0" applyNumberFormat="1" applyFont="1" applyFill="1" applyBorder="1" applyAlignment="1">
      <alignment horizontal="center" vertical="center"/>
    </xf>
    <xf numFmtId="179" fontId="5" fillId="0" borderId="60" xfId="0" applyNumberFormat="1" applyFont="1" applyFill="1" applyBorder="1" applyAlignment="1">
      <alignment vertical="center"/>
    </xf>
    <xf numFmtId="3" fontId="13" fillId="4" borderId="62" xfId="0" applyNumberFormat="1" applyFont="1" applyFill="1" applyBorder="1" applyAlignment="1">
      <alignment vertical="center" wrapText="1"/>
    </xf>
    <xf numFmtId="10" fontId="1" fillId="0" borderId="0" xfId="2" applyNumberFormat="1" applyFont="1" applyFill="1" applyAlignment="1">
      <alignment vertical="center"/>
    </xf>
    <xf numFmtId="3" fontId="1" fillId="0" borderId="86" xfId="0" applyNumberFormat="1" applyFont="1" applyFill="1" applyBorder="1" applyAlignment="1">
      <alignment horizontal="center" vertical="center"/>
    </xf>
    <xf numFmtId="3" fontId="1" fillId="0" borderId="87" xfId="0" applyNumberFormat="1" applyFont="1" applyFill="1" applyBorder="1" applyAlignment="1">
      <alignment horizontal="left" vertical="center"/>
    </xf>
    <xf numFmtId="179" fontId="5" fillId="0" borderId="89" xfId="0" applyNumberFormat="1" applyFont="1" applyFill="1" applyBorder="1" applyAlignment="1">
      <alignment vertical="center"/>
    </xf>
    <xf numFmtId="3" fontId="1" fillId="0" borderId="91" xfId="0" applyNumberFormat="1" applyFon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179" fontId="0" fillId="0" borderId="3" xfId="0" applyNumberFormat="1" applyFont="1" applyFill="1" applyBorder="1" applyAlignment="1">
      <alignment horizontal="center" vertical="center"/>
    </xf>
    <xf numFmtId="3" fontId="0" fillId="0" borderId="3" xfId="0" applyNumberFormat="1" applyFont="1" applyFill="1" applyBorder="1" applyAlignment="1">
      <alignment horizontal="center" vertical="center"/>
    </xf>
    <xf numFmtId="4" fontId="0" fillId="0" borderId="3" xfId="0" applyNumberFormat="1" applyFont="1" applyFill="1" applyBorder="1" applyAlignment="1">
      <alignment horizontal="center" vertical="center"/>
    </xf>
    <xf numFmtId="3" fontId="0" fillId="0" borderId="3" xfId="0" applyNumberFormat="1" applyFont="1" applyFill="1" applyBorder="1" applyAlignment="1">
      <alignment vertical="center"/>
    </xf>
    <xf numFmtId="3" fontId="0" fillId="4" borderId="3" xfId="0" applyNumberFormat="1" applyFont="1" applyFill="1" applyBorder="1" applyAlignment="1">
      <alignment vertical="center"/>
    </xf>
    <xf numFmtId="179" fontId="0" fillId="0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50" xfId="0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176" fontId="0" fillId="0" borderId="101" xfId="0" applyNumberFormat="1" applyBorder="1" applyAlignment="1">
      <alignment horizontal="center" vertical="center"/>
    </xf>
    <xf numFmtId="176" fontId="0" fillId="0" borderId="101" xfId="0" applyNumberFormat="1" applyFill="1" applyBorder="1" applyAlignment="1">
      <alignment horizontal="left" vertical="center"/>
    </xf>
    <xf numFmtId="176" fontId="0" fillId="0" borderId="101" xfId="0" applyNumberFormat="1" applyFill="1" applyBorder="1" applyAlignment="1">
      <alignment horizontal="center" vertical="center"/>
    </xf>
    <xf numFmtId="176" fontId="20" fillId="0" borderId="102" xfId="0" applyNumberFormat="1" applyFont="1" applyFill="1" applyBorder="1" applyAlignment="1">
      <alignment vertical="center"/>
    </xf>
    <xf numFmtId="176" fontId="20" fillId="0" borderId="103" xfId="0" applyNumberFormat="1" applyFont="1" applyFill="1" applyBorder="1" applyAlignment="1">
      <alignment vertical="center"/>
    </xf>
    <xf numFmtId="176" fontId="20" fillId="0" borderId="104" xfId="0" applyNumberFormat="1" applyFont="1" applyFill="1" applyBorder="1" applyAlignment="1">
      <alignment vertical="center"/>
    </xf>
    <xf numFmtId="176" fontId="1" fillId="0" borderId="105" xfId="0" applyNumberFormat="1" applyFont="1" applyFill="1" applyBorder="1" applyAlignment="1">
      <alignment vertical="center"/>
    </xf>
    <xf numFmtId="176" fontId="1" fillId="0" borderId="103" xfId="0" applyNumberFormat="1" applyFont="1" applyFill="1" applyBorder="1" applyAlignment="1">
      <alignment vertical="center"/>
    </xf>
    <xf numFmtId="176" fontId="0" fillId="0" borderId="106" xfId="0" applyNumberFormat="1" applyFill="1" applyBorder="1" applyAlignment="1">
      <alignment vertical="center"/>
    </xf>
    <xf numFmtId="176" fontId="0" fillId="0" borderId="107" xfId="0" applyNumberFormat="1" applyBorder="1" applyAlignment="1">
      <alignment vertical="center"/>
    </xf>
    <xf numFmtId="176" fontId="0" fillId="0" borderId="108" xfId="0" applyNumberFormat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16" xfId="0" applyNumberFormat="1" applyBorder="1" applyAlignment="1">
      <alignment horizontal="center" vertical="center"/>
    </xf>
    <xf numFmtId="176" fontId="0" fillId="0" borderId="16" xfId="0" applyNumberFormat="1" applyFill="1" applyBorder="1" applyAlignment="1">
      <alignment horizontal="left" vertical="center"/>
    </xf>
    <xf numFmtId="176" fontId="0" fillId="0" borderId="16" xfId="0" applyNumberFormat="1" applyFill="1" applyBorder="1" applyAlignment="1">
      <alignment horizontal="center" vertical="center"/>
    </xf>
    <xf numFmtId="176" fontId="20" fillId="0" borderId="19" xfId="0" applyNumberFormat="1" applyFont="1" applyFill="1" applyBorder="1" applyAlignment="1">
      <alignment vertical="center"/>
    </xf>
    <xf numFmtId="176" fontId="20" fillId="0" borderId="3" xfId="0" applyNumberFormat="1" applyFont="1" applyFill="1" applyBorder="1" applyAlignment="1">
      <alignment vertical="center"/>
    </xf>
    <xf numFmtId="176" fontId="20" fillId="0" borderId="62" xfId="0" applyNumberFormat="1" applyFont="1" applyFill="1" applyBorder="1" applyAlignment="1">
      <alignment vertical="center"/>
    </xf>
    <xf numFmtId="176" fontId="1" fillId="0" borderId="64" xfId="0" applyNumberFormat="1" applyFont="1" applyFill="1" applyBorder="1" applyAlignment="1">
      <alignment vertical="center"/>
    </xf>
    <xf numFmtId="176" fontId="1" fillId="0" borderId="3" xfId="0" applyNumberFormat="1" applyFont="1" applyFill="1" applyBorder="1" applyAlignment="1">
      <alignment vertical="center"/>
    </xf>
    <xf numFmtId="176" fontId="0" fillId="0" borderId="109" xfId="0" applyNumberFormat="1" applyFill="1" applyBorder="1" applyAlignment="1">
      <alignment vertical="center"/>
    </xf>
    <xf numFmtId="176" fontId="0" fillId="0" borderId="110" xfId="0" applyNumberFormat="1" applyBorder="1" applyAlignment="1">
      <alignment vertical="center"/>
    </xf>
    <xf numFmtId="176" fontId="0" fillId="0" borderId="18" xfId="0" applyNumberFormat="1" applyBorder="1" applyAlignment="1">
      <alignment vertical="center"/>
    </xf>
    <xf numFmtId="176" fontId="0" fillId="0" borderId="110" xfId="0" applyNumberFormat="1" applyFill="1" applyBorder="1" applyAlignment="1">
      <alignment vertical="center"/>
    </xf>
    <xf numFmtId="176" fontId="0" fillId="0" borderId="18" xfId="0" applyNumberFormat="1" applyFill="1" applyBorder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27" xfId="0" applyNumberFormat="1" applyFill="1" applyBorder="1" applyAlignment="1">
      <alignment horizontal="center" vertical="center"/>
    </xf>
    <xf numFmtId="176" fontId="0" fillId="0" borderId="27" xfId="0" applyNumberFormat="1" applyFill="1" applyBorder="1" applyAlignment="1">
      <alignment horizontal="left" vertical="center"/>
    </xf>
    <xf numFmtId="176" fontId="20" fillId="0" borderId="24" xfId="0" applyNumberFormat="1" applyFont="1" applyFill="1" applyBorder="1" applyAlignment="1">
      <alignment vertical="center"/>
    </xf>
    <xf numFmtId="176" fontId="20" fillId="0" borderId="26" xfId="0" applyNumberFormat="1" applyFont="1" applyFill="1" applyBorder="1" applyAlignment="1">
      <alignment vertical="center"/>
    </xf>
    <xf numFmtId="176" fontId="20" fillId="0" borderId="72" xfId="0" applyNumberFormat="1" applyFont="1" applyFill="1" applyBorder="1" applyAlignment="1">
      <alignment vertical="center"/>
    </xf>
    <xf numFmtId="176" fontId="1" fillId="0" borderId="71" xfId="0" applyNumberFormat="1" applyFont="1" applyFill="1" applyBorder="1" applyAlignment="1">
      <alignment vertical="center"/>
    </xf>
    <xf numFmtId="176" fontId="1" fillId="0" borderId="26" xfId="0" applyNumberFormat="1" applyFont="1" applyFill="1" applyBorder="1" applyAlignment="1">
      <alignment vertical="center"/>
    </xf>
    <xf numFmtId="176" fontId="0" fillId="0" borderId="111" xfId="0" applyNumberFormat="1" applyFill="1" applyBorder="1" applyAlignment="1">
      <alignment vertical="center"/>
    </xf>
    <xf numFmtId="176" fontId="0" fillId="0" borderId="112" xfId="0" applyNumberFormat="1" applyFill="1" applyBorder="1" applyAlignment="1">
      <alignment vertical="center"/>
    </xf>
    <xf numFmtId="176" fontId="0" fillId="0" borderId="23" xfId="0" applyNumberFormat="1" applyFill="1" applyBorder="1" applyAlignment="1">
      <alignment vertical="center"/>
    </xf>
    <xf numFmtId="176" fontId="20" fillId="0" borderId="47" xfId="0" applyNumberFormat="1" applyFont="1" applyBorder="1" applyAlignment="1">
      <alignment vertical="center"/>
    </xf>
    <xf numFmtId="176" fontId="20" fillId="0" borderId="50" xfId="0" applyNumberFormat="1" applyFont="1" applyBorder="1" applyAlignment="1">
      <alignment vertical="center"/>
    </xf>
    <xf numFmtId="176" fontId="20" fillId="0" borderId="51" xfId="0" applyNumberFormat="1" applyFont="1" applyBorder="1" applyAlignment="1">
      <alignment vertical="center"/>
    </xf>
    <xf numFmtId="176" fontId="5" fillId="0" borderId="49" xfId="0" applyNumberFormat="1" applyFont="1" applyBorder="1" applyAlignment="1">
      <alignment vertical="center"/>
    </xf>
    <xf numFmtId="176" fontId="5" fillId="0" borderId="50" xfId="0" applyNumberFormat="1" applyFont="1" applyFill="1" applyBorder="1" applyAlignment="1">
      <alignment vertical="center"/>
    </xf>
    <xf numFmtId="176" fontId="5" fillId="0" borderId="50" xfId="0" applyNumberFormat="1" applyFont="1" applyBorder="1" applyAlignment="1">
      <alignment vertical="center"/>
    </xf>
    <xf numFmtId="176" fontId="5" fillId="0" borderId="92" xfId="0" applyNumberFormat="1" applyFont="1" applyBorder="1" applyAlignment="1">
      <alignment vertical="center"/>
    </xf>
    <xf numFmtId="176" fontId="5" fillId="0" borderId="113" xfId="0" applyNumberFormat="1" applyFont="1" applyBorder="1" applyAlignment="1">
      <alignment vertical="center"/>
    </xf>
    <xf numFmtId="176" fontId="0" fillId="0" borderId="6" xfId="0" applyNumberFormat="1" applyBorder="1" applyAlignment="1">
      <alignment vertical="center"/>
    </xf>
    <xf numFmtId="176" fontId="13" fillId="0" borderId="42" xfId="0" applyNumberFormat="1" applyFont="1" applyBorder="1" applyAlignment="1">
      <alignment horizontal="center" vertical="center"/>
    </xf>
    <xf numFmtId="176" fontId="13" fillId="0" borderId="43" xfId="0" applyNumberFormat="1" applyFont="1" applyBorder="1" applyAlignment="1">
      <alignment horizontal="center" vertical="center"/>
    </xf>
    <xf numFmtId="176" fontId="13" fillId="0" borderId="44" xfId="0" applyNumberFormat="1" applyFont="1" applyBorder="1" applyAlignment="1">
      <alignment horizontal="center" vertical="center"/>
    </xf>
    <xf numFmtId="9" fontId="21" fillId="0" borderId="69" xfId="2" applyFont="1" applyBorder="1" applyAlignment="1">
      <alignment vertical="center"/>
    </xf>
    <xf numFmtId="9" fontId="21" fillId="0" borderId="25" xfId="2" applyFont="1" applyBorder="1" applyAlignment="1">
      <alignment vertical="center"/>
    </xf>
    <xf numFmtId="9" fontId="21" fillId="0" borderId="114" xfId="2" applyFont="1" applyBorder="1" applyAlignment="1">
      <alignment vertical="center"/>
    </xf>
    <xf numFmtId="9" fontId="13" fillId="0" borderId="115" xfId="2" applyFont="1" applyBorder="1" applyAlignment="1">
      <alignment vertical="center"/>
    </xf>
    <xf numFmtId="9" fontId="13" fillId="0" borderId="25" xfId="2" applyFont="1" applyFill="1" applyBorder="1" applyAlignment="1">
      <alignment vertical="center"/>
    </xf>
    <xf numFmtId="9" fontId="13" fillId="0" borderId="25" xfId="2" applyFont="1" applyBorder="1" applyAlignment="1">
      <alignment vertical="center"/>
    </xf>
    <xf numFmtId="9" fontId="13" fillId="0" borderId="116" xfId="2" applyFont="1" applyBorder="1" applyAlignment="1">
      <alignment vertical="center"/>
    </xf>
    <xf numFmtId="9" fontId="13" fillId="0" borderId="117" xfId="2" applyFont="1" applyBorder="1" applyAlignment="1">
      <alignment vertical="center"/>
    </xf>
    <xf numFmtId="176" fontId="13" fillId="0" borderId="44" xfId="0" applyNumberFormat="1" applyFont="1" applyBorder="1" applyAlignment="1">
      <alignment vertical="center"/>
    </xf>
    <xf numFmtId="176" fontId="13" fillId="0" borderId="0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vertical="center"/>
    </xf>
    <xf numFmtId="0" fontId="22" fillId="0" borderId="0" xfId="0" applyFont="1" applyAlignment="1">
      <alignment vertical="center"/>
    </xf>
    <xf numFmtId="41" fontId="22" fillId="0" borderId="0" xfId="1" applyFont="1" applyAlignment="1">
      <alignment vertical="center"/>
    </xf>
    <xf numFmtId="179" fontId="23" fillId="0" borderId="0" xfId="0" applyNumberFormat="1" applyFont="1" applyAlignment="1">
      <alignment vertical="center"/>
    </xf>
    <xf numFmtId="0" fontId="9" fillId="0" borderId="0" xfId="0" applyFont="1" applyAlignment="1">
      <alignment horizontal="right" vertical="center"/>
    </xf>
    <xf numFmtId="180" fontId="24" fillId="0" borderId="43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6" fontId="23" fillId="0" borderId="0" xfId="0" applyNumberFormat="1" applyFont="1" applyFill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2" borderId="118" xfId="0" applyFill="1" applyBorder="1" applyAlignment="1">
      <alignment vertical="center"/>
    </xf>
    <xf numFmtId="0" fontId="0" fillId="2" borderId="118" xfId="0" applyFill="1" applyBorder="1" applyAlignment="1">
      <alignment horizontal="center" vertical="center"/>
    </xf>
    <xf numFmtId="176" fontId="0" fillId="2" borderId="118" xfId="0" applyNumberFormat="1" applyFill="1" applyBorder="1" applyAlignment="1">
      <alignment horizontal="center" vertical="center"/>
    </xf>
    <xf numFmtId="176" fontId="0" fillId="2" borderId="118" xfId="0" applyNumberFormat="1" applyFill="1" applyBorder="1" applyAlignment="1">
      <alignment vertical="center"/>
    </xf>
    <xf numFmtId="176" fontId="0" fillId="0" borderId="21" xfId="0" applyNumberFormat="1" applyBorder="1" applyAlignment="1">
      <alignment vertical="center"/>
    </xf>
    <xf numFmtId="0" fontId="0" fillId="0" borderId="118" xfId="0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0" borderId="16" xfId="0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0" fontId="0" fillId="2" borderId="27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176" fontId="0" fillId="2" borderId="27" xfId="0" applyNumberFormat="1" applyFill="1" applyBorder="1" applyAlignment="1">
      <alignment horizontal="center" vertical="center"/>
    </xf>
    <xf numFmtId="176" fontId="0" fillId="2" borderId="27" xfId="0" applyNumberFormat="1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1" xfId="0" applyBorder="1" applyAlignment="1">
      <alignment vertical="center"/>
    </xf>
    <xf numFmtId="176" fontId="0" fillId="0" borderId="41" xfId="0" applyNumberFormat="1" applyBorder="1" applyAlignment="1">
      <alignment horizontal="center" vertical="center"/>
    </xf>
    <xf numFmtId="176" fontId="0" fillId="0" borderId="41" xfId="0" applyNumberFormat="1" applyBorder="1" applyAlignment="1">
      <alignment vertical="center"/>
    </xf>
    <xf numFmtId="176" fontId="0" fillId="0" borderId="4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2" borderId="119" xfId="0" applyFill="1" applyBorder="1" applyAlignment="1">
      <alignment vertical="center"/>
    </xf>
    <xf numFmtId="0" fontId="0" fillId="2" borderId="119" xfId="0" applyFill="1" applyBorder="1" applyAlignment="1">
      <alignment horizontal="center" vertical="center"/>
    </xf>
    <xf numFmtId="176" fontId="0" fillId="2" borderId="119" xfId="0" applyNumberFormat="1" applyFill="1" applyBorder="1" applyAlignment="1">
      <alignment horizontal="center" vertical="center"/>
    </xf>
    <xf numFmtId="176" fontId="0" fillId="2" borderId="119" xfId="0" applyNumberFormat="1" applyFill="1" applyBorder="1" applyAlignment="1">
      <alignment vertical="center"/>
    </xf>
    <xf numFmtId="176" fontId="0" fillId="0" borderId="40" xfId="0" applyNumberFormat="1" applyBorder="1" applyAlignment="1">
      <alignment vertical="center"/>
    </xf>
    <xf numFmtId="0" fontId="0" fillId="0" borderId="119" xfId="0" applyBorder="1" applyAlignment="1">
      <alignment vertical="center"/>
    </xf>
    <xf numFmtId="0" fontId="0" fillId="5" borderId="35" xfId="0" applyFill="1" applyBorder="1" applyAlignment="1">
      <alignment vertical="center"/>
    </xf>
    <xf numFmtId="0" fontId="0" fillId="2" borderId="120" xfId="0" applyFill="1" applyBorder="1" applyAlignment="1">
      <alignment vertical="center"/>
    </xf>
    <xf numFmtId="176" fontId="0" fillId="2" borderId="120" xfId="0" applyNumberFormat="1" applyFill="1" applyBorder="1" applyAlignment="1">
      <alignment horizontal="center" vertical="center"/>
    </xf>
    <xf numFmtId="176" fontId="0" fillId="2" borderId="120" xfId="0" applyNumberFormat="1" applyFill="1" applyBorder="1" applyAlignment="1">
      <alignment vertical="center"/>
    </xf>
    <xf numFmtId="176" fontId="0" fillId="0" borderId="121" xfId="0" applyNumberFormat="1" applyBorder="1" applyAlignment="1">
      <alignment vertical="center"/>
    </xf>
    <xf numFmtId="0" fontId="0" fillId="0" borderId="120" xfId="0" applyBorder="1" applyAlignment="1">
      <alignment vertical="center"/>
    </xf>
    <xf numFmtId="0" fontId="0" fillId="6" borderId="30" xfId="0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0" fillId="6" borderId="4" xfId="0" applyFill="1" applyBorder="1" applyAlignment="1">
      <alignment horizontal="center" vertical="center"/>
    </xf>
    <xf numFmtId="176" fontId="0" fillId="6" borderId="4" xfId="0" applyNumberFormat="1" applyFill="1" applyBorder="1" applyAlignment="1">
      <alignment horizontal="center" vertical="center"/>
    </xf>
    <xf numFmtId="176" fontId="0" fillId="6" borderId="4" xfId="0" applyNumberFormat="1" applyFill="1" applyBorder="1" applyAlignment="1">
      <alignment vertical="center"/>
    </xf>
    <xf numFmtId="176" fontId="0" fillId="6" borderId="30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23" xfId="0" applyNumberFormat="1" applyBorder="1" applyAlignment="1">
      <alignment vertical="center"/>
    </xf>
    <xf numFmtId="0" fontId="0" fillId="0" borderId="42" xfId="0" applyBorder="1" applyAlignment="1">
      <alignment horizontal="center" vertical="center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vertical="center"/>
    </xf>
    <xf numFmtId="176" fontId="0" fillId="0" borderId="7" xfId="0" applyNumberFormat="1" applyBorder="1" applyAlignment="1">
      <alignment horizontal="center" vertical="center"/>
    </xf>
    <xf numFmtId="176" fontId="0" fillId="0" borderId="7" xfId="0" applyNumberFormat="1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28" xfId="0" applyFill="1" applyBorder="1" applyAlignment="1">
      <alignment horizontal="center" vertical="center"/>
    </xf>
    <xf numFmtId="176" fontId="0" fillId="2" borderId="7" xfId="0" applyNumberFormat="1" applyFill="1" applyBorder="1" applyAlignment="1">
      <alignment horizontal="center" vertical="center"/>
    </xf>
    <xf numFmtId="176" fontId="0" fillId="2" borderId="7" xfId="0" applyNumberFormat="1" applyFill="1" applyBorder="1" applyAlignment="1">
      <alignment vertical="center"/>
    </xf>
    <xf numFmtId="176" fontId="0" fillId="0" borderId="30" xfId="0" applyNumberFormat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119" xfId="0" applyFill="1" applyBorder="1" applyAlignment="1">
      <alignment vertical="center"/>
    </xf>
    <xf numFmtId="0" fontId="0" fillId="0" borderId="37" xfId="0" applyFill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17" xfId="0" applyFill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7" xfId="0" applyFill="1" applyBorder="1" applyAlignment="1">
      <alignment vertical="center"/>
    </xf>
    <xf numFmtId="0" fontId="0" fillId="0" borderId="22" xfId="0" applyFill="1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28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176" fontId="0" fillId="0" borderId="28" xfId="0" applyNumberFormat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180" fontId="9" fillId="2" borderId="43" xfId="0" applyNumberFormat="1" applyFont="1" applyFill="1" applyBorder="1" applyAlignment="1">
      <alignment vertical="center"/>
    </xf>
    <xf numFmtId="176" fontId="23" fillId="0" borderId="0" xfId="0" applyNumberFormat="1" applyFont="1" applyFill="1" applyAlignment="1">
      <alignment vertical="center"/>
    </xf>
    <xf numFmtId="180" fontId="0" fillId="0" borderId="0" xfId="0" applyNumberFormat="1" applyAlignment="1">
      <alignment vertical="center"/>
    </xf>
    <xf numFmtId="181" fontId="0" fillId="0" borderId="41" xfId="0" applyNumberFormat="1" applyBorder="1" applyAlignment="1">
      <alignment vertical="center"/>
    </xf>
    <xf numFmtId="0" fontId="0" fillId="0" borderId="28" xfId="0" applyFill="1" applyBorder="1" applyAlignment="1">
      <alignment vertical="center"/>
    </xf>
    <xf numFmtId="0" fontId="0" fillId="0" borderId="37" xfId="0" applyFill="1" applyBorder="1" applyAlignment="1">
      <alignment vertical="center"/>
    </xf>
    <xf numFmtId="0" fontId="0" fillId="0" borderId="17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5" fillId="0" borderId="12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34" xfId="0" applyBorder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14" fontId="0" fillId="2" borderId="3" xfId="0" applyNumberForma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left" vertical="center"/>
    </xf>
    <xf numFmtId="3" fontId="0" fillId="0" borderId="56" xfId="0" applyNumberFormat="1" applyFont="1" applyFill="1" applyBorder="1" applyAlignment="1">
      <alignment horizontal="center" vertical="center"/>
    </xf>
    <xf numFmtId="0" fontId="0" fillId="7" borderId="7" xfId="0" applyFill="1" applyBorder="1" applyAlignment="1">
      <alignment vertical="center" wrapText="1"/>
    </xf>
    <xf numFmtId="41" fontId="1" fillId="7" borderId="16" xfId="1" applyFont="1" applyFill="1" applyBorder="1" applyAlignment="1">
      <alignment horizontal="right" vertical="center"/>
    </xf>
    <xf numFmtId="0" fontId="0" fillId="7" borderId="16" xfId="1" applyNumberFormat="1" applyFont="1" applyFill="1" applyBorder="1" applyAlignment="1">
      <alignment horizontal="left" vertical="center"/>
    </xf>
    <xf numFmtId="176" fontId="0" fillId="2" borderId="16" xfId="0" applyNumberFormat="1" applyFill="1" applyBorder="1" applyAlignment="1">
      <alignment horizontal="center" vertical="center"/>
    </xf>
    <xf numFmtId="0" fontId="0" fillId="2" borderId="120" xfId="0" applyFill="1" applyBorder="1" applyAlignment="1">
      <alignment vertical="center"/>
    </xf>
    <xf numFmtId="0" fontId="0" fillId="2" borderId="120" xfId="0" applyFill="1" applyBorder="1" applyAlignment="1">
      <alignment horizontal="center" vertical="center"/>
    </xf>
    <xf numFmtId="176" fontId="0" fillId="2" borderId="120" xfId="0" applyNumberFormat="1" applyFill="1" applyBorder="1" applyAlignment="1">
      <alignment horizontal="center" vertical="center"/>
    </xf>
    <xf numFmtId="176" fontId="0" fillId="2" borderId="120" xfId="0" applyNumberFormat="1" applyFill="1" applyBorder="1" applyAlignment="1">
      <alignment vertical="center"/>
    </xf>
    <xf numFmtId="0" fontId="0" fillId="2" borderId="27" xfId="0" applyFill="1" applyBorder="1" applyAlignment="1">
      <alignment vertical="center"/>
    </xf>
    <xf numFmtId="176" fontId="0" fillId="2" borderId="27" xfId="0" applyNumberFormat="1" applyFill="1" applyBorder="1" applyAlignment="1">
      <alignment vertical="center"/>
    </xf>
    <xf numFmtId="176" fontId="0" fillId="0" borderId="23" xfId="0" applyNumberFormat="1" applyBorder="1" applyAlignment="1">
      <alignment vertical="center"/>
    </xf>
    <xf numFmtId="176" fontId="0" fillId="2" borderId="16" xfId="0" applyNumberFormat="1" applyFill="1" applyBorder="1" applyAlignment="1">
      <alignment vertical="center"/>
    </xf>
    <xf numFmtId="176" fontId="0" fillId="2" borderId="27" xfId="0" applyNumberFormat="1" applyFill="1" applyBorder="1" applyAlignment="1">
      <alignment vertical="center"/>
    </xf>
    <xf numFmtId="176" fontId="0" fillId="2" borderId="119" xfId="0" applyNumberFormat="1" applyFill="1" applyBorder="1" applyAlignment="1">
      <alignment vertical="center"/>
    </xf>
    <xf numFmtId="176" fontId="0" fillId="7" borderId="16" xfId="0" applyNumberFormat="1" applyFill="1" applyBorder="1" applyAlignment="1">
      <alignment vertical="center"/>
    </xf>
    <xf numFmtId="176" fontId="0" fillId="7" borderId="4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7" borderId="119" xfId="0" applyNumberFormat="1" applyFill="1" applyBorder="1" applyAlignment="1">
      <alignment vertical="center"/>
    </xf>
    <xf numFmtId="180" fontId="9" fillId="2" borderId="43" xfId="0" applyNumberFormat="1" applyFont="1" applyFill="1" applyBorder="1" applyAlignment="1">
      <alignment vertical="center"/>
    </xf>
    <xf numFmtId="176" fontId="0" fillId="2" borderId="16" xfId="0" applyNumberFormat="1" applyFill="1" applyBorder="1" applyAlignment="1">
      <alignment vertical="center"/>
    </xf>
    <xf numFmtId="176" fontId="0" fillId="2" borderId="27" xfId="0" applyNumberFormat="1" applyFill="1" applyBorder="1" applyAlignment="1">
      <alignment vertical="center"/>
    </xf>
    <xf numFmtId="176" fontId="0" fillId="2" borderId="119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80" fontId="9" fillId="2" borderId="43" xfId="0" applyNumberFormat="1" applyFont="1" applyFill="1" applyBorder="1" applyAlignment="1">
      <alignment vertical="center"/>
    </xf>
    <xf numFmtId="176" fontId="0" fillId="2" borderId="16" xfId="0" applyNumberFormat="1" applyFill="1" applyBorder="1" applyAlignment="1">
      <alignment vertical="center"/>
    </xf>
    <xf numFmtId="176" fontId="0" fillId="2" borderId="27" xfId="0" applyNumberFormat="1" applyFill="1" applyBorder="1" applyAlignment="1">
      <alignment vertical="center"/>
    </xf>
    <xf numFmtId="176" fontId="0" fillId="2" borderId="119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2" borderId="16" xfId="0" applyNumberFormat="1" applyFill="1" applyBorder="1" applyAlignment="1">
      <alignment vertical="center"/>
    </xf>
    <xf numFmtId="176" fontId="0" fillId="7" borderId="16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7" borderId="119" xfId="0" applyNumberFormat="1" applyFill="1" applyBorder="1" applyAlignment="1">
      <alignment vertical="center"/>
    </xf>
    <xf numFmtId="176" fontId="0" fillId="7" borderId="27" xfId="0" applyNumberFormat="1" applyFill="1" applyBorder="1" applyAlignment="1">
      <alignment vertical="center"/>
    </xf>
    <xf numFmtId="0" fontId="0" fillId="2" borderId="27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176" fontId="0" fillId="7" borderId="16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7" borderId="119" xfId="0" applyNumberFormat="1" applyFill="1" applyBorder="1" applyAlignment="1">
      <alignment vertical="center"/>
    </xf>
    <xf numFmtId="176" fontId="0" fillId="7" borderId="27" xfId="0" applyNumberFormat="1" applyFill="1" applyBorder="1" applyAlignment="1">
      <alignment vertical="center"/>
    </xf>
    <xf numFmtId="180" fontId="9" fillId="2" borderId="43" xfId="0" applyNumberFormat="1" applyFont="1" applyFill="1" applyBorder="1" applyAlignment="1">
      <alignment vertical="center"/>
    </xf>
    <xf numFmtId="176" fontId="0" fillId="0" borderId="18" xfId="0" applyNumberFormat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0" fontId="0" fillId="2" borderId="16" xfId="0" applyFill="1" applyBorder="1" applyAlignment="1">
      <alignment horizontal="left" vertical="center"/>
    </xf>
    <xf numFmtId="0" fontId="0" fillId="2" borderId="27" xfId="0" applyFill="1" applyBorder="1" applyAlignment="1">
      <alignment vertical="center"/>
    </xf>
    <xf numFmtId="176" fontId="0" fillId="2" borderId="27" xfId="0" applyNumberFormat="1" applyFill="1" applyBorder="1" applyAlignment="1">
      <alignment vertical="center"/>
    </xf>
    <xf numFmtId="176" fontId="0" fillId="2" borderId="16" xfId="0" applyNumberFormat="1" applyFill="1" applyBorder="1" applyAlignment="1">
      <alignment vertical="center"/>
    </xf>
    <xf numFmtId="176" fontId="0" fillId="2" borderId="27" xfId="0" applyNumberFormat="1" applyFill="1" applyBorder="1" applyAlignment="1">
      <alignment vertical="center"/>
    </xf>
    <xf numFmtId="176" fontId="0" fillId="2" borderId="119" xfId="0" applyNumberFormat="1" applyFill="1" applyBorder="1" applyAlignment="1">
      <alignment vertical="center"/>
    </xf>
    <xf numFmtId="176" fontId="0" fillId="7" borderId="16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7" borderId="119" xfId="0" applyNumberFormat="1" applyFill="1" applyBorder="1" applyAlignment="1">
      <alignment vertical="center"/>
    </xf>
    <xf numFmtId="176" fontId="0" fillId="7" borderId="27" xfId="0" applyNumberFormat="1" applyFill="1" applyBorder="1" applyAlignment="1">
      <alignment vertical="center"/>
    </xf>
    <xf numFmtId="180" fontId="9" fillId="2" borderId="43" xfId="0" applyNumberFormat="1" applyFont="1" applyFill="1" applyBorder="1" applyAlignment="1">
      <alignment vertical="center"/>
    </xf>
    <xf numFmtId="176" fontId="0" fillId="2" borderId="16" xfId="0" applyNumberFormat="1" applyFill="1" applyBorder="1" applyAlignment="1">
      <alignment vertical="center"/>
    </xf>
    <xf numFmtId="176" fontId="0" fillId="2" borderId="27" xfId="0" applyNumberFormat="1" applyFill="1" applyBorder="1" applyAlignment="1">
      <alignment vertical="center"/>
    </xf>
    <xf numFmtId="176" fontId="0" fillId="2" borderId="119" xfId="0" applyNumberFormat="1" applyFill="1" applyBorder="1" applyAlignment="1">
      <alignment vertical="center"/>
    </xf>
    <xf numFmtId="176" fontId="0" fillId="7" borderId="16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7" borderId="119" xfId="0" applyNumberFormat="1" applyFill="1" applyBorder="1" applyAlignment="1">
      <alignment vertical="center"/>
    </xf>
    <xf numFmtId="176" fontId="0" fillId="7" borderId="27" xfId="0" applyNumberFormat="1" applyFill="1" applyBorder="1" applyAlignment="1">
      <alignment vertical="center"/>
    </xf>
    <xf numFmtId="180" fontId="9" fillId="2" borderId="43" xfId="0" applyNumberFormat="1" applyFont="1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0" fontId="0" fillId="2" borderId="16" xfId="0" applyFill="1" applyBorder="1" applyAlignment="1">
      <alignment horizontal="left" vertical="center"/>
    </xf>
    <xf numFmtId="0" fontId="0" fillId="2" borderId="27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176" fontId="0" fillId="2" borderId="27" xfId="0" applyNumberFormat="1" applyFill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2" borderId="16" xfId="0" applyNumberFormat="1" applyFill="1" applyBorder="1" applyAlignment="1">
      <alignment vertical="center"/>
    </xf>
    <xf numFmtId="176" fontId="0" fillId="2" borderId="27" xfId="0" applyNumberFormat="1" applyFill="1" applyBorder="1" applyAlignment="1">
      <alignment vertical="center"/>
    </xf>
    <xf numFmtId="176" fontId="0" fillId="2" borderId="119" xfId="0" applyNumberFormat="1" applyFill="1" applyBorder="1" applyAlignment="1">
      <alignment vertical="center"/>
    </xf>
    <xf numFmtId="176" fontId="0" fillId="7" borderId="16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7" borderId="119" xfId="0" applyNumberFormat="1" applyFill="1" applyBorder="1" applyAlignment="1">
      <alignment vertical="center"/>
    </xf>
    <xf numFmtId="176" fontId="0" fillId="7" borderId="27" xfId="0" applyNumberFormat="1" applyFill="1" applyBorder="1" applyAlignment="1">
      <alignment vertical="center"/>
    </xf>
    <xf numFmtId="180" fontId="9" fillId="2" borderId="43" xfId="0" applyNumberFormat="1" applyFont="1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0" fontId="0" fillId="2" borderId="16" xfId="0" applyFill="1" applyBorder="1" applyAlignment="1">
      <alignment horizontal="left" vertical="center"/>
    </xf>
    <xf numFmtId="0" fontId="0" fillId="2" borderId="27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176" fontId="0" fillId="2" borderId="27" xfId="0" applyNumberFormat="1" applyFill="1" applyBorder="1" applyAlignment="1">
      <alignment vertical="center"/>
    </xf>
    <xf numFmtId="176" fontId="1" fillId="0" borderId="19" xfId="0" applyNumberFormat="1" applyFont="1" applyFill="1" applyBorder="1" applyAlignment="1">
      <alignment horizontal="right" vertical="center"/>
    </xf>
    <xf numFmtId="176" fontId="1" fillId="0" borderId="3" xfId="0" applyNumberFormat="1" applyFont="1" applyFill="1" applyBorder="1" applyAlignment="1">
      <alignment horizontal="right" vertical="center"/>
    </xf>
    <xf numFmtId="176" fontId="0" fillId="2" borderId="16" xfId="0" applyNumberFormat="1" applyFill="1" applyBorder="1" applyAlignment="1">
      <alignment vertical="center"/>
    </xf>
    <xf numFmtId="176" fontId="0" fillId="2" borderId="27" xfId="0" applyNumberFormat="1" applyFill="1" applyBorder="1" applyAlignment="1">
      <alignment vertical="center"/>
    </xf>
    <xf numFmtId="176" fontId="0" fillId="2" borderId="119" xfId="0" applyNumberFormat="1" applyFill="1" applyBorder="1" applyAlignment="1">
      <alignment vertical="center"/>
    </xf>
    <xf numFmtId="176" fontId="0" fillId="7" borderId="16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7" borderId="119" xfId="0" applyNumberFormat="1" applyFill="1" applyBorder="1" applyAlignment="1">
      <alignment vertical="center"/>
    </xf>
    <xf numFmtId="176" fontId="0" fillId="7" borderId="27" xfId="0" applyNumberFormat="1" applyFill="1" applyBorder="1" applyAlignment="1">
      <alignment vertical="center"/>
    </xf>
    <xf numFmtId="176" fontId="1" fillId="0" borderId="18" xfId="0" applyNumberFormat="1" applyFont="1" applyFill="1" applyBorder="1" applyAlignment="1">
      <alignment horizontal="right" vertical="center"/>
    </xf>
    <xf numFmtId="0" fontId="1" fillId="0" borderId="12" xfId="0" applyFont="1" applyBorder="1" applyAlignment="1">
      <alignment horizontal="center" vertical="center" wrapText="1"/>
    </xf>
    <xf numFmtId="176" fontId="0" fillId="0" borderId="16" xfId="0" applyNumberFormat="1" applyBorder="1" applyAlignment="1">
      <alignment horizontal="center" vertical="center"/>
    </xf>
    <xf numFmtId="0" fontId="0" fillId="7" borderId="16" xfId="0" applyFill="1" applyBorder="1" applyAlignment="1">
      <alignment vertical="center"/>
    </xf>
    <xf numFmtId="176" fontId="0" fillId="2" borderId="16" xfId="0" applyNumberFormat="1" applyFill="1" applyBorder="1" applyAlignment="1">
      <alignment horizontal="right" vertical="center"/>
    </xf>
    <xf numFmtId="176" fontId="1" fillId="0" borderId="67" xfId="0" applyNumberFormat="1" applyFont="1" applyFill="1" applyBorder="1" applyAlignment="1">
      <alignment horizontal="right" vertical="center"/>
    </xf>
    <xf numFmtId="0" fontId="0" fillId="7" borderId="120" xfId="0" applyFill="1" applyBorder="1" applyAlignment="1">
      <alignment vertical="center"/>
    </xf>
    <xf numFmtId="0" fontId="0" fillId="7" borderId="16" xfId="0" applyFill="1" applyBorder="1" applyAlignment="1">
      <alignment vertical="center" wrapText="1"/>
    </xf>
    <xf numFmtId="180" fontId="9" fillId="2" borderId="43" xfId="0" applyNumberFormat="1" applyFont="1" applyFill="1" applyBorder="1" applyAlignment="1">
      <alignment vertical="center"/>
    </xf>
    <xf numFmtId="176" fontId="0" fillId="2" borderId="16" xfId="0" applyNumberFormat="1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176" fontId="0" fillId="2" borderId="119" xfId="0" applyNumberFormat="1" applyFill="1" applyBorder="1" applyAlignment="1">
      <alignment vertical="center"/>
    </xf>
    <xf numFmtId="0" fontId="0" fillId="2" borderId="120" xfId="0" applyFill="1" applyBorder="1" applyAlignment="1">
      <alignment vertical="center"/>
    </xf>
    <xf numFmtId="176" fontId="0" fillId="2" borderId="120" xfId="0" applyNumberFormat="1" applyFill="1" applyBorder="1" applyAlignment="1">
      <alignment horizontal="center" vertical="center"/>
    </xf>
    <xf numFmtId="176" fontId="0" fillId="2" borderId="120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41" fontId="1" fillId="7" borderId="16" xfId="1" applyFont="1" applyFill="1" applyBorder="1" applyAlignment="1">
      <alignment horizontal="right" vertical="center"/>
    </xf>
    <xf numFmtId="41" fontId="0" fillId="7" borderId="16" xfId="1" applyFont="1" applyFill="1" applyBorder="1" applyAlignment="1">
      <alignment horizontal="center" vertical="center"/>
    </xf>
    <xf numFmtId="0" fontId="0" fillId="2" borderId="120" xfId="0" applyFill="1" applyBorder="1" applyAlignment="1">
      <alignment horizontal="center" vertical="center"/>
    </xf>
    <xf numFmtId="176" fontId="0" fillId="7" borderId="27" xfId="0" applyNumberFormat="1" applyFill="1" applyBorder="1" applyAlignment="1">
      <alignment horizontal="right" vertical="center"/>
    </xf>
    <xf numFmtId="0" fontId="0" fillId="7" borderId="120" xfId="0" applyFill="1" applyBorder="1" applyAlignment="1">
      <alignment horizontal="center" vertical="center"/>
    </xf>
    <xf numFmtId="0" fontId="0" fillId="7" borderId="16" xfId="1" applyNumberFormat="1" applyFont="1" applyFill="1" applyBorder="1" applyAlignment="1">
      <alignment horizontal="left" vertical="center"/>
    </xf>
    <xf numFmtId="176" fontId="0" fillId="7" borderId="120" xfId="0" applyNumberFormat="1" applyFill="1" applyBorder="1" applyAlignment="1">
      <alignment vertical="center"/>
    </xf>
    <xf numFmtId="41" fontId="1" fillId="7" borderId="16" xfId="1" applyFont="1" applyFill="1" applyBorder="1" applyAlignment="1">
      <alignment horizontal="right" vertical="center"/>
    </xf>
    <xf numFmtId="41" fontId="1" fillId="2" borderId="16" xfId="1" applyFont="1" applyFill="1" applyBorder="1" applyAlignment="1">
      <alignment horizontal="right" vertical="center"/>
    </xf>
    <xf numFmtId="176" fontId="0" fillId="2" borderId="16" xfId="0" applyNumberFormat="1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176" fontId="0" fillId="2" borderId="119" xfId="0" applyNumberFormat="1" applyFill="1" applyBorder="1" applyAlignment="1">
      <alignment vertical="center"/>
    </xf>
    <xf numFmtId="0" fontId="0" fillId="2" borderId="120" xfId="0" applyFill="1" applyBorder="1" applyAlignment="1">
      <alignment vertical="center"/>
    </xf>
    <xf numFmtId="176" fontId="0" fillId="2" borderId="120" xfId="0" applyNumberFormat="1" applyFill="1" applyBorder="1" applyAlignment="1">
      <alignment horizontal="center" vertical="center"/>
    </xf>
    <xf numFmtId="176" fontId="0" fillId="2" borderId="120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80" fontId="9" fillId="2" borderId="43" xfId="0" applyNumberFormat="1" applyFont="1" applyFill="1" applyBorder="1" applyAlignment="1">
      <alignment vertical="center"/>
    </xf>
    <xf numFmtId="41" fontId="1" fillId="7" borderId="16" xfId="1" applyFont="1" applyFill="1" applyBorder="1" applyAlignment="1">
      <alignment horizontal="right" vertical="center"/>
    </xf>
    <xf numFmtId="0" fontId="0" fillId="7" borderId="16" xfId="1" applyNumberFormat="1" applyFont="1" applyFill="1" applyBorder="1" applyAlignment="1">
      <alignment horizontal="left" vertical="center"/>
    </xf>
    <xf numFmtId="41" fontId="0" fillId="7" borderId="16" xfId="1" applyFont="1" applyFill="1" applyBorder="1" applyAlignment="1">
      <alignment horizontal="center" vertical="center"/>
    </xf>
    <xf numFmtId="0" fontId="0" fillId="2" borderId="120" xfId="0" applyFill="1" applyBorder="1" applyAlignment="1">
      <alignment horizontal="center" vertical="center"/>
    </xf>
    <xf numFmtId="176" fontId="0" fillId="7" borderId="27" xfId="0" applyNumberFormat="1" applyFill="1" applyBorder="1" applyAlignment="1">
      <alignment horizontal="right"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176" fontId="0" fillId="7" borderId="16" xfId="0" applyNumberFormat="1" applyFill="1" applyBorder="1" applyAlignment="1">
      <alignment vertical="center"/>
    </xf>
    <xf numFmtId="0" fontId="0" fillId="7" borderId="16" xfId="0" applyFill="1" applyBorder="1" applyAlignment="1">
      <alignment vertical="center"/>
    </xf>
    <xf numFmtId="0" fontId="0" fillId="7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horizontal="right" vertical="center"/>
    </xf>
    <xf numFmtId="176" fontId="0" fillId="2" borderId="16" xfId="0" applyNumberFormat="1" applyFill="1" applyBorder="1" applyAlignment="1">
      <alignment vertical="center"/>
    </xf>
    <xf numFmtId="176" fontId="0" fillId="2" borderId="27" xfId="0" applyNumberFormat="1" applyFill="1" applyBorder="1" applyAlignment="1">
      <alignment vertical="center"/>
    </xf>
    <xf numFmtId="176" fontId="0" fillId="7" borderId="16" xfId="0" applyNumberFormat="1" applyFill="1" applyBorder="1" applyAlignment="1">
      <alignment vertical="center"/>
    </xf>
    <xf numFmtId="176" fontId="0" fillId="7" borderId="4" xfId="0" applyNumberFormat="1" applyFill="1" applyBorder="1" applyAlignment="1">
      <alignment vertical="center"/>
    </xf>
    <xf numFmtId="176" fontId="0" fillId="7" borderId="119" xfId="0" applyNumberFormat="1" applyFill="1" applyBorder="1" applyAlignment="1">
      <alignment vertical="center"/>
    </xf>
    <xf numFmtId="176" fontId="0" fillId="2" borderId="16" xfId="0" applyNumberFormat="1" applyFill="1" applyBorder="1" applyAlignment="1">
      <alignment horizontal="center" vertical="center"/>
    </xf>
    <xf numFmtId="0" fontId="0" fillId="2" borderId="120" xfId="0" applyFill="1" applyBorder="1" applyAlignment="1">
      <alignment vertical="center"/>
    </xf>
    <xf numFmtId="176" fontId="0" fillId="2" borderId="120" xfId="0" applyNumberFormat="1" applyFill="1" applyBorder="1" applyAlignment="1">
      <alignment horizontal="center" vertical="center"/>
    </xf>
    <xf numFmtId="176" fontId="0" fillId="2" borderId="120" xfId="0" applyNumberFormat="1" applyFill="1" applyBorder="1" applyAlignment="1">
      <alignment vertical="center"/>
    </xf>
    <xf numFmtId="41" fontId="1" fillId="7" borderId="16" xfId="1" applyFont="1" applyFill="1" applyBorder="1" applyAlignment="1">
      <alignment horizontal="right" vertical="center"/>
    </xf>
    <xf numFmtId="0" fontId="0" fillId="7" borderId="16" xfId="1" applyNumberFormat="1" applyFont="1" applyFill="1" applyBorder="1" applyAlignment="1">
      <alignment horizontal="left" vertical="center"/>
    </xf>
    <xf numFmtId="41" fontId="0" fillId="7" borderId="16" xfId="1" applyFont="1" applyFill="1" applyBorder="1" applyAlignment="1">
      <alignment horizontal="center" vertical="center"/>
    </xf>
    <xf numFmtId="0" fontId="0" fillId="2" borderId="120" xfId="0" applyFill="1" applyBorder="1" applyAlignment="1">
      <alignment horizontal="center" vertical="center"/>
    </xf>
    <xf numFmtId="180" fontId="9" fillId="2" borderId="43" xfId="0" applyNumberFormat="1" applyFont="1" applyFill="1" applyBorder="1" applyAlignment="1">
      <alignment vertical="center"/>
    </xf>
    <xf numFmtId="176" fontId="0" fillId="0" borderId="18" xfId="0" applyNumberFormat="1" applyBorder="1" applyAlignment="1">
      <alignment vertical="center"/>
    </xf>
    <xf numFmtId="0" fontId="0" fillId="2" borderId="16" xfId="0" applyFill="1" applyBorder="1" applyAlignment="1">
      <alignment vertical="center"/>
    </xf>
    <xf numFmtId="176" fontId="0" fillId="2" borderId="16" xfId="0" applyNumberFormat="1" applyFill="1" applyBorder="1" applyAlignment="1">
      <alignment vertical="center"/>
    </xf>
    <xf numFmtId="176" fontId="0" fillId="7" borderId="16" xfId="0" applyNumberFormat="1" applyFill="1" applyBorder="1" applyAlignment="1">
      <alignment vertical="center"/>
    </xf>
    <xf numFmtId="0" fontId="0" fillId="7" borderId="16" xfId="0" applyFill="1" applyBorder="1" applyAlignment="1">
      <alignment vertical="center"/>
    </xf>
    <xf numFmtId="0" fontId="0" fillId="7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horizontal="right" vertical="center"/>
    </xf>
    <xf numFmtId="176" fontId="0" fillId="2" borderId="120" xfId="0" applyNumberFormat="1" applyFill="1" applyBorder="1" applyAlignment="1">
      <alignment vertical="center"/>
    </xf>
    <xf numFmtId="0" fontId="0" fillId="2" borderId="120" xfId="0" applyFill="1" applyBorder="1" applyAlignment="1">
      <alignment horizontal="center" vertical="center"/>
    </xf>
    <xf numFmtId="0" fontId="0" fillId="0" borderId="0" xfId="0" applyAlignment="1">
      <alignment vertical="center"/>
    </xf>
    <xf numFmtId="176" fontId="0" fillId="0" borderId="18" xfId="0" applyNumberFormat="1" applyBorder="1" applyAlignment="1">
      <alignment vertical="center"/>
    </xf>
    <xf numFmtId="0" fontId="0" fillId="0" borderId="35" xfId="0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0" fontId="0" fillId="0" borderId="120" xfId="0" applyBorder="1" applyAlignment="1">
      <alignment vertical="center"/>
    </xf>
    <xf numFmtId="176" fontId="0" fillId="7" borderId="16" xfId="0" applyNumberFormat="1" applyFill="1" applyBorder="1" applyAlignment="1">
      <alignment vertical="center"/>
    </xf>
    <xf numFmtId="0" fontId="0" fillId="7" borderId="16" xfId="0" applyFill="1" applyBorder="1" applyAlignment="1">
      <alignment vertical="center"/>
    </xf>
    <xf numFmtId="0" fontId="0" fillId="7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horizontal="right" vertical="center"/>
    </xf>
    <xf numFmtId="176" fontId="0" fillId="2" borderId="27" xfId="0" applyNumberFormat="1" applyFill="1" applyBorder="1" applyAlignment="1">
      <alignment vertical="center"/>
    </xf>
    <xf numFmtId="176" fontId="0" fillId="2" borderId="16" xfId="0" applyNumberFormat="1" applyFill="1" applyBorder="1" applyAlignment="1">
      <alignment vertical="center"/>
    </xf>
    <xf numFmtId="176" fontId="0" fillId="2" borderId="27" xfId="0" applyNumberFormat="1" applyFill="1" applyBorder="1" applyAlignment="1">
      <alignment vertical="center"/>
    </xf>
    <xf numFmtId="0" fontId="0" fillId="2" borderId="120" xfId="0" applyFill="1" applyBorder="1" applyAlignment="1">
      <alignment vertical="center"/>
    </xf>
    <xf numFmtId="176" fontId="0" fillId="2" borderId="120" xfId="0" applyNumberFormat="1" applyFill="1" applyBorder="1" applyAlignment="1">
      <alignment vertical="center"/>
    </xf>
    <xf numFmtId="0" fontId="0" fillId="2" borderId="120" xfId="0" applyFill="1" applyBorder="1" applyAlignment="1">
      <alignment horizontal="center" vertical="center"/>
    </xf>
    <xf numFmtId="176" fontId="0" fillId="7" borderId="16" xfId="0" applyNumberFormat="1" applyFill="1" applyBorder="1" applyAlignment="1">
      <alignment vertical="center"/>
    </xf>
    <xf numFmtId="176" fontId="0" fillId="7" borderId="4" xfId="0" applyNumberFormat="1" applyFill="1" applyBorder="1" applyAlignment="1">
      <alignment vertical="center"/>
    </xf>
    <xf numFmtId="176" fontId="0" fillId="7" borderId="119" xfId="0" applyNumberFormat="1" applyFill="1" applyBorder="1" applyAlignment="1">
      <alignment vertical="center"/>
    </xf>
    <xf numFmtId="176" fontId="0" fillId="2" borderId="120" xfId="0" applyNumberFormat="1" applyFill="1" applyBorder="1" applyAlignment="1">
      <alignment horizontal="center" vertical="center"/>
    </xf>
    <xf numFmtId="0" fontId="0" fillId="2" borderId="118" xfId="0" applyFill="1" applyBorder="1" applyAlignment="1">
      <alignment vertical="center"/>
    </xf>
    <xf numFmtId="0" fontId="0" fillId="2" borderId="118" xfId="0" applyFill="1" applyBorder="1" applyAlignment="1">
      <alignment horizontal="center" vertical="center"/>
    </xf>
    <xf numFmtId="176" fontId="0" fillId="2" borderId="118" xfId="0" applyNumberFormat="1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176" fontId="0" fillId="7" borderId="16" xfId="0" applyNumberFormat="1" applyFill="1" applyBorder="1" applyAlignment="1">
      <alignment vertical="center"/>
    </xf>
    <xf numFmtId="0" fontId="0" fillId="7" borderId="16" xfId="0" applyFill="1" applyBorder="1" applyAlignment="1">
      <alignment vertical="center"/>
    </xf>
    <xf numFmtId="0" fontId="0" fillId="7" borderId="16" xfId="0" applyFill="1" applyBorder="1" applyAlignment="1">
      <alignment horizontal="center" vertical="center"/>
    </xf>
    <xf numFmtId="176" fontId="0" fillId="0" borderId="18" xfId="0" applyNumberFormat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176" fontId="0" fillId="7" borderId="16" xfId="0" applyNumberFormat="1" applyFill="1" applyBorder="1" applyAlignment="1">
      <alignment vertical="center"/>
    </xf>
    <xf numFmtId="0" fontId="0" fillId="7" borderId="16" xfId="0" applyFill="1" applyBorder="1" applyAlignment="1">
      <alignment vertical="center"/>
    </xf>
    <xf numFmtId="0" fontId="0" fillId="7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horizontal="right" vertical="center"/>
    </xf>
    <xf numFmtId="176" fontId="0" fillId="0" borderId="18" xfId="0" applyNumberFormat="1" applyBorder="1" applyAlignment="1">
      <alignment vertical="center"/>
    </xf>
    <xf numFmtId="0" fontId="0" fillId="2" borderId="118" xfId="0" applyFill="1" applyBorder="1" applyAlignment="1">
      <alignment vertical="center"/>
    </xf>
    <xf numFmtId="0" fontId="0" fillId="2" borderId="118" xfId="0" applyFill="1" applyBorder="1" applyAlignment="1">
      <alignment horizontal="center" vertical="center"/>
    </xf>
    <xf numFmtId="176" fontId="0" fillId="2" borderId="118" xfId="0" applyNumberFormat="1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0" fontId="0" fillId="2" borderId="27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176" fontId="0" fillId="2" borderId="27" xfId="0" applyNumberFormat="1" applyFill="1" applyBorder="1" applyAlignment="1">
      <alignment vertical="center"/>
    </xf>
    <xf numFmtId="0" fontId="0" fillId="2" borderId="120" xfId="0" applyFill="1" applyBorder="1" applyAlignment="1">
      <alignment vertical="center"/>
    </xf>
    <xf numFmtId="176" fontId="0" fillId="2" borderId="120" xfId="0" applyNumberFormat="1" applyFill="1" applyBorder="1" applyAlignment="1">
      <alignment vertical="center"/>
    </xf>
    <xf numFmtId="176" fontId="0" fillId="7" borderId="16" xfId="0" applyNumberFormat="1" applyFill="1" applyBorder="1" applyAlignment="1">
      <alignment vertical="center"/>
    </xf>
    <xf numFmtId="0" fontId="0" fillId="2" borderId="120" xfId="0" applyFill="1" applyBorder="1" applyAlignment="1">
      <alignment horizontal="center" vertical="center"/>
    </xf>
    <xf numFmtId="0" fontId="0" fillId="7" borderId="16" xfId="0" applyFill="1" applyBorder="1" applyAlignment="1">
      <alignment vertical="center"/>
    </xf>
    <xf numFmtId="0" fontId="0" fillId="7" borderId="16" xfId="0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horizontal="right" vertical="center"/>
    </xf>
    <xf numFmtId="176" fontId="0" fillId="2" borderId="16" xfId="0" applyNumberFormat="1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0" fontId="0" fillId="2" borderId="16" xfId="0" applyFill="1" applyBorder="1" applyAlignment="1">
      <alignment vertical="center"/>
    </xf>
    <xf numFmtId="176" fontId="0" fillId="2" borderId="16" xfId="0" applyNumberFormat="1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0" fontId="0" fillId="2" borderId="16" xfId="0" applyFill="1" applyBorder="1" applyAlignment="1">
      <alignment vertical="center"/>
    </xf>
    <xf numFmtId="0" fontId="0" fillId="0" borderId="0" xfId="0" applyAlignment="1">
      <alignment vertical="center"/>
    </xf>
    <xf numFmtId="176" fontId="0" fillId="0" borderId="18" xfId="0" applyNumberFormat="1" applyBorder="1" applyAlignment="1">
      <alignment vertical="center"/>
    </xf>
    <xf numFmtId="0" fontId="0" fillId="0" borderId="35" xfId="0" applyBorder="1" applyAlignment="1">
      <alignment vertical="center"/>
    </xf>
    <xf numFmtId="0" fontId="0" fillId="2" borderId="118" xfId="0" applyFill="1" applyBorder="1" applyAlignment="1">
      <alignment vertical="center"/>
    </xf>
    <xf numFmtId="0" fontId="0" fillId="2" borderId="118" xfId="0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2" borderId="27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176" fontId="0" fillId="2" borderId="27" xfId="0" applyNumberFormat="1" applyFill="1" applyBorder="1" applyAlignment="1">
      <alignment vertical="center"/>
    </xf>
    <xf numFmtId="176" fontId="0" fillId="2" borderId="7" xfId="0" applyNumberFormat="1" applyFill="1" applyBorder="1" applyAlignment="1">
      <alignment vertical="center"/>
    </xf>
    <xf numFmtId="176" fontId="0" fillId="7" borderId="16" xfId="0" applyNumberFormat="1" applyFill="1" applyBorder="1" applyAlignment="1">
      <alignment vertical="center"/>
    </xf>
    <xf numFmtId="176" fontId="0" fillId="2" borderId="16" xfId="0" applyNumberFormat="1" applyFill="1" applyBorder="1" applyAlignment="1">
      <alignment horizontal="right" vertical="center"/>
    </xf>
    <xf numFmtId="0" fontId="0" fillId="7" borderId="16" xfId="0" applyFill="1" applyBorder="1" applyAlignment="1">
      <alignment vertical="center"/>
    </xf>
    <xf numFmtId="0" fontId="0" fillId="7" borderId="16" xfId="0" applyFill="1" applyBorder="1" applyAlignment="1">
      <alignment horizontal="center" vertical="center"/>
    </xf>
    <xf numFmtId="176" fontId="0" fillId="0" borderId="119" xfId="0" applyNumberFormat="1" applyBorder="1" applyAlignment="1">
      <alignment vertical="center"/>
    </xf>
    <xf numFmtId="176" fontId="0" fillId="0" borderId="16" xfId="0" applyNumberFormat="1" applyBorder="1" applyAlignment="1">
      <alignment vertical="center"/>
    </xf>
    <xf numFmtId="0" fontId="1" fillId="2" borderId="45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 textRotation="255"/>
    </xf>
    <xf numFmtId="0" fontId="1" fillId="0" borderId="34" xfId="0" applyFont="1" applyBorder="1" applyAlignment="1">
      <alignment horizontal="center" vertical="center" textRotation="255"/>
    </xf>
    <xf numFmtId="0" fontId="1" fillId="0" borderId="41" xfId="0" applyFont="1" applyBorder="1" applyAlignment="1">
      <alignment horizontal="center" vertical="center" textRotation="255"/>
    </xf>
    <xf numFmtId="0" fontId="1" fillId="2" borderId="5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0" borderId="28" xfId="0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35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36" xfId="0" applyFont="1" applyFill="1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1" fillId="2" borderId="39" xfId="0" applyFont="1" applyFill="1" applyBorder="1" applyAlignment="1">
      <alignment vertical="center"/>
    </xf>
    <xf numFmtId="0" fontId="1" fillId="2" borderId="40" xfId="0" applyFont="1" applyFill="1" applyBorder="1" applyAlignment="1">
      <alignment vertical="center"/>
    </xf>
    <xf numFmtId="177" fontId="1" fillId="2" borderId="35" xfId="0" applyNumberFormat="1" applyFont="1" applyFill="1" applyBorder="1" applyAlignment="1">
      <alignment horizontal="left" vertical="center"/>
    </xf>
    <xf numFmtId="177" fontId="1" fillId="2" borderId="0" xfId="0" applyNumberFormat="1" applyFont="1" applyFill="1" applyBorder="1" applyAlignment="1">
      <alignment horizontal="left" vertical="center"/>
    </xf>
    <xf numFmtId="177" fontId="1" fillId="2" borderId="36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178" fontId="1" fillId="2" borderId="35" xfId="0" applyNumberFormat="1" applyFont="1" applyFill="1" applyBorder="1" applyAlignment="1">
      <alignment vertical="center"/>
    </xf>
    <xf numFmtId="178" fontId="1" fillId="2" borderId="0" xfId="0" applyNumberFormat="1" applyFont="1" applyFill="1" applyBorder="1" applyAlignment="1">
      <alignment vertical="center"/>
    </xf>
    <xf numFmtId="178" fontId="1" fillId="2" borderId="36" xfId="0" applyNumberFormat="1" applyFont="1" applyFill="1" applyBorder="1" applyAlignment="1">
      <alignment vertical="center"/>
    </xf>
    <xf numFmtId="0" fontId="1" fillId="2" borderId="42" xfId="0" applyFont="1" applyFill="1" applyBorder="1" applyAlignment="1">
      <alignment vertical="center"/>
    </xf>
    <xf numFmtId="0" fontId="1" fillId="2" borderId="43" xfId="0" applyFont="1" applyFill="1" applyBorder="1" applyAlignment="1">
      <alignment vertical="center"/>
    </xf>
    <xf numFmtId="0" fontId="1" fillId="2" borderId="44" xfId="0" applyFont="1" applyFill="1" applyBorder="1" applyAlignment="1">
      <alignment vertical="center"/>
    </xf>
    <xf numFmtId="176" fontId="1" fillId="0" borderId="28" xfId="0" applyNumberFormat="1" applyFont="1" applyBorder="1" applyAlignment="1">
      <alignment horizontal="center" vertical="center" wrapText="1"/>
    </xf>
    <xf numFmtId="176" fontId="1" fillId="0" borderId="30" xfId="0" applyNumberFormat="1" applyFont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left" vertical="center" shrinkToFit="1"/>
    </xf>
    <xf numFmtId="0" fontId="1" fillId="0" borderId="15" xfId="0" applyFont="1" applyFill="1" applyBorder="1" applyAlignment="1">
      <alignment horizontal="left" vertical="center" shrinkToFit="1"/>
    </xf>
    <xf numFmtId="0" fontId="1" fillId="0" borderId="17" xfId="0" applyFont="1" applyFill="1" applyBorder="1" applyAlignment="1">
      <alignment horizontal="left" vertical="center"/>
    </xf>
    <xf numFmtId="0" fontId="1" fillId="0" borderId="18" xfId="0" applyFont="1" applyFill="1" applyBorder="1" applyAlignment="1">
      <alignment horizontal="left" vertical="center"/>
    </xf>
    <xf numFmtId="0" fontId="1" fillId="0" borderId="22" xfId="0" applyFont="1" applyFill="1" applyBorder="1" applyAlignment="1">
      <alignment horizontal="left" vertical="center"/>
    </xf>
    <xf numFmtId="0" fontId="1" fillId="0" borderId="23" xfId="0" applyFont="1" applyFill="1" applyBorder="1" applyAlignment="1">
      <alignment horizontal="left" vertical="center"/>
    </xf>
    <xf numFmtId="176" fontId="1" fillId="0" borderId="28" xfId="0" applyNumberFormat="1" applyFont="1" applyBorder="1" applyAlignment="1">
      <alignment horizontal="center" vertical="center"/>
    </xf>
    <xf numFmtId="176" fontId="1" fillId="0" borderId="29" xfId="0" applyNumberFormat="1" applyFont="1" applyBorder="1" applyAlignment="1">
      <alignment horizontal="center" vertical="center"/>
    </xf>
    <xf numFmtId="176" fontId="1" fillId="0" borderId="30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255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3" fontId="1" fillId="0" borderId="45" xfId="0" applyNumberFormat="1" applyFont="1" applyFill="1" applyBorder="1" applyAlignment="1">
      <alignment horizontal="center" vertical="center"/>
    </xf>
    <xf numFmtId="3" fontId="1" fillId="0" borderId="46" xfId="0" applyNumberFormat="1" applyFont="1" applyFill="1" applyBorder="1" applyAlignment="1">
      <alignment horizontal="center" vertical="center"/>
    </xf>
    <xf numFmtId="3" fontId="1" fillId="0" borderId="71" xfId="0" applyNumberFormat="1" applyFont="1" applyFill="1" applyBorder="1" applyAlignment="1">
      <alignment horizontal="center" vertical="center"/>
    </xf>
    <xf numFmtId="3" fontId="0" fillId="0" borderId="45" xfId="0" quotePrefix="1" applyNumberFormat="1" applyFill="1" applyBorder="1" applyAlignment="1">
      <alignment horizontal="left" vertical="center"/>
    </xf>
    <xf numFmtId="3" fontId="0" fillId="0" borderId="46" xfId="0" quotePrefix="1" applyNumberFormat="1" applyFill="1" applyBorder="1" applyAlignment="1">
      <alignment horizontal="left" vertical="center"/>
    </xf>
    <xf numFmtId="3" fontId="0" fillId="0" borderId="71" xfId="0" quotePrefix="1" applyNumberFormat="1" applyFill="1" applyBorder="1" applyAlignment="1">
      <alignment horizontal="left" vertical="center"/>
    </xf>
    <xf numFmtId="3" fontId="1" fillId="0" borderId="88" xfId="0" applyNumberFormat="1" applyFont="1" applyFill="1" applyBorder="1" applyAlignment="1">
      <alignment horizontal="center" vertical="center"/>
    </xf>
    <xf numFmtId="3" fontId="13" fillId="0" borderId="89" xfId="0" quotePrefix="1" applyNumberFormat="1" applyFont="1" applyFill="1" applyBorder="1" applyAlignment="1">
      <alignment horizontal="left" vertical="center"/>
    </xf>
    <xf numFmtId="3" fontId="13" fillId="0" borderId="88" xfId="0" quotePrefix="1" applyNumberFormat="1" applyFont="1" applyFill="1" applyBorder="1" applyAlignment="1">
      <alignment horizontal="left" vertical="center"/>
    </xf>
    <xf numFmtId="3" fontId="13" fillId="0" borderId="90" xfId="0" quotePrefix="1" applyNumberFormat="1" applyFont="1" applyFill="1" applyBorder="1" applyAlignment="1">
      <alignment horizontal="left" vertical="center"/>
    </xf>
    <xf numFmtId="3" fontId="0" fillId="0" borderId="67" xfId="0" applyNumberFormat="1" applyFont="1" applyFill="1" applyBorder="1" applyAlignment="1">
      <alignment horizontal="center" vertical="center" wrapText="1"/>
    </xf>
    <xf numFmtId="3" fontId="0" fillId="0" borderId="20" xfId="0" applyNumberFormat="1" applyFont="1" applyFill="1" applyBorder="1" applyAlignment="1">
      <alignment horizontal="center" vertical="center"/>
    </xf>
    <xf numFmtId="3" fontId="0" fillId="0" borderId="60" xfId="0" applyNumberFormat="1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179" fontId="0" fillId="0" borderId="2" xfId="0" applyNumberFormat="1" applyFont="1" applyFill="1" applyBorder="1" applyAlignment="1">
      <alignment horizontal="center" vertical="center"/>
    </xf>
    <xf numFmtId="179" fontId="0" fillId="0" borderId="64" xfId="0" applyNumberFormat="1" applyFont="1" applyFill="1" applyBorder="1" applyAlignment="1">
      <alignment horizontal="center" vertical="center"/>
    </xf>
    <xf numFmtId="3" fontId="0" fillId="0" borderId="3" xfId="0" applyNumberFormat="1" applyFont="1" applyFill="1" applyBorder="1" applyAlignment="1">
      <alignment horizontal="center" vertical="center"/>
    </xf>
    <xf numFmtId="3" fontId="1" fillId="0" borderId="3" xfId="0" applyNumberFormat="1" applyFont="1" applyFill="1" applyBorder="1" applyAlignment="1">
      <alignment horizontal="center" vertical="center"/>
    </xf>
    <xf numFmtId="3" fontId="1" fillId="0" borderId="63" xfId="0" applyNumberFormat="1" applyFont="1" applyFill="1" applyBorder="1" applyAlignment="1">
      <alignment horizontal="center" vertical="center"/>
    </xf>
    <xf numFmtId="3" fontId="1" fillId="0" borderId="81" xfId="0" applyNumberFormat="1" applyFont="1" applyFill="1" applyBorder="1" applyAlignment="1">
      <alignment horizontal="center" vertical="center"/>
    </xf>
    <xf numFmtId="3" fontId="1" fillId="0" borderId="82" xfId="0" applyNumberFormat="1" applyFont="1" applyFill="1" applyBorder="1" applyAlignment="1">
      <alignment horizontal="center" vertical="center"/>
    </xf>
    <xf numFmtId="3" fontId="1" fillId="0" borderId="83" xfId="0" applyNumberFormat="1" applyFont="1" applyFill="1" applyBorder="1" applyAlignment="1">
      <alignment horizontal="center" vertical="center"/>
    </xf>
    <xf numFmtId="3" fontId="1" fillId="0" borderId="84" xfId="0" applyNumberFormat="1" applyFont="1" applyFill="1" applyBorder="1" applyAlignment="1">
      <alignment horizontal="center" vertical="center"/>
    </xf>
    <xf numFmtId="3" fontId="1" fillId="0" borderId="15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3" fontId="1" fillId="0" borderId="2" xfId="0" applyNumberFormat="1" applyFont="1" applyFill="1" applyBorder="1" applyAlignment="1">
      <alignment horizontal="center" vertical="center"/>
    </xf>
    <xf numFmtId="3" fontId="1" fillId="0" borderId="64" xfId="0" applyNumberFormat="1" applyFont="1" applyFill="1" applyBorder="1" applyAlignment="1">
      <alignment horizontal="center" vertical="center"/>
    </xf>
    <xf numFmtId="3" fontId="13" fillId="4" borderId="1" xfId="0" applyNumberFormat="1" applyFont="1" applyFill="1" applyBorder="1" applyAlignment="1">
      <alignment horizontal="left" vertical="center"/>
    </xf>
    <xf numFmtId="3" fontId="13" fillId="4" borderId="2" xfId="0" applyNumberFormat="1" applyFont="1" applyFill="1" applyBorder="1" applyAlignment="1">
      <alignment horizontal="left" vertical="center"/>
    </xf>
    <xf numFmtId="3" fontId="13" fillId="4" borderId="64" xfId="0" applyNumberFormat="1" applyFont="1" applyFill="1" applyBorder="1" applyAlignment="1">
      <alignment horizontal="left" vertical="center"/>
    </xf>
    <xf numFmtId="3" fontId="13" fillId="0" borderId="1" xfId="0" applyNumberFormat="1" applyFont="1" applyFill="1" applyBorder="1" applyAlignment="1">
      <alignment horizontal="left" vertical="center"/>
    </xf>
    <xf numFmtId="3" fontId="13" fillId="0" borderId="2" xfId="0" applyNumberFormat="1" applyFont="1" applyFill="1" applyBorder="1" applyAlignment="1">
      <alignment horizontal="left" vertical="center"/>
    </xf>
    <xf numFmtId="3" fontId="13" fillId="0" borderId="64" xfId="0" applyNumberFormat="1" applyFont="1" applyFill="1" applyBorder="1" applyAlignment="1">
      <alignment horizontal="left" vertical="center"/>
    </xf>
    <xf numFmtId="3" fontId="1" fillId="0" borderId="5" xfId="0" applyNumberFormat="1" applyFont="1" applyFill="1" applyBorder="1" applyAlignment="1">
      <alignment horizontal="center" vertical="center"/>
    </xf>
    <xf numFmtId="3" fontId="1" fillId="0" borderId="35" xfId="0" applyNumberFormat="1" applyFont="1" applyFill="1" applyBorder="1" applyAlignment="1">
      <alignment horizontal="center" vertical="center"/>
    </xf>
    <xf numFmtId="3" fontId="1" fillId="0" borderId="9" xfId="0" applyNumberFormat="1" applyFont="1" applyFill="1" applyBorder="1" applyAlignment="1">
      <alignment horizontal="center" vertical="center"/>
    </xf>
    <xf numFmtId="3" fontId="1" fillId="0" borderId="38" xfId="0" applyNumberFormat="1" applyFont="1" applyFill="1" applyBorder="1" applyAlignment="1">
      <alignment horizontal="center" vertical="center"/>
    </xf>
    <xf numFmtId="3" fontId="1" fillId="0" borderId="39" xfId="0" applyNumberFormat="1" applyFont="1" applyFill="1" applyBorder="1" applyAlignment="1">
      <alignment horizontal="center" vertical="center"/>
    </xf>
    <xf numFmtId="3" fontId="1" fillId="0" borderId="75" xfId="0" applyNumberFormat="1" applyFont="1" applyFill="1" applyBorder="1" applyAlignment="1">
      <alignment horizontal="center" vertical="center"/>
    </xf>
    <xf numFmtId="3" fontId="1" fillId="0" borderId="76" xfId="0" applyNumberFormat="1" applyFont="1" applyFill="1" applyBorder="1" applyAlignment="1">
      <alignment horizontal="center" vertical="center"/>
    </xf>
    <xf numFmtId="3" fontId="1" fillId="0" borderId="77" xfId="0" applyNumberFormat="1" applyFont="1" applyFill="1" applyBorder="1" applyAlignment="1">
      <alignment horizontal="center" vertical="center"/>
    </xf>
    <xf numFmtId="3" fontId="1" fillId="0" borderId="78" xfId="0" applyNumberFormat="1" applyFont="1" applyFill="1" applyBorder="1" applyAlignment="1">
      <alignment horizontal="center" vertical="center"/>
    </xf>
    <xf numFmtId="3" fontId="1" fillId="0" borderId="47" xfId="0" applyNumberFormat="1" applyFont="1" applyFill="1" applyBorder="1" applyAlignment="1">
      <alignment horizontal="center" vertical="center"/>
    </xf>
    <xf numFmtId="3" fontId="1" fillId="0" borderId="58" xfId="0" applyNumberFormat="1" applyFont="1" applyFill="1" applyBorder="1" applyAlignment="1">
      <alignment horizontal="center" vertical="center"/>
    </xf>
    <xf numFmtId="3" fontId="1" fillId="0" borderId="69" xfId="0" applyNumberFormat="1" applyFont="1" applyFill="1" applyBorder="1" applyAlignment="1">
      <alignment horizontal="center" vertical="center"/>
    </xf>
    <xf numFmtId="3" fontId="1" fillId="0" borderId="50" xfId="0" applyNumberFormat="1" applyFont="1" applyFill="1" applyBorder="1" applyAlignment="1">
      <alignment horizontal="center" vertical="center" wrapText="1"/>
    </xf>
    <xf numFmtId="3" fontId="1" fillId="0" borderId="20" xfId="0" applyNumberFormat="1" applyFont="1" applyFill="1" applyBorder="1" applyAlignment="1">
      <alignment horizontal="center" vertical="center" wrapText="1"/>
    </xf>
    <xf numFmtId="3" fontId="1" fillId="0" borderId="20" xfId="0" applyNumberFormat="1" applyFont="1" applyFill="1" applyBorder="1" applyAlignment="1">
      <alignment horizontal="center" vertical="center"/>
    </xf>
    <xf numFmtId="3" fontId="1" fillId="0" borderId="59" xfId="0" applyNumberFormat="1" applyFont="1" applyFill="1" applyBorder="1" applyAlignment="1">
      <alignment horizontal="center" vertical="center"/>
    </xf>
    <xf numFmtId="3" fontId="1" fillId="0" borderId="70" xfId="0" applyNumberFormat="1" applyFont="1" applyFill="1" applyBorder="1" applyAlignment="1">
      <alignment horizontal="center" vertical="center"/>
    </xf>
    <xf numFmtId="3" fontId="1" fillId="0" borderId="50" xfId="0" applyNumberFormat="1" applyFont="1" applyFill="1" applyBorder="1" applyAlignment="1">
      <alignment horizontal="center" vertical="center"/>
    </xf>
    <xf numFmtId="3" fontId="1" fillId="0" borderId="60" xfId="0" applyNumberFormat="1" applyFont="1" applyFill="1" applyBorder="1" applyAlignment="1">
      <alignment horizontal="center" vertical="center"/>
    </xf>
    <xf numFmtId="3" fontId="1" fillId="0" borderId="65" xfId="0" applyNumberFormat="1" applyFont="1" applyFill="1" applyBorder="1" applyAlignment="1">
      <alignment horizontal="center" vertical="center"/>
    </xf>
    <xf numFmtId="3" fontId="1" fillId="0" borderId="48" xfId="0" applyNumberFormat="1" applyFont="1" applyFill="1" applyBorder="1" applyAlignment="1">
      <alignment horizontal="center" vertical="center"/>
    </xf>
    <xf numFmtId="3" fontId="1" fillId="0" borderId="33" xfId="0" applyNumberFormat="1" applyFont="1" applyFill="1" applyBorder="1" applyAlignment="1">
      <alignment horizontal="center" vertical="center"/>
    </xf>
    <xf numFmtId="3" fontId="1" fillId="0" borderId="49" xfId="0" applyNumberFormat="1" applyFont="1" applyFill="1" applyBorder="1" applyAlignment="1">
      <alignment horizontal="center" vertical="center"/>
    </xf>
    <xf numFmtId="3" fontId="1" fillId="0" borderId="53" xfId="0" applyNumberFormat="1" applyFont="1" applyFill="1" applyBorder="1" applyAlignment="1">
      <alignment horizontal="center" vertical="center"/>
    </xf>
    <xf numFmtId="3" fontId="1" fillId="0" borderId="54" xfId="0" applyNumberFormat="1" applyFont="1" applyFill="1" applyBorder="1" applyAlignment="1">
      <alignment horizontal="center" vertical="center"/>
    </xf>
    <xf numFmtId="3" fontId="1" fillId="0" borderId="55" xfId="0" applyNumberFormat="1" applyFont="1" applyFill="1" applyBorder="1" applyAlignment="1">
      <alignment horizontal="center" vertical="center"/>
    </xf>
    <xf numFmtId="3" fontId="1" fillId="0" borderId="59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33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7" xfId="0" applyBorder="1" applyAlignment="1">
      <alignment horizontal="center" vertical="top" wrapText="1" shrinkToFit="1"/>
    </xf>
    <xf numFmtId="0" fontId="0" fillId="0" borderId="34" xfId="0" applyBorder="1" applyAlignment="1">
      <alignment horizontal="center" vertical="top" wrapText="1" shrinkToFit="1"/>
    </xf>
    <xf numFmtId="0" fontId="0" fillId="0" borderId="34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2" borderId="16" xfId="0" applyFill="1" applyBorder="1" applyAlignment="1">
      <alignment vertical="center" shrinkToFit="1"/>
    </xf>
    <xf numFmtId="0" fontId="0" fillId="2" borderId="41" xfId="0" applyFill="1" applyBorder="1" applyAlignment="1">
      <alignment vertical="center"/>
    </xf>
    <xf numFmtId="0" fontId="0" fillId="2" borderId="41" xfId="0" applyFill="1" applyBorder="1" applyAlignment="1">
      <alignment horizontal="center" vertical="center"/>
    </xf>
    <xf numFmtId="176" fontId="0" fillId="2" borderId="41" xfId="0" applyNumberFormat="1" applyFill="1" applyBorder="1" applyAlignment="1">
      <alignment vertical="center"/>
    </xf>
  </cellXfs>
  <cellStyles count="43">
    <cellStyle name="??&amp;O?&amp;H?_x0008__x000f__x0007_?_x0007__x0001__x0001_" xfId="4"/>
    <cellStyle name="_16폭차종별CT분석" xfId="5"/>
    <cellStyle name="_차종별CT분석" xfId="6"/>
    <cellStyle name="AeE­ [0]_°u¸RC×¸n_¾÷A¾º° " xfId="7"/>
    <cellStyle name="AeE­_°u¸RC×¸n_¾÷A¾º° " xfId="8"/>
    <cellStyle name="AÞ¸¶ [0]_°u¸RC×¸n_¾÷A¾º° " xfId="9"/>
    <cellStyle name="AÞ¸¶_°u¸RC×¸n_¾÷A¾º° " xfId="10"/>
    <cellStyle name="C￥AØ_°u¸RC×¸n_¾÷A¾º° " xfId="11"/>
    <cellStyle name="category" xfId="12"/>
    <cellStyle name="Comma [0]_ SG&amp;A Bridge " xfId="13"/>
    <cellStyle name="Comma_ SG&amp;A Bridge " xfId="14"/>
    <cellStyle name="Currency [0]_ SG&amp;A Bridge " xfId="15"/>
    <cellStyle name="Currency_ SG&amp;A Bridge " xfId="16"/>
    <cellStyle name="Grey" xfId="17"/>
    <cellStyle name="HEADER" xfId="18"/>
    <cellStyle name="Header1" xfId="19"/>
    <cellStyle name="Header2" xfId="20"/>
    <cellStyle name="Input [yellow]" xfId="21"/>
    <cellStyle name="Model" xfId="22"/>
    <cellStyle name="Normal - Style1" xfId="23"/>
    <cellStyle name="Normal_ SG&amp;A Bridge " xfId="24"/>
    <cellStyle name="Percent [2]" xfId="25"/>
    <cellStyle name="subhead" xfId="26"/>
    <cellStyle name="þ_x001d_ð'&amp;Oy?Hy9_x0008__x000f__x0007_æ_x0007__x0007__x0001__x0001_" xfId="27"/>
    <cellStyle name=" 坪 l_Sheet1_Q4 (2)" xfId="28"/>
    <cellStyle name="똿뗦먛귟 [0.00]_PRODUCT DETAIL Q1" xfId="29"/>
    <cellStyle name="똿뗦먛귟_PRODUCT DETAIL Q1" xfId="30"/>
    <cellStyle name="믅됞 [0.00]_PRODUCT DETAIL Q1" xfId="31"/>
    <cellStyle name="믅됞_PRODUCT DETAIL Q1" xfId="32"/>
    <cellStyle name="백분율" xfId="2" builtinId="5"/>
    <cellStyle name="뷭?_BOOKSHIP" xfId="33"/>
    <cellStyle name="쉼표 [0]" xfId="1" builtinId="6"/>
    <cellStyle name="쉼표 [0] 2" xfId="34"/>
    <cellStyle name="쉼표 [0] 2 2" xfId="35"/>
    <cellStyle name="스타일 1" xfId="36"/>
    <cellStyle name="콤마 [0]_1" xfId="37"/>
    <cellStyle name="콤마_1" xfId="38"/>
    <cellStyle name="표준" xfId="0" builtinId="0"/>
    <cellStyle name="표준 2" xfId="39"/>
    <cellStyle name="표준 2 2" xfId="40"/>
    <cellStyle name="표준 3" xfId="41"/>
    <cellStyle name="표준 3 2" xfId="42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466725</xdr:colOff>
      <xdr:row>3</xdr:row>
      <xdr:rowOff>57150</xdr:rowOff>
    </xdr:from>
    <xdr:to>
      <xdr:col>7</xdr:col>
      <xdr:colOff>937364</xdr:colOff>
      <xdr:row>5</xdr:row>
      <xdr:rowOff>16125</xdr:rowOff>
    </xdr:to>
    <xdr:pic>
      <xdr:nvPicPr>
        <xdr:cNvPr id="2" name="Picture 3" descr="도ㅏㅇ꺼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885825"/>
          <a:ext cx="470639" cy="54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15</xdr:row>
      <xdr:rowOff>28575</xdr:rowOff>
    </xdr:from>
    <xdr:to>
      <xdr:col>14</xdr:col>
      <xdr:colOff>9525</xdr:colOff>
      <xdr:row>16</xdr:row>
      <xdr:rowOff>0</xdr:rowOff>
    </xdr:to>
    <xdr:sp macro="" textlink="">
      <xdr:nvSpPr>
        <xdr:cNvPr id="2" name="AutoShape 5"/>
        <xdr:cNvSpPr>
          <a:spLocks/>
        </xdr:cNvSpPr>
      </xdr:nvSpPr>
      <xdr:spPr bwMode="auto">
        <a:xfrm>
          <a:off x="7705725" y="3857625"/>
          <a:ext cx="3009900" cy="21907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266700</xdr:colOff>
      <xdr:row>11</xdr:row>
      <xdr:rowOff>9525</xdr:rowOff>
    </xdr:from>
    <xdr:to>
      <xdr:col>14</xdr:col>
      <xdr:colOff>28575</xdr:colOff>
      <xdr:row>12</xdr:row>
      <xdr:rowOff>0</xdr:rowOff>
    </xdr:to>
    <xdr:sp macro="" textlink="">
      <xdr:nvSpPr>
        <xdr:cNvPr id="3" name="AutoShape 6"/>
        <xdr:cNvSpPr>
          <a:spLocks/>
        </xdr:cNvSpPr>
      </xdr:nvSpPr>
      <xdr:spPr bwMode="auto">
        <a:xfrm>
          <a:off x="7724775" y="2847975"/>
          <a:ext cx="3009900" cy="23812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266700</xdr:colOff>
      <xdr:row>17</xdr:row>
      <xdr:rowOff>9525</xdr:rowOff>
    </xdr:from>
    <xdr:to>
      <xdr:col>14</xdr:col>
      <xdr:colOff>28575</xdr:colOff>
      <xdr:row>18</xdr:row>
      <xdr:rowOff>0</xdr:rowOff>
    </xdr:to>
    <xdr:sp macro="" textlink="">
      <xdr:nvSpPr>
        <xdr:cNvPr id="4" name="AutoShape 7"/>
        <xdr:cNvSpPr>
          <a:spLocks/>
        </xdr:cNvSpPr>
      </xdr:nvSpPr>
      <xdr:spPr bwMode="auto">
        <a:xfrm>
          <a:off x="7724775" y="4333875"/>
          <a:ext cx="3009900" cy="23812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276225</xdr:colOff>
      <xdr:row>7</xdr:row>
      <xdr:rowOff>147640</xdr:rowOff>
    </xdr:from>
    <xdr:to>
      <xdr:col>14</xdr:col>
      <xdr:colOff>38100</xdr:colOff>
      <xdr:row>8</xdr:row>
      <xdr:rowOff>190501</xdr:rowOff>
    </xdr:to>
    <xdr:sp macro="" textlink="">
      <xdr:nvSpPr>
        <xdr:cNvPr id="5" name="AutoShape 9"/>
        <xdr:cNvSpPr>
          <a:spLocks/>
        </xdr:cNvSpPr>
      </xdr:nvSpPr>
      <xdr:spPr bwMode="auto">
        <a:xfrm>
          <a:off x="7734300" y="1995490"/>
          <a:ext cx="3009900" cy="290511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250026</xdr:colOff>
      <xdr:row>14</xdr:row>
      <xdr:rowOff>0</xdr:rowOff>
    </xdr:from>
    <xdr:to>
      <xdr:col>14</xdr:col>
      <xdr:colOff>11901</xdr:colOff>
      <xdr:row>14</xdr:row>
      <xdr:rowOff>221456</xdr:rowOff>
    </xdr:to>
    <xdr:sp macro="" textlink="">
      <xdr:nvSpPr>
        <xdr:cNvPr id="6" name="AutoShape 5"/>
        <xdr:cNvSpPr>
          <a:spLocks/>
        </xdr:cNvSpPr>
      </xdr:nvSpPr>
      <xdr:spPr bwMode="auto">
        <a:xfrm>
          <a:off x="7708101" y="3581400"/>
          <a:ext cx="3009900" cy="221456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261932</xdr:colOff>
      <xdr:row>8</xdr:row>
      <xdr:rowOff>226218</xdr:rowOff>
    </xdr:from>
    <xdr:to>
      <xdr:col>14</xdr:col>
      <xdr:colOff>23807</xdr:colOff>
      <xdr:row>10</xdr:row>
      <xdr:rowOff>190500</xdr:rowOff>
    </xdr:to>
    <xdr:sp macro="" textlink="">
      <xdr:nvSpPr>
        <xdr:cNvPr id="7" name="AutoShape 9"/>
        <xdr:cNvSpPr>
          <a:spLocks/>
        </xdr:cNvSpPr>
      </xdr:nvSpPr>
      <xdr:spPr bwMode="auto">
        <a:xfrm>
          <a:off x="7720007" y="2321718"/>
          <a:ext cx="3009900" cy="459582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6438900" y="0"/>
          <a:ext cx="19335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부만 기재하세요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6</xdr:col>
      <xdr:colOff>295275</xdr:colOff>
      <xdr:row>0</xdr:row>
      <xdr:rowOff>276225</xdr:rowOff>
    </xdr:to>
    <xdr:sp macro="[1]!값이있는행만출력하시오" textlink="">
      <xdr:nvSpPr>
        <xdr:cNvPr id="3" name="AutoShape 22"/>
        <xdr:cNvSpPr>
          <a:spLocks noChangeArrowheads="1"/>
        </xdr:cNvSpPr>
      </xdr:nvSpPr>
      <xdr:spPr bwMode="auto">
        <a:xfrm>
          <a:off x="3371850" y="19050"/>
          <a:ext cx="24003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39115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[1]!값이있는행만출력하시오" textlink="">
      <xdr:nvSpPr>
        <xdr:cNvPr id="3" name="AutoShape 5"/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209550</xdr:colOff>
      <xdr:row>0</xdr:row>
      <xdr:rowOff>0</xdr:rowOff>
    </xdr:from>
    <xdr:to>
      <xdr:col>8</xdr:col>
      <xdr:colOff>714375</xdr:colOff>
      <xdr:row>1</xdr:row>
      <xdr:rowOff>0</xdr:rowOff>
    </xdr:to>
    <xdr:sp macro="" textlink="">
      <xdr:nvSpPr>
        <xdr:cNvPr id="3" name="Rectangle 15"/>
        <xdr:cNvSpPr>
          <a:spLocks noChangeArrowheads="1"/>
        </xdr:cNvSpPr>
      </xdr:nvSpPr>
      <xdr:spPr bwMode="auto">
        <a:xfrm>
          <a:off x="51435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/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3" name="Rectangle 7"/>
        <xdr:cNvSpPr>
          <a:spLocks noChangeArrowheads="1"/>
        </xdr:cNvSpPr>
      </xdr:nvSpPr>
      <xdr:spPr bwMode="auto">
        <a:xfrm>
          <a:off x="51149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590550</xdr:colOff>
      <xdr:row>1</xdr:row>
      <xdr:rowOff>0</xdr:rowOff>
    </xdr:to>
    <xdr:sp macro="" textlink="">
      <xdr:nvSpPr>
        <xdr:cNvPr id="3" name="Rectangle 7"/>
        <xdr:cNvSpPr>
          <a:spLocks noChangeArrowheads="1"/>
        </xdr:cNvSpPr>
      </xdr:nvSpPr>
      <xdr:spPr bwMode="auto">
        <a:xfrm>
          <a:off x="50196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/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/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3" name="Rectangle 6"/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514350</xdr:colOff>
      <xdr:row>1</xdr:row>
      <xdr:rowOff>0</xdr:rowOff>
    </xdr:to>
    <xdr:sp macro="" textlink="">
      <xdr:nvSpPr>
        <xdr:cNvPr id="4" name="Rectangle 7"/>
        <xdr:cNvSpPr>
          <a:spLocks noChangeArrowheads="1"/>
        </xdr:cNvSpPr>
      </xdr:nvSpPr>
      <xdr:spPr bwMode="auto">
        <a:xfrm>
          <a:off x="49434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1]!값이있는행만출력하시오" textlink="">
      <xdr:nvSpPr>
        <xdr:cNvPr id="2" name="AutoShape 2"/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3" name="Rectangle 3"/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4" name="Rectangle 4"/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1]!값이있는행만출력하시오" textlink="">
      <xdr:nvSpPr>
        <xdr:cNvPr id="2" name="AutoShape 2"/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3" name="Rectangle 3"/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/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053536\Users\DSA\AppData\Local\Microsoft\Windows\INetCache\Content.Outlook\EZ4891R5\3.%20&#50577;&#49885;\&#53685;&#54633;&#44204;&#51201;&#49436;(&#49328;&#50629;&#50504;&#51204;&#44288;&#47532;&#48708;%20&#51088;&#46041;&#44228;&#49328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원가항목별(집계)"/>
      <sheetName val="단위공사별(집계)"/>
      <sheetName val="전기"/>
      <sheetName val="단위장비1"/>
      <sheetName val="단위장비2"/>
      <sheetName val="단위장비3"/>
      <sheetName val="단위장비4"/>
      <sheetName val="단위장비5"/>
      <sheetName val="단위장비6"/>
      <sheetName val="단위장비7"/>
      <sheetName val="단위장비8"/>
      <sheetName val="단위장비9"/>
      <sheetName val="단위장비10"/>
      <sheetName val="첨부(견적조건차이내역)"/>
      <sheetName val="통합견적서(산업안전관리비 자동계산)"/>
    </sheetNames>
    <definedNames>
      <definedName name="값이있는행만출력하시오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5"/>
  <sheetViews>
    <sheetView showGridLines="0" tabSelected="1" zoomScale="85" zoomScaleNormal="85" workbookViewId="0">
      <selection activeCell="L24" sqref="L24"/>
    </sheetView>
  </sheetViews>
  <sheetFormatPr defaultRowHeight="13.5"/>
  <cols>
    <col min="1" max="1" width="2" style="1" customWidth="1"/>
    <col min="2" max="2" width="4.875" style="1" customWidth="1"/>
    <col min="3" max="3" width="8.5" style="1" customWidth="1"/>
    <col min="4" max="4" width="16.875" style="1" customWidth="1"/>
    <col min="5" max="6" width="11.125" style="1" customWidth="1"/>
    <col min="7" max="7" width="12.375" style="1" customWidth="1"/>
    <col min="8" max="8" width="16" style="1" customWidth="1"/>
    <col min="9" max="9" width="8.5" style="1" customWidth="1"/>
    <col min="10" max="10" width="1.375" style="1" customWidth="1"/>
    <col min="11" max="11" width="9" style="1"/>
    <col min="12" max="12" width="33.25" style="1" customWidth="1"/>
    <col min="13" max="16384" width="9" style="1"/>
  </cols>
  <sheetData>
    <row r="1" spans="2:10">
      <c r="B1" s="1" t="s">
        <v>0</v>
      </c>
    </row>
    <row r="2" spans="2:10" ht="38.25">
      <c r="B2" s="613" t="s">
        <v>1</v>
      </c>
      <c r="C2" s="613"/>
      <c r="D2" s="613"/>
      <c r="E2" s="613"/>
      <c r="F2" s="613"/>
      <c r="G2" s="613"/>
      <c r="H2" s="613"/>
      <c r="I2" s="613"/>
    </row>
    <row r="4" spans="2:10" s="4" customFormat="1" ht="24" customHeight="1">
      <c r="B4" s="614" t="s">
        <v>2</v>
      </c>
      <c r="C4" s="614"/>
      <c r="D4" s="614"/>
      <c r="E4" s="2"/>
      <c r="F4" s="2"/>
      <c r="G4" s="320" t="s">
        <v>273</v>
      </c>
      <c r="H4" s="320"/>
      <c r="I4" s="3"/>
    </row>
    <row r="5" spans="2:10" s="4" customFormat="1" ht="21.75" customHeight="1">
      <c r="B5" s="615" t="s">
        <v>3</v>
      </c>
      <c r="C5" s="616"/>
      <c r="D5" s="321">
        <v>44056</v>
      </c>
      <c r="E5" s="6"/>
      <c r="F5" s="2"/>
      <c r="G5" s="7" t="s">
        <v>274</v>
      </c>
      <c r="H5" s="8"/>
      <c r="I5" s="8"/>
    </row>
    <row r="6" spans="2:10" s="4" customFormat="1" ht="21.75" customHeight="1">
      <c r="B6" s="615" t="s">
        <v>4</v>
      </c>
      <c r="C6" s="616"/>
      <c r="D6" s="5" t="s">
        <v>344</v>
      </c>
      <c r="E6" s="6"/>
      <c r="F6" s="2"/>
      <c r="G6" s="7" t="s">
        <v>275</v>
      </c>
      <c r="H6" s="9"/>
      <c r="I6" s="9"/>
      <c r="J6" s="1"/>
    </row>
    <row r="7" spans="2:10" s="4" customFormat="1" ht="21.75" customHeight="1">
      <c r="B7" s="617" t="s">
        <v>5</v>
      </c>
      <c r="C7" s="10" t="s">
        <v>6</v>
      </c>
      <c r="D7" s="5"/>
      <c r="E7" s="6"/>
      <c r="F7" s="2"/>
      <c r="G7" s="11" t="s">
        <v>276</v>
      </c>
      <c r="H7" s="9"/>
      <c r="I7" s="9"/>
      <c r="J7" s="1"/>
    </row>
    <row r="8" spans="2:10" s="4" customFormat="1" ht="21.75" customHeight="1">
      <c r="B8" s="617"/>
      <c r="C8" s="10" t="s">
        <v>7</v>
      </c>
      <c r="D8" s="12"/>
      <c r="E8" s="6"/>
      <c r="F8" s="2"/>
      <c r="G8" s="11" t="s">
        <v>277</v>
      </c>
      <c r="H8" s="9"/>
      <c r="I8" s="9"/>
      <c r="J8" s="1"/>
    </row>
    <row r="9" spans="2:10" s="4" customFormat="1" ht="21.75" customHeight="1">
      <c r="B9" s="615" t="s">
        <v>8</v>
      </c>
      <c r="C9" s="616"/>
      <c r="D9" s="324" t="s">
        <v>282</v>
      </c>
      <c r="E9" s="6"/>
      <c r="F9" s="2"/>
      <c r="G9" s="7" t="s">
        <v>278</v>
      </c>
      <c r="H9" s="9"/>
      <c r="I9" s="9"/>
      <c r="J9" s="1"/>
    </row>
    <row r="10" spans="2:10" s="4" customFormat="1" ht="21.75" customHeight="1">
      <c r="B10" s="615" t="s">
        <v>9</v>
      </c>
      <c r="C10" s="616"/>
      <c r="D10" s="5" t="s">
        <v>283</v>
      </c>
      <c r="E10" s="6"/>
      <c r="G10" s="13" t="s">
        <v>279</v>
      </c>
      <c r="H10" s="14" t="s">
        <v>280</v>
      </c>
      <c r="I10" s="15"/>
    </row>
    <row r="11" spans="2:10" s="4" customFormat="1" ht="21.75" customHeight="1">
      <c r="B11" s="615" t="s">
        <v>10</v>
      </c>
      <c r="C11" s="616"/>
      <c r="D11" s="322" t="s">
        <v>284</v>
      </c>
      <c r="E11" s="6"/>
      <c r="G11" s="323" t="s">
        <v>11</v>
      </c>
      <c r="H11" s="14" t="s">
        <v>281</v>
      </c>
      <c r="I11" s="15"/>
    </row>
    <row r="12" spans="2:10" s="17" customFormat="1" ht="10.5" customHeight="1">
      <c r="B12" s="16"/>
      <c r="I12" s="18"/>
    </row>
    <row r="13" spans="2:10" s="21" customFormat="1" ht="24.95" customHeight="1">
      <c r="B13" s="19" t="s">
        <v>384</v>
      </c>
      <c r="C13" s="19"/>
      <c r="D13" s="19"/>
      <c r="E13" s="19"/>
      <c r="F13" s="20"/>
      <c r="G13" s="20"/>
      <c r="H13" s="20"/>
    </row>
    <row r="14" spans="2:10" s="4" customFormat="1" ht="8.25" customHeight="1"/>
    <row r="15" spans="2:10" s="22" customFormat="1" ht="24.95" customHeight="1">
      <c r="B15" s="611" t="s">
        <v>12</v>
      </c>
      <c r="C15" s="618" t="s">
        <v>13</v>
      </c>
      <c r="D15" s="619"/>
      <c r="E15" s="622" t="s">
        <v>292</v>
      </c>
      <c r="F15" s="623"/>
      <c r="G15" s="623"/>
      <c r="H15" s="623"/>
      <c r="I15" s="611" t="s">
        <v>14</v>
      </c>
    </row>
    <row r="16" spans="2:10" s="22" customFormat="1" ht="29.25" customHeight="1" thickBot="1">
      <c r="B16" s="612"/>
      <c r="C16" s="620"/>
      <c r="D16" s="621"/>
      <c r="E16" s="23" t="s">
        <v>287</v>
      </c>
      <c r="F16" s="24" t="s">
        <v>288</v>
      </c>
      <c r="G16" s="423" t="s">
        <v>289</v>
      </c>
      <c r="H16" s="25" t="s">
        <v>17</v>
      </c>
      <c r="I16" s="612"/>
    </row>
    <row r="17" spans="1:10" s="26" customFormat="1" ht="24.95" customHeight="1">
      <c r="B17" s="27">
        <v>1</v>
      </c>
      <c r="C17" s="602" t="str">
        <f>IF('단위공사별(집계)'!N7&gt;0,'단위공사별(집계)'!B7,"")</f>
        <v>볼조립</v>
      </c>
      <c r="D17" s="603"/>
      <c r="E17" s="413">
        <f>IF('단위공사별(집계)'!N7&gt;1,('단위공사별(집계)'!D7+'단위공사별(집계)'!E7+'단위공사별(집계)'!F7+'단위공사별(집계)'!G7+'단위공사별(집계)'!H7+'단위공사별(집계)'!I7)/1000," ")</f>
        <v>37274.302868450883</v>
      </c>
      <c r="F17" s="427">
        <f>IF('단위공사별(집계)'!N7&gt;0,'단위공사별(집계)'!K17/1000,"")</f>
        <v>131250</v>
      </c>
      <c r="G17" s="414">
        <f>IF('단위공사별(집계)'!N7&gt;0,('단위공사별(집계)'!L7+'단위공사별(집계)'!M7)/1000,"")</f>
        <v>204.68217448942343</v>
      </c>
      <c r="H17" s="422">
        <f>IF('단위공사별(집계)'!N7&gt;0,'단위공사별(집계)'!N7/1000,"")</f>
        <v>49199.986527118672</v>
      </c>
      <c r="I17" s="28"/>
    </row>
    <row r="18" spans="1:10" s="26" customFormat="1" ht="24.95" customHeight="1">
      <c r="B18" s="29">
        <v>2</v>
      </c>
      <c r="C18" s="604" t="str">
        <f>IF('단위공사별(집계)'!N8&gt;0,'단위공사별(집계)'!B8,"")</f>
        <v>절각 토크측정</v>
      </c>
      <c r="D18" s="605"/>
      <c r="E18" s="413">
        <f>IF('단위공사별(집계)'!N8&gt;1,('단위공사별(집계)'!D8+'단위공사별(집계)'!E8+'단위공사별(집계)'!F8+'단위공사별(집계)'!G8+'단위공사별(집계)'!H8+'단위공사별(집계)'!I8)/1000," ")</f>
        <v>52821.551422697841</v>
      </c>
      <c r="F18" s="30"/>
      <c r="G18" s="414">
        <f>IF('단위공사별(집계)'!N8&gt;0,('단위공사별(집계)'!L8+'단위공사별(집계)'!M8)/1000,"")</f>
        <v>290.05586082345479</v>
      </c>
      <c r="H18" s="422">
        <f>IF('단위공사별(집계)'!N8&gt;0,'단위공사별(집계)'!N8/1000,"")</f>
        <v>69721.481512613114</v>
      </c>
      <c r="I18" s="32"/>
    </row>
    <row r="19" spans="1:10" s="26" customFormat="1" ht="24.95" customHeight="1">
      <c r="B19" s="29">
        <v>3</v>
      </c>
      <c r="C19" s="604" t="str">
        <f>IF('단위공사별(집계)'!N9&gt;0,'단위공사별(집계)'!B9,"")</f>
        <v>스파이더 비젼</v>
      </c>
      <c r="D19" s="605"/>
      <c r="E19" s="413">
        <f>IF('단위공사별(집계)'!N9&gt;1,('단위공사별(집계)'!D9+'단위공사별(집계)'!E9+'단위공사별(집계)'!F9+'단위공사별(집계)'!G9+'단위공사별(집계)'!H9+'단위공사별(집계)'!I9)/1000," ")</f>
        <v>53874.073084977623</v>
      </c>
      <c r="F19" s="30"/>
      <c r="G19" s="414">
        <f>IF('단위공사별(집계)'!N9&gt;0,('단위공사별(집계)'!L9+'단위공사별(집계)'!M9)/1000,"")</f>
        <v>295.83551076869873</v>
      </c>
      <c r="H19" s="422">
        <f>IF('단위공사별(집계)'!N9&gt;0,'단위공사별(집계)'!N9/1000,"")</f>
        <v>71110.750999058568</v>
      </c>
      <c r="I19" s="32"/>
    </row>
    <row r="20" spans="1:10" s="26" customFormat="1" ht="24.95" customHeight="1">
      <c r="B20" s="29">
        <v>4</v>
      </c>
      <c r="C20" s="604" t="str">
        <f>IF('단위공사별(집계)'!N10&gt;0,'단위공사별(집계)'!B10,"")</f>
        <v>TJ PUMPING</v>
      </c>
      <c r="D20" s="605"/>
      <c r="E20" s="413">
        <f>IF('단위공사별(집계)'!N10&gt;1,('단위공사별(집계)'!D10+'단위공사별(집계)'!E10+'단위공사별(집계)'!F10+'단위공사별(집계)'!G10+'단위공사별(집계)'!H10+'단위공사별(집계)'!I10)/1000," ")</f>
        <v>34449.535207208588</v>
      </c>
      <c r="F20" s="34"/>
      <c r="G20" s="31">
        <f>IF('단위공사별(집계)'!N10&gt;0,('단위공사별(집계)'!L10+'단위공사별(집계)'!M10)/1000,"")</f>
        <v>189.17069492209262</v>
      </c>
      <c r="H20" s="35">
        <f>IF('단위공사별(집계)'!N10&gt;0,'단위공사별(집계)'!N10/1000,"")</f>
        <v>45471.451848258359</v>
      </c>
      <c r="I20" s="32"/>
    </row>
    <row r="21" spans="1:10" s="26" customFormat="1" ht="24.95" customHeight="1">
      <c r="B21" s="29">
        <v>5</v>
      </c>
      <c r="C21" s="604" t="str">
        <f>IF('단위공사별(집계)'!N11&gt;0,'단위공사별(집계)'!B11,"")</f>
        <v>MAIN PALLETS</v>
      </c>
      <c r="D21" s="605"/>
      <c r="E21" s="33">
        <f>IF('단위공사별(집계)'!N11&gt;1,('단위공사별(집계)'!D11+'단위공사별(집계)'!E11+'단위공사별(집계)'!F11+'단위공사별(집계)'!G11+'단위공사별(집계)'!H11+'단위공사별(집계)'!I11)/1000," ")</f>
        <v>21301.033641376394</v>
      </c>
      <c r="F21" s="34"/>
      <c r="G21" s="31">
        <f>IF('단위공사별(집계)'!N11&gt;0,('단위공사별(집계)'!L11+'단위공사별(집계)'!M11)/1000,"")</f>
        <v>116.96910603469807</v>
      </c>
      <c r="H21" s="35">
        <f>IF('단위공사별(집계)'!N11&gt;0,'단위공사별(집계)'!N11/1000,"")</f>
        <v>28116.168178062981</v>
      </c>
      <c r="I21" s="32"/>
    </row>
    <row r="22" spans="1:10" s="26" customFormat="1" ht="24.95" customHeight="1">
      <c r="B22" s="29">
        <v>6</v>
      </c>
      <c r="C22" s="604" t="str">
        <f>IF('단위공사별(집계)'!N12&gt;0,'단위공사별(집계)'!B12,"")</f>
        <v>그리스 펌프</v>
      </c>
      <c r="D22" s="605"/>
      <c r="E22" s="33">
        <f>IF('단위공사별(집계)'!N12&gt;1,('단위공사별(집계)'!D12+'단위공사별(집계)'!E12+'단위공사별(집계)'!F12+'단위공사별(집계)'!G12+'단위공사별(집계)'!H12+'단위공사별(집계)'!I12)/1000," ")</f>
        <v>52826.56343061346</v>
      </c>
      <c r="F22" s="34"/>
      <c r="G22" s="31">
        <f>IF('단위공사별(집계)'!N12&gt;0,('단위공사별(집계)'!L12+'단위공사별(집계)'!M12)/1000,"")</f>
        <v>290.0833829660512</v>
      </c>
      <c r="H22" s="35">
        <f>IF('단위공사별(집계)'!N12&gt;0,'단위공사별(집계)'!N12/1000,"")</f>
        <v>69728.097081596192</v>
      </c>
      <c r="I22" s="32"/>
    </row>
    <row r="23" spans="1:10" s="26" customFormat="1" ht="24.95" customHeight="1">
      <c r="B23" s="29">
        <v>7</v>
      </c>
      <c r="C23" s="604" t="str">
        <f>IF('단위공사별(집계)'!N13&gt;0,'단위공사별(집계)'!B13,"")</f>
        <v>장비 리툴링</v>
      </c>
      <c r="D23" s="605"/>
      <c r="E23" s="33">
        <f>IF('단위공사별(집계)'!N13&gt;1,('단위공사별(집계)'!D13+'단위공사별(집계)'!E13+'단위공사별(집계)'!F13+'단위공사별(집계)'!G13+'단위공사별(집계)'!H13+'단위공사별(집계)'!I13)/1000," ")</f>
        <v>164844.94034467521</v>
      </c>
      <c r="F23" s="34"/>
      <c r="G23" s="31">
        <f>IF('단위공사별(집계)'!N13&gt;0,('단위공사별(집계)'!L13+'단위공사별(집계)'!M13)/1000,"")</f>
        <v>905.20326999558108</v>
      </c>
      <c r="H23" s="35">
        <f>IF('단위공사별(집계)'!N13&gt;0,'단위공사별(집계)'!N13/1000,"")</f>
        <v>217586.06385329209</v>
      </c>
      <c r="I23" s="32"/>
    </row>
    <row r="24" spans="1:10" s="26" customFormat="1" ht="24.95" customHeight="1">
      <c r="B24" s="36">
        <v>8</v>
      </c>
      <c r="C24" s="604" t="str">
        <f>IF('단위공사별(집계)'!N14&gt;0,'단위공사별(집계)'!B14,"")</f>
        <v/>
      </c>
      <c r="D24" s="605"/>
      <c r="E24" s="33" t="str">
        <f>IF('단위공사별(집계)'!N14&gt;1,('단위공사별(집계)'!D14+'단위공사별(집계)'!E14+'단위공사별(집계)'!F14+'단위공사별(집계)'!G14+'단위공사별(집계)'!H14+'단위공사별(집계)'!I14)/1000," ")</f>
        <v xml:space="preserve"> </v>
      </c>
      <c r="F24" s="34"/>
      <c r="G24" s="31" t="str">
        <f>IF('단위공사별(집계)'!N14&gt;0,('단위공사별(집계)'!L14+'단위공사별(집계)'!M14)/1000,"")</f>
        <v/>
      </c>
      <c r="H24" s="35" t="str">
        <f>IF('단위공사별(집계)'!N14&gt;0,'단위공사별(집계)'!N14/1000,"")</f>
        <v/>
      </c>
      <c r="I24" s="32"/>
    </row>
    <row r="25" spans="1:10" s="26" customFormat="1" ht="24.95" customHeight="1">
      <c r="B25" s="36">
        <v>9</v>
      </c>
      <c r="C25" s="604" t="str">
        <f>IF('단위공사별(집계)'!N15&gt;0,'단위공사별(집계)'!B15,"")</f>
        <v/>
      </c>
      <c r="D25" s="605"/>
      <c r="E25" s="33" t="str">
        <f>IF('단위공사별(집계)'!N15&gt;1,('단위공사별(집계)'!D15+'단위공사별(집계)'!E15+'단위공사별(집계)'!F15+'단위공사별(집계)'!G15+'단위공사별(집계)'!H15+'단위공사별(집계)'!I15)/1000," ")</f>
        <v xml:space="preserve"> </v>
      </c>
      <c r="F25" s="34"/>
      <c r="G25" s="31" t="str">
        <f>IF('단위공사별(집계)'!N15&gt;0,('단위공사별(집계)'!L15+'단위공사별(집계)'!M15)/1000,"")</f>
        <v/>
      </c>
      <c r="H25" s="35" t="str">
        <f>IF('단위공사별(집계)'!N15&gt;0,'단위공사별(집계)'!N15/1000,"")</f>
        <v/>
      </c>
      <c r="I25" s="32"/>
    </row>
    <row r="26" spans="1:10" s="26" customFormat="1" ht="24.95" customHeight="1">
      <c r="B26" s="37">
        <v>10</v>
      </c>
      <c r="C26" s="606" t="str">
        <f>IF('단위공사별(집계)'!N16&gt;0,'단위공사별(집계)'!B16,"")</f>
        <v/>
      </c>
      <c r="D26" s="607"/>
      <c r="E26" s="38" t="str">
        <f>IF('단위공사별(집계)'!N16&gt;1,('단위공사별(집계)'!D16+'단위공사별(집계)'!E16+'단위공사별(집계)'!F16+'단위공사별(집계)'!G16+'단위공사별(집계)'!H16+'단위공사별(집계)'!I16)/1000," ")</f>
        <v xml:space="preserve"> </v>
      </c>
      <c r="F26" s="39"/>
      <c r="G26" s="40" t="str">
        <f>IF('단위공사별(집계)'!N16&gt;0,('단위공사별(집계)'!L16+'단위공사별(집계)'!M16)/1000,"")</f>
        <v/>
      </c>
      <c r="H26" s="41" t="str">
        <f>IF('단위공사별(집계)'!N16&gt;0,'단위공사별(집계)'!N16/1000,"")</f>
        <v/>
      </c>
      <c r="I26" s="42"/>
    </row>
    <row r="27" spans="1:10" ht="24.95" customHeight="1">
      <c r="B27" s="608" t="s">
        <v>18</v>
      </c>
      <c r="C27" s="609"/>
      <c r="D27" s="610"/>
      <c r="E27" s="43">
        <f>SUM(E17:E26)</f>
        <v>417392</v>
      </c>
      <c r="F27" s="44">
        <f>SUM(F17:F23)</f>
        <v>131250</v>
      </c>
      <c r="G27" s="44">
        <f>SUM(G17:G26)</f>
        <v>2292</v>
      </c>
      <c r="H27" s="45">
        <f>ROUNDDOWN(SUM(H17:H26),-3)</f>
        <v>550000</v>
      </c>
      <c r="I27" s="46"/>
      <c r="J27" s="47"/>
    </row>
    <row r="28" spans="1:10" ht="4.5" customHeight="1">
      <c r="A28" s="48"/>
      <c r="B28" s="49"/>
      <c r="C28" s="50"/>
      <c r="D28" s="50"/>
      <c r="E28" s="51"/>
      <c r="F28" s="51"/>
      <c r="G28" s="51"/>
      <c r="H28" s="51"/>
      <c r="I28" s="48"/>
    </row>
    <row r="29" spans="1:10" ht="24" customHeight="1">
      <c r="A29" s="48"/>
      <c r="B29" s="50"/>
      <c r="C29" s="50"/>
      <c r="D29" s="50"/>
      <c r="E29" s="51"/>
      <c r="F29" s="600" t="s">
        <v>19</v>
      </c>
      <c r="G29" s="601"/>
      <c r="H29" s="52">
        <v>550000</v>
      </c>
      <c r="I29" s="48"/>
    </row>
    <row r="30" spans="1:10" ht="15" customHeight="1">
      <c r="A30" s="48"/>
      <c r="B30" s="50"/>
      <c r="C30" s="50"/>
      <c r="D30" s="50"/>
      <c r="E30" s="51"/>
      <c r="F30" s="51"/>
      <c r="G30" s="51"/>
      <c r="H30" s="51"/>
      <c r="I30" s="48"/>
    </row>
    <row r="31" spans="1:10" ht="22.5" customHeight="1">
      <c r="B31" s="573" t="s">
        <v>20</v>
      </c>
      <c r="C31" s="576" t="s">
        <v>21</v>
      </c>
      <c r="D31" s="577"/>
      <c r="E31" s="578"/>
      <c r="F31" s="579" t="s">
        <v>22</v>
      </c>
      <c r="G31" s="580"/>
      <c r="H31" s="580"/>
      <c r="I31" s="581"/>
    </row>
    <row r="32" spans="1:10" ht="22.5" customHeight="1">
      <c r="B32" s="574"/>
      <c r="C32" s="582" t="s">
        <v>23</v>
      </c>
      <c r="D32" s="583"/>
      <c r="E32" s="584"/>
      <c r="F32" s="53" t="s">
        <v>24</v>
      </c>
      <c r="G32" s="585"/>
      <c r="H32" s="586"/>
      <c r="I32" s="587"/>
    </row>
    <row r="33" spans="2:9" ht="22.5" customHeight="1">
      <c r="B33" s="574"/>
      <c r="C33" s="588">
        <f>'원가항목별(집계)'!I39</f>
        <v>2292000</v>
      </c>
      <c r="D33" s="589"/>
      <c r="E33" s="590"/>
      <c r="F33" s="54" t="s">
        <v>25</v>
      </c>
      <c r="G33" s="591"/>
      <c r="H33" s="592"/>
      <c r="I33" s="593"/>
    </row>
    <row r="34" spans="2:9" ht="22.5" customHeight="1">
      <c r="B34" s="574"/>
      <c r="C34" s="594"/>
      <c r="D34" s="595"/>
      <c r="E34" s="596"/>
      <c r="F34" s="54" t="s">
        <v>26</v>
      </c>
      <c r="G34" s="591"/>
      <c r="H34" s="592"/>
      <c r="I34" s="593"/>
    </row>
    <row r="35" spans="2:9" ht="22.5" customHeight="1">
      <c r="B35" s="575"/>
      <c r="C35" s="597"/>
      <c r="D35" s="598"/>
      <c r="E35" s="599"/>
      <c r="F35" s="55" t="s">
        <v>27</v>
      </c>
      <c r="G35" s="570"/>
      <c r="H35" s="571"/>
      <c r="I35" s="572"/>
    </row>
  </sheetData>
  <mergeCells count="35">
    <mergeCell ref="I15:I16"/>
    <mergeCell ref="B2:I2"/>
    <mergeCell ref="B4:D4"/>
    <mergeCell ref="B5:C5"/>
    <mergeCell ref="B6:C6"/>
    <mergeCell ref="B7:B8"/>
    <mergeCell ref="B9:C9"/>
    <mergeCell ref="B10:C10"/>
    <mergeCell ref="B11:C11"/>
    <mergeCell ref="B15:B16"/>
    <mergeCell ref="C15:D16"/>
    <mergeCell ref="E15:H15"/>
    <mergeCell ref="F29:G29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B27:D27"/>
    <mergeCell ref="G35:I35"/>
    <mergeCell ref="B31:B35"/>
    <mergeCell ref="C31:E31"/>
    <mergeCell ref="F31:I31"/>
    <mergeCell ref="C32:E32"/>
    <mergeCell ref="G32:I32"/>
    <mergeCell ref="C33:E33"/>
    <mergeCell ref="G33:I33"/>
    <mergeCell ref="C34:E34"/>
    <mergeCell ref="G34:I34"/>
    <mergeCell ref="C35:E35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orientation="portrait" horizontalDpi="4294967292" r:id="rId1"/>
  <headerFooter alignWithMargins="0"/>
  <ignoredErrors>
    <ignoredError sqref="F27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49"/>
  <sheetViews>
    <sheetView showGridLines="0" zoomScale="85" zoomScaleNormal="85" workbookViewId="0">
      <pane ySplit="6" topLeftCell="A7" activePane="bottomLeft" state="frozen"/>
      <selection activeCell="G33" sqref="G33:I33"/>
      <selection pane="bottomLeft" activeCell="L41" sqref="L41"/>
    </sheetView>
  </sheetViews>
  <sheetFormatPr defaultRowHeight="19.5" customHeight="1"/>
  <cols>
    <col min="1" max="1" width="0.5" style="56" customWidth="1"/>
    <col min="2" max="2" width="5.25" style="56" bestFit="1" customWidth="1"/>
    <col min="3" max="3" width="7.375" style="56" customWidth="1"/>
    <col min="4" max="4" width="8.875" style="56" customWidth="1"/>
    <col min="5" max="5" width="17.75" style="56" customWidth="1"/>
    <col min="6" max="6" width="6.375" style="57" customWidth="1"/>
    <col min="7" max="7" width="8.875" style="58" customWidth="1"/>
    <col min="8" max="8" width="9.75" style="59" customWidth="1"/>
    <col min="9" max="9" width="17.5" style="59" bestFit="1" customWidth="1"/>
    <col min="10" max="10" width="15.625" style="56" customWidth="1"/>
    <col min="11" max="11" width="13.75" style="60" bestFit="1" customWidth="1"/>
    <col min="12" max="12" width="10.875" style="56" bestFit="1" customWidth="1"/>
    <col min="13" max="16384" width="9" style="56"/>
  </cols>
  <sheetData>
    <row r="2" spans="2:11" s="68" customFormat="1" ht="26.25" customHeight="1">
      <c r="B2" s="61"/>
      <c r="C2" s="62" t="s">
        <v>28</v>
      </c>
      <c r="D2" s="63"/>
      <c r="E2" s="63"/>
      <c r="F2" s="64"/>
      <c r="G2" s="65"/>
      <c r="H2" s="66"/>
      <c r="I2" s="66"/>
      <c r="J2" s="63"/>
      <c r="K2" s="67"/>
    </row>
    <row r="3" spans="2:11" s="68" customFormat="1" ht="19.5" customHeight="1">
      <c r="B3" s="61"/>
      <c r="C3" s="62"/>
      <c r="D3" s="63"/>
      <c r="E3" s="63"/>
      <c r="F3" s="64"/>
      <c r="G3" s="65"/>
      <c r="H3" s="66"/>
      <c r="I3" s="66"/>
      <c r="J3" s="63"/>
      <c r="K3" s="67"/>
    </row>
    <row r="4" spans="2:11" ht="30" customHeight="1">
      <c r="B4" s="69" t="s">
        <v>29</v>
      </c>
      <c r="D4" s="70"/>
      <c r="J4" s="57"/>
    </row>
    <row r="5" spans="2:11" s="57" customFormat="1" ht="8.25" customHeight="1">
      <c r="B5" s="71"/>
      <c r="C5" s="677"/>
      <c r="D5" s="678"/>
      <c r="E5" s="679"/>
      <c r="F5" s="72"/>
      <c r="G5" s="73"/>
      <c r="H5" s="73"/>
      <c r="I5" s="73"/>
      <c r="J5" s="74"/>
      <c r="K5" s="75"/>
    </row>
    <row r="6" spans="2:11" s="57" customFormat="1" ht="22.5" customHeight="1" thickBot="1">
      <c r="B6" s="76" t="s">
        <v>30</v>
      </c>
      <c r="C6" s="680" t="s">
        <v>31</v>
      </c>
      <c r="D6" s="681"/>
      <c r="E6" s="682"/>
      <c r="F6" s="325" t="s">
        <v>16</v>
      </c>
      <c r="G6" s="77" t="s">
        <v>15</v>
      </c>
      <c r="H6" s="77" t="s">
        <v>32</v>
      </c>
      <c r="I6" s="77" t="s">
        <v>33</v>
      </c>
      <c r="J6" s="78" t="s">
        <v>34</v>
      </c>
      <c r="K6" s="75"/>
    </row>
    <row r="7" spans="2:11" ht="19.5" customHeight="1" thickTop="1">
      <c r="B7" s="667">
        <v>1</v>
      </c>
      <c r="C7" s="683" t="s">
        <v>35</v>
      </c>
      <c r="D7" s="672" t="s">
        <v>36</v>
      </c>
      <c r="E7" s="79" t="s">
        <v>37</v>
      </c>
      <c r="F7" s="80" t="s">
        <v>38</v>
      </c>
      <c r="G7" s="81">
        <f>'#10'!F37+'#20'!F30+'#30'!F30+'#40'!F31+'#50'!F30+'#60'!F30+'#70'!F32+'#80'!F30+'#90'!F30+'#100'!F30</f>
        <v>0</v>
      </c>
      <c r="H7" s="82"/>
      <c r="I7" s="82">
        <f>'#10'!H31+'#20'!H24+'#30'!H24+'#40'!H25+'#50'!H24+'#60'!H24+'#70'!H26+'#80'!H24+'#90'!H24+'#100'!H24</f>
        <v>98940000</v>
      </c>
      <c r="J7" s="83" t="s">
        <v>39</v>
      </c>
    </row>
    <row r="8" spans="2:11" ht="19.5" customHeight="1">
      <c r="B8" s="667"/>
      <c r="C8" s="672"/>
      <c r="D8" s="672"/>
      <c r="E8" s="84" t="s">
        <v>40</v>
      </c>
      <c r="F8" s="85" t="s">
        <v>41</v>
      </c>
      <c r="G8" s="86">
        <v>1</v>
      </c>
      <c r="H8" s="87"/>
      <c r="I8" s="87">
        <f>'#10'!H55+'#20'!H47+'#30'!H47+'#40'!H50+'#50'!H48+'#60'!H47+'#70'!H59+'#80'!H47+'#90'!H47+'#100'!H47</f>
        <v>185502000</v>
      </c>
      <c r="J8" s="88" t="s">
        <v>42</v>
      </c>
    </row>
    <row r="9" spans="2:11" ht="19.5" customHeight="1">
      <c r="B9" s="667"/>
      <c r="C9" s="672"/>
      <c r="D9" s="672"/>
      <c r="E9" s="84" t="s">
        <v>43</v>
      </c>
      <c r="F9" s="85" t="s">
        <v>41</v>
      </c>
      <c r="G9" s="89">
        <v>1</v>
      </c>
      <c r="H9" s="87"/>
      <c r="I9" s="87">
        <f>'#10'!H63+'#20'!H55+'#30'!H55+'#40'!H58+'#50'!H56+'#60'!H55+'#70'!H67+'#80'!H55+'#90'!H55+'#100'!H55</f>
        <v>0</v>
      </c>
      <c r="J9" s="88" t="s">
        <v>44</v>
      </c>
    </row>
    <row r="10" spans="2:11" ht="19.5" customHeight="1">
      <c r="B10" s="667"/>
      <c r="C10" s="672"/>
      <c r="D10" s="672"/>
      <c r="E10" s="90" t="s">
        <v>45</v>
      </c>
      <c r="F10" s="91" t="s">
        <v>41</v>
      </c>
      <c r="G10" s="92">
        <v>1</v>
      </c>
      <c r="H10" s="93"/>
      <c r="I10" s="93">
        <f>'#10'!H37+'#20'!H30+'#30'!H30+'#40'!H31+'#50'!H30+'#60'!H30+'#70'!H32+'#80'!H30+'#90'!H30+'#100'!H30</f>
        <v>0</v>
      </c>
      <c r="J10" s="94" t="s">
        <v>46</v>
      </c>
    </row>
    <row r="11" spans="2:11" ht="19.5" customHeight="1">
      <c r="B11" s="667"/>
      <c r="C11" s="672"/>
      <c r="D11" s="642"/>
      <c r="E11" s="95" t="s">
        <v>47</v>
      </c>
      <c r="F11" s="648"/>
      <c r="G11" s="649"/>
      <c r="H11" s="650"/>
      <c r="I11" s="96">
        <f>SUM(I7:I10)</f>
        <v>284442000</v>
      </c>
      <c r="J11" s="88"/>
    </row>
    <row r="12" spans="2:11" ht="19.5" customHeight="1">
      <c r="B12" s="667"/>
      <c r="C12" s="672"/>
      <c r="D12" s="676" t="s">
        <v>48</v>
      </c>
      <c r="E12" s="97" t="s">
        <v>49</v>
      </c>
      <c r="F12" s="91" t="s">
        <v>50</v>
      </c>
      <c r="G12" s="93">
        <f>'#10'!F65+'#20'!F57+'#30'!F57+'#40'!F60+'#50'!F58+'#60'!F57+'#70'!F69+'#80'!F57+'#90'!F57+'#100'!F57</f>
        <v>0</v>
      </c>
      <c r="H12" s="93">
        <f>IF('#10'!G65&gt;0,'#10'!G65,"")</f>
        <v>300000</v>
      </c>
      <c r="I12" s="93">
        <f>'#10'!H65+'#20'!H57+'#30'!H57+'#40'!H60+'#50'!H58+'#60'!H57+'#70'!H69+'#80'!H57+'#90'!H57+'#100'!H57</f>
        <v>0</v>
      </c>
      <c r="J12" s="88" t="s">
        <v>51</v>
      </c>
    </row>
    <row r="13" spans="2:11" ht="19.5" customHeight="1">
      <c r="B13" s="667"/>
      <c r="C13" s="672"/>
      <c r="D13" s="672"/>
      <c r="E13" s="84" t="s">
        <v>52</v>
      </c>
      <c r="F13" s="85" t="s">
        <v>50</v>
      </c>
      <c r="G13" s="87">
        <f>'#10'!F66+'#20'!F58+'#30'!F58+'#40'!F61+'#50'!F59+'#60'!F58+'#70'!F70+'#80'!F58+'#90'!F58+'#100'!F58</f>
        <v>145</v>
      </c>
      <c r="H13" s="87">
        <f>IF('#10'!G66&gt;0,'#10'!G66,"")</f>
        <v>300000</v>
      </c>
      <c r="I13" s="87">
        <f>'#10'!H66+'#20'!H58+'#30'!H58+'#40'!H61+'#50'!H59+'#60'!H58+'#70'!H70+'#80'!H58+'#90'!H58+'#100'!H58</f>
        <v>43500000</v>
      </c>
      <c r="J13" s="88"/>
    </row>
    <row r="14" spans="2:11" ht="19.5" customHeight="1">
      <c r="B14" s="667"/>
      <c r="C14" s="672"/>
      <c r="D14" s="672"/>
      <c r="E14" s="84" t="s">
        <v>53</v>
      </c>
      <c r="F14" s="85" t="s">
        <v>50</v>
      </c>
      <c r="G14" s="87">
        <f>'#10'!F67+'#20'!F59+'#30'!F59+'#40'!F62+'#50'!F60+'#60'!F59+'#70'!F71+'#80'!F59+'#90'!F59+'#100'!F59</f>
        <v>53</v>
      </c>
      <c r="H14" s="87">
        <f>IF('#10'!G67&gt;0,'#10'!G67,"")</f>
        <v>250000</v>
      </c>
      <c r="I14" s="87">
        <f>'#10'!H67+'#20'!H59+'#30'!H59+'#40'!H62+'#50'!H60+'#60'!H59+'#70'!H71+'#80'!H59+'#90'!H59+'#100'!H59</f>
        <v>13250000</v>
      </c>
      <c r="J14" s="88"/>
    </row>
    <row r="15" spans="2:11" ht="19.5" customHeight="1">
      <c r="B15" s="667"/>
      <c r="C15" s="672"/>
      <c r="D15" s="672"/>
      <c r="E15" s="84" t="s">
        <v>54</v>
      </c>
      <c r="F15" s="85" t="s">
        <v>50</v>
      </c>
      <c r="G15" s="87">
        <f>'#10'!F68+'#20'!F60+'#30'!F60+'#40'!F63+'#50'!F61+'#60'!F60+'#70'!F72+'#80'!F60+'#90'!F60+'#100'!F60</f>
        <v>123</v>
      </c>
      <c r="H15" s="87">
        <f>IF('#10'!G68&gt;0,'#10'!G68,"")</f>
        <v>250000</v>
      </c>
      <c r="I15" s="87">
        <f>'#10'!H68+'#20'!H60+'#30'!H60+'#40'!H63+'#50'!H61+'#60'!H60+'#70'!H72+'#80'!H60+'#90'!H60+'#100'!H60</f>
        <v>30750000</v>
      </c>
      <c r="J15" s="88" t="s">
        <v>55</v>
      </c>
    </row>
    <row r="16" spans="2:11" ht="19.5" customHeight="1">
      <c r="B16" s="667"/>
      <c r="C16" s="672"/>
      <c r="D16" s="672"/>
      <c r="E16" s="97" t="s">
        <v>56</v>
      </c>
      <c r="F16" s="91" t="s">
        <v>50</v>
      </c>
      <c r="G16" s="93">
        <f>'#10'!F69+'#20'!F61+'#30'!F61+'#40'!F64+'#50'!F62+'#60'!F61+'#70'!F73+'#80'!F61+'#90'!F61+'#100'!F61</f>
        <v>65</v>
      </c>
      <c r="H16" s="93">
        <f>IF('#10'!G69&gt;0,'#10'!G69,"")</f>
        <v>300000</v>
      </c>
      <c r="I16" s="93">
        <f>'#10'!H69+'#20'!H61+'#30'!H61+'#40'!H64+'#50'!H62+'#60'!H61+'#70'!H73+'#80'!H61+'#90'!H61+'#100'!H61</f>
        <v>19500000</v>
      </c>
      <c r="J16" s="88"/>
    </row>
    <row r="17" spans="2:10" ht="19.5" customHeight="1">
      <c r="B17" s="667"/>
      <c r="C17" s="672"/>
      <c r="D17" s="672"/>
      <c r="E17" s="97" t="s">
        <v>57</v>
      </c>
      <c r="F17" s="91" t="s">
        <v>50</v>
      </c>
      <c r="G17" s="93">
        <f>'#10'!F70+'#20'!F62+'#30'!F62+'#40'!F65+'#50'!F63+'#60'!F62+'#70'!F74+'#80'!F62+'#90'!F62+'#100'!F62</f>
        <v>51</v>
      </c>
      <c r="H17" s="93">
        <f>IF('#10'!G70&gt;0,'#10'!G70,"")</f>
        <v>300000</v>
      </c>
      <c r="I17" s="93">
        <f>'#10'!H70+'#20'!H62+'#30'!H62+'#40'!H65+'#50'!H63+'#60'!H62+'#70'!H74+'#80'!H62+'#90'!H62+'#100'!H62</f>
        <v>15300000</v>
      </c>
      <c r="J17" s="88"/>
    </row>
    <row r="18" spans="2:10" ht="19.5" customHeight="1">
      <c r="B18" s="667"/>
      <c r="C18" s="672"/>
      <c r="D18" s="672"/>
      <c r="E18" s="84" t="s">
        <v>58</v>
      </c>
      <c r="F18" s="85" t="s">
        <v>50</v>
      </c>
      <c r="G18" s="87">
        <f>'#10'!F71+'#20'!F63+'#30'!F63+'#40'!F66+'#50'!F64+'#60'!F63+'#70'!F75+'#80'!F63+'#90'!F63+'#100'!F63</f>
        <v>18</v>
      </c>
      <c r="H18" s="87">
        <f>IF('#10'!G71&gt;0,'#10'!G71,"")</f>
        <v>300000</v>
      </c>
      <c r="I18" s="87">
        <f>'#10'!H71+'#20'!H63+'#30'!H63+'#40'!H66+'#50'!H64+'#60'!H63+'#70'!H75+'#80'!H63+'#90'!H63+'#100'!H63</f>
        <v>5400000</v>
      </c>
      <c r="J18" s="88"/>
    </row>
    <row r="19" spans="2:10" ht="19.5" customHeight="1">
      <c r="B19" s="667"/>
      <c r="C19" s="672"/>
      <c r="D19" s="672"/>
      <c r="E19" s="84" t="s">
        <v>59</v>
      </c>
      <c r="F19" s="85" t="s">
        <v>50</v>
      </c>
      <c r="G19" s="87">
        <f>'#10'!F72+'#20'!F64+'#30'!F64+'#40'!F67+'#50'!F65+'#60'!F64+'#70'!F76+'#80'!F64+'#90'!F64+'#100'!F64</f>
        <v>17</v>
      </c>
      <c r="H19" s="87">
        <f>IF('#10'!G72&gt;0,'#10'!G72,"")</f>
        <v>250000</v>
      </c>
      <c r="I19" s="87">
        <f>'#10'!H72+'#20'!H64+'#30'!H64+'#40'!H67+'#50'!H65+'#60'!H64+'#70'!H76+'#80'!H64+'#90'!H64+'#100'!H64</f>
        <v>4250000</v>
      </c>
      <c r="J19" s="88"/>
    </row>
    <row r="20" spans="2:10" ht="19.5" customHeight="1">
      <c r="B20" s="667"/>
      <c r="C20" s="672"/>
      <c r="D20" s="642"/>
      <c r="E20" s="95" t="s">
        <v>60</v>
      </c>
      <c r="F20" s="648"/>
      <c r="G20" s="649"/>
      <c r="H20" s="650"/>
      <c r="I20" s="96">
        <f>SUM(I12:I19)</f>
        <v>131950000</v>
      </c>
      <c r="J20" s="88"/>
    </row>
    <row r="21" spans="2:10" ht="19.5" customHeight="1">
      <c r="B21" s="667"/>
      <c r="C21" s="672"/>
      <c r="D21" s="98" t="s">
        <v>61</v>
      </c>
      <c r="E21" s="99"/>
      <c r="F21" s="648"/>
      <c r="G21" s="649"/>
      <c r="H21" s="650"/>
      <c r="I21" s="100">
        <f>'#10'!H75+'#10'!H76+'#20'!H67+'#20'!H68+'#30'!H67+'#30'!H68+'#40'!H70+'#40'!H71+'#50'!H68+'#50'!H69+'#60'!H67+'#60'!H68+'#70'!H79+'#70'!H80+'#80'!H67+'#80'!H68+'#90'!H67+'#90'!H68+'#100'!H67+'#100'!H68</f>
        <v>0</v>
      </c>
      <c r="J21" s="101"/>
    </row>
    <row r="22" spans="2:10" ht="19.5" customHeight="1">
      <c r="B22" s="668"/>
      <c r="C22" s="673"/>
      <c r="D22" s="102"/>
      <c r="E22" s="103" t="s">
        <v>62</v>
      </c>
      <c r="F22" s="624"/>
      <c r="G22" s="625"/>
      <c r="H22" s="626"/>
      <c r="I22" s="104">
        <f>I20+I11+I21</f>
        <v>416392000</v>
      </c>
      <c r="J22" s="105"/>
    </row>
    <row r="23" spans="2:10" ht="19.5" customHeight="1">
      <c r="B23" s="666">
        <v>2</v>
      </c>
      <c r="C23" s="669" t="s">
        <v>63</v>
      </c>
      <c r="D23" s="674" t="s">
        <v>64</v>
      </c>
      <c r="E23" s="106" t="s">
        <v>65</v>
      </c>
      <c r="F23" s="107" t="s">
        <v>66</v>
      </c>
      <c r="G23" s="108">
        <v>1</v>
      </c>
      <c r="H23" s="108"/>
      <c r="I23" s="108">
        <f>전기!H49-I24</f>
        <v>54000000</v>
      </c>
      <c r="J23" s="109"/>
    </row>
    <row r="24" spans="2:10" ht="19.5" customHeight="1">
      <c r="B24" s="667"/>
      <c r="C24" s="670"/>
      <c r="D24" s="675"/>
      <c r="E24" s="90" t="s">
        <v>67</v>
      </c>
      <c r="F24" s="110" t="s">
        <v>68</v>
      </c>
      <c r="G24" s="111">
        <v>1</v>
      </c>
      <c r="H24" s="111"/>
      <c r="I24" s="111">
        <f>전기!H16</f>
        <v>0</v>
      </c>
      <c r="J24" s="94" t="s">
        <v>46</v>
      </c>
    </row>
    <row r="25" spans="2:10" ht="19.5" customHeight="1">
      <c r="B25" s="667"/>
      <c r="C25" s="671"/>
      <c r="D25" s="676" t="s">
        <v>69</v>
      </c>
      <c r="E25" s="97" t="s">
        <v>70</v>
      </c>
      <c r="F25" s="91" t="s">
        <v>71</v>
      </c>
      <c r="G25" s="93">
        <f>전기!F50</f>
        <v>0</v>
      </c>
      <c r="H25" s="93">
        <f>IF(전기!G50&gt;0,전기!G50,"")</f>
        <v>300000</v>
      </c>
      <c r="I25" s="93">
        <f>전기!H50</f>
        <v>0</v>
      </c>
      <c r="J25" s="88"/>
    </row>
    <row r="26" spans="2:10" ht="19.5" customHeight="1">
      <c r="B26" s="667"/>
      <c r="C26" s="671"/>
      <c r="D26" s="672"/>
      <c r="E26" s="84" t="s">
        <v>72</v>
      </c>
      <c r="F26" s="85" t="s">
        <v>50</v>
      </c>
      <c r="G26" s="87">
        <f>전기!F51</f>
        <v>60</v>
      </c>
      <c r="H26" s="87">
        <f>IF(전기!G51&gt;0,전기!G51,"")</f>
        <v>300000</v>
      </c>
      <c r="I26" s="87">
        <f>전기!H51</f>
        <v>18000000</v>
      </c>
      <c r="J26" s="88"/>
    </row>
    <row r="27" spans="2:10" ht="19.5" customHeight="1">
      <c r="B27" s="667"/>
      <c r="C27" s="671"/>
      <c r="D27" s="672"/>
      <c r="E27" s="84" t="s">
        <v>73</v>
      </c>
      <c r="F27" s="85" t="s">
        <v>50</v>
      </c>
      <c r="G27" s="87">
        <f>전기!F52</f>
        <v>15</v>
      </c>
      <c r="H27" s="87">
        <f>IF(전기!G52&gt;0,전기!G52,"")</f>
        <v>250000</v>
      </c>
      <c r="I27" s="87">
        <f>전기!H52</f>
        <v>3750000</v>
      </c>
      <c r="J27" s="88"/>
    </row>
    <row r="28" spans="2:10" ht="19.5" customHeight="1">
      <c r="B28" s="667"/>
      <c r="C28" s="671"/>
      <c r="D28" s="672"/>
      <c r="E28" s="84" t="s">
        <v>74</v>
      </c>
      <c r="F28" s="85" t="s">
        <v>75</v>
      </c>
      <c r="G28" s="87">
        <f>전기!F53</f>
        <v>90</v>
      </c>
      <c r="H28" s="87">
        <f>IF(전기!G53&gt;0,전기!G53,"")</f>
        <v>250000</v>
      </c>
      <c r="I28" s="87">
        <f>전기!H53</f>
        <v>22500000</v>
      </c>
      <c r="J28" s="88"/>
    </row>
    <row r="29" spans="2:10" ht="19.5" customHeight="1">
      <c r="B29" s="667"/>
      <c r="C29" s="671"/>
      <c r="D29" s="672"/>
      <c r="E29" s="97" t="s">
        <v>76</v>
      </c>
      <c r="F29" s="91" t="s">
        <v>71</v>
      </c>
      <c r="G29" s="93">
        <f>전기!F54</f>
        <v>30</v>
      </c>
      <c r="H29" s="93">
        <f>IF(전기!G54&gt;0,전기!G54,"")</f>
        <v>300000</v>
      </c>
      <c r="I29" s="93">
        <f>전기!H54</f>
        <v>9000000</v>
      </c>
      <c r="J29" s="88"/>
    </row>
    <row r="30" spans="2:10" ht="19.5" customHeight="1">
      <c r="B30" s="667"/>
      <c r="C30" s="671"/>
      <c r="D30" s="672"/>
      <c r="E30" s="97" t="s">
        <v>57</v>
      </c>
      <c r="F30" s="91" t="s">
        <v>50</v>
      </c>
      <c r="G30" s="93">
        <f>전기!F55</f>
        <v>60</v>
      </c>
      <c r="H30" s="93">
        <f>IF(전기!G55&gt;0,전기!G55,"")</f>
        <v>300000</v>
      </c>
      <c r="I30" s="93">
        <f>전기!H55</f>
        <v>18000000</v>
      </c>
      <c r="J30" s="88"/>
    </row>
    <row r="31" spans="2:10" ht="19.5" customHeight="1">
      <c r="B31" s="667"/>
      <c r="C31" s="671"/>
      <c r="D31" s="672"/>
      <c r="E31" s="84" t="s">
        <v>58</v>
      </c>
      <c r="F31" s="85" t="s">
        <v>50</v>
      </c>
      <c r="G31" s="87">
        <f>전기!F56</f>
        <v>20</v>
      </c>
      <c r="H31" s="87">
        <f>IF(전기!G56&gt;0,전기!G56,"")</f>
        <v>300000</v>
      </c>
      <c r="I31" s="87">
        <f>전기!H56</f>
        <v>6000000</v>
      </c>
      <c r="J31" s="88"/>
    </row>
    <row r="32" spans="2:10" ht="19.5" customHeight="1">
      <c r="B32" s="667"/>
      <c r="C32" s="671"/>
      <c r="D32" s="642"/>
      <c r="E32" s="95" t="s">
        <v>77</v>
      </c>
      <c r="F32" s="648"/>
      <c r="G32" s="649"/>
      <c r="H32" s="650"/>
      <c r="I32" s="96">
        <f>SUM(I25:I31)</f>
        <v>77250000</v>
      </c>
      <c r="J32" s="88"/>
    </row>
    <row r="33" spans="2:13" ht="19.5" customHeight="1">
      <c r="B33" s="667"/>
      <c r="C33" s="672"/>
      <c r="D33" s="98" t="s">
        <v>78</v>
      </c>
      <c r="E33" s="99"/>
      <c r="F33" s="648"/>
      <c r="G33" s="649"/>
      <c r="H33" s="650"/>
      <c r="I33" s="100">
        <f>전기!H59+전기!H60</f>
        <v>0</v>
      </c>
      <c r="J33" s="101"/>
    </row>
    <row r="34" spans="2:13" ht="19.5" customHeight="1">
      <c r="B34" s="668"/>
      <c r="C34" s="673"/>
      <c r="D34" s="102"/>
      <c r="E34" s="103" t="s">
        <v>79</v>
      </c>
      <c r="F34" s="624"/>
      <c r="G34" s="625"/>
      <c r="H34" s="626"/>
      <c r="I34" s="104">
        <f>I32+I23+I33+I24</f>
        <v>131250000</v>
      </c>
      <c r="J34" s="105"/>
    </row>
    <row r="35" spans="2:13" ht="19.5" customHeight="1">
      <c r="B35" s="657">
        <v>3</v>
      </c>
      <c r="C35" s="660" t="s">
        <v>80</v>
      </c>
      <c r="D35" s="661"/>
      <c r="E35" s="662"/>
      <c r="F35" s="660"/>
      <c r="G35" s="661"/>
      <c r="H35" s="662"/>
      <c r="I35" s="112">
        <f>I23+I11+I24</f>
        <v>338442000</v>
      </c>
      <c r="J35" s="109"/>
    </row>
    <row r="36" spans="2:13" ht="19.5" customHeight="1">
      <c r="B36" s="658"/>
      <c r="C36" s="648" t="s">
        <v>81</v>
      </c>
      <c r="D36" s="649"/>
      <c r="E36" s="650"/>
      <c r="F36" s="648"/>
      <c r="G36" s="649"/>
      <c r="H36" s="650"/>
      <c r="I36" s="96">
        <f>I32+I20</f>
        <v>209200000</v>
      </c>
      <c r="J36" s="88"/>
    </row>
    <row r="37" spans="2:13" ht="19.5" customHeight="1" thickBot="1">
      <c r="B37" s="659"/>
      <c r="C37" s="663" t="s">
        <v>82</v>
      </c>
      <c r="D37" s="663"/>
      <c r="E37" s="664"/>
      <c r="F37" s="665"/>
      <c r="G37" s="663"/>
      <c r="H37" s="664"/>
      <c r="I37" s="113">
        <f>I36+I35</f>
        <v>547642000</v>
      </c>
      <c r="J37" s="114"/>
    </row>
    <row r="38" spans="2:13" ht="20.25" customHeight="1">
      <c r="B38" s="115">
        <v>4</v>
      </c>
      <c r="C38" s="642" t="s">
        <v>83</v>
      </c>
      <c r="D38" s="643"/>
      <c r="E38" s="644"/>
      <c r="F38" s="645"/>
      <c r="G38" s="646"/>
      <c r="H38" s="647"/>
      <c r="I38" s="116">
        <v>1000000</v>
      </c>
      <c r="J38" s="117"/>
    </row>
    <row r="39" spans="2:13" ht="22.5" customHeight="1">
      <c r="B39" s="118">
        <v>5</v>
      </c>
      <c r="C39" s="648" t="s">
        <v>84</v>
      </c>
      <c r="D39" s="649"/>
      <c r="E39" s="650"/>
      <c r="F39" s="651" t="s">
        <v>85</v>
      </c>
      <c r="G39" s="652"/>
      <c r="H39" s="653"/>
      <c r="I39" s="119">
        <f>CEILING(MIN(I47:I48),1000)</f>
        <v>2292000</v>
      </c>
      <c r="J39" s="120">
        <f>I30+I29+I25+I24+I17+I16+I12+I10</f>
        <v>61800000</v>
      </c>
      <c r="K39" s="121"/>
      <c r="M39" s="121"/>
    </row>
    <row r="40" spans="2:13" ht="20.25" customHeight="1">
      <c r="B40" s="118">
        <v>6</v>
      </c>
      <c r="C40" s="648" t="s">
        <v>86</v>
      </c>
      <c r="D40" s="649"/>
      <c r="E40" s="650"/>
      <c r="F40" s="654"/>
      <c r="G40" s="655"/>
      <c r="H40" s="656"/>
      <c r="I40" s="96">
        <f>전기!H59+'#10'!H75+'#20'!H67+'#30'!H67+'#40'!H70+'#50'!H68+'#60'!H67+'#70'!H79+'#80'!H67+'#90'!H67+'#100'!H67</f>
        <v>0</v>
      </c>
      <c r="J40" s="88"/>
    </row>
    <row r="41" spans="2:13" ht="20.25" customHeight="1">
      <c r="B41" s="122">
        <v>7</v>
      </c>
      <c r="C41" s="624" t="s">
        <v>87</v>
      </c>
      <c r="D41" s="625"/>
      <c r="E41" s="626"/>
      <c r="F41" s="627"/>
      <c r="G41" s="628"/>
      <c r="H41" s="629"/>
      <c r="I41" s="100">
        <f>전기!H60+'#10'!H76+'#20'!H68+'#30'!H68+'#40'!H71+'#50'!H69+'#60'!H68+'#70'!H80+'#80'!H68+'#90'!H68+'#100'!H68</f>
        <v>0</v>
      </c>
      <c r="J41" s="101"/>
      <c r="K41" s="56"/>
    </row>
    <row r="42" spans="2:13" ht="28.5" customHeight="1" thickBot="1">
      <c r="B42" s="123"/>
      <c r="C42" s="630" t="s">
        <v>88</v>
      </c>
      <c r="D42" s="630"/>
      <c r="E42" s="630"/>
      <c r="F42" s="631" t="s">
        <v>89</v>
      </c>
      <c r="G42" s="632"/>
      <c r="H42" s="633"/>
      <c r="I42" s="124">
        <f>I22+I34+I38+I39</f>
        <v>550934000</v>
      </c>
      <c r="J42" s="125"/>
      <c r="K42" s="56"/>
    </row>
    <row r="43" spans="2:13" ht="19.5" customHeight="1">
      <c r="B43" s="126" t="s">
        <v>90</v>
      </c>
      <c r="C43" s="57"/>
      <c r="D43" s="57"/>
      <c r="E43" s="57"/>
    </row>
    <row r="44" spans="2:13" ht="19.5" customHeight="1">
      <c r="B44" s="56" t="s">
        <v>91</v>
      </c>
      <c r="C44" s="57"/>
      <c r="D44" s="57"/>
      <c r="E44" s="57"/>
    </row>
    <row r="45" spans="2:13" ht="19.5" customHeight="1">
      <c r="C45" s="57"/>
      <c r="D45" s="57"/>
      <c r="E45" s="57"/>
    </row>
    <row r="46" spans="2:13" ht="19.5" customHeight="1">
      <c r="C46" s="57"/>
      <c r="D46" s="57"/>
      <c r="E46" s="634" t="s">
        <v>92</v>
      </c>
      <c r="F46" s="637" t="s">
        <v>93</v>
      </c>
      <c r="G46" s="638"/>
      <c r="H46" s="639"/>
      <c r="I46" s="127" t="s">
        <v>94</v>
      </c>
      <c r="J46" s="128" t="s">
        <v>95</v>
      </c>
      <c r="K46" s="129" t="s">
        <v>96</v>
      </c>
    </row>
    <row r="47" spans="2:13" ht="19.5" customHeight="1">
      <c r="C47" s="57"/>
      <c r="D47" s="57"/>
      <c r="E47" s="635"/>
      <c r="F47" s="640" t="s">
        <v>97</v>
      </c>
      <c r="G47" s="641"/>
      <c r="H47" s="641"/>
      <c r="I47" s="96">
        <f>IF(J47&lt;500000000,J47*0.0309,1)+IF(J47&gt;500000000,J47*0.0199+5499000)*IF(J47&gt;5000000000,0,1)+IF(J47&gt;5000000000,J47*0.021,0)</f>
        <v>16416976.800000001</v>
      </c>
      <c r="J47" s="130">
        <f>SUM(I7:I10,I12:I19,I23:I31,I38)</f>
        <v>548642000</v>
      </c>
      <c r="K47" s="130" t="s">
        <v>98</v>
      </c>
    </row>
    <row r="48" spans="2:13" ht="19.5" customHeight="1">
      <c r="E48" s="636"/>
      <c r="F48" s="640" t="s">
        <v>99</v>
      </c>
      <c r="G48" s="641"/>
      <c r="H48" s="641"/>
      <c r="I48" s="96">
        <f>(IF(J48&lt;500000000,J48*0.0309,1)+IF(J48&gt;500000000,J48*0.0199+5499000)*IF(J48&gt;5000000000,0,1)+IF(J48&gt;5000000000,J48*0.021,0))*1.2</f>
        <v>2291544</v>
      </c>
      <c r="J48" s="131">
        <f>SUM(I10,I24,I12,I16:I17,I25,I29:I30)</f>
        <v>61800000</v>
      </c>
      <c r="K48" s="130" t="s">
        <v>100</v>
      </c>
    </row>
    <row r="49" spans="7:7" ht="19.5" customHeight="1">
      <c r="G49" s="132" t="s">
        <v>101</v>
      </c>
    </row>
  </sheetData>
  <mergeCells count="38">
    <mergeCell ref="F11:H11"/>
    <mergeCell ref="D12:D20"/>
    <mergeCell ref="F20:H20"/>
    <mergeCell ref="F21:H21"/>
    <mergeCell ref="F22:H22"/>
    <mergeCell ref="C5:E5"/>
    <mergeCell ref="C6:E6"/>
    <mergeCell ref="B7:B22"/>
    <mergeCell ref="C7:C22"/>
    <mergeCell ref="D7:D11"/>
    <mergeCell ref="B23:B34"/>
    <mergeCell ref="C23:C34"/>
    <mergeCell ref="D23:D24"/>
    <mergeCell ref="D25:D32"/>
    <mergeCell ref="F32:H32"/>
    <mergeCell ref="F33:H33"/>
    <mergeCell ref="F34:H34"/>
    <mergeCell ref="B35:B37"/>
    <mergeCell ref="C35:E35"/>
    <mergeCell ref="F35:H35"/>
    <mergeCell ref="C36:E36"/>
    <mergeCell ref="F36:H36"/>
    <mergeCell ref="C37:E37"/>
    <mergeCell ref="F37:H37"/>
    <mergeCell ref="C38:E38"/>
    <mergeCell ref="F38:H38"/>
    <mergeCell ref="C39:E39"/>
    <mergeCell ref="F39:H39"/>
    <mergeCell ref="C40:E40"/>
    <mergeCell ref="F40:H40"/>
    <mergeCell ref="C41:E41"/>
    <mergeCell ref="F41:H41"/>
    <mergeCell ref="C42:E42"/>
    <mergeCell ref="F42:H42"/>
    <mergeCell ref="E46:E48"/>
    <mergeCell ref="F46:H46"/>
    <mergeCell ref="F47:H47"/>
    <mergeCell ref="F48:H48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7" orientation="portrait" horizontalDpi="4294967292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P22"/>
  <sheetViews>
    <sheetView zoomScale="90" zoomScaleNormal="90" workbookViewId="0">
      <selection activeCell="J22" sqref="J22"/>
    </sheetView>
  </sheetViews>
  <sheetFormatPr defaultRowHeight="17.25" customHeight="1"/>
  <cols>
    <col min="1" max="1" width="5" style="133" customWidth="1"/>
    <col min="2" max="2" width="26.625" style="133" customWidth="1"/>
    <col min="3" max="3" width="6.25" style="133" customWidth="1"/>
    <col min="4" max="8" width="11.875" style="133" customWidth="1"/>
    <col min="9" max="9" width="13" style="133" customWidth="1"/>
    <col min="10" max="11" width="13.875" style="133" customWidth="1"/>
    <col min="12" max="12" width="12.5" style="133" bestFit="1" customWidth="1"/>
    <col min="13" max="13" width="15" style="133" bestFit="1" customWidth="1"/>
    <col min="14" max="14" width="13.875" style="133" customWidth="1"/>
    <col min="15" max="15" width="9.625" style="133" customWidth="1"/>
    <col min="16" max="16" width="12.625" style="133" hidden="1" customWidth="1"/>
    <col min="17" max="17" width="10" style="133" customWidth="1"/>
    <col min="18" max="16384" width="9" style="133"/>
  </cols>
  <sheetData>
    <row r="2" spans="1:16" ht="31.5" customHeight="1">
      <c r="A2" s="62" t="s">
        <v>102</v>
      </c>
    </row>
    <row r="3" spans="1:16" ht="17.25" customHeight="1" thickBot="1">
      <c r="N3" s="133" t="s">
        <v>103</v>
      </c>
    </row>
    <row r="4" spans="1:16" s="140" customFormat="1" ht="8.25" customHeight="1">
      <c r="A4" s="134"/>
      <c r="B4" s="134"/>
      <c r="C4" s="134"/>
      <c r="D4" s="684"/>
      <c r="E4" s="685"/>
      <c r="F4" s="685"/>
      <c r="G4" s="685"/>
      <c r="H4" s="685"/>
      <c r="I4" s="685"/>
      <c r="J4" s="686"/>
      <c r="K4" s="135"/>
      <c r="L4" s="136"/>
      <c r="M4" s="137"/>
      <c r="N4" s="138"/>
      <c r="O4" s="139"/>
    </row>
    <row r="5" spans="1:16" s="150" customFormat="1" ht="25.5" customHeight="1">
      <c r="A5" s="141"/>
      <c r="B5" s="141"/>
      <c r="C5" s="141"/>
      <c r="D5" s="142"/>
      <c r="E5" s="143"/>
      <c r="F5" s="143"/>
      <c r="G5" s="143"/>
      <c r="H5" s="143"/>
      <c r="I5" s="144" t="s">
        <v>104</v>
      </c>
      <c r="J5" s="145"/>
      <c r="K5" s="30"/>
      <c r="L5" s="146" t="s">
        <v>105</v>
      </c>
      <c r="M5" s="147" t="s">
        <v>106</v>
      </c>
      <c r="N5" s="148"/>
      <c r="O5" s="149"/>
    </row>
    <row r="6" spans="1:16" s="150" customFormat="1" ht="25.5" customHeight="1" thickBot="1">
      <c r="A6" s="151" t="s">
        <v>107</v>
      </c>
      <c r="B6" s="151" t="s">
        <v>108</v>
      </c>
      <c r="C6" s="151" t="s">
        <v>109</v>
      </c>
      <c r="D6" s="152" t="s">
        <v>110</v>
      </c>
      <c r="E6" s="153" t="s">
        <v>111</v>
      </c>
      <c r="F6" s="153" t="s">
        <v>112</v>
      </c>
      <c r="G6" s="153" t="s">
        <v>113</v>
      </c>
      <c r="H6" s="153" t="s">
        <v>114</v>
      </c>
      <c r="I6" s="154" t="s">
        <v>115</v>
      </c>
      <c r="J6" s="155" t="s">
        <v>116</v>
      </c>
      <c r="K6" s="156" t="s">
        <v>117</v>
      </c>
      <c r="L6" s="157" t="s">
        <v>118</v>
      </c>
      <c r="M6" s="158" t="s">
        <v>119</v>
      </c>
      <c r="N6" s="159" t="s">
        <v>120</v>
      </c>
      <c r="O6" s="160" t="s">
        <v>121</v>
      </c>
    </row>
    <row r="7" spans="1:16" s="172" customFormat="1" ht="25.5" customHeight="1" thickTop="1">
      <c r="A7" s="161">
        <f>IF(B7&gt;0,1,"")</f>
        <v>1</v>
      </c>
      <c r="B7" s="162" t="str">
        <f>'#10'!C$1</f>
        <v>볼조립</v>
      </c>
      <c r="C7" s="163" t="s">
        <v>122</v>
      </c>
      <c r="D7" s="164">
        <f>'#10'!H64</f>
        <v>17985000</v>
      </c>
      <c r="E7" s="165">
        <f>'#10'!H65</f>
        <v>0</v>
      </c>
      <c r="F7" s="165">
        <f>'#10'!H66+'#10'!H67+'#10'!H68+'#10'!H72</f>
        <v>13500000</v>
      </c>
      <c r="G7" s="165">
        <f>'#10'!H69+'#10'!H70</f>
        <v>5100000</v>
      </c>
      <c r="H7" s="165">
        <f>'#10'!H71</f>
        <v>600000</v>
      </c>
      <c r="I7" s="166">
        <f>IF($B7&gt;0,'원가항목별(집계)'!I$38*$P7/$P$17,0)</f>
        <v>89302.868450882816</v>
      </c>
      <c r="J7" s="167">
        <f>SUM(D7:I7)</f>
        <v>37274302.86845088</v>
      </c>
      <c r="K7" s="168">
        <f>IF(B7&gt;0,'원가항목별(집계)'!I$34*P7/P$17,0)</f>
        <v>11721001.48417837</v>
      </c>
      <c r="L7" s="168">
        <f>IF($B7&gt;0,'원가항목별(집계)'!I$39*$P7/$P$17,0)</f>
        <v>204682.17448942343</v>
      </c>
      <c r="M7" s="169">
        <f>'#10'!H75+'#10'!H76</f>
        <v>0</v>
      </c>
      <c r="N7" s="170">
        <f>SUM(J7:M7)</f>
        <v>49199986.527118675</v>
      </c>
      <c r="O7" s="171"/>
      <c r="P7" s="172">
        <f>D7+E7+F7+G7+H7+M7</f>
        <v>37185000</v>
      </c>
    </row>
    <row r="8" spans="1:16" s="172" customFormat="1" ht="25.5" customHeight="1">
      <c r="A8" s="173">
        <f>IF(B8&gt;0,A7+1,"")</f>
        <v>2</v>
      </c>
      <c r="B8" s="174" t="str">
        <f>'#20'!C$1</f>
        <v>절각 토크측정</v>
      </c>
      <c r="C8" s="175" t="s">
        <v>123</v>
      </c>
      <c r="D8" s="176">
        <f>'#20'!H56</f>
        <v>30745000</v>
      </c>
      <c r="E8" s="177">
        <f>'#20'!H57</f>
        <v>0</v>
      </c>
      <c r="F8" s="177">
        <f>'#20'!H58+'#20'!H59+'#20'!H60+'#20'!H64</f>
        <v>16250000</v>
      </c>
      <c r="G8" s="177">
        <f>'#20'!H61+'#20'!H62</f>
        <v>5100000</v>
      </c>
      <c r="H8" s="177">
        <f>'#20'!H63</f>
        <v>600000</v>
      </c>
      <c r="I8" s="178">
        <f>IF($B8&gt;0,'원가항목별(집계)'!I$38*$P8/$P$17,0)</f>
        <v>126551.42269784241</v>
      </c>
      <c r="J8" s="179">
        <f>SUM(D8:I8)</f>
        <v>52821551.422697842</v>
      </c>
      <c r="K8" s="180">
        <f>IF(B8&gt;0,'원가항목별(집계)'!I$34*P8/P$17,0)</f>
        <v>16609874.229091818</v>
      </c>
      <c r="L8" s="180">
        <f>IF($B8&gt;0,'원가항목별(집계)'!I$39*$P8/$P$17,0)</f>
        <v>290055.8608234548</v>
      </c>
      <c r="M8" s="181">
        <f>'#20'!H67+'#20'!H68</f>
        <v>0</v>
      </c>
      <c r="N8" s="182">
        <f t="shared" ref="N8:N16" si="0">SUM(J8:M8)</f>
        <v>69721481.512613118</v>
      </c>
      <c r="O8" s="183"/>
      <c r="P8" s="172">
        <f t="shared" ref="P8:P16" si="1">D8+E8+F8+G8+H8+M8</f>
        <v>52695000</v>
      </c>
    </row>
    <row r="9" spans="1:16" s="172" customFormat="1" ht="25.5" customHeight="1">
      <c r="A9" s="173">
        <f>IF(B9&gt;0,A8+1,"")</f>
        <v>3</v>
      </c>
      <c r="B9" s="174" t="str">
        <f>'#30'!C$1</f>
        <v>스파이더 비젼</v>
      </c>
      <c r="C9" s="175" t="s">
        <v>124</v>
      </c>
      <c r="D9" s="176">
        <f>'#30'!H56</f>
        <v>34545000</v>
      </c>
      <c r="E9" s="177">
        <f>'#30'!H57</f>
        <v>0</v>
      </c>
      <c r="F9" s="177">
        <f>'#30'!H58+'#30'!H59+'#30'!H60+'#30'!H64</f>
        <v>13500000</v>
      </c>
      <c r="G9" s="177">
        <f>'#30'!H61+'#30'!H62</f>
        <v>5100000</v>
      </c>
      <c r="H9" s="177">
        <f>'#30'!H63</f>
        <v>600000</v>
      </c>
      <c r="I9" s="178">
        <f>IF($B9&gt;0,'원가항목별(집계)'!I$38*$P9/$P$17,0)</f>
        <v>129073.08497761724</v>
      </c>
      <c r="J9" s="179">
        <f t="shared" ref="J9:J17" si="2">SUM(D9:I9)</f>
        <v>53874073.084977619</v>
      </c>
      <c r="K9" s="180">
        <f>IF(B9&gt;0,'원가항목별(집계)'!I$34*P9/P$17,0)</f>
        <v>16940842.403312262</v>
      </c>
      <c r="L9" s="180">
        <f>IF($B9&gt;0,'원가항목별(집계)'!I$39*$P9/$P$17,0)</f>
        <v>295835.5107686987</v>
      </c>
      <c r="M9" s="181">
        <f>'#30'!H67+'#30'!H68</f>
        <v>0</v>
      </c>
      <c r="N9" s="182">
        <f t="shared" si="0"/>
        <v>71110750.999058574</v>
      </c>
      <c r="O9" s="183"/>
      <c r="P9" s="172">
        <f t="shared" si="1"/>
        <v>53745000</v>
      </c>
    </row>
    <row r="10" spans="1:16" s="172" customFormat="1" ht="25.5" customHeight="1">
      <c r="A10" s="173">
        <f>IF(B10&gt;0,A9+1,"")</f>
        <v>4</v>
      </c>
      <c r="B10" s="174" t="str">
        <f>'#40'!C$1</f>
        <v>TJ PUMPING</v>
      </c>
      <c r="C10" s="175" t="s">
        <v>124</v>
      </c>
      <c r="D10" s="176">
        <f>'#40'!H59</f>
        <v>21867000</v>
      </c>
      <c r="E10" s="177">
        <f>'#40'!H60</f>
        <v>0</v>
      </c>
      <c r="F10" s="177">
        <f>'#40'!H61+'#40'!H62+'#40'!H63+'#40'!H67</f>
        <v>9500000</v>
      </c>
      <c r="G10" s="177">
        <f>'#40'!H64+'#40'!H65</f>
        <v>2400000</v>
      </c>
      <c r="H10" s="177">
        <f>'#40'!H66</f>
        <v>600000</v>
      </c>
      <c r="I10" s="178">
        <f>IF($B10&gt;0,'원가항목별(집계)'!I$38*$P10/$P$17,0)</f>
        <v>82535.207208591906</v>
      </c>
      <c r="J10" s="179">
        <f t="shared" si="2"/>
        <v>34449535.207208589</v>
      </c>
      <c r="K10" s="180">
        <f>IF(B10&gt;0,'원가항목별(집계)'!I$34*P10/P$17,0)</f>
        <v>10832745.946127687</v>
      </c>
      <c r="L10" s="180">
        <f>IF($B10&gt;0,'원가항목별(집계)'!I$39*$P10/$P$17,0)</f>
        <v>189170.69492209263</v>
      </c>
      <c r="M10" s="181">
        <f>'#40'!H70+'#40'!H71</f>
        <v>0</v>
      </c>
      <c r="N10" s="182">
        <f t="shared" si="0"/>
        <v>45471451.848258361</v>
      </c>
      <c r="O10" s="183"/>
      <c r="P10" s="172">
        <f t="shared" si="1"/>
        <v>34367000</v>
      </c>
    </row>
    <row r="11" spans="1:16" s="172" customFormat="1" ht="25.5" customHeight="1">
      <c r="A11" s="173">
        <f>IF(B11&gt;0,A10+1,"")</f>
        <v>5</v>
      </c>
      <c r="B11" s="174" t="str">
        <f>'#50'!C$1</f>
        <v>MAIN PALLETS</v>
      </c>
      <c r="C11" s="175" t="s">
        <v>124</v>
      </c>
      <c r="D11" s="176">
        <f>'#50'!H57</f>
        <v>19000000</v>
      </c>
      <c r="E11" s="177">
        <f>'#50'!H58</f>
        <v>0</v>
      </c>
      <c r="F11" s="177">
        <f>'#50'!H59+'#50'!H60+'#50'!H61+'#50'!H65</f>
        <v>1050000</v>
      </c>
      <c r="G11" s="177">
        <f>'#50'!H62+'#50'!H63</f>
        <v>1200000</v>
      </c>
      <c r="H11" s="177">
        <f>'#50'!H64</f>
        <v>0</v>
      </c>
      <c r="I11" s="178">
        <f>IF($B11&gt;0,'원가항목별(집계)'!I$38*$P11/$P$17,0)</f>
        <v>51033.641376395317</v>
      </c>
      <c r="J11" s="179">
        <f t="shared" si="2"/>
        <v>21301033.641376395</v>
      </c>
      <c r="K11" s="180">
        <f>IF(B11&gt;0,'원가항목별(집계)'!I$34*P11/P$17,0)</f>
        <v>6698165.4306518855</v>
      </c>
      <c r="L11" s="180">
        <f>IF($B11&gt;0,'원가항목별(집계)'!I$39*$P11/$P$17,0)</f>
        <v>116969.10603469807</v>
      </c>
      <c r="M11" s="181">
        <f>'#50'!H68+'#50'!H69</f>
        <v>0</v>
      </c>
      <c r="N11" s="182">
        <f t="shared" si="0"/>
        <v>28116168.178062979</v>
      </c>
      <c r="O11" s="183"/>
      <c r="P11" s="172">
        <f t="shared" si="1"/>
        <v>21250000</v>
      </c>
    </row>
    <row r="12" spans="1:16" s="172" customFormat="1" ht="25.5" customHeight="1">
      <c r="A12" s="173">
        <f>IF(B12&gt;0,A11+1,"")</f>
        <v>6</v>
      </c>
      <c r="B12" s="174" t="str">
        <f>'#60'!C$1</f>
        <v>그리스 펌프</v>
      </c>
      <c r="C12" s="175" t="s">
        <v>124</v>
      </c>
      <c r="D12" s="176">
        <f>'#60'!H56</f>
        <v>50000000</v>
      </c>
      <c r="E12" s="177">
        <f>'#60'!H57</f>
        <v>0</v>
      </c>
      <c r="F12" s="177">
        <f>'#60'!H58+'#60'!H59+'#60'!H60+'#60'!H64</f>
        <v>0</v>
      </c>
      <c r="G12" s="177">
        <f>'#60'!H61+'#60'!H62</f>
        <v>2700000</v>
      </c>
      <c r="H12" s="177">
        <f>'#60'!H63</f>
        <v>0</v>
      </c>
      <c r="I12" s="178">
        <f>IF($B12&gt;0,'원가항목별(집계)'!I$38*$P12/$P$17,0)</f>
        <v>126563.4306134604</v>
      </c>
      <c r="J12" s="179">
        <f t="shared" si="2"/>
        <v>52826563.430613458</v>
      </c>
      <c r="K12" s="180">
        <f>IF(B12&gt;0,'원가항목별(집계)'!I$34*P12/P$17,0)</f>
        <v>16611450.268016677</v>
      </c>
      <c r="L12" s="180">
        <f>IF($B12&gt;0,'원가항목별(집계)'!I$39*$P12/$P$17,0)</f>
        <v>290083.38296605123</v>
      </c>
      <c r="M12" s="181">
        <f>'#60'!H67+'#60'!H68</f>
        <v>0</v>
      </c>
      <c r="N12" s="182">
        <f t="shared" si="0"/>
        <v>69728097.081596196</v>
      </c>
      <c r="O12" s="183"/>
      <c r="P12" s="172">
        <f t="shared" si="1"/>
        <v>52700000</v>
      </c>
    </row>
    <row r="13" spans="1:16" s="172" customFormat="1" ht="25.5" customHeight="1">
      <c r="A13" s="424">
        <f t="shared" ref="A13:A16" si="3">IF(B13&gt;0,A12+1,"")</f>
        <v>7</v>
      </c>
      <c r="B13" s="174" t="str">
        <f>'#70'!C$1</f>
        <v>장비 리툴링</v>
      </c>
      <c r="C13" s="175" t="s">
        <v>124</v>
      </c>
      <c r="D13" s="176">
        <f>'#70'!H68</f>
        <v>110300000</v>
      </c>
      <c r="E13" s="177">
        <f>'#70'!H69</f>
        <v>0</v>
      </c>
      <c r="F13" s="177">
        <f>'#70'!H70+'#70'!H71+'#70'!H72+'#70'!H76</f>
        <v>37950000</v>
      </c>
      <c r="G13" s="177">
        <f>'#70'!H73+'#70'!H74</f>
        <v>13200000</v>
      </c>
      <c r="H13" s="177">
        <f>'#70'!H75</f>
        <v>3000000</v>
      </c>
      <c r="I13" s="178">
        <f>IF($B13&gt;0,'원가항목별(집계)'!I$38*$P13/$P$17,0)</f>
        <v>394940.3446752099</v>
      </c>
      <c r="J13" s="179">
        <f t="shared" si="2"/>
        <v>164844940.34467521</v>
      </c>
      <c r="K13" s="180">
        <f>IF(B13&gt;0,'원가항목별(집계)'!I$34*P13/P$17,0)</f>
        <v>51835920.238621302</v>
      </c>
      <c r="L13" s="180">
        <f>IF($B13&gt;0,'원가항목별(집계)'!I$39*$P13/$P$17,0)</f>
        <v>905203.26999558113</v>
      </c>
      <c r="M13" s="181">
        <f>'#70'!H79+'#70'!H80</f>
        <v>0</v>
      </c>
      <c r="N13" s="182">
        <f t="shared" si="0"/>
        <v>217586063.85329208</v>
      </c>
      <c r="O13" s="183"/>
      <c r="P13" s="172">
        <f t="shared" si="1"/>
        <v>164450000</v>
      </c>
    </row>
    <row r="14" spans="1:16" s="172" customFormat="1" ht="25.5" customHeight="1">
      <c r="A14" s="424" t="str">
        <f t="shared" si="3"/>
        <v/>
      </c>
      <c r="B14" s="174">
        <f>'#80'!C$1</f>
        <v>0</v>
      </c>
      <c r="C14" s="175" t="s">
        <v>124</v>
      </c>
      <c r="D14" s="176">
        <f>'#80'!H56</f>
        <v>0</v>
      </c>
      <c r="E14" s="177">
        <f>'#80'!H57</f>
        <v>0</v>
      </c>
      <c r="F14" s="177">
        <f>'#80'!H58+'#80'!H59+'#80'!H60+'#80'!H64</f>
        <v>0</v>
      </c>
      <c r="G14" s="177">
        <f>'#80'!H61+'#80'!H62</f>
        <v>0</v>
      </c>
      <c r="H14" s="177">
        <f>'#80'!H63</f>
        <v>0</v>
      </c>
      <c r="I14" s="178">
        <f>IF($B14&gt;0,'원가항목별(집계)'!I$38*$P14/$P$17,0)</f>
        <v>0</v>
      </c>
      <c r="J14" s="179">
        <f t="shared" si="2"/>
        <v>0</v>
      </c>
      <c r="K14" s="180">
        <f>IF(B14&gt;0,'원가항목별(집계)'!I$34*P14/P$17,0)</f>
        <v>0</v>
      </c>
      <c r="L14" s="180">
        <f>IF($B14&gt;0,'원가항목별(집계)'!I$39*$P14/$P$17,0)</f>
        <v>0</v>
      </c>
      <c r="M14" s="181">
        <f>'#80'!H67+'#80'!H68</f>
        <v>0</v>
      </c>
      <c r="N14" s="182">
        <f t="shared" si="0"/>
        <v>0</v>
      </c>
      <c r="O14" s="183"/>
      <c r="P14" s="172">
        <f t="shared" si="1"/>
        <v>0</v>
      </c>
    </row>
    <row r="15" spans="1:16" s="186" customFormat="1" ht="25.5" customHeight="1">
      <c r="A15" s="424" t="str">
        <f t="shared" si="3"/>
        <v/>
      </c>
      <c r="B15" s="174">
        <f>'#90'!C$1</f>
        <v>0</v>
      </c>
      <c r="C15" s="175" t="s">
        <v>124</v>
      </c>
      <c r="D15" s="176">
        <f>'#90'!H56</f>
        <v>0</v>
      </c>
      <c r="E15" s="177">
        <f>'#90'!H57</f>
        <v>0</v>
      </c>
      <c r="F15" s="177">
        <f>'#90'!H58+'#90'!H59+'#90'!H60+'#90'!H64</f>
        <v>0</v>
      </c>
      <c r="G15" s="177">
        <f>'#90'!H61+'#90'!H62</f>
        <v>0</v>
      </c>
      <c r="H15" s="177">
        <f>'#90'!H63</f>
        <v>0</v>
      </c>
      <c r="I15" s="178">
        <f>IF($B15&gt;0,'원가항목별(집계)'!I$38*$P15/$P$17,0)</f>
        <v>0</v>
      </c>
      <c r="J15" s="179">
        <f t="shared" si="2"/>
        <v>0</v>
      </c>
      <c r="K15" s="180">
        <f>IF(B15&gt;0,'원가항목별(집계)'!I$34*P15/P$17,0)</f>
        <v>0</v>
      </c>
      <c r="L15" s="180">
        <f>IF($B15&gt;0,'원가항목별(집계)'!I$39*$P15/$P$17,0)</f>
        <v>0</v>
      </c>
      <c r="M15" s="181">
        <f>'#90'!H67+'#90'!H68</f>
        <v>0</v>
      </c>
      <c r="N15" s="184">
        <f t="shared" si="0"/>
        <v>0</v>
      </c>
      <c r="O15" s="185"/>
      <c r="P15" s="397">
        <f t="shared" si="1"/>
        <v>0</v>
      </c>
    </row>
    <row r="16" spans="1:16" s="186" customFormat="1" ht="25.5" customHeight="1">
      <c r="A16" s="424" t="str">
        <f t="shared" si="3"/>
        <v/>
      </c>
      <c r="B16" s="188">
        <f>'#100'!C$1</f>
        <v>0</v>
      </c>
      <c r="C16" s="187" t="s">
        <v>124</v>
      </c>
      <c r="D16" s="189">
        <f>'#100'!H56</f>
        <v>0</v>
      </c>
      <c r="E16" s="190">
        <f>'#100'!H57</f>
        <v>0</v>
      </c>
      <c r="F16" s="190">
        <f>'#100'!H58+'#100'!H59+'#100'!H60+'#100'!H64</f>
        <v>0</v>
      </c>
      <c r="G16" s="190">
        <f>'#100'!H61+'#100'!H62</f>
        <v>0</v>
      </c>
      <c r="H16" s="190">
        <f>'#100'!H63</f>
        <v>0</v>
      </c>
      <c r="I16" s="191">
        <f>IF($B16&gt;0,'원가항목별(집계)'!I$38*$P16/$P$17,0)</f>
        <v>0</v>
      </c>
      <c r="J16" s="192">
        <f t="shared" si="2"/>
        <v>0</v>
      </c>
      <c r="K16" s="193">
        <f>IF(B16&gt;0,'원가항목별(집계)'!I$34*P16/P$17,0)</f>
        <v>0</v>
      </c>
      <c r="L16" s="193">
        <f>IF($B16&gt;0,'원가항목별(집계)'!I$39*$P16/$P$17,0)</f>
        <v>0</v>
      </c>
      <c r="M16" s="194">
        <f>'#100'!H67+'#100'!H68</f>
        <v>0</v>
      </c>
      <c r="N16" s="195">
        <f t="shared" si="0"/>
        <v>0</v>
      </c>
      <c r="O16" s="196"/>
      <c r="P16" s="397">
        <f t="shared" si="1"/>
        <v>0</v>
      </c>
    </row>
    <row r="17" spans="1:16" s="172" customFormat="1" ht="33" customHeight="1">
      <c r="A17" s="687" t="s">
        <v>125</v>
      </c>
      <c r="B17" s="688"/>
      <c r="C17" s="689"/>
      <c r="D17" s="197">
        <f t="shared" ref="D17:M17" si="4">SUM(D7:D16)</f>
        <v>284442000</v>
      </c>
      <c r="E17" s="198">
        <f t="shared" si="4"/>
        <v>0</v>
      </c>
      <c r="F17" s="198">
        <f t="shared" si="4"/>
        <v>91750000</v>
      </c>
      <c r="G17" s="198">
        <f t="shared" si="4"/>
        <v>34800000</v>
      </c>
      <c r="H17" s="198">
        <f t="shared" si="4"/>
        <v>5400000</v>
      </c>
      <c r="I17" s="199">
        <f t="shared" si="4"/>
        <v>1000000</v>
      </c>
      <c r="J17" s="200">
        <f t="shared" si="2"/>
        <v>417392000</v>
      </c>
      <c r="K17" s="201">
        <f>SUM(K7:K16)</f>
        <v>131250000</v>
      </c>
      <c r="L17" s="202">
        <f t="shared" si="4"/>
        <v>2292000</v>
      </c>
      <c r="M17" s="203">
        <f t="shared" si="4"/>
        <v>0</v>
      </c>
      <c r="N17" s="204">
        <f>SUM(N7:N16)</f>
        <v>550934000</v>
      </c>
      <c r="O17" s="205"/>
      <c r="P17" s="172">
        <f>SUM(P7:P16)</f>
        <v>416392000</v>
      </c>
    </row>
    <row r="18" spans="1:16" s="218" customFormat="1" ht="18.75" customHeight="1">
      <c r="A18" s="206"/>
      <c r="B18" s="207"/>
      <c r="C18" s="208"/>
      <c r="D18" s="209">
        <f t="shared" ref="D18:N18" si="5">IF(D17=0,"",D17/$N17)</f>
        <v>0.51629051755745692</v>
      </c>
      <c r="E18" s="210" t="str">
        <f t="shared" si="5"/>
        <v/>
      </c>
      <c r="F18" s="210">
        <f t="shared" si="5"/>
        <v>0.16653537447316738</v>
      </c>
      <c r="G18" s="210">
        <f t="shared" si="5"/>
        <v>6.316546083559918E-2</v>
      </c>
      <c r="H18" s="210">
        <f t="shared" si="5"/>
        <v>9.8015370262136657E-3</v>
      </c>
      <c r="I18" s="211">
        <f t="shared" si="5"/>
        <v>1.815099449298827E-3</v>
      </c>
      <c r="J18" s="212">
        <f t="shared" si="5"/>
        <v>0.75760798934173601</v>
      </c>
      <c r="K18" s="213">
        <f t="shared" si="5"/>
        <v>0.23823180272047106</v>
      </c>
      <c r="L18" s="214">
        <f t="shared" si="5"/>
        <v>4.1602079377929119E-3</v>
      </c>
      <c r="M18" s="215" t="str">
        <f t="shared" si="5"/>
        <v/>
      </c>
      <c r="N18" s="216">
        <f t="shared" si="5"/>
        <v>1</v>
      </c>
      <c r="O18" s="217"/>
    </row>
    <row r="19" spans="1:16" ht="28.5" customHeight="1">
      <c r="A19" s="133" t="s">
        <v>126</v>
      </c>
      <c r="H19" s="219"/>
      <c r="I19" s="219"/>
      <c r="J19" s="219"/>
      <c r="K19" s="219"/>
      <c r="L19" s="219"/>
    </row>
    <row r="20" spans="1:16" ht="17.25" customHeight="1">
      <c r="H20" s="220"/>
      <c r="I20" s="220"/>
      <c r="J20" s="220"/>
      <c r="K20" s="220"/>
      <c r="L20" s="220"/>
      <c r="M20" s="221"/>
      <c r="N20" s="222" t="str">
        <f>IF('원가항목별(집계)'!I42='단위공사별(집계)'!N17,"","DATA오류입니다!")</f>
        <v/>
      </c>
    </row>
    <row r="21" spans="1:16" ht="17.25" customHeight="1">
      <c r="H21" s="223"/>
      <c r="I21" s="223"/>
      <c r="J21" s="223"/>
      <c r="K21" s="223"/>
      <c r="L21" s="223"/>
      <c r="N21" s="223"/>
    </row>
    <row r="22" spans="1:16" ht="17.25" customHeight="1">
      <c r="H22" s="172"/>
      <c r="I22" s="172"/>
      <c r="J22" s="172"/>
      <c r="L22" s="172"/>
    </row>
  </sheetData>
  <mergeCells count="2">
    <mergeCell ref="D4:J4"/>
    <mergeCell ref="A17:C17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62"/>
  <sheetViews>
    <sheetView zoomScale="85" zoomScaleNormal="85" workbookViewId="0">
      <pane xSplit="3" ySplit="2" topLeftCell="D3" activePane="bottomRight" state="frozen"/>
      <selection activeCell="G33" sqref="G33:I33"/>
      <selection pane="topRight" activeCell="G33" sqref="G33:I33"/>
      <selection pane="bottomLeft" activeCell="G33" sqref="G33:I33"/>
      <selection pane="bottomRight" activeCell="M34" sqref="M34"/>
    </sheetView>
  </sheetViews>
  <sheetFormatPr defaultRowHeight="13.5"/>
  <cols>
    <col min="1" max="1" width="5" style="133" customWidth="1"/>
    <col min="2" max="2" width="13" style="133" customWidth="1"/>
    <col min="3" max="3" width="23.625" style="133" customWidth="1"/>
    <col min="4" max="4" width="18.25" style="133" customWidth="1"/>
    <col min="5" max="5" width="5.25" style="150" bestFit="1" customWidth="1"/>
    <col min="6" max="6" width="6.75" style="306" customWidth="1"/>
    <col min="7" max="7" width="11.875" style="172" customWidth="1"/>
    <col min="8" max="8" width="13.625" style="172" customWidth="1"/>
    <col min="9" max="9" width="12.75" style="133" customWidth="1"/>
    <col min="10" max="10" width="9.25" style="133" customWidth="1"/>
    <col min="11" max="16384" width="9" style="133"/>
  </cols>
  <sheetData>
    <row r="1" spans="1:9" ht="22.5" customHeight="1">
      <c r="B1" s="224" t="s">
        <v>127</v>
      </c>
      <c r="C1" s="225" t="s">
        <v>128</v>
      </c>
      <c r="D1" s="226"/>
      <c r="E1" s="227"/>
      <c r="F1" s="228"/>
      <c r="G1" s="186"/>
      <c r="I1" s="133" t="s">
        <v>129</v>
      </c>
    </row>
    <row r="2" spans="1:9" s="150" customFormat="1" ht="16.5" customHeight="1">
      <c r="A2" s="579" t="s">
        <v>130</v>
      </c>
      <c r="B2" s="690"/>
      <c r="C2" s="229" t="s">
        <v>131</v>
      </c>
      <c r="D2" s="230" t="s">
        <v>132</v>
      </c>
      <c r="E2" s="230" t="s">
        <v>133</v>
      </c>
      <c r="F2" s="231" t="s">
        <v>134</v>
      </c>
      <c r="G2" s="231" t="s">
        <v>135</v>
      </c>
      <c r="H2" s="231" t="s">
        <v>136</v>
      </c>
      <c r="I2" s="230" t="s">
        <v>137</v>
      </c>
    </row>
    <row r="3" spans="1:9" ht="15.95" customHeight="1">
      <c r="A3" s="691" t="s">
        <v>138</v>
      </c>
      <c r="B3" s="232" t="s">
        <v>139</v>
      </c>
      <c r="C3" s="557" t="s">
        <v>333</v>
      </c>
      <c r="D3" s="233"/>
      <c r="E3" s="234" t="s">
        <v>306</v>
      </c>
      <c r="F3" s="235">
        <v>1</v>
      </c>
      <c r="G3" s="236">
        <v>200000</v>
      </c>
      <c r="H3" s="237">
        <f t="shared" ref="H3:H8" si="0">IF(F3=0,G3,G3*F3)</f>
        <v>200000</v>
      </c>
      <c r="I3" s="238"/>
    </row>
    <row r="4" spans="1:9" ht="15.95" customHeight="1">
      <c r="A4" s="692"/>
      <c r="B4" s="232"/>
      <c r="C4" s="239" t="s">
        <v>334</v>
      </c>
      <c r="D4" s="233"/>
      <c r="E4" s="234" t="s">
        <v>306</v>
      </c>
      <c r="F4" s="235">
        <v>4</v>
      </c>
      <c r="G4" s="236">
        <v>150000</v>
      </c>
      <c r="H4" s="183">
        <f t="shared" si="0"/>
        <v>600000</v>
      </c>
      <c r="I4" s="240"/>
    </row>
    <row r="5" spans="1:9" ht="15.95" customHeight="1">
      <c r="A5" s="692"/>
      <c r="B5" s="232"/>
      <c r="C5" s="239" t="s">
        <v>335</v>
      </c>
      <c r="D5" s="233"/>
      <c r="E5" s="558" t="s">
        <v>306</v>
      </c>
      <c r="F5" s="235">
        <v>1</v>
      </c>
      <c r="G5" s="236">
        <v>200000</v>
      </c>
      <c r="H5" s="183">
        <f t="shared" si="0"/>
        <v>200000</v>
      </c>
      <c r="I5" s="240"/>
    </row>
    <row r="6" spans="1:9" ht="15.95" customHeight="1">
      <c r="A6" s="692"/>
      <c r="B6" s="232"/>
      <c r="C6" s="239" t="s">
        <v>336</v>
      </c>
      <c r="D6" s="233"/>
      <c r="E6" s="558" t="s">
        <v>306</v>
      </c>
      <c r="F6" s="235">
        <v>1</v>
      </c>
      <c r="G6" s="236">
        <v>1000000</v>
      </c>
      <c r="H6" s="183">
        <f t="shared" si="0"/>
        <v>1000000</v>
      </c>
      <c r="I6" s="240"/>
    </row>
    <row r="7" spans="1:9" ht="15.95" customHeight="1">
      <c r="A7" s="692"/>
      <c r="B7" s="232"/>
      <c r="C7" s="239"/>
      <c r="D7" s="239"/>
      <c r="E7" s="241"/>
      <c r="F7" s="242"/>
      <c r="G7" s="243"/>
      <c r="H7" s="183">
        <f t="shared" si="0"/>
        <v>0</v>
      </c>
      <c r="I7" s="240"/>
    </row>
    <row r="8" spans="1:9" ht="15.95" customHeight="1">
      <c r="A8" s="692"/>
      <c r="B8" s="232"/>
      <c r="C8" s="244"/>
      <c r="D8" s="244"/>
      <c r="E8" s="245"/>
      <c r="F8" s="246"/>
      <c r="G8" s="247"/>
      <c r="H8" s="183">
        <f t="shared" si="0"/>
        <v>0</v>
      </c>
      <c r="I8" s="248"/>
    </row>
    <row r="9" spans="1:9" ht="15.95" customHeight="1">
      <c r="A9" s="692"/>
      <c r="B9" s="249"/>
      <c r="C9" s="250"/>
      <c r="D9" s="251"/>
      <c r="E9" s="229"/>
      <c r="F9" s="252"/>
      <c r="G9" s="253"/>
      <c r="H9" s="254">
        <f>SUM(H3:H8)</f>
        <v>2000000</v>
      </c>
      <c r="I9" s="255"/>
    </row>
    <row r="10" spans="1:9" ht="15.95" customHeight="1">
      <c r="A10" s="692"/>
      <c r="B10" s="256" t="s">
        <v>140</v>
      </c>
      <c r="C10" s="257"/>
      <c r="D10" s="257"/>
      <c r="E10" s="258"/>
      <c r="F10" s="259"/>
      <c r="G10" s="260"/>
      <c r="H10" s="261">
        <f t="shared" ref="H10:H47" si="1">IF(F10=0,G10,G10*F10)</f>
        <v>0</v>
      </c>
      <c r="I10" s="262"/>
    </row>
    <row r="11" spans="1:9" ht="15.95" customHeight="1">
      <c r="A11" s="692"/>
      <c r="B11" s="263" t="s">
        <v>141</v>
      </c>
      <c r="C11" s="239"/>
      <c r="D11" s="239"/>
      <c r="E11" s="241"/>
      <c r="F11" s="242"/>
      <c r="G11" s="243"/>
      <c r="H11" s="183">
        <f t="shared" si="1"/>
        <v>0</v>
      </c>
      <c r="I11" s="240"/>
    </row>
    <row r="12" spans="1:9" ht="15.95" customHeight="1">
      <c r="A12" s="692"/>
      <c r="B12" s="263" t="s">
        <v>142</v>
      </c>
      <c r="C12" s="239"/>
      <c r="D12" s="239"/>
      <c r="E12" s="241"/>
      <c r="F12" s="242"/>
      <c r="G12" s="243"/>
      <c r="H12" s="183">
        <f t="shared" si="1"/>
        <v>0</v>
      </c>
      <c r="I12" s="240"/>
    </row>
    <row r="13" spans="1:9" ht="15.95" customHeight="1">
      <c r="A13" s="692"/>
      <c r="B13" s="232"/>
      <c r="C13" s="239"/>
      <c r="D13" s="239"/>
      <c r="E13" s="241"/>
      <c r="F13" s="242"/>
      <c r="G13" s="243"/>
      <c r="H13" s="183">
        <f t="shared" si="1"/>
        <v>0</v>
      </c>
      <c r="I13" s="240"/>
    </row>
    <row r="14" spans="1:9" ht="15.95" customHeight="1">
      <c r="A14" s="692"/>
      <c r="B14" s="232"/>
      <c r="C14" s="239"/>
      <c r="D14" s="239"/>
      <c r="E14" s="241"/>
      <c r="F14" s="242"/>
      <c r="G14" s="243"/>
      <c r="H14" s="183">
        <f t="shared" si="1"/>
        <v>0</v>
      </c>
      <c r="I14" s="240"/>
    </row>
    <row r="15" spans="1:9" ht="15.95" customHeight="1">
      <c r="A15" s="692"/>
      <c r="B15" s="232"/>
      <c r="C15" s="244"/>
      <c r="D15" s="264"/>
      <c r="E15" s="245"/>
      <c r="F15" s="265"/>
      <c r="G15" s="266"/>
      <c r="H15" s="267">
        <f t="shared" si="1"/>
        <v>0</v>
      </c>
      <c r="I15" s="268"/>
    </row>
    <row r="16" spans="1:9" ht="15.95" customHeight="1">
      <c r="A16" s="692"/>
      <c r="B16" s="232"/>
      <c r="C16" s="269"/>
      <c r="D16" s="270"/>
      <c r="E16" s="271"/>
      <c r="F16" s="272"/>
      <c r="G16" s="273"/>
      <c r="H16" s="274">
        <f>SUM(H10:H15)</f>
        <v>0</v>
      </c>
      <c r="I16" s="275"/>
    </row>
    <row r="17" spans="1:9" ht="15.95" customHeight="1">
      <c r="A17" s="692"/>
      <c r="B17" s="276" t="s">
        <v>143</v>
      </c>
      <c r="C17" s="328" t="s">
        <v>337</v>
      </c>
      <c r="D17" s="326"/>
      <c r="E17" s="506" t="s">
        <v>285</v>
      </c>
      <c r="F17" s="510">
        <v>1</v>
      </c>
      <c r="G17" s="327">
        <v>30000000</v>
      </c>
      <c r="H17" s="367">
        <f t="shared" si="1"/>
        <v>30000000</v>
      </c>
      <c r="I17" s="262"/>
    </row>
    <row r="18" spans="1:9" ht="15.95" customHeight="1">
      <c r="A18" s="692"/>
      <c r="B18" s="232"/>
      <c r="C18" s="330"/>
      <c r="D18" s="330"/>
      <c r="E18" s="331"/>
      <c r="F18" s="332"/>
      <c r="G18" s="333"/>
      <c r="H18" s="367">
        <f t="shared" si="1"/>
        <v>0</v>
      </c>
      <c r="I18" s="240"/>
    </row>
    <row r="19" spans="1:9" ht="15.95" customHeight="1">
      <c r="A19" s="692"/>
      <c r="B19" s="232"/>
      <c r="C19" s="406"/>
      <c r="D19" s="434"/>
      <c r="E19" s="331"/>
      <c r="F19" s="329"/>
      <c r="G19" s="415"/>
      <c r="H19" s="367">
        <f t="shared" si="1"/>
        <v>0</v>
      </c>
      <c r="I19" s="240"/>
    </row>
    <row r="20" spans="1:9" ht="15.95" customHeight="1">
      <c r="A20" s="692"/>
      <c r="B20" s="232"/>
      <c r="C20" s="443"/>
      <c r="D20" s="429"/>
      <c r="E20" s="439"/>
      <c r="F20" s="431"/>
      <c r="G20" s="438"/>
      <c r="H20" s="367">
        <f t="shared" si="1"/>
        <v>0</v>
      </c>
      <c r="I20" s="240"/>
    </row>
    <row r="21" spans="1:9" ht="15.95" customHeight="1">
      <c r="A21" s="692"/>
      <c r="B21" s="232"/>
      <c r="C21" s="434"/>
      <c r="D21" s="434"/>
      <c r="E21" s="440"/>
      <c r="F21" s="435"/>
      <c r="G21" s="436"/>
      <c r="H21" s="367">
        <f t="shared" si="1"/>
        <v>0</v>
      </c>
      <c r="I21" s="240"/>
    </row>
    <row r="22" spans="1:9" ht="15.95" customHeight="1">
      <c r="A22" s="692"/>
      <c r="B22" s="232"/>
      <c r="C22" s="406"/>
      <c r="D22" s="406"/>
      <c r="E22" s="331"/>
      <c r="F22" s="329"/>
      <c r="G22" s="415"/>
      <c r="H22" s="367">
        <f t="shared" si="1"/>
        <v>0</v>
      </c>
      <c r="I22" s="240"/>
    </row>
    <row r="23" spans="1:9" ht="15.95" customHeight="1">
      <c r="A23" s="692"/>
      <c r="B23" s="232"/>
      <c r="C23" s="456"/>
      <c r="D23" s="429"/>
      <c r="E23" s="457"/>
      <c r="F23" s="447"/>
      <c r="G23" s="455"/>
      <c r="H23" s="367">
        <f t="shared" si="1"/>
        <v>0</v>
      </c>
      <c r="I23" s="240"/>
    </row>
    <row r="24" spans="1:9" ht="15.95" customHeight="1">
      <c r="A24" s="692"/>
      <c r="B24" s="232"/>
      <c r="C24" s="450"/>
      <c r="D24" s="450"/>
      <c r="E24" s="458"/>
      <c r="F24" s="451"/>
      <c r="G24" s="452"/>
      <c r="H24" s="367">
        <f t="shared" si="1"/>
        <v>0</v>
      </c>
      <c r="I24" s="240"/>
    </row>
    <row r="25" spans="1:9" s="490" customFormat="1" ht="15.95" customHeight="1">
      <c r="A25" s="692"/>
      <c r="B25" s="492"/>
      <c r="C25" s="504"/>
      <c r="D25" s="504"/>
      <c r="E25" s="506"/>
      <c r="F25" s="510"/>
      <c r="G25" s="505"/>
      <c r="H25" s="491">
        <f t="shared" ref="H25" si="2">IF(F25=0,G25,G25*F25)</f>
        <v>0</v>
      </c>
      <c r="I25" s="240"/>
    </row>
    <row r="26" spans="1:9" ht="15.95" customHeight="1">
      <c r="A26" s="692"/>
      <c r="B26" s="232"/>
      <c r="C26" s="406"/>
      <c r="D26" s="406"/>
      <c r="E26" s="331"/>
      <c r="F26" s="329"/>
      <c r="G26" s="415"/>
      <c r="H26" s="367">
        <f t="shared" si="1"/>
        <v>0</v>
      </c>
      <c r="I26" s="240"/>
    </row>
    <row r="27" spans="1:9" ht="15.95" customHeight="1">
      <c r="A27" s="692"/>
      <c r="B27" s="232"/>
      <c r="C27" s="477"/>
      <c r="D27" s="429"/>
      <c r="E27" s="478"/>
      <c r="F27" s="472"/>
      <c r="G27" s="476"/>
      <c r="H27" s="367">
        <f t="shared" si="1"/>
        <v>0</v>
      </c>
      <c r="I27" s="240"/>
    </row>
    <row r="28" spans="1:9" ht="15.95" customHeight="1">
      <c r="A28" s="692"/>
      <c r="B28" s="232"/>
      <c r="C28" s="473"/>
      <c r="D28" s="473"/>
      <c r="E28" s="479"/>
      <c r="F28" s="474"/>
      <c r="G28" s="475"/>
      <c r="H28" s="183">
        <f t="shared" si="1"/>
        <v>0</v>
      </c>
      <c r="I28" s="240"/>
    </row>
    <row r="29" spans="1:9" ht="15.95" customHeight="1">
      <c r="A29" s="692"/>
      <c r="B29" s="232"/>
      <c r="C29" s="239"/>
      <c r="D29" s="239"/>
      <c r="E29" s="241"/>
      <c r="F29" s="242"/>
      <c r="G29" s="243"/>
      <c r="H29" s="183">
        <f t="shared" si="1"/>
        <v>0</v>
      </c>
      <c r="I29" s="240"/>
    </row>
    <row r="30" spans="1:9" ht="15.95" customHeight="1">
      <c r="A30" s="692"/>
      <c r="B30" s="232"/>
      <c r="C30" s="239"/>
      <c r="D30" s="239"/>
      <c r="E30" s="241"/>
      <c r="F30" s="242"/>
      <c r="G30" s="243"/>
      <c r="H30" s="183">
        <f t="shared" si="1"/>
        <v>0</v>
      </c>
      <c r="I30" s="240"/>
    </row>
    <row r="31" spans="1:9" ht="15.95" customHeight="1">
      <c r="A31" s="692"/>
      <c r="B31" s="232"/>
      <c r="C31" s="239"/>
      <c r="D31" s="239"/>
      <c r="E31" s="241"/>
      <c r="F31" s="242"/>
      <c r="G31" s="243"/>
      <c r="H31" s="183">
        <f t="shared" si="1"/>
        <v>0</v>
      </c>
      <c r="I31" s="240"/>
    </row>
    <row r="32" spans="1:9" ht="15.95" customHeight="1">
      <c r="A32" s="692"/>
      <c r="B32" s="232"/>
      <c r="C32" s="239"/>
      <c r="D32" s="239"/>
      <c r="E32" s="241"/>
      <c r="F32" s="242"/>
      <c r="G32" s="243"/>
      <c r="H32" s="183">
        <f t="shared" si="1"/>
        <v>0</v>
      </c>
      <c r="I32" s="240"/>
    </row>
    <row r="33" spans="1:9" ht="15.95" customHeight="1">
      <c r="A33" s="692"/>
      <c r="B33" s="232"/>
      <c r="C33" s="239"/>
      <c r="D33" s="239"/>
      <c r="E33" s="241"/>
      <c r="F33" s="242"/>
      <c r="G33" s="243"/>
      <c r="H33" s="183">
        <f t="shared" si="1"/>
        <v>0</v>
      </c>
      <c r="I33" s="240"/>
    </row>
    <row r="34" spans="1:9" ht="15.95" customHeight="1">
      <c r="A34" s="692"/>
      <c r="B34" s="232"/>
      <c r="C34" s="239"/>
      <c r="D34" s="239"/>
      <c r="E34" s="241"/>
      <c r="F34" s="242"/>
      <c r="G34" s="243"/>
      <c r="H34" s="183">
        <f t="shared" si="1"/>
        <v>0</v>
      </c>
      <c r="I34" s="240"/>
    </row>
    <row r="35" spans="1:9" ht="15.95" customHeight="1">
      <c r="A35" s="692"/>
      <c r="B35" s="232"/>
      <c r="C35" s="239"/>
      <c r="D35" s="239"/>
      <c r="E35" s="241"/>
      <c r="F35" s="242"/>
      <c r="G35" s="243"/>
      <c r="H35" s="183">
        <f t="shared" si="1"/>
        <v>0</v>
      </c>
      <c r="I35" s="240"/>
    </row>
    <row r="36" spans="1:9" ht="15.95" customHeight="1">
      <c r="A36" s="692"/>
      <c r="B36" s="232"/>
      <c r="C36" s="239"/>
      <c r="D36" s="239"/>
      <c r="E36" s="241"/>
      <c r="F36" s="242"/>
      <c r="G36" s="243"/>
      <c r="H36" s="183">
        <f t="shared" si="1"/>
        <v>0</v>
      </c>
      <c r="I36" s="240"/>
    </row>
    <row r="37" spans="1:9" ht="15.95" customHeight="1">
      <c r="A37" s="692"/>
      <c r="B37" s="232"/>
      <c r="C37" s="239"/>
      <c r="D37" s="239"/>
      <c r="E37" s="241"/>
      <c r="F37" s="242"/>
      <c r="G37" s="243"/>
      <c r="H37" s="183">
        <f t="shared" si="1"/>
        <v>0</v>
      </c>
      <c r="I37" s="240"/>
    </row>
    <row r="38" spans="1:9" ht="15.95" customHeight="1">
      <c r="A38" s="692"/>
      <c r="B38" s="232"/>
      <c r="C38" s="239"/>
      <c r="D38" s="239"/>
      <c r="E38" s="241"/>
      <c r="F38" s="242"/>
      <c r="G38" s="243"/>
      <c r="H38" s="183">
        <f t="shared" si="1"/>
        <v>0</v>
      </c>
      <c r="I38" s="240"/>
    </row>
    <row r="39" spans="1:9" ht="15.95" customHeight="1">
      <c r="A39" s="692"/>
      <c r="B39" s="232"/>
      <c r="C39" s="239"/>
      <c r="D39" s="239"/>
      <c r="E39" s="241"/>
      <c r="F39" s="242"/>
      <c r="G39" s="243"/>
      <c r="H39" s="183">
        <f t="shared" si="1"/>
        <v>0</v>
      </c>
      <c r="I39" s="240"/>
    </row>
    <row r="40" spans="1:9" ht="15.95" customHeight="1">
      <c r="A40" s="692"/>
      <c r="B40" s="232"/>
      <c r="C40" s="239"/>
      <c r="D40" s="239"/>
      <c r="E40" s="241"/>
      <c r="F40" s="242"/>
      <c r="G40" s="243"/>
      <c r="H40" s="183">
        <f t="shared" si="1"/>
        <v>0</v>
      </c>
      <c r="I40" s="240"/>
    </row>
    <row r="41" spans="1:9" ht="15.95" customHeight="1">
      <c r="A41" s="692"/>
      <c r="B41" s="232"/>
      <c r="C41" s="239"/>
      <c r="D41" s="239"/>
      <c r="E41" s="241"/>
      <c r="F41" s="242"/>
      <c r="G41" s="243"/>
      <c r="H41" s="183">
        <f t="shared" si="1"/>
        <v>0</v>
      </c>
      <c r="I41" s="240"/>
    </row>
    <row r="42" spans="1:9" ht="15.95" customHeight="1">
      <c r="A42" s="692"/>
      <c r="B42" s="232"/>
      <c r="C42" s="239"/>
      <c r="D42" s="239"/>
      <c r="E42" s="241"/>
      <c r="F42" s="242"/>
      <c r="G42" s="243"/>
      <c r="H42" s="183">
        <f t="shared" si="1"/>
        <v>0</v>
      </c>
      <c r="I42" s="240"/>
    </row>
    <row r="43" spans="1:9" ht="15.95" customHeight="1">
      <c r="A43" s="692"/>
      <c r="B43" s="232"/>
      <c r="C43" s="553" t="s">
        <v>338</v>
      </c>
      <c r="D43" s="239"/>
      <c r="E43" s="241" t="s">
        <v>306</v>
      </c>
      <c r="F43" s="242">
        <v>1</v>
      </c>
      <c r="G43" s="243">
        <v>20000000</v>
      </c>
      <c r="H43" s="183">
        <f t="shared" si="1"/>
        <v>20000000</v>
      </c>
      <c r="I43" s="240"/>
    </row>
    <row r="44" spans="1:9" ht="15.95" customHeight="1">
      <c r="A44" s="692"/>
      <c r="B44" s="232"/>
      <c r="C44" s="239"/>
      <c r="D44" s="239"/>
      <c r="E44" s="241"/>
      <c r="F44" s="242"/>
      <c r="G44" s="243"/>
      <c r="H44" s="183">
        <f t="shared" si="1"/>
        <v>0</v>
      </c>
      <c r="I44" s="240"/>
    </row>
    <row r="45" spans="1:9" ht="15.95" customHeight="1">
      <c r="A45" s="692"/>
      <c r="B45" s="232"/>
      <c r="C45" s="239"/>
      <c r="D45" s="239"/>
      <c r="E45" s="241"/>
      <c r="F45" s="242"/>
      <c r="G45" s="243"/>
      <c r="H45" s="183">
        <f t="shared" si="1"/>
        <v>0</v>
      </c>
      <c r="I45" s="240"/>
    </row>
    <row r="46" spans="1:9" ht="15.95" customHeight="1">
      <c r="A46" s="692"/>
      <c r="B46" s="232"/>
      <c r="C46" s="239"/>
      <c r="D46" s="239"/>
      <c r="E46" s="241"/>
      <c r="F46" s="242"/>
      <c r="G46" s="243"/>
      <c r="H46" s="183">
        <f t="shared" si="1"/>
        <v>0</v>
      </c>
      <c r="I46" s="240"/>
    </row>
    <row r="47" spans="1:9" ht="15.95" customHeight="1">
      <c r="A47" s="692"/>
      <c r="B47" s="232"/>
      <c r="C47" s="244" t="s">
        <v>291</v>
      </c>
      <c r="D47" s="244"/>
      <c r="E47" s="245" t="s">
        <v>290</v>
      </c>
      <c r="F47" s="246">
        <v>1</v>
      </c>
      <c r="G47" s="247">
        <v>2000000</v>
      </c>
      <c r="H47" s="277">
        <f t="shared" si="1"/>
        <v>2000000</v>
      </c>
      <c r="I47" s="248"/>
    </row>
    <row r="48" spans="1:9" ht="15.95" customHeight="1">
      <c r="A48" s="692"/>
      <c r="B48" s="249"/>
      <c r="C48" s="250"/>
      <c r="D48" s="251"/>
      <c r="E48" s="229"/>
      <c r="F48" s="252"/>
      <c r="G48" s="253"/>
      <c r="H48" s="254">
        <f>SUM(H17:H47)</f>
        <v>52000000</v>
      </c>
      <c r="I48" s="255"/>
    </row>
    <row r="49" spans="1:9" ht="15.95" customHeight="1">
      <c r="A49" s="278"/>
      <c r="B49" s="279" t="s">
        <v>144</v>
      </c>
      <c r="C49" s="280"/>
      <c r="D49" s="255"/>
      <c r="E49" s="230"/>
      <c r="F49" s="281"/>
      <c r="G49" s="282"/>
      <c r="H49" s="254">
        <f>SUM(H48,H9,H16)</f>
        <v>54000000</v>
      </c>
      <c r="I49" s="255"/>
    </row>
    <row r="50" spans="1:9" ht="15.95" customHeight="1">
      <c r="A50" s="693" t="s">
        <v>145</v>
      </c>
      <c r="B50" s="283" t="s">
        <v>146</v>
      </c>
      <c r="C50" s="280"/>
      <c r="D50" s="284"/>
      <c r="E50" s="285" t="s">
        <v>71</v>
      </c>
      <c r="F50" s="286">
        <v>0</v>
      </c>
      <c r="G50" s="287">
        <v>300000</v>
      </c>
      <c r="H50" s="288">
        <f t="shared" ref="H50:H56" si="3">F50*G50</f>
        <v>0</v>
      </c>
      <c r="I50" s="255"/>
    </row>
    <row r="51" spans="1:9" ht="15.95" customHeight="1">
      <c r="A51" s="694"/>
      <c r="B51" s="289" t="s">
        <v>147</v>
      </c>
      <c r="C51" s="290"/>
      <c r="D51" s="291"/>
      <c r="E51" s="292" t="s">
        <v>148</v>
      </c>
      <c r="F51" s="258">
        <v>60</v>
      </c>
      <c r="G51" s="260">
        <v>300000</v>
      </c>
      <c r="H51" s="261">
        <f t="shared" si="3"/>
        <v>18000000</v>
      </c>
      <c r="I51" s="262"/>
    </row>
    <row r="52" spans="1:9" ht="15.95" customHeight="1">
      <c r="A52" s="694"/>
      <c r="B52" s="293" t="s">
        <v>149</v>
      </c>
      <c r="C52" s="294"/>
      <c r="D52" s="295"/>
      <c r="E52" s="296" t="s">
        <v>148</v>
      </c>
      <c r="F52" s="235">
        <v>15</v>
      </c>
      <c r="G52" s="243">
        <v>250000</v>
      </c>
      <c r="H52" s="183">
        <f t="shared" si="3"/>
        <v>3750000</v>
      </c>
      <c r="I52" s="240"/>
    </row>
    <row r="53" spans="1:9" ht="15.95" customHeight="1">
      <c r="A53" s="694"/>
      <c r="B53" s="293" t="s">
        <v>150</v>
      </c>
      <c r="C53" s="294"/>
      <c r="D53" s="295"/>
      <c r="E53" s="296" t="s">
        <v>148</v>
      </c>
      <c r="F53" s="242">
        <v>90</v>
      </c>
      <c r="G53" s="243">
        <v>250000</v>
      </c>
      <c r="H53" s="183">
        <f>F53*G53</f>
        <v>22500000</v>
      </c>
      <c r="I53" s="240"/>
    </row>
    <row r="54" spans="1:9" ht="15.95" customHeight="1">
      <c r="A54" s="694"/>
      <c r="B54" s="293" t="s">
        <v>151</v>
      </c>
      <c r="C54" s="294"/>
      <c r="D54" s="295"/>
      <c r="E54" s="296" t="s">
        <v>148</v>
      </c>
      <c r="F54" s="242">
        <v>30</v>
      </c>
      <c r="G54" s="243">
        <v>300000</v>
      </c>
      <c r="H54" s="183">
        <f t="shared" si="3"/>
        <v>9000000</v>
      </c>
      <c r="I54" s="240"/>
    </row>
    <row r="55" spans="1:9" ht="15.95" customHeight="1">
      <c r="A55" s="694"/>
      <c r="B55" s="293" t="s">
        <v>152</v>
      </c>
      <c r="C55" s="294"/>
      <c r="D55" s="295"/>
      <c r="E55" s="296" t="s">
        <v>148</v>
      </c>
      <c r="F55" s="265">
        <v>60</v>
      </c>
      <c r="G55" s="266">
        <v>300000</v>
      </c>
      <c r="H55" s="183">
        <f t="shared" si="3"/>
        <v>18000000</v>
      </c>
      <c r="I55" s="240"/>
    </row>
    <row r="56" spans="1:9" ht="15.95" customHeight="1">
      <c r="A56" s="694"/>
      <c r="B56" s="297" t="s">
        <v>153</v>
      </c>
      <c r="C56" s="298"/>
      <c r="D56" s="299"/>
      <c r="E56" s="300" t="s">
        <v>148</v>
      </c>
      <c r="F56" s="246">
        <v>20</v>
      </c>
      <c r="G56" s="247">
        <v>300000</v>
      </c>
      <c r="H56" s="277">
        <f t="shared" si="3"/>
        <v>6000000</v>
      </c>
      <c r="I56" s="248"/>
    </row>
    <row r="57" spans="1:9" ht="15.95" customHeight="1">
      <c r="A57" s="278"/>
      <c r="B57" s="301" t="s">
        <v>154</v>
      </c>
      <c r="C57" s="280"/>
      <c r="D57" s="255"/>
      <c r="E57" s="230"/>
      <c r="F57" s="252"/>
      <c r="G57" s="253"/>
      <c r="H57" s="254">
        <f>SUM(H50:H56)</f>
        <v>77250000</v>
      </c>
      <c r="I57" s="255"/>
    </row>
    <row r="58" spans="1:9" ht="15.95" customHeight="1">
      <c r="A58" s="302"/>
      <c r="B58" s="301" t="s">
        <v>155</v>
      </c>
      <c r="C58" s="280"/>
      <c r="D58" s="255"/>
      <c r="E58" s="230"/>
      <c r="F58" s="231"/>
      <c r="G58" s="303" t="s">
        <v>156</v>
      </c>
      <c r="H58" s="282">
        <v>0</v>
      </c>
      <c r="I58" s="255"/>
    </row>
    <row r="59" spans="1:9" ht="15.95" customHeight="1">
      <c r="A59" s="302"/>
      <c r="B59" s="301" t="s">
        <v>157</v>
      </c>
      <c r="C59" s="280"/>
      <c r="D59" s="255"/>
      <c r="E59" s="230"/>
      <c r="F59" s="231"/>
      <c r="G59" s="304"/>
      <c r="H59" s="305">
        <f>(H57+H49)*0</f>
        <v>0</v>
      </c>
      <c r="I59" s="280"/>
    </row>
    <row r="60" spans="1:9" ht="15.95" customHeight="1">
      <c r="A60" s="302"/>
      <c r="B60" s="301" t="s">
        <v>158</v>
      </c>
      <c r="C60" s="280"/>
      <c r="D60" s="255"/>
      <c r="E60" s="230"/>
      <c r="F60" s="231"/>
      <c r="G60" s="304"/>
      <c r="H60" s="305">
        <f>(H57+H49)*0</f>
        <v>0</v>
      </c>
      <c r="I60" s="280"/>
    </row>
    <row r="61" spans="1:9" ht="15.95" customHeight="1">
      <c r="A61" s="302"/>
      <c r="B61" s="301" t="s">
        <v>159</v>
      </c>
      <c r="C61" s="280"/>
      <c r="D61" s="255"/>
      <c r="E61" s="230"/>
      <c r="F61" s="231"/>
      <c r="G61" s="254"/>
      <c r="H61" s="253">
        <f>H49+H57+H58+H59+H60</f>
        <v>131250000</v>
      </c>
      <c r="I61" s="255"/>
    </row>
    <row r="62" spans="1:9">
      <c r="A62" s="150"/>
    </row>
  </sheetData>
  <mergeCells count="3">
    <mergeCell ref="A2:B2"/>
    <mergeCell ref="A3:A48"/>
    <mergeCell ref="A50:A56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69" orientation="portrait" horizontalDpi="4294967292" r:id="rId1"/>
  <headerFooter alignWithMargins="0"/>
  <ignoredErrors>
    <ignoredError sqref="H9 H16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78"/>
  <sheetViews>
    <sheetView zoomScaleNormal="100" workbookViewId="0">
      <pane xSplit="2" ySplit="2" topLeftCell="C3" activePane="bottomRight" state="frozen"/>
      <selection activeCell="G33" sqref="G33:I33"/>
      <selection pane="topRight" activeCell="G33" sqref="G33:I33"/>
      <selection pane="bottomLeft" activeCell="G33" sqref="G33:I33"/>
      <selection pane="bottomRight" activeCell="N23" sqref="N23"/>
    </sheetView>
  </sheetViews>
  <sheetFormatPr defaultRowHeight="13.5"/>
  <cols>
    <col min="1" max="1" width="5" style="133" customWidth="1"/>
    <col min="2" max="2" width="17.875" style="133" bestFit="1" customWidth="1"/>
    <col min="3" max="3" width="23.625" style="133" customWidth="1"/>
    <col min="4" max="4" width="18.25" style="133" customWidth="1"/>
    <col min="5" max="5" width="5.25" style="133" bestFit="1" customWidth="1"/>
    <col min="6" max="6" width="9" style="172"/>
    <col min="7" max="7" width="11.875" style="172" customWidth="1"/>
    <col min="8" max="8" width="13.625" style="172" customWidth="1"/>
    <col min="9" max="9" width="12.75" style="133" customWidth="1"/>
    <col min="10" max="12" width="8.5" style="133" customWidth="1"/>
    <col min="13" max="16384" width="9" style="133"/>
  </cols>
  <sheetData>
    <row r="1" spans="1:11" ht="22.5" customHeight="1">
      <c r="B1" s="224" t="s">
        <v>160</v>
      </c>
      <c r="C1" s="344" t="s">
        <v>295</v>
      </c>
      <c r="D1" s="226"/>
      <c r="E1" s="226"/>
      <c r="F1" s="308"/>
      <c r="G1" s="186"/>
      <c r="I1" s="133" t="s">
        <v>161</v>
      </c>
      <c r="K1" s="309"/>
    </row>
    <row r="2" spans="1:11" s="150" customFormat="1" ht="16.5" customHeight="1">
      <c r="A2" s="579" t="s">
        <v>162</v>
      </c>
      <c r="B2" s="690"/>
      <c r="C2" s="141" t="s">
        <v>163</v>
      </c>
      <c r="D2" s="134" t="s">
        <v>164</v>
      </c>
      <c r="E2" s="134" t="s">
        <v>165</v>
      </c>
      <c r="F2" s="281" t="s">
        <v>166</v>
      </c>
      <c r="G2" s="281" t="s">
        <v>167</v>
      </c>
      <c r="H2" s="281" t="s">
        <v>168</v>
      </c>
      <c r="I2" s="134" t="s">
        <v>169</v>
      </c>
    </row>
    <row r="3" spans="1:11" ht="15.95" customHeight="1">
      <c r="A3" s="691" t="s">
        <v>170</v>
      </c>
      <c r="B3" s="232" t="s">
        <v>171</v>
      </c>
      <c r="C3" s="514" t="s">
        <v>301</v>
      </c>
      <c r="D3" s="514" t="s">
        <v>302</v>
      </c>
      <c r="E3" s="515" t="s">
        <v>285</v>
      </c>
      <c r="F3" s="516">
        <v>1</v>
      </c>
      <c r="G3" s="516">
        <v>2000000</v>
      </c>
      <c r="H3" s="367">
        <f t="shared" ref="H3:H62" si="0">IF(F3=0,G3,G3*F3)</f>
        <v>2000000</v>
      </c>
      <c r="I3" s="262"/>
    </row>
    <row r="4" spans="1:11" ht="15.95" customHeight="1">
      <c r="A4" s="695"/>
      <c r="B4" s="232"/>
      <c r="C4" s="519" t="s">
        <v>304</v>
      </c>
      <c r="D4" s="514" t="s">
        <v>307</v>
      </c>
      <c r="E4" s="520" t="s">
        <v>285</v>
      </c>
      <c r="F4" s="516">
        <v>1</v>
      </c>
      <c r="G4" s="518">
        <v>1500000</v>
      </c>
      <c r="H4" s="367">
        <f t="shared" si="0"/>
        <v>1500000</v>
      </c>
      <c r="I4" s="240"/>
    </row>
    <row r="5" spans="1:11" ht="15.95" customHeight="1">
      <c r="A5" s="695"/>
      <c r="B5" s="232"/>
      <c r="C5" s="519" t="s">
        <v>303</v>
      </c>
      <c r="D5" s="519" t="s">
        <v>302</v>
      </c>
      <c r="E5" s="520" t="s">
        <v>285</v>
      </c>
      <c r="F5" s="518">
        <v>1</v>
      </c>
      <c r="G5" s="518">
        <v>1000000</v>
      </c>
      <c r="H5" s="183">
        <f t="shared" si="0"/>
        <v>1000000</v>
      </c>
      <c r="I5" s="240"/>
    </row>
    <row r="6" spans="1:11" ht="15.95" customHeight="1">
      <c r="A6" s="695"/>
      <c r="B6" s="232"/>
      <c r="C6" s="543" t="s">
        <v>323</v>
      </c>
      <c r="D6" s="543"/>
      <c r="E6" s="544" t="s">
        <v>285</v>
      </c>
      <c r="F6" s="541">
        <v>1</v>
      </c>
      <c r="G6" s="541">
        <v>600000</v>
      </c>
      <c r="H6" s="183">
        <f t="shared" si="0"/>
        <v>600000</v>
      </c>
      <c r="I6" s="240"/>
    </row>
    <row r="7" spans="1:11" ht="15.95" customHeight="1">
      <c r="A7" s="695"/>
      <c r="B7" s="232"/>
      <c r="C7" s="526" t="s">
        <v>309</v>
      </c>
      <c r="D7" s="522"/>
      <c r="E7" s="527" t="s">
        <v>306</v>
      </c>
      <c r="F7" s="528">
        <v>1</v>
      </c>
      <c r="G7" s="525">
        <v>1040000</v>
      </c>
      <c r="H7" s="183">
        <f t="shared" si="0"/>
        <v>1040000</v>
      </c>
      <c r="I7" s="240"/>
    </row>
    <row r="8" spans="1:11" ht="15.95" customHeight="1">
      <c r="A8" s="695"/>
      <c r="B8" s="232"/>
      <c r="C8" s="526" t="s">
        <v>308</v>
      </c>
      <c r="D8" s="522"/>
      <c r="E8" s="523" t="s">
        <v>306</v>
      </c>
      <c r="F8" s="524">
        <v>1</v>
      </c>
      <c r="G8" s="525">
        <v>2500000</v>
      </c>
      <c r="H8" s="183">
        <f t="shared" si="0"/>
        <v>2500000</v>
      </c>
      <c r="I8" s="240"/>
    </row>
    <row r="9" spans="1:11" ht="15.95" customHeight="1">
      <c r="A9" s="695"/>
      <c r="B9" s="232"/>
      <c r="C9" s="526" t="s">
        <v>311</v>
      </c>
      <c r="D9" s="522"/>
      <c r="E9" s="523" t="s">
        <v>306</v>
      </c>
      <c r="F9" s="524">
        <v>1</v>
      </c>
      <c r="G9" s="524">
        <v>2000000</v>
      </c>
      <c r="H9" s="183">
        <f t="shared" si="0"/>
        <v>2000000</v>
      </c>
      <c r="I9" s="240"/>
    </row>
    <row r="10" spans="1:11" ht="15.95" customHeight="1">
      <c r="A10" s="695"/>
      <c r="B10" s="232"/>
      <c r="C10" s="526" t="s">
        <v>312</v>
      </c>
      <c r="D10" s="522"/>
      <c r="E10" s="523" t="s">
        <v>306</v>
      </c>
      <c r="F10" s="524">
        <v>1</v>
      </c>
      <c r="G10" s="524">
        <v>1000000</v>
      </c>
      <c r="H10" s="183">
        <f t="shared" si="0"/>
        <v>1000000</v>
      </c>
      <c r="I10" s="240"/>
    </row>
    <row r="11" spans="1:11" ht="15.95" customHeight="1">
      <c r="A11" s="695"/>
      <c r="B11" s="232"/>
      <c r="C11" s="498"/>
      <c r="D11" s="493"/>
      <c r="E11" s="499"/>
      <c r="F11" s="502"/>
      <c r="G11" s="507"/>
      <c r="H11" s="183">
        <f t="shared" si="0"/>
        <v>0</v>
      </c>
      <c r="I11" s="240"/>
    </row>
    <row r="12" spans="1:11" ht="15.95" customHeight="1">
      <c r="A12" s="695"/>
      <c r="B12" s="232"/>
      <c r="C12" s="498"/>
      <c r="D12" s="498"/>
      <c r="E12" s="499"/>
      <c r="F12" s="507"/>
      <c r="G12" s="507"/>
      <c r="H12" s="183">
        <f t="shared" si="0"/>
        <v>0</v>
      </c>
      <c r="I12" s="240"/>
    </row>
    <row r="13" spans="1:11" ht="15.95" customHeight="1">
      <c r="A13" s="695"/>
      <c r="B13" s="232"/>
      <c r="C13" s="493"/>
      <c r="D13" s="493"/>
      <c r="E13" s="499"/>
      <c r="F13" s="500"/>
      <c r="G13" s="507"/>
      <c r="H13" s="183">
        <f t="shared" si="0"/>
        <v>0</v>
      </c>
      <c r="I13" s="240"/>
    </row>
    <row r="14" spans="1:11" ht="15.95" customHeight="1">
      <c r="A14" s="695"/>
      <c r="B14" s="232"/>
      <c r="C14" s="493"/>
      <c r="D14" s="493"/>
      <c r="E14" s="499"/>
      <c r="F14" s="502"/>
      <c r="G14" s="507"/>
      <c r="H14" s="183">
        <f t="shared" si="0"/>
        <v>0</v>
      </c>
      <c r="I14" s="240"/>
    </row>
    <row r="15" spans="1:11" ht="15.95" customHeight="1">
      <c r="A15" s="695"/>
      <c r="B15" s="232"/>
      <c r="C15" s="493"/>
      <c r="D15" s="498"/>
      <c r="E15" s="499"/>
      <c r="F15" s="507"/>
      <c r="G15" s="507"/>
      <c r="H15" s="183">
        <f t="shared" si="0"/>
        <v>0</v>
      </c>
      <c r="I15" s="240"/>
    </row>
    <row r="16" spans="1:11" ht="15.95" customHeight="1">
      <c r="A16" s="695"/>
      <c r="B16" s="232"/>
      <c r="C16" s="493"/>
      <c r="D16" s="493"/>
      <c r="E16" s="499"/>
      <c r="F16" s="502"/>
      <c r="G16" s="507"/>
      <c r="H16" s="183">
        <f t="shared" si="0"/>
        <v>0</v>
      </c>
      <c r="I16" s="240"/>
    </row>
    <row r="17" spans="1:9" s="490" customFormat="1" ht="15.95" customHeight="1">
      <c r="A17" s="695"/>
      <c r="B17" s="492"/>
      <c r="C17" s="493"/>
      <c r="D17" s="493"/>
      <c r="E17" s="493"/>
      <c r="F17" s="502"/>
      <c r="G17" s="507"/>
      <c r="H17" s="491">
        <f t="shared" ref="H17:H23" si="1">IF(F17=0,G17,G17*F17)</f>
        <v>0</v>
      </c>
      <c r="I17" s="240"/>
    </row>
    <row r="18" spans="1:9" s="490" customFormat="1" ht="15.95" customHeight="1">
      <c r="A18" s="695"/>
      <c r="B18" s="492"/>
      <c r="C18" s="498"/>
      <c r="D18" s="493"/>
      <c r="E18" s="499"/>
      <c r="F18" s="502"/>
      <c r="G18" s="507"/>
      <c r="H18" s="491">
        <f t="shared" si="1"/>
        <v>0</v>
      </c>
      <c r="I18" s="240"/>
    </row>
    <row r="19" spans="1:9" s="490" customFormat="1" ht="15.95" customHeight="1">
      <c r="A19" s="695"/>
      <c r="B19" s="492"/>
      <c r="C19" s="498"/>
      <c r="D19" s="498"/>
      <c r="E19" s="499"/>
      <c r="F19" s="507"/>
      <c r="G19" s="507"/>
      <c r="H19" s="491">
        <f t="shared" si="1"/>
        <v>0</v>
      </c>
      <c r="I19" s="240"/>
    </row>
    <row r="20" spans="1:9" s="490" customFormat="1" ht="15.95" customHeight="1">
      <c r="A20" s="695"/>
      <c r="B20" s="492"/>
      <c r="C20" s="493"/>
      <c r="D20" s="493"/>
      <c r="E20" s="499"/>
      <c r="F20" s="500"/>
      <c r="G20" s="507"/>
      <c r="H20" s="491">
        <f t="shared" si="1"/>
        <v>0</v>
      </c>
      <c r="I20" s="240"/>
    </row>
    <row r="21" spans="1:9" s="490" customFormat="1" ht="15.95" customHeight="1">
      <c r="A21" s="695"/>
      <c r="B21" s="492"/>
      <c r="C21" s="493"/>
      <c r="D21" s="493"/>
      <c r="E21" s="499"/>
      <c r="F21" s="502"/>
      <c r="G21" s="507"/>
      <c r="H21" s="491">
        <f t="shared" si="1"/>
        <v>0</v>
      </c>
      <c r="I21" s="240"/>
    </row>
    <row r="22" spans="1:9" s="490" customFormat="1" ht="15.95" customHeight="1">
      <c r="A22" s="695"/>
      <c r="B22" s="492"/>
      <c r="C22" s="493"/>
      <c r="D22" s="498"/>
      <c r="E22" s="499"/>
      <c r="F22" s="507"/>
      <c r="G22" s="507"/>
      <c r="H22" s="491">
        <f t="shared" si="1"/>
        <v>0</v>
      </c>
      <c r="I22" s="240"/>
    </row>
    <row r="23" spans="1:9" s="490" customFormat="1" ht="15.95" customHeight="1">
      <c r="A23" s="695"/>
      <c r="B23" s="492"/>
      <c r="C23" s="493"/>
      <c r="D23" s="493"/>
      <c r="E23" s="499"/>
      <c r="F23" s="502"/>
      <c r="G23" s="507"/>
      <c r="H23" s="491">
        <f t="shared" si="1"/>
        <v>0</v>
      </c>
      <c r="I23" s="240"/>
    </row>
    <row r="24" spans="1:9" ht="15.95" customHeight="1">
      <c r="A24" s="695"/>
      <c r="B24" s="232"/>
      <c r="C24" s="239"/>
      <c r="D24" s="239"/>
      <c r="E24" s="239"/>
      <c r="F24" s="243"/>
      <c r="G24" s="507"/>
      <c r="H24" s="183">
        <f t="shared" si="0"/>
        <v>0</v>
      </c>
      <c r="I24" s="240"/>
    </row>
    <row r="25" spans="1:9" ht="15.95" customHeight="1">
      <c r="A25" s="695"/>
      <c r="B25" s="232"/>
      <c r="C25" s="239"/>
      <c r="D25" s="239"/>
      <c r="E25" s="239"/>
      <c r="F25" s="243"/>
      <c r="G25" s="507"/>
      <c r="H25" s="183">
        <f t="shared" si="0"/>
        <v>0</v>
      </c>
      <c r="I25" s="240"/>
    </row>
    <row r="26" spans="1:9" ht="15.95" customHeight="1">
      <c r="A26" s="695"/>
      <c r="B26" s="232"/>
      <c r="C26" s="239"/>
      <c r="D26" s="239"/>
      <c r="E26" s="239"/>
      <c r="F26" s="243"/>
      <c r="G26" s="507"/>
      <c r="H26" s="183">
        <f t="shared" si="0"/>
        <v>0</v>
      </c>
      <c r="I26" s="240"/>
    </row>
    <row r="27" spans="1:9" ht="15.95" customHeight="1">
      <c r="A27" s="695"/>
      <c r="B27" s="232"/>
      <c r="C27" s="239"/>
      <c r="D27" s="239"/>
      <c r="E27" s="239"/>
      <c r="F27" s="243"/>
      <c r="G27" s="507"/>
      <c r="H27" s="183">
        <f t="shared" si="0"/>
        <v>0</v>
      </c>
      <c r="I27" s="240"/>
    </row>
    <row r="28" spans="1:9" ht="15.95" customHeight="1">
      <c r="A28" s="695"/>
      <c r="B28" s="232"/>
      <c r="C28" s="239"/>
      <c r="D28" s="239"/>
      <c r="E28" s="239"/>
      <c r="F28" s="243"/>
      <c r="G28" s="507"/>
      <c r="H28" s="183">
        <f t="shared" si="0"/>
        <v>0</v>
      </c>
      <c r="I28" s="240"/>
    </row>
    <row r="29" spans="1:9" ht="15.95" customHeight="1">
      <c r="A29" s="695"/>
      <c r="B29" s="232"/>
      <c r="C29" s="239"/>
      <c r="D29" s="239"/>
      <c r="E29" s="239"/>
      <c r="F29" s="243"/>
      <c r="G29" s="507"/>
      <c r="H29" s="183">
        <f t="shared" si="0"/>
        <v>0</v>
      </c>
      <c r="I29" s="240"/>
    </row>
    <row r="30" spans="1:9" ht="15.95" customHeight="1">
      <c r="A30" s="695"/>
      <c r="B30" s="232"/>
      <c r="C30" s="244" t="s">
        <v>294</v>
      </c>
      <c r="D30" s="264"/>
      <c r="E30" s="506" t="s">
        <v>293</v>
      </c>
      <c r="F30" s="266">
        <v>0</v>
      </c>
      <c r="G30" s="266">
        <v>0</v>
      </c>
      <c r="H30" s="267">
        <f t="shared" si="0"/>
        <v>0</v>
      </c>
      <c r="I30" s="268"/>
    </row>
    <row r="31" spans="1:9" ht="15.95" customHeight="1">
      <c r="A31" s="695"/>
      <c r="B31" s="249"/>
      <c r="C31" s="275"/>
      <c r="D31" s="275"/>
      <c r="E31" s="275"/>
      <c r="F31" s="273"/>
      <c r="G31" s="273"/>
      <c r="H31" s="274">
        <f>SUM(H3:H30)</f>
        <v>11640000</v>
      </c>
      <c r="I31" s="275"/>
    </row>
    <row r="32" spans="1:9" ht="15.95" customHeight="1">
      <c r="A32" s="695"/>
      <c r="B32" s="232" t="s">
        <v>172</v>
      </c>
      <c r="C32" s="233"/>
      <c r="D32" s="233"/>
      <c r="E32" s="233"/>
      <c r="F32" s="236"/>
      <c r="G32" s="236"/>
      <c r="H32" s="237">
        <f t="shared" si="0"/>
        <v>0</v>
      </c>
      <c r="I32" s="238"/>
    </row>
    <row r="33" spans="1:9" ht="15.95" customHeight="1">
      <c r="A33" s="695"/>
      <c r="B33" s="232" t="s">
        <v>173</v>
      </c>
      <c r="C33" s="239"/>
      <c r="D33" s="239"/>
      <c r="E33" s="239"/>
      <c r="F33" s="243"/>
      <c r="G33" s="243"/>
      <c r="H33" s="183">
        <f t="shared" si="0"/>
        <v>0</v>
      </c>
      <c r="I33" s="240"/>
    </row>
    <row r="34" spans="1:9" ht="15.95" customHeight="1">
      <c r="A34" s="695"/>
      <c r="B34" s="232"/>
      <c r="C34" s="239"/>
      <c r="D34" s="239"/>
      <c r="E34" s="239"/>
      <c r="F34" s="243"/>
      <c r="G34" s="243"/>
      <c r="H34" s="183">
        <f t="shared" si="0"/>
        <v>0</v>
      </c>
      <c r="I34" s="240"/>
    </row>
    <row r="35" spans="1:9" ht="15.95" customHeight="1">
      <c r="A35" s="695"/>
      <c r="B35" s="232"/>
      <c r="C35" s="239"/>
      <c r="D35" s="239"/>
      <c r="E35" s="239"/>
      <c r="F35" s="243"/>
      <c r="G35" s="243"/>
      <c r="H35" s="183">
        <f t="shared" si="0"/>
        <v>0</v>
      </c>
      <c r="I35" s="240"/>
    </row>
    <row r="36" spans="1:9" ht="15.95" customHeight="1">
      <c r="A36" s="695"/>
      <c r="B36" s="232"/>
      <c r="C36" s="244"/>
      <c r="D36" s="244"/>
      <c r="E36" s="244"/>
      <c r="F36" s="247"/>
      <c r="G36" s="247"/>
      <c r="H36" s="183">
        <f t="shared" si="0"/>
        <v>0</v>
      </c>
      <c r="I36" s="248"/>
    </row>
    <row r="37" spans="1:9" ht="15.95" customHeight="1">
      <c r="A37" s="695"/>
      <c r="B37" s="249"/>
      <c r="C37" s="250"/>
      <c r="D37" s="251"/>
      <c r="E37" s="251"/>
      <c r="F37" s="310"/>
      <c r="G37" s="253"/>
      <c r="H37" s="254">
        <f>SUM(H32:H36)</f>
        <v>0</v>
      </c>
      <c r="I37" s="255"/>
    </row>
    <row r="38" spans="1:9" ht="15.95" customHeight="1">
      <c r="A38" s="695"/>
      <c r="B38" s="276" t="s">
        <v>174</v>
      </c>
      <c r="C38" s="511" t="s">
        <v>305</v>
      </c>
      <c r="D38" s="511"/>
      <c r="E38" s="512" t="s">
        <v>306</v>
      </c>
      <c r="F38" s="513">
        <v>1</v>
      </c>
      <c r="G38" s="502">
        <v>100000</v>
      </c>
      <c r="H38" s="261">
        <f t="shared" si="0"/>
        <v>100000</v>
      </c>
      <c r="I38" s="262"/>
    </row>
    <row r="39" spans="1:9" ht="15.95" customHeight="1">
      <c r="A39" s="695"/>
      <c r="B39" s="232" t="s">
        <v>175</v>
      </c>
      <c r="C39" s="519" t="s">
        <v>310</v>
      </c>
      <c r="D39" s="239"/>
      <c r="E39" s="515" t="s">
        <v>306</v>
      </c>
      <c r="F39" s="243">
        <v>1</v>
      </c>
      <c r="G39" s="243">
        <v>200000</v>
      </c>
      <c r="H39" s="183">
        <f t="shared" si="0"/>
        <v>200000</v>
      </c>
      <c r="I39" s="240"/>
    </row>
    <row r="40" spans="1:9" ht="15.95" customHeight="1">
      <c r="A40" s="695"/>
      <c r="B40" s="232"/>
      <c r="C40" s="519" t="s">
        <v>308</v>
      </c>
      <c r="D40" s="239"/>
      <c r="E40" s="515" t="s">
        <v>306</v>
      </c>
      <c r="F40" s="243">
        <v>1</v>
      </c>
      <c r="G40" s="243">
        <v>1100000</v>
      </c>
      <c r="H40" s="183">
        <f t="shared" si="0"/>
        <v>1100000</v>
      </c>
      <c r="I40" s="240"/>
    </row>
    <row r="41" spans="1:9" ht="15.95" customHeight="1">
      <c r="A41" s="695"/>
      <c r="B41" s="232"/>
      <c r="C41" s="519" t="s">
        <v>311</v>
      </c>
      <c r="D41" s="514"/>
      <c r="E41" s="515" t="s">
        <v>306</v>
      </c>
      <c r="F41" s="516">
        <v>1</v>
      </c>
      <c r="G41" s="516">
        <v>2500000</v>
      </c>
      <c r="H41" s="183">
        <f t="shared" si="0"/>
        <v>2500000</v>
      </c>
      <c r="I41" s="240"/>
    </row>
    <row r="42" spans="1:9" ht="15.95" customHeight="1">
      <c r="A42" s="695"/>
      <c r="B42" s="232"/>
      <c r="C42" s="519" t="s">
        <v>312</v>
      </c>
      <c r="D42" s="514"/>
      <c r="E42" s="515" t="s">
        <v>306</v>
      </c>
      <c r="F42" s="516">
        <v>1</v>
      </c>
      <c r="G42" s="516">
        <v>600000</v>
      </c>
      <c r="H42" s="183">
        <f t="shared" si="0"/>
        <v>600000</v>
      </c>
      <c r="I42" s="240"/>
    </row>
    <row r="43" spans="1:9" ht="15.95" customHeight="1">
      <c r="A43" s="695"/>
      <c r="B43" s="232"/>
      <c r="C43" s="425"/>
      <c r="D43" s="425"/>
      <c r="E43" s="520"/>
      <c r="F43" s="418"/>
      <c r="G43" s="418"/>
      <c r="H43" s="529">
        <f t="shared" si="0"/>
        <v>0</v>
      </c>
      <c r="I43" s="240"/>
    </row>
    <row r="44" spans="1:9" ht="15.95" customHeight="1">
      <c r="A44" s="695"/>
      <c r="B44" s="232"/>
      <c r="C44" s="406"/>
      <c r="D44" s="406"/>
      <c r="E44" s="515"/>
      <c r="F44" s="426"/>
      <c r="G44" s="415"/>
      <c r="H44" s="529">
        <f t="shared" si="0"/>
        <v>0</v>
      </c>
      <c r="I44" s="240"/>
    </row>
    <row r="45" spans="1:9" ht="15.95" customHeight="1">
      <c r="A45" s="695"/>
      <c r="B45" s="232"/>
      <c r="C45" s="526" t="s">
        <v>313</v>
      </c>
      <c r="D45" s="526"/>
      <c r="E45" s="527"/>
      <c r="F45" s="525"/>
      <c r="G45" s="525"/>
      <c r="H45" s="529">
        <f t="shared" si="0"/>
        <v>0</v>
      </c>
      <c r="I45" s="240"/>
    </row>
    <row r="46" spans="1:9" ht="15.95" customHeight="1">
      <c r="A46" s="695"/>
      <c r="B46" s="232"/>
      <c r="C46" s="522" t="s">
        <v>314</v>
      </c>
      <c r="D46" s="522" t="s">
        <v>315</v>
      </c>
      <c r="E46" s="523" t="s">
        <v>285</v>
      </c>
      <c r="F46" s="528">
        <v>1</v>
      </c>
      <c r="G46" s="524">
        <v>350000</v>
      </c>
      <c r="H46" s="367">
        <f t="shared" si="0"/>
        <v>350000</v>
      </c>
      <c r="I46" s="240"/>
    </row>
    <row r="47" spans="1:9" ht="15.95" customHeight="1">
      <c r="A47" s="695"/>
      <c r="B47" s="232"/>
      <c r="C47" s="522" t="s">
        <v>316</v>
      </c>
      <c r="D47" s="522" t="s">
        <v>317</v>
      </c>
      <c r="E47" s="523" t="s">
        <v>285</v>
      </c>
      <c r="F47" s="528">
        <v>5</v>
      </c>
      <c r="G47" s="524">
        <v>75000</v>
      </c>
      <c r="H47" s="521">
        <f t="shared" si="0"/>
        <v>375000</v>
      </c>
      <c r="I47" s="240"/>
    </row>
    <row r="48" spans="1:9" ht="15.95" customHeight="1">
      <c r="A48" s="695"/>
      <c r="B48" s="232"/>
      <c r="C48" s="522" t="s">
        <v>318</v>
      </c>
      <c r="D48" s="522" t="s">
        <v>319</v>
      </c>
      <c r="E48" s="523" t="s">
        <v>285</v>
      </c>
      <c r="F48" s="528">
        <v>1</v>
      </c>
      <c r="G48" s="524">
        <v>850000</v>
      </c>
      <c r="H48" s="367">
        <f t="shared" si="0"/>
        <v>850000</v>
      </c>
      <c r="I48" s="240"/>
    </row>
    <row r="49" spans="1:9" ht="15.95" customHeight="1">
      <c r="A49" s="695"/>
      <c r="B49" s="232"/>
      <c r="C49" s="522" t="s">
        <v>320</v>
      </c>
      <c r="D49" s="522"/>
      <c r="E49" s="523" t="s">
        <v>285</v>
      </c>
      <c r="F49" s="528">
        <v>10</v>
      </c>
      <c r="G49" s="524">
        <v>7000</v>
      </c>
      <c r="H49" s="529">
        <f t="shared" si="0"/>
        <v>70000</v>
      </c>
      <c r="I49" s="240"/>
    </row>
    <row r="50" spans="1:9" ht="15.95" customHeight="1">
      <c r="A50" s="695"/>
      <c r="B50" s="232"/>
      <c r="C50" s="522" t="s">
        <v>321</v>
      </c>
      <c r="D50" s="522"/>
      <c r="E50" s="523" t="s">
        <v>285</v>
      </c>
      <c r="F50" s="528">
        <v>1</v>
      </c>
      <c r="G50" s="524">
        <v>100000</v>
      </c>
      <c r="H50" s="529">
        <f t="shared" si="0"/>
        <v>100000</v>
      </c>
      <c r="I50" s="240"/>
    </row>
    <row r="51" spans="1:9" ht="15.95" customHeight="1">
      <c r="A51" s="695"/>
      <c r="B51" s="232"/>
      <c r="C51" s="526" t="s">
        <v>322</v>
      </c>
      <c r="D51" s="526"/>
      <c r="E51" s="527" t="s">
        <v>285</v>
      </c>
      <c r="F51" s="525">
        <v>1</v>
      </c>
      <c r="G51" s="525">
        <v>100000</v>
      </c>
      <c r="H51" s="529">
        <f t="shared" si="0"/>
        <v>100000</v>
      </c>
      <c r="I51" s="240"/>
    </row>
    <row r="52" spans="1:9" ht="15.95" customHeight="1">
      <c r="A52" s="695"/>
      <c r="B52" s="232"/>
      <c r="C52" s="425"/>
      <c r="D52" s="425"/>
      <c r="E52" s="520"/>
      <c r="F52" s="418"/>
      <c r="G52" s="418"/>
      <c r="H52" s="529">
        <f t="shared" si="0"/>
        <v>0</v>
      </c>
      <c r="I52" s="268"/>
    </row>
    <row r="53" spans="1:9" s="490" customFormat="1" ht="15.95" customHeight="1">
      <c r="A53" s="695"/>
      <c r="B53" s="492"/>
      <c r="C53" s="498"/>
      <c r="D53" s="498"/>
      <c r="E53" s="520"/>
      <c r="F53" s="507"/>
      <c r="G53" s="507"/>
      <c r="H53" s="529">
        <f t="shared" si="0"/>
        <v>0</v>
      </c>
      <c r="I53" s="496"/>
    </row>
    <row r="54" spans="1:9" ht="15.95" customHeight="1">
      <c r="A54" s="695"/>
      <c r="B54" s="232"/>
      <c r="C54" s="334" t="s">
        <v>294</v>
      </c>
      <c r="D54" s="334"/>
      <c r="E54" s="517" t="s">
        <v>293</v>
      </c>
      <c r="F54" s="335">
        <v>0</v>
      </c>
      <c r="G54" s="335">
        <v>0</v>
      </c>
      <c r="H54" s="336">
        <f t="shared" ref="H54" si="2">IF(F54=0,G54,G54*F54)</f>
        <v>0</v>
      </c>
      <c r="I54" s="248"/>
    </row>
    <row r="55" spans="1:9" ht="15.95" customHeight="1">
      <c r="A55" s="695"/>
      <c r="B55" s="249"/>
      <c r="C55" s="250"/>
      <c r="D55" s="251"/>
      <c r="E55" s="251"/>
      <c r="F55" s="253"/>
      <c r="G55" s="253"/>
      <c r="H55" s="254">
        <f>SUM(H38:H54)</f>
        <v>6345000</v>
      </c>
      <c r="I55" s="255"/>
    </row>
    <row r="56" spans="1:9" ht="15.95" customHeight="1">
      <c r="A56" s="695"/>
      <c r="B56" s="276" t="s">
        <v>43</v>
      </c>
      <c r="C56" s="257"/>
      <c r="D56" s="257"/>
      <c r="E56" s="258"/>
      <c r="F56" s="260"/>
      <c r="G56" s="260"/>
      <c r="H56" s="261">
        <f t="shared" si="0"/>
        <v>0</v>
      </c>
      <c r="I56" s="262"/>
    </row>
    <row r="57" spans="1:9" ht="15.95" customHeight="1">
      <c r="A57" s="695"/>
      <c r="B57" s="232"/>
      <c r="C57" s="239"/>
      <c r="D57" s="239"/>
      <c r="E57" s="407"/>
      <c r="F57" s="243"/>
      <c r="G57" s="243"/>
      <c r="H57" s="183">
        <f t="shared" si="0"/>
        <v>0</v>
      </c>
      <c r="I57" s="240"/>
    </row>
    <row r="58" spans="1:9" ht="15.95" customHeight="1">
      <c r="A58" s="695"/>
      <c r="B58" s="232"/>
      <c r="C58" s="239"/>
      <c r="D58" s="239"/>
      <c r="E58" s="239"/>
      <c r="F58" s="243"/>
      <c r="G58" s="243"/>
      <c r="H58" s="183">
        <f t="shared" si="0"/>
        <v>0</v>
      </c>
      <c r="I58" s="240"/>
    </row>
    <row r="59" spans="1:9" ht="15.95" customHeight="1">
      <c r="A59" s="695"/>
      <c r="B59" s="232"/>
      <c r="C59" s="239"/>
      <c r="D59" s="239"/>
      <c r="E59" s="239"/>
      <c r="F59" s="243"/>
      <c r="G59" s="243"/>
      <c r="H59" s="183">
        <f t="shared" si="0"/>
        <v>0</v>
      </c>
      <c r="I59" s="240"/>
    </row>
    <row r="60" spans="1:9" ht="15.95" customHeight="1">
      <c r="A60" s="695"/>
      <c r="B60" s="232"/>
      <c r="C60" s="239"/>
      <c r="D60" s="239"/>
      <c r="E60" s="239"/>
      <c r="F60" s="243"/>
      <c r="G60" s="243"/>
      <c r="H60" s="183">
        <f t="shared" si="0"/>
        <v>0</v>
      </c>
      <c r="I60" s="240"/>
    </row>
    <row r="61" spans="1:9" ht="15.95" customHeight="1">
      <c r="A61" s="695"/>
      <c r="B61" s="232"/>
      <c r="C61" s="239"/>
      <c r="D61" s="239"/>
      <c r="E61" s="239"/>
      <c r="F61" s="243"/>
      <c r="G61" s="243"/>
      <c r="H61" s="183">
        <f t="shared" si="0"/>
        <v>0</v>
      </c>
      <c r="I61" s="240"/>
    </row>
    <row r="62" spans="1:9" ht="15.95" customHeight="1">
      <c r="A62" s="695"/>
      <c r="B62" s="232"/>
      <c r="C62" s="244"/>
      <c r="D62" s="244"/>
      <c r="E62" s="244"/>
      <c r="F62" s="247"/>
      <c r="G62" s="247"/>
      <c r="H62" s="277">
        <f t="shared" si="0"/>
        <v>0</v>
      </c>
      <c r="I62" s="248"/>
    </row>
    <row r="63" spans="1:9" ht="15.95" customHeight="1">
      <c r="A63" s="695"/>
      <c r="B63" s="249"/>
      <c r="C63" s="250"/>
      <c r="D63" s="251"/>
      <c r="E63" s="251"/>
      <c r="F63" s="253"/>
      <c r="G63" s="253"/>
      <c r="H63" s="254">
        <f>SUM(H56:H62)</f>
        <v>0</v>
      </c>
      <c r="I63" s="255"/>
    </row>
    <row r="64" spans="1:9" ht="15.95" customHeight="1">
      <c r="A64" s="278"/>
      <c r="B64" s="279" t="s">
        <v>144</v>
      </c>
      <c r="C64" s="280"/>
      <c r="D64" s="255"/>
      <c r="E64" s="255"/>
      <c r="F64" s="282"/>
      <c r="G64" s="282"/>
      <c r="H64" s="254">
        <f>SUM(H63,H55,H37,H31)</f>
        <v>17985000</v>
      </c>
      <c r="I64" s="255"/>
    </row>
    <row r="65" spans="1:9" ht="15.95" customHeight="1">
      <c r="A65" s="691" t="s">
        <v>145</v>
      </c>
      <c r="B65" s="283" t="s">
        <v>146</v>
      </c>
      <c r="C65" s="280" t="s">
        <v>176</v>
      </c>
      <c r="D65" s="284"/>
      <c r="E65" s="311" t="s">
        <v>71</v>
      </c>
      <c r="F65" s="341">
        <v>0</v>
      </c>
      <c r="G65" s="342">
        <v>300000</v>
      </c>
      <c r="H65" s="288">
        <f>F65*G65</f>
        <v>0</v>
      </c>
      <c r="I65" s="255"/>
    </row>
    <row r="66" spans="1:9" ht="15.95" customHeight="1">
      <c r="A66" s="695"/>
      <c r="B66" s="289" t="s">
        <v>177</v>
      </c>
      <c r="C66" s="290"/>
      <c r="D66" s="291"/>
      <c r="E66" s="312" t="s">
        <v>148</v>
      </c>
      <c r="F66" s="343">
        <v>20</v>
      </c>
      <c r="G66" s="339">
        <v>300000</v>
      </c>
      <c r="H66" s="261">
        <f t="shared" ref="H66:H72" si="3">F66*G66</f>
        <v>6000000</v>
      </c>
      <c r="I66" s="262"/>
    </row>
    <row r="67" spans="1:9" ht="15.95" customHeight="1">
      <c r="A67" s="695"/>
      <c r="B67" s="293" t="s">
        <v>178</v>
      </c>
      <c r="C67" s="294"/>
      <c r="D67" s="295"/>
      <c r="E67" s="313" t="s">
        <v>148</v>
      </c>
      <c r="F67" s="340">
        <v>10</v>
      </c>
      <c r="G67" s="337">
        <v>250000</v>
      </c>
      <c r="H67" s="183">
        <f t="shared" si="3"/>
        <v>2500000</v>
      </c>
      <c r="I67" s="240"/>
    </row>
    <row r="68" spans="1:9" ht="15.95" customHeight="1">
      <c r="A68" s="695"/>
      <c r="B68" s="293" t="s">
        <v>179</v>
      </c>
      <c r="C68" s="294"/>
      <c r="D68" s="295"/>
      <c r="E68" s="313" t="s">
        <v>148</v>
      </c>
      <c r="F68" s="340">
        <v>20</v>
      </c>
      <c r="G68" s="337">
        <v>250000</v>
      </c>
      <c r="H68" s="183">
        <f t="shared" si="3"/>
        <v>5000000</v>
      </c>
      <c r="I68" s="240"/>
    </row>
    <row r="69" spans="1:9" ht="15.95" customHeight="1">
      <c r="A69" s="695"/>
      <c r="B69" s="293" t="s">
        <v>180</v>
      </c>
      <c r="C69" s="294"/>
      <c r="D69" s="295"/>
      <c r="E69" s="313" t="s">
        <v>148</v>
      </c>
      <c r="F69" s="340">
        <v>10</v>
      </c>
      <c r="G69" s="337">
        <v>300000</v>
      </c>
      <c r="H69" s="183">
        <f t="shared" si="3"/>
        <v>3000000</v>
      </c>
      <c r="I69" s="240"/>
    </row>
    <row r="70" spans="1:9" ht="15.95" customHeight="1">
      <c r="A70" s="695"/>
      <c r="B70" s="293" t="s">
        <v>181</v>
      </c>
      <c r="C70" s="294"/>
      <c r="D70" s="295"/>
      <c r="E70" s="313" t="s">
        <v>148</v>
      </c>
      <c r="F70" s="337">
        <v>7</v>
      </c>
      <c r="G70" s="337">
        <v>300000</v>
      </c>
      <c r="H70" s="183">
        <f t="shared" si="3"/>
        <v>2100000</v>
      </c>
      <c r="I70" s="240"/>
    </row>
    <row r="71" spans="1:9" ht="15.95" customHeight="1">
      <c r="A71" s="695"/>
      <c r="B71" s="293" t="s">
        <v>182</v>
      </c>
      <c r="C71" s="294"/>
      <c r="D71" s="295"/>
      <c r="E71" s="313" t="s">
        <v>148</v>
      </c>
      <c r="F71" s="340">
        <v>2</v>
      </c>
      <c r="G71" s="337">
        <v>300000</v>
      </c>
      <c r="H71" s="183">
        <f t="shared" si="3"/>
        <v>600000</v>
      </c>
      <c r="I71" s="240"/>
    </row>
    <row r="72" spans="1:9" ht="15.95" customHeight="1">
      <c r="A72" s="695"/>
      <c r="B72" s="297" t="s">
        <v>183</v>
      </c>
      <c r="C72" s="298"/>
      <c r="D72" s="299"/>
      <c r="E72" s="314" t="s">
        <v>148</v>
      </c>
      <c r="F72" s="338">
        <v>0</v>
      </c>
      <c r="G72" s="338">
        <v>250000</v>
      </c>
      <c r="H72" s="277">
        <f t="shared" si="3"/>
        <v>0</v>
      </c>
      <c r="I72" s="248"/>
    </row>
    <row r="73" spans="1:9" ht="15.95" customHeight="1">
      <c r="A73" s="278"/>
      <c r="B73" s="301" t="s">
        <v>154</v>
      </c>
      <c r="C73" s="280"/>
      <c r="D73" s="255"/>
      <c r="E73" s="255"/>
      <c r="F73" s="253"/>
      <c r="G73" s="253"/>
      <c r="H73" s="253">
        <f>SUM(H65:H72)</f>
        <v>19200000</v>
      </c>
      <c r="I73" s="251"/>
    </row>
    <row r="74" spans="1:9" ht="15.95" customHeight="1">
      <c r="A74" s="302"/>
      <c r="B74" s="301" t="s">
        <v>184</v>
      </c>
      <c r="C74" s="280"/>
      <c r="D74" s="255"/>
      <c r="E74" s="255"/>
      <c r="F74" s="254"/>
      <c r="G74" s="254"/>
      <c r="H74" s="282">
        <f>'단위공사별(집계)'!I7+'단위공사별(집계)'!L7</f>
        <v>293985.04294030624</v>
      </c>
      <c r="I74" s="255"/>
    </row>
    <row r="75" spans="1:9" ht="15.95" customHeight="1">
      <c r="A75" s="302"/>
      <c r="B75" s="301" t="s">
        <v>157</v>
      </c>
      <c r="C75" s="280"/>
      <c r="D75" s="255"/>
      <c r="E75" s="255"/>
      <c r="F75" s="254"/>
      <c r="G75" s="304"/>
      <c r="H75" s="305">
        <f>(H73+H64)*0</f>
        <v>0</v>
      </c>
      <c r="I75" s="280"/>
    </row>
    <row r="76" spans="1:9" ht="15.95" customHeight="1">
      <c r="A76" s="302"/>
      <c r="B76" s="301" t="s">
        <v>158</v>
      </c>
      <c r="C76" s="280"/>
      <c r="D76" s="255"/>
      <c r="E76" s="255"/>
      <c r="F76" s="254"/>
      <c r="G76" s="304"/>
      <c r="H76" s="305">
        <f>(H73+H64)*0</f>
        <v>0</v>
      </c>
      <c r="I76" s="280"/>
    </row>
    <row r="77" spans="1:9" ht="15.95" customHeight="1">
      <c r="A77" s="302"/>
      <c r="B77" s="301" t="s">
        <v>159</v>
      </c>
      <c r="C77" s="280"/>
      <c r="D77" s="255"/>
      <c r="E77" s="255"/>
      <c r="F77" s="254"/>
      <c r="G77" s="254"/>
      <c r="H77" s="253">
        <f>H64+H73+H74+H75+H76</f>
        <v>37478985.042940304</v>
      </c>
      <c r="I77" s="255"/>
    </row>
    <row r="78" spans="1:9">
      <c r="A78" s="150"/>
    </row>
  </sheetData>
  <mergeCells count="3">
    <mergeCell ref="A2:B2"/>
    <mergeCell ref="A3:A63"/>
    <mergeCell ref="A65:A72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1200" r:id="rId1"/>
  <headerFooter alignWithMargins="0"/>
  <ignoredErrors>
    <ignoredError sqref="H37 H55 H31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70"/>
  <sheetViews>
    <sheetView zoomScaleNormal="100" workbookViewId="0">
      <pane xSplit="2" ySplit="2" topLeftCell="C3" activePane="bottomRight" state="frozen"/>
      <selection activeCell="K71" sqref="K71"/>
      <selection pane="topRight" activeCell="K71" sqref="K71"/>
      <selection pane="bottomLeft" activeCell="K71" sqref="K71"/>
      <selection pane="bottomRight" activeCell="D73" sqref="D73"/>
    </sheetView>
  </sheetViews>
  <sheetFormatPr defaultRowHeight="13.5"/>
  <cols>
    <col min="1" max="1" width="5" style="133" customWidth="1"/>
    <col min="2" max="2" width="17.875" style="133" bestFit="1" customWidth="1"/>
    <col min="3" max="3" width="23.625" style="133" customWidth="1"/>
    <col min="4" max="4" width="18.25" style="133" customWidth="1"/>
    <col min="5" max="5" width="5.25" style="133" bestFit="1" customWidth="1"/>
    <col min="6" max="6" width="9" style="172"/>
    <col min="7" max="7" width="11.875" style="172" customWidth="1"/>
    <col min="8" max="8" width="13.625" style="172" customWidth="1"/>
    <col min="9" max="9" width="12.75" style="133" customWidth="1"/>
    <col min="10" max="16384" width="9" style="133"/>
  </cols>
  <sheetData>
    <row r="1" spans="1:9" ht="22.5" customHeight="1">
      <c r="B1" s="224" t="s">
        <v>160</v>
      </c>
      <c r="C1" s="430" t="s">
        <v>296</v>
      </c>
      <c r="D1" s="226"/>
      <c r="E1" s="226"/>
      <c r="F1" s="308"/>
      <c r="G1" s="186"/>
      <c r="I1" s="133" t="s">
        <v>161</v>
      </c>
    </row>
    <row r="2" spans="1:9" s="150" customFormat="1" ht="16.5" customHeight="1">
      <c r="A2" s="579" t="s">
        <v>162</v>
      </c>
      <c r="B2" s="690"/>
      <c r="C2" s="141" t="s">
        <v>163</v>
      </c>
      <c r="D2" s="134" t="s">
        <v>164</v>
      </c>
      <c r="E2" s="134" t="s">
        <v>165</v>
      </c>
      <c r="F2" s="281" t="s">
        <v>166</v>
      </c>
      <c r="G2" s="281" t="s">
        <v>167</v>
      </c>
      <c r="H2" s="281" t="s">
        <v>168</v>
      </c>
      <c r="I2" s="134" t="s">
        <v>169</v>
      </c>
    </row>
    <row r="3" spans="1:9" ht="15.95" customHeight="1">
      <c r="A3" s="691" t="s">
        <v>170</v>
      </c>
      <c r="B3" s="232" t="s">
        <v>171</v>
      </c>
      <c r="C3" s="533" t="s">
        <v>301</v>
      </c>
      <c r="D3" s="533" t="s">
        <v>302</v>
      </c>
      <c r="E3" s="534" t="s">
        <v>285</v>
      </c>
      <c r="F3" s="535">
        <v>1</v>
      </c>
      <c r="G3" s="535">
        <v>2000000</v>
      </c>
      <c r="H3" s="367">
        <f>IF(F3=0,G3,G3*F3)</f>
        <v>2000000</v>
      </c>
      <c r="I3" s="262"/>
    </row>
    <row r="4" spans="1:9" ht="15.95" customHeight="1">
      <c r="A4" s="695"/>
      <c r="B4" s="232"/>
      <c r="C4" s="543" t="s">
        <v>304</v>
      </c>
      <c r="D4" s="533" t="s">
        <v>307</v>
      </c>
      <c r="E4" s="544" t="s">
        <v>285</v>
      </c>
      <c r="F4" s="535">
        <v>1</v>
      </c>
      <c r="G4" s="541">
        <v>1500000</v>
      </c>
      <c r="H4" s="183">
        <f>IF(F4=0,G4,G4*F4)</f>
        <v>1500000</v>
      </c>
      <c r="I4" s="240"/>
    </row>
    <row r="5" spans="1:9" ht="15.95" customHeight="1">
      <c r="A5" s="695"/>
      <c r="B5" s="232"/>
      <c r="C5" s="543" t="s">
        <v>303</v>
      </c>
      <c r="D5" s="543" t="s">
        <v>302</v>
      </c>
      <c r="E5" s="544" t="s">
        <v>285</v>
      </c>
      <c r="F5" s="541">
        <v>1</v>
      </c>
      <c r="G5" s="541">
        <v>1000000</v>
      </c>
      <c r="H5" s="183">
        <f t="shared" ref="H5:H54" si="0">IF(F5=0,G5,G5*F5)</f>
        <v>1000000</v>
      </c>
      <c r="I5" s="240"/>
    </row>
    <row r="6" spans="1:9" ht="15.95" customHeight="1">
      <c r="A6" s="695"/>
      <c r="B6" s="232"/>
      <c r="C6" s="533" t="s">
        <v>325</v>
      </c>
      <c r="D6" s="533"/>
      <c r="E6" s="534" t="s">
        <v>306</v>
      </c>
      <c r="F6" s="535">
        <v>1</v>
      </c>
      <c r="G6" s="243">
        <v>5000000</v>
      </c>
      <c r="H6" s="183">
        <f t="shared" si="0"/>
        <v>5000000</v>
      </c>
      <c r="I6" s="240"/>
    </row>
    <row r="7" spans="1:9" ht="15.95" customHeight="1">
      <c r="A7" s="695"/>
      <c r="B7" s="232"/>
      <c r="C7" s="533" t="s">
        <v>326</v>
      </c>
      <c r="D7" s="533"/>
      <c r="E7" s="534" t="s">
        <v>306</v>
      </c>
      <c r="F7" s="535">
        <v>1</v>
      </c>
      <c r="G7" s="243">
        <v>800000</v>
      </c>
      <c r="H7" s="183">
        <f t="shared" si="0"/>
        <v>800000</v>
      </c>
      <c r="I7" s="240"/>
    </row>
    <row r="8" spans="1:9" ht="15.95" customHeight="1">
      <c r="A8" s="695"/>
      <c r="B8" s="232"/>
      <c r="C8" s="533" t="s">
        <v>327</v>
      </c>
      <c r="D8" s="533"/>
      <c r="E8" s="534" t="s">
        <v>306</v>
      </c>
      <c r="F8" s="535">
        <v>1</v>
      </c>
      <c r="G8" s="243">
        <v>3000000</v>
      </c>
      <c r="H8" s="183">
        <f t="shared" si="0"/>
        <v>3000000</v>
      </c>
      <c r="I8" s="240"/>
    </row>
    <row r="9" spans="1:9" ht="15.95" customHeight="1">
      <c r="A9" s="695"/>
      <c r="B9" s="232"/>
      <c r="C9" s="239"/>
      <c r="D9" s="239"/>
      <c r="E9" s="239"/>
      <c r="F9" s="243"/>
      <c r="G9" s="243"/>
      <c r="H9" s="183">
        <f t="shared" si="0"/>
        <v>0</v>
      </c>
      <c r="I9" s="240"/>
    </row>
    <row r="10" spans="1:9" ht="15.95" customHeight="1">
      <c r="A10" s="695"/>
      <c r="B10" s="232"/>
      <c r="C10" s="239"/>
      <c r="D10" s="239"/>
      <c r="E10" s="239"/>
      <c r="F10" s="243"/>
      <c r="G10" s="243"/>
      <c r="H10" s="183">
        <f t="shared" si="0"/>
        <v>0</v>
      </c>
      <c r="I10" s="240"/>
    </row>
    <row r="11" spans="1:9" ht="15.95" customHeight="1">
      <c r="A11" s="695"/>
      <c r="B11" s="232"/>
      <c r="C11" s="239"/>
      <c r="D11" s="239"/>
      <c r="E11" s="239"/>
      <c r="F11" s="243"/>
      <c r="G11" s="243"/>
      <c r="H11" s="183">
        <f t="shared" si="0"/>
        <v>0</v>
      </c>
      <c r="I11" s="240"/>
    </row>
    <row r="12" spans="1:9" ht="15.95" customHeight="1">
      <c r="A12" s="695"/>
      <c r="B12" s="232"/>
      <c r="C12" s="239"/>
      <c r="D12" s="239"/>
      <c r="E12" s="239"/>
      <c r="F12" s="243"/>
      <c r="G12" s="243"/>
      <c r="H12" s="183">
        <f t="shared" si="0"/>
        <v>0</v>
      </c>
      <c r="I12" s="240"/>
    </row>
    <row r="13" spans="1:9" ht="15.95" customHeight="1">
      <c r="A13" s="695"/>
      <c r="B13" s="232"/>
      <c r="C13" s="239"/>
      <c r="D13" s="239"/>
      <c r="E13" s="239"/>
      <c r="F13" s="243"/>
      <c r="G13" s="243"/>
      <c r="H13" s="183">
        <f t="shared" si="0"/>
        <v>0</v>
      </c>
      <c r="I13" s="240"/>
    </row>
    <row r="14" spans="1:9" ht="15.95" customHeight="1">
      <c r="A14" s="695"/>
      <c r="B14" s="232"/>
      <c r="C14" s="239"/>
      <c r="D14" s="239"/>
      <c r="E14" s="239"/>
      <c r="F14" s="243"/>
      <c r="G14" s="243"/>
      <c r="H14" s="183">
        <f t="shared" si="0"/>
        <v>0</v>
      </c>
      <c r="I14" s="240"/>
    </row>
    <row r="15" spans="1:9" ht="15.95" customHeight="1">
      <c r="A15" s="695"/>
      <c r="B15" s="232"/>
      <c r="C15" s="239"/>
      <c r="D15" s="239"/>
      <c r="E15" s="239"/>
      <c r="F15" s="243"/>
      <c r="G15" s="243"/>
      <c r="H15" s="183">
        <f t="shared" si="0"/>
        <v>0</v>
      </c>
      <c r="I15" s="240"/>
    </row>
    <row r="16" spans="1:9" ht="15.95" customHeight="1">
      <c r="A16" s="695"/>
      <c r="B16" s="232"/>
      <c r="C16" s="239"/>
      <c r="D16" s="239"/>
      <c r="E16" s="239"/>
      <c r="F16" s="243"/>
      <c r="G16" s="243"/>
      <c r="H16" s="183">
        <f t="shared" si="0"/>
        <v>0</v>
      </c>
      <c r="I16" s="240"/>
    </row>
    <row r="17" spans="1:9" ht="15.95" customHeight="1">
      <c r="A17" s="695"/>
      <c r="B17" s="232"/>
      <c r="C17" s="239"/>
      <c r="D17" s="239"/>
      <c r="E17" s="239"/>
      <c r="F17" s="243"/>
      <c r="G17" s="243"/>
      <c r="H17" s="183">
        <f t="shared" si="0"/>
        <v>0</v>
      </c>
      <c r="I17" s="240"/>
    </row>
    <row r="18" spans="1:9" ht="15.95" customHeight="1">
      <c r="A18" s="695"/>
      <c r="B18" s="232"/>
      <c r="C18" s="239"/>
      <c r="D18" s="239"/>
      <c r="E18" s="239"/>
      <c r="F18" s="243"/>
      <c r="G18" s="243"/>
      <c r="H18" s="183">
        <f t="shared" si="0"/>
        <v>0</v>
      </c>
      <c r="I18" s="240"/>
    </row>
    <row r="19" spans="1:9" ht="15.95" customHeight="1">
      <c r="A19" s="695"/>
      <c r="B19" s="232"/>
      <c r="C19" s="239"/>
      <c r="D19" s="239"/>
      <c r="E19" s="239"/>
      <c r="F19" s="243"/>
      <c r="G19" s="243"/>
      <c r="H19" s="183">
        <f t="shared" si="0"/>
        <v>0</v>
      </c>
      <c r="I19" s="240"/>
    </row>
    <row r="20" spans="1:9" ht="15.95" customHeight="1">
      <c r="A20" s="695"/>
      <c r="B20" s="232"/>
      <c r="C20" s="239"/>
      <c r="D20" s="239"/>
      <c r="E20" s="239"/>
      <c r="F20" s="243"/>
      <c r="G20" s="243"/>
      <c r="H20" s="183">
        <f t="shared" si="0"/>
        <v>0</v>
      </c>
      <c r="I20" s="240"/>
    </row>
    <row r="21" spans="1:9" ht="15.95" customHeight="1">
      <c r="A21" s="695"/>
      <c r="B21" s="232"/>
      <c r="C21" s="239"/>
      <c r="D21" s="239"/>
      <c r="E21" s="239"/>
      <c r="F21" s="243"/>
      <c r="G21" s="243"/>
      <c r="H21" s="183">
        <f t="shared" si="0"/>
        <v>0</v>
      </c>
      <c r="I21" s="240"/>
    </row>
    <row r="22" spans="1:9" ht="15.95" customHeight="1">
      <c r="A22" s="695"/>
      <c r="B22" s="232"/>
      <c r="C22" s="239"/>
      <c r="D22" s="239"/>
      <c r="E22" s="239"/>
      <c r="F22" s="243"/>
      <c r="G22" s="243"/>
      <c r="H22" s="183">
        <f t="shared" si="0"/>
        <v>0</v>
      </c>
      <c r="I22" s="240"/>
    </row>
    <row r="23" spans="1:9" ht="15.95" customHeight="1">
      <c r="A23" s="695"/>
      <c r="B23" s="232"/>
      <c r="C23" s="536" t="s">
        <v>294</v>
      </c>
      <c r="D23" s="539"/>
      <c r="E23" s="542" t="s">
        <v>293</v>
      </c>
      <c r="F23" s="540">
        <v>1</v>
      </c>
      <c r="G23" s="540">
        <v>0</v>
      </c>
      <c r="H23" s="267">
        <f t="shared" si="0"/>
        <v>0</v>
      </c>
      <c r="I23" s="268"/>
    </row>
    <row r="24" spans="1:9" ht="15.95" customHeight="1">
      <c r="A24" s="695"/>
      <c r="B24" s="249"/>
      <c r="C24" s="275"/>
      <c r="D24" s="275"/>
      <c r="E24" s="275"/>
      <c r="F24" s="273"/>
      <c r="G24" s="273"/>
      <c r="H24" s="274">
        <f>SUM(H3:H23)</f>
        <v>13300000</v>
      </c>
      <c r="I24" s="275"/>
    </row>
    <row r="25" spans="1:9" ht="15.95" customHeight="1">
      <c r="A25" s="695"/>
      <c r="B25" s="232" t="s">
        <v>172</v>
      </c>
      <c r="C25" s="233"/>
      <c r="D25" s="233"/>
      <c r="E25" s="233"/>
      <c r="F25" s="236"/>
      <c r="G25" s="236"/>
      <c r="H25" s="237">
        <f t="shared" si="0"/>
        <v>0</v>
      </c>
      <c r="I25" s="238"/>
    </row>
    <row r="26" spans="1:9" ht="15.95" customHeight="1">
      <c r="A26" s="695"/>
      <c r="B26" s="232" t="s">
        <v>173</v>
      </c>
      <c r="C26" s="239"/>
      <c r="D26" s="239"/>
      <c r="E26" s="239"/>
      <c r="F26" s="243"/>
      <c r="G26" s="243"/>
      <c r="H26" s="183">
        <f t="shared" si="0"/>
        <v>0</v>
      </c>
      <c r="I26" s="240"/>
    </row>
    <row r="27" spans="1:9" ht="15.95" customHeight="1">
      <c r="A27" s="695"/>
      <c r="B27" s="232"/>
      <c r="C27" s="239"/>
      <c r="D27" s="239"/>
      <c r="E27" s="239"/>
      <c r="F27" s="243"/>
      <c r="G27" s="243"/>
      <c r="H27" s="183">
        <f t="shared" si="0"/>
        <v>0</v>
      </c>
      <c r="I27" s="240"/>
    </row>
    <row r="28" spans="1:9" ht="15.95" customHeight="1">
      <c r="A28" s="695"/>
      <c r="B28" s="232"/>
      <c r="C28" s="239"/>
      <c r="D28" s="239"/>
      <c r="E28" s="239"/>
      <c r="F28" s="243"/>
      <c r="G28" s="243"/>
      <c r="H28" s="183">
        <f t="shared" si="0"/>
        <v>0</v>
      </c>
      <c r="I28" s="240"/>
    </row>
    <row r="29" spans="1:9" ht="15.95" customHeight="1">
      <c r="A29" s="695"/>
      <c r="B29" s="232"/>
      <c r="C29" s="244"/>
      <c r="D29" s="244"/>
      <c r="E29" s="244"/>
      <c r="F29" s="247"/>
      <c r="G29" s="247"/>
      <c r="H29" s="183">
        <f t="shared" si="0"/>
        <v>0</v>
      </c>
      <c r="I29" s="248"/>
    </row>
    <row r="30" spans="1:9" ht="15.95" customHeight="1">
      <c r="A30" s="695"/>
      <c r="B30" s="249"/>
      <c r="C30" s="250"/>
      <c r="D30" s="251"/>
      <c r="E30" s="251"/>
      <c r="F30" s="310"/>
      <c r="G30" s="253"/>
      <c r="H30" s="254">
        <f>SUM(H25:H29)</f>
        <v>0</v>
      </c>
      <c r="I30" s="255"/>
    </row>
    <row r="31" spans="1:9" ht="15.95" customHeight="1">
      <c r="A31" s="695"/>
      <c r="B31" s="276" t="s">
        <v>174</v>
      </c>
      <c r="C31" s="530" t="s">
        <v>324</v>
      </c>
      <c r="D31" s="530"/>
      <c r="E31" s="531" t="s">
        <v>306</v>
      </c>
      <c r="F31" s="532">
        <v>1</v>
      </c>
      <c r="G31" s="535">
        <v>100000</v>
      </c>
      <c r="H31" s="261">
        <f>IF(F31=0,G31,G31*F31)</f>
        <v>100000</v>
      </c>
      <c r="I31" s="262"/>
    </row>
    <row r="32" spans="1:9" ht="15.95" customHeight="1">
      <c r="A32" s="695"/>
      <c r="B32" s="232" t="s">
        <v>175</v>
      </c>
      <c r="C32" s="239" t="s">
        <v>325</v>
      </c>
      <c r="D32" s="239"/>
      <c r="E32" s="534" t="s">
        <v>306</v>
      </c>
      <c r="F32" s="243">
        <v>1</v>
      </c>
      <c r="G32" s="243">
        <v>9000000</v>
      </c>
      <c r="H32" s="183">
        <f>IF(F32=0,G32,G32*F32)</f>
        <v>9000000</v>
      </c>
      <c r="I32" s="240"/>
    </row>
    <row r="33" spans="1:9" ht="15.95" customHeight="1">
      <c r="A33" s="695"/>
      <c r="B33" s="232"/>
      <c r="C33" s="239" t="s">
        <v>326</v>
      </c>
      <c r="D33" s="239"/>
      <c r="E33" s="534" t="s">
        <v>306</v>
      </c>
      <c r="F33" s="243">
        <v>1</v>
      </c>
      <c r="G33" s="243">
        <v>2500000</v>
      </c>
      <c r="H33" s="183">
        <f>IF(F33=0,G33,G33*F33)</f>
        <v>2500000</v>
      </c>
      <c r="I33" s="240"/>
    </row>
    <row r="34" spans="1:9" ht="15.95" customHeight="1">
      <c r="A34" s="695"/>
      <c r="B34" s="232"/>
      <c r="C34" s="533" t="s">
        <v>327</v>
      </c>
      <c r="D34" s="239"/>
      <c r="E34" s="534" t="s">
        <v>306</v>
      </c>
      <c r="F34" s="243">
        <v>1</v>
      </c>
      <c r="G34" s="243">
        <v>4000000</v>
      </c>
      <c r="H34" s="183">
        <f t="shared" si="0"/>
        <v>4000000</v>
      </c>
      <c r="I34" s="240"/>
    </row>
    <row r="35" spans="1:9" ht="15.95" customHeight="1">
      <c r="A35" s="695"/>
      <c r="B35" s="232"/>
      <c r="C35" s="239"/>
      <c r="D35" s="239"/>
      <c r="E35" s="534"/>
      <c r="F35" s="243"/>
      <c r="G35" s="243"/>
      <c r="H35" s="183">
        <f t="shared" si="0"/>
        <v>0</v>
      </c>
      <c r="I35" s="240"/>
    </row>
    <row r="36" spans="1:9" ht="15.95" customHeight="1">
      <c r="A36" s="695"/>
      <c r="B36" s="232"/>
      <c r="C36" s="239"/>
      <c r="D36" s="239"/>
      <c r="E36" s="534"/>
      <c r="F36" s="243"/>
      <c r="G36" s="243"/>
      <c r="H36" s="183">
        <f t="shared" si="0"/>
        <v>0</v>
      </c>
      <c r="I36" s="240"/>
    </row>
    <row r="37" spans="1:9" ht="15.95" customHeight="1">
      <c r="A37" s="695"/>
      <c r="B37" s="232"/>
      <c r="C37" s="543" t="s">
        <v>313</v>
      </c>
      <c r="D37" s="543"/>
      <c r="E37" s="544"/>
      <c r="F37" s="541"/>
      <c r="G37" s="541"/>
      <c r="H37" s="183">
        <f t="shared" si="0"/>
        <v>0</v>
      </c>
      <c r="I37" s="240"/>
    </row>
    <row r="38" spans="1:9" ht="15.95" customHeight="1">
      <c r="A38" s="695"/>
      <c r="B38" s="232"/>
      <c r="C38" s="533" t="s">
        <v>314</v>
      </c>
      <c r="D38" s="533" t="s">
        <v>315</v>
      </c>
      <c r="E38" s="534" t="s">
        <v>285</v>
      </c>
      <c r="F38" s="547">
        <v>1</v>
      </c>
      <c r="G38" s="535">
        <v>350000</v>
      </c>
      <c r="H38" s="183">
        <f t="shared" si="0"/>
        <v>350000</v>
      </c>
      <c r="I38" s="240"/>
    </row>
    <row r="39" spans="1:9" ht="15.95" customHeight="1">
      <c r="A39" s="695"/>
      <c r="B39" s="232"/>
      <c r="C39" s="533" t="s">
        <v>316</v>
      </c>
      <c r="D39" s="533" t="s">
        <v>317</v>
      </c>
      <c r="E39" s="534" t="s">
        <v>285</v>
      </c>
      <c r="F39" s="547">
        <v>5</v>
      </c>
      <c r="G39" s="535">
        <v>75000</v>
      </c>
      <c r="H39" s="183">
        <f t="shared" si="0"/>
        <v>375000</v>
      </c>
      <c r="I39" s="240"/>
    </row>
    <row r="40" spans="1:9" ht="15.95" customHeight="1">
      <c r="A40" s="695"/>
      <c r="B40" s="232"/>
      <c r="C40" s="533" t="s">
        <v>318</v>
      </c>
      <c r="D40" s="533" t="s">
        <v>319</v>
      </c>
      <c r="E40" s="534" t="s">
        <v>285</v>
      </c>
      <c r="F40" s="547">
        <v>1</v>
      </c>
      <c r="G40" s="535">
        <v>850000</v>
      </c>
      <c r="H40" s="183">
        <f t="shared" si="0"/>
        <v>850000</v>
      </c>
      <c r="I40" s="240"/>
    </row>
    <row r="41" spans="1:9" ht="15.95" customHeight="1">
      <c r="A41" s="695"/>
      <c r="B41" s="232"/>
      <c r="C41" s="533" t="s">
        <v>320</v>
      </c>
      <c r="D41" s="533"/>
      <c r="E41" s="534" t="s">
        <v>285</v>
      </c>
      <c r="F41" s="547">
        <v>10</v>
      </c>
      <c r="G41" s="535">
        <v>7000</v>
      </c>
      <c r="H41" s="183">
        <f t="shared" si="0"/>
        <v>70000</v>
      </c>
      <c r="I41" s="240"/>
    </row>
    <row r="42" spans="1:9" ht="15.95" customHeight="1">
      <c r="A42" s="695"/>
      <c r="B42" s="232"/>
      <c r="C42" s="533" t="s">
        <v>321</v>
      </c>
      <c r="D42" s="533"/>
      <c r="E42" s="534" t="s">
        <v>285</v>
      </c>
      <c r="F42" s="547">
        <v>1</v>
      </c>
      <c r="G42" s="535">
        <v>100000</v>
      </c>
      <c r="H42" s="183">
        <f t="shared" si="0"/>
        <v>100000</v>
      </c>
      <c r="I42" s="240"/>
    </row>
    <row r="43" spans="1:9" ht="15.95" customHeight="1">
      <c r="A43" s="695"/>
      <c r="B43" s="232"/>
      <c r="C43" s="543" t="s">
        <v>322</v>
      </c>
      <c r="D43" s="543"/>
      <c r="E43" s="544" t="s">
        <v>285</v>
      </c>
      <c r="F43" s="541">
        <v>1</v>
      </c>
      <c r="G43" s="541">
        <v>100000</v>
      </c>
      <c r="H43" s="183">
        <f t="shared" si="0"/>
        <v>100000</v>
      </c>
      <c r="I43" s="240"/>
    </row>
    <row r="44" spans="1:9" ht="15.95" customHeight="1">
      <c r="A44" s="695"/>
      <c r="B44" s="232"/>
      <c r="C44" s="239"/>
      <c r="D44" s="239"/>
      <c r="E44" s="534"/>
      <c r="F44" s="243"/>
      <c r="G44" s="243"/>
      <c r="H44" s="183">
        <f t="shared" si="0"/>
        <v>0</v>
      </c>
      <c r="I44" s="240"/>
    </row>
    <row r="45" spans="1:9" ht="15.95" customHeight="1">
      <c r="A45" s="695"/>
      <c r="B45" s="232"/>
      <c r="C45" s="264"/>
      <c r="D45" s="264"/>
      <c r="E45" s="534"/>
      <c r="F45" s="266"/>
      <c r="G45" s="266"/>
      <c r="H45" s="183">
        <f t="shared" si="0"/>
        <v>0</v>
      </c>
      <c r="I45" s="240"/>
    </row>
    <row r="46" spans="1:9" ht="15.95" customHeight="1">
      <c r="A46" s="695"/>
      <c r="B46" s="232"/>
      <c r="C46" s="536" t="s">
        <v>294</v>
      </c>
      <c r="D46" s="536"/>
      <c r="E46" s="537" t="s">
        <v>293</v>
      </c>
      <c r="F46" s="538">
        <v>1</v>
      </c>
      <c r="G46" s="538">
        <v>0</v>
      </c>
      <c r="H46" s="367">
        <f t="shared" si="0"/>
        <v>0</v>
      </c>
      <c r="I46" s="248"/>
    </row>
    <row r="47" spans="1:9" ht="15.95" customHeight="1">
      <c r="A47" s="695"/>
      <c r="B47" s="249"/>
      <c r="C47" s="250"/>
      <c r="D47" s="251"/>
      <c r="E47" s="251"/>
      <c r="F47" s="253"/>
      <c r="G47" s="253"/>
      <c r="H47" s="254">
        <f>SUM(H31:H46)</f>
        <v>17445000</v>
      </c>
      <c r="I47" s="255"/>
    </row>
    <row r="48" spans="1:9" ht="15.95" customHeight="1">
      <c r="A48" s="695"/>
      <c r="B48" s="276" t="s">
        <v>185</v>
      </c>
      <c r="C48" s="257"/>
      <c r="D48" s="257"/>
      <c r="E48" s="257"/>
      <c r="F48" s="260"/>
      <c r="G48" s="260"/>
      <c r="H48" s="261">
        <f t="shared" si="0"/>
        <v>0</v>
      </c>
      <c r="I48" s="262"/>
    </row>
    <row r="49" spans="1:9" ht="15.95" customHeight="1">
      <c r="A49" s="695"/>
      <c r="B49" s="232"/>
      <c r="C49" s="239"/>
      <c r="D49" s="239"/>
      <c r="E49" s="239"/>
      <c r="F49" s="243"/>
      <c r="G49" s="243"/>
      <c r="H49" s="183">
        <f t="shared" si="0"/>
        <v>0</v>
      </c>
      <c r="I49" s="240"/>
    </row>
    <row r="50" spans="1:9" ht="15.95" customHeight="1">
      <c r="A50" s="695"/>
      <c r="B50" s="232"/>
      <c r="C50" s="239"/>
      <c r="D50" s="239"/>
      <c r="E50" s="239"/>
      <c r="F50" s="243"/>
      <c r="G50" s="243"/>
      <c r="H50" s="183">
        <f t="shared" si="0"/>
        <v>0</v>
      </c>
      <c r="I50" s="240"/>
    </row>
    <row r="51" spans="1:9" ht="15.95" customHeight="1">
      <c r="A51" s="695"/>
      <c r="B51" s="232"/>
      <c r="C51" s="239"/>
      <c r="D51" s="239"/>
      <c r="E51" s="239"/>
      <c r="F51" s="243"/>
      <c r="G51" s="243"/>
      <c r="H51" s="183">
        <f t="shared" si="0"/>
        <v>0</v>
      </c>
      <c r="I51" s="240"/>
    </row>
    <row r="52" spans="1:9" ht="15.95" customHeight="1">
      <c r="A52" s="695"/>
      <c r="B52" s="232"/>
      <c r="C52" s="239"/>
      <c r="D52" s="239"/>
      <c r="E52" s="239"/>
      <c r="F52" s="243"/>
      <c r="G52" s="243"/>
      <c r="H52" s="183">
        <f t="shared" si="0"/>
        <v>0</v>
      </c>
      <c r="I52" s="240"/>
    </row>
    <row r="53" spans="1:9" ht="15.95" customHeight="1">
      <c r="A53" s="695"/>
      <c r="B53" s="232"/>
      <c r="C53" s="239"/>
      <c r="D53" s="239"/>
      <c r="E53" s="239"/>
      <c r="F53" s="243"/>
      <c r="G53" s="243"/>
      <c r="H53" s="183">
        <f t="shared" si="0"/>
        <v>0</v>
      </c>
      <c r="I53" s="240"/>
    </row>
    <row r="54" spans="1:9" ht="15.95" customHeight="1">
      <c r="A54" s="695"/>
      <c r="B54" s="232"/>
      <c r="C54" s="244"/>
      <c r="D54" s="244"/>
      <c r="E54" s="244"/>
      <c r="F54" s="247"/>
      <c r="G54" s="247"/>
      <c r="H54" s="277">
        <f t="shared" si="0"/>
        <v>0</v>
      </c>
      <c r="I54" s="248"/>
    </row>
    <row r="55" spans="1:9" ht="15.95" customHeight="1">
      <c r="A55" s="695"/>
      <c r="B55" s="249"/>
      <c r="C55" s="250"/>
      <c r="D55" s="251"/>
      <c r="E55" s="251"/>
      <c r="F55" s="253"/>
      <c r="G55" s="253"/>
      <c r="H55" s="254">
        <f>SUM(H48:H54)</f>
        <v>0</v>
      </c>
      <c r="I55" s="255"/>
    </row>
    <row r="56" spans="1:9" ht="15.95" customHeight="1">
      <c r="A56" s="278"/>
      <c r="B56" s="279" t="s">
        <v>186</v>
      </c>
      <c r="C56" s="280"/>
      <c r="D56" s="255"/>
      <c r="E56" s="255"/>
      <c r="F56" s="282"/>
      <c r="G56" s="282"/>
      <c r="H56" s="254">
        <f>SUM(H55,H47,H30,H24)</f>
        <v>30745000</v>
      </c>
      <c r="I56" s="255"/>
    </row>
    <row r="57" spans="1:9" ht="15.95" customHeight="1">
      <c r="A57" s="696" t="s">
        <v>187</v>
      </c>
      <c r="B57" s="283" t="s">
        <v>188</v>
      </c>
      <c r="C57" s="280"/>
      <c r="D57" s="284"/>
      <c r="E57" s="311" t="s">
        <v>189</v>
      </c>
      <c r="F57" s="437">
        <v>0</v>
      </c>
      <c r="G57" s="348">
        <v>300000</v>
      </c>
      <c r="H57" s="288">
        <f>F57*G57</f>
        <v>0</v>
      </c>
      <c r="I57" s="255"/>
    </row>
    <row r="58" spans="1:9" ht="15.95" customHeight="1">
      <c r="A58" s="695"/>
      <c r="B58" s="289" t="s">
        <v>190</v>
      </c>
      <c r="C58" s="290"/>
      <c r="D58" s="291"/>
      <c r="E58" s="312" t="s">
        <v>148</v>
      </c>
      <c r="F58" s="433">
        <v>25</v>
      </c>
      <c r="G58" s="347">
        <v>300000</v>
      </c>
      <c r="H58" s="261">
        <f t="shared" ref="H58:H64" si="1">F58*G58</f>
        <v>7500000</v>
      </c>
      <c r="I58" s="262"/>
    </row>
    <row r="59" spans="1:9" ht="15.95" customHeight="1">
      <c r="A59" s="695"/>
      <c r="B59" s="315" t="s">
        <v>191</v>
      </c>
      <c r="C59" s="294"/>
      <c r="D59" s="295"/>
      <c r="E59" s="313" t="s">
        <v>148</v>
      </c>
      <c r="F59" s="432">
        <v>10</v>
      </c>
      <c r="G59" s="345">
        <v>250000</v>
      </c>
      <c r="H59" s="183">
        <f t="shared" si="1"/>
        <v>2500000</v>
      </c>
      <c r="I59" s="240"/>
    </row>
    <row r="60" spans="1:9" ht="15.95" customHeight="1">
      <c r="A60" s="695"/>
      <c r="B60" s="293" t="s">
        <v>192</v>
      </c>
      <c r="C60" s="294"/>
      <c r="D60" s="295"/>
      <c r="E60" s="313" t="s">
        <v>148</v>
      </c>
      <c r="F60" s="432">
        <v>25</v>
      </c>
      <c r="G60" s="345">
        <v>250000</v>
      </c>
      <c r="H60" s="183">
        <f t="shared" si="1"/>
        <v>6250000</v>
      </c>
      <c r="I60" s="240"/>
    </row>
    <row r="61" spans="1:9" ht="15.95" customHeight="1">
      <c r="A61" s="695"/>
      <c r="B61" s="293" t="s">
        <v>193</v>
      </c>
      <c r="C61" s="294"/>
      <c r="D61" s="295"/>
      <c r="E61" s="313" t="s">
        <v>148</v>
      </c>
      <c r="F61" s="432">
        <v>10</v>
      </c>
      <c r="G61" s="345">
        <v>300000</v>
      </c>
      <c r="H61" s="183">
        <f t="shared" si="1"/>
        <v>3000000</v>
      </c>
      <c r="I61" s="240"/>
    </row>
    <row r="62" spans="1:9" ht="15.95" customHeight="1">
      <c r="A62" s="695"/>
      <c r="B62" s="293" t="s">
        <v>194</v>
      </c>
      <c r="C62" s="294"/>
      <c r="D62" s="295"/>
      <c r="E62" s="313" t="s">
        <v>148</v>
      </c>
      <c r="F62" s="432">
        <v>7</v>
      </c>
      <c r="G62" s="345">
        <v>300000</v>
      </c>
      <c r="H62" s="183">
        <f t="shared" si="1"/>
        <v>2100000</v>
      </c>
      <c r="I62" s="240"/>
    </row>
    <row r="63" spans="1:9" ht="15.95" customHeight="1">
      <c r="A63" s="695"/>
      <c r="B63" s="293" t="s">
        <v>195</v>
      </c>
      <c r="C63" s="294"/>
      <c r="D63" s="295"/>
      <c r="E63" s="313" t="s">
        <v>148</v>
      </c>
      <c r="F63" s="432">
        <v>2</v>
      </c>
      <c r="G63" s="345">
        <v>300000</v>
      </c>
      <c r="H63" s="183">
        <f t="shared" si="1"/>
        <v>600000</v>
      </c>
      <c r="I63" s="240"/>
    </row>
    <row r="64" spans="1:9" ht="15.95" customHeight="1">
      <c r="A64" s="695"/>
      <c r="B64" s="297" t="s">
        <v>196</v>
      </c>
      <c r="C64" s="298"/>
      <c r="D64" s="299"/>
      <c r="E64" s="314" t="s">
        <v>148</v>
      </c>
      <c r="F64" s="441">
        <v>0</v>
      </c>
      <c r="G64" s="346">
        <v>250000</v>
      </c>
      <c r="H64" s="277">
        <f t="shared" si="1"/>
        <v>0</v>
      </c>
      <c r="I64" s="248"/>
    </row>
    <row r="65" spans="1:9" ht="15.95" customHeight="1">
      <c r="A65" s="278"/>
      <c r="B65" s="301" t="s">
        <v>197</v>
      </c>
      <c r="C65" s="280"/>
      <c r="D65" s="255"/>
      <c r="E65" s="255"/>
      <c r="F65" s="253"/>
      <c r="G65" s="253"/>
      <c r="H65" s="253">
        <f>SUM(H57:H64)</f>
        <v>21950000</v>
      </c>
      <c r="I65" s="251"/>
    </row>
    <row r="66" spans="1:9" ht="15.95" customHeight="1">
      <c r="A66" s="302"/>
      <c r="B66" s="301" t="s">
        <v>198</v>
      </c>
      <c r="C66" s="280"/>
      <c r="D66" s="255"/>
      <c r="E66" s="255"/>
      <c r="F66" s="254"/>
      <c r="G66" s="254"/>
      <c r="H66" s="282">
        <f>'단위공사별(집계)'!L8+'단위공사별(집계)'!I8</f>
        <v>416607.28352129721</v>
      </c>
      <c r="I66" s="255"/>
    </row>
    <row r="67" spans="1:9" ht="15.95" customHeight="1">
      <c r="A67" s="302"/>
      <c r="B67" s="301" t="s">
        <v>199</v>
      </c>
      <c r="C67" s="280"/>
      <c r="D67" s="255"/>
      <c r="E67" s="255"/>
      <c r="F67" s="254"/>
      <c r="G67" s="304"/>
      <c r="H67" s="305">
        <f>(H65+H56)*0</f>
        <v>0</v>
      </c>
      <c r="I67" s="280"/>
    </row>
    <row r="68" spans="1:9" ht="15.95" customHeight="1">
      <c r="A68" s="302"/>
      <c r="B68" s="301" t="s">
        <v>200</v>
      </c>
      <c r="C68" s="280"/>
      <c r="D68" s="255"/>
      <c r="E68" s="255"/>
      <c r="F68" s="254"/>
      <c r="G68" s="304"/>
      <c r="H68" s="305">
        <f>(H65+H56)*0</f>
        <v>0</v>
      </c>
      <c r="I68" s="280"/>
    </row>
    <row r="69" spans="1:9" ht="15.95" customHeight="1">
      <c r="A69" s="302"/>
      <c r="B69" s="301" t="s">
        <v>201</v>
      </c>
      <c r="C69" s="280"/>
      <c r="D69" s="255"/>
      <c r="E69" s="255"/>
      <c r="F69" s="254"/>
      <c r="G69" s="254"/>
      <c r="H69" s="253">
        <f>H56+H65+H66+H67+H68</f>
        <v>53111607.283521295</v>
      </c>
      <c r="I69" s="255"/>
    </row>
    <row r="70" spans="1:9">
      <c r="A70" s="150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ignoredErrors>
    <ignoredError sqref="H30 H47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70"/>
  <sheetViews>
    <sheetView zoomScaleNormal="100" workbookViewId="0">
      <pane xSplit="2" ySplit="2" topLeftCell="C3" activePane="bottomRight" state="frozen"/>
      <selection activeCell="C2" sqref="C2"/>
      <selection pane="topRight" activeCell="C2" sqref="C2"/>
      <selection pane="bottomLeft" activeCell="C2" sqref="C2"/>
      <selection pane="bottomRight" activeCell="G74" sqref="G74"/>
    </sheetView>
  </sheetViews>
  <sheetFormatPr defaultRowHeight="13.5"/>
  <cols>
    <col min="1" max="1" width="5" style="133" customWidth="1"/>
    <col min="2" max="2" width="17.875" style="133" bestFit="1" customWidth="1"/>
    <col min="3" max="3" width="23.625" style="133" customWidth="1"/>
    <col min="4" max="4" width="18.25" style="133" customWidth="1"/>
    <col min="5" max="5" width="5.25" style="133" bestFit="1" customWidth="1"/>
    <col min="6" max="6" width="9" style="172"/>
    <col min="7" max="7" width="11.875" style="172" customWidth="1"/>
    <col min="8" max="8" width="13.625" style="172" customWidth="1"/>
    <col min="9" max="9" width="12.75" style="133" customWidth="1"/>
    <col min="10" max="16384" width="9" style="133"/>
  </cols>
  <sheetData>
    <row r="1" spans="1:9" ht="22.5" customHeight="1">
      <c r="B1" s="224" t="s">
        <v>160</v>
      </c>
      <c r="C1" s="349" t="s">
        <v>297</v>
      </c>
      <c r="D1" s="226"/>
      <c r="E1" s="226"/>
      <c r="F1" s="308"/>
      <c r="G1" s="186"/>
      <c r="I1" s="133" t="s">
        <v>161</v>
      </c>
    </row>
    <row r="2" spans="1:9" s="150" customFormat="1" ht="16.5" customHeight="1">
      <c r="A2" s="579" t="s">
        <v>162</v>
      </c>
      <c r="B2" s="690"/>
      <c r="C2" s="141" t="s">
        <v>163</v>
      </c>
      <c r="D2" s="134" t="s">
        <v>164</v>
      </c>
      <c r="E2" s="134" t="s">
        <v>165</v>
      </c>
      <c r="F2" s="281" t="s">
        <v>166</v>
      </c>
      <c r="G2" s="281" t="s">
        <v>167</v>
      </c>
      <c r="H2" s="281" t="s">
        <v>168</v>
      </c>
      <c r="I2" s="134" t="s">
        <v>169</v>
      </c>
    </row>
    <row r="3" spans="1:9" ht="15.95" customHeight="1">
      <c r="A3" s="691" t="s">
        <v>170</v>
      </c>
      <c r="B3" s="232" t="s">
        <v>171</v>
      </c>
      <c r="C3" s="533" t="s">
        <v>301</v>
      </c>
      <c r="D3" s="533" t="s">
        <v>302</v>
      </c>
      <c r="E3" s="534" t="s">
        <v>285</v>
      </c>
      <c r="F3" s="535">
        <v>0</v>
      </c>
      <c r="G3" s="535">
        <v>2000000</v>
      </c>
      <c r="H3" s="568">
        <f>F3*G3</f>
        <v>0</v>
      </c>
      <c r="I3" s="262"/>
    </row>
    <row r="4" spans="1:9" ht="15.95" customHeight="1">
      <c r="A4" s="695"/>
      <c r="B4" s="232"/>
      <c r="C4" s="543" t="s">
        <v>304</v>
      </c>
      <c r="D4" s="533" t="s">
        <v>307</v>
      </c>
      <c r="E4" s="544" t="s">
        <v>285</v>
      </c>
      <c r="F4" s="535">
        <v>0</v>
      </c>
      <c r="G4" s="541">
        <v>2500000</v>
      </c>
      <c r="H4" s="569">
        <f t="shared" ref="H4:H9" si="0">F4*G4</f>
        <v>0</v>
      </c>
      <c r="I4" s="240"/>
    </row>
    <row r="5" spans="1:9" ht="15.95" customHeight="1">
      <c r="A5" s="695"/>
      <c r="B5" s="232"/>
      <c r="C5" s="543" t="s">
        <v>303</v>
      </c>
      <c r="D5" s="543" t="s">
        <v>302</v>
      </c>
      <c r="E5" s="544" t="s">
        <v>285</v>
      </c>
      <c r="F5" s="541">
        <v>0</v>
      </c>
      <c r="G5" s="541">
        <v>1500000</v>
      </c>
      <c r="H5" s="569">
        <f t="shared" si="0"/>
        <v>0</v>
      </c>
      <c r="I5" s="240"/>
    </row>
    <row r="6" spans="1:9" ht="15.95" customHeight="1">
      <c r="A6" s="695"/>
      <c r="B6" s="232"/>
      <c r="C6" s="543" t="s">
        <v>323</v>
      </c>
      <c r="D6" s="543"/>
      <c r="E6" s="544" t="s">
        <v>285</v>
      </c>
      <c r="F6" s="541">
        <v>0</v>
      </c>
      <c r="G6" s="541">
        <v>600000</v>
      </c>
      <c r="H6" s="569">
        <f t="shared" si="0"/>
        <v>0</v>
      </c>
      <c r="I6" s="240"/>
    </row>
    <row r="7" spans="1:9" ht="15.95" customHeight="1">
      <c r="A7" s="695"/>
      <c r="B7" s="232"/>
      <c r="C7" s="543" t="s">
        <v>328</v>
      </c>
      <c r="D7" s="239"/>
      <c r="E7" s="534" t="s">
        <v>306</v>
      </c>
      <c r="F7" s="243">
        <v>1</v>
      </c>
      <c r="G7" s="243">
        <v>2500000</v>
      </c>
      <c r="H7" s="569">
        <f t="shared" si="0"/>
        <v>2500000</v>
      </c>
      <c r="I7" s="240"/>
    </row>
    <row r="8" spans="1:9" ht="15.95" customHeight="1">
      <c r="A8" s="695"/>
      <c r="B8" s="232"/>
      <c r="C8" s="543" t="s">
        <v>327</v>
      </c>
      <c r="D8" s="239"/>
      <c r="E8" s="534" t="s">
        <v>306</v>
      </c>
      <c r="F8" s="243">
        <v>1</v>
      </c>
      <c r="G8" s="243">
        <v>3000000</v>
      </c>
      <c r="H8" s="569">
        <f t="shared" si="0"/>
        <v>3000000</v>
      </c>
      <c r="I8" s="240"/>
    </row>
    <row r="9" spans="1:9" ht="15.95" customHeight="1">
      <c r="A9" s="695"/>
      <c r="B9" s="232"/>
      <c r="C9" s="543" t="s">
        <v>329</v>
      </c>
      <c r="D9" s="550"/>
      <c r="E9" s="549" t="s">
        <v>285</v>
      </c>
      <c r="F9" s="548">
        <v>1</v>
      </c>
      <c r="G9" s="548">
        <v>1300000</v>
      </c>
      <c r="H9" s="569">
        <f t="shared" si="0"/>
        <v>1300000</v>
      </c>
      <c r="I9" s="240"/>
    </row>
    <row r="10" spans="1:9" ht="15.95" customHeight="1">
      <c r="A10" s="695"/>
      <c r="B10" s="232"/>
      <c r="C10" s="239"/>
      <c r="D10" s="239"/>
      <c r="E10" s="239"/>
      <c r="F10" s="243"/>
      <c r="G10" s="243"/>
      <c r="H10" s="183">
        <f t="shared" ref="H10:H54" si="1">IF(F10=0,G10,G10*F10)</f>
        <v>0</v>
      </c>
      <c r="I10" s="240"/>
    </row>
    <row r="11" spans="1:9" ht="15.95" customHeight="1">
      <c r="A11" s="695"/>
      <c r="B11" s="232"/>
      <c r="C11" s="239"/>
      <c r="D11" s="239"/>
      <c r="E11" s="239"/>
      <c r="F11" s="243"/>
      <c r="G11" s="243"/>
      <c r="H11" s="183">
        <f t="shared" si="1"/>
        <v>0</v>
      </c>
      <c r="I11" s="240"/>
    </row>
    <row r="12" spans="1:9" ht="15.95" customHeight="1">
      <c r="A12" s="695"/>
      <c r="B12" s="232"/>
      <c r="C12" s="239"/>
      <c r="D12" s="239"/>
      <c r="E12" s="239"/>
      <c r="F12" s="243"/>
      <c r="G12" s="243"/>
      <c r="H12" s="183">
        <f t="shared" si="1"/>
        <v>0</v>
      </c>
      <c r="I12" s="240"/>
    </row>
    <row r="13" spans="1:9" ht="15.95" customHeight="1">
      <c r="A13" s="695"/>
      <c r="B13" s="232"/>
      <c r="C13" s="239"/>
      <c r="D13" s="239"/>
      <c r="E13" s="239"/>
      <c r="F13" s="243"/>
      <c r="G13" s="243"/>
      <c r="H13" s="183">
        <f t="shared" si="1"/>
        <v>0</v>
      </c>
      <c r="I13" s="240"/>
    </row>
    <row r="14" spans="1:9" ht="15.95" customHeight="1">
      <c r="A14" s="695"/>
      <c r="B14" s="232"/>
      <c r="C14" s="239"/>
      <c r="D14" s="239"/>
      <c r="E14" s="239"/>
      <c r="F14" s="243"/>
      <c r="G14" s="243"/>
      <c r="H14" s="183">
        <f t="shared" si="1"/>
        <v>0</v>
      </c>
      <c r="I14" s="240"/>
    </row>
    <row r="15" spans="1:9" ht="15.95" customHeight="1">
      <c r="A15" s="695"/>
      <c r="B15" s="232"/>
      <c r="C15" s="239"/>
      <c r="D15" s="239"/>
      <c r="E15" s="239"/>
      <c r="F15" s="243"/>
      <c r="G15" s="243"/>
      <c r="H15" s="183">
        <f t="shared" si="1"/>
        <v>0</v>
      </c>
      <c r="I15" s="240"/>
    </row>
    <row r="16" spans="1:9" ht="15.95" customHeight="1">
      <c r="A16" s="695"/>
      <c r="B16" s="232"/>
      <c r="C16" s="239"/>
      <c r="D16" s="239"/>
      <c r="E16" s="239"/>
      <c r="F16" s="243"/>
      <c r="G16" s="243"/>
      <c r="H16" s="183">
        <f t="shared" si="1"/>
        <v>0</v>
      </c>
      <c r="I16" s="240"/>
    </row>
    <row r="17" spans="1:9" ht="15.95" customHeight="1">
      <c r="A17" s="695"/>
      <c r="B17" s="232"/>
      <c r="C17" s="239"/>
      <c r="D17" s="239"/>
      <c r="E17" s="239"/>
      <c r="F17" s="243"/>
      <c r="G17" s="243"/>
      <c r="H17" s="183">
        <f t="shared" si="1"/>
        <v>0</v>
      </c>
      <c r="I17" s="240"/>
    </row>
    <row r="18" spans="1:9" ht="15.95" customHeight="1">
      <c r="A18" s="695"/>
      <c r="B18" s="232"/>
      <c r="C18" s="239"/>
      <c r="D18" s="239"/>
      <c r="E18" s="239"/>
      <c r="F18" s="243"/>
      <c r="G18" s="243"/>
      <c r="H18" s="183">
        <f t="shared" si="1"/>
        <v>0</v>
      </c>
      <c r="I18" s="240"/>
    </row>
    <row r="19" spans="1:9" ht="15.95" customHeight="1">
      <c r="A19" s="695"/>
      <c r="B19" s="232"/>
      <c r="C19" s="239"/>
      <c r="D19" s="239"/>
      <c r="E19" s="239"/>
      <c r="F19" s="243"/>
      <c r="G19" s="243"/>
      <c r="H19" s="183">
        <f t="shared" si="1"/>
        <v>0</v>
      </c>
      <c r="I19" s="240"/>
    </row>
    <row r="20" spans="1:9" ht="15.95" customHeight="1">
      <c r="A20" s="695"/>
      <c r="B20" s="232"/>
      <c r="C20" s="239"/>
      <c r="D20" s="239"/>
      <c r="E20" s="239"/>
      <c r="F20" s="243"/>
      <c r="G20" s="243"/>
      <c r="H20" s="183">
        <f t="shared" si="1"/>
        <v>0</v>
      </c>
      <c r="I20" s="240"/>
    </row>
    <row r="21" spans="1:9" ht="15.95" customHeight="1">
      <c r="A21" s="695"/>
      <c r="B21" s="232"/>
      <c r="C21" s="239"/>
      <c r="D21" s="239"/>
      <c r="E21" s="239"/>
      <c r="F21" s="243"/>
      <c r="G21" s="243"/>
      <c r="H21" s="183">
        <f t="shared" si="1"/>
        <v>0</v>
      </c>
      <c r="I21" s="240"/>
    </row>
    <row r="22" spans="1:9" ht="15.95" customHeight="1">
      <c r="A22" s="695"/>
      <c r="B22" s="232"/>
      <c r="C22" s="239"/>
      <c r="D22" s="239"/>
      <c r="E22" s="239"/>
      <c r="F22" s="243"/>
      <c r="G22" s="243"/>
      <c r="H22" s="183">
        <f t="shared" si="1"/>
        <v>0</v>
      </c>
      <c r="I22" s="240"/>
    </row>
    <row r="23" spans="1:9" ht="15.95" customHeight="1">
      <c r="A23" s="695"/>
      <c r="B23" s="232"/>
      <c r="C23" s="536" t="s">
        <v>294</v>
      </c>
      <c r="D23" s="536"/>
      <c r="E23" s="537" t="s">
        <v>293</v>
      </c>
      <c r="F23" s="538">
        <v>1</v>
      </c>
      <c r="G23" s="538">
        <v>0</v>
      </c>
      <c r="H23" s="267">
        <f t="shared" si="1"/>
        <v>0</v>
      </c>
      <c r="I23" s="268"/>
    </row>
    <row r="24" spans="1:9" ht="15.95" customHeight="1">
      <c r="A24" s="695"/>
      <c r="B24" s="249"/>
      <c r="C24" s="275"/>
      <c r="D24" s="275"/>
      <c r="E24" s="275"/>
      <c r="F24" s="273"/>
      <c r="G24" s="273"/>
      <c r="H24" s="274">
        <f>SUM(H3:H23)</f>
        <v>6800000</v>
      </c>
      <c r="I24" s="275"/>
    </row>
    <row r="25" spans="1:9" ht="15.95" customHeight="1">
      <c r="A25" s="695"/>
      <c r="B25" s="232" t="s">
        <v>172</v>
      </c>
      <c r="C25" s="233"/>
      <c r="D25" s="233"/>
      <c r="E25" s="233"/>
      <c r="F25" s="236"/>
      <c r="G25" s="236"/>
      <c r="H25" s="237">
        <f t="shared" si="1"/>
        <v>0</v>
      </c>
      <c r="I25" s="238"/>
    </row>
    <row r="26" spans="1:9" ht="15.95" customHeight="1">
      <c r="A26" s="695"/>
      <c r="B26" s="232" t="s">
        <v>173</v>
      </c>
      <c r="C26" s="239"/>
      <c r="D26" s="239"/>
      <c r="E26" s="239"/>
      <c r="F26" s="243"/>
      <c r="G26" s="243"/>
      <c r="H26" s="183">
        <f t="shared" si="1"/>
        <v>0</v>
      </c>
      <c r="I26" s="240"/>
    </row>
    <row r="27" spans="1:9" ht="15.95" customHeight="1">
      <c r="A27" s="695"/>
      <c r="B27" s="232"/>
      <c r="C27" s="239"/>
      <c r="D27" s="239"/>
      <c r="E27" s="239"/>
      <c r="F27" s="243"/>
      <c r="G27" s="243"/>
      <c r="H27" s="183">
        <f t="shared" si="1"/>
        <v>0</v>
      </c>
      <c r="I27" s="240"/>
    </row>
    <row r="28" spans="1:9" ht="15.95" customHeight="1">
      <c r="A28" s="695"/>
      <c r="B28" s="232"/>
      <c r="C28" s="239"/>
      <c r="D28" s="239"/>
      <c r="E28" s="239"/>
      <c r="F28" s="243"/>
      <c r="G28" s="243"/>
      <c r="H28" s="183">
        <f t="shared" si="1"/>
        <v>0</v>
      </c>
      <c r="I28" s="240"/>
    </row>
    <row r="29" spans="1:9" ht="15.95" customHeight="1">
      <c r="A29" s="695"/>
      <c r="B29" s="232"/>
      <c r="C29" s="244"/>
      <c r="D29" s="244"/>
      <c r="E29" s="244"/>
      <c r="F29" s="247"/>
      <c r="G29" s="247"/>
      <c r="H29" s="183">
        <f t="shared" si="1"/>
        <v>0</v>
      </c>
      <c r="I29" s="248"/>
    </row>
    <row r="30" spans="1:9" ht="15.95" customHeight="1">
      <c r="A30" s="695"/>
      <c r="B30" s="249"/>
      <c r="C30" s="250"/>
      <c r="D30" s="251"/>
      <c r="E30" s="251"/>
      <c r="F30" s="310"/>
      <c r="G30" s="253"/>
      <c r="H30" s="254">
        <f>SUM(H25:H29)</f>
        <v>0</v>
      </c>
      <c r="I30" s="255"/>
    </row>
    <row r="31" spans="1:9" ht="15.95" customHeight="1">
      <c r="A31" s="695"/>
      <c r="B31" s="276" t="s">
        <v>174</v>
      </c>
      <c r="C31" s="543" t="s">
        <v>328</v>
      </c>
      <c r="D31" s="533"/>
      <c r="E31" s="534" t="s">
        <v>306</v>
      </c>
      <c r="F31" s="535">
        <v>1</v>
      </c>
      <c r="G31" s="445">
        <v>20000000</v>
      </c>
      <c r="H31" s="261">
        <f t="shared" si="1"/>
        <v>20000000</v>
      </c>
      <c r="I31" s="262"/>
    </row>
    <row r="32" spans="1:9" ht="15.95" customHeight="1">
      <c r="A32" s="695"/>
      <c r="B32" s="232" t="s">
        <v>175</v>
      </c>
      <c r="C32" s="543" t="s">
        <v>327</v>
      </c>
      <c r="D32" s="533"/>
      <c r="E32" s="534" t="s">
        <v>306</v>
      </c>
      <c r="F32" s="535">
        <v>1</v>
      </c>
      <c r="G32" s="446">
        <v>3800000</v>
      </c>
      <c r="H32" s="183">
        <f t="shared" si="1"/>
        <v>3800000</v>
      </c>
      <c r="I32" s="240"/>
    </row>
    <row r="33" spans="1:9" ht="15.95" customHeight="1">
      <c r="A33" s="695"/>
      <c r="B33" s="232"/>
      <c r="C33" s="543" t="s">
        <v>329</v>
      </c>
      <c r="D33" s="533"/>
      <c r="E33" s="534" t="s">
        <v>306</v>
      </c>
      <c r="F33" s="535">
        <v>1</v>
      </c>
      <c r="G33" s="243">
        <v>600000</v>
      </c>
      <c r="H33" s="183">
        <f t="shared" si="1"/>
        <v>600000</v>
      </c>
      <c r="I33" s="240"/>
    </row>
    <row r="34" spans="1:9" ht="15.95" customHeight="1">
      <c r="A34" s="695"/>
      <c r="B34" s="232"/>
      <c r="C34" s="553" t="s">
        <v>330</v>
      </c>
      <c r="D34" s="553"/>
      <c r="E34" s="552" t="s">
        <v>285</v>
      </c>
      <c r="F34" s="551">
        <v>1</v>
      </c>
      <c r="G34" s="551">
        <v>1500000</v>
      </c>
      <c r="H34" s="183">
        <f t="shared" si="1"/>
        <v>1500000</v>
      </c>
      <c r="I34" s="240"/>
    </row>
    <row r="35" spans="1:9" ht="15.95" customHeight="1">
      <c r="A35" s="695"/>
      <c r="B35" s="232"/>
      <c r="C35" s="239"/>
      <c r="D35" s="239"/>
      <c r="E35" s="239"/>
      <c r="F35" s="243"/>
      <c r="G35" s="243"/>
      <c r="H35" s="183">
        <f t="shared" si="1"/>
        <v>0</v>
      </c>
      <c r="I35" s="240"/>
    </row>
    <row r="36" spans="1:9" ht="15.95" customHeight="1">
      <c r="A36" s="695"/>
      <c r="B36" s="232"/>
      <c r="C36" s="239"/>
      <c r="D36" s="239"/>
      <c r="E36" s="239"/>
      <c r="F36" s="243"/>
      <c r="G36" s="243"/>
      <c r="H36" s="183">
        <f t="shared" si="1"/>
        <v>0</v>
      </c>
      <c r="I36" s="240"/>
    </row>
    <row r="37" spans="1:9" ht="15.95" customHeight="1">
      <c r="A37" s="695"/>
      <c r="B37" s="232"/>
      <c r="C37" s="543" t="s">
        <v>313</v>
      </c>
      <c r="D37" s="543"/>
      <c r="E37" s="544"/>
      <c r="F37" s="541"/>
      <c r="G37" s="541"/>
      <c r="H37" s="183">
        <f t="shared" si="1"/>
        <v>0</v>
      </c>
      <c r="I37" s="240"/>
    </row>
    <row r="38" spans="1:9" ht="15.95" customHeight="1">
      <c r="A38" s="695"/>
      <c r="B38" s="232"/>
      <c r="C38" s="533" t="s">
        <v>314</v>
      </c>
      <c r="D38" s="533" t="s">
        <v>315</v>
      </c>
      <c r="E38" s="534" t="s">
        <v>285</v>
      </c>
      <c r="F38" s="547">
        <v>1</v>
      </c>
      <c r="G38" s="535">
        <v>350000</v>
      </c>
      <c r="H38" s="183">
        <f t="shared" si="1"/>
        <v>350000</v>
      </c>
      <c r="I38" s="240"/>
    </row>
    <row r="39" spans="1:9" ht="15.95" customHeight="1">
      <c r="A39" s="695"/>
      <c r="B39" s="232"/>
      <c r="C39" s="533" t="s">
        <v>316</v>
      </c>
      <c r="D39" s="533" t="s">
        <v>317</v>
      </c>
      <c r="E39" s="534" t="s">
        <v>285</v>
      </c>
      <c r="F39" s="547">
        <v>5</v>
      </c>
      <c r="G39" s="535">
        <v>75000</v>
      </c>
      <c r="H39" s="183">
        <f t="shared" si="1"/>
        <v>375000</v>
      </c>
      <c r="I39" s="240"/>
    </row>
    <row r="40" spans="1:9" ht="15.95" customHeight="1">
      <c r="A40" s="695"/>
      <c r="B40" s="232"/>
      <c r="C40" s="533" t="s">
        <v>318</v>
      </c>
      <c r="D40" s="533" t="s">
        <v>319</v>
      </c>
      <c r="E40" s="534" t="s">
        <v>285</v>
      </c>
      <c r="F40" s="547">
        <v>1</v>
      </c>
      <c r="G40" s="535">
        <v>850000</v>
      </c>
      <c r="H40" s="183">
        <f t="shared" si="1"/>
        <v>850000</v>
      </c>
      <c r="I40" s="240"/>
    </row>
    <row r="41" spans="1:9" ht="15.95" customHeight="1">
      <c r="A41" s="695"/>
      <c r="B41" s="232"/>
      <c r="C41" s="533" t="s">
        <v>320</v>
      </c>
      <c r="D41" s="533"/>
      <c r="E41" s="534" t="s">
        <v>285</v>
      </c>
      <c r="F41" s="547">
        <v>10</v>
      </c>
      <c r="G41" s="535">
        <v>7000</v>
      </c>
      <c r="H41" s="183">
        <f t="shared" si="1"/>
        <v>70000</v>
      </c>
      <c r="I41" s="240"/>
    </row>
    <row r="42" spans="1:9" ht="15.95" customHeight="1">
      <c r="A42" s="695"/>
      <c r="B42" s="232"/>
      <c r="C42" s="533" t="s">
        <v>321</v>
      </c>
      <c r="D42" s="533"/>
      <c r="E42" s="534" t="s">
        <v>285</v>
      </c>
      <c r="F42" s="547">
        <v>1</v>
      </c>
      <c r="G42" s="535">
        <v>100000</v>
      </c>
      <c r="H42" s="183">
        <f t="shared" si="1"/>
        <v>100000</v>
      </c>
      <c r="I42" s="240"/>
    </row>
    <row r="43" spans="1:9" ht="15.95" customHeight="1">
      <c r="A43" s="695"/>
      <c r="B43" s="232"/>
      <c r="C43" s="543" t="s">
        <v>322</v>
      </c>
      <c r="D43" s="543"/>
      <c r="E43" s="544" t="s">
        <v>285</v>
      </c>
      <c r="F43" s="541">
        <v>1</v>
      </c>
      <c r="G43" s="541">
        <v>100000</v>
      </c>
      <c r="H43" s="183">
        <f t="shared" si="1"/>
        <v>100000</v>
      </c>
      <c r="I43" s="240"/>
    </row>
    <row r="44" spans="1:9" ht="15.95" customHeight="1">
      <c r="A44" s="695"/>
      <c r="B44" s="232"/>
      <c r="C44" s="239"/>
      <c r="D44" s="239"/>
      <c r="E44" s="239"/>
      <c r="F44" s="243"/>
      <c r="G44" s="243"/>
      <c r="H44" s="183">
        <f t="shared" si="1"/>
        <v>0</v>
      </c>
      <c r="I44" s="240"/>
    </row>
    <row r="45" spans="1:9" ht="15.95" customHeight="1">
      <c r="A45" s="695"/>
      <c r="B45" s="232"/>
      <c r="C45" s="264"/>
      <c r="D45" s="264"/>
      <c r="E45" s="239"/>
      <c r="F45" s="266"/>
      <c r="G45" s="266"/>
      <c r="H45" s="183">
        <f t="shared" si="1"/>
        <v>0</v>
      </c>
      <c r="I45" s="240"/>
    </row>
    <row r="46" spans="1:9" ht="15.95" customHeight="1">
      <c r="A46" s="695"/>
      <c r="B46" s="232"/>
      <c r="C46" s="536" t="s">
        <v>294</v>
      </c>
      <c r="D46" s="536"/>
      <c r="E46" s="537" t="s">
        <v>293</v>
      </c>
      <c r="F46" s="538">
        <v>1</v>
      </c>
      <c r="G46" s="538">
        <v>0</v>
      </c>
      <c r="H46" s="367">
        <f t="shared" si="1"/>
        <v>0</v>
      </c>
      <c r="I46" s="248"/>
    </row>
    <row r="47" spans="1:9" ht="15.95" customHeight="1">
      <c r="A47" s="695"/>
      <c r="B47" s="249"/>
      <c r="C47" s="250"/>
      <c r="D47" s="251"/>
      <c r="E47" s="251"/>
      <c r="F47" s="253"/>
      <c r="G47" s="253"/>
      <c r="H47" s="254">
        <f>SUM(H31:H46)</f>
        <v>27745000</v>
      </c>
      <c r="I47" s="255"/>
    </row>
    <row r="48" spans="1:9" ht="15.95" customHeight="1">
      <c r="A48" s="695"/>
      <c r="B48" s="276" t="s">
        <v>185</v>
      </c>
      <c r="C48" s="257"/>
      <c r="D48" s="257"/>
      <c r="E48" s="257"/>
      <c r="F48" s="260"/>
      <c r="G48" s="260"/>
      <c r="H48" s="261">
        <f t="shared" si="1"/>
        <v>0</v>
      </c>
      <c r="I48" s="262"/>
    </row>
    <row r="49" spans="1:9" ht="15.95" customHeight="1">
      <c r="A49" s="695"/>
      <c r="B49" s="232"/>
      <c r="C49" s="239"/>
      <c r="D49" s="239"/>
      <c r="E49" s="239"/>
      <c r="F49" s="243"/>
      <c r="G49" s="243"/>
      <c r="H49" s="183">
        <f t="shared" si="1"/>
        <v>0</v>
      </c>
      <c r="I49" s="240"/>
    </row>
    <row r="50" spans="1:9" ht="15.95" customHeight="1">
      <c r="A50" s="695"/>
      <c r="B50" s="232"/>
      <c r="C50" s="239"/>
      <c r="D50" s="239"/>
      <c r="E50" s="239"/>
      <c r="F50" s="243"/>
      <c r="G50" s="243"/>
      <c r="H50" s="183">
        <f t="shared" si="1"/>
        <v>0</v>
      </c>
      <c r="I50" s="240"/>
    </row>
    <row r="51" spans="1:9" ht="15.95" customHeight="1">
      <c r="A51" s="695"/>
      <c r="B51" s="232"/>
      <c r="C51" s="239"/>
      <c r="D51" s="239"/>
      <c r="E51" s="239"/>
      <c r="F51" s="243"/>
      <c r="G51" s="243"/>
      <c r="H51" s="183">
        <f t="shared" si="1"/>
        <v>0</v>
      </c>
      <c r="I51" s="240"/>
    </row>
    <row r="52" spans="1:9" ht="15.95" customHeight="1">
      <c r="A52" s="695"/>
      <c r="B52" s="232"/>
      <c r="C52" s="239"/>
      <c r="D52" s="239"/>
      <c r="E52" s="239"/>
      <c r="F52" s="243"/>
      <c r="G52" s="243"/>
      <c r="H52" s="183">
        <f t="shared" si="1"/>
        <v>0</v>
      </c>
      <c r="I52" s="240"/>
    </row>
    <row r="53" spans="1:9" ht="15.95" customHeight="1">
      <c r="A53" s="695"/>
      <c r="B53" s="232"/>
      <c r="C53" s="239"/>
      <c r="D53" s="239"/>
      <c r="E53" s="239"/>
      <c r="F53" s="243"/>
      <c r="G53" s="243"/>
      <c r="H53" s="183">
        <f t="shared" si="1"/>
        <v>0</v>
      </c>
      <c r="I53" s="240"/>
    </row>
    <row r="54" spans="1:9" ht="15.95" customHeight="1">
      <c r="A54" s="695"/>
      <c r="B54" s="232"/>
      <c r="C54" s="244"/>
      <c r="D54" s="244"/>
      <c r="E54" s="244"/>
      <c r="F54" s="247"/>
      <c r="G54" s="247"/>
      <c r="H54" s="277">
        <f t="shared" si="1"/>
        <v>0</v>
      </c>
      <c r="I54" s="248"/>
    </row>
    <row r="55" spans="1:9" ht="15.95" customHeight="1">
      <c r="A55" s="695"/>
      <c r="B55" s="249"/>
      <c r="C55" s="250"/>
      <c r="D55" s="251"/>
      <c r="E55" s="251"/>
      <c r="F55" s="253"/>
      <c r="G55" s="253"/>
      <c r="H55" s="254">
        <f>SUM(H48:H54)</f>
        <v>0</v>
      </c>
      <c r="I55" s="255"/>
    </row>
    <row r="56" spans="1:9" ht="15.95" customHeight="1">
      <c r="A56" s="278"/>
      <c r="B56" s="279" t="s">
        <v>186</v>
      </c>
      <c r="C56" s="280"/>
      <c r="D56" s="255"/>
      <c r="E56" s="255"/>
      <c r="F56" s="282"/>
      <c r="G56" s="282"/>
      <c r="H56" s="254">
        <f>SUM(H55,H47,H30,H24)</f>
        <v>34545000</v>
      </c>
      <c r="I56" s="255"/>
    </row>
    <row r="57" spans="1:9" ht="15.95" customHeight="1">
      <c r="A57" s="696" t="s">
        <v>187</v>
      </c>
      <c r="B57" s="283" t="s">
        <v>188</v>
      </c>
      <c r="C57" s="280"/>
      <c r="D57" s="284"/>
      <c r="E57" s="311" t="s">
        <v>189</v>
      </c>
      <c r="F57" s="453">
        <v>0</v>
      </c>
      <c r="G57" s="353">
        <v>300000</v>
      </c>
      <c r="H57" s="288">
        <f>F57*G57</f>
        <v>0</v>
      </c>
      <c r="I57" s="255"/>
    </row>
    <row r="58" spans="1:9" ht="15.95" customHeight="1">
      <c r="A58" s="695"/>
      <c r="B58" s="289" t="s">
        <v>190</v>
      </c>
      <c r="C58" s="290"/>
      <c r="D58" s="291"/>
      <c r="E58" s="312" t="s">
        <v>148</v>
      </c>
      <c r="F58" s="449">
        <v>20</v>
      </c>
      <c r="G58" s="352">
        <v>300000</v>
      </c>
      <c r="H58" s="261">
        <f t="shared" ref="H58:H64" si="2">F58*G58</f>
        <v>6000000</v>
      </c>
      <c r="I58" s="262"/>
    </row>
    <row r="59" spans="1:9" ht="15.95" customHeight="1">
      <c r="A59" s="695"/>
      <c r="B59" s="315" t="s">
        <v>191</v>
      </c>
      <c r="C59" s="294"/>
      <c r="D59" s="295"/>
      <c r="E59" s="313" t="s">
        <v>148</v>
      </c>
      <c r="F59" s="448">
        <v>10</v>
      </c>
      <c r="G59" s="350">
        <v>250000</v>
      </c>
      <c r="H59" s="183">
        <f t="shared" si="2"/>
        <v>2500000</v>
      </c>
      <c r="I59" s="240"/>
    </row>
    <row r="60" spans="1:9" ht="15.95" customHeight="1">
      <c r="A60" s="695"/>
      <c r="B60" s="293" t="s">
        <v>192</v>
      </c>
      <c r="C60" s="294"/>
      <c r="D60" s="295"/>
      <c r="E60" s="313" t="s">
        <v>148</v>
      </c>
      <c r="F60" s="448">
        <v>20</v>
      </c>
      <c r="G60" s="350">
        <v>250000</v>
      </c>
      <c r="H60" s="183">
        <f t="shared" si="2"/>
        <v>5000000</v>
      </c>
      <c r="I60" s="240"/>
    </row>
    <row r="61" spans="1:9" ht="15.95" customHeight="1">
      <c r="A61" s="695"/>
      <c r="B61" s="293" t="s">
        <v>193</v>
      </c>
      <c r="C61" s="294"/>
      <c r="D61" s="295"/>
      <c r="E61" s="313" t="s">
        <v>148</v>
      </c>
      <c r="F61" s="448">
        <v>10</v>
      </c>
      <c r="G61" s="350">
        <v>300000</v>
      </c>
      <c r="H61" s="183">
        <f t="shared" si="2"/>
        <v>3000000</v>
      </c>
      <c r="I61" s="240"/>
    </row>
    <row r="62" spans="1:9" ht="15.95" customHeight="1">
      <c r="A62" s="695"/>
      <c r="B62" s="293" t="s">
        <v>194</v>
      </c>
      <c r="C62" s="294"/>
      <c r="D62" s="295"/>
      <c r="E62" s="313" t="s">
        <v>148</v>
      </c>
      <c r="F62" s="448">
        <v>7</v>
      </c>
      <c r="G62" s="350">
        <v>300000</v>
      </c>
      <c r="H62" s="183">
        <f t="shared" si="2"/>
        <v>2100000</v>
      </c>
      <c r="I62" s="240"/>
    </row>
    <row r="63" spans="1:9" ht="15.95" customHeight="1">
      <c r="A63" s="695"/>
      <c r="B63" s="293" t="s">
        <v>195</v>
      </c>
      <c r="C63" s="294"/>
      <c r="D63" s="295"/>
      <c r="E63" s="313" t="s">
        <v>148</v>
      </c>
      <c r="F63" s="448">
        <v>2</v>
      </c>
      <c r="G63" s="350">
        <v>300000</v>
      </c>
      <c r="H63" s="183">
        <f t="shared" si="2"/>
        <v>600000</v>
      </c>
      <c r="I63" s="240"/>
    </row>
    <row r="64" spans="1:9" ht="15.95" customHeight="1">
      <c r="A64" s="695"/>
      <c r="B64" s="297" t="s">
        <v>196</v>
      </c>
      <c r="C64" s="298"/>
      <c r="D64" s="299"/>
      <c r="E64" s="314" t="s">
        <v>148</v>
      </c>
      <c r="F64" s="459">
        <v>0</v>
      </c>
      <c r="G64" s="351">
        <v>250000</v>
      </c>
      <c r="H64" s="277">
        <f t="shared" si="2"/>
        <v>0</v>
      </c>
      <c r="I64" s="248"/>
    </row>
    <row r="65" spans="1:9" ht="15.95" customHeight="1">
      <c r="A65" s="278"/>
      <c r="B65" s="301" t="s">
        <v>197</v>
      </c>
      <c r="C65" s="280"/>
      <c r="D65" s="255"/>
      <c r="E65" s="255"/>
      <c r="F65" s="253"/>
      <c r="G65" s="253"/>
      <c r="H65" s="253">
        <f>SUM(H57:H64)</f>
        <v>19200000</v>
      </c>
      <c r="I65" s="251"/>
    </row>
    <row r="66" spans="1:9" ht="15.95" customHeight="1">
      <c r="A66" s="302"/>
      <c r="B66" s="301" t="s">
        <v>198</v>
      </c>
      <c r="C66" s="280"/>
      <c r="D66" s="255"/>
      <c r="E66" s="255"/>
      <c r="F66" s="254"/>
      <c r="G66" s="254"/>
      <c r="H66" s="282">
        <f>'단위공사별(집계)'!L9+'단위공사별(집계)'!I9</f>
        <v>424908.59574631596</v>
      </c>
      <c r="I66" s="255"/>
    </row>
    <row r="67" spans="1:9" ht="15.95" customHeight="1">
      <c r="A67" s="302"/>
      <c r="B67" s="301" t="s">
        <v>199</v>
      </c>
      <c r="C67" s="280"/>
      <c r="D67" s="255"/>
      <c r="E67" s="255"/>
      <c r="F67" s="254"/>
      <c r="G67" s="304"/>
      <c r="H67" s="305">
        <f>(H65+H56)*0</f>
        <v>0</v>
      </c>
      <c r="I67" s="280"/>
    </row>
    <row r="68" spans="1:9" ht="15.95" customHeight="1">
      <c r="A68" s="302"/>
      <c r="B68" s="301" t="s">
        <v>200</v>
      </c>
      <c r="C68" s="280"/>
      <c r="D68" s="255"/>
      <c r="E68" s="255"/>
      <c r="F68" s="254"/>
      <c r="G68" s="304"/>
      <c r="H68" s="305">
        <f>(H65+H56)*0</f>
        <v>0</v>
      </c>
      <c r="I68" s="280"/>
    </row>
    <row r="69" spans="1:9" ht="15.95" customHeight="1">
      <c r="A69" s="302"/>
      <c r="B69" s="301" t="s">
        <v>201</v>
      </c>
      <c r="C69" s="280"/>
      <c r="D69" s="255"/>
      <c r="E69" s="255"/>
      <c r="F69" s="254"/>
      <c r="G69" s="254"/>
      <c r="H69" s="253">
        <f>H56+H65+H66+H67+H68</f>
        <v>54169908.595746316</v>
      </c>
      <c r="I69" s="255"/>
    </row>
    <row r="70" spans="1:9">
      <c r="A70" s="150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/>
  <ignoredErrors>
    <ignoredError sqref="H24 H30 H47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73"/>
  <sheetViews>
    <sheetView zoomScale="85" zoomScaleNormal="85" workbookViewId="0">
      <pane xSplit="2" ySplit="2" topLeftCell="C3" activePane="bottomRight" state="frozen"/>
      <selection activeCell="L70" sqref="L70"/>
      <selection pane="topRight" activeCell="L70" sqref="L70"/>
      <selection pane="bottomLeft" activeCell="L70" sqref="L70"/>
      <selection pane="bottomRight" activeCell="K29" sqref="K29"/>
    </sheetView>
  </sheetViews>
  <sheetFormatPr defaultRowHeight="13.5"/>
  <cols>
    <col min="1" max="1" width="5" style="133" customWidth="1"/>
    <col min="2" max="2" width="17.875" style="133" bestFit="1" customWidth="1"/>
    <col min="3" max="3" width="23.625" style="133" customWidth="1"/>
    <col min="4" max="4" width="18.25" style="133" customWidth="1"/>
    <col min="5" max="5" width="5.25" style="133" bestFit="1" customWidth="1"/>
    <col min="6" max="6" width="9" style="172"/>
    <col min="7" max="7" width="11.875" style="172" customWidth="1"/>
    <col min="8" max="8" width="13.625" style="172" customWidth="1"/>
    <col min="9" max="9" width="12.75" style="133" customWidth="1"/>
    <col min="10" max="16384" width="9" style="133"/>
  </cols>
  <sheetData>
    <row r="1" spans="1:9" ht="22.5" customHeight="1">
      <c r="B1" s="224" t="s">
        <v>202</v>
      </c>
      <c r="C1" s="454" t="s">
        <v>298</v>
      </c>
      <c r="D1" s="226"/>
      <c r="E1" s="226"/>
      <c r="F1" s="308"/>
      <c r="G1" s="186"/>
      <c r="I1" s="133" t="s">
        <v>203</v>
      </c>
    </row>
    <row r="2" spans="1:9" s="150" customFormat="1" ht="16.5" customHeight="1">
      <c r="A2" s="579" t="s">
        <v>204</v>
      </c>
      <c r="B2" s="690"/>
      <c r="C2" s="141" t="s">
        <v>205</v>
      </c>
      <c r="D2" s="134" t="s">
        <v>206</v>
      </c>
      <c r="E2" s="134" t="s">
        <v>207</v>
      </c>
      <c r="F2" s="281" t="s">
        <v>208</v>
      </c>
      <c r="G2" s="281" t="s">
        <v>209</v>
      </c>
      <c r="H2" s="281" t="s">
        <v>210</v>
      </c>
      <c r="I2" s="134" t="s">
        <v>211</v>
      </c>
    </row>
    <row r="3" spans="1:9" ht="15.95" customHeight="1">
      <c r="A3" s="691" t="s">
        <v>212</v>
      </c>
      <c r="B3" s="232" t="s">
        <v>213</v>
      </c>
      <c r="C3" s="553" t="s">
        <v>301</v>
      </c>
      <c r="D3" s="553" t="s">
        <v>302</v>
      </c>
      <c r="E3" s="552" t="s">
        <v>285</v>
      </c>
      <c r="F3" s="551">
        <v>0</v>
      </c>
      <c r="G3" s="551">
        <v>2000000</v>
      </c>
      <c r="H3" s="367">
        <f>F3*G3</f>
        <v>0</v>
      </c>
      <c r="I3" s="262"/>
    </row>
    <row r="4" spans="1:9" ht="15.95" customHeight="1">
      <c r="A4" s="695"/>
      <c r="B4" s="232"/>
      <c r="C4" s="566" t="s">
        <v>304</v>
      </c>
      <c r="D4" s="553" t="s">
        <v>307</v>
      </c>
      <c r="E4" s="567" t="s">
        <v>285</v>
      </c>
      <c r="F4" s="551">
        <v>0</v>
      </c>
      <c r="G4" s="564">
        <v>2500000</v>
      </c>
      <c r="H4" s="555">
        <f t="shared" ref="H4:H10" si="0">F4*G4</f>
        <v>0</v>
      </c>
      <c r="I4" s="240"/>
    </row>
    <row r="5" spans="1:9" ht="15.95" customHeight="1">
      <c r="A5" s="695"/>
      <c r="B5" s="232"/>
      <c r="C5" s="566" t="s">
        <v>303</v>
      </c>
      <c r="D5" s="566" t="s">
        <v>302</v>
      </c>
      <c r="E5" s="567" t="s">
        <v>285</v>
      </c>
      <c r="F5" s="564">
        <v>0</v>
      </c>
      <c r="G5" s="564">
        <v>1500000</v>
      </c>
      <c r="H5" s="555">
        <f t="shared" si="0"/>
        <v>0</v>
      </c>
      <c r="I5" s="240"/>
    </row>
    <row r="6" spans="1:9" ht="15.95" customHeight="1">
      <c r="A6" s="695"/>
      <c r="B6" s="232"/>
      <c r="C6" s="566" t="s">
        <v>323</v>
      </c>
      <c r="D6" s="566"/>
      <c r="E6" s="567" t="s">
        <v>285</v>
      </c>
      <c r="F6" s="564">
        <v>0</v>
      </c>
      <c r="G6" s="564">
        <v>600000</v>
      </c>
      <c r="H6" s="555">
        <f t="shared" si="0"/>
        <v>0</v>
      </c>
      <c r="I6" s="240"/>
    </row>
    <row r="7" spans="1:9" ht="15.95" customHeight="1">
      <c r="A7" s="695"/>
      <c r="B7" s="232"/>
      <c r="C7" s="566" t="s">
        <v>331</v>
      </c>
      <c r="D7" s="553"/>
      <c r="E7" s="552" t="s">
        <v>306</v>
      </c>
      <c r="F7" s="551">
        <v>1</v>
      </c>
      <c r="G7" s="551">
        <v>2500000</v>
      </c>
      <c r="H7" s="555">
        <f t="shared" si="0"/>
        <v>2500000</v>
      </c>
      <c r="I7" s="240"/>
    </row>
    <row r="8" spans="1:9" s="554" customFormat="1" ht="15.95" customHeight="1">
      <c r="A8" s="695"/>
      <c r="B8" s="556"/>
      <c r="C8" s="566" t="s">
        <v>332</v>
      </c>
      <c r="D8" s="553"/>
      <c r="E8" s="552" t="s">
        <v>306</v>
      </c>
      <c r="F8" s="551">
        <v>1</v>
      </c>
      <c r="G8" s="551">
        <v>1500000</v>
      </c>
      <c r="H8" s="555">
        <f t="shared" si="0"/>
        <v>1500000</v>
      </c>
      <c r="I8" s="559"/>
    </row>
    <row r="9" spans="1:9" ht="15.95" customHeight="1">
      <c r="A9" s="695"/>
      <c r="B9" s="232"/>
      <c r="C9" s="566" t="s">
        <v>327</v>
      </c>
      <c r="D9" s="553"/>
      <c r="E9" s="552" t="s">
        <v>306</v>
      </c>
      <c r="F9" s="551">
        <v>1</v>
      </c>
      <c r="G9" s="551">
        <v>3000000</v>
      </c>
      <c r="H9" s="555">
        <f t="shared" si="0"/>
        <v>3000000</v>
      </c>
      <c r="I9" s="240"/>
    </row>
    <row r="10" spans="1:9" ht="15.95" customHeight="1">
      <c r="A10" s="695"/>
      <c r="B10" s="232"/>
      <c r="C10" s="566" t="s">
        <v>329</v>
      </c>
      <c r="D10" s="553"/>
      <c r="E10" s="552" t="s">
        <v>285</v>
      </c>
      <c r="F10" s="551">
        <v>1</v>
      </c>
      <c r="G10" s="551">
        <v>1300000</v>
      </c>
      <c r="H10" s="555">
        <f t="shared" si="0"/>
        <v>1300000</v>
      </c>
      <c r="I10" s="240"/>
    </row>
    <row r="11" spans="1:9" ht="15.95" customHeight="1">
      <c r="A11" s="695"/>
      <c r="B11" s="232"/>
      <c r="C11" s="239"/>
      <c r="D11" s="239"/>
      <c r="E11" s="239"/>
      <c r="F11" s="243"/>
      <c r="G11" s="243"/>
      <c r="H11" s="183">
        <f t="shared" ref="H11:H57" si="1">IF(F11=0,G11,G11*F11)</f>
        <v>0</v>
      </c>
      <c r="I11" s="240"/>
    </row>
    <row r="12" spans="1:9" ht="15.95" customHeight="1">
      <c r="A12" s="695"/>
      <c r="B12" s="232"/>
      <c r="C12" s="239"/>
      <c r="D12" s="239"/>
      <c r="E12" s="239"/>
      <c r="F12" s="243"/>
      <c r="G12" s="243"/>
      <c r="H12" s="183">
        <f t="shared" si="1"/>
        <v>0</v>
      </c>
      <c r="I12" s="240"/>
    </row>
    <row r="13" spans="1:9" ht="15.95" customHeight="1">
      <c r="A13" s="695"/>
      <c r="B13" s="232"/>
      <c r="C13" s="239"/>
      <c r="D13" s="239"/>
      <c r="E13" s="239"/>
      <c r="F13" s="243"/>
      <c r="G13" s="243"/>
      <c r="H13" s="183">
        <f t="shared" si="1"/>
        <v>0</v>
      </c>
      <c r="I13" s="240"/>
    </row>
    <row r="14" spans="1:9" ht="15.95" customHeight="1">
      <c r="A14" s="695"/>
      <c r="B14" s="232"/>
      <c r="C14" s="239"/>
      <c r="D14" s="239"/>
      <c r="E14" s="239"/>
      <c r="F14" s="243"/>
      <c r="G14" s="243"/>
      <c r="H14" s="183">
        <f t="shared" si="1"/>
        <v>0</v>
      </c>
      <c r="I14" s="240"/>
    </row>
    <row r="15" spans="1:9" ht="15.95" customHeight="1">
      <c r="A15" s="695"/>
      <c r="B15" s="232"/>
      <c r="C15" s="239"/>
      <c r="D15" s="239"/>
      <c r="E15" s="239"/>
      <c r="F15" s="243"/>
      <c r="G15" s="243"/>
      <c r="H15" s="183">
        <f t="shared" si="1"/>
        <v>0</v>
      </c>
      <c r="I15" s="240"/>
    </row>
    <row r="16" spans="1:9" ht="15.95" customHeight="1">
      <c r="A16" s="695"/>
      <c r="B16" s="232"/>
      <c r="C16" s="239"/>
      <c r="D16" s="239"/>
      <c r="E16" s="239"/>
      <c r="F16" s="243"/>
      <c r="G16" s="243"/>
      <c r="H16" s="183">
        <f t="shared" si="1"/>
        <v>0</v>
      </c>
      <c r="I16" s="240"/>
    </row>
    <row r="17" spans="1:9" ht="15.95" customHeight="1">
      <c r="A17" s="695"/>
      <c r="B17" s="232"/>
      <c r="C17" s="239"/>
      <c r="D17" s="239"/>
      <c r="E17" s="239"/>
      <c r="F17" s="243"/>
      <c r="G17" s="243"/>
      <c r="H17" s="183">
        <f t="shared" si="1"/>
        <v>0</v>
      </c>
      <c r="I17" s="240"/>
    </row>
    <row r="18" spans="1:9" ht="15.95" customHeight="1">
      <c r="A18" s="695"/>
      <c r="B18" s="232"/>
      <c r="C18" s="239"/>
      <c r="D18" s="239"/>
      <c r="E18" s="239"/>
      <c r="F18" s="243"/>
      <c r="G18" s="243"/>
      <c r="H18" s="183">
        <f t="shared" si="1"/>
        <v>0</v>
      </c>
      <c r="I18" s="240"/>
    </row>
    <row r="19" spans="1:9" ht="15.95" customHeight="1">
      <c r="A19" s="695"/>
      <c r="B19" s="232"/>
      <c r="C19" s="239"/>
      <c r="D19" s="239"/>
      <c r="E19" s="239"/>
      <c r="F19" s="243"/>
      <c r="G19" s="243"/>
      <c r="H19" s="183">
        <f t="shared" si="1"/>
        <v>0</v>
      </c>
      <c r="I19" s="240"/>
    </row>
    <row r="20" spans="1:9" ht="15.95" customHeight="1">
      <c r="A20" s="695"/>
      <c r="B20" s="232"/>
      <c r="C20" s="239"/>
      <c r="D20" s="239"/>
      <c r="E20" s="239"/>
      <c r="F20" s="243"/>
      <c r="G20" s="243"/>
      <c r="H20" s="183">
        <f t="shared" si="1"/>
        <v>0</v>
      </c>
      <c r="I20" s="240"/>
    </row>
    <row r="21" spans="1:9" ht="15.95" customHeight="1">
      <c r="A21" s="695"/>
      <c r="B21" s="232"/>
      <c r="C21" s="239"/>
      <c r="D21" s="239"/>
      <c r="E21" s="239"/>
      <c r="F21" s="243"/>
      <c r="G21" s="243"/>
      <c r="H21" s="183">
        <f t="shared" si="1"/>
        <v>0</v>
      </c>
      <c r="I21" s="240"/>
    </row>
    <row r="22" spans="1:9" ht="15.95" customHeight="1">
      <c r="A22" s="695"/>
      <c r="B22" s="232"/>
      <c r="C22" s="239"/>
      <c r="D22" s="239"/>
      <c r="E22" s="239"/>
      <c r="F22" s="243"/>
      <c r="G22" s="243"/>
      <c r="H22" s="183">
        <f t="shared" si="1"/>
        <v>0</v>
      </c>
      <c r="I22" s="240"/>
    </row>
    <row r="23" spans="1:9" ht="15.95" customHeight="1">
      <c r="A23" s="695"/>
      <c r="B23" s="232"/>
      <c r="C23" s="239"/>
      <c r="D23" s="239"/>
      <c r="E23" s="239"/>
      <c r="F23" s="243"/>
      <c r="G23" s="243"/>
      <c r="H23" s="183">
        <f t="shared" si="1"/>
        <v>0</v>
      </c>
      <c r="I23" s="240"/>
    </row>
    <row r="24" spans="1:9" ht="15.95" customHeight="1">
      <c r="A24" s="695"/>
      <c r="B24" s="232"/>
      <c r="C24" s="560" t="s">
        <v>294</v>
      </c>
      <c r="D24" s="560"/>
      <c r="E24" s="561" t="s">
        <v>293</v>
      </c>
      <c r="F24" s="562">
        <v>1</v>
      </c>
      <c r="G24" s="562">
        <v>0</v>
      </c>
      <c r="H24" s="267">
        <f t="shared" si="1"/>
        <v>0</v>
      </c>
      <c r="I24" s="268"/>
    </row>
    <row r="25" spans="1:9" ht="15.95" customHeight="1">
      <c r="A25" s="695"/>
      <c r="B25" s="249"/>
      <c r="C25" s="275"/>
      <c r="D25" s="275"/>
      <c r="E25" s="275"/>
      <c r="F25" s="273"/>
      <c r="G25" s="273"/>
      <c r="H25" s="274">
        <f>SUM(H3:H24)</f>
        <v>8300000</v>
      </c>
      <c r="I25" s="275"/>
    </row>
    <row r="26" spans="1:9" ht="15.95" customHeight="1">
      <c r="A26" s="695"/>
      <c r="B26" s="232" t="s">
        <v>172</v>
      </c>
      <c r="C26" s="233"/>
      <c r="D26" s="233"/>
      <c r="E26" s="233"/>
      <c r="F26" s="236"/>
      <c r="G26" s="236"/>
      <c r="H26" s="237">
        <f t="shared" si="1"/>
        <v>0</v>
      </c>
      <c r="I26" s="238"/>
    </row>
    <row r="27" spans="1:9" ht="15.95" customHeight="1">
      <c r="A27" s="695"/>
      <c r="B27" s="232" t="s">
        <v>173</v>
      </c>
      <c r="C27" s="239"/>
      <c r="D27" s="239"/>
      <c r="E27" s="239"/>
      <c r="F27" s="243"/>
      <c r="G27" s="243"/>
      <c r="H27" s="183">
        <f t="shared" si="1"/>
        <v>0</v>
      </c>
      <c r="I27" s="240"/>
    </row>
    <row r="28" spans="1:9" ht="15.95" customHeight="1">
      <c r="A28" s="695"/>
      <c r="B28" s="232"/>
      <c r="C28" s="239"/>
      <c r="D28" s="239"/>
      <c r="E28" s="239"/>
      <c r="F28" s="243"/>
      <c r="G28" s="243"/>
      <c r="H28" s="183">
        <f t="shared" si="1"/>
        <v>0</v>
      </c>
      <c r="I28" s="240"/>
    </row>
    <row r="29" spans="1:9" ht="15.95" customHeight="1">
      <c r="A29" s="695"/>
      <c r="B29" s="232"/>
      <c r="C29" s="239"/>
      <c r="D29" s="239"/>
      <c r="E29" s="239"/>
      <c r="F29" s="243"/>
      <c r="G29" s="243"/>
      <c r="H29" s="183">
        <f t="shared" si="1"/>
        <v>0</v>
      </c>
      <c r="I29" s="240"/>
    </row>
    <row r="30" spans="1:9" ht="15.95" customHeight="1">
      <c r="A30" s="695"/>
      <c r="B30" s="232"/>
      <c r="C30" s="244" t="s">
        <v>214</v>
      </c>
      <c r="D30" s="244"/>
      <c r="E30" s="244"/>
      <c r="F30" s="247"/>
      <c r="G30" s="247"/>
      <c r="H30" s="183">
        <f t="shared" si="1"/>
        <v>0</v>
      </c>
      <c r="I30" s="248"/>
    </row>
    <row r="31" spans="1:9" ht="15.95" customHeight="1">
      <c r="A31" s="695"/>
      <c r="B31" s="249"/>
      <c r="C31" s="250"/>
      <c r="D31" s="251"/>
      <c r="E31" s="251"/>
      <c r="F31" s="310"/>
      <c r="G31" s="253"/>
      <c r="H31" s="254">
        <f>SUM(H26:H30)</f>
        <v>0</v>
      </c>
      <c r="I31" s="255"/>
    </row>
    <row r="32" spans="1:9" ht="15.95" customHeight="1">
      <c r="A32" s="695"/>
      <c r="B32" s="276" t="s">
        <v>174</v>
      </c>
      <c r="C32" s="566" t="s">
        <v>331</v>
      </c>
      <c r="D32" s="553"/>
      <c r="E32" s="552" t="s">
        <v>306</v>
      </c>
      <c r="F32" s="551">
        <v>1</v>
      </c>
      <c r="G32" s="476">
        <v>3000000</v>
      </c>
      <c r="H32" s="261">
        <f t="shared" si="1"/>
        <v>3000000</v>
      </c>
      <c r="I32" s="262"/>
    </row>
    <row r="33" spans="1:9" ht="15.95" customHeight="1">
      <c r="A33" s="695"/>
      <c r="B33" s="232" t="s">
        <v>175</v>
      </c>
      <c r="C33" s="566" t="s">
        <v>332</v>
      </c>
      <c r="D33" s="553"/>
      <c r="E33" s="552" t="s">
        <v>306</v>
      </c>
      <c r="F33" s="551">
        <v>1</v>
      </c>
      <c r="G33" s="446">
        <v>3000000</v>
      </c>
      <c r="H33" s="183">
        <f t="shared" si="1"/>
        <v>3000000</v>
      </c>
      <c r="I33" s="240"/>
    </row>
    <row r="34" spans="1:9" s="554" customFormat="1" ht="15.95" customHeight="1">
      <c r="A34" s="695"/>
      <c r="B34" s="556"/>
      <c r="C34" s="566" t="s">
        <v>327</v>
      </c>
      <c r="D34" s="553"/>
      <c r="E34" s="552" t="s">
        <v>306</v>
      </c>
      <c r="F34" s="551">
        <v>1</v>
      </c>
      <c r="G34" s="446">
        <v>3800000</v>
      </c>
      <c r="H34" s="555">
        <f t="shared" ref="H34" si="2">IF(F34=0,G34,G34*F34)</f>
        <v>3800000</v>
      </c>
      <c r="I34" s="559"/>
    </row>
    <row r="35" spans="1:9" ht="15.95" customHeight="1">
      <c r="A35" s="695"/>
      <c r="B35" s="232"/>
      <c r="C35" s="566" t="s">
        <v>329</v>
      </c>
      <c r="D35" s="553"/>
      <c r="E35" s="552" t="s">
        <v>306</v>
      </c>
      <c r="F35" s="551">
        <v>1</v>
      </c>
      <c r="G35" s="551">
        <v>600000</v>
      </c>
      <c r="H35" s="183">
        <f t="shared" si="1"/>
        <v>600000</v>
      </c>
      <c r="I35" s="240"/>
    </row>
    <row r="36" spans="1:9" ht="15.95" customHeight="1">
      <c r="A36" s="695"/>
      <c r="B36" s="232"/>
      <c r="C36" s="553" t="s">
        <v>330</v>
      </c>
      <c r="D36" s="553"/>
      <c r="E36" s="552" t="s">
        <v>285</v>
      </c>
      <c r="F36" s="551">
        <v>1</v>
      </c>
      <c r="G36" s="551">
        <v>1500000</v>
      </c>
      <c r="H36" s="183">
        <f t="shared" si="1"/>
        <v>1500000</v>
      </c>
      <c r="I36" s="240"/>
    </row>
    <row r="37" spans="1:9" s="490" customFormat="1" ht="15.95" customHeight="1">
      <c r="A37" s="695"/>
      <c r="B37" s="492"/>
      <c r="C37" s="553"/>
      <c r="D37" s="553"/>
      <c r="E37" s="553"/>
      <c r="F37" s="551"/>
      <c r="G37" s="551"/>
      <c r="H37" s="491">
        <f t="shared" si="1"/>
        <v>0</v>
      </c>
      <c r="I37" s="240"/>
    </row>
    <row r="38" spans="1:9" ht="15.95" customHeight="1">
      <c r="A38" s="695"/>
      <c r="B38" s="232"/>
      <c r="C38" s="553"/>
      <c r="D38" s="553"/>
      <c r="E38" s="553"/>
      <c r="F38" s="551"/>
      <c r="G38" s="551"/>
      <c r="H38" s="183">
        <f t="shared" si="1"/>
        <v>0</v>
      </c>
      <c r="I38" s="240"/>
    </row>
    <row r="39" spans="1:9" ht="15.95" customHeight="1">
      <c r="A39" s="695"/>
      <c r="B39" s="232"/>
      <c r="C39" s="566" t="s">
        <v>313</v>
      </c>
      <c r="D39" s="566"/>
      <c r="E39" s="567"/>
      <c r="F39" s="564"/>
      <c r="G39" s="564"/>
      <c r="H39" s="183">
        <f t="shared" si="1"/>
        <v>0</v>
      </c>
      <c r="I39" s="240"/>
    </row>
    <row r="40" spans="1:9" ht="15.95" customHeight="1">
      <c r="A40" s="695"/>
      <c r="B40" s="232"/>
      <c r="C40" s="553" t="s">
        <v>314</v>
      </c>
      <c r="D40" s="553" t="s">
        <v>315</v>
      </c>
      <c r="E40" s="552" t="s">
        <v>285</v>
      </c>
      <c r="F40" s="565">
        <v>1</v>
      </c>
      <c r="G40" s="551">
        <v>350000</v>
      </c>
      <c r="H40" s="491">
        <f t="shared" si="1"/>
        <v>350000</v>
      </c>
      <c r="I40" s="240"/>
    </row>
    <row r="41" spans="1:9" ht="15.95" customHeight="1">
      <c r="A41" s="695"/>
      <c r="B41" s="232"/>
      <c r="C41" s="553" t="s">
        <v>316</v>
      </c>
      <c r="D41" s="553" t="s">
        <v>317</v>
      </c>
      <c r="E41" s="552" t="s">
        <v>285</v>
      </c>
      <c r="F41" s="565">
        <v>3</v>
      </c>
      <c r="G41" s="551">
        <v>75000</v>
      </c>
      <c r="H41" s="491">
        <f t="shared" si="1"/>
        <v>225000</v>
      </c>
      <c r="I41" s="240"/>
    </row>
    <row r="42" spans="1:9" ht="15.95" customHeight="1">
      <c r="A42" s="695"/>
      <c r="B42" s="232"/>
      <c r="C42" s="553" t="s">
        <v>318</v>
      </c>
      <c r="D42" s="553" t="s">
        <v>319</v>
      </c>
      <c r="E42" s="552" t="s">
        <v>285</v>
      </c>
      <c r="F42" s="565">
        <v>1</v>
      </c>
      <c r="G42" s="551">
        <v>850000</v>
      </c>
      <c r="H42" s="491">
        <f t="shared" si="1"/>
        <v>850000</v>
      </c>
      <c r="I42" s="240"/>
    </row>
    <row r="43" spans="1:9" ht="15.95" customHeight="1">
      <c r="A43" s="695"/>
      <c r="B43" s="232"/>
      <c r="C43" s="553" t="s">
        <v>320</v>
      </c>
      <c r="D43" s="553"/>
      <c r="E43" s="552" t="s">
        <v>285</v>
      </c>
      <c r="F43" s="565">
        <v>6</v>
      </c>
      <c r="G43" s="551">
        <v>7000</v>
      </c>
      <c r="H43" s="491">
        <f t="shared" si="1"/>
        <v>42000</v>
      </c>
      <c r="I43" s="240"/>
    </row>
    <row r="44" spans="1:9" ht="15.95" customHeight="1">
      <c r="A44" s="695"/>
      <c r="B44" s="232"/>
      <c r="C44" s="553" t="s">
        <v>321</v>
      </c>
      <c r="D44" s="553"/>
      <c r="E44" s="552" t="s">
        <v>285</v>
      </c>
      <c r="F44" s="565">
        <v>1</v>
      </c>
      <c r="G44" s="551">
        <v>100000</v>
      </c>
      <c r="H44" s="491">
        <f t="shared" si="1"/>
        <v>100000</v>
      </c>
      <c r="I44" s="240"/>
    </row>
    <row r="45" spans="1:9" ht="15.95" customHeight="1">
      <c r="A45" s="695"/>
      <c r="B45" s="232"/>
      <c r="C45" s="566" t="s">
        <v>322</v>
      </c>
      <c r="D45" s="566"/>
      <c r="E45" s="567" t="s">
        <v>285</v>
      </c>
      <c r="F45" s="564">
        <v>1</v>
      </c>
      <c r="G45" s="564">
        <v>100000</v>
      </c>
      <c r="H45" s="491">
        <f t="shared" si="1"/>
        <v>100000</v>
      </c>
      <c r="I45" s="240"/>
    </row>
    <row r="46" spans="1:9" ht="15.95" customHeight="1">
      <c r="A46" s="695"/>
      <c r="B46" s="232"/>
      <c r="C46" s="460"/>
      <c r="D46" s="460"/>
      <c r="E46" s="461"/>
      <c r="F46" s="466"/>
      <c r="G46" s="462"/>
      <c r="H46" s="183">
        <f t="shared" si="1"/>
        <v>0</v>
      </c>
      <c r="I46" s="240"/>
    </row>
    <row r="47" spans="1:9" ht="15.95" customHeight="1">
      <c r="A47" s="695"/>
      <c r="B47" s="232"/>
      <c r="C47" s="464"/>
      <c r="D47" s="464"/>
      <c r="E47" s="465"/>
      <c r="F47" s="463"/>
      <c r="G47" s="463"/>
      <c r="H47" s="183">
        <f t="shared" si="1"/>
        <v>0</v>
      </c>
      <c r="I47" s="240"/>
    </row>
    <row r="48" spans="1:9" ht="15.95" customHeight="1">
      <c r="A48" s="695"/>
      <c r="B48" s="232"/>
      <c r="C48" s="239"/>
      <c r="D48" s="239"/>
      <c r="E48" s="239"/>
      <c r="F48" s="243"/>
      <c r="G48" s="243"/>
      <c r="H48" s="183">
        <f t="shared" si="1"/>
        <v>0</v>
      </c>
      <c r="I48" s="240"/>
    </row>
    <row r="49" spans="1:9" ht="15.95" customHeight="1">
      <c r="A49" s="695"/>
      <c r="B49" s="232"/>
      <c r="C49" s="560" t="s">
        <v>294</v>
      </c>
      <c r="D49" s="560"/>
      <c r="E49" s="561" t="s">
        <v>293</v>
      </c>
      <c r="F49" s="562">
        <v>1</v>
      </c>
      <c r="G49" s="562">
        <v>0</v>
      </c>
      <c r="H49" s="367">
        <f t="shared" si="1"/>
        <v>0</v>
      </c>
      <c r="I49" s="248"/>
    </row>
    <row r="50" spans="1:9" ht="15.95" customHeight="1">
      <c r="A50" s="695"/>
      <c r="B50" s="249"/>
      <c r="C50" s="250"/>
      <c r="D50" s="251"/>
      <c r="E50" s="251"/>
      <c r="F50" s="253"/>
      <c r="G50" s="253"/>
      <c r="H50" s="254">
        <f>SUM(H32:H49)</f>
        <v>13567000</v>
      </c>
      <c r="I50" s="255"/>
    </row>
    <row r="51" spans="1:9" ht="15.95" customHeight="1">
      <c r="A51" s="695"/>
      <c r="B51" s="276" t="s">
        <v>215</v>
      </c>
      <c r="C51" s="257"/>
      <c r="D51" s="257"/>
      <c r="E51" s="257"/>
      <c r="F51" s="260"/>
      <c r="G51" s="260"/>
      <c r="H51" s="261">
        <f t="shared" si="1"/>
        <v>0</v>
      </c>
      <c r="I51" s="262"/>
    </row>
    <row r="52" spans="1:9" ht="15.95" customHeight="1">
      <c r="A52" s="695"/>
      <c r="B52" s="232"/>
      <c r="C52" s="239"/>
      <c r="D52" s="239"/>
      <c r="E52" s="239"/>
      <c r="F52" s="243"/>
      <c r="G52" s="243"/>
      <c r="H52" s="183">
        <f t="shared" si="1"/>
        <v>0</v>
      </c>
      <c r="I52" s="240"/>
    </row>
    <row r="53" spans="1:9" ht="15.95" customHeight="1">
      <c r="A53" s="695"/>
      <c r="B53" s="232"/>
      <c r="C53" s="239"/>
      <c r="D53" s="239"/>
      <c r="E53" s="239"/>
      <c r="F53" s="243"/>
      <c r="G53" s="243"/>
      <c r="H53" s="183">
        <f t="shared" si="1"/>
        <v>0</v>
      </c>
      <c r="I53" s="240"/>
    </row>
    <row r="54" spans="1:9" ht="15.95" customHeight="1">
      <c r="A54" s="695"/>
      <c r="B54" s="232"/>
      <c r="C54" s="239"/>
      <c r="D54" s="239"/>
      <c r="E54" s="239"/>
      <c r="F54" s="243"/>
      <c r="G54" s="243"/>
      <c r="H54" s="183">
        <f t="shared" si="1"/>
        <v>0</v>
      </c>
      <c r="I54" s="240"/>
    </row>
    <row r="55" spans="1:9" ht="15.95" customHeight="1">
      <c r="A55" s="695"/>
      <c r="B55" s="232"/>
      <c r="C55" s="239"/>
      <c r="D55" s="239"/>
      <c r="E55" s="239"/>
      <c r="F55" s="243"/>
      <c r="G55" s="243"/>
      <c r="H55" s="183">
        <f t="shared" si="1"/>
        <v>0</v>
      </c>
      <c r="I55" s="240"/>
    </row>
    <row r="56" spans="1:9" ht="15.95" customHeight="1">
      <c r="A56" s="695"/>
      <c r="B56" s="232"/>
      <c r="C56" s="239"/>
      <c r="D56" s="239"/>
      <c r="E56" s="239"/>
      <c r="F56" s="243"/>
      <c r="G56" s="243"/>
      <c r="H56" s="183">
        <f t="shared" si="1"/>
        <v>0</v>
      </c>
      <c r="I56" s="240"/>
    </row>
    <row r="57" spans="1:9" ht="15.95" customHeight="1">
      <c r="A57" s="695"/>
      <c r="B57" s="232"/>
      <c r="C57" s="244" t="s">
        <v>216</v>
      </c>
      <c r="D57" s="244"/>
      <c r="E57" s="244"/>
      <c r="F57" s="247"/>
      <c r="G57" s="247"/>
      <c r="H57" s="277">
        <f t="shared" si="1"/>
        <v>0</v>
      </c>
      <c r="I57" s="248"/>
    </row>
    <row r="58" spans="1:9" ht="15.95" customHeight="1">
      <c r="A58" s="695"/>
      <c r="B58" s="249"/>
      <c r="C58" s="250"/>
      <c r="D58" s="251"/>
      <c r="E58" s="251"/>
      <c r="F58" s="253"/>
      <c r="G58" s="253"/>
      <c r="H58" s="254">
        <f>SUM(H51:H57)</f>
        <v>0</v>
      </c>
      <c r="I58" s="255"/>
    </row>
    <row r="59" spans="1:9" ht="15.95" customHeight="1">
      <c r="A59" s="278"/>
      <c r="B59" s="279" t="s">
        <v>217</v>
      </c>
      <c r="C59" s="280"/>
      <c r="D59" s="255"/>
      <c r="E59" s="255"/>
      <c r="F59" s="282"/>
      <c r="G59" s="282"/>
      <c r="H59" s="254">
        <f>SUM(H58,H50,H31,H25)</f>
        <v>21867000</v>
      </c>
      <c r="I59" s="255"/>
    </row>
    <row r="60" spans="1:9" ht="15.95" customHeight="1">
      <c r="A60" s="696" t="s">
        <v>218</v>
      </c>
      <c r="B60" s="283" t="s">
        <v>219</v>
      </c>
      <c r="C60" s="280"/>
      <c r="D60" s="284"/>
      <c r="E60" s="311" t="s">
        <v>220</v>
      </c>
      <c r="F60" s="470">
        <v>0</v>
      </c>
      <c r="G60" s="356">
        <v>300000</v>
      </c>
      <c r="H60" s="288">
        <f>F60*G60</f>
        <v>0</v>
      </c>
      <c r="I60" s="255"/>
    </row>
    <row r="61" spans="1:9" ht="15.95" customHeight="1">
      <c r="A61" s="695"/>
      <c r="B61" s="289" t="s">
        <v>221</v>
      </c>
      <c r="C61" s="290"/>
      <c r="D61" s="291"/>
      <c r="E61" s="312" t="s">
        <v>148</v>
      </c>
      <c r="F61" s="471">
        <v>15</v>
      </c>
      <c r="G61" s="357">
        <v>300000</v>
      </c>
      <c r="H61" s="261">
        <f t="shared" ref="H61:H67" si="3">F61*G61</f>
        <v>4500000</v>
      </c>
      <c r="I61" s="262"/>
    </row>
    <row r="62" spans="1:9" ht="15.95" customHeight="1">
      <c r="A62" s="695"/>
      <c r="B62" s="315" t="s">
        <v>222</v>
      </c>
      <c r="C62" s="294"/>
      <c r="D62" s="295"/>
      <c r="E62" s="313" t="s">
        <v>148</v>
      </c>
      <c r="F62" s="469">
        <v>5</v>
      </c>
      <c r="G62" s="355">
        <v>250000</v>
      </c>
      <c r="H62" s="183">
        <f t="shared" si="3"/>
        <v>1250000</v>
      </c>
      <c r="I62" s="240"/>
    </row>
    <row r="63" spans="1:9" ht="15.95" customHeight="1">
      <c r="A63" s="695"/>
      <c r="B63" s="293" t="s">
        <v>223</v>
      </c>
      <c r="C63" s="294"/>
      <c r="D63" s="295"/>
      <c r="E63" s="313" t="s">
        <v>148</v>
      </c>
      <c r="F63" s="469">
        <v>15</v>
      </c>
      <c r="G63" s="355">
        <v>250000</v>
      </c>
      <c r="H63" s="183">
        <f t="shared" si="3"/>
        <v>3750000</v>
      </c>
      <c r="I63" s="240"/>
    </row>
    <row r="64" spans="1:9" ht="15.95" customHeight="1">
      <c r="A64" s="695"/>
      <c r="B64" s="293" t="s">
        <v>224</v>
      </c>
      <c r="C64" s="294"/>
      <c r="D64" s="295"/>
      <c r="E64" s="313" t="s">
        <v>148</v>
      </c>
      <c r="F64" s="469">
        <v>5</v>
      </c>
      <c r="G64" s="354">
        <v>300000</v>
      </c>
      <c r="H64" s="183">
        <f t="shared" si="3"/>
        <v>1500000</v>
      </c>
      <c r="I64" s="240"/>
    </row>
    <row r="65" spans="1:9" ht="15.95" customHeight="1">
      <c r="A65" s="695"/>
      <c r="B65" s="293" t="s">
        <v>225</v>
      </c>
      <c r="C65" s="294"/>
      <c r="D65" s="295"/>
      <c r="E65" s="313" t="s">
        <v>148</v>
      </c>
      <c r="F65" s="467">
        <v>3</v>
      </c>
      <c r="G65" s="354">
        <v>300000</v>
      </c>
      <c r="H65" s="183">
        <f t="shared" si="3"/>
        <v>900000</v>
      </c>
      <c r="I65" s="240"/>
    </row>
    <row r="66" spans="1:9" ht="15.95" customHeight="1">
      <c r="A66" s="695"/>
      <c r="B66" s="293" t="s">
        <v>226</v>
      </c>
      <c r="C66" s="294"/>
      <c r="D66" s="295"/>
      <c r="E66" s="313" t="s">
        <v>148</v>
      </c>
      <c r="F66" s="469">
        <v>2</v>
      </c>
      <c r="G66" s="354">
        <v>300000</v>
      </c>
      <c r="H66" s="183">
        <f t="shared" si="3"/>
        <v>600000</v>
      </c>
      <c r="I66" s="240"/>
    </row>
    <row r="67" spans="1:9" ht="15.95" customHeight="1">
      <c r="A67" s="695"/>
      <c r="B67" s="297" t="s">
        <v>227</v>
      </c>
      <c r="C67" s="298"/>
      <c r="D67" s="299"/>
      <c r="E67" s="314" t="s">
        <v>148</v>
      </c>
      <c r="F67" s="468">
        <v>0</v>
      </c>
      <c r="G67" s="358">
        <v>250000</v>
      </c>
      <c r="H67" s="277">
        <f t="shared" si="3"/>
        <v>0</v>
      </c>
      <c r="I67" s="248"/>
    </row>
    <row r="68" spans="1:9" ht="15.95" customHeight="1">
      <c r="A68" s="278"/>
      <c r="B68" s="301" t="s">
        <v>228</v>
      </c>
      <c r="C68" s="280"/>
      <c r="D68" s="255"/>
      <c r="E68" s="255"/>
      <c r="F68" s="253"/>
      <c r="G68" s="253"/>
      <c r="H68" s="253">
        <f>SUM(H60:H67)</f>
        <v>12500000</v>
      </c>
      <c r="I68" s="251"/>
    </row>
    <row r="69" spans="1:9" ht="15.95" customHeight="1">
      <c r="A69" s="302"/>
      <c r="B69" s="301" t="s">
        <v>229</v>
      </c>
      <c r="C69" s="280"/>
      <c r="D69" s="255"/>
      <c r="E69" s="255"/>
      <c r="F69" s="254"/>
      <c r="G69" s="254"/>
      <c r="H69" s="282">
        <f>'단위공사별(집계)'!L10+'단위공사별(집계)'!I10</f>
        <v>271705.90213068452</v>
      </c>
      <c r="I69" s="255"/>
    </row>
    <row r="70" spans="1:9" ht="15.95" customHeight="1">
      <c r="A70" s="302"/>
      <c r="B70" s="301" t="s">
        <v>230</v>
      </c>
      <c r="C70" s="280"/>
      <c r="D70" s="255"/>
      <c r="E70" s="255"/>
      <c r="F70" s="254"/>
      <c r="G70" s="304"/>
      <c r="H70" s="305">
        <f>(H68+H59)*0</f>
        <v>0</v>
      </c>
      <c r="I70" s="280"/>
    </row>
    <row r="71" spans="1:9" ht="15.95" customHeight="1">
      <c r="A71" s="302"/>
      <c r="B71" s="301" t="s">
        <v>231</v>
      </c>
      <c r="C71" s="280"/>
      <c r="D71" s="255"/>
      <c r="E71" s="255"/>
      <c r="F71" s="254"/>
      <c r="G71" s="304"/>
      <c r="H71" s="305">
        <f>(H68+H59)*0</f>
        <v>0</v>
      </c>
      <c r="I71" s="280"/>
    </row>
    <row r="72" spans="1:9" ht="15.95" customHeight="1">
      <c r="A72" s="302"/>
      <c r="B72" s="301" t="s">
        <v>232</v>
      </c>
      <c r="C72" s="280"/>
      <c r="D72" s="255"/>
      <c r="E72" s="255"/>
      <c r="F72" s="254"/>
      <c r="G72" s="254"/>
      <c r="H72" s="253">
        <f>H59+H68+H69+H70+H71</f>
        <v>34638705.902130686</v>
      </c>
      <c r="I72" s="255"/>
    </row>
    <row r="73" spans="1:9">
      <c r="A73" s="150"/>
    </row>
  </sheetData>
  <mergeCells count="3">
    <mergeCell ref="A2:B2"/>
    <mergeCell ref="A3:A58"/>
    <mergeCell ref="A60:A67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ignoredErrors>
    <ignoredError sqref="H25 H31 H50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71"/>
  <sheetViews>
    <sheetView zoomScale="85" workbookViewId="0">
      <pane xSplit="2" ySplit="2" topLeftCell="C3" activePane="bottomRight" state="frozen"/>
      <selection activeCell="L70" sqref="L70"/>
      <selection pane="topRight" activeCell="L70" sqref="L70"/>
      <selection pane="bottomLeft" activeCell="L70" sqref="L70"/>
      <selection pane="bottomRight" activeCell="J36" sqref="J36"/>
    </sheetView>
  </sheetViews>
  <sheetFormatPr defaultRowHeight="13.5"/>
  <cols>
    <col min="1" max="1" width="5" style="133" customWidth="1"/>
    <col min="2" max="2" width="17.875" style="133" bestFit="1" customWidth="1"/>
    <col min="3" max="3" width="23.625" style="133" customWidth="1"/>
    <col min="4" max="4" width="18.25" style="133" customWidth="1"/>
    <col min="5" max="5" width="5.25" style="133" bestFit="1" customWidth="1"/>
    <col min="6" max="6" width="9" style="172"/>
    <col min="7" max="7" width="11.875" style="172" customWidth="1"/>
    <col min="8" max="8" width="13.625" style="172" customWidth="1"/>
    <col min="9" max="9" width="12.75" style="133" customWidth="1"/>
    <col min="10" max="16384" width="9" style="133"/>
  </cols>
  <sheetData>
    <row r="1" spans="1:9" ht="22.5" customHeight="1">
      <c r="B1" s="224" t="s">
        <v>202</v>
      </c>
      <c r="C1" s="480" t="s">
        <v>299</v>
      </c>
      <c r="D1" s="226"/>
      <c r="E1" s="226"/>
      <c r="F1" s="308"/>
      <c r="G1" s="186"/>
      <c r="I1" s="133" t="s">
        <v>203</v>
      </c>
    </row>
    <row r="2" spans="1:9" s="150" customFormat="1" ht="16.5" customHeight="1">
      <c r="A2" s="579" t="s">
        <v>204</v>
      </c>
      <c r="B2" s="690"/>
      <c r="C2" s="141" t="s">
        <v>205</v>
      </c>
      <c r="D2" s="134" t="s">
        <v>206</v>
      </c>
      <c r="E2" s="134" t="s">
        <v>207</v>
      </c>
      <c r="F2" s="281" t="s">
        <v>208</v>
      </c>
      <c r="G2" s="281" t="s">
        <v>209</v>
      </c>
      <c r="H2" s="281" t="s">
        <v>210</v>
      </c>
      <c r="I2" s="134" t="s">
        <v>211</v>
      </c>
    </row>
    <row r="3" spans="1:9" ht="15.95" customHeight="1">
      <c r="A3" s="691" t="s">
        <v>212</v>
      </c>
      <c r="B3" s="232" t="s">
        <v>213</v>
      </c>
      <c r="C3" s="553" t="s">
        <v>339</v>
      </c>
      <c r="D3" s="553"/>
      <c r="E3" s="552" t="s">
        <v>340</v>
      </c>
      <c r="F3" s="551">
        <v>5</v>
      </c>
      <c r="G3" s="551">
        <v>3000000</v>
      </c>
      <c r="H3" s="481">
        <f>F3*G3</f>
        <v>15000000</v>
      </c>
      <c r="I3" s="262"/>
    </row>
    <row r="4" spans="1:9" ht="15.95" customHeight="1">
      <c r="A4" s="695"/>
      <c r="B4" s="232"/>
      <c r="C4" s="485"/>
      <c r="D4" s="482"/>
      <c r="E4" s="486"/>
      <c r="F4" s="483"/>
      <c r="G4" s="484"/>
      <c r="H4" s="481">
        <v>0</v>
      </c>
      <c r="I4" s="240"/>
    </row>
    <row r="5" spans="1:9" ht="15.95" customHeight="1">
      <c r="A5" s="695"/>
      <c r="B5" s="232"/>
      <c r="C5" s="485"/>
      <c r="D5" s="485"/>
      <c r="E5" s="486"/>
      <c r="F5" s="484"/>
      <c r="G5" s="484"/>
      <c r="H5" s="481">
        <v>0</v>
      </c>
      <c r="I5" s="240"/>
    </row>
    <row r="6" spans="1:9" ht="15.95" customHeight="1">
      <c r="A6" s="695"/>
      <c r="B6" s="232"/>
      <c r="C6" s="482"/>
      <c r="D6" s="482"/>
      <c r="E6" s="486"/>
      <c r="F6" s="487"/>
      <c r="G6" s="484"/>
      <c r="H6" s="491">
        <v>0</v>
      </c>
      <c r="I6" s="240"/>
    </row>
    <row r="7" spans="1:9" ht="15.95" customHeight="1">
      <c r="A7" s="695"/>
      <c r="B7" s="232"/>
      <c r="C7" s="482"/>
      <c r="D7" s="482"/>
      <c r="E7" s="486"/>
      <c r="F7" s="483"/>
      <c r="G7" s="484"/>
      <c r="H7" s="491">
        <v>0</v>
      </c>
      <c r="I7" s="240"/>
    </row>
    <row r="8" spans="1:9" ht="15.95" customHeight="1">
      <c r="A8" s="695"/>
      <c r="B8" s="232"/>
      <c r="C8" s="482"/>
      <c r="D8" s="485"/>
      <c r="E8" s="486"/>
      <c r="F8" s="484"/>
      <c r="G8" s="484"/>
      <c r="H8" s="491">
        <v>0</v>
      </c>
      <c r="I8" s="240"/>
    </row>
    <row r="9" spans="1:9" ht="15.95" customHeight="1">
      <c r="A9" s="695"/>
      <c r="B9" s="232"/>
      <c r="C9" s="239"/>
      <c r="D9" s="239"/>
      <c r="E9" s="239"/>
      <c r="F9" s="243"/>
      <c r="G9" s="243"/>
      <c r="H9" s="491">
        <v>0</v>
      </c>
      <c r="I9" s="240"/>
    </row>
    <row r="10" spans="1:9" ht="15.95" customHeight="1">
      <c r="A10" s="695"/>
      <c r="B10" s="232"/>
      <c r="C10" s="239"/>
      <c r="D10" s="239"/>
      <c r="E10" s="239"/>
      <c r="F10" s="243"/>
      <c r="G10" s="243"/>
      <c r="H10" s="183">
        <f t="shared" ref="H10:H55" si="0">IF(F10=0,G10,G10*F10)</f>
        <v>0</v>
      </c>
      <c r="I10" s="240"/>
    </row>
    <row r="11" spans="1:9" ht="15.95" customHeight="1">
      <c r="A11" s="695"/>
      <c r="B11" s="232"/>
      <c r="C11" s="239"/>
      <c r="D11" s="239"/>
      <c r="E11" s="239"/>
      <c r="F11" s="243"/>
      <c r="G11" s="243"/>
      <c r="H11" s="183">
        <f t="shared" si="0"/>
        <v>0</v>
      </c>
      <c r="I11" s="240"/>
    </row>
    <row r="12" spans="1:9" ht="15.95" customHeight="1">
      <c r="A12" s="695"/>
      <c r="B12" s="232"/>
      <c r="C12" s="239"/>
      <c r="D12" s="239"/>
      <c r="E12" s="239"/>
      <c r="F12" s="243"/>
      <c r="G12" s="243"/>
      <c r="H12" s="183">
        <f t="shared" si="0"/>
        <v>0</v>
      </c>
      <c r="I12" s="240"/>
    </row>
    <row r="13" spans="1:9" ht="15.95" customHeight="1">
      <c r="A13" s="695"/>
      <c r="B13" s="232"/>
      <c r="C13" s="239"/>
      <c r="D13" s="239"/>
      <c r="E13" s="239"/>
      <c r="F13" s="243"/>
      <c r="G13" s="243"/>
      <c r="H13" s="183">
        <f t="shared" si="0"/>
        <v>0</v>
      </c>
      <c r="I13" s="240"/>
    </row>
    <row r="14" spans="1:9" ht="15.95" customHeight="1">
      <c r="A14" s="695"/>
      <c r="B14" s="232"/>
      <c r="C14" s="239"/>
      <c r="D14" s="239"/>
      <c r="E14" s="239"/>
      <c r="F14" s="243"/>
      <c r="G14" s="243"/>
      <c r="H14" s="183">
        <f t="shared" si="0"/>
        <v>0</v>
      </c>
      <c r="I14" s="240"/>
    </row>
    <row r="15" spans="1:9" ht="15.95" customHeight="1">
      <c r="A15" s="695"/>
      <c r="B15" s="232"/>
      <c r="C15" s="239"/>
      <c r="D15" s="239"/>
      <c r="E15" s="239"/>
      <c r="F15" s="243"/>
      <c r="G15" s="243"/>
      <c r="H15" s="183">
        <f t="shared" si="0"/>
        <v>0</v>
      </c>
      <c r="I15" s="240"/>
    </row>
    <row r="16" spans="1:9" ht="15.95" customHeight="1">
      <c r="A16" s="695"/>
      <c r="B16" s="232"/>
      <c r="C16" s="239"/>
      <c r="D16" s="239"/>
      <c r="E16" s="239"/>
      <c r="F16" s="243"/>
      <c r="G16" s="243"/>
      <c r="H16" s="183">
        <f t="shared" si="0"/>
        <v>0</v>
      </c>
      <c r="I16" s="240"/>
    </row>
    <row r="17" spans="1:9" ht="15.95" customHeight="1">
      <c r="A17" s="695"/>
      <c r="B17" s="232"/>
      <c r="C17" s="239"/>
      <c r="D17" s="239"/>
      <c r="E17" s="239"/>
      <c r="F17" s="243"/>
      <c r="G17" s="243"/>
      <c r="H17" s="183">
        <f t="shared" si="0"/>
        <v>0</v>
      </c>
      <c r="I17" s="240"/>
    </row>
    <row r="18" spans="1:9" ht="15.95" customHeight="1">
      <c r="A18" s="695"/>
      <c r="B18" s="232"/>
      <c r="C18" s="239"/>
      <c r="D18" s="239"/>
      <c r="E18" s="239"/>
      <c r="F18" s="243"/>
      <c r="G18" s="243"/>
      <c r="H18" s="183">
        <f t="shared" si="0"/>
        <v>0</v>
      </c>
      <c r="I18" s="240"/>
    </row>
    <row r="19" spans="1:9" ht="15.95" customHeight="1">
      <c r="A19" s="695"/>
      <c r="B19" s="232"/>
      <c r="C19" s="239"/>
      <c r="D19" s="239"/>
      <c r="E19" s="239"/>
      <c r="F19" s="243"/>
      <c r="G19" s="243"/>
      <c r="H19" s="183">
        <f t="shared" si="0"/>
        <v>0</v>
      </c>
      <c r="I19" s="240"/>
    </row>
    <row r="20" spans="1:9" ht="15.95" customHeight="1">
      <c r="A20" s="695"/>
      <c r="B20" s="232"/>
      <c r="C20" s="239"/>
      <c r="D20" s="239"/>
      <c r="E20" s="239"/>
      <c r="F20" s="243"/>
      <c r="G20" s="243"/>
      <c r="H20" s="183">
        <f t="shared" si="0"/>
        <v>0</v>
      </c>
      <c r="I20" s="240"/>
    </row>
    <row r="21" spans="1:9" ht="15.95" customHeight="1">
      <c r="A21" s="695"/>
      <c r="B21" s="232"/>
      <c r="C21" s="239"/>
      <c r="D21" s="239"/>
      <c r="E21" s="239"/>
      <c r="F21" s="243"/>
      <c r="G21" s="243"/>
      <c r="H21" s="183">
        <f t="shared" si="0"/>
        <v>0</v>
      </c>
      <c r="I21" s="240"/>
    </row>
    <row r="22" spans="1:9" ht="15.95" customHeight="1">
      <c r="A22" s="695"/>
      <c r="B22" s="232"/>
      <c r="C22" s="239"/>
      <c r="D22" s="239"/>
      <c r="E22" s="239"/>
      <c r="F22" s="243"/>
      <c r="G22" s="243"/>
      <c r="H22" s="183">
        <f t="shared" si="0"/>
        <v>0</v>
      </c>
      <c r="I22" s="240"/>
    </row>
    <row r="23" spans="1:9" ht="15.95" customHeight="1">
      <c r="A23" s="695"/>
      <c r="B23" s="232"/>
      <c r="C23" s="244" t="s">
        <v>214</v>
      </c>
      <c r="D23" s="264"/>
      <c r="E23" s="489" t="s">
        <v>285</v>
      </c>
      <c r="F23" s="488"/>
      <c r="G23" s="488"/>
      <c r="H23" s="267">
        <f t="shared" si="0"/>
        <v>0</v>
      </c>
      <c r="I23" s="268"/>
    </row>
    <row r="24" spans="1:9" ht="15.95" customHeight="1">
      <c r="A24" s="695"/>
      <c r="B24" s="249"/>
      <c r="C24" s="275"/>
      <c r="D24" s="275"/>
      <c r="E24" s="275"/>
      <c r="F24" s="273"/>
      <c r="G24" s="273"/>
      <c r="H24" s="274">
        <f>SUM(H3:H23)</f>
        <v>15000000</v>
      </c>
      <c r="I24" s="275"/>
    </row>
    <row r="25" spans="1:9" ht="15.95" customHeight="1">
      <c r="A25" s="695"/>
      <c r="B25" s="232" t="s">
        <v>172</v>
      </c>
      <c r="C25" s="233"/>
      <c r="D25" s="233"/>
      <c r="E25" s="233"/>
      <c r="F25" s="236"/>
      <c r="G25" s="236"/>
      <c r="H25" s="237">
        <f t="shared" si="0"/>
        <v>0</v>
      </c>
      <c r="I25" s="238"/>
    </row>
    <row r="26" spans="1:9" ht="15.95" customHeight="1">
      <c r="A26" s="695"/>
      <c r="B26" s="232" t="s">
        <v>173</v>
      </c>
      <c r="C26" s="239"/>
      <c r="D26" s="239"/>
      <c r="E26" s="239"/>
      <c r="F26" s="243"/>
      <c r="G26" s="243"/>
      <c r="H26" s="183">
        <f t="shared" si="0"/>
        <v>0</v>
      </c>
      <c r="I26" s="240"/>
    </row>
    <row r="27" spans="1:9" ht="15.95" customHeight="1">
      <c r="A27" s="695"/>
      <c r="B27" s="232"/>
      <c r="C27" s="239"/>
      <c r="D27" s="239"/>
      <c r="E27" s="239"/>
      <c r="F27" s="243"/>
      <c r="G27" s="243"/>
      <c r="H27" s="183">
        <f t="shared" si="0"/>
        <v>0</v>
      </c>
      <c r="I27" s="240"/>
    </row>
    <row r="28" spans="1:9" ht="15.95" customHeight="1">
      <c r="A28" s="695"/>
      <c r="B28" s="232"/>
      <c r="C28" s="239"/>
      <c r="D28" s="239"/>
      <c r="E28" s="239"/>
      <c r="F28" s="243"/>
      <c r="G28" s="243"/>
      <c r="H28" s="183">
        <f t="shared" si="0"/>
        <v>0</v>
      </c>
      <c r="I28" s="240"/>
    </row>
    <row r="29" spans="1:9" ht="15.95" customHeight="1">
      <c r="A29" s="695"/>
      <c r="B29" s="232"/>
      <c r="C29" s="244" t="s">
        <v>214</v>
      </c>
      <c r="D29" s="244"/>
      <c r="E29" s="244"/>
      <c r="F29" s="247"/>
      <c r="G29" s="247"/>
      <c r="H29" s="183">
        <f t="shared" si="0"/>
        <v>0</v>
      </c>
      <c r="I29" s="248"/>
    </row>
    <row r="30" spans="1:9" ht="15.95" customHeight="1">
      <c r="A30" s="695"/>
      <c r="B30" s="249"/>
      <c r="C30" s="250"/>
      <c r="D30" s="251"/>
      <c r="E30" s="251"/>
      <c r="F30" s="310"/>
      <c r="G30" s="253"/>
      <c r="H30" s="254">
        <f>SUM(H25:H29)</f>
        <v>0</v>
      </c>
      <c r="I30" s="255"/>
    </row>
    <row r="31" spans="1:9" ht="15.95" customHeight="1">
      <c r="A31" s="695"/>
      <c r="B31" s="276" t="s">
        <v>174</v>
      </c>
      <c r="C31" s="553" t="s">
        <v>341</v>
      </c>
      <c r="D31" s="553"/>
      <c r="E31" s="552" t="s">
        <v>340</v>
      </c>
      <c r="F31" s="551">
        <v>5</v>
      </c>
      <c r="G31" s="551">
        <v>800000</v>
      </c>
      <c r="H31" s="491">
        <f>F31*G31</f>
        <v>4000000</v>
      </c>
      <c r="I31" s="262"/>
    </row>
    <row r="32" spans="1:9" ht="15.95" customHeight="1">
      <c r="A32" s="695"/>
      <c r="B32" s="232" t="s">
        <v>175</v>
      </c>
      <c r="C32" s="493"/>
      <c r="D32" s="493"/>
      <c r="E32" s="494"/>
      <c r="F32" s="495"/>
      <c r="G32" s="495"/>
      <c r="H32" s="491">
        <v>0</v>
      </c>
      <c r="I32" s="240"/>
    </row>
    <row r="33" spans="1:9" ht="15.95" customHeight="1">
      <c r="A33" s="695"/>
      <c r="B33" s="232"/>
      <c r="C33" s="493"/>
      <c r="D33" s="493"/>
      <c r="E33" s="493"/>
      <c r="F33" s="495"/>
      <c r="G33" s="495"/>
      <c r="H33" s="491">
        <v>0</v>
      </c>
      <c r="I33" s="240"/>
    </row>
    <row r="34" spans="1:9" ht="15.95" customHeight="1">
      <c r="A34" s="695"/>
      <c r="B34" s="232"/>
      <c r="C34" s="493"/>
      <c r="D34" s="493"/>
      <c r="E34" s="493"/>
      <c r="F34" s="495"/>
      <c r="G34" s="495"/>
      <c r="H34" s="491">
        <v>0</v>
      </c>
      <c r="I34" s="240"/>
    </row>
    <row r="35" spans="1:9" ht="15.95" customHeight="1">
      <c r="A35" s="695"/>
      <c r="B35" s="232"/>
      <c r="C35" s="493"/>
      <c r="D35" s="493"/>
      <c r="E35" s="493"/>
      <c r="F35" s="495"/>
      <c r="G35" s="495"/>
      <c r="H35" s="491">
        <v>0</v>
      </c>
      <c r="I35" s="240"/>
    </row>
    <row r="36" spans="1:9" ht="15.95" customHeight="1">
      <c r="A36" s="695"/>
      <c r="B36" s="232"/>
      <c r="C36" s="498"/>
      <c r="D36" s="498"/>
      <c r="E36" s="499"/>
      <c r="F36" s="497"/>
      <c r="G36" s="497"/>
      <c r="H36" s="491">
        <v>0</v>
      </c>
      <c r="I36" s="240"/>
    </row>
    <row r="37" spans="1:9" ht="15.95" customHeight="1">
      <c r="A37" s="695"/>
      <c r="B37" s="232"/>
      <c r="C37" s="493"/>
      <c r="D37" s="493"/>
      <c r="E37" s="494"/>
      <c r="F37" s="500"/>
      <c r="G37" s="495"/>
      <c r="H37" s="491">
        <v>0</v>
      </c>
      <c r="I37" s="240"/>
    </row>
    <row r="38" spans="1:9" ht="15.95" customHeight="1">
      <c r="A38" s="695"/>
      <c r="B38" s="232"/>
      <c r="C38" s="493"/>
      <c r="D38" s="493"/>
      <c r="E38" s="494"/>
      <c r="F38" s="500"/>
      <c r="G38" s="495"/>
      <c r="H38" s="491">
        <v>0</v>
      </c>
      <c r="I38" s="240"/>
    </row>
    <row r="39" spans="1:9" ht="15.95" customHeight="1">
      <c r="A39" s="695"/>
      <c r="B39" s="232"/>
      <c r="C39" s="493"/>
      <c r="D39" s="493"/>
      <c r="E39" s="494"/>
      <c r="F39" s="500"/>
      <c r="G39" s="495"/>
      <c r="H39" s="491">
        <v>0</v>
      </c>
      <c r="I39" s="240"/>
    </row>
    <row r="40" spans="1:9" ht="15.95" customHeight="1">
      <c r="A40" s="695"/>
      <c r="B40" s="232"/>
      <c r="C40" s="493"/>
      <c r="D40" s="493"/>
      <c r="E40" s="494"/>
      <c r="F40" s="500"/>
      <c r="G40" s="495"/>
      <c r="H40" s="491">
        <v>0</v>
      </c>
      <c r="I40" s="240"/>
    </row>
    <row r="41" spans="1:9" ht="15.95" customHeight="1">
      <c r="A41" s="695"/>
      <c r="B41" s="232"/>
      <c r="C41" s="493"/>
      <c r="D41" s="493"/>
      <c r="E41" s="494"/>
      <c r="F41" s="500"/>
      <c r="G41" s="495"/>
      <c r="H41" s="491">
        <v>0</v>
      </c>
      <c r="I41" s="240"/>
    </row>
    <row r="42" spans="1:9" ht="15.95" customHeight="1">
      <c r="A42" s="695"/>
      <c r="B42" s="232"/>
      <c r="C42" s="493"/>
      <c r="D42" s="493"/>
      <c r="E42" s="494"/>
      <c r="F42" s="500"/>
      <c r="G42" s="495"/>
      <c r="H42" s="491">
        <v>0</v>
      </c>
      <c r="I42" s="240"/>
    </row>
    <row r="43" spans="1:9" ht="15.95" customHeight="1">
      <c r="A43" s="695"/>
      <c r="B43" s="232"/>
      <c r="C43" s="493"/>
      <c r="D43" s="493"/>
      <c r="E43" s="494"/>
      <c r="F43" s="500"/>
      <c r="G43" s="495"/>
      <c r="H43" s="491">
        <v>0</v>
      </c>
      <c r="I43" s="240"/>
    </row>
    <row r="44" spans="1:9" ht="15.95" customHeight="1">
      <c r="A44" s="695"/>
      <c r="B44" s="232"/>
      <c r="C44" s="493"/>
      <c r="D44" s="493"/>
      <c r="E44" s="494"/>
      <c r="F44" s="500"/>
      <c r="G44" s="495"/>
      <c r="H44" s="491">
        <v>0</v>
      </c>
      <c r="I44" s="240"/>
    </row>
    <row r="45" spans="1:9" ht="15.95" customHeight="1">
      <c r="A45" s="695"/>
      <c r="B45" s="232"/>
      <c r="C45" s="498"/>
      <c r="D45" s="498"/>
      <c r="E45" s="499"/>
      <c r="F45" s="497"/>
      <c r="G45" s="497"/>
      <c r="H45" s="491">
        <v>0</v>
      </c>
      <c r="I45" s="240"/>
    </row>
    <row r="46" spans="1:9" s="490" customFormat="1" ht="15.95" customHeight="1">
      <c r="A46" s="695"/>
      <c r="B46" s="492"/>
      <c r="C46" s="428"/>
      <c r="D46" s="428"/>
      <c r="E46" s="442"/>
      <c r="F46" s="444"/>
      <c r="G46" s="444"/>
      <c r="H46" s="491"/>
      <c r="I46" s="496"/>
    </row>
    <row r="47" spans="1:9" ht="15.95" customHeight="1">
      <c r="A47" s="695"/>
      <c r="B47" s="232"/>
      <c r="C47" s="359" t="s">
        <v>286</v>
      </c>
      <c r="D47" s="359"/>
      <c r="E47" s="360" t="s">
        <v>285</v>
      </c>
      <c r="F47" s="501"/>
      <c r="G47" s="501"/>
      <c r="H47" s="367">
        <f t="shared" si="0"/>
        <v>0</v>
      </c>
      <c r="I47" s="248"/>
    </row>
    <row r="48" spans="1:9" ht="15.95" customHeight="1">
      <c r="A48" s="695"/>
      <c r="B48" s="249"/>
      <c r="C48" s="250"/>
      <c r="D48" s="251"/>
      <c r="E48" s="251"/>
      <c r="F48" s="253"/>
      <c r="G48" s="253"/>
      <c r="H48" s="254">
        <f>SUM(H31:H47)</f>
        <v>4000000</v>
      </c>
      <c r="I48" s="255"/>
    </row>
    <row r="49" spans="1:9" ht="15.95" customHeight="1">
      <c r="A49" s="695"/>
      <c r="B49" s="276" t="s">
        <v>215</v>
      </c>
      <c r="C49" s="257"/>
      <c r="D49" s="257"/>
      <c r="E49" s="257"/>
      <c r="F49" s="260"/>
      <c r="G49" s="260"/>
      <c r="H49" s="261">
        <f t="shared" si="0"/>
        <v>0</v>
      </c>
      <c r="I49" s="262"/>
    </row>
    <row r="50" spans="1:9" ht="15.95" customHeight="1">
      <c r="A50" s="695"/>
      <c r="B50" s="232"/>
      <c r="C50" s="239"/>
      <c r="D50" s="239"/>
      <c r="E50" s="239"/>
      <c r="F50" s="243"/>
      <c r="G50" s="243"/>
      <c r="H50" s="183">
        <f t="shared" si="0"/>
        <v>0</v>
      </c>
      <c r="I50" s="240"/>
    </row>
    <row r="51" spans="1:9" ht="15.95" customHeight="1">
      <c r="A51" s="695"/>
      <c r="B51" s="232"/>
      <c r="C51" s="239"/>
      <c r="D51" s="239"/>
      <c r="E51" s="239"/>
      <c r="F51" s="243"/>
      <c r="G51" s="243"/>
      <c r="H51" s="183">
        <f t="shared" si="0"/>
        <v>0</v>
      </c>
      <c r="I51" s="240"/>
    </row>
    <row r="52" spans="1:9" ht="15.95" customHeight="1">
      <c r="A52" s="695"/>
      <c r="B52" s="232"/>
      <c r="C52" s="239"/>
      <c r="D52" s="239"/>
      <c r="E52" s="239"/>
      <c r="F52" s="243"/>
      <c r="G52" s="243"/>
      <c r="H52" s="183">
        <f t="shared" si="0"/>
        <v>0</v>
      </c>
      <c r="I52" s="240"/>
    </row>
    <row r="53" spans="1:9" ht="15.95" customHeight="1">
      <c r="A53" s="695"/>
      <c r="B53" s="232"/>
      <c r="C53" s="239"/>
      <c r="D53" s="239"/>
      <c r="E53" s="239"/>
      <c r="F53" s="243"/>
      <c r="G53" s="243"/>
      <c r="H53" s="183">
        <f t="shared" si="0"/>
        <v>0</v>
      </c>
      <c r="I53" s="240"/>
    </row>
    <row r="54" spans="1:9" ht="15.95" customHeight="1">
      <c r="A54" s="695"/>
      <c r="B54" s="232"/>
      <c r="C54" s="239"/>
      <c r="D54" s="239"/>
      <c r="E54" s="239"/>
      <c r="F54" s="243"/>
      <c r="G54" s="243"/>
      <c r="H54" s="183">
        <f t="shared" si="0"/>
        <v>0</v>
      </c>
      <c r="I54" s="240"/>
    </row>
    <row r="55" spans="1:9" ht="15.95" customHeight="1">
      <c r="A55" s="695"/>
      <c r="B55" s="232"/>
      <c r="C55" s="244" t="s">
        <v>216</v>
      </c>
      <c r="D55" s="244"/>
      <c r="E55" s="244"/>
      <c r="F55" s="247"/>
      <c r="G55" s="247"/>
      <c r="H55" s="277">
        <f t="shared" si="0"/>
        <v>0</v>
      </c>
      <c r="I55" s="248"/>
    </row>
    <row r="56" spans="1:9" ht="15.95" customHeight="1">
      <c r="A56" s="695"/>
      <c r="B56" s="249"/>
      <c r="C56" s="250"/>
      <c r="D56" s="251"/>
      <c r="E56" s="251"/>
      <c r="F56" s="253"/>
      <c r="G56" s="253"/>
      <c r="H56" s="254">
        <f>SUM(H49:H55)</f>
        <v>0</v>
      </c>
      <c r="I56" s="255"/>
    </row>
    <row r="57" spans="1:9" ht="15.95" customHeight="1">
      <c r="A57" s="278"/>
      <c r="B57" s="279" t="s">
        <v>217</v>
      </c>
      <c r="C57" s="280"/>
      <c r="D57" s="255"/>
      <c r="E57" s="255"/>
      <c r="F57" s="282"/>
      <c r="G57" s="282"/>
      <c r="H57" s="254">
        <f>SUM(H56,H48,H30,H24)</f>
        <v>19000000</v>
      </c>
      <c r="I57" s="255"/>
    </row>
    <row r="58" spans="1:9" ht="15.95" customHeight="1">
      <c r="A58" s="696" t="s">
        <v>218</v>
      </c>
      <c r="B58" s="283" t="s">
        <v>219</v>
      </c>
      <c r="C58" s="280"/>
      <c r="D58" s="284"/>
      <c r="E58" s="311" t="s">
        <v>220</v>
      </c>
      <c r="F58" s="508">
        <v>0</v>
      </c>
      <c r="G58" s="363">
        <v>300000</v>
      </c>
      <c r="H58" s="288">
        <f>F58*G58</f>
        <v>0</v>
      </c>
      <c r="I58" s="255"/>
    </row>
    <row r="59" spans="1:9" ht="15.95" customHeight="1">
      <c r="A59" s="695"/>
      <c r="B59" s="289" t="s">
        <v>221</v>
      </c>
      <c r="C59" s="290"/>
      <c r="D59" s="291"/>
      <c r="E59" s="312" t="s">
        <v>148</v>
      </c>
      <c r="F59" s="509">
        <v>1</v>
      </c>
      <c r="G59" s="364">
        <v>300000</v>
      </c>
      <c r="H59" s="261">
        <f t="shared" ref="H59:H65" si="1">F59*G59</f>
        <v>300000</v>
      </c>
      <c r="I59" s="262"/>
    </row>
    <row r="60" spans="1:9" ht="15.95" customHeight="1">
      <c r="A60" s="695"/>
      <c r="B60" s="315" t="s">
        <v>222</v>
      </c>
      <c r="C60" s="294"/>
      <c r="D60" s="295"/>
      <c r="E60" s="313" t="s">
        <v>148</v>
      </c>
      <c r="F60" s="507">
        <v>1</v>
      </c>
      <c r="G60" s="362">
        <v>250000</v>
      </c>
      <c r="H60" s="183">
        <f t="shared" si="1"/>
        <v>250000</v>
      </c>
      <c r="I60" s="240"/>
    </row>
    <row r="61" spans="1:9" ht="15.95" customHeight="1">
      <c r="A61" s="695"/>
      <c r="B61" s="293" t="s">
        <v>223</v>
      </c>
      <c r="C61" s="294"/>
      <c r="D61" s="295"/>
      <c r="E61" s="313" t="s">
        <v>148</v>
      </c>
      <c r="F61" s="507">
        <v>2</v>
      </c>
      <c r="G61" s="362">
        <v>250000</v>
      </c>
      <c r="H61" s="183">
        <f t="shared" si="1"/>
        <v>500000</v>
      </c>
      <c r="I61" s="240"/>
    </row>
    <row r="62" spans="1:9" ht="15.95" customHeight="1">
      <c r="A62" s="695"/>
      <c r="B62" s="293" t="s">
        <v>224</v>
      </c>
      <c r="C62" s="294"/>
      <c r="D62" s="295"/>
      <c r="E62" s="313" t="s">
        <v>148</v>
      </c>
      <c r="F62" s="507">
        <v>2</v>
      </c>
      <c r="G62" s="361">
        <v>300000</v>
      </c>
      <c r="H62" s="183">
        <f t="shared" si="1"/>
        <v>600000</v>
      </c>
      <c r="I62" s="240"/>
    </row>
    <row r="63" spans="1:9" ht="15.95" customHeight="1">
      <c r="A63" s="695"/>
      <c r="B63" s="293" t="s">
        <v>225</v>
      </c>
      <c r="C63" s="294"/>
      <c r="D63" s="295"/>
      <c r="E63" s="313" t="s">
        <v>148</v>
      </c>
      <c r="F63" s="502">
        <v>2</v>
      </c>
      <c r="G63" s="361">
        <v>300000</v>
      </c>
      <c r="H63" s="183">
        <f t="shared" si="1"/>
        <v>600000</v>
      </c>
      <c r="I63" s="240"/>
    </row>
    <row r="64" spans="1:9" ht="15.95" customHeight="1">
      <c r="A64" s="695"/>
      <c r="B64" s="293" t="s">
        <v>226</v>
      </c>
      <c r="C64" s="294"/>
      <c r="D64" s="295"/>
      <c r="E64" s="313" t="s">
        <v>148</v>
      </c>
      <c r="F64" s="507">
        <v>0</v>
      </c>
      <c r="G64" s="361">
        <v>300000</v>
      </c>
      <c r="H64" s="183">
        <f t="shared" si="1"/>
        <v>0</v>
      </c>
      <c r="I64" s="240"/>
    </row>
    <row r="65" spans="1:9" ht="15.95" customHeight="1">
      <c r="A65" s="695"/>
      <c r="B65" s="297" t="s">
        <v>227</v>
      </c>
      <c r="C65" s="298"/>
      <c r="D65" s="299"/>
      <c r="E65" s="314" t="s">
        <v>148</v>
      </c>
      <c r="F65" s="503">
        <v>0</v>
      </c>
      <c r="G65" s="365">
        <v>250000</v>
      </c>
      <c r="H65" s="277">
        <f t="shared" si="1"/>
        <v>0</v>
      </c>
      <c r="I65" s="248"/>
    </row>
    <row r="66" spans="1:9" ht="15.95" customHeight="1">
      <c r="A66" s="278"/>
      <c r="B66" s="301" t="s">
        <v>228</v>
      </c>
      <c r="C66" s="280"/>
      <c r="D66" s="255"/>
      <c r="E66" s="255"/>
      <c r="F66" s="253"/>
      <c r="G66" s="253"/>
      <c r="H66" s="253">
        <f>SUM(H58:H65)</f>
        <v>2250000</v>
      </c>
      <c r="I66" s="251"/>
    </row>
    <row r="67" spans="1:9" ht="15.95" customHeight="1">
      <c r="A67" s="302"/>
      <c r="B67" s="301" t="s">
        <v>229</v>
      </c>
      <c r="C67" s="280"/>
      <c r="D67" s="255"/>
      <c r="E67" s="255"/>
      <c r="F67" s="254"/>
      <c r="G67" s="254"/>
      <c r="H67" s="282">
        <f>'단위공사별(집계)'!I11+'단위공사별(집계)'!L11</f>
        <v>168002.74741109338</v>
      </c>
      <c r="I67" s="255"/>
    </row>
    <row r="68" spans="1:9" ht="15.95" customHeight="1">
      <c r="A68" s="302"/>
      <c r="B68" s="301" t="s">
        <v>230</v>
      </c>
      <c r="C68" s="280"/>
      <c r="D68" s="255"/>
      <c r="E68" s="255"/>
      <c r="F68" s="254"/>
      <c r="G68" s="304"/>
      <c r="H68" s="363">
        <f>(H66+H57)*0</f>
        <v>0</v>
      </c>
      <c r="I68" s="280"/>
    </row>
    <row r="69" spans="1:9" ht="15.95" customHeight="1">
      <c r="A69" s="302"/>
      <c r="B69" s="301" t="s">
        <v>231</v>
      </c>
      <c r="C69" s="280"/>
      <c r="D69" s="255"/>
      <c r="E69" s="255"/>
      <c r="F69" s="254"/>
      <c r="G69" s="304"/>
      <c r="H69" s="363">
        <f>(H66+H57)*0</f>
        <v>0</v>
      </c>
      <c r="I69" s="280"/>
    </row>
    <row r="70" spans="1:9" ht="15.95" customHeight="1">
      <c r="A70" s="302"/>
      <c r="B70" s="301" t="s">
        <v>232</v>
      </c>
      <c r="C70" s="280"/>
      <c r="D70" s="255"/>
      <c r="E70" s="255"/>
      <c r="F70" s="254"/>
      <c r="G70" s="254"/>
      <c r="H70" s="253">
        <f>H57+H66+H67+H68+H69</f>
        <v>21418002.747411095</v>
      </c>
      <c r="I70" s="255"/>
    </row>
    <row r="71" spans="1:9">
      <c r="A71" s="150"/>
    </row>
  </sheetData>
  <mergeCells count="3">
    <mergeCell ref="A2:B2"/>
    <mergeCell ref="A3:A56"/>
    <mergeCell ref="A58:A6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ignoredErrors>
    <ignoredError sqref="H24 H30 H48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L70" sqref="L70"/>
      <selection pane="topRight" activeCell="L70" sqref="L70"/>
      <selection pane="bottomLeft" activeCell="L70" sqref="L70"/>
      <selection pane="bottomRight" activeCell="K73" sqref="K73"/>
    </sheetView>
  </sheetViews>
  <sheetFormatPr defaultRowHeight="13.5"/>
  <cols>
    <col min="1" max="1" width="5" style="133" customWidth="1"/>
    <col min="2" max="2" width="17.875" style="133" bestFit="1" customWidth="1"/>
    <col min="3" max="3" width="23.625" style="133" customWidth="1"/>
    <col min="4" max="4" width="18.25" style="133" customWidth="1"/>
    <col min="5" max="5" width="5.25" style="133" bestFit="1" customWidth="1"/>
    <col min="6" max="6" width="9" style="172"/>
    <col min="7" max="7" width="11.875" style="172" customWidth="1"/>
    <col min="8" max="8" width="13.625" style="172" customWidth="1"/>
    <col min="9" max="9" width="12.75" style="133" customWidth="1"/>
    <col min="10" max="16384" width="9" style="133"/>
  </cols>
  <sheetData>
    <row r="1" spans="1:9" ht="22.5" customHeight="1">
      <c r="B1" s="224" t="s">
        <v>202</v>
      </c>
      <c r="C1" s="366" t="s">
        <v>300</v>
      </c>
      <c r="D1" s="226"/>
      <c r="E1" s="226"/>
      <c r="F1" s="308"/>
      <c r="G1" s="186"/>
      <c r="I1" s="133" t="s">
        <v>203</v>
      </c>
    </row>
    <row r="2" spans="1:9" s="150" customFormat="1" ht="16.5" customHeight="1">
      <c r="A2" s="579" t="s">
        <v>204</v>
      </c>
      <c r="B2" s="690"/>
      <c r="C2" s="141" t="s">
        <v>205</v>
      </c>
      <c r="D2" s="134" t="s">
        <v>206</v>
      </c>
      <c r="E2" s="134" t="s">
        <v>207</v>
      </c>
      <c r="F2" s="281" t="s">
        <v>208</v>
      </c>
      <c r="G2" s="281" t="s">
        <v>209</v>
      </c>
      <c r="H2" s="281" t="s">
        <v>210</v>
      </c>
      <c r="I2" s="134" t="s">
        <v>211</v>
      </c>
    </row>
    <row r="3" spans="1:9" ht="15.95" customHeight="1">
      <c r="A3" s="691" t="s">
        <v>212</v>
      </c>
      <c r="B3" s="232" t="s">
        <v>213</v>
      </c>
      <c r="C3" s="368"/>
      <c r="D3" s="371"/>
      <c r="E3" s="369"/>
      <c r="F3" s="370"/>
      <c r="G3" s="370"/>
      <c r="H3" s="367">
        <f t="shared" ref="H3:H54" si="0">IF(F3=0,G3,G3*F3)</f>
        <v>0</v>
      </c>
      <c r="I3" s="262"/>
    </row>
    <row r="4" spans="1:9" ht="15.95" customHeight="1">
      <c r="A4" s="695"/>
      <c r="B4" s="232"/>
      <c r="C4" s="368"/>
      <c r="D4" s="371"/>
      <c r="E4" s="369"/>
      <c r="F4" s="370"/>
      <c r="G4" s="370"/>
      <c r="H4" s="367">
        <f t="shared" si="0"/>
        <v>0</v>
      </c>
      <c r="I4" s="240"/>
    </row>
    <row r="5" spans="1:9" ht="15.95" customHeight="1">
      <c r="A5" s="695"/>
      <c r="B5" s="232"/>
      <c r="C5" s="239"/>
      <c r="D5" s="239"/>
      <c r="E5" s="239"/>
      <c r="F5" s="243"/>
      <c r="G5" s="243"/>
      <c r="H5" s="183">
        <f t="shared" si="0"/>
        <v>0</v>
      </c>
      <c r="I5" s="240"/>
    </row>
    <row r="6" spans="1:9" ht="15.95" customHeight="1">
      <c r="A6" s="695"/>
      <c r="B6" s="232"/>
      <c r="C6" s="239"/>
      <c r="D6" s="239"/>
      <c r="E6" s="239"/>
      <c r="F6" s="243"/>
      <c r="G6" s="243"/>
      <c r="H6" s="183">
        <f t="shared" si="0"/>
        <v>0</v>
      </c>
      <c r="I6" s="240"/>
    </row>
    <row r="7" spans="1:9" ht="15.95" customHeight="1">
      <c r="A7" s="695"/>
      <c r="B7" s="232"/>
      <c r="C7" s="239"/>
      <c r="D7" s="239"/>
      <c r="E7" s="239"/>
      <c r="F7" s="243"/>
      <c r="G7" s="243"/>
      <c r="H7" s="183">
        <f t="shared" si="0"/>
        <v>0</v>
      </c>
      <c r="I7" s="240"/>
    </row>
    <row r="8" spans="1:9" ht="15.95" customHeight="1">
      <c r="A8" s="695"/>
      <c r="B8" s="232"/>
      <c r="C8" s="239"/>
      <c r="D8" s="239"/>
      <c r="E8" s="239"/>
      <c r="F8" s="243"/>
      <c r="G8" s="243"/>
      <c r="H8" s="183">
        <f t="shared" si="0"/>
        <v>0</v>
      </c>
      <c r="I8" s="240"/>
    </row>
    <row r="9" spans="1:9" ht="15.95" customHeight="1">
      <c r="A9" s="695"/>
      <c r="B9" s="232"/>
      <c r="C9" s="239"/>
      <c r="D9" s="239"/>
      <c r="E9" s="239"/>
      <c r="F9" s="243"/>
      <c r="G9" s="243"/>
      <c r="H9" s="183">
        <f t="shared" si="0"/>
        <v>0</v>
      </c>
      <c r="I9" s="240"/>
    </row>
    <row r="10" spans="1:9" ht="15.95" customHeight="1">
      <c r="A10" s="695"/>
      <c r="B10" s="232"/>
      <c r="C10" s="239"/>
      <c r="D10" s="239"/>
      <c r="E10" s="239"/>
      <c r="F10" s="243"/>
      <c r="G10" s="243"/>
      <c r="H10" s="183">
        <f t="shared" si="0"/>
        <v>0</v>
      </c>
      <c r="I10" s="240"/>
    </row>
    <row r="11" spans="1:9" ht="15.95" customHeight="1">
      <c r="A11" s="695"/>
      <c r="B11" s="232"/>
      <c r="C11" s="239"/>
      <c r="D11" s="239"/>
      <c r="E11" s="239"/>
      <c r="F11" s="243"/>
      <c r="G11" s="243"/>
      <c r="H11" s="183">
        <f t="shared" si="0"/>
        <v>0</v>
      </c>
      <c r="I11" s="240"/>
    </row>
    <row r="12" spans="1:9" ht="15.95" customHeight="1">
      <c r="A12" s="695"/>
      <c r="B12" s="232"/>
      <c r="C12" s="239"/>
      <c r="D12" s="239"/>
      <c r="E12" s="239"/>
      <c r="F12" s="243"/>
      <c r="G12" s="243"/>
      <c r="H12" s="183">
        <f t="shared" si="0"/>
        <v>0</v>
      </c>
      <c r="I12" s="240"/>
    </row>
    <row r="13" spans="1:9" ht="15.95" customHeight="1">
      <c r="A13" s="695"/>
      <c r="B13" s="232"/>
      <c r="C13" s="239"/>
      <c r="D13" s="239"/>
      <c r="E13" s="239"/>
      <c r="F13" s="243"/>
      <c r="G13" s="243"/>
      <c r="H13" s="183">
        <f t="shared" si="0"/>
        <v>0</v>
      </c>
      <c r="I13" s="240"/>
    </row>
    <row r="14" spans="1:9" ht="15.95" customHeight="1">
      <c r="A14" s="695"/>
      <c r="B14" s="232"/>
      <c r="C14" s="239"/>
      <c r="D14" s="239"/>
      <c r="E14" s="239"/>
      <c r="F14" s="243"/>
      <c r="G14" s="243"/>
      <c r="H14" s="183">
        <f t="shared" si="0"/>
        <v>0</v>
      </c>
      <c r="I14" s="240"/>
    </row>
    <row r="15" spans="1:9" ht="15.95" customHeight="1">
      <c r="A15" s="695"/>
      <c r="B15" s="232"/>
      <c r="C15" s="239"/>
      <c r="D15" s="239"/>
      <c r="E15" s="239"/>
      <c r="F15" s="243"/>
      <c r="G15" s="243"/>
      <c r="H15" s="183">
        <f t="shared" si="0"/>
        <v>0</v>
      </c>
      <c r="I15" s="240"/>
    </row>
    <row r="16" spans="1:9" ht="15.95" customHeight="1">
      <c r="A16" s="695"/>
      <c r="B16" s="232"/>
      <c r="C16" s="239"/>
      <c r="D16" s="239"/>
      <c r="E16" s="239"/>
      <c r="F16" s="243"/>
      <c r="G16" s="243"/>
      <c r="H16" s="183">
        <f t="shared" si="0"/>
        <v>0</v>
      </c>
      <c r="I16" s="240"/>
    </row>
    <row r="17" spans="1:9" ht="15.95" customHeight="1">
      <c r="A17" s="695"/>
      <c r="B17" s="232"/>
      <c r="C17" s="239"/>
      <c r="D17" s="239"/>
      <c r="E17" s="239"/>
      <c r="F17" s="243"/>
      <c r="G17" s="243"/>
      <c r="H17" s="183">
        <f t="shared" si="0"/>
        <v>0</v>
      </c>
      <c r="I17" s="240"/>
    </row>
    <row r="18" spans="1:9" ht="15.95" customHeight="1">
      <c r="A18" s="695"/>
      <c r="B18" s="232"/>
      <c r="C18" s="239"/>
      <c r="D18" s="239"/>
      <c r="E18" s="239"/>
      <c r="F18" s="243"/>
      <c r="G18" s="243"/>
      <c r="H18" s="183">
        <f t="shared" si="0"/>
        <v>0</v>
      </c>
      <c r="I18" s="240"/>
    </row>
    <row r="19" spans="1:9" ht="15.95" customHeight="1">
      <c r="A19" s="695"/>
      <c r="B19" s="232"/>
      <c r="C19" s="239"/>
      <c r="D19" s="239"/>
      <c r="E19" s="239"/>
      <c r="F19" s="243"/>
      <c r="G19" s="243"/>
      <c r="H19" s="183">
        <f t="shared" si="0"/>
        <v>0</v>
      </c>
      <c r="I19" s="240"/>
    </row>
    <row r="20" spans="1:9" ht="15.95" customHeight="1">
      <c r="A20" s="695"/>
      <c r="B20" s="232"/>
      <c r="C20" s="239"/>
      <c r="D20" s="239"/>
      <c r="E20" s="239"/>
      <c r="F20" s="243"/>
      <c r="G20" s="243"/>
      <c r="H20" s="183">
        <f t="shared" si="0"/>
        <v>0</v>
      </c>
      <c r="I20" s="240"/>
    </row>
    <row r="21" spans="1:9" ht="15.95" customHeight="1">
      <c r="A21" s="695"/>
      <c r="B21" s="232"/>
      <c r="C21" s="239"/>
      <c r="D21" s="239"/>
      <c r="E21" s="239"/>
      <c r="F21" s="243"/>
      <c r="G21" s="243"/>
      <c r="H21" s="183">
        <f t="shared" si="0"/>
        <v>0</v>
      </c>
      <c r="I21" s="240"/>
    </row>
    <row r="22" spans="1:9" ht="15.95" customHeight="1">
      <c r="A22" s="695"/>
      <c r="B22" s="232"/>
      <c r="C22" s="239"/>
      <c r="D22" s="239"/>
      <c r="E22" s="239"/>
      <c r="F22" s="243"/>
      <c r="G22" s="243"/>
      <c r="H22" s="183">
        <f t="shared" si="0"/>
        <v>0</v>
      </c>
      <c r="I22" s="240"/>
    </row>
    <row r="23" spans="1:9" ht="15.95" customHeight="1">
      <c r="A23" s="695"/>
      <c r="B23" s="232"/>
      <c r="C23" s="244" t="s">
        <v>214</v>
      </c>
      <c r="D23" s="264"/>
      <c r="E23" s="264"/>
      <c r="F23" s="266"/>
      <c r="G23" s="266"/>
      <c r="H23" s="267">
        <f t="shared" si="0"/>
        <v>0</v>
      </c>
      <c r="I23" s="268"/>
    </row>
    <row r="24" spans="1:9" ht="15.95" customHeight="1">
      <c r="A24" s="695"/>
      <c r="B24" s="249"/>
      <c r="C24" s="275"/>
      <c r="D24" s="275"/>
      <c r="E24" s="275"/>
      <c r="F24" s="273"/>
      <c r="G24" s="273"/>
      <c r="H24" s="274">
        <f>SUM(H3:H23)</f>
        <v>0</v>
      </c>
      <c r="I24" s="275"/>
    </row>
    <row r="25" spans="1:9" ht="15.95" customHeight="1">
      <c r="A25" s="695"/>
      <c r="B25" s="232" t="s">
        <v>172</v>
      </c>
      <c r="C25" s="233"/>
      <c r="D25" s="233"/>
      <c r="E25" s="233"/>
      <c r="F25" s="236"/>
      <c r="G25" s="236"/>
      <c r="H25" s="237">
        <f t="shared" si="0"/>
        <v>0</v>
      </c>
      <c r="I25" s="238"/>
    </row>
    <row r="26" spans="1:9" ht="15.95" customHeight="1">
      <c r="A26" s="695"/>
      <c r="B26" s="232" t="s">
        <v>173</v>
      </c>
      <c r="C26" s="239"/>
      <c r="D26" s="239"/>
      <c r="E26" s="239"/>
      <c r="F26" s="243"/>
      <c r="G26" s="243"/>
      <c r="H26" s="183">
        <f t="shared" si="0"/>
        <v>0</v>
      </c>
      <c r="I26" s="240"/>
    </row>
    <row r="27" spans="1:9" ht="15.95" customHeight="1">
      <c r="A27" s="695"/>
      <c r="B27" s="232"/>
      <c r="C27" s="239"/>
      <c r="D27" s="239"/>
      <c r="E27" s="239"/>
      <c r="F27" s="243"/>
      <c r="G27" s="243"/>
      <c r="H27" s="183">
        <f t="shared" si="0"/>
        <v>0</v>
      </c>
      <c r="I27" s="240"/>
    </row>
    <row r="28" spans="1:9" ht="15.95" customHeight="1">
      <c r="A28" s="695"/>
      <c r="B28" s="232"/>
      <c r="C28" s="239"/>
      <c r="D28" s="239"/>
      <c r="E28" s="239"/>
      <c r="F28" s="243"/>
      <c r="G28" s="243"/>
      <c r="H28" s="183">
        <f t="shared" si="0"/>
        <v>0</v>
      </c>
      <c r="I28" s="240"/>
    </row>
    <row r="29" spans="1:9" ht="15.95" customHeight="1">
      <c r="A29" s="695"/>
      <c r="B29" s="232"/>
      <c r="C29" s="244" t="s">
        <v>214</v>
      </c>
      <c r="D29" s="244"/>
      <c r="E29" s="244"/>
      <c r="F29" s="247"/>
      <c r="G29" s="247"/>
      <c r="H29" s="183">
        <f t="shared" si="0"/>
        <v>0</v>
      </c>
      <c r="I29" s="248"/>
    </row>
    <row r="30" spans="1:9" ht="15.95" customHeight="1">
      <c r="A30" s="695"/>
      <c r="B30" s="249"/>
      <c r="C30" s="250"/>
      <c r="D30" s="251"/>
      <c r="E30" s="251"/>
      <c r="F30" s="310"/>
      <c r="G30" s="253"/>
      <c r="H30" s="254">
        <f>SUM(H25:H29)</f>
        <v>0</v>
      </c>
      <c r="I30" s="255"/>
    </row>
    <row r="31" spans="1:9" ht="15.95" customHeight="1">
      <c r="A31" s="695"/>
      <c r="B31" s="276" t="s">
        <v>174</v>
      </c>
      <c r="C31" s="545" t="s">
        <v>342</v>
      </c>
      <c r="D31" s="545"/>
      <c r="E31" s="546" t="s">
        <v>306</v>
      </c>
      <c r="F31" s="563">
        <v>1</v>
      </c>
      <c r="G31" s="563">
        <v>25000000</v>
      </c>
      <c r="H31" s="261">
        <f t="shared" si="0"/>
        <v>25000000</v>
      </c>
      <c r="I31" s="262"/>
    </row>
    <row r="32" spans="1:9" ht="15.95" customHeight="1">
      <c r="A32" s="695"/>
      <c r="B32" s="232" t="s">
        <v>175</v>
      </c>
      <c r="C32" s="553" t="s">
        <v>343</v>
      </c>
      <c r="D32" s="553"/>
      <c r="E32" s="552" t="s">
        <v>306</v>
      </c>
      <c r="F32" s="551">
        <v>1</v>
      </c>
      <c r="G32" s="551">
        <v>25000000</v>
      </c>
      <c r="H32" s="183">
        <f t="shared" si="0"/>
        <v>25000000</v>
      </c>
      <c r="I32" s="240"/>
    </row>
    <row r="33" spans="1:9" ht="15.95" customHeight="1">
      <c r="A33" s="695"/>
      <c r="B33" s="232"/>
      <c r="C33" s="239"/>
      <c r="D33" s="239"/>
      <c r="E33" s="552"/>
      <c r="F33" s="243"/>
      <c r="G33" s="243"/>
      <c r="H33" s="183">
        <f t="shared" si="0"/>
        <v>0</v>
      </c>
      <c r="I33" s="240"/>
    </row>
    <row r="34" spans="1:9" ht="15.95" customHeight="1">
      <c r="A34" s="695"/>
      <c r="B34" s="232"/>
      <c r="C34" s="239"/>
      <c r="D34" s="239"/>
      <c r="E34" s="552"/>
      <c r="F34" s="243"/>
      <c r="G34" s="243"/>
      <c r="H34" s="183">
        <f t="shared" si="0"/>
        <v>0</v>
      </c>
      <c r="I34" s="240"/>
    </row>
    <row r="35" spans="1:9" ht="15.95" customHeight="1">
      <c r="A35" s="695"/>
      <c r="B35" s="232"/>
      <c r="C35" s="239"/>
      <c r="D35" s="239"/>
      <c r="E35" s="552"/>
      <c r="F35" s="243"/>
      <c r="G35" s="243"/>
      <c r="H35" s="183">
        <f t="shared" si="0"/>
        <v>0</v>
      </c>
      <c r="I35" s="240"/>
    </row>
    <row r="36" spans="1:9" ht="15.95" customHeight="1">
      <c r="A36" s="695"/>
      <c r="B36" s="232"/>
      <c r="C36" s="239"/>
      <c r="D36" s="239"/>
      <c r="E36" s="552"/>
      <c r="F36" s="243"/>
      <c r="G36" s="243"/>
      <c r="H36" s="183">
        <f t="shared" si="0"/>
        <v>0</v>
      </c>
      <c r="I36" s="240"/>
    </row>
    <row r="37" spans="1:9" ht="15.95" customHeight="1">
      <c r="A37" s="695"/>
      <c r="B37" s="232"/>
      <c r="C37" s="239"/>
      <c r="D37" s="239"/>
      <c r="E37" s="552"/>
      <c r="F37" s="243"/>
      <c r="G37" s="243"/>
      <c r="H37" s="183">
        <f t="shared" si="0"/>
        <v>0</v>
      </c>
      <c r="I37" s="240"/>
    </row>
    <row r="38" spans="1:9" ht="15.95" customHeight="1">
      <c r="A38" s="695"/>
      <c r="B38" s="232"/>
      <c r="C38" s="239"/>
      <c r="D38" s="239"/>
      <c r="E38" s="552"/>
      <c r="F38" s="243"/>
      <c r="G38" s="243"/>
      <c r="H38" s="183">
        <f t="shared" si="0"/>
        <v>0</v>
      </c>
      <c r="I38" s="240"/>
    </row>
    <row r="39" spans="1:9" ht="15.95" customHeight="1">
      <c r="A39" s="695"/>
      <c r="B39" s="232"/>
      <c r="C39" s="239"/>
      <c r="D39" s="239"/>
      <c r="E39" s="552"/>
      <c r="F39" s="243"/>
      <c r="G39" s="243"/>
      <c r="H39" s="183">
        <f t="shared" si="0"/>
        <v>0</v>
      </c>
      <c r="I39" s="240"/>
    </row>
    <row r="40" spans="1:9" ht="15.95" customHeight="1">
      <c r="A40" s="695"/>
      <c r="B40" s="232"/>
      <c r="C40" s="239"/>
      <c r="D40" s="239"/>
      <c r="E40" s="552"/>
      <c r="F40" s="243"/>
      <c r="G40" s="243"/>
      <c r="H40" s="183">
        <f t="shared" si="0"/>
        <v>0</v>
      </c>
      <c r="I40" s="240"/>
    </row>
    <row r="41" spans="1:9" ht="15.95" customHeight="1">
      <c r="A41" s="695"/>
      <c r="B41" s="232"/>
      <c r="C41" s="239"/>
      <c r="D41" s="239"/>
      <c r="E41" s="552"/>
      <c r="F41" s="243"/>
      <c r="G41" s="243"/>
      <c r="H41" s="183">
        <f t="shared" si="0"/>
        <v>0</v>
      </c>
      <c r="I41" s="240"/>
    </row>
    <row r="42" spans="1:9" ht="15.95" customHeight="1">
      <c r="A42" s="695"/>
      <c r="B42" s="232"/>
      <c r="C42" s="239"/>
      <c r="D42" s="239"/>
      <c r="E42" s="552"/>
      <c r="F42" s="243"/>
      <c r="G42" s="243"/>
      <c r="H42" s="183">
        <f t="shared" si="0"/>
        <v>0</v>
      </c>
      <c r="I42" s="240"/>
    </row>
    <row r="43" spans="1:9" ht="15.95" customHeight="1">
      <c r="A43" s="695"/>
      <c r="B43" s="232"/>
      <c r="C43" s="239"/>
      <c r="D43" s="239"/>
      <c r="E43" s="552"/>
      <c r="F43" s="243"/>
      <c r="G43" s="243"/>
      <c r="H43" s="183">
        <f t="shared" si="0"/>
        <v>0</v>
      </c>
      <c r="I43" s="240"/>
    </row>
    <row r="44" spans="1:9" ht="15.95" customHeight="1">
      <c r="A44" s="695"/>
      <c r="B44" s="232"/>
      <c r="C44" s="239"/>
      <c r="D44" s="239"/>
      <c r="E44" s="552"/>
      <c r="F44" s="243"/>
      <c r="G44" s="243"/>
      <c r="H44" s="183">
        <f t="shared" si="0"/>
        <v>0</v>
      </c>
      <c r="I44" s="240"/>
    </row>
    <row r="45" spans="1:9" ht="15.95" customHeight="1">
      <c r="A45" s="695"/>
      <c r="B45" s="232"/>
      <c r="C45" s="239"/>
      <c r="D45" s="239"/>
      <c r="E45" s="552"/>
      <c r="F45" s="243"/>
      <c r="G45" s="243"/>
      <c r="H45" s="183">
        <f t="shared" si="0"/>
        <v>0</v>
      </c>
      <c r="I45" s="240"/>
    </row>
    <row r="46" spans="1:9" ht="15.95" customHeight="1">
      <c r="A46" s="695"/>
      <c r="B46" s="232"/>
      <c r="C46" s="372" t="s">
        <v>286</v>
      </c>
      <c r="D46" s="372"/>
      <c r="E46" s="561" t="s">
        <v>285</v>
      </c>
      <c r="F46" s="373"/>
      <c r="G46" s="373"/>
      <c r="H46" s="367">
        <f t="shared" si="0"/>
        <v>0</v>
      </c>
      <c r="I46" s="248"/>
    </row>
    <row r="47" spans="1:9" ht="15.95" customHeight="1">
      <c r="A47" s="695"/>
      <c r="B47" s="249"/>
      <c r="C47" s="250"/>
      <c r="D47" s="251"/>
      <c r="E47" s="251"/>
      <c r="F47" s="253"/>
      <c r="G47" s="253"/>
      <c r="H47" s="254">
        <f>SUM(H31:H46)</f>
        <v>50000000</v>
      </c>
      <c r="I47" s="255"/>
    </row>
    <row r="48" spans="1:9" ht="15.95" customHeight="1">
      <c r="A48" s="695"/>
      <c r="B48" s="276" t="s">
        <v>215</v>
      </c>
      <c r="C48" s="257"/>
      <c r="D48" s="257"/>
      <c r="E48" s="257"/>
      <c r="F48" s="260"/>
      <c r="G48" s="260"/>
      <c r="H48" s="261">
        <f t="shared" si="0"/>
        <v>0</v>
      </c>
      <c r="I48" s="262"/>
    </row>
    <row r="49" spans="1:9" ht="15.95" customHeight="1">
      <c r="A49" s="695"/>
      <c r="B49" s="232"/>
      <c r="C49" s="239"/>
      <c r="D49" s="239"/>
      <c r="E49" s="239"/>
      <c r="F49" s="243"/>
      <c r="G49" s="243"/>
      <c r="H49" s="183">
        <f t="shared" si="0"/>
        <v>0</v>
      </c>
      <c r="I49" s="240"/>
    </row>
    <row r="50" spans="1:9" ht="15.95" customHeight="1">
      <c r="A50" s="695"/>
      <c r="B50" s="232"/>
      <c r="C50" s="239"/>
      <c r="D50" s="239"/>
      <c r="E50" s="239"/>
      <c r="F50" s="243"/>
      <c r="G50" s="243"/>
      <c r="H50" s="183">
        <f t="shared" si="0"/>
        <v>0</v>
      </c>
      <c r="I50" s="240"/>
    </row>
    <row r="51" spans="1:9" ht="15.95" customHeight="1">
      <c r="A51" s="695"/>
      <c r="B51" s="232"/>
      <c r="C51" s="239"/>
      <c r="D51" s="239"/>
      <c r="E51" s="239"/>
      <c r="F51" s="243"/>
      <c r="G51" s="243"/>
      <c r="H51" s="183">
        <f t="shared" si="0"/>
        <v>0</v>
      </c>
      <c r="I51" s="240"/>
    </row>
    <row r="52" spans="1:9" ht="15.95" customHeight="1">
      <c r="A52" s="695"/>
      <c r="B52" s="232"/>
      <c r="C52" s="239"/>
      <c r="D52" s="239"/>
      <c r="E52" s="239"/>
      <c r="F52" s="243"/>
      <c r="G52" s="243"/>
      <c r="H52" s="183">
        <f t="shared" si="0"/>
        <v>0</v>
      </c>
      <c r="I52" s="240"/>
    </row>
    <row r="53" spans="1:9" ht="15.95" customHeight="1">
      <c r="A53" s="695"/>
      <c r="B53" s="232"/>
      <c r="C53" s="239"/>
      <c r="D53" s="239"/>
      <c r="E53" s="239"/>
      <c r="F53" s="243"/>
      <c r="G53" s="243"/>
      <c r="H53" s="183">
        <f t="shared" si="0"/>
        <v>0</v>
      </c>
      <c r="I53" s="240"/>
    </row>
    <row r="54" spans="1:9" ht="15.95" customHeight="1">
      <c r="A54" s="695"/>
      <c r="B54" s="232"/>
      <c r="C54" s="244" t="s">
        <v>216</v>
      </c>
      <c r="D54" s="244"/>
      <c r="E54" s="244"/>
      <c r="F54" s="247"/>
      <c r="G54" s="247"/>
      <c r="H54" s="277">
        <f t="shared" si="0"/>
        <v>0</v>
      </c>
      <c r="I54" s="248"/>
    </row>
    <row r="55" spans="1:9" ht="15.95" customHeight="1">
      <c r="A55" s="695"/>
      <c r="B55" s="249"/>
      <c r="C55" s="250"/>
      <c r="D55" s="251"/>
      <c r="E55" s="251"/>
      <c r="F55" s="253"/>
      <c r="G55" s="253"/>
      <c r="H55" s="254">
        <f>SUM(H48:H54)</f>
        <v>0</v>
      </c>
      <c r="I55" s="255"/>
    </row>
    <row r="56" spans="1:9" ht="15.95" customHeight="1">
      <c r="A56" s="278"/>
      <c r="B56" s="279" t="s">
        <v>217</v>
      </c>
      <c r="C56" s="280"/>
      <c r="D56" s="255"/>
      <c r="E56" s="255"/>
      <c r="F56" s="282"/>
      <c r="G56" s="282"/>
      <c r="H56" s="254">
        <f>SUM(H55,H47,H30,H24)</f>
        <v>50000000</v>
      </c>
      <c r="I56" s="255"/>
    </row>
    <row r="57" spans="1:9" ht="15.95" customHeight="1">
      <c r="A57" s="696" t="s">
        <v>218</v>
      </c>
      <c r="B57" s="283" t="s">
        <v>219</v>
      </c>
      <c r="C57" s="280"/>
      <c r="D57" s="284"/>
      <c r="E57" s="311" t="s">
        <v>220</v>
      </c>
      <c r="F57" s="378">
        <v>0</v>
      </c>
      <c r="G57" s="378">
        <v>300000</v>
      </c>
      <c r="H57" s="288">
        <f>F57*G57</f>
        <v>0</v>
      </c>
      <c r="I57" s="255"/>
    </row>
    <row r="58" spans="1:9" ht="15.95" customHeight="1">
      <c r="A58" s="695"/>
      <c r="B58" s="289" t="s">
        <v>177</v>
      </c>
      <c r="C58" s="290"/>
      <c r="D58" s="291"/>
      <c r="E58" s="312" t="s">
        <v>148</v>
      </c>
      <c r="F58" s="376">
        <v>0</v>
      </c>
      <c r="G58" s="379">
        <v>300000</v>
      </c>
      <c r="H58" s="261">
        <f t="shared" ref="H58:H64" si="1">F58*G58</f>
        <v>0</v>
      </c>
      <c r="I58" s="262"/>
    </row>
    <row r="59" spans="1:9" ht="15.95" customHeight="1">
      <c r="A59" s="695"/>
      <c r="B59" s="315" t="s">
        <v>178</v>
      </c>
      <c r="C59" s="294"/>
      <c r="D59" s="295"/>
      <c r="E59" s="313" t="s">
        <v>148</v>
      </c>
      <c r="F59" s="374">
        <v>0</v>
      </c>
      <c r="G59" s="377">
        <v>250000</v>
      </c>
      <c r="H59" s="183">
        <f t="shared" si="1"/>
        <v>0</v>
      </c>
      <c r="I59" s="240"/>
    </row>
    <row r="60" spans="1:9" ht="15.95" customHeight="1">
      <c r="A60" s="695"/>
      <c r="B60" s="293" t="s">
        <v>179</v>
      </c>
      <c r="C60" s="294"/>
      <c r="D60" s="295"/>
      <c r="E60" s="313" t="s">
        <v>148</v>
      </c>
      <c r="F60" s="374">
        <v>0</v>
      </c>
      <c r="G60" s="377">
        <v>250000</v>
      </c>
      <c r="H60" s="183">
        <f t="shared" si="1"/>
        <v>0</v>
      </c>
      <c r="I60" s="240"/>
    </row>
    <row r="61" spans="1:9" ht="15.95" customHeight="1">
      <c r="A61" s="695"/>
      <c r="B61" s="293" t="s">
        <v>180</v>
      </c>
      <c r="C61" s="294"/>
      <c r="D61" s="295"/>
      <c r="E61" s="313" t="s">
        <v>148</v>
      </c>
      <c r="F61" s="374">
        <v>6</v>
      </c>
      <c r="G61" s="374">
        <v>300000</v>
      </c>
      <c r="H61" s="183">
        <f t="shared" si="1"/>
        <v>1800000</v>
      </c>
      <c r="I61" s="240"/>
    </row>
    <row r="62" spans="1:9" ht="15.95" customHeight="1">
      <c r="A62" s="695"/>
      <c r="B62" s="293" t="s">
        <v>181</v>
      </c>
      <c r="C62" s="294"/>
      <c r="D62" s="295"/>
      <c r="E62" s="313" t="s">
        <v>148</v>
      </c>
      <c r="F62" s="374">
        <v>3</v>
      </c>
      <c r="G62" s="374">
        <v>300000</v>
      </c>
      <c r="H62" s="183">
        <f t="shared" si="1"/>
        <v>900000</v>
      </c>
      <c r="I62" s="240"/>
    </row>
    <row r="63" spans="1:9" ht="15.95" customHeight="1">
      <c r="A63" s="695"/>
      <c r="B63" s="293" t="s">
        <v>182</v>
      </c>
      <c r="C63" s="294"/>
      <c r="D63" s="295"/>
      <c r="E63" s="313" t="s">
        <v>148</v>
      </c>
      <c r="F63" s="374">
        <v>0</v>
      </c>
      <c r="G63" s="374">
        <v>300000</v>
      </c>
      <c r="H63" s="183">
        <f t="shared" si="1"/>
        <v>0</v>
      </c>
      <c r="I63" s="240"/>
    </row>
    <row r="64" spans="1:9" ht="15.95" customHeight="1">
      <c r="A64" s="695"/>
      <c r="B64" s="297" t="s">
        <v>183</v>
      </c>
      <c r="C64" s="298"/>
      <c r="D64" s="299"/>
      <c r="E64" s="314" t="s">
        <v>148</v>
      </c>
      <c r="F64" s="375">
        <v>0</v>
      </c>
      <c r="G64" s="380">
        <v>250000</v>
      </c>
      <c r="H64" s="277">
        <f t="shared" si="1"/>
        <v>0</v>
      </c>
      <c r="I64" s="248"/>
    </row>
    <row r="65" spans="1:9" ht="15.95" customHeight="1">
      <c r="A65" s="278"/>
      <c r="B65" s="301" t="s">
        <v>154</v>
      </c>
      <c r="C65" s="280"/>
      <c r="D65" s="255"/>
      <c r="E65" s="255"/>
      <c r="F65" s="253"/>
      <c r="G65" s="253"/>
      <c r="H65" s="253">
        <f>SUM(H57:H64)</f>
        <v>2700000</v>
      </c>
      <c r="I65" s="251"/>
    </row>
    <row r="66" spans="1:9" ht="15.95" customHeight="1">
      <c r="A66" s="302"/>
      <c r="B66" s="301" t="s">
        <v>184</v>
      </c>
      <c r="C66" s="280"/>
      <c r="D66" s="255"/>
      <c r="E66" s="255"/>
      <c r="F66" s="254"/>
      <c r="G66" s="254"/>
      <c r="H66" s="282">
        <f>'단위공사별(집계)'!L12+'단위공사별(집계)'!I12</f>
        <v>416646.8135795116</v>
      </c>
      <c r="I66" s="255"/>
    </row>
    <row r="67" spans="1:9" ht="15.95" customHeight="1">
      <c r="A67" s="302"/>
      <c r="B67" s="301" t="s">
        <v>157</v>
      </c>
      <c r="C67" s="280"/>
      <c r="D67" s="255"/>
      <c r="E67" s="255"/>
      <c r="F67" s="254"/>
      <c r="G67" s="304"/>
      <c r="H67" s="378">
        <f>(H65+H56)*0</f>
        <v>0</v>
      </c>
      <c r="I67" s="280"/>
    </row>
    <row r="68" spans="1:9" ht="15.95" customHeight="1">
      <c r="A68" s="302"/>
      <c r="B68" s="301" t="s">
        <v>158</v>
      </c>
      <c r="C68" s="280"/>
      <c r="D68" s="255"/>
      <c r="E68" s="255"/>
      <c r="F68" s="254"/>
      <c r="G68" s="304"/>
      <c r="H68" s="378">
        <f>(H65+H56)*0</f>
        <v>0</v>
      </c>
      <c r="I68" s="280"/>
    </row>
    <row r="69" spans="1:9" ht="15.95" customHeight="1">
      <c r="A69" s="302"/>
      <c r="B69" s="301" t="s">
        <v>159</v>
      </c>
      <c r="C69" s="280"/>
      <c r="D69" s="255"/>
      <c r="E69" s="255"/>
      <c r="F69" s="254"/>
      <c r="G69" s="254"/>
      <c r="H69" s="253">
        <f>H56+H65+H66+H67+H68</f>
        <v>53116646.813579515</v>
      </c>
      <c r="I69" s="255"/>
    </row>
    <row r="70" spans="1:9">
      <c r="A70" s="150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="85" zoomScaleNormal="85" workbookViewId="0">
      <pane xSplit="2" ySplit="2" topLeftCell="C3" activePane="bottomRight" state="frozen"/>
      <selection activeCell="M29" sqref="M29"/>
      <selection pane="topRight" activeCell="M29" sqref="M29"/>
      <selection pane="bottomLeft" activeCell="M29" sqref="M29"/>
      <selection pane="bottomRight" activeCell="K33" sqref="K33"/>
    </sheetView>
  </sheetViews>
  <sheetFormatPr defaultRowHeight="13.5"/>
  <cols>
    <col min="1" max="1" width="5" style="133" customWidth="1"/>
    <col min="2" max="2" width="17.875" style="133" bestFit="1" customWidth="1"/>
    <col min="3" max="3" width="23.625" style="133" customWidth="1"/>
    <col min="4" max="4" width="18.25" style="133" customWidth="1"/>
    <col min="5" max="5" width="5.25" style="133" bestFit="1" customWidth="1"/>
    <col min="6" max="6" width="9" style="172"/>
    <col min="7" max="7" width="11.875" style="172" customWidth="1"/>
    <col min="8" max="8" width="13.625" style="172" customWidth="1"/>
    <col min="9" max="9" width="12.75" style="133" customWidth="1"/>
    <col min="10" max="16384" width="9" style="133"/>
  </cols>
  <sheetData>
    <row r="1" spans="1:9" ht="22.5" customHeight="1">
      <c r="B1" s="224" t="s">
        <v>233</v>
      </c>
      <c r="C1" s="381" t="s">
        <v>345</v>
      </c>
      <c r="D1" s="226"/>
      <c r="E1" s="226"/>
      <c r="F1" s="308"/>
      <c r="G1" s="186"/>
      <c r="I1" s="133" t="s">
        <v>234</v>
      </c>
    </row>
    <row r="2" spans="1:9" s="150" customFormat="1" ht="16.5" customHeight="1">
      <c r="A2" s="579" t="s">
        <v>235</v>
      </c>
      <c r="B2" s="690"/>
      <c r="C2" s="141" t="s">
        <v>236</v>
      </c>
      <c r="D2" s="134" t="s">
        <v>237</v>
      </c>
      <c r="E2" s="134" t="s">
        <v>238</v>
      </c>
      <c r="F2" s="281" t="s">
        <v>239</v>
      </c>
      <c r="G2" s="281" t="s">
        <v>240</v>
      </c>
      <c r="H2" s="281" t="s">
        <v>241</v>
      </c>
      <c r="I2" s="134" t="s">
        <v>242</v>
      </c>
    </row>
    <row r="3" spans="1:9" ht="15.95" customHeight="1">
      <c r="A3" s="691" t="s">
        <v>243</v>
      </c>
      <c r="B3" s="232" t="s">
        <v>244</v>
      </c>
      <c r="C3" s="553" t="s">
        <v>346</v>
      </c>
      <c r="D3" s="566"/>
      <c r="E3" s="567" t="s">
        <v>347</v>
      </c>
      <c r="F3" s="551">
        <v>66</v>
      </c>
      <c r="G3" s="564">
        <v>200000</v>
      </c>
      <c r="H3" s="367">
        <f t="shared" ref="H3:H66" si="0">IF(F3=0,G3,G3*F3)</f>
        <v>13200000</v>
      </c>
      <c r="I3" s="262"/>
    </row>
    <row r="4" spans="1:9" ht="15.95" customHeight="1">
      <c r="A4" s="695"/>
      <c r="B4" s="232"/>
      <c r="C4" s="566" t="s">
        <v>348</v>
      </c>
      <c r="D4" s="553"/>
      <c r="E4" s="567" t="s">
        <v>347</v>
      </c>
      <c r="F4" s="551">
        <v>1</v>
      </c>
      <c r="G4" s="564">
        <v>2000000</v>
      </c>
      <c r="H4" s="183">
        <f>IF(F4=0,G4,G4*F4)</f>
        <v>2000000</v>
      </c>
      <c r="I4" s="240"/>
    </row>
    <row r="5" spans="1:9" ht="15.95" customHeight="1">
      <c r="A5" s="695"/>
      <c r="B5" s="232"/>
      <c r="C5" s="566" t="s">
        <v>349</v>
      </c>
      <c r="D5" s="566"/>
      <c r="E5" s="567" t="s">
        <v>347</v>
      </c>
      <c r="F5" s="564">
        <v>1</v>
      </c>
      <c r="G5" s="564">
        <v>600000</v>
      </c>
      <c r="H5" s="183">
        <f t="shared" si="0"/>
        <v>600000</v>
      </c>
      <c r="I5" s="240"/>
    </row>
    <row r="6" spans="1:9" ht="15.95" customHeight="1">
      <c r="A6" s="695"/>
      <c r="B6" s="232"/>
      <c r="C6" s="553" t="s">
        <v>350</v>
      </c>
      <c r="D6" s="553"/>
      <c r="E6" s="567" t="s">
        <v>347</v>
      </c>
      <c r="F6" s="551">
        <v>25</v>
      </c>
      <c r="G6" s="564">
        <v>300000</v>
      </c>
      <c r="H6" s="183">
        <f t="shared" si="0"/>
        <v>7500000</v>
      </c>
      <c r="I6" s="240"/>
    </row>
    <row r="7" spans="1:9" ht="15.95" customHeight="1">
      <c r="A7" s="695"/>
      <c r="B7" s="232"/>
      <c r="C7" s="553" t="s">
        <v>351</v>
      </c>
      <c r="D7" s="553"/>
      <c r="E7" s="567" t="s">
        <v>347</v>
      </c>
      <c r="F7" s="551">
        <v>1</v>
      </c>
      <c r="G7" s="564">
        <v>2000000</v>
      </c>
      <c r="H7" s="183">
        <f t="shared" si="0"/>
        <v>2000000</v>
      </c>
      <c r="I7" s="240"/>
    </row>
    <row r="8" spans="1:9" ht="15.95" customHeight="1">
      <c r="A8" s="695"/>
      <c r="B8" s="232"/>
      <c r="C8" s="553" t="s">
        <v>352</v>
      </c>
      <c r="D8" s="566"/>
      <c r="E8" s="567" t="s">
        <v>347</v>
      </c>
      <c r="F8" s="564">
        <v>1</v>
      </c>
      <c r="G8" s="564">
        <v>1500000</v>
      </c>
      <c r="H8" s="183">
        <f t="shared" si="0"/>
        <v>1500000</v>
      </c>
      <c r="I8" s="240"/>
    </row>
    <row r="9" spans="1:9" ht="15.95" customHeight="1">
      <c r="A9" s="695"/>
      <c r="B9" s="232"/>
      <c r="C9" s="239" t="s">
        <v>357</v>
      </c>
      <c r="D9" s="239"/>
      <c r="E9" s="567" t="s">
        <v>347</v>
      </c>
      <c r="F9" s="243"/>
      <c r="G9" s="243"/>
      <c r="H9" s="183"/>
      <c r="I9" s="240"/>
    </row>
    <row r="10" spans="1:9" ht="15.95" customHeight="1">
      <c r="A10" s="695"/>
      <c r="B10" s="232"/>
      <c r="C10" s="553" t="s">
        <v>356</v>
      </c>
      <c r="D10" s="409"/>
      <c r="E10" s="552" t="s">
        <v>355</v>
      </c>
      <c r="F10" s="551">
        <v>1</v>
      </c>
      <c r="G10" s="551">
        <v>2000000</v>
      </c>
      <c r="H10" s="183">
        <f t="shared" si="0"/>
        <v>2000000</v>
      </c>
      <c r="I10" s="240"/>
    </row>
    <row r="11" spans="1:9" ht="15.95" customHeight="1">
      <c r="A11" s="695"/>
      <c r="B11" s="232"/>
      <c r="C11" s="239" t="s">
        <v>358</v>
      </c>
      <c r="D11" s="239"/>
      <c r="E11" s="567"/>
      <c r="F11" s="243"/>
      <c r="G11" s="243"/>
      <c r="H11" s="183">
        <f t="shared" si="0"/>
        <v>0</v>
      </c>
      <c r="I11" s="240"/>
    </row>
    <row r="12" spans="1:9" ht="15.95" customHeight="1">
      <c r="A12" s="695"/>
      <c r="B12" s="232"/>
      <c r="C12" s="239" t="s">
        <v>359</v>
      </c>
      <c r="D12" s="239"/>
      <c r="E12" s="567" t="s">
        <v>347</v>
      </c>
      <c r="F12" s="243">
        <v>1</v>
      </c>
      <c r="G12" s="243">
        <v>200000</v>
      </c>
      <c r="H12" s="183">
        <f t="shared" si="0"/>
        <v>200000</v>
      </c>
      <c r="I12" s="240"/>
    </row>
    <row r="13" spans="1:9" ht="15.95" customHeight="1">
      <c r="A13" s="695"/>
      <c r="B13" s="232"/>
      <c r="C13" s="239" t="s">
        <v>361</v>
      </c>
      <c r="D13" s="239"/>
      <c r="E13" s="567"/>
      <c r="F13" s="243"/>
      <c r="G13" s="243"/>
      <c r="H13" s="183">
        <f t="shared" si="0"/>
        <v>0</v>
      </c>
      <c r="I13" s="240"/>
    </row>
    <row r="14" spans="1:9" ht="15.95" customHeight="1">
      <c r="A14" s="695"/>
      <c r="B14" s="232"/>
      <c r="C14" s="553" t="s">
        <v>359</v>
      </c>
      <c r="D14" s="553"/>
      <c r="E14" s="567" t="s">
        <v>347</v>
      </c>
      <c r="F14" s="551">
        <v>1</v>
      </c>
      <c r="G14" s="551">
        <v>200000</v>
      </c>
      <c r="H14" s="183">
        <f t="shared" si="0"/>
        <v>200000</v>
      </c>
      <c r="I14" s="240"/>
    </row>
    <row r="15" spans="1:9" ht="15.95" customHeight="1">
      <c r="A15" s="695"/>
      <c r="B15" s="232"/>
      <c r="C15" s="553" t="s">
        <v>363</v>
      </c>
      <c r="D15" s="239"/>
      <c r="E15" s="567"/>
      <c r="F15" s="243"/>
      <c r="G15" s="243"/>
      <c r="H15" s="183">
        <f t="shared" si="0"/>
        <v>0</v>
      </c>
      <c r="I15" s="240"/>
    </row>
    <row r="16" spans="1:9" ht="15.95" customHeight="1">
      <c r="A16" s="695"/>
      <c r="B16" s="232"/>
      <c r="C16" s="553" t="s">
        <v>364</v>
      </c>
      <c r="D16" s="553"/>
      <c r="E16" s="552" t="s">
        <v>347</v>
      </c>
      <c r="F16" s="551">
        <v>1</v>
      </c>
      <c r="G16" s="551">
        <v>1200000</v>
      </c>
      <c r="H16" s="183">
        <f t="shared" si="0"/>
        <v>1200000</v>
      </c>
      <c r="I16" s="240"/>
    </row>
    <row r="17" spans="1:9" ht="15.95" customHeight="1">
      <c r="A17" s="695"/>
      <c r="B17" s="232"/>
      <c r="C17" s="553" t="s">
        <v>369</v>
      </c>
      <c r="D17" s="553"/>
      <c r="E17" s="567"/>
      <c r="F17" s="551"/>
      <c r="G17" s="551"/>
      <c r="H17" s="183">
        <f t="shared" si="0"/>
        <v>0</v>
      </c>
      <c r="I17" s="240"/>
    </row>
    <row r="18" spans="1:9" ht="15.95" customHeight="1">
      <c r="A18" s="695"/>
      <c r="B18" s="232"/>
      <c r="C18" s="553" t="s">
        <v>370</v>
      </c>
      <c r="D18" s="409"/>
      <c r="E18" s="552" t="s">
        <v>347</v>
      </c>
      <c r="F18" s="551">
        <v>1</v>
      </c>
      <c r="G18" s="551">
        <v>500000</v>
      </c>
      <c r="H18" s="183">
        <f t="shared" si="0"/>
        <v>500000</v>
      </c>
      <c r="I18" s="240"/>
    </row>
    <row r="19" spans="1:9" ht="15.95" customHeight="1">
      <c r="A19" s="695"/>
      <c r="B19" s="232"/>
      <c r="C19" s="553" t="s">
        <v>371</v>
      </c>
      <c r="D19" s="409"/>
      <c r="E19" s="552" t="s">
        <v>347</v>
      </c>
      <c r="F19" s="551">
        <v>1</v>
      </c>
      <c r="G19" s="551">
        <v>2500000</v>
      </c>
      <c r="H19" s="183">
        <f t="shared" si="0"/>
        <v>2500000</v>
      </c>
      <c r="I19" s="240"/>
    </row>
    <row r="20" spans="1:9" s="554" customFormat="1" ht="15.95" customHeight="1">
      <c r="A20" s="695"/>
      <c r="B20" s="556"/>
      <c r="C20" s="553" t="s">
        <v>377</v>
      </c>
      <c r="D20" s="553"/>
      <c r="E20" s="567"/>
      <c r="F20" s="551"/>
      <c r="G20" s="551"/>
      <c r="H20" s="555">
        <f t="shared" si="0"/>
        <v>0</v>
      </c>
      <c r="I20" s="559"/>
    </row>
    <row r="21" spans="1:9" s="554" customFormat="1" ht="15.95" customHeight="1">
      <c r="A21" s="695"/>
      <c r="B21" s="556"/>
      <c r="C21" s="553" t="s">
        <v>364</v>
      </c>
      <c r="D21" s="553"/>
      <c r="E21" s="552" t="s">
        <v>347</v>
      </c>
      <c r="F21" s="551">
        <v>1</v>
      </c>
      <c r="G21" s="551">
        <v>1000000</v>
      </c>
      <c r="H21" s="555">
        <f t="shared" si="0"/>
        <v>1000000</v>
      </c>
      <c r="I21" s="559"/>
    </row>
    <row r="22" spans="1:9" s="554" customFormat="1" ht="15.95" customHeight="1">
      <c r="A22" s="695"/>
      <c r="B22" s="556"/>
      <c r="C22" s="553" t="s">
        <v>378</v>
      </c>
      <c r="D22" s="553"/>
      <c r="E22" s="567" t="s">
        <v>360</v>
      </c>
      <c r="F22" s="551"/>
      <c r="G22" s="551"/>
      <c r="H22" s="555">
        <f t="shared" si="0"/>
        <v>0</v>
      </c>
      <c r="I22" s="559"/>
    </row>
    <row r="23" spans="1:9" s="554" customFormat="1" ht="15.95" customHeight="1">
      <c r="A23" s="695"/>
      <c r="B23" s="556"/>
      <c r="C23" s="553" t="s">
        <v>379</v>
      </c>
      <c r="D23" s="409"/>
      <c r="E23" s="552" t="s">
        <v>347</v>
      </c>
      <c r="F23" s="551">
        <v>1</v>
      </c>
      <c r="G23" s="551">
        <v>9000000</v>
      </c>
      <c r="H23" s="555">
        <f t="shared" ref="H23:H24" si="1">IF(F23=0,G23,G23*F23)</f>
        <v>9000000</v>
      </c>
      <c r="I23" s="559"/>
    </row>
    <row r="24" spans="1:9" s="554" customFormat="1" ht="15.95" customHeight="1">
      <c r="A24" s="695"/>
      <c r="B24" s="556"/>
      <c r="C24" s="553"/>
      <c r="D24" s="553"/>
      <c r="E24" s="567" t="s">
        <v>347</v>
      </c>
      <c r="F24" s="551"/>
      <c r="G24" s="551"/>
      <c r="H24" s="555">
        <f t="shared" si="1"/>
        <v>0</v>
      </c>
      <c r="I24" s="559"/>
    </row>
    <row r="25" spans="1:9" ht="15.95" customHeight="1">
      <c r="A25" s="695"/>
      <c r="B25" s="232"/>
      <c r="C25" s="244" t="s">
        <v>214</v>
      </c>
      <c r="D25" s="264"/>
      <c r="E25" s="542" t="s">
        <v>354</v>
      </c>
      <c r="F25" s="266">
        <v>1</v>
      </c>
      <c r="G25" s="266">
        <v>500000</v>
      </c>
      <c r="H25" s="267">
        <f t="shared" si="0"/>
        <v>500000</v>
      </c>
      <c r="I25" s="268"/>
    </row>
    <row r="26" spans="1:9" ht="15.95" customHeight="1">
      <c r="A26" s="695"/>
      <c r="B26" s="249"/>
      <c r="C26" s="275"/>
      <c r="D26" s="275"/>
      <c r="E26" s="275"/>
      <c r="F26" s="273"/>
      <c r="G26" s="273"/>
      <c r="H26" s="274">
        <f>SUM(H3:H25)</f>
        <v>43900000</v>
      </c>
      <c r="I26" s="275"/>
    </row>
    <row r="27" spans="1:9" ht="15.95" customHeight="1">
      <c r="A27" s="695"/>
      <c r="B27" s="232" t="s">
        <v>172</v>
      </c>
      <c r="C27" s="233"/>
      <c r="D27" s="233"/>
      <c r="E27" s="233"/>
      <c r="F27" s="236"/>
      <c r="G27" s="236"/>
      <c r="H27" s="237">
        <f t="shared" si="0"/>
        <v>0</v>
      </c>
      <c r="I27" s="238"/>
    </row>
    <row r="28" spans="1:9" ht="15.95" customHeight="1">
      <c r="A28" s="695"/>
      <c r="B28" s="232" t="s">
        <v>173</v>
      </c>
      <c r="C28" s="239"/>
      <c r="D28" s="239"/>
      <c r="E28" s="239"/>
      <c r="F28" s="243"/>
      <c r="G28" s="243"/>
      <c r="H28" s="183">
        <f t="shared" si="0"/>
        <v>0</v>
      </c>
      <c r="I28" s="240"/>
    </row>
    <row r="29" spans="1:9" ht="15.95" customHeight="1">
      <c r="A29" s="695"/>
      <c r="B29" s="232"/>
      <c r="C29" s="239"/>
      <c r="D29" s="239"/>
      <c r="E29" s="239"/>
      <c r="F29" s="243"/>
      <c r="G29" s="243"/>
      <c r="H29" s="183">
        <f t="shared" si="0"/>
        <v>0</v>
      </c>
      <c r="I29" s="240"/>
    </row>
    <row r="30" spans="1:9" ht="15.95" customHeight="1">
      <c r="A30" s="695"/>
      <c r="B30" s="232"/>
      <c r="C30" s="239"/>
      <c r="D30" s="239"/>
      <c r="E30" s="239"/>
      <c r="F30" s="243"/>
      <c r="G30" s="243"/>
      <c r="H30" s="183">
        <f t="shared" si="0"/>
        <v>0</v>
      </c>
      <c r="I30" s="240"/>
    </row>
    <row r="31" spans="1:9" ht="15.95" customHeight="1">
      <c r="A31" s="695"/>
      <c r="B31" s="232"/>
      <c r="C31" s="244" t="s">
        <v>214</v>
      </c>
      <c r="D31" s="244"/>
      <c r="E31" s="244"/>
      <c r="F31" s="247"/>
      <c r="G31" s="247"/>
      <c r="H31" s="183">
        <f t="shared" si="0"/>
        <v>0</v>
      </c>
      <c r="I31" s="248"/>
    </row>
    <row r="32" spans="1:9" ht="15.95" customHeight="1">
      <c r="A32" s="695"/>
      <c r="B32" s="249"/>
      <c r="C32" s="250"/>
      <c r="D32" s="251"/>
      <c r="E32" s="251"/>
      <c r="F32" s="310"/>
      <c r="G32" s="253"/>
      <c r="H32" s="254">
        <f>SUM(H27:H31)</f>
        <v>0</v>
      </c>
      <c r="I32" s="255"/>
    </row>
    <row r="33" spans="1:9" ht="15.95" customHeight="1">
      <c r="A33" s="695"/>
      <c r="B33" s="276" t="s">
        <v>174</v>
      </c>
      <c r="C33" s="553" t="s">
        <v>353</v>
      </c>
      <c r="D33" s="553"/>
      <c r="E33" s="567" t="s">
        <v>347</v>
      </c>
      <c r="F33" s="551"/>
      <c r="G33" s="551"/>
      <c r="H33" s="261">
        <f t="shared" si="0"/>
        <v>0</v>
      </c>
      <c r="I33" s="262"/>
    </row>
    <row r="34" spans="1:9" ht="15.95" customHeight="1">
      <c r="A34" s="695"/>
      <c r="B34" s="232" t="s">
        <v>175</v>
      </c>
      <c r="C34" s="553" t="s">
        <v>356</v>
      </c>
      <c r="D34" s="409"/>
      <c r="E34" s="552" t="s">
        <v>355</v>
      </c>
      <c r="F34" s="551">
        <v>1</v>
      </c>
      <c r="G34" s="551">
        <v>2000000</v>
      </c>
      <c r="H34" s="183">
        <f t="shared" si="0"/>
        <v>2000000</v>
      </c>
      <c r="I34" s="240"/>
    </row>
    <row r="35" spans="1:9" ht="15.95" customHeight="1">
      <c r="A35" s="695"/>
      <c r="B35" s="232"/>
      <c r="C35" s="553" t="s">
        <v>358</v>
      </c>
      <c r="D35" s="553"/>
      <c r="E35" s="567" t="s">
        <v>347</v>
      </c>
      <c r="F35" s="551"/>
      <c r="G35" s="551"/>
      <c r="H35" s="183">
        <f t="shared" si="0"/>
        <v>0</v>
      </c>
      <c r="I35" s="240"/>
    </row>
    <row r="36" spans="1:9" ht="15.95" customHeight="1">
      <c r="A36" s="695"/>
      <c r="B36" s="232"/>
      <c r="C36" s="553" t="s">
        <v>362</v>
      </c>
      <c r="D36" s="553"/>
      <c r="E36" s="567" t="s">
        <v>347</v>
      </c>
      <c r="F36" s="551">
        <v>1</v>
      </c>
      <c r="G36" s="551">
        <v>500000</v>
      </c>
      <c r="H36" s="183">
        <f t="shared" si="0"/>
        <v>500000</v>
      </c>
      <c r="I36" s="240"/>
    </row>
    <row r="37" spans="1:9" ht="15.95" customHeight="1">
      <c r="A37" s="695"/>
      <c r="B37" s="232"/>
      <c r="C37" s="553" t="s">
        <v>361</v>
      </c>
      <c r="D37" s="553"/>
      <c r="E37" s="567" t="s">
        <v>347</v>
      </c>
      <c r="F37" s="551"/>
      <c r="G37" s="551"/>
      <c r="H37" s="183">
        <f t="shared" si="0"/>
        <v>0</v>
      </c>
      <c r="I37" s="240"/>
    </row>
    <row r="38" spans="1:9" ht="15.95" customHeight="1">
      <c r="A38" s="695"/>
      <c r="B38" s="232"/>
      <c r="C38" s="553" t="s">
        <v>362</v>
      </c>
      <c r="D38" s="553"/>
      <c r="E38" s="567" t="s">
        <v>347</v>
      </c>
      <c r="F38" s="551">
        <v>1</v>
      </c>
      <c r="G38" s="551">
        <v>500000</v>
      </c>
      <c r="H38" s="183">
        <f t="shared" si="0"/>
        <v>500000</v>
      </c>
      <c r="I38" s="240"/>
    </row>
    <row r="39" spans="1:9" ht="15.95" customHeight="1">
      <c r="A39" s="695"/>
      <c r="B39" s="232"/>
      <c r="C39" s="553" t="s">
        <v>363</v>
      </c>
      <c r="D39" s="553"/>
      <c r="E39" s="567"/>
      <c r="F39" s="551"/>
      <c r="G39" s="551"/>
      <c r="H39" s="183">
        <f t="shared" si="0"/>
        <v>0</v>
      </c>
      <c r="I39" s="240"/>
    </row>
    <row r="40" spans="1:9" ht="15.95" customHeight="1">
      <c r="A40" s="695"/>
      <c r="B40" s="232"/>
      <c r="C40" s="553" t="s">
        <v>372</v>
      </c>
      <c r="D40" s="553" t="s">
        <v>365</v>
      </c>
      <c r="E40" s="552" t="s">
        <v>347</v>
      </c>
      <c r="F40" s="551">
        <v>1</v>
      </c>
      <c r="G40" s="551">
        <v>4800000</v>
      </c>
      <c r="H40" s="183">
        <f t="shared" si="0"/>
        <v>4800000</v>
      </c>
      <c r="I40" s="240"/>
    </row>
    <row r="41" spans="1:9" ht="15.95" customHeight="1">
      <c r="A41" s="695"/>
      <c r="B41" s="232"/>
      <c r="C41" s="553" t="s">
        <v>373</v>
      </c>
      <c r="D41" s="553" t="s">
        <v>366</v>
      </c>
      <c r="E41" s="552" t="s">
        <v>347</v>
      </c>
      <c r="F41" s="551">
        <v>1</v>
      </c>
      <c r="G41" s="551">
        <v>6800000</v>
      </c>
      <c r="H41" s="183">
        <f t="shared" si="0"/>
        <v>6800000</v>
      </c>
      <c r="I41" s="240"/>
    </row>
    <row r="42" spans="1:9" ht="15.95" customHeight="1">
      <c r="A42" s="695"/>
      <c r="B42" s="232"/>
      <c r="C42" s="553" t="s">
        <v>374</v>
      </c>
      <c r="D42" s="553" t="s">
        <v>367</v>
      </c>
      <c r="E42" s="552" t="s">
        <v>347</v>
      </c>
      <c r="F42" s="551">
        <v>2</v>
      </c>
      <c r="G42" s="551">
        <v>400000</v>
      </c>
      <c r="H42" s="183">
        <f t="shared" si="0"/>
        <v>800000</v>
      </c>
      <c r="I42" s="240"/>
    </row>
    <row r="43" spans="1:9" ht="15.95" customHeight="1">
      <c r="A43" s="695"/>
      <c r="B43" s="232"/>
      <c r="C43" s="553" t="s">
        <v>375</v>
      </c>
      <c r="D43" s="697" t="s">
        <v>368</v>
      </c>
      <c r="E43" s="552" t="s">
        <v>347</v>
      </c>
      <c r="F43" s="551">
        <v>1</v>
      </c>
      <c r="G43" s="551">
        <v>11000000</v>
      </c>
      <c r="H43" s="183">
        <f t="shared" si="0"/>
        <v>11000000</v>
      </c>
      <c r="I43" s="240"/>
    </row>
    <row r="44" spans="1:9" ht="15.95" customHeight="1">
      <c r="A44" s="695"/>
      <c r="B44" s="232"/>
      <c r="C44" s="553" t="s">
        <v>376</v>
      </c>
      <c r="D44" s="553"/>
      <c r="E44" s="552" t="s">
        <v>347</v>
      </c>
      <c r="F44" s="551">
        <v>1</v>
      </c>
      <c r="G44" s="551">
        <v>2000000</v>
      </c>
      <c r="H44" s="183">
        <f t="shared" si="0"/>
        <v>2000000</v>
      </c>
      <c r="I44" s="240"/>
    </row>
    <row r="45" spans="1:9" s="554" customFormat="1" ht="15.95" customHeight="1">
      <c r="A45" s="695"/>
      <c r="B45" s="556"/>
      <c r="C45" s="553" t="s">
        <v>369</v>
      </c>
      <c r="D45" s="553"/>
      <c r="E45" s="567"/>
      <c r="F45" s="551"/>
      <c r="G45" s="551"/>
      <c r="H45" s="555">
        <f t="shared" si="0"/>
        <v>0</v>
      </c>
      <c r="I45" s="559"/>
    </row>
    <row r="46" spans="1:9" s="554" customFormat="1" ht="15.95" customHeight="1">
      <c r="A46" s="695"/>
      <c r="B46" s="556"/>
      <c r="C46" s="553" t="s">
        <v>371</v>
      </c>
      <c r="D46" s="409"/>
      <c r="E46" s="552" t="s">
        <v>347</v>
      </c>
      <c r="F46" s="551">
        <v>1</v>
      </c>
      <c r="G46" s="551">
        <v>3200000</v>
      </c>
      <c r="H46" s="555">
        <f t="shared" si="0"/>
        <v>3200000</v>
      </c>
      <c r="I46" s="559"/>
    </row>
    <row r="47" spans="1:9" s="554" customFormat="1" ht="15.95" customHeight="1">
      <c r="A47" s="695"/>
      <c r="B47" s="556"/>
      <c r="C47" s="553" t="s">
        <v>377</v>
      </c>
      <c r="D47" s="553"/>
      <c r="E47" s="567"/>
      <c r="F47" s="551"/>
      <c r="G47" s="551"/>
      <c r="H47" s="555">
        <f t="shared" si="0"/>
        <v>0</v>
      </c>
      <c r="I47" s="559"/>
    </row>
    <row r="48" spans="1:9" s="554" customFormat="1" ht="15.95" customHeight="1">
      <c r="A48" s="695"/>
      <c r="B48" s="556"/>
      <c r="C48" s="553" t="s">
        <v>372</v>
      </c>
      <c r="D48" s="553" t="s">
        <v>365</v>
      </c>
      <c r="E48" s="552" t="s">
        <v>347</v>
      </c>
      <c r="F48" s="551">
        <v>1</v>
      </c>
      <c r="G48" s="551">
        <v>4800000</v>
      </c>
      <c r="H48" s="555">
        <f t="shared" ref="H48:H50" si="2">IF(F48=0,G48,G48*F48)</f>
        <v>4800000</v>
      </c>
      <c r="I48" s="559"/>
    </row>
    <row r="49" spans="1:9" s="554" customFormat="1" ht="15.95" customHeight="1">
      <c r="A49" s="695"/>
      <c r="B49" s="556"/>
      <c r="C49" s="553" t="s">
        <v>373</v>
      </c>
      <c r="D49" s="553" t="s">
        <v>366</v>
      </c>
      <c r="E49" s="552" t="s">
        <v>347</v>
      </c>
      <c r="F49" s="551">
        <v>1</v>
      </c>
      <c r="G49" s="551">
        <v>6800000</v>
      </c>
      <c r="H49" s="555">
        <f t="shared" si="2"/>
        <v>6800000</v>
      </c>
      <c r="I49" s="559"/>
    </row>
    <row r="50" spans="1:9" s="554" customFormat="1" ht="15.95" customHeight="1">
      <c r="A50" s="695"/>
      <c r="B50" s="556"/>
      <c r="C50" s="553" t="s">
        <v>374</v>
      </c>
      <c r="D50" s="553" t="s">
        <v>367</v>
      </c>
      <c r="E50" s="552" t="s">
        <v>347</v>
      </c>
      <c r="F50" s="551">
        <v>2</v>
      </c>
      <c r="G50" s="551">
        <v>400000</v>
      </c>
      <c r="H50" s="555">
        <f t="shared" si="2"/>
        <v>800000</v>
      </c>
      <c r="I50" s="559"/>
    </row>
    <row r="51" spans="1:9" s="554" customFormat="1" ht="15.95" customHeight="1">
      <c r="A51" s="695"/>
      <c r="B51" s="556"/>
      <c r="C51" s="553" t="s">
        <v>376</v>
      </c>
      <c r="D51" s="553"/>
      <c r="E51" s="552" t="s">
        <v>347</v>
      </c>
      <c r="F51" s="551">
        <v>1</v>
      </c>
      <c r="G51" s="551">
        <v>2000000</v>
      </c>
      <c r="H51" s="555">
        <f t="shared" ref="H51:H53" si="3">IF(F51=0,G51,G51*F51)</f>
        <v>2000000</v>
      </c>
      <c r="I51" s="559"/>
    </row>
    <row r="52" spans="1:9" s="554" customFormat="1" ht="15.95" customHeight="1">
      <c r="A52" s="695"/>
      <c r="B52" s="556"/>
      <c r="C52" s="539" t="s">
        <v>378</v>
      </c>
      <c r="D52" s="539"/>
      <c r="E52" s="539"/>
      <c r="F52" s="540"/>
      <c r="G52" s="540"/>
      <c r="H52" s="555">
        <f t="shared" si="3"/>
        <v>0</v>
      </c>
      <c r="I52" s="559"/>
    </row>
    <row r="53" spans="1:9" s="554" customFormat="1" ht="15.95" customHeight="1">
      <c r="A53" s="695"/>
      <c r="B53" s="556"/>
      <c r="C53" s="553" t="s">
        <v>381</v>
      </c>
      <c r="D53" s="553"/>
      <c r="E53" s="552" t="s">
        <v>380</v>
      </c>
      <c r="F53" s="551">
        <v>1</v>
      </c>
      <c r="G53" s="551">
        <v>4000000</v>
      </c>
      <c r="H53" s="555">
        <f t="shared" si="3"/>
        <v>4000000</v>
      </c>
      <c r="I53" s="559"/>
    </row>
    <row r="54" spans="1:9" ht="15.95" customHeight="1">
      <c r="A54" s="695"/>
      <c r="B54" s="232"/>
      <c r="C54" s="553" t="s">
        <v>379</v>
      </c>
      <c r="D54" s="553"/>
      <c r="E54" s="552" t="s">
        <v>380</v>
      </c>
      <c r="F54" s="551">
        <v>1</v>
      </c>
      <c r="G54" s="551">
        <v>12000000</v>
      </c>
      <c r="H54" s="183">
        <f t="shared" si="0"/>
        <v>12000000</v>
      </c>
      <c r="I54" s="240"/>
    </row>
    <row r="55" spans="1:9" ht="15.95" customHeight="1">
      <c r="A55" s="695"/>
      <c r="B55" s="232"/>
      <c r="C55" s="553" t="s">
        <v>382</v>
      </c>
      <c r="D55" s="553"/>
      <c r="E55" s="552" t="s">
        <v>380</v>
      </c>
      <c r="F55" s="551">
        <v>1</v>
      </c>
      <c r="G55" s="551">
        <v>2000000</v>
      </c>
      <c r="H55" s="183">
        <f t="shared" si="0"/>
        <v>2000000</v>
      </c>
      <c r="I55" s="240"/>
    </row>
    <row r="56" spans="1:9" ht="15.95" customHeight="1">
      <c r="A56" s="695"/>
      <c r="B56" s="232"/>
      <c r="C56" s="553" t="s">
        <v>383</v>
      </c>
      <c r="D56" s="553"/>
      <c r="E56" s="552" t="s">
        <v>380</v>
      </c>
      <c r="F56" s="551">
        <v>1</v>
      </c>
      <c r="G56" s="551">
        <v>2000000</v>
      </c>
      <c r="H56" s="183">
        <f t="shared" si="0"/>
        <v>2000000</v>
      </c>
      <c r="I56" s="240"/>
    </row>
    <row r="57" spans="1:9" s="554" customFormat="1" ht="15.95" customHeight="1">
      <c r="A57" s="695"/>
      <c r="B57" s="556"/>
      <c r="C57" s="553"/>
      <c r="D57" s="553"/>
      <c r="E57" s="552"/>
      <c r="F57" s="551"/>
      <c r="G57" s="551"/>
      <c r="H57" s="555">
        <f t="shared" ref="H57" si="4">IF(F57=0,G57,G57*F57)</f>
        <v>0</v>
      </c>
      <c r="I57" s="559"/>
    </row>
    <row r="58" spans="1:9" ht="15.95" customHeight="1">
      <c r="A58" s="695"/>
      <c r="B58" s="232"/>
      <c r="C58" s="698" t="s">
        <v>286</v>
      </c>
      <c r="D58" s="698"/>
      <c r="E58" s="699" t="s">
        <v>285</v>
      </c>
      <c r="F58" s="700">
        <v>1</v>
      </c>
      <c r="G58" s="700">
        <v>400000</v>
      </c>
      <c r="H58" s="237">
        <f t="shared" si="0"/>
        <v>400000</v>
      </c>
      <c r="I58" s="251"/>
    </row>
    <row r="59" spans="1:9" ht="15.95" customHeight="1">
      <c r="A59" s="695"/>
      <c r="B59" s="249"/>
      <c r="C59" s="250"/>
      <c r="D59" s="251"/>
      <c r="E59" s="251"/>
      <c r="F59" s="253"/>
      <c r="G59" s="253"/>
      <c r="H59" s="254">
        <f>SUM(H33:H58)</f>
        <v>66400000</v>
      </c>
      <c r="I59" s="255"/>
    </row>
    <row r="60" spans="1:9" ht="15.95" customHeight="1">
      <c r="A60" s="695"/>
      <c r="B60" s="276" t="s">
        <v>245</v>
      </c>
      <c r="C60" s="257"/>
      <c r="D60" s="257"/>
      <c r="E60" s="257"/>
      <c r="F60" s="260"/>
      <c r="G60" s="260"/>
      <c r="H60" s="261">
        <f t="shared" si="0"/>
        <v>0</v>
      </c>
      <c r="I60" s="262"/>
    </row>
    <row r="61" spans="1:9" ht="15.95" customHeight="1">
      <c r="A61" s="695"/>
      <c r="B61" s="232"/>
      <c r="C61" s="239"/>
      <c r="D61" s="239"/>
      <c r="E61" s="239"/>
      <c r="F61" s="243"/>
      <c r="G61" s="243"/>
      <c r="H61" s="183">
        <f t="shared" si="0"/>
        <v>0</v>
      </c>
      <c r="I61" s="240"/>
    </row>
    <row r="62" spans="1:9" ht="15.95" customHeight="1">
      <c r="A62" s="695"/>
      <c r="B62" s="232"/>
      <c r="C62" s="239"/>
      <c r="D62" s="239"/>
      <c r="E62" s="239"/>
      <c r="F62" s="243"/>
      <c r="G62" s="243"/>
      <c r="H62" s="183">
        <f t="shared" si="0"/>
        <v>0</v>
      </c>
      <c r="I62" s="240"/>
    </row>
    <row r="63" spans="1:9" ht="15.95" customHeight="1">
      <c r="A63" s="695"/>
      <c r="B63" s="232"/>
      <c r="C63" s="239"/>
      <c r="D63" s="239"/>
      <c r="E63" s="239"/>
      <c r="F63" s="243"/>
      <c r="G63" s="243"/>
      <c r="H63" s="183">
        <f t="shared" si="0"/>
        <v>0</v>
      </c>
      <c r="I63" s="240"/>
    </row>
    <row r="64" spans="1:9" ht="15.95" customHeight="1">
      <c r="A64" s="695"/>
      <c r="B64" s="232"/>
      <c r="C64" s="239"/>
      <c r="D64" s="239"/>
      <c r="E64" s="239"/>
      <c r="F64" s="243"/>
      <c r="G64" s="243"/>
      <c r="H64" s="183">
        <f t="shared" si="0"/>
        <v>0</v>
      </c>
      <c r="I64" s="240"/>
    </row>
    <row r="65" spans="1:9" ht="15.95" customHeight="1">
      <c r="A65" s="695"/>
      <c r="B65" s="232"/>
      <c r="C65" s="239"/>
      <c r="D65" s="239"/>
      <c r="E65" s="239"/>
      <c r="F65" s="243"/>
      <c r="G65" s="243"/>
      <c r="H65" s="183">
        <f t="shared" si="0"/>
        <v>0</v>
      </c>
      <c r="I65" s="240"/>
    </row>
    <row r="66" spans="1:9" ht="15.95" customHeight="1">
      <c r="A66" s="695"/>
      <c r="B66" s="232"/>
      <c r="C66" s="244" t="s">
        <v>246</v>
      </c>
      <c r="D66" s="244"/>
      <c r="E66" s="244"/>
      <c r="F66" s="247"/>
      <c r="G66" s="247"/>
      <c r="H66" s="277">
        <f t="shared" si="0"/>
        <v>0</v>
      </c>
      <c r="I66" s="248"/>
    </row>
    <row r="67" spans="1:9" ht="15.95" customHeight="1">
      <c r="A67" s="695"/>
      <c r="B67" s="249"/>
      <c r="C67" s="250"/>
      <c r="D67" s="251"/>
      <c r="E67" s="251"/>
      <c r="F67" s="253"/>
      <c r="G67" s="253"/>
      <c r="H67" s="254">
        <f>SUM(H60:H66)</f>
        <v>0</v>
      </c>
      <c r="I67" s="255"/>
    </row>
    <row r="68" spans="1:9" ht="15.95" customHeight="1">
      <c r="A68" s="278"/>
      <c r="B68" s="279" t="s">
        <v>247</v>
      </c>
      <c r="C68" s="280"/>
      <c r="D68" s="255"/>
      <c r="E68" s="255"/>
      <c r="F68" s="282"/>
      <c r="G68" s="282"/>
      <c r="H68" s="254">
        <f>SUM(H67,H59,H32,H26)</f>
        <v>110300000</v>
      </c>
      <c r="I68" s="255"/>
    </row>
    <row r="69" spans="1:9" ht="15.95" customHeight="1">
      <c r="A69" s="696" t="s">
        <v>248</v>
      </c>
      <c r="B69" s="283" t="s">
        <v>249</v>
      </c>
      <c r="C69" s="280"/>
      <c r="D69" s="284"/>
      <c r="E69" s="311" t="s">
        <v>250</v>
      </c>
      <c r="F69" s="386">
        <v>0</v>
      </c>
      <c r="G69" s="386">
        <v>300000</v>
      </c>
      <c r="H69" s="288">
        <f>F69*G69</f>
        <v>0</v>
      </c>
      <c r="I69" s="255"/>
    </row>
    <row r="70" spans="1:9" ht="15.95" customHeight="1">
      <c r="A70" s="695"/>
      <c r="B70" s="289" t="s">
        <v>177</v>
      </c>
      <c r="C70" s="290"/>
      <c r="D70" s="291"/>
      <c r="E70" s="312" t="s">
        <v>148</v>
      </c>
      <c r="F70" s="384">
        <v>64</v>
      </c>
      <c r="G70" s="387">
        <v>300000</v>
      </c>
      <c r="H70" s="261">
        <f t="shared" ref="H70:H76" si="5">F70*G70</f>
        <v>19200000</v>
      </c>
      <c r="I70" s="262"/>
    </row>
    <row r="71" spans="1:9" ht="15.95" customHeight="1">
      <c r="A71" s="695"/>
      <c r="B71" s="315" t="s">
        <v>178</v>
      </c>
      <c r="C71" s="294"/>
      <c r="D71" s="295"/>
      <c r="E71" s="313" t="s">
        <v>148</v>
      </c>
      <c r="F71" s="382">
        <v>17</v>
      </c>
      <c r="G71" s="385">
        <v>250000</v>
      </c>
      <c r="H71" s="183">
        <f t="shared" si="5"/>
        <v>4250000</v>
      </c>
      <c r="I71" s="240"/>
    </row>
    <row r="72" spans="1:9" ht="15.95" customHeight="1">
      <c r="A72" s="695"/>
      <c r="B72" s="293" t="s">
        <v>179</v>
      </c>
      <c r="C72" s="294"/>
      <c r="D72" s="295"/>
      <c r="E72" s="313" t="s">
        <v>148</v>
      </c>
      <c r="F72" s="382">
        <v>41</v>
      </c>
      <c r="G72" s="385">
        <v>250000</v>
      </c>
      <c r="H72" s="183">
        <f t="shared" si="5"/>
        <v>10250000</v>
      </c>
      <c r="I72" s="240"/>
    </row>
    <row r="73" spans="1:9" ht="15.95" customHeight="1">
      <c r="A73" s="695"/>
      <c r="B73" s="293" t="s">
        <v>180</v>
      </c>
      <c r="C73" s="294"/>
      <c r="D73" s="295"/>
      <c r="E73" s="313" t="s">
        <v>148</v>
      </c>
      <c r="F73" s="382">
        <v>22</v>
      </c>
      <c r="G73" s="382">
        <v>300000</v>
      </c>
      <c r="H73" s="183">
        <f t="shared" si="5"/>
        <v>6600000</v>
      </c>
      <c r="I73" s="240"/>
    </row>
    <row r="74" spans="1:9" ht="15.95" customHeight="1">
      <c r="A74" s="695"/>
      <c r="B74" s="293" t="s">
        <v>181</v>
      </c>
      <c r="C74" s="294"/>
      <c r="D74" s="295"/>
      <c r="E74" s="313" t="s">
        <v>148</v>
      </c>
      <c r="F74" s="382">
        <v>22</v>
      </c>
      <c r="G74" s="382">
        <v>300000</v>
      </c>
      <c r="H74" s="183">
        <f t="shared" si="5"/>
        <v>6600000</v>
      </c>
      <c r="I74" s="240"/>
    </row>
    <row r="75" spans="1:9" ht="15.95" customHeight="1">
      <c r="A75" s="695"/>
      <c r="B75" s="293" t="s">
        <v>182</v>
      </c>
      <c r="C75" s="294"/>
      <c r="D75" s="295"/>
      <c r="E75" s="313" t="s">
        <v>148</v>
      </c>
      <c r="F75" s="382">
        <v>10</v>
      </c>
      <c r="G75" s="382">
        <v>300000</v>
      </c>
      <c r="H75" s="183">
        <f t="shared" si="5"/>
        <v>3000000</v>
      </c>
      <c r="I75" s="240"/>
    </row>
    <row r="76" spans="1:9" ht="15.95" customHeight="1">
      <c r="A76" s="695"/>
      <c r="B76" s="297" t="s">
        <v>183</v>
      </c>
      <c r="C76" s="298"/>
      <c r="D76" s="299"/>
      <c r="E76" s="314" t="s">
        <v>148</v>
      </c>
      <c r="F76" s="383">
        <v>17</v>
      </c>
      <c r="G76" s="388">
        <v>250000</v>
      </c>
      <c r="H76" s="277">
        <f t="shared" si="5"/>
        <v>4250000</v>
      </c>
      <c r="I76" s="248"/>
    </row>
    <row r="77" spans="1:9" ht="15.95" customHeight="1">
      <c r="A77" s="278"/>
      <c r="B77" s="301" t="s">
        <v>154</v>
      </c>
      <c r="C77" s="280"/>
      <c r="D77" s="255"/>
      <c r="E77" s="255"/>
      <c r="F77" s="253"/>
      <c r="G77" s="253"/>
      <c r="H77" s="253">
        <f>SUM(H69:H76)</f>
        <v>54150000</v>
      </c>
      <c r="I77" s="251"/>
    </row>
    <row r="78" spans="1:9" ht="15.95" customHeight="1">
      <c r="A78" s="302"/>
      <c r="B78" s="301" t="s">
        <v>184</v>
      </c>
      <c r="C78" s="280"/>
      <c r="D78" s="255"/>
      <c r="E78" s="255"/>
      <c r="F78" s="254"/>
      <c r="G78" s="254"/>
      <c r="H78" s="282">
        <f>'단위공사별(집계)'!L13+'단위공사별(집계)'!I13</f>
        <v>1300143.614670791</v>
      </c>
      <c r="I78" s="255"/>
    </row>
    <row r="79" spans="1:9" ht="15.95" customHeight="1">
      <c r="A79" s="302"/>
      <c r="B79" s="301" t="s">
        <v>157</v>
      </c>
      <c r="C79" s="280"/>
      <c r="D79" s="255"/>
      <c r="E79" s="255"/>
      <c r="F79" s="254"/>
      <c r="G79" s="304"/>
      <c r="H79" s="386">
        <f>(H77+H68)*0</f>
        <v>0</v>
      </c>
      <c r="I79" s="280"/>
    </row>
    <row r="80" spans="1:9" ht="15.95" customHeight="1">
      <c r="A80" s="302"/>
      <c r="B80" s="301" t="s">
        <v>158</v>
      </c>
      <c r="C80" s="280"/>
      <c r="D80" s="255"/>
      <c r="E80" s="255"/>
      <c r="F80" s="254"/>
      <c r="G80" s="304"/>
      <c r="H80" s="386">
        <f>(H77+H68)*0</f>
        <v>0</v>
      </c>
      <c r="I80" s="280"/>
    </row>
    <row r="81" spans="1:9" ht="15.95" customHeight="1">
      <c r="A81" s="302"/>
      <c r="B81" s="301" t="s">
        <v>159</v>
      </c>
      <c r="C81" s="280"/>
      <c r="D81" s="255"/>
      <c r="E81" s="255"/>
      <c r="F81" s="254"/>
      <c r="G81" s="254"/>
      <c r="H81" s="253">
        <f>H68+H77+H78+H79+H80</f>
        <v>165750143.61467078</v>
      </c>
      <c r="I81" s="255"/>
    </row>
    <row r="82" spans="1:9">
      <c r="A82" s="150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ignoredErrors>
    <ignoredError sqref="H26 H32 H59" formula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  <pageSetUpPr fitToPage="1"/>
  </sheetPr>
  <dimension ref="A1:I70"/>
  <sheetViews>
    <sheetView zoomScale="85" workbookViewId="0">
      <pane xSplit="2" ySplit="2" topLeftCell="C3" activePane="bottomRight" state="frozen"/>
      <selection activeCell="L30" sqref="L30"/>
      <selection pane="topRight" activeCell="L30" sqref="L30"/>
      <selection pane="bottomLeft" activeCell="L30" sqref="L30"/>
      <selection pane="bottomRight" activeCell="K36" sqref="K36"/>
    </sheetView>
  </sheetViews>
  <sheetFormatPr defaultRowHeight="13.5"/>
  <cols>
    <col min="1" max="1" width="5" style="133" customWidth="1"/>
    <col min="2" max="2" width="17.875" style="133" bestFit="1" customWidth="1"/>
    <col min="3" max="3" width="23.625" style="133" customWidth="1"/>
    <col min="4" max="4" width="18.25" style="133" customWidth="1"/>
    <col min="5" max="5" width="5.25" style="133" bestFit="1" customWidth="1"/>
    <col min="6" max="6" width="9" style="172"/>
    <col min="7" max="7" width="11.875" style="172" customWidth="1"/>
    <col min="8" max="8" width="13.625" style="172" customWidth="1"/>
    <col min="9" max="9" width="12.75" style="133" customWidth="1"/>
    <col min="10" max="16384" width="9" style="133"/>
  </cols>
  <sheetData>
    <row r="1" spans="1:9" ht="22.5" customHeight="1">
      <c r="B1" s="224" t="s">
        <v>233</v>
      </c>
      <c r="C1" s="389"/>
      <c r="D1" s="226"/>
      <c r="E1" s="226"/>
      <c r="F1" s="308"/>
      <c r="G1" s="186"/>
      <c r="I1" s="133" t="s">
        <v>234</v>
      </c>
    </row>
    <row r="2" spans="1:9" s="150" customFormat="1" ht="16.5" customHeight="1">
      <c r="A2" s="579" t="s">
        <v>235</v>
      </c>
      <c r="B2" s="690"/>
      <c r="C2" s="141" t="s">
        <v>236</v>
      </c>
      <c r="D2" s="134" t="s">
        <v>237</v>
      </c>
      <c r="E2" s="134" t="s">
        <v>238</v>
      </c>
      <c r="F2" s="281" t="s">
        <v>239</v>
      </c>
      <c r="G2" s="281" t="s">
        <v>240</v>
      </c>
      <c r="H2" s="281" t="s">
        <v>241</v>
      </c>
      <c r="I2" s="134" t="s">
        <v>242</v>
      </c>
    </row>
    <row r="3" spans="1:9" ht="15.95" customHeight="1">
      <c r="A3" s="691" t="s">
        <v>243</v>
      </c>
      <c r="B3" s="232" t="s">
        <v>244</v>
      </c>
      <c r="C3" s="390"/>
      <c r="D3" s="393"/>
      <c r="E3" s="391"/>
      <c r="F3" s="392"/>
      <c r="G3" s="392"/>
      <c r="H3" s="367">
        <f>IF(F3=0,G3,G3*F3)</f>
        <v>0</v>
      </c>
      <c r="I3" s="262"/>
    </row>
    <row r="4" spans="1:9" ht="15.95" customHeight="1">
      <c r="A4" s="695"/>
      <c r="B4" s="232"/>
      <c r="C4" s="239"/>
      <c r="D4" s="239"/>
      <c r="E4" s="239"/>
      <c r="F4" s="243"/>
      <c r="G4" s="243"/>
      <c r="H4" s="183">
        <f>IF(F4=0,G4,G4*F4)</f>
        <v>0</v>
      </c>
      <c r="I4" s="240"/>
    </row>
    <row r="5" spans="1:9" ht="15.95" customHeight="1">
      <c r="A5" s="695"/>
      <c r="B5" s="232"/>
      <c r="C5" s="239"/>
      <c r="D5" s="239"/>
      <c r="E5" s="239"/>
      <c r="F5" s="243"/>
      <c r="G5" s="243"/>
      <c r="H5" s="183">
        <f t="shared" ref="H5:H54" si="0">IF(F5=0,G5,G5*F5)</f>
        <v>0</v>
      </c>
      <c r="I5" s="240"/>
    </row>
    <row r="6" spans="1:9" ht="15.95" customHeight="1">
      <c r="A6" s="695"/>
      <c r="B6" s="232"/>
      <c r="C6" s="239"/>
      <c r="D6" s="239"/>
      <c r="E6" s="239"/>
      <c r="F6" s="243"/>
      <c r="G6" s="243"/>
      <c r="H6" s="183">
        <f t="shared" si="0"/>
        <v>0</v>
      </c>
      <c r="I6" s="240"/>
    </row>
    <row r="7" spans="1:9" ht="15.95" customHeight="1">
      <c r="A7" s="695"/>
      <c r="B7" s="232"/>
      <c r="C7" s="239"/>
      <c r="D7" s="239"/>
      <c r="E7" s="239"/>
      <c r="F7" s="243"/>
      <c r="G7" s="243"/>
      <c r="H7" s="183">
        <f t="shared" si="0"/>
        <v>0</v>
      </c>
      <c r="I7" s="240"/>
    </row>
    <row r="8" spans="1:9" ht="15.95" customHeight="1">
      <c r="A8" s="695"/>
      <c r="B8" s="232"/>
      <c r="C8" s="239"/>
      <c r="D8" s="239"/>
      <c r="E8" s="239"/>
      <c r="F8" s="243"/>
      <c r="G8" s="243"/>
      <c r="H8" s="183">
        <f t="shared" si="0"/>
        <v>0</v>
      </c>
      <c r="I8" s="240"/>
    </row>
    <row r="9" spans="1:9" ht="15.95" customHeight="1">
      <c r="A9" s="695"/>
      <c r="B9" s="232"/>
      <c r="C9" s="239"/>
      <c r="D9" s="239"/>
      <c r="E9" s="239"/>
      <c r="F9" s="243"/>
      <c r="G9" s="243"/>
      <c r="H9" s="183">
        <f t="shared" si="0"/>
        <v>0</v>
      </c>
      <c r="I9" s="240"/>
    </row>
    <row r="10" spans="1:9" ht="15.95" customHeight="1">
      <c r="A10" s="695"/>
      <c r="B10" s="232"/>
      <c r="C10" s="239"/>
      <c r="D10" s="239"/>
      <c r="E10" s="239"/>
      <c r="F10" s="243"/>
      <c r="G10" s="243"/>
      <c r="H10" s="183">
        <f t="shared" si="0"/>
        <v>0</v>
      </c>
      <c r="I10" s="240"/>
    </row>
    <row r="11" spans="1:9" ht="15.95" customHeight="1">
      <c r="A11" s="695"/>
      <c r="B11" s="232"/>
      <c r="C11" s="239"/>
      <c r="D11" s="239"/>
      <c r="E11" s="239"/>
      <c r="F11" s="243"/>
      <c r="G11" s="243"/>
      <c r="H11" s="183">
        <f t="shared" si="0"/>
        <v>0</v>
      </c>
      <c r="I11" s="240"/>
    </row>
    <row r="12" spans="1:9" ht="15.95" customHeight="1">
      <c r="A12" s="695"/>
      <c r="B12" s="232"/>
      <c r="C12" s="239"/>
      <c r="D12" s="239"/>
      <c r="E12" s="239"/>
      <c r="F12" s="243"/>
      <c r="G12" s="243"/>
      <c r="H12" s="183">
        <f t="shared" si="0"/>
        <v>0</v>
      </c>
      <c r="I12" s="240"/>
    </row>
    <row r="13" spans="1:9" ht="15.95" customHeight="1">
      <c r="A13" s="695"/>
      <c r="B13" s="232"/>
      <c r="C13" s="239"/>
      <c r="D13" s="239"/>
      <c r="E13" s="239"/>
      <c r="F13" s="243"/>
      <c r="G13" s="243"/>
      <c r="H13" s="183">
        <f t="shared" si="0"/>
        <v>0</v>
      </c>
      <c r="I13" s="240"/>
    </row>
    <row r="14" spans="1:9" ht="15.95" customHeight="1">
      <c r="A14" s="695"/>
      <c r="B14" s="232"/>
      <c r="C14" s="239"/>
      <c r="D14" s="239"/>
      <c r="E14" s="239"/>
      <c r="F14" s="243"/>
      <c r="G14" s="243"/>
      <c r="H14" s="183">
        <f t="shared" si="0"/>
        <v>0</v>
      </c>
      <c r="I14" s="240"/>
    </row>
    <row r="15" spans="1:9" ht="15.95" customHeight="1">
      <c r="A15" s="695"/>
      <c r="B15" s="232"/>
      <c r="C15" s="239"/>
      <c r="D15" s="239"/>
      <c r="E15" s="239"/>
      <c r="F15" s="243"/>
      <c r="G15" s="243"/>
      <c r="H15" s="183">
        <f t="shared" si="0"/>
        <v>0</v>
      </c>
      <c r="I15" s="240"/>
    </row>
    <row r="16" spans="1:9" ht="15.95" customHeight="1">
      <c r="A16" s="695"/>
      <c r="B16" s="232"/>
      <c r="C16" s="239"/>
      <c r="D16" s="239"/>
      <c r="E16" s="239"/>
      <c r="F16" s="243"/>
      <c r="G16" s="243"/>
      <c r="H16" s="183">
        <f t="shared" si="0"/>
        <v>0</v>
      </c>
      <c r="I16" s="240"/>
    </row>
    <row r="17" spans="1:9" ht="15.95" customHeight="1">
      <c r="A17" s="695"/>
      <c r="B17" s="232"/>
      <c r="C17" s="239"/>
      <c r="D17" s="239"/>
      <c r="E17" s="239"/>
      <c r="F17" s="243"/>
      <c r="G17" s="243"/>
      <c r="H17" s="183">
        <f t="shared" si="0"/>
        <v>0</v>
      </c>
      <c r="I17" s="240"/>
    </row>
    <row r="18" spans="1:9" ht="15.95" customHeight="1">
      <c r="A18" s="695"/>
      <c r="B18" s="232"/>
      <c r="C18" s="239"/>
      <c r="D18" s="239"/>
      <c r="E18" s="239"/>
      <c r="F18" s="243"/>
      <c r="G18" s="243"/>
      <c r="H18" s="183">
        <f t="shared" si="0"/>
        <v>0</v>
      </c>
      <c r="I18" s="240"/>
    </row>
    <row r="19" spans="1:9" ht="15.95" customHeight="1">
      <c r="A19" s="695"/>
      <c r="B19" s="232"/>
      <c r="C19" s="239"/>
      <c r="D19" s="239"/>
      <c r="E19" s="239"/>
      <c r="F19" s="243"/>
      <c r="G19" s="243"/>
      <c r="H19" s="183">
        <f t="shared" si="0"/>
        <v>0</v>
      </c>
      <c r="I19" s="240"/>
    </row>
    <row r="20" spans="1:9" ht="15.95" customHeight="1">
      <c r="A20" s="695"/>
      <c r="B20" s="232"/>
      <c r="C20" s="239"/>
      <c r="D20" s="239"/>
      <c r="E20" s="239"/>
      <c r="F20" s="243"/>
      <c r="G20" s="243"/>
      <c r="H20" s="183">
        <f t="shared" si="0"/>
        <v>0</v>
      </c>
      <c r="I20" s="240"/>
    </row>
    <row r="21" spans="1:9" ht="15.95" customHeight="1">
      <c r="A21" s="695"/>
      <c r="B21" s="232"/>
      <c r="C21" s="239"/>
      <c r="D21" s="239"/>
      <c r="E21" s="239"/>
      <c r="F21" s="243"/>
      <c r="G21" s="243"/>
      <c r="H21" s="183">
        <f t="shared" si="0"/>
        <v>0</v>
      </c>
      <c r="I21" s="240"/>
    </row>
    <row r="22" spans="1:9" ht="15.95" customHeight="1">
      <c r="A22" s="695"/>
      <c r="B22" s="232"/>
      <c r="C22" s="239"/>
      <c r="D22" s="239"/>
      <c r="E22" s="239"/>
      <c r="F22" s="243"/>
      <c r="G22" s="243"/>
      <c r="H22" s="183">
        <f t="shared" si="0"/>
        <v>0</v>
      </c>
      <c r="I22" s="240"/>
    </row>
    <row r="23" spans="1:9" ht="15.95" customHeight="1">
      <c r="A23" s="695"/>
      <c r="B23" s="232"/>
      <c r="C23" s="244" t="s">
        <v>246</v>
      </c>
      <c r="D23" s="264"/>
      <c r="E23" s="264"/>
      <c r="F23" s="266"/>
      <c r="G23" s="266"/>
      <c r="H23" s="267">
        <f t="shared" si="0"/>
        <v>0</v>
      </c>
      <c r="I23" s="268"/>
    </row>
    <row r="24" spans="1:9" ht="15.95" customHeight="1">
      <c r="A24" s="695"/>
      <c r="B24" s="249"/>
      <c r="C24" s="275"/>
      <c r="D24" s="275"/>
      <c r="E24" s="275"/>
      <c r="F24" s="273"/>
      <c r="G24" s="273"/>
      <c r="H24" s="274">
        <f>SUM(H3:H23)</f>
        <v>0</v>
      </c>
      <c r="I24" s="275"/>
    </row>
    <row r="25" spans="1:9" ht="15.95" customHeight="1">
      <c r="A25" s="695"/>
      <c r="B25" s="232" t="s">
        <v>251</v>
      </c>
      <c r="C25" s="233"/>
      <c r="D25" s="233"/>
      <c r="E25" s="233"/>
      <c r="F25" s="236"/>
      <c r="G25" s="236"/>
      <c r="H25" s="237">
        <f t="shared" si="0"/>
        <v>0</v>
      </c>
      <c r="I25" s="238"/>
    </row>
    <row r="26" spans="1:9" ht="15.95" customHeight="1">
      <c r="A26" s="695"/>
      <c r="B26" s="232" t="s">
        <v>252</v>
      </c>
      <c r="C26" s="239"/>
      <c r="D26" s="239"/>
      <c r="E26" s="239"/>
      <c r="F26" s="243"/>
      <c r="G26" s="243"/>
      <c r="H26" s="183">
        <f t="shared" si="0"/>
        <v>0</v>
      </c>
      <c r="I26" s="240"/>
    </row>
    <row r="27" spans="1:9" ht="15.95" customHeight="1">
      <c r="A27" s="695"/>
      <c r="B27" s="232"/>
      <c r="C27" s="239"/>
      <c r="D27" s="239"/>
      <c r="E27" s="239"/>
      <c r="F27" s="243"/>
      <c r="G27" s="243"/>
      <c r="H27" s="183">
        <f t="shared" si="0"/>
        <v>0</v>
      </c>
      <c r="I27" s="240"/>
    </row>
    <row r="28" spans="1:9" ht="15.95" customHeight="1">
      <c r="A28" s="695"/>
      <c r="B28" s="232"/>
      <c r="C28" s="239"/>
      <c r="D28" s="239"/>
      <c r="E28" s="239"/>
      <c r="F28" s="243"/>
      <c r="G28" s="243"/>
      <c r="H28" s="183">
        <f t="shared" si="0"/>
        <v>0</v>
      </c>
      <c r="I28" s="240"/>
    </row>
    <row r="29" spans="1:9" ht="15.95" customHeight="1">
      <c r="A29" s="695"/>
      <c r="B29" s="232"/>
      <c r="C29" s="244" t="s">
        <v>246</v>
      </c>
      <c r="D29" s="244"/>
      <c r="E29" s="244"/>
      <c r="F29" s="247"/>
      <c r="G29" s="247"/>
      <c r="H29" s="183">
        <f t="shared" si="0"/>
        <v>0</v>
      </c>
      <c r="I29" s="248"/>
    </row>
    <row r="30" spans="1:9" ht="15.95" customHeight="1">
      <c r="A30" s="695"/>
      <c r="B30" s="249"/>
      <c r="C30" s="250"/>
      <c r="D30" s="251"/>
      <c r="E30" s="251"/>
      <c r="F30" s="310"/>
      <c r="G30" s="253"/>
      <c r="H30" s="254">
        <f>SUM(H25:H29)</f>
        <v>0</v>
      </c>
      <c r="I30" s="255"/>
    </row>
    <row r="31" spans="1:9" ht="15.95" customHeight="1">
      <c r="A31" s="695"/>
      <c r="B31" s="276" t="s">
        <v>253</v>
      </c>
      <c r="C31" s="257"/>
      <c r="D31" s="257"/>
      <c r="E31" s="257"/>
      <c r="F31" s="260"/>
      <c r="G31" s="260"/>
      <c r="H31" s="261">
        <f t="shared" si="0"/>
        <v>0</v>
      </c>
      <c r="I31" s="262"/>
    </row>
    <row r="32" spans="1:9" ht="15.95" customHeight="1">
      <c r="A32" s="695"/>
      <c r="B32" s="232" t="s">
        <v>254</v>
      </c>
      <c r="C32" s="239"/>
      <c r="D32" s="239"/>
      <c r="E32" s="239"/>
      <c r="F32" s="243"/>
      <c r="G32" s="243"/>
      <c r="H32" s="183">
        <f t="shared" si="0"/>
        <v>0</v>
      </c>
      <c r="I32" s="240"/>
    </row>
    <row r="33" spans="1:9" ht="15.95" customHeight="1">
      <c r="A33" s="695"/>
      <c r="B33" s="232"/>
      <c r="C33" s="239"/>
      <c r="D33" s="239"/>
      <c r="E33" s="239"/>
      <c r="F33" s="243"/>
      <c r="G33" s="243"/>
      <c r="H33" s="183">
        <f t="shared" si="0"/>
        <v>0</v>
      </c>
      <c r="I33" s="240"/>
    </row>
    <row r="34" spans="1:9" ht="15.95" customHeight="1">
      <c r="A34" s="695"/>
      <c r="B34" s="232"/>
      <c r="C34" s="239"/>
      <c r="D34" s="239"/>
      <c r="E34" s="239"/>
      <c r="F34" s="243"/>
      <c r="G34" s="243"/>
      <c r="H34" s="183">
        <f t="shared" si="0"/>
        <v>0</v>
      </c>
      <c r="I34" s="240"/>
    </row>
    <row r="35" spans="1:9" ht="15.95" customHeight="1">
      <c r="A35" s="695"/>
      <c r="B35" s="232"/>
      <c r="C35" s="239"/>
      <c r="D35" s="239"/>
      <c r="E35" s="239"/>
      <c r="F35" s="243"/>
      <c r="G35" s="243"/>
      <c r="H35" s="183">
        <f t="shared" si="0"/>
        <v>0</v>
      </c>
      <c r="I35" s="240"/>
    </row>
    <row r="36" spans="1:9" ht="15.95" customHeight="1">
      <c r="A36" s="695"/>
      <c r="B36" s="232"/>
      <c r="C36" s="239"/>
      <c r="D36" s="239"/>
      <c r="E36" s="239"/>
      <c r="F36" s="243"/>
      <c r="G36" s="243"/>
      <c r="H36" s="183">
        <f t="shared" si="0"/>
        <v>0</v>
      </c>
      <c r="I36" s="240"/>
    </row>
    <row r="37" spans="1:9" ht="15.95" customHeight="1">
      <c r="A37" s="695"/>
      <c r="B37" s="232"/>
      <c r="C37" s="239"/>
      <c r="D37" s="239"/>
      <c r="E37" s="239"/>
      <c r="F37" s="243"/>
      <c r="G37" s="243"/>
      <c r="H37" s="183">
        <f t="shared" si="0"/>
        <v>0</v>
      </c>
      <c r="I37" s="240"/>
    </row>
    <row r="38" spans="1:9" ht="15.95" customHeight="1">
      <c r="A38" s="695"/>
      <c r="B38" s="232"/>
      <c r="C38" s="239"/>
      <c r="D38" s="239"/>
      <c r="E38" s="239"/>
      <c r="F38" s="243"/>
      <c r="G38" s="243"/>
      <c r="H38" s="183">
        <f t="shared" si="0"/>
        <v>0</v>
      </c>
      <c r="I38" s="240"/>
    </row>
    <row r="39" spans="1:9" ht="15.95" customHeight="1">
      <c r="A39" s="695"/>
      <c r="B39" s="232"/>
      <c r="C39" s="239"/>
      <c r="D39" s="239"/>
      <c r="E39" s="239"/>
      <c r="F39" s="243"/>
      <c r="G39" s="243"/>
      <c r="H39" s="183">
        <f t="shared" si="0"/>
        <v>0</v>
      </c>
      <c r="I39" s="240"/>
    </row>
    <row r="40" spans="1:9" ht="15.95" customHeight="1">
      <c r="A40" s="695"/>
      <c r="B40" s="232"/>
      <c r="C40" s="239"/>
      <c r="D40" s="239"/>
      <c r="E40" s="239"/>
      <c r="F40" s="243"/>
      <c r="G40" s="243"/>
      <c r="H40" s="183">
        <f t="shared" si="0"/>
        <v>0</v>
      </c>
      <c r="I40" s="240"/>
    </row>
    <row r="41" spans="1:9" ht="15.95" customHeight="1">
      <c r="A41" s="695"/>
      <c r="B41" s="232"/>
      <c r="C41" s="239"/>
      <c r="D41" s="239"/>
      <c r="E41" s="239"/>
      <c r="F41" s="243"/>
      <c r="G41" s="243"/>
      <c r="H41" s="183">
        <f t="shared" si="0"/>
        <v>0</v>
      </c>
      <c r="I41" s="240"/>
    </row>
    <row r="42" spans="1:9" ht="15.95" customHeight="1">
      <c r="A42" s="695"/>
      <c r="B42" s="232"/>
      <c r="C42" s="239"/>
      <c r="D42" s="239"/>
      <c r="E42" s="239"/>
      <c r="F42" s="243"/>
      <c r="G42" s="243"/>
      <c r="H42" s="183">
        <f t="shared" si="0"/>
        <v>0</v>
      </c>
      <c r="I42" s="240"/>
    </row>
    <row r="43" spans="1:9" ht="15.95" customHeight="1">
      <c r="A43" s="695"/>
      <c r="B43" s="232"/>
      <c r="C43" s="239"/>
      <c r="D43" s="239"/>
      <c r="E43" s="239"/>
      <c r="F43" s="243"/>
      <c r="G43" s="243"/>
      <c r="H43" s="183">
        <f t="shared" si="0"/>
        <v>0</v>
      </c>
      <c r="I43" s="240"/>
    </row>
    <row r="44" spans="1:9" ht="15.95" customHeight="1">
      <c r="A44" s="695"/>
      <c r="B44" s="232"/>
      <c r="C44" s="239"/>
      <c r="D44" s="239"/>
      <c r="E44" s="239"/>
      <c r="F44" s="243"/>
      <c r="G44" s="243"/>
      <c r="H44" s="183">
        <f t="shared" si="0"/>
        <v>0</v>
      </c>
      <c r="I44" s="240"/>
    </row>
    <row r="45" spans="1:9" ht="15.95" customHeight="1">
      <c r="A45" s="695"/>
      <c r="B45" s="232"/>
      <c r="C45" s="239"/>
      <c r="D45" s="239"/>
      <c r="E45" s="239"/>
      <c r="F45" s="243"/>
      <c r="G45" s="243"/>
      <c r="H45" s="183">
        <f t="shared" si="0"/>
        <v>0</v>
      </c>
      <c r="I45" s="240"/>
    </row>
    <row r="46" spans="1:9" ht="15.95" customHeight="1">
      <c r="A46" s="695"/>
      <c r="B46" s="232"/>
      <c r="C46" s="394" t="s">
        <v>286</v>
      </c>
      <c r="D46" s="394"/>
      <c r="E46" s="395" t="s">
        <v>285</v>
      </c>
      <c r="F46" s="396"/>
      <c r="G46" s="396"/>
      <c r="H46" s="367">
        <f t="shared" si="0"/>
        <v>0</v>
      </c>
      <c r="I46" s="248"/>
    </row>
    <row r="47" spans="1:9" ht="15.95" customHeight="1">
      <c r="A47" s="695"/>
      <c r="B47" s="249"/>
      <c r="C47" s="250"/>
      <c r="D47" s="251"/>
      <c r="E47" s="251"/>
      <c r="F47" s="253"/>
      <c r="G47" s="253"/>
      <c r="H47" s="254">
        <f>SUM(H31:H46)</f>
        <v>0</v>
      </c>
      <c r="I47" s="255"/>
    </row>
    <row r="48" spans="1:9" ht="15.95" customHeight="1">
      <c r="A48" s="695"/>
      <c r="B48" s="276" t="s">
        <v>245</v>
      </c>
      <c r="C48" s="257"/>
      <c r="D48" s="257"/>
      <c r="E48" s="257"/>
      <c r="F48" s="260"/>
      <c r="G48" s="260"/>
      <c r="H48" s="261">
        <f t="shared" si="0"/>
        <v>0</v>
      </c>
      <c r="I48" s="262"/>
    </row>
    <row r="49" spans="1:9" ht="15.95" customHeight="1">
      <c r="A49" s="695"/>
      <c r="B49" s="232"/>
      <c r="C49" s="239"/>
      <c r="D49" s="239"/>
      <c r="E49" s="239"/>
      <c r="F49" s="243"/>
      <c r="G49" s="243"/>
      <c r="H49" s="183">
        <f t="shared" si="0"/>
        <v>0</v>
      </c>
      <c r="I49" s="240"/>
    </row>
    <row r="50" spans="1:9" ht="15.95" customHeight="1">
      <c r="A50" s="695"/>
      <c r="B50" s="232"/>
      <c r="C50" s="239"/>
      <c r="D50" s="239"/>
      <c r="E50" s="239"/>
      <c r="F50" s="243"/>
      <c r="G50" s="243"/>
      <c r="H50" s="183">
        <f t="shared" si="0"/>
        <v>0</v>
      </c>
      <c r="I50" s="240"/>
    </row>
    <row r="51" spans="1:9" ht="15.95" customHeight="1">
      <c r="A51" s="695"/>
      <c r="B51" s="232"/>
      <c r="C51" s="239"/>
      <c r="D51" s="239"/>
      <c r="E51" s="239"/>
      <c r="F51" s="243"/>
      <c r="G51" s="243"/>
      <c r="H51" s="183">
        <f t="shared" si="0"/>
        <v>0</v>
      </c>
      <c r="I51" s="240"/>
    </row>
    <row r="52" spans="1:9" ht="15.95" customHeight="1">
      <c r="A52" s="695"/>
      <c r="B52" s="232"/>
      <c r="C52" s="239"/>
      <c r="D52" s="239"/>
      <c r="E52" s="239"/>
      <c r="F52" s="243"/>
      <c r="G52" s="243"/>
      <c r="H52" s="183">
        <f t="shared" si="0"/>
        <v>0</v>
      </c>
      <c r="I52" s="240"/>
    </row>
    <row r="53" spans="1:9" ht="15.95" customHeight="1">
      <c r="A53" s="695"/>
      <c r="B53" s="232"/>
      <c r="C53" s="239"/>
      <c r="D53" s="239"/>
      <c r="E53" s="239"/>
      <c r="F53" s="243"/>
      <c r="G53" s="243"/>
      <c r="H53" s="183">
        <f t="shared" si="0"/>
        <v>0</v>
      </c>
      <c r="I53" s="240"/>
    </row>
    <row r="54" spans="1:9" ht="15.95" customHeight="1">
      <c r="A54" s="695"/>
      <c r="B54" s="232"/>
      <c r="C54" s="244" t="s">
        <v>246</v>
      </c>
      <c r="D54" s="244"/>
      <c r="E54" s="244"/>
      <c r="F54" s="247"/>
      <c r="G54" s="247"/>
      <c r="H54" s="277">
        <f t="shared" si="0"/>
        <v>0</v>
      </c>
      <c r="I54" s="248"/>
    </row>
    <row r="55" spans="1:9" ht="15.95" customHeight="1">
      <c r="A55" s="695"/>
      <c r="B55" s="249"/>
      <c r="C55" s="250"/>
      <c r="D55" s="251"/>
      <c r="E55" s="251"/>
      <c r="F55" s="253"/>
      <c r="G55" s="253"/>
      <c r="H55" s="254">
        <f>SUM(H48:H54)</f>
        <v>0</v>
      </c>
      <c r="I55" s="255"/>
    </row>
    <row r="56" spans="1:9" ht="15.95" customHeight="1">
      <c r="A56" s="278"/>
      <c r="B56" s="279" t="s">
        <v>247</v>
      </c>
      <c r="C56" s="280"/>
      <c r="D56" s="255"/>
      <c r="E56" s="255"/>
      <c r="F56" s="282"/>
      <c r="G56" s="282"/>
      <c r="H56" s="254">
        <f>SUM(H55,H47,H30,H24)</f>
        <v>0</v>
      </c>
      <c r="I56" s="255"/>
    </row>
    <row r="57" spans="1:9" ht="15.95" customHeight="1">
      <c r="A57" s="696" t="s">
        <v>248</v>
      </c>
      <c r="B57" s="283" t="s">
        <v>249</v>
      </c>
      <c r="C57" s="280"/>
      <c r="D57" s="284"/>
      <c r="E57" s="311" t="s">
        <v>250</v>
      </c>
      <c r="F57" s="402"/>
      <c r="G57" s="402">
        <v>300000</v>
      </c>
      <c r="H57" s="288">
        <f>F57*G57</f>
        <v>0</v>
      </c>
      <c r="I57" s="255"/>
    </row>
    <row r="58" spans="1:9" ht="15.95" customHeight="1">
      <c r="A58" s="695"/>
      <c r="B58" s="289" t="s">
        <v>255</v>
      </c>
      <c r="C58" s="290"/>
      <c r="D58" s="291"/>
      <c r="E58" s="312" t="s">
        <v>148</v>
      </c>
      <c r="F58" s="400"/>
      <c r="G58" s="403">
        <v>300000</v>
      </c>
      <c r="H58" s="261">
        <f t="shared" ref="H58:H64" si="1">F58*G58</f>
        <v>0</v>
      </c>
      <c r="I58" s="262"/>
    </row>
    <row r="59" spans="1:9" ht="15.95" customHeight="1">
      <c r="A59" s="695"/>
      <c r="B59" s="315" t="s">
        <v>256</v>
      </c>
      <c r="C59" s="294"/>
      <c r="D59" s="295"/>
      <c r="E59" s="313" t="s">
        <v>148</v>
      </c>
      <c r="F59" s="398"/>
      <c r="G59" s="401">
        <v>250000</v>
      </c>
      <c r="H59" s="183">
        <f t="shared" si="1"/>
        <v>0</v>
      </c>
      <c r="I59" s="240"/>
    </row>
    <row r="60" spans="1:9" ht="15.95" customHeight="1">
      <c r="A60" s="695"/>
      <c r="B60" s="293" t="s">
        <v>257</v>
      </c>
      <c r="C60" s="294"/>
      <c r="D60" s="295"/>
      <c r="E60" s="313" t="s">
        <v>148</v>
      </c>
      <c r="F60" s="398"/>
      <c r="G60" s="401">
        <v>250000</v>
      </c>
      <c r="H60" s="183">
        <f t="shared" si="1"/>
        <v>0</v>
      </c>
      <c r="I60" s="240"/>
    </row>
    <row r="61" spans="1:9" ht="15.95" customHeight="1">
      <c r="A61" s="695"/>
      <c r="B61" s="293" t="s">
        <v>258</v>
      </c>
      <c r="C61" s="294"/>
      <c r="D61" s="295"/>
      <c r="E61" s="313" t="s">
        <v>148</v>
      </c>
      <c r="F61" s="398"/>
      <c r="G61" s="398">
        <v>300000</v>
      </c>
      <c r="H61" s="183">
        <f t="shared" si="1"/>
        <v>0</v>
      </c>
      <c r="I61" s="240"/>
    </row>
    <row r="62" spans="1:9" ht="15.95" customHeight="1">
      <c r="A62" s="695"/>
      <c r="B62" s="293" t="s">
        <v>259</v>
      </c>
      <c r="C62" s="294"/>
      <c r="D62" s="295"/>
      <c r="E62" s="313" t="s">
        <v>148</v>
      </c>
      <c r="F62" s="398"/>
      <c r="G62" s="398">
        <v>300000</v>
      </c>
      <c r="H62" s="183">
        <f t="shared" si="1"/>
        <v>0</v>
      </c>
      <c r="I62" s="240"/>
    </row>
    <row r="63" spans="1:9" ht="15.95" customHeight="1">
      <c r="A63" s="695"/>
      <c r="B63" s="293" t="s">
        <v>260</v>
      </c>
      <c r="C63" s="294"/>
      <c r="D63" s="295"/>
      <c r="E63" s="313" t="s">
        <v>148</v>
      </c>
      <c r="F63" s="398"/>
      <c r="G63" s="398">
        <v>300000</v>
      </c>
      <c r="H63" s="183">
        <f t="shared" si="1"/>
        <v>0</v>
      </c>
      <c r="I63" s="240"/>
    </row>
    <row r="64" spans="1:9" ht="15.95" customHeight="1">
      <c r="A64" s="695"/>
      <c r="B64" s="297" t="s">
        <v>261</v>
      </c>
      <c r="C64" s="298"/>
      <c r="D64" s="299"/>
      <c r="E64" s="314" t="s">
        <v>148</v>
      </c>
      <c r="F64" s="399"/>
      <c r="G64" s="404">
        <v>250000</v>
      </c>
      <c r="H64" s="277">
        <f t="shared" si="1"/>
        <v>0</v>
      </c>
      <c r="I64" s="248"/>
    </row>
    <row r="65" spans="1:9" ht="15.95" customHeight="1">
      <c r="A65" s="278"/>
      <c r="B65" s="301" t="s">
        <v>262</v>
      </c>
      <c r="C65" s="280"/>
      <c r="D65" s="255"/>
      <c r="E65" s="255"/>
      <c r="F65" s="253"/>
      <c r="G65" s="253"/>
      <c r="H65" s="253">
        <f>SUM(H57:H64)</f>
        <v>0</v>
      </c>
      <c r="I65" s="251"/>
    </row>
    <row r="66" spans="1:9" ht="15.95" customHeight="1">
      <c r="A66" s="302"/>
      <c r="B66" s="301" t="s">
        <v>263</v>
      </c>
      <c r="C66" s="280"/>
      <c r="D66" s="255"/>
      <c r="E66" s="255"/>
      <c r="F66" s="254"/>
      <c r="G66" s="254"/>
      <c r="H66" s="282">
        <f>'단위공사별(집계)'!L14+'단위공사별(집계)'!I14</f>
        <v>0</v>
      </c>
      <c r="I66" s="255"/>
    </row>
    <row r="67" spans="1:9" ht="15.95" customHeight="1">
      <c r="A67" s="302"/>
      <c r="B67" s="301" t="s">
        <v>264</v>
      </c>
      <c r="C67" s="280"/>
      <c r="D67" s="255"/>
      <c r="E67" s="255"/>
      <c r="F67" s="254"/>
      <c r="G67" s="304"/>
      <c r="H67" s="402">
        <f>(H65+H56)*0.05</f>
        <v>0</v>
      </c>
      <c r="I67" s="280"/>
    </row>
    <row r="68" spans="1:9" ht="15.95" customHeight="1">
      <c r="A68" s="302"/>
      <c r="B68" s="301" t="s">
        <v>265</v>
      </c>
      <c r="C68" s="280"/>
      <c r="D68" s="255"/>
      <c r="E68" s="255"/>
      <c r="F68" s="254"/>
      <c r="G68" s="304"/>
      <c r="H68" s="402">
        <f>(H65+H56)*0.1</f>
        <v>0</v>
      </c>
      <c r="I68" s="280"/>
    </row>
    <row r="69" spans="1:9" ht="15.95" customHeight="1">
      <c r="A69" s="302"/>
      <c r="B69" s="301" t="s">
        <v>266</v>
      </c>
      <c r="C69" s="280"/>
      <c r="D69" s="255"/>
      <c r="E69" s="255"/>
      <c r="F69" s="254"/>
      <c r="G69" s="254"/>
      <c r="H69" s="253">
        <f>H56+H65+H66+H67+H68</f>
        <v>0</v>
      </c>
      <c r="I69" s="255"/>
    </row>
    <row r="70" spans="1:9">
      <c r="A70" s="150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  <pageSetUpPr fitToPage="1"/>
  </sheetPr>
  <dimension ref="A1:I70"/>
  <sheetViews>
    <sheetView zoomScale="85" workbookViewId="0">
      <pane xSplit="2" ySplit="2" topLeftCell="C30" activePane="bottomRight" state="frozen"/>
      <selection activeCell="F63" sqref="F63"/>
      <selection pane="topRight" activeCell="F63" sqref="F63"/>
      <selection pane="bottomLeft" activeCell="F63" sqref="F63"/>
      <selection pane="bottomRight" activeCell="M60" sqref="M60"/>
    </sheetView>
  </sheetViews>
  <sheetFormatPr defaultRowHeight="13.5"/>
  <cols>
    <col min="1" max="1" width="5" style="133" customWidth="1"/>
    <col min="2" max="2" width="17.875" style="133" bestFit="1" customWidth="1"/>
    <col min="3" max="3" width="23.625" style="133" customWidth="1"/>
    <col min="4" max="4" width="18.25" style="133" customWidth="1"/>
    <col min="5" max="5" width="5.25" style="133" bestFit="1" customWidth="1"/>
    <col min="6" max="6" width="9" style="172"/>
    <col min="7" max="7" width="11.875" style="172" customWidth="1"/>
    <col min="8" max="8" width="13.625" style="172" customWidth="1"/>
    <col min="9" max="9" width="12.75" style="133" customWidth="1"/>
    <col min="10" max="16384" width="9" style="133"/>
  </cols>
  <sheetData>
    <row r="1" spans="1:9" ht="22.5" customHeight="1">
      <c r="B1" s="224" t="s">
        <v>233</v>
      </c>
      <c r="C1" s="405"/>
      <c r="D1" s="226"/>
      <c r="E1" s="226"/>
      <c r="F1" s="308"/>
      <c r="G1" s="186"/>
      <c r="I1" s="133" t="s">
        <v>234</v>
      </c>
    </row>
    <row r="2" spans="1:9" s="150" customFormat="1" ht="16.5" customHeight="1">
      <c r="A2" s="579" t="s">
        <v>235</v>
      </c>
      <c r="B2" s="690"/>
      <c r="C2" s="141" t="s">
        <v>236</v>
      </c>
      <c r="D2" s="134" t="s">
        <v>237</v>
      </c>
      <c r="E2" s="134" t="s">
        <v>238</v>
      </c>
      <c r="F2" s="281" t="s">
        <v>239</v>
      </c>
      <c r="G2" s="281" t="s">
        <v>240</v>
      </c>
      <c r="H2" s="281" t="s">
        <v>241</v>
      </c>
      <c r="I2" s="134" t="s">
        <v>242</v>
      </c>
    </row>
    <row r="3" spans="1:9" ht="15.95" customHeight="1">
      <c r="A3" s="691" t="s">
        <v>243</v>
      </c>
      <c r="B3" s="232" t="s">
        <v>244</v>
      </c>
      <c r="C3" s="406"/>
      <c r="D3" s="409"/>
      <c r="E3" s="407"/>
      <c r="F3" s="408"/>
      <c r="G3" s="408"/>
      <c r="H3" s="367">
        <f>IF(F3=0,G3,G3*F3)</f>
        <v>0</v>
      </c>
      <c r="I3" s="262"/>
    </row>
    <row r="4" spans="1:9" ht="15.95" customHeight="1">
      <c r="A4" s="695"/>
      <c r="B4" s="232"/>
      <c r="C4" s="239"/>
      <c r="D4" s="239"/>
      <c r="E4" s="239"/>
      <c r="F4" s="243"/>
      <c r="G4" s="243"/>
      <c r="H4" s="183">
        <f>IF(F4=0,G4,G4*F4)</f>
        <v>0</v>
      </c>
      <c r="I4" s="240"/>
    </row>
    <row r="5" spans="1:9" ht="15.95" customHeight="1">
      <c r="A5" s="695"/>
      <c r="B5" s="232"/>
      <c r="C5" s="239"/>
      <c r="D5" s="239"/>
      <c r="E5" s="239"/>
      <c r="F5" s="243"/>
      <c r="G5" s="243"/>
      <c r="H5" s="183">
        <f t="shared" ref="H5:H54" si="0">IF(F5=0,G5,G5*F5)</f>
        <v>0</v>
      </c>
      <c r="I5" s="240"/>
    </row>
    <row r="6" spans="1:9" ht="15.95" customHeight="1">
      <c r="A6" s="695"/>
      <c r="B6" s="232"/>
      <c r="C6" s="239"/>
      <c r="D6" s="239"/>
      <c r="E6" s="239"/>
      <c r="F6" s="243"/>
      <c r="G6" s="243"/>
      <c r="H6" s="183">
        <f t="shared" si="0"/>
        <v>0</v>
      </c>
      <c r="I6" s="240"/>
    </row>
    <row r="7" spans="1:9" ht="15.95" customHeight="1">
      <c r="A7" s="695"/>
      <c r="B7" s="232"/>
      <c r="C7" s="239"/>
      <c r="D7" s="239"/>
      <c r="E7" s="239"/>
      <c r="F7" s="243"/>
      <c r="G7" s="243"/>
      <c r="H7" s="183">
        <f t="shared" si="0"/>
        <v>0</v>
      </c>
      <c r="I7" s="240"/>
    </row>
    <row r="8" spans="1:9" ht="15.95" customHeight="1">
      <c r="A8" s="695"/>
      <c r="B8" s="232"/>
      <c r="C8" s="239"/>
      <c r="D8" s="239"/>
      <c r="E8" s="239"/>
      <c r="F8" s="243"/>
      <c r="G8" s="243"/>
      <c r="H8" s="183">
        <f t="shared" si="0"/>
        <v>0</v>
      </c>
      <c r="I8" s="240"/>
    </row>
    <row r="9" spans="1:9" ht="15.95" customHeight="1">
      <c r="A9" s="695"/>
      <c r="B9" s="232"/>
      <c r="C9" s="239"/>
      <c r="D9" s="239"/>
      <c r="E9" s="239"/>
      <c r="F9" s="243"/>
      <c r="G9" s="243"/>
      <c r="H9" s="183">
        <f t="shared" si="0"/>
        <v>0</v>
      </c>
      <c r="I9" s="240"/>
    </row>
    <row r="10" spans="1:9" ht="15.95" customHeight="1">
      <c r="A10" s="695"/>
      <c r="B10" s="232"/>
      <c r="C10" s="239"/>
      <c r="D10" s="239"/>
      <c r="E10" s="239"/>
      <c r="F10" s="243"/>
      <c r="G10" s="243"/>
      <c r="H10" s="183">
        <f t="shared" si="0"/>
        <v>0</v>
      </c>
      <c r="I10" s="240"/>
    </row>
    <row r="11" spans="1:9" ht="15.95" customHeight="1">
      <c r="A11" s="695"/>
      <c r="B11" s="232"/>
      <c r="C11" s="239"/>
      <c r="D11" s="239"/>
      <c r="E11" s="239"/>
      <c r="F11" s="243"/>
      <c r="G11" s="243"/>
      <c r="H11" s="183">
        <f t="shared" si="0"/>
        <v>0</v>
      </c>
      <c r="I11" s="240"/>
    </row>
    <row r="12" spans="1:9" ht="15.95" customHeight="1">
      <c r="A12" s="695"/>
      <c r="B12" s="232"/>
      <c r="C12" s="239"/>
      <c r="D12" s="239"/>
      <c r="E12" s="239"/>
      <c r="F12" s="243"/>
      <c r="G12" s="243"/>
      <c r="H12" s="183">
        <f t="shared" si="0"/>
        <v>0</v>
      </c>
      <c r="I12" s="240"/>
    </row>
    <row r="13" spans="1:9" ht="15.95" customHeight="1">
      <c r="A13" s="695"/>
      <c r="B13" s="232"/>
      <c r="C13" s="239"/>
      <c r="D13" s="239"/>
      <c r="E13" s="239"/>
      <c r="F13" s="243"/>
      <c r="G13" s="243"/>
      <c r="H13" s="183">
        <f t="shared" si="0"/>
        <v>0</v>
      </c>
      <c r="I13" s="240"/>
    </row>
    <row r="14" spans="1:9" ht="15.95" customHeight="1">
      <c r="A14" s="695"/>
      <c r="B14" s="232"/>
      <c r="C14" s="239"/>
      <c r="D14" s="239"/>
      <c r="E14" s="239"/>
      <c r="F14" s="243"/>
      <c r="G14" s="243"/>
      <c r="H14" s="183">
        <f t="shared" si="0"/>
        <v>0</v>
      </c>
      <c r="I14" s="240"/>
    </row>
    <row r="15" spans="1:9" ht="15.95" customHeight="1">
      <c r="A15" s="695"/>
      <c r="B15" s="232"/>
      <c r="C15" s="239"/>
      <c r="D15" s="239"/>
      <c r="E15" s="239"/>
      <c r="F15" s="243"/>
      <c r="G15" s="243"/>
      <c r="H15" s="183">
        <f t="shared" si="0"/>
        <v>0</v>
      </c>
      <c r="I15" s="240"/>
    </row>
    <row r="16" spans="1:9" ht="15.95" customHeight="1">
      <c r="A16" s="695"/>
      <c r="B16" s="232"/>
      <c r="C16" s="239"/>
      <c r="D16" s="239"/>
      <c r="E16" s="239"/>
      <c r="F16" s="243"/>
      <c r="G16" s="243"/>
      <c r="H16" s="183">
        <f t="shared" si="0"/>
        <v>0</v>
      </c>
      <c r="I16" s="240"/>
    </row>
    <row r="17" spans="1:9" ht="15.95" customHeight="1">
      <c r="A17" s="695"/>
      <c r="B17" s="232"/>
      <c r="C17" s="239"/>
      <c r="D17" s="239"/>
      <c r="E17" s="239"/>
      <c r="F17" s="243"/>
      <c r="G17" s="243"/>
      <c r="H17" s="183">
        <f t="shared" si="0"/>
        <v>0</v>
      </c>
      <c r="I17" s="240"/>
    </row>
    <row r="18" spans="1:9" ht="15.95" customHeight="1">
      <c r="A18" s="695"/>
      <c r="B18" s="232"/>
      <c r="C18" s="239"/>
      <c r="D18" s="239"/>
      <c r="E18" s="239"/>
      <c r="F18" s="243"/>
      <c r="G18" s="243"/>
      <c r="H18" s="183">
        <f t="shared" si="0"/>
        <v>0</v>
      </c>
      <c r="I18" s="240"/>
    </row>
    <row r="19" spans="1:9" ht="15.95" customHeight="1">
      <c r="A19" s="695"/>
      <c r="B19" s="232"/>
      <c r="C19" s="239"/>
      <c r="D19" s="239"/>
      <c r="E19" s="239"/>
      <c r="F19" s="243"/>
      <c r="G19" s="243"/>
      <c r="H19" s="183">
        <f t="shared" si="0"/>
        <v>0</v>
      </c>
      <c r="I19" s="240"/>
    </row>
    <row r="20" spans="1:9" ht="15.95" customHeight="1">
      <c r="A20" s="695"/>
      <c r="B20" s="232"/>
      <c r="C20" s="239"/>
      <c r="D20" s="239"/>
      <c r="E20" s="239"/>
      <c r="F20" s="243"/>
      <c r="G20" s="243"/>
      <c r="H20" s="183">
        <f t="shared" si="0"/>
        <v>0</v>
      </c>
      <c r="I20" s="240"/>
    </row>
    <row r="21" spans="1:9" ht="15.95" customHeight="1">
      <c r="A21" s="695"/>
      <c r="B21" s="232"/>
      <c r="C21" s="239"/>
      <c r="D21" s="239"/>
      <c r="E21" s="239"/>
      <c r="F21" s="243"/>
      <c r="G21" s="243"/>
      <c r="H21" s="183">
        <f t="shared" si="0"/>
        <v>0</v>
      </c>
      <c r="I21" s="240"/>
    </row>
    <row r="22" spans="1:9" ht="15.95" customHeight="1">
      <c r="A22" s="695"/>
      <c r="B22" s="232"/>
      <c r="C22" s="239"/>
      <c r="D22" s="239"/>
      <c r="E22" s="239"/>
      <c r="F22" s="243"/>
      <c r="G22" s="243"/>
      <c r="H22" s="183">
        <f t="shared" si="0"/>
        <v>0</v>
      </c>
      <c r="I22" s="240"/>
    </row>
    <row r="23" spans="1:9" ht="15.95" customHeight="1">
      <c r="A23" s="695"/>
      <c r="B23" s="232"/>
      <c r="C23" s="244" t="s">
        <v>246</v>
      </c>
      <c r="D23" s="264"/>
      <c r="E23" s="264"/>
      <c r="F23" s="266"/>
      <c r="G23" s="266"/>
      <c r="H23" s="267">
        <f t="shared" si="0"/>
        <v>0</v>
      </c>
      <c r="I23" s="268"/>
    </row>
    <row r="24" spans="1:9" ht="15.95" customHeight="1">
      <c r="A24" s="695"/>
      <c r="B24" s="249"/>
      <c r="C24" s="275"/>
      <c r="D24" s="275"/>
      <c r="E24" s="275"/>
      <c r="F24" s="273"/>
      <c r="G24" s="273"/>
      <c r="H24" s="274">
        <f>SUM(H3:H23)</f>
        <v>0</v>
      </c>
      <c r="I24" s="275"/>
    </row>
    <row r="25" spans="1:9" ht="15.95" customHeight="1">
      <c r="A25" s="695"/>
      <c r="B25" s="232" t="s">
        <v>251</v>
      </c>
      <c r="C25" s="233"/>
      <c r="D25" s="233"/>
      <c r="E25" s="233"/>
      <c r="F25" s="236"/>
      <c r="G25" s="236"/>
      <c r="H25" s="237">
        <f t="shared" si="0"/>
        <v>0</v>
      </c>
      <c r="I25" s="238"/>
    </row>
    <row r="26" spans="1:9" ht="15.95" customHeight="1">
      <c r="A26" s="695"/>
      <c r="B26" s="232" t="s">
        <v>252</v>
      </c>
      <c r="C26" s="239"/>
      <c r="D26" s="239"/>
      <c r="E26" s="239"/>
      <c r="F26" s="243"/>
      <c r="G26" s="243"/>
      <c r="H26" s="183">
        <f t="shared" si="0"/>
        <v>0</v>
      </c>
      <c r="I26" s="240"/>
    </row>
    <row r="27" spans="1:9" ht="15.95" customHeight="1">
      <c r="A27" s="695"/>
      <c r="B27" s="232"/>
      <c r="C27" s="239"/>
      <c r="D27" s="239"/>
      <c r="E27" s="239"/>
      <c r="F27" s="243"/>
      <c r="G27" s="243"/>
      <c r="H27" s="183">
        <f t="shared" si="0"/>
        <v>0</v>
      </c>
      <c r="I27" s="240"/>
    </row>
    <row r="28" spans="1:9" ht="15.95" customHeight="1">
      <c r="A28" s="695"/>
      <c r="B28" s="232"/>
      <c r="C28" s="239"/>
      <c r="D28" s="239"/>
      <c r="E28" s="239"/>
      <c r="F28" s="243"/>
      <c r="G28" s="243"/>
      <c r="H28" s="183">
        <f t="shared" si="0"/>
        <v>0</v>
      </c>
      <c r="I28" s="240"/>
    </row>
    <row r="29" spans="1:9" ht="15.95" customHeight="1">
      <c r="A29" s="695"/>
      <c r="B29" s="232"/>
      <c r="C29" s="244" t="s">
        <v>246</v>
      </c>
      <c r="D29" s="244"/>
      <c r="E29" s="244"/>
      <c r="F29" s="247"/>
      <c r="G29" s="247"/>
      <c r="H29" s="183">
        <f t="shared" si="0"/>
        <v>0</v>
      </c>
      <c r="I29" s="248"/>
    </row>
    <row r="30" spans="1:9" ht="15.95" customHeight="1">
      <c r="A30" s="695"/>
      <c r="B30" s="249"/>
      <c r="C30" s="250"/>
      <c r="D30" s="251"/>
      <c r="E30" s="251"/>
      <c r="F30" s="310"/>
      <c r="G30" s="253"/>
      <c r="H30" s="254">
        <f>SUM(H25:H29)</f>
        <v>0</v>
      </c>
      <c r="I30" s="255"/>
    </row>
    <row r="31" spans="1:9" ht="15.95" customHeight="1">
      <c r="A31" s="695"/>
      <c r="B31" s="276" t="s">
        <v>253</v>
      </c>
      <c r="C31" s="257"/>
      <c r="D31" s="257"/>
      <c r="E31" s="257"/>
      <c r="F31" s="260"/>
      <c r="G31" s="260"/>
      <c r="H31" s="261">
        <f t="shared" si="0"/>
        <v>0</v>
      </c>
      <c r="I31" s="262"/>
    </row>
    <row r="32" spans="1:9" ht="15.95" customHeight="1">
      <c r="A32" s="695"/>
      <c r="B32" s="232" t="s">
        <v>254</v>
      </c>
      <c r="C32" s="239"/>
      <c r="D32" s="239"/>
      <c r="E32" s="239"/>
      <c r="F32" s="243"/>
      <c r="G32" s="243"/>
      <c r="H32" s="183">
        <f t="shared" si="0"/>
        <v>0</v>
      </c>
      <c r="I32" s="240"/>
    </row>
    <row r="33" spans="1:9" ht="15.95" customHeight="1">
      <c r="A33" s="695"/>
      <c r="B33" s="232"/>
      <c r="C33" s="239"/>
      <c r="D33" s="239"/>
      <c r="E33" s="239"/>
      <c r="F33" s="243"/>
      <c r="G33" s="243"/>
      <c r="H33" s="183">
        <f t="shared" si="0"/>
        <v>0</v>
      </c>
      <c r="I33" s="240"/>
    </row>
    <row r="34" spans="1:9" ht="15.95" customHeight="1">
      <c r="A34" s="695"/>
      <c r="B34" s="232"/>
      <c r="C34" s="239"/>
      <c r="D34" s="239"/>
      <c r="E34" s="239"/>
      <c r="F34" s="243"/>
      <c r="G34" s="243"/>
      <c r="H34" s="183">
        <f t="shared" si="0"/>
        <v>0</v>
      </c>
      <c r="I34" s="240"/>
    </row>
    <row r="35" spans="1:9" ht="15.95" customHeight="1">
      <c r="A35" s="695"/>
      <c r="B35" s="232"/>
      <c r="C35" s="239"/>
      <c r="D35" s="239"/>
      <c r="E35" s="239"/>
      <c r="F35" s="243"/>
      <c r="G35" s="243"/>
      <c r="H35" s="183">
        <f t="shared" si="0"/>
        <v>0</v>
      </c>
      <c r="I35" s="240"/>
    </row>
    <row r="36" spans="1:9" ht="15.95" customHeight="1">
      <c r="A36" s="695"/>
      <c r="B36" s="232"/>
      <c r="C36" s="239"/>
      <c r="D36" s="239"/>
      <c r="E36" s="239"/>
      <c r="F36" s="243"/>
      <c r="G36" s="243"/>
      <c r="H36" s="183">
        <f t="shared" si="0"/>
        <v>0</v>
      </c>
      <c r="I36" s="240"/>
    </row>
    <row r="37" spans="1:9" ht="15.95" customHeight="1">
      <c r="A37" s="695"/>
      <c r="B37" s="232"/>
      <c r="C37" s="239"/>
      <c r="D37" s="239"/>
      <c r="E37" s="239"/>
      <c r="F37" s="243"/>
      <c r="G37" s="243"/>
      <c r="H37" s="183">
        <f t="shared" si="0"/>
        <v>0</v>
      </c>
      <c r="I37" s="240"/>
    </row>
    <row r="38" spans="1:9" ht="15.95" customHeight="1">
      <c r="A38" s="695"/>
      <c r="B38" s="232"/>
      <c r="C38" s="239"/>
      <c r="D38" s="239"/>
      <c r="E38" s="239"/>
      <c r="F38" s="243"/>
      <c r="G38" s="243"/>
      <c r="H38" s="183">
        <f t="shared" si="0"/>
        <v>0</v>
      </c>
      <c r="I38" s="240"/>
    </row>
    <row r="39" spans="1:9" ht="15.95" customHeight="1">
      <c r="A39" s="695"/>
      <c r="B39" s="232"/>
      <c r="C39" s="239"/>
      <c r="D39" s="239"/>
      <c r="E39" s="239"/>
      <c r="F39" s="243"/>
      <c r="G39" s="243"/>
      <c r="H39" s="183">
        <f t="shared" si="0"/>
        <v>0</v>
      </c>
      <c r="I39" s="240"/>
    </row>
    <row r="40" spans="1:9" ht="15.95" customHeight="1">
      <c r="A40" s="695"/>
      <c r="B40" s="232"/>
      <c r="C40" s="239"/>
      <c r="D40" s="239"/>
      <c r="E40" s="239"/>
      <c r="F40" s="243"/>
      <c r="G40" s="243"/>
      <c r="H40" s="183">
        <f t="shared" si="0"/>
        <v>0</v>
      </c>
      <c r="I40" s="240"/>
    </row>
    <row r="41" spans="1:9" ht="15.95" customHeight="1">
      <c r="A41" s="695"/>
      <c r="B41" s="232"/>
      <c r="C41" s="239"/>
      <c r="D41" s="239"/>
      <c r="E41" s="239"/>
      <c r="F41" s="243"/>
      <c r="G41" s="243"/>
      <c r="H41" s="183">
        <f t="shared" si="0"/>
        <v>0</v>
      </c>
      <c r="I41" s="240"/>
    </row>
    <row r="42" spans="1:9" ht="15.95" customHeight="1">
      <c r="A42" s="695"/>
      <c r="B42" s="232"/>
      <c r="C42" s="239"/>
      <c r="D42" s="239"/>
      <c r="E42" s="239"/>
      <c r="F42" s="243"/>
      <c r="G42" s="243"/>
      <c r="H42" s="183">
        <f t="shared" si="0"/>
        <v>0</v>
      </c>
      <c r="I42" s="240"/>
    </row>
    <row r="43" spans="1:9" ht="15.95" customHeight="1">
      <c r="A43" s="695"/>
      <c r="B43" s="232"/>
      <c r="C43" s="239"/>
      <c r="D43" s="239"/>
      <c r="E43" s="239"/>
      <c r="F43" s="243"/>
      <c r="G43" s="243"/>
      <c r="H43" s="183">
        <f t="shared" si="0"/>
        <v>0</v>
      </c>
      <c r="I43" s="240"/>
    </row>
    <row r="44" spans="1:9" ht="15.95" customHeight="1">
      <c r="A44" s="695"/>
      <c r="B44" s="232"/>
      <c r="C44" s="239"/>
      <c r="D44" s="239"/>
      <c r="E44" s="239"/>
      <c r="F44" s="243"/>
      <c r="G44" s="243"/>
      <c r="H44" s="183">
        <f t="shared" si="0"/>
        <v>0</v>
      </c>
      <c r="I44" s="240"/>
    </row>
    <row r="45" spans="1:9" ht="15.95" customHeight="1">
      <c r="A45" s="695"/>
      <c r="B45" s="232"/>
      <c r="C45" s="239"/>
      <c r="D45" s="239"/>
      <c r="E45" s="239"/>
      <c r="F45" s="243"/>
      <c r="G45" s="243"/>
      <c r="H45" s="183">
        <f t="shared" si="0"/>
        <v>0</v>
      </c>
      <c r="I45" s="240"/>
    </row>
    <row r="46" spans="1:9" ht="15.95" customHeight="1">
      <c r="A46" s="695"/>
      <c r="B46" s="232"/>
      <c r="C46" s="410" t="s">
        <v>286</v>
      </c>
      <c r="D46" s="410"/>
      <c r="E46" s="411" t="s">
        <v>285</v>
      </c>
      <c r="F46" s="412"/>
      <c r="G46" s="412"/>
      <c r="H46" s="367">
        <f t="shared" si="0"/>
        <v>0</v>
      </c>
      <c r="I46" s="248"/>
    </row>
    <row r="47" spans="1:9" ht="15.95" customHeight="1">
      <c r="A47" s="695"/>
      <c r="B47" s="249"/>
      <c r="C47" s="250"/>
      <c r="D47" s="251"/>
      <c r="E47" s="251"/>
      <c r="F47" s="253"/>
      <c r="G47" s="253"/>
      <c r="H47" s="254">
        <f>SUM(H31:H46)</f>
        <v>0</v>
      </c>
      <c r="I47" s="255"/>
    </row>
    <row r="48" spans="1:9" ht="15.95" customHeight="1">
      <c r="A48" s="695"/>
      <c r="B48" s="276" t="s">
        <v>245</v>
      </c>
      <c r="C48" s="257"/>
      <c r="D48" s="257"/>
      <c r="E48" s="257"/>
      <c r="F48" s="260"/>
      <c r="G48" s="260"/>
      <c r="H48" s="261">
        <f t="shared" si="0"/>
        <v>0</v>
      </c>
      <c r="I48" s="262"/>
    </row>
    <row r="49" spans="1:9" ht="15.95" customHeight="1">
      <c r="A49" s="695"/>
      <c r="B49" s="232"/>
      <c r="C49" s="239"/>
      <c r="D49" s="239"/>
      <c r="E49" s="239"/>
      <c r="F49" s="243"/>
      <c r="G49" s="243"/>
      <c r="H49" s="183">
        <f t="shared" si="0"/>
        <v>0</v>
      </c>
      <c r="I49" s="240"/>
    </row>
    <row r="50" spans="1:9" ht="15.95" customHeight="1">
      <c r="A50" s="695"/>
      <c r="B50" s="232"/>
      <c r="C50" s="239"/>
      <c r="D50" s="239"/>
      <c r="E50" s="239"/>
      <c r="F50" s="243"/>
      <c r="G50" s="243"/>
      <c r="H50" s="183">
        <f t="shared" si="0"/>
        <v>0</v>
      </c>
      <c r="I50" s="240"/>
    </row>
    <row r="51" spans="1:9" ht="15.95" customHeight="1">
      <c r="A51" s="695"/>
      <c r="B51" s="232"/>
      <c r="C51" s="239"/>
      <c r="D51" s="239"/>
      <c r="E51" s="239"/>
      <c r="F51" s="243"/>
      <c r="G51" s="243"/>
      <c r="H51" s="183">
        <f t="shared" si="0"/>
        <v>0</v>
      </c>
      <c r="I51" s="240"/>
    </row>
    <row r="52" spans="1:9" ht="15.95" customHeight="1">
      <c r="A52" s="695"/>
      <c r="B52" s="232"/>
      <c r="C52" s="239"/>
      <c r="D52" s="239"/>
      <c r="E52" s="239"/>
      <c r="F52" s="243"/>
      <c r="G52" s="243"/>
      <c r="H52" s="183">
        <f t="shared" si="0"/>
        <v>0</v>
      </c>
      <c r="I52" s="240"/>
    </row>
    <row r="53" spans="1:9" ht="15.95" customHeight="1">
      <c r="A53" s="695"/>
      <c r="B53" s="232"/>
      <c r="C53" s="239"/>
      <c r="D53" s="239"/>
      <c r="E53" s="239"/>
      <c r="F53" s="243"/>
      <c r="G53" s="243"/>
      <c r="H53" s="183">
        <f t="shared" si="0"/>
        <v>0</v>
      </c>
      <c r="I53" s="240"/>
    </row>
    <row r="54" spans="1:9" ht="15.95" customHeight="1">
      <c r="A54" s="695"/>
      <c r="B54" s="232"/>
      <c r="C54" s="244" t="s">
        <v>246</v>
      </c>
      <c r="D54" s="244"/>
      <c r="E54" s="244"/>
      <c r="F54" s="247"/>
      <c r="G54" s="247"/>
      <c r="H54" s="277">
        <f t="shared" si="0"/>
        <v>0</v>
      </c>
      <c r="I54" s="248"/>
    </row>
    <row r="55" spans="1:9" ht="15.95" customHeight="1">
      <c r="A55" s="695"/>
      <c r="B55" s="249"/>
      <c r="C55" s="250"/>
      <c r="D55" s="251"/>
      <c r="E55" s="251"/>
      <c r="F55" s="253"/>
      <c r="G55" s="253"/>
      <c r="H55" s="254">
        <f>SUM(H48:H54)</f>
        <v>0</v>
      </c>
      <c r="I55" s="255"/>
    </row>
    <row r="56" spans="1:9" ht="15.95" customHeight="1">
      <c r="A56" s="278"/>
      <c r="B56" s="279" t="s">
        <v>247</v>
      </c>
      <c r="C56" s="280"/>
      <c r="D56" s="255"/>
      <c r="E56" s="255"/>
      <c r="F56" s="282"/>
      <c r="G56" s="282"/>
      <c r="H56" s="254">
        <f>SUM(H55,H47,H30,H24)</f>
        <v>0</v>
      </c>
      <c r="I56" s="255"/>
    </row>
    <row r="57" spans="1:9" ht="15.95" customHeight="1">
      <c r="A57" s="696" t="s">
        <v>248</v>
      </c>
      <c r="B57" s="283" t="s">
        <v>249</v>
      </c>
      <c r="C57" s="280"/>
      <c r="D57" s="284"/>
      <c r="E57" s="311" t="s">
        <v>250</v>
      </c>
      <c r="F57" s="419"/>
      <c r="G57" s="419">
        <v>300000</v>
      </c>
      <c r="H57" s="288">
        <f>F57*G57</f>
        <v>0</v>
      </c>
      <c r="I57" s="255"/>
    </row>
    <row r="58" spans="1:9" ht="15.95" customHeight="1">
      <c r="A58" s="695"/>
      <c r="B58" s="289" t="s">
        <v>255</v>
      </c>
      <c r="C58" s="290"/>
      <c r="D58" s="291"/>
      <c r="E58" s="312" t="s">
        <v>148</v>
      </c>
      <c r="F58" s="417"/>
      <c r="G58" s="420">
        <v>300000</v>
      </c>
      <c r="H58" s="261">
        <f t="shared" ref="H58:H64" si="1">F58*G58</f>
        <v>0</v>
      </c>
      <c r="I58" s="262"/>
    </row>
    <row r="59" spans="1:9" ht="15.95" customHeight="1">
      <c r="A59" s="695"/>
      <c r="B59" s="315" t="s">
        <v>256</v>
      </c>
      <c r="C59" s="294"/>
      <c r="D59" s="295"/>
      <c r="E59" s="313" t="s">
        <v>148</v>
      </c>
      <c r="F59" s="415"/>
      <c r="G59" s="418">
        <v>250000</v>
      </c>
      <c r="H59" s="183">
        <f t="shared" si="1"/>
        <v>0</v>
      </c>
      <c r="I59" s="240"/>
    </row>
    <row r="60" spans="1:9" ht="15.95" customHeight="1">
      <c r="A60" s="695"/>
      <c r="B60" s="293" t="s">
        <v>257</v>
      </c>
      <c r="C60" s="294"/>
      <c r="D60" s="295"/>
      <c r="E60" s="313" t="s">
        <v>148</v>
      </c>
      <c r="F60" s="415"/>
      <c r="G60" s="418">
        <v>250000</v>
      </c>
      <c r="H60" s="183">
        <f t="shared" si="1"/>
        <v>0</v>
      </c>
      <c r="I60" s="240"/>
    </row>
    <row r="61" spans="1:9" ht="15.95" customHeight="1">
      <c r="A61" s="695"/>
      <c r="B61" s="293" t="s">
        <v>258</v>
      </c>
      <c r="C61" s="294"/>
      <c r="D61" s="295"/>
      <c r="E61" s="313" t="s">
        <v>148</v>
      </c>
      <c r="F61" s="415"/>
      <c r="G61" s="415">
        <v>300000</v>
      </c>
      <c r="H61" s="183">
        <f t="shared" si="1"/>
        <v>0</v>
      </c>
      <c r="I61" s="240"/>
    </row>
    <row r="62" spans="1:9" ht="15.95" customHeight="1">
      <c r="A62" s="695"/>
      <c r="B62" s="293" t="s">
        <v>259</v>
      </c>
      <c r="C62" s="294"/>
      <c r="D62" s="295"/>
      <c r="E62" s="313" t="s">
        <v>148</v>
      </c>
      <c r="F62" s="415"/>
      <c r="G62" s="415">
        <v>300000</v>
      </c>
      <c r="H62" s="183">
        <f t="shared" si="1"/>
        <v>0</v>
      </c>
      <c r="I62" s="240"/>
    </row>
    <row r="63" spans="1:9" ht="15.95" customHeight="1">
      <c r="A63" s="695"/>
      <c r="B63" s="293" t="s">
        <v>260</v>
      </c>
      <c r="C63" s="294"/>
      <c r="D63" s="295"/>
      <c r="E63" s="313" t="s">
        <v>148</v>
      </c>
      <c r="F63" s="415"/>
      <c r="G63" s="415">
        <v>300000</v>
      </c>
      <c r="H63" s="183">
        <f t="shared" si="1"/>
        <v>0</v>
      </c>
      <c r="I63" s="240"/>
    </row>
    <row r="64" spans="1:9" ht="15.95" customHeight="1">
      <c r="A64" s="695"/>
      <c r="B64" s="297" t="s">
        <v>261</v>
      </c>
      <c r="C64" s="298"/>
      <c r="D64" s="299"/>
      <c r="E64" s="314" t="s">
        <v>148</v>
      </c>
      <c r="F64" s="416"/>
      <c r="G64" s="421">
        <v>250000</v>
      </c>
      <c r="H64" s="277">
        <f t="shared" si="1"/>
        <v>0</v>
      </c>
      <c r="I64" s="248"/>
    </row>
    <row r="65" spans="1:9" ht="15.95" customHeight="1">
      <c r="A65" s="278"/>
      <c r="B65" s="301" t="s">
        <v>262</v>
      </c>
      <c r="C65" s="280"/>
      <c r="D65" s="255"/>
      <c r="E65" s="255"/>
      <c r="F65" s="253"/>
      <c r="G65" s="253"/>
      <c r="H65" s="253">
        <f>SUM(H57:H64)</f>
        <v>0</v>
      </c>
      <c r="I65" s="251"/>
    </row>
    <row r="66" spans="1:9" ht="15.95" customHeight="1">
      <c r="A66" s="302"/>
      <c r="B66" s="301" t="s">
        <v>263</v>
      </c>
      <c r="C66" s="280"/>
      <c r="D66" s="255"/>
      <c r="E66" s="255"/>
      <c r="F66" s="254"/>
      <c r="G66" s="254"/>
      <c r="H66" s="282">
        <f>'단위공사별(집계)'!L15+'단위공사별(집계)'!I15</f>
        <v>0</v>
      </c>
      <c r="I66" s="255"/>
    </row>
    <row r="67" spans="1:9" ht="15.95" customHeight="1">
      <c r="A67" s="302"/>
      <c r="B67" s="301" t="s">
        <v>264</v>
      </c>
      <c r="C67" s="280"/>
      <c r="D67" s="255"/>
      <c r="E67" s="255"/>
      <c r="F67" s="254"/>
      <c r="G67" s="304"/>
      <c r="H67" s="419">
        <f>(H65+H56)*0.05</f>
        <v>0</v>
      </c>
      <c r="I67" s="280"/>
    </row>
    <row r="68" spans="1:9" ht="15.95" customHeight="1">
      <c r="A68" s="302"/>
      <c r="B68" s="301" t="s">
        <v>265</v>
      </c>
      <c r="C68" s="280"/>
      <c r="D68" s="255"/>
      <c r="E68" s="255"/>
      <c r="F68" s="254"/>
      <c r="G68" s="304"/>
      <c r="H68" s="419">
        <f>(H65+H56)*0.1</f>
        <v>0</v>
      </c>
      <c r="I68" s="280"/>
    </row>
    <row r="69" spans="1:9" ht="15.95" customHeight="1">
      <c r="A69" s="302"/>
      <c r="B69" s="301" t="s">
        <v>266</v>
      </c>
      <c r="C69" s="280"/>
      <c r="D69" s="255"/>
      <c r="E69" s="255"/>
      <c r="F69" s="254"/>
      <c r="G69" s="254"/>
      <c r="H69" s="253">
        <f>H56+H65+H66+H67+H68</f>
        <v>0</v>
      </c>
      <c r="I69" s="255"/>
    </row>
    <row r="70" spans="1:9">
      <c r="A70" s="150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  <pageSetUpPr fitToPage="1"/>
  </sheetPr>
  <dimension ref="A1:I70"/>
  <sheetViews>
    <sheetView zoomScale="85" workbookViewId="0">
      <pane xSplit="2" ySplit="2" topLeftCell="C3" activePane="bottomRight" state="frozen"/>
      <selection activeCell="G33" sqref="G33:I33"/>
      <selection pane="topRight" activeCell="G33" sqref="G33:I33"/>
      <selection pane="bottomLeft" activeCell="G33" sqref="G33:I33"/>
      <selection pane="bottomRight" activeCell="K41" sqref="K41"/>
    </sheetView>
  </sheetViews>
  <sheetFormatPr defaultRowHeight="13.5"/>
  <cols>
    <col min="1" max="1" width="5" style="133" customWidth="1"/>
    <col min="2" max="2" width="17.875" style="133" bestFit="1" customWidth="1"/>
    <col min="3" max="3" width="23.625" style="133" customWidth="1"/>
    <col min="4" max="4" width="18.25" style="133" customWidth="1"/>
    <col min="5" max="5" width="5.25" style="133" bestFit="1" customWidth="1"/>
    <col min="6" max="6" width="9" style="172"/>
    <col min="7" max="7" width="11.875" style="172" customWidth="1"/>
    <col min="8" max="8" width="13.625" style="172" customWidth="1"/>
    <col min="9" max="9" width="12.75" style="133" customWidth="1"/>
    <col min="10" max="16384" width="9" style="133"/>
  </cols>
  <sheetData>
    <row r="1" spans="1:9" ht="22.5" customHeight="1">
      <c r="B1" s="224" t="s">
        <v>233</v>
      </c>
      <c r="C1" s="307"/>
      <c r="D1" s="226"/>
      <c r="E1" s="226"/>
      <c r="F1" s="308"/>
      <c r="G1" s="186"/>
      <c r="I1" s="133" t="s">
        <v>234</v>
      </c>
    </row>
    <row r="2" spans="1:9" s="150" customFormat="1" ht="16.5" customHeight="1">
      <c r="A2" s="579" t="s">
        <v>235</v>
      </c>
      <c r="B2" s="690"/>
      <c r="C2" s="141" t="s">
        <v>236</v>
      </c>
      <c r="D2" s="134" t="s">
        <v>237</v>
      </c>
      <c r="E2" s="134" t="s">
        <v>238</v>
      </c>
      <c r="F2" s="281" t="s">
        <v>239</v>
      </c>
      <c r="G2" s="281" t="s">
        <v>240</v>
      </c>
      <c r="H2" s="281" t="s">
        <v>241</v>
      </c>
      <c r="I2" s="134" t="s">
        <v>242</v>
      </c>
    </row>
    <row r="3" spans="1:9" ht="15.95" customHeight="1">
      <c r="A3" s="691" t="s">
        <v>243</v>
      </c>
      <c r="B3" s="232" t="s">
        <v>244</v>
      </c>
      <c r="C3" s="257"/>
      <c r="D3" s="257"/>
      <c r="E3" s="257"/>
      <c r="F3" s="260"/>
      <c r="G3" s="260"/>
      <c r="H3" s="261">
        <f>IF(F3=0,G3,G3*F3)</f>
        <v>0</v>
      </c>
      <c r="I3" s="262"/>
    </row>
    <row r="4" spans="1:9" ht="15.95" customHeight="1">
      <c r="A4" s="695"/>
      <c r="B4" s="232"/>
      <c r="C4" s="239"/>
      <c r="D4" s="239"/>
      <c r="E4" s="239"/>
      <c r="F4" s="243"/>
      <c r="G4" s="243"/>
      <c r="H4" s="183">
        <f>IF(F4=0,G4,G4*F4)</f>
        <v>0</v>
      </c>
      <c r="I4" s="240"/>
    </row>
    <row r="5" spans="1:9" ht="15.95" customHeight="1">
      <c r="A5" s="695"/>
      <c r="B5" s="232"/>
      <c r="C5" s="239"/>
      <c r="D5" s="239"/>
      <c r="E5" s="239"/>
      <c r="F5" s="243"/>
      <c r="G5" s="243"/>
      <c r="H5" s="183">
        <f t="shared" ref="H5:H54" si="0">IF(F5=0,G5,G5*F5)</f>
        <v>0</v>
      </c>
      <c r="I5" s="240"/>
    </row>
    <row r="6" spans="1:9" ht="15.95" customHeight="1">
      <c r="A6" s="695"/>
      <c r="B6" s="232"/>
      <c r="C6" s="239"/>
      <c r="D6" s="239"/>
      <c r="E6" s="239"/>
      <c r="F6" s="243"/>
      <c r="G6" s="243"/>
      <c r="H6" s="183">
        <f t="shared" si="0"/>
        <v>0</v>
      </c>
      <c r="I6" s="240"/>
    </row>
    <row r="7" spans="1:9" ht="15.95" customHeight="1">
      <c r="A7" s="695"/>
      <c r="B7" s="232"/>
      <c r="C7" s="239"/>
      <c r="D7" s="239"/>
      <c r="E7" s="239"/>
      <c r="F7" s="243"/>
      <c r="G7" s="243"/>
      <c r="H7" s="183">
        <f t="shared" si="0"/>
        <v>0</v>
      </c>
      <c r="I7" s="240"/>
    </row>
    <row r="8" spans="1:9" ht="15.95" customHeight="1">
      <c r="A8" s="695"/>
      <c r="B8" s="232"/>
      <c r="C8" s="239"/>
      <c r="D8" s="239"/>
      <c r="E8" s="239"/>
      <c r="F8" s="243"/>
      <c r="G8" s="243"/>
      <c r="H8" s="183">
        <f t="shared" si="0"/>
        <v>0</v>
      </c>
      <c r="I8" s="240"/>
    </row>
    <row r="9" spans="1:9" ht="15.95" customHeight="1">
      <c r="A9" s="695"/>
      <c r="B9" s="232"/>
      <c r="C9" s="239"/>
      <c r="D9" s="239"/>
      <c r="E9" s="239"/>
      <c r="F9" s="243"/>
      <c r="G9" s="243"/>
      <c r="H9" s="183">
        <f t="shared" si="0"/>
        <v>0</v>
      </c>
      <c r="I9" s="240"/>
    </row>
    <row r="10" spans="1:9" ht="15.95" customHeight="1">
      <c r="A10" s="695"/>
      <c r="B10" s="232"/>
      <c r="C10" s="239"/>
      <c r="D10" s="239"/>
      <c r="E10" s="239"/>
      <c r="F10" s="243"/>
      <c r="G10" s="243"/>
      <c r="H10" s="183">
        <f t="shared" si="0"/>
        <v>0</v>
      </c>
      <c r="I10" s="240"/>
    </row>
    <row r="11" spans="1:9" ht="15.95" customHeight="1">
      <c r="A11" s="695"/>
      <c r="B11" s="232"/>
      <c r="C11" s="239"/>
      <c r="D11" s="239"/>
      <c r="E11" s="239"/>
      <c r="F11" s="243"/>
      <c r="G11" s="243"/>
      <c r="H11" s="183">
        <f t="shared" si="0"/>
        <v>0</v>
      </c>
      <c r="I11" s="240"/>
    </row>
    <row r="12" spans="1:9" ht="15.95" customHeight="1">
      <c r="A12" s="695"/>
      <c r="B12" s="232"/>
      <c r="C12" s="239"/>
      <c r="D12" s="239"/>
      <c r="E12" s="239"/>
      <c r="F12" s="243"/>
      <c r="G12" s="243"/>
      <c r="H12" s="183">
        <f t="shared" si="0"/>
        <v>0</v>
      </c>
      <c r="I12" s="240"/>
    </row>
    <row r="13" spans="1:9" ht="15.95" customHeight="1">
      <c r="A13" s="695"/>
      <c r="B13" s="232"/>
      <c r="C13" s="239"/>
      <c r="D13" s="239"/>
      <c r="E13" s="239"/>
      <c r="F13" s="243"/>
      <c r="G13" s="243"/>
      <c r="H13" s="183">
        <f t="shared" si="0"/>
        <v>0</v>
      </c>
      <c r="I13" s="240"/>
    </row>
    <row r="14" spans="1:9" ht="15.95" customHeight="1">
      <c r="A14" s="695"/>
      <c r="B14" s="232"/>
      <c r="C14" s="239"/>
      <c r="D14" s="239"/>
      <c r="E14" s="239"/>
      <c r="F14" s="243"/>
      <c r="G14" s="243"/>
      <c r="H14" s="183">
        <f t="shared" si="0"/>
        <v>0</v>
      </c>
      <c r="I14" s="240"/>
    </row>
    <row r="15" spans="1:9" ht="15.95" customHeight="1">
      <c r="A15" s="695"/>
      <c r="B15" s="232"/>
      <c r="C15" s="239"/>
      <c r="D15" s="239"/>
      <c r="E15" s="239"/>
      <c r="F15" s="243"/>
      <c r="G15" s="243"/>
      <c r="H15" s="183">
        <f t="shared" si="0"/>
        <v>0</v>
      </c>
      <c r="I15" s="240"/>
    </row>
    <row r="16" spans="1:9" ht="15.95" customHeight="1">
      <c r="A16" s="695"/>
      <c r="B16" s="232"/>
      <c r="C16" s="239"/>
      <c r="D16" s="239"/>
      <c r="E16" s="239"/>
      <c r="F16" s="243"/>
      <c r="G16" s="243"/>
      <c r="H16" s="183">
        <f t="shared" si="0"/>
        <v>0</v>
      </c>
      <c r="I16" s="240"/>
    </row>
    <row r="17" spans="1:9" ht="15.95" customHeight="1">
      <c r="A17" s="695"/>
      <c r="B17" s="232"/>
      <c r="C17" s="239"/>
      <c r="D17" s="239"/>
      <c r="E17" s="239"/>
      <c r="F17" s="243"/>
      <c r="G17" s="243"/>
      <c r="H17" s="183">
        <f t="shared" si="0"/>
        <v>0</v>
      </c>
      <c r="I17" s="240"/>
    </row>
    <row r="18" spans="1:9" ht="15.95" customHeight="1">
      <c r="A18" s="695"/>
      <c r="B18" s="232"/>
      <c r="C18" s="239"/>
      <c r="D18" s="239"/>
      <c r="E18" s="239"/>
      <c r="F18" s="243"/>
      <c r="G18" s="243"/>
      <c r="H18" s="183">
        <f t="shared" si="0"/>
        <v>0</v>
      </c>
      <c r="I18" s="240"/>
    </row>
    <row r="19" spans="1:9" ht="15.95" customHeight="1">
      <c r="A19" s="695"/>
      <c r="B19" s="232"/>
      <c r="C19" s="239"/>
      <c r="D19" s="239"/>
      <c r="E19" s="239"/>
      <c r="F19" s="243"/>
      <c r="G19" s="243"/>
      <c r="H19" s="183">
        <f t="shared" si="0"/>
        <v>0</v>
      </c>
      <c r="I19" s="240"/>
    </row>
    <row r="20" spans="1:9" ht="15.95" customHeight="1">
      <c r="A20" s="695"/>
      <c r="B20" s="232"/>
      <c r="C20" s="239"/>
      <c r="D20" s="239"/>
      <c r="E20" s="239"/>
      <c r="F20" s="243"/>
      <c r="G20" s="243"/>
      <c r="H20" s="183">
        <f t="shared" si="0"/>
        <v>0</v>
      </c>
      <c r="I20" s="240"/>
    </row>
    <row r="21" spans="1:9" ht="15.95" customHeight="1">
      <c r="A21" s="695"/>
      <c r="B21" s="232"/>
      <c r="C21" s="239"/>
      <c r="D21" s="239"/>
      <c r="E21" s="239"/>
      <c r="F21" s="243"/>
      <c r="G21" s="243"/>
      <c r="H21" s="183">
        <f t="shared" si="0"/>
        <v>0</v>
      </c>
      <c r="I21" s="240"/>
    </row>
    <row r="22" spans="1:9" ht="15.95" customHeight="1">
      <c r="A22" s="695"/>
      <c r="B22" s="232"/>
      <c r="C22" s="239"/>
      <c r="D22" s="239"/>
      <c r="E22" s="239"/>
      <c r="F22" s="243"/>
      <c r="G22" s="243"/>
      <c r="H22" s="183">
        <f t="shared" si="0"/>
        <v>0</v>
      </c>
      <c r="I22" s="240"/>
    </row>
    <row r="23" spans="1:9" ht="15.95" customHeight="1">
      <c r="A23" s="695"/>
      <c r="B23" s="232"/>
      <c r="C23" s="244" t="s">
        <v>246</v>
      </c>
      <c r="D23" s="264"/>
      <c r="E23" s="264"/>
      <c r="F23" s="266"/>
      <c r="G23" s="266"/>
      <c r="H23" s="267">
        <f t="shared" si="0"/>
        <v>0</v>
      </c>
      <c r="I23" s="268"/>
    </row>
    <row r="24" spans="1:9" ht="15.95" customHeight="1">
      <c r="A24" s="695"/>
      <c r="B24" s="249"/>
      <c r="C24" s="275"/>
      <c r="D24" s="275"/>
      <c r="E24" s="275"/>
      <c r="F24" s="273"/>
      <c r="G24" s="273"/>
      <c r="H24" s="274">
        <f>SUM(H3:H23)</f>
        <v>0</v>
      </c>
      <c r="I24" s="275"/>
    </row>
    <row r="25" spans="1:9" ht="15.95" customHeight="1">
      <c r="A25" s="695"/>
      <c r="B25" s="232" t="s">
        <v>251</v>
      </c>
      <c r="C25" s="233"/>
      <c r="D25" s="233"/>
      <c r="E25" s="233"/>
      <c r="F25" s="236"/>
      <c r="G25" s="236"/>
      <c r="H25" s="237">
        <f t="shared" si="0"/>
        <v>0</v>
      </c>
      <c r="I25" s="238"/>
    </row>
    <row r="26" spans="1:9" ht="15.95" customHeight="1">
      <c r="A26" s="695"/>
      <c r="B26" s="232" t="s">
        <v>252</v>
      </c>
      <c r="C26" s="239"/>
      <c r="D26" s="239"/>
      <c r="E26" s="239"/>
      <c r="F26" s="243"/>
      <c r="G26" s="243"/>
      <c r="H26" s="183">
        <f t="shared" si="0"/>
        <v>0</v>
      </c>
      <c r="I26" s="240"/>
    </row>
    <row r="27" spans="1:9" ht="15.95" customHeight="1">
      <c r="A27" s="695"/>
      <c r="B27" s="232"/>
      <c r="C27" s="239"/>
      <c r="D27" s="239"/>
      <c r="E27" s="239"/>
      <c r="F27" s="243"/>
      <c r="G27" s="243"/>
      <c r="H27" s="183">
        <f t="shared" si="0"/>
        <v>0</v>
      </c>
      <c r="I27" s="240"/>
    </row>
    <row r="28" spans="1:9" ht="15.95" customHeight="1">
      <c r="A28" s="695"/>
      <c r="B28" s="232"/>
      <c r="C28" s="239"/>
      <c r="D28" s="239"/>
      <c r="E28" s="239"/>
      <c r="F28" s="243"/>
      <c r="G28" s="243"/>
      <c r="H28" s="183">
        <f t="shared" si="0"/>
        <v>0</v>
      </c>
      <c r="I28" s="240"/>
    </row>
    <row r="29" spans="1:9" ht="15.95" customHeight="1">
      <c r="A29" s="695"/>
      <c r="B29" s="232"/>
      <c r="C29" s="244" t="s">
        <v>246</v>
      </c>
      <c r="D29" s="244"/>
      <c r="E29" s="244"/>
      <c r="F29" s="247"/>
      <c r="G29" s="247"/>
      <c r="H29" s="183">
        <f t="shared" si="0"/>
        <v>0</v>
      </c>
      <c r="I29" s="248"/>
    </row>
    <row r="30" spans="1:9" ht="15.95" customHeight="1">
      <c r="A30" s="695"/>
      <c r="B30" s="249"/>
      <c r="C30" s="250"/>
      <c r="D30" s="251"/>
      <c r="E30" s="251"/>
      <c r="F30" s="310"/>
      <c r="G30" s="253"/>
      <c r="H30" s="254">
        <f>SUM(H25:H29)</f>
        <v>0</v>
      </c>
      <c r="I30" s="255"/>
    </row>
    <row r="31" spans="1:9" ht="15.95" customHeight="1">
      <c r="A31" s="695"/>
      <c r="B31" s="276" t="s">
        <v>253</v>
      </c>
      <c r="C31" s="257"/>
      <c r="D31" s="257"/>
      <c r="E31" s="257"/>
      <c r="F31" s="260"/>
      <c r="G31" s="260"/>
      <c r="H31" s="261">
        <f t="shared" si="0"/>
        <v>0</v>
      </c>
      <c r="I31" s="262"/>
    </row>
    <row r="32" spans="1:9" ht="15.95" customHeight="1">
      <c r="A32" s="695"/>
      <c r="B32" s="232" t="s">
        <v>254</v>
      </c>
      <c r="C32" s="239"/>
      <c r="D32" s="239"/>
      <c r="E32" s="239"/>
      <c r="F32" s="243"/>
      <c r="G32" s="243"/>
      <c r="H32" s="183">
        <f t="shared" si="0"/>
        <v>0</v>
      </c>
      <c r="I32" s="240"/>
    </row>
    <row r="33" spans="1:9" ht="15.95" customHeight="1">
      <c r="A33" s="695"/>
      <c r="B33" s="232"/>
      <c r="C33" s="239"/>
      <c r="D33" s="239"/>
      <c r="E33" s="239"/>
      <c r="F33" s="243"/>
      <c r="G33" s="243"/>
      <c r="H33" s="183">
        <f t="shared" si="0"/>
        <v>0</v>
      </c>
      <c r="I33" s="240"/>
    </row>
    <row r="34" spans="1:9" ht="15.95" customHeight="1">
      <c r="A34" s="695"/>
      <c r="B34" s="232"/>
      <c r="C34" s="239"/>
      <c r="D34" s="239"/>
      <c r="E34" s="239"/>
      <c r="F34" s="243"/>
      <c r="G34" s="243"/>
      <c r="H34" s="183">
        <f t="shared" si="0"/>
        <v>0</v>
      </c>
      <c r="I34" s="240"/>
    </row>
    <row r="35" spans="1:9" ht="15.95" customHeight="1">
      <c r="A35" s="695"/>
      <c r="B35" s="232"/>
      <c r="C35" s="239"/>
      <c r="D35" s="239"/>
      <c r="E35" s="239"/>
      <c r="F35" s="243"/>
      <c r="G35" s="243"/>
      <c r="H35" s="183">
        <f t="shared" si="0"/>
        <v>0</v>
      </c>
      <c r="I35" s="240"/>
    </row>
    <row r="36" spans="1:9" ht="15.95" customHeight="1">
      <c r="A36" s="695"/>
      <c r="B36" s="232"/>
      <c r="C36" s="239"/>
      <c r="D36" s="239"/>
      <c r="E36" s="239"/>
      <c r="F36" s="243"/>
      <c r="G36" s="243"/>
      <c r="H36" s="183">
        <f t="shared" si="0"/>
        <v>0</v>
      </c>
      <c r="I36" s="240"/>
    </row>
    <row r="37" spans="1:9" ht="15.95" customHeight="1">
      <c r="A37" s="695"/>
      <c r="B37" s="232"/>
      <c r="C37" s="239"/>
      <c r="D37" s="239"/>
      <c r="E37" s="239"/>
      <c r="F37" s="243"/>
      <c r="G37" s="243"/>
      <c r="H37" s="183">
        <f t="shared" si="0"/>
        <v>0</v>
      </c>
      <c r="I37" s="240"/>
    </row>
    <row r="38" spans="1:9" ht="15.95" customHeight="1">
      <c r="A38" s="695"/>
      <c r="B38" s="232"/>
      <c r="C38" s="239"/>
      <c r="D38" s="239"/>
      <c r="E38" s="239"/>
      <c r="F38" s="243"/>
      <c r="G38" s="243"/>
      <c r="H38" s="183">
        <f t="shared" si="0"/>
        <v>0</v>
      </c>
      <c r="I38" s="240"/>
    </row>
    <row r="39" spans="1:9" ht="15.95" customHeight="1">
      <c r="A39" s="695"/>
      <c r="B39" s="232"/>
      <c r="C39" s="239"/>
      <c r="D39" s="239"/>
      <c r="E39" s="239"/>
      <c r="F39" s="243"/>
      <c r="G39" s="243"/>
      <c r="H39" s="183">
        <f t="shared" si="0"/>
        <v>0</v>
      </c>
      <c r="I39" s="240"/>
    </row>
    <row r="40" spans="1:9" ht="15.95" customHeight="1">
      <c r="A40" s="695"/>
      <c r="B40" s="232"/>
      <c r="C40" s="239"/>
      <c r="D40" s="239"/>
      <c r="E40" s="239"/>
      <c r="F40" s="243"/>
      <c r="G40" s="243"/>
      <c r="H40" s="183">
        <f t="shared" si="0"/>
        <v>0</v>
      </c>
      <c r="I40" s="240"/>
    </row>
    <row r="41" spans="1:9" ht="15.95" customHeight="1">
      <c r="A41" s="695"/>
      <c r="B41" s="232"/>
      <c r="C41" s="239"/>
      <c r="D41" s="239"/>
      <c r="E41" s="239"/>
      <c r="F41" s="243"/>
      <c r="G41" s="243"/>
      <c r="H41" s="183">
        <f t="shared" si="0"/>
        <v>0</v>
      </c>
      <c r="I41" s="240"/>
    </row>
    <row r="42" spans="1:9" ht="15.95" customHeight="1">
      <c r="A42" s="695"/>
      <c r="B42" s="232"/>
      <c r="C42" s="239"/>
      <c r="D42" s="239"/>
      <c r="E42" s="239"/>
      <c r="F42" s="243"/>
      <c r="G42" s="243"/>
      <c r="H42" s="183">
        <f t="shared" si="0"/>
        <v>0</v>
      </c>
      <c r="I42" s="240"/>
    </row>
    <row r="43" spans="1:9" ht="15.95" customHeight="1">
      <c r="A43" s="695"/>
      <c r="B43" s="232"/>
      <c r="C43" s="239"/>
      <c r="D43" s="239"/>
      <c r="E43" s="239"/>
      <c r="F43" s="243"/>
      <c r="G43" s="243"/>
      <c r="H43" s="183">
        <f t="shared" si="0"/>
        <v>0</v>
      </c>
      <c r="I43" s="240"/>
    </row>
    <row r="44" spans="1:9" ht="15.95" customHeight="1">
      <c r="A44" s="695"/>
      <c r="B44" s="232"/>
      <c r="C44" s="239"/>
      <c r="D44" s="239"/>
      <c r="E44" s="239"/>
      <c r="F44" s="243"/>
      <c r="G44" s="243"/>
      <c r="H44" s="183">
        <f t="shared" si="0"/>
        <v>0</v>
      </c>
      <c r="I44" s="240"/>
    </row>
    <row r="45" spans="1:9" ht="15.95" customHeight="1">
      <c r="A45" s="695"/>
      <c r="B45" s="232"/>
      <c r="C45" s="239"/>
      <c r="D45" s="239"/>
      <c r="E45" s="239"/>
      <c r="F45" s="243"/>
      <c r="G45" s="243"/>
      <c r="H45" s="183">
        <f t="shared" si="0"/>
        <v>0</v>
      </c>
      <c r="I45" s="240"/>
    </row>
    <row r="46" spans="1:9" ht="15.95" customHeight="1">
      <c r="A46" s="695"/>
      <c r="B46" s="232"/>
      <c r="C46" s="244" t="s">
        <v>246</v>
      </c>
      <c r="D46" s="244"/>
      <c r="E46" s="244"/>
      <c r="F46" s="247"/>
      <c r="G46" s="247"/>
      <c r="H46" s="277">
        <f t="shared" si="0"/>
        <v>0</v>
      </c>
      <c r="I46" s="248"/>
    </row>
    <row r="47" spans="1:9" ht="15.95" customHeight="1">
      <c r="A47" s="695"/>
      <c r="B47" s="249"/>
      <c r="C47" s="250"/>
      <c r="D47" s="251"/>
      <c r="E47" s="251"/>
      <c r="F47" s="253"/>
      <c r="G47" s="253"/>
      <c r="H47" s="254">
        <f>SUM(H31:H46)</f>
        <v>0</v>
      </c>
      <c r="I47" s="255"/>
    </row>
    <row r="48" spans="1:9" ht="15.95" customHeight="1">
      <c r="A48" s="695"/>
      <c r="B48" s="276" t="s">
        <v>245</v>
      </c>
      <c r="C48" s="257"/>
      <c r="D48" s="257"/>
      <c r="E48" s="257"/>
      <c r="F48" s="260"/>
      <c r="G48" s="260"/>
      <c r="H48" s="261">
        <f t="shared" si="0"/>
        <v>0</v>
      </c>
      <c r="I48" s="262"/>
    </row>
    <row r="49" spans="1:9" ht="15.95" customHeight="1">
      <c r="A49" s="695"/>
      <c r="B49" s="232"/>
      <c r="C49" s="239"/>
      <c r="D49" s="239"/>
      <c r="E49" s="239"/>
      <c r="F49" s="243"/>
      <c r="G49" s="243"/>
      <c r="H49" s="183">
        <f t="shared" si="0"/>
        <v>0</v>
      </c>
      <c r="I49" s="240"/>
    </row>
    <row r="50" spans="1:9" ht="15.95" customHeight="1">
      <c r="A50" s="695"/>
      <c r="B50" s="232"/>
      <c r="C50" s="239"/>
      <c r="D50" s="239"/>
      <c r="E50" s="239"/>
      <c r="F50" s="243"/>
      <c r="G50" s="243"/>
      <c r="H50" s="183">
        <f t="shared" si="0"/>
        <v>0</v>
      </c>
      <c r="I50" s="240"/>
    </row>
    <row r="51" spans="1:9" ht="15.95" customHeight="1">
      <c r="A51" s="695"/>
      <c r="B51" s="232"/>
      <c r="C51" s="239"/>
      <c r="D51" s="239"/>
      <c r="E51" s="239"/>
      <c r="F51" s="243"/>
      <c r="G51" s="243"/>
      <c r="H51" s="183">
        <f t="shared" si="0"/>
        <v>0</v>
      </c>
      <c r="I51" s="240"/>
    </row>
    <row r="52" spans="1:9" ht="15.95" customHeight="1">
      <c r="A52" s="695"/>
      <c r="B52" s="232"/>
      <c r="C52" s="239"/>
      <c r="D52" s="239"/>
      <c r="E52" s="239"/>
      <c r="F52" s="243"/>
      <c r="G52" s="243"/>
      <c r="H52" s="183">
        <f t="shared" si="0"/>
        <v>0</v>
      </c>
      <c r="I52" s="240"/>
    </row>
    <row r="53" spans="1:9" ht="15.95" customHeight="1">
      <c r="A53" s="695"/>
      <c r="B53" s="232"/>
      <c r="C53" s="239"/>
      <c r="D53" s="239"/>
      <c r="E53" s="239"/>
      <c r="F53" s="243"/>
      <c r="G53" s="243"/>
      <c r="H53" s="183">
        <f t="shared" si="0"/>
        <v>0</v>
      </c>
      <c r="I53" s="240"/>
    </row>
    <row r="54" spans="1:9" ht="15.95" customHeight="1">
      <c r="A54" s="695"/>
      <c r="B54" s="232"/>
      <c r="C54" s="244" t="s">
        <v>246</v>
      </c>
      <c r="D54" s="244"/>
      <c r="E54" s="244"/>
      <c r="F54" s="247"/>
      <c r="G54" s="247"/>
      <c r="H54" s="277">
        <f t="shared" si="0"/>
        <v>0</v>
      </c>
      <c r="I54" s="248"/>
    </row>
    <row r="55" spans="1:9" ht="15.95" customHeight="1">
      <c r="A55" s="695"/>
      <c r="B55" s="249"/>
      <c r="C55" s="250"/>
      <c r="D55" s="251"/>
      <c r="E55" s="251"/>
      <c r="F55" s="253"/>
      <c r="G55" s="253"/>
      <c r="H55" s="254">
        <f>SUM(H48:H54)</f>
        <v>0</v>
      </c>
      <c r="I55" s="255"/>
    </row>
    <row r="56" spans="1:9" ht="15.95" customHeight="1">
      <c r="A56" s="278"/>
      <c r="B56" s="279" t="s">
        <v>247</v>
      </c>
      <c r="C56" s="280"/>
      <c r="D56" s="255"/>
      <c r="E56" s="255"/>
      <c r="F56" s="282"/>
      <c r="G56" s="282"/>
      <c r="H56" s="254">
        <f>SUM(H55,H47,H30,H24)</f>
        <v>0</v>
      </c>
      <c r="I56" s="255"/>
    </row>
    <row r="57" spans="1:9" ht="15.95" customHeight="1">
      <c r="A57" s="696" t="s">
        <v>248</v>
      </c>
      <c r="B57" s="283" t="s">
        <v>249</v>
      </c>
      <c r="C57" s="280"/>
      <c r="D57" s="284"/>
      <c r="E57" s="311" t="s">
        <v>250</v>
      </c>
      <c r="F57" s="305"/>
      <c r="G57" s="305"/>
      <c r="H57" s="288">
        <f>F57*G57</f>
        <v>0</v>
      </c>
      <c r="I57" s="255"/>
    </row>
    <row r="58" spans="1:9" ht="15.95" customHeight="1">
      <c r="A58" s="695"/>
      <c r="B58" s="289" t="s">
        <v>255</v>
      </c>
      <c r="C58" s="290"/>
      <c r="D58" s="291"/>
      <c r="E58" s="312" t="s">
        <v>148</v>
      </c>
      <c r="F58" s="260"/>
      <c r="G58" s="260"/>
      <c r="H58" s="261">
        <f t="shared" ref="H58:H64" si="1">F58*G58</f>
        <v>0</v>
      </c>
      <c r="I58" s="262"/>
    </row>
    <row r="59" spans="1:9" ht="15.95" customHeight="1">
      <c r="A59" s="695"/>
      <c r="B59" s="315" t="s">
        <v>256</v>
      </c>
      <c r="C59" s="294"/>
      <c r="D59" s="295"/>
      <c r="E59" s="313" t="s">
        <v>148</v>
      </c>
      <c r="F59" s="243"/>
      <c r="G59" s="243"/>
      <c r="H59" s="183">
        <f t="shared" si="1"/>
        <v>0</v>
      </c>
      <c r="I59" s="240"/>
    </row>
    <row r="60" spans="1:9" ht="15.95" customHeight="1">
      <c r="A60" s="695"/>
      <c r="B60" s="293" t="s">
        <v>257</v>
      </c>
      <c r="C60" s="294"/>
      <c r="D60" s="295"/>
      <c r="E60" s="313" t="s">
        <v>148</v>
      </c>
      <c r="F60" s="243"/>
      <c r="G60" s="243"/>
      <c r="H60" s="183">
        <f t="shared" si="1"/>
        <v>0</v>
      </c>
      <c r="I60" s="240"/>
    </row>
    <row r="61" spans="1:9" ht="15.95" customHeight="1">
      <c r="A61" s="695"/>
      <c r="B61" s="293" t="s">
        <v>258</v>
      </c>
      <c r="C61" s="294"/>
      <c r="D61" s="295"/>
      <c r="E61" s="313" t="s">
        <v>148</v>
      </c>
      <c r="F61" s="243"/>
      <c r="G61" s="243"/>
      <c r="H61" s="183">
        <f t="shared" si="1"/>
        <v>0</v>
      </c>
      <c r="I61" s="240"/>
    </row>
    <row r="62" spans="1:9" ht="15.95" customHeight="1">
      <c r="A62" s="695"/>
      <c r="B62" s="293" t="s">
        <v>259</v>
      </c>
      <c r="C62" s="294"/>
      <c r="D62" s="295"/>
      <c r="E62" s="313" t="s">
        <v>148</v>
      </c>
      <c r="F62" s="243"/>
      <c r="G62" s="243"/>
      <c r="H62" s="183">
        <f t="shared" si="1"/>
        <v>0</v>
      </c>
      <c r="I62" s="240"/>
    </row>
    <row r="63" spans="1:9" ht="15.95" customHeight="1">
      <c r="A63" s="695"/>
      <c r="B63" s="293" t="s">
        <v>260</v>
      </c>
      <c r="C63" s="294"/>
      <c r="D63" s="295"/>
      <c r="E63" s="313" t="s">
        <v>148</v>
      </c>
      <c r="F63" s="243"/>
      <c r="G63" s="243"/>
      <c r="H63" s="183">
        <f t="shared" si="1"/>
        <v>0</v>
      </c>
      <c r="I63" s="240"/>
    </row>
    <row r="64" spans="1:9" ht="15.95" customHeight="1">
      <c r="A64" s="695"/>
      <c r="B64" s="297" t="s">
        <v>261</v>
      </c>
      <c r="C64" s="298"/>
      <c r="D64" s="299"/>
      <c r="E64" s="314" t="s">
        <v>148</v>
      </c>
      <c r="F64" s="247"/>
      <c r="G64" s="247"/>
      <c r="H64" s="277">
        <f t="shared" si="1"/>
        <v>0</v>
      </c>
      <c r="I64" s="248"/>
    </row>
    <row r="65" spans="1:9" ht="15.95" customHeight="1">
      <c r="A65" s="278"/>
      <c r="B65" s="301" t="s">
        <v>262</v>
      </c>
      <c r="C65" s="280"/>
      <c r="D65" s="255"/>
      <c r="E65" s="255"/>
      <c r="F65" s="253"/>
      <c r="G65" s="253"/>
      <c r="H65" s="253">
        <f>SUM(H57:H64)</f>
        <v>0</v>
      </c>
      <c r="I65" s="251"/>
    </row>
    <row r="66" spans="1:9" ht="15.95" customHeight="1">
      <c r="A66" s="302"/>
      <c r="B66" s="301" t="s">
        <v>263</v>
      </c>
      <c r="C66" s="280"/>
      <c r="D66" s="255"/>
      <c r="E66" s="255"/>
      <c r="F66" s="254"/>
      <c r="G66" s="254"/>
      <c r="H66" s="282">
        <f>'단위공사별(집계)'!L16+'단위공사별(집계)'!I16</f>
        <v>0</v>
      </c>
      <c r="I66" s="255"/>
    </row>
    <row r="67" spans="1:9" ht="15.95" customHeight="1">
      <c r="A67" s="302"/>
      <c r="B67" s="301" t="s">
        <v>264</v>
      </c>
      <c r="C67" s="280"/>
      <c r="D67" s="255"/>
      <c r="E67" s="255"/>
      <c r="F67" s="254"/>
      <c r="G67" s="304"/>
      <c r="H67" s="419">
        <f>(H65+H56)*0.05</f>
        <v>0</v>
      </c>
      <c r="I67" s="280"/>
    </row>
    <row r="68" spans="1:9" ht="15.95" customHeight="1">
      <c r="A68" s="302"/>
      <c r="B68" s="301" t="s">
        <v>265</v>
      </c>
      <c r="C68" s="280"/>
      <c r="D68" s="255"/>
      <c r="E68" s="255"/>
      <c r="F68" s="254"/>
      <c r="G68" s="304"/>
      <c r="H68" s="419">
        <f>(H65+H56)*0.1</f>
        <v>0</v>
      </c>
      <c r="I68" s="280"/>
    </row>
    <row r="69" spans="1:9" ht="15.95" customHeight="1">
      <c r="A69" s="302"/>
      <c r="B69" s="301" t="s">
        <v>266</v>
      </c>
      <c r="C69" s="280"/>
      <c r="D69" s="255"/>
      <c r="E69" s="255"/>
      <c r="F69" s="254"/>
      <c r="G69" s="254"/>
      <c r="H69" s="253">
        <f>H56+H65+H66+H67+H68</f>
        <v>0</v>
      </c>
      <c r="I69" s="255"/>
    </row>
    <row r="70" spans="1:9">
      <c r="A70" s="150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6"/>
  <sheetViews>
    <sheetView zoomScale="85" workbookViewId="0">
      <selection activeCell="G33" sqref="G33:I33"/>
    </sheetView>
  </sheetViews>
  <sheetFormatPr defaultRowHeight="17.25" customHeight="1"/>
  <cols>
    <col min="1" max="1" width="16.5" style="133" customWidth="1"/>
    <col min="2" max="3" width="27.625" style="133" customWidth="1"/>
    <col min="4" max="4" width="11.5" style="133" customWidth="1"/>
    <col min="5" max="16384" width="9" style="133"/>
  </cols>
  <sheetData>
    <row r="1" spans="1:4" ht="17.25" customHeight="1">
      <c r="A1" s="133" t="s">
        <v>267</v>
      </c>
    </row>
    <row r="2" spans="1:4" ht="17.25" customHeight="1">
      <c r="D2" s="150" t="s">
        <v>234</v>
      </c>
    </row>
    <row r="3" spans="1:4" ht="24.75" customHeight="1">
      <c r="A3" s="316" t="s">
        <v>268</v>
      </c>
    </row>
    <row r="4" spans="1:4" ht="11.25" customHeight="1"/>
    <row r="5" spans="1:4" s="318" customFormat="1" ht="21" customHeight="1" thickBot="1">
      <c r="A5" s="317" t="s">
        <v>269</v>
      </c>
      <c r="B5" s="317" t="s">
        <v>270</v>
      </c>
      <c r="C5" s="317" t="s">
        <v>271</v>
      </c>
      <c r="D5" s="317" t="s">
        <v>272</v>
      </c>
    </row>
    <row r="6" spans="1:4" ht="17.25" customHeight="1" thickTop="1">
      <c r="A6" s="319"/>
      <c r="B6" s="319"/>
      <c r="C6" s="319"/>
      <c r="D6" s="319"/>
    </row>
    <row r="7" spans="1:4" ht="17.25" customHeight="1">
      <c r="A7" s="319"/>
      <c r="B7" s="319"/>
      <c r="C7" s="319"/>
      <c r="D7" s="319"/>
    </row>
    <row r="8" spans="1:4" ht="17.25" customHeight="1">
      <c r="A8" s="319"/>
      <c r="B8" s="319"/>
      <c r="C8" s="319"/>
      <c r="D8" s="319"/>
    </row>
    <row r="9" spans="1:4" ht="17.25" customHeight="1">
      <c r="A9" s="319"/>
      <c r="B9" s="319"/>
      <c r="C9" s="319"/>
      <c r="D9" s="319"/>
    </row>
    <row r="10" spans="1:4" ht="17.25" customHeight="1">
      <c r="A10" s="319"/>
      <c r="B10" s="319"/>
      <c r="C10" s="319"/>
      <c r="D10" s="319"/>
    </row>
    <row r="11" spans="1:4" ht="17.25" customHeight="1">
      <c r="A11" s="319"/>
      <c r="B11" s="319"/>
      <c r="C11" s="319"/>
      <c r="D11" s="319"/>
    </row>
    <row r="12" spans="1:4" ht="17.25" customHeight="1">
      <c r="A12" s="319"/>
      <c r="B12" s="319"/>
      <c r="C12" s="319"/>
      <c r="D12" s="319"/>
    </row>
    <row r="13" spans="1:4" ht="17.25" customHeight="1">
      <c r="A13" s="319"/>
      <c r="B13" s="319"/>
      <c r="C13" s="319"/>
      <c r="D13" s="319"/>
    </row>
    <row r="14" spans="1:4" ht="17.25" customHeight="1">
      <c r="A14" s="319"/>
      <c r="B14" s="319"/>
      <c r="C14" s="319"/>
      <c r="D14" s="319"/>
    </row>
    <row r="15" spans="1:4" ht="17.25" customHeight="1">
      <c r="A15" s="319"/>
      <c r="B15" s="319"/>
      <c r="C15" s="319"/>
      <c r="D15" s="319"/>
    </row>
    <row r="16" spans="1:4" ht="17.25" customHeight="1">
      <c r="A16" s="319"/>
      <c r="B16" s="319"/>
      <c r="C16" s="319"/>
      <c r="D16" s="319"/>
    </row>
    <row r="17" spans="1:4" ht="17.25" customHeight="1">
      <c r="A17" s="319"/>
      <c r="B17" s="319"/>
      <c r="C17" s="319"/>
      <c r="D17" s="319"/>
    </row>
    <row r="18" spans="1:4" ht="17.25" customHeight="1">
      <c r="A18" s="319"/>
      <c r="B18" s="319"/>
      <c r="C18" s="319"/>
      <c r="D18" s="319"/>
    </row>
    <row r="19" spans="1:4" ht="17.25" customHeight="1">
      <c r="A19" s="319"/>
      <c r="B19" s="319"/>
      <c r="C19" s="319"/>
      <c r="D19" s="319"/>
    </row>
    <row r="20" spans="1:4" ht="17.25" customHeight="1">
      <c r="A20" s="319"/>
      <c r="B20" s="319"/>
      <c r="C20" s="319"/>
      <c r="D20" s="319"/>
    </row>
    <row r="21" spans="1:4" ht="17.25" customHeight="1">
      <c r="A21" s="319"/>
      <c r="B21" s="319"/>
      <c r="C21" s="319"/>
      <c r="D21" s="319"/>
    </row>
    <row r="22" spans="1:4" ht="17.25" customHeight="1">
      <c r="A22" s="319"/>
      <c r="B22" s="319"/>
      <c r="C22" s="319"/>
      <c r="D22" s="319"/>
    </row>
    <row r="23" spans="1:4" ht="17.25" customHeight="1">
      <c r="A23" s="319"/>
      <c r="B23" s="319"/>
      <c r="C23" s="319"/>
      <c r="D23" s="319"/>
    </row>
    <row r="24" spans="1:4" ht="17.25" customHeight="1">
      <c r="A24" s="319"/>
      <c r="B24" s="319"/>
      <c r="C24" s="319"/>
      <c r="D24" s="319"/>
    </row>
    <row r="25" spans="1:4" ht="17.25" customHeight="1">
      <c r="A25" s="319"/>
      <c r="B25" s="319"/>
      <c r="C25" s="319"/>
      <c r="D25" s="319"/>
    </row>
    <row r="26" spans="1:4" ht="17.25" customHeight="1">
      <c r="A26" s="319"/>
      <c r="B26" s="319"/>
      <c r="C26" s="319"/>
      <c r="D26" s="319"/>
    </row>
    <row r="27" spans="1:4" ht="17.25" customHeight="1">
      <c r="A27" s="319"/>
      <c r="B27" s="319"/>
      <c r="C27" s="319"/>
      <c r="D27" s="319"/>
    </row>
    <row r="28" spans="1:4" ht="17.25" customHeight="1">
      <c r="A28" s="319"/>
      <c r="B28" s="319"/>
      <c r="C28" s="319"/>
      <c r="D28" s="319"/>
    </row>
    <row r="29" spans="1:4" ht="17.25" customHeight="1">
      <c r="A29" s="319"/>
      <c r="B29" s="319"/>
      <c r="C29" s="319"/>
      <c r="D29" s="319"/>
    </row>
    <row r="30" spans="1:4" ht="17.25" customHeight="1">
      <c r="A30" s="319"/>
      <c r="B30" s="319"/>
      <c r="C30" s="319"/>
      <c r="D30" s="319"/>
    </row>
    <row r="31" spans="1:4" ht="17.25" customHeight="1">
      <c r="A31" s="319"/>
      <c r="B31" s="319"/>
      <c r="C31" s="319"/>
      <c r="D31" s="319"/>
    </row>
    <row r="32" spans="1:4" ht="17.25" customHeight="1">
      <c r="A32" s="319"/>
      <c r="B32" s="319"/>
      <c r="C32" s="319"/>
      <c r="D32" s="319"/>
    </row>
    <row r="33" spans="1:4" ht="17.25" customHeight="1">
      <c r="A33" s="319"/>
      <c r="B33" s="319"/>
      <c r="C33" s="319"/>
      <c r="D33" s="319"/>
    </row>
    <row r="34" spans="1:4" ht="17.25" customHeight="1">
      <c r="A34" s="319"/>
      <c r="B34" s="319"/>
      <c r="C34" s="319"/>
      <c r="D34" s="319"/>
    </row>
    <row r="35" spans="1:4" ht="17.25" customHeight="1">
      <c r="A35" s="319"/>
      <c r="B35" s="319"/>
      <c r="C35" s="319"/>
      <c r="D35" s="319"/>
    </row>
    <row r="36" spans="1:4" ht="17.25" customHeight="1">
      <c r="A36" s="251"/>
      <c r="B36" s="251"/>
      <c r="C36" s="251"/>
      <c r="D36" s="251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이름이 지정된 범위</vt:lpstr>
      </vt:variant>
      <vt:variant>
        <vt:i4>6</vt:i4>
      </vt:variant>
    </vt:vector>
  </HeadingPairs>
  <TitlesOfParts>
    <vt:vector size="21" baseType="lpstr">
      <vt:lpstr>갑지</vt:lpstr>
      <vt:lpstr>원가항목별(집계)</vt:lpstr>
      <vt:lpstr>단위공사별(집계)</vt:lpstr>
      <vt:lpstr>전기</vt:lpstr>
      <vt:lpstr>#10</vt:lpstr>
      <vt:lpstr>#20</vt:lpstr>
      <vt:lpstr>#30</vt:lpstr>
      <vt:lpstr>#40</vt:lpstr>
      <vt:lpstr>#50</vt:lpstr>
      <vt:lpstr>#60</vt:lpstr>
      <vt:lpstr>#70</vt:lpstr>
      <vt:lpstr>#80</vt:lpstr>
      <vt:lpstr>#90</vt:lpstr>
      <vt:lpstr>#100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WIA</dc:creator>
  <cp:lastModifiedBy>JDH</cp:lastModifiedBy>
  <dcterms:created xsi:type="dcterms:W3CDTF">2018-11-27T02:42:21Z</dcterms:created>
  <dcterms:modified xsi:type="dcterms:W3CDTF">2020-08-28T00:00:37Z</dcterms:modified>
</cp:coreProperties>
</file>