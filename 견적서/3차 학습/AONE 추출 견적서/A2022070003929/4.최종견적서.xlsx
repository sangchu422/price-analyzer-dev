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room\r_workroom\마감\창원3공장 침탄열처리 오버홀\"/>
    </mc:Choice>
  </mc:AlternateContent>
  <xr:revisionPtr revIDLastSave="0" documentId="13_ncr:1_{E03A2FE9-C67D-4361-B87A-D1D837510211}" xr6:coauthVersionLast="47" xr6:coauthVersionMax="47" xr10:uidLastSave="{00000000-0000-0000-0000-000000000000}"/>
  <bookViews>
    <workbookView xWindow="-120" yWindow="-120" windowWidth="29040" windowHeight="15840" xr2:uid="{C53B8AE4-D628-4C88-A88A-68573B9699C4}"/>
  </bookViews>
  <sheets>
    <sheet name="견적서 (갑) (2)" sheetId="1" r:id="rId1"/>
  </sheets>
  <definedNames>
    <definedName name="_xlnm.Print_Area" localSheetId="0">'견적서 (갑) (2)'!$A$1:$J$206</definedName>
    <definedName name="_xlnm.Print_Titles" localSheetId="0">'견적서 (갑) (2)'!$23:$24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0" i="1" l="1"/>
  <c r="I175" i="1" l="1"/>
  <c r="I197" i="1" l="1"/>
  <c r="H81" i="1"/>
  <c r="I81" i="1" s="1"/>
  <c r="I69" i="1"/>
  <c r="I70" i="1"/>
  <c r="I71" i="1"/>
  <c r="I72" i="1"/>
  <c r="I120" i="1"/>
  <c r="F30" i="1"/>
  <c r="I30" i="1" s="1"/>
  <c r="H29" i="1"/>
  <c r="F29" i="1"/>
  <c r="I183" i="1"/>
  <c r="I115" i="1"/>
  <c r="I181" i="1"/>
  <c r="I180" i="1"/>
  <c r="I179" i="1"/>
  <c r="I113" i="1"/>
  <c r="I112" i="1"/>
  <c r="I111" i="1"/>
  <c r="I110" i="1"/>
  <c r="I177" i="1"/>
  <c r="I174" i="1"/>
  <c r="I173" i="1"/>
  <c r="I195" i="1"/>
  <c r="I104" i="1"/>
  <c r="I103" i="1"/>
  <c r="I102" i="1"/>
  <c r="I101" i="1"/>
  <c r="I100" i="1"/>
  <c r="I99" i="1"/>
  <c r="I98" i="1"/>
  <c r="I97" i="1"/>
  <c r="I171" i="1"/>
  <c r="I169" i="1"/>
  <c r="I168" i="1"/>
  <c r="I93" i="1"/>
  <c r="I92" i="1"/>
  <c r="I166" i="1"/>
  <c r="I90" i="1"/>
  <c r="I164" i="1"/>
  <c r="I163" i="1"/>
  <c r="I162" i="1"/>
  <c r="I193" i="1"/>
  <c r="I88" i="1"/>
  <c r="I87" i="1"/>
  <c r="I86" i="1"/>
  <c r="I85" i="1"/>
  <c r="I160" i="1"/>
  <c r="I159" i="1"/>
  <c r="I157" i="1"/>
  <c r="I79" i="1"/>
  <c r="H78" i="1"/>
  <c r="I78" i="1" s="1"/>
  <c r="I154" i="1"/>
  <c r="I76" i="1"/>
  <c r="I75" i="1"/>
  <c r="I152" i="1"/>
  <c r="I151" i="1"/>
  <c r="I150" i="1"/>
  <c r="I191" i="1"/>
  <c r="I148" i="1"/>
  <c r="I146" i="1"/>
  <c r="I144" i="1"/>
  <c r="H61" i="1"/>
  <c r="I61" i="1" s="1"/>
  <c r="I142" i="1"/>
  <c r="I199" i="1"/>
  <c r="I140" i="1"/>
  <c r="I138" i="1"/>
  <c r="I54" i="1"/>
  <c r="F53" i="1"/>
  <c r="I53" i="1" s="1"/>
  <c r="I136" i="1"/>
  <c r="I50" i="1"/>
  <c r="I51" i="1" s="1"/>
  <c r="I134" i="1"/>
  <c r="I133" i="1"/>
  <c r="I132" i="1"/>
  <c r="I187" i="1"/>
  <c r="I47" i="1"/>
  <c r="I46" i="1"/>
  <c r="I45" i="1"/>
  <c r="I44" i="1"/>
  <c r="I130" i="1"/>
  <c r="I128" i="1"/>
  <c r="I39" i="1"/>
  <c r="I126" i="1"/>
  <c r="I37" i="1"/>
  <c r="I36" i="1"/>
  <c r="I124" i="1"/>
  <c r="I122" i="1"/>
  <c r="H32" i="1"/>
  <c r="I32" i="1" s="1"/>
  <c r="A25" i="1"/>
  <c r="I201" i="1" l="1"/>
  <c r="I184" i="1"/>
  <c r="I29" i="1"/>
  <c r="I117" i="1" s="1"/>
  <c r="I204" i="1" l="1"/>
  <c r="I202" i="1"/>
  <c r="I203" i="1" l="1"/>
  <c r="I205" i="1" s="1"/>
  <c r="I25" i="1" l="1"/>
  <c r="C20" i="1" s="1"/>
</calcChain>
</file>

<file path=xl/sharedStrings.xml><?xml version="1.0" encoding="utf-8"?>
<sst xmlns="http://schemas.openxmlformats.org/spreadsheetml/2006/main" count="391" uniqueCount="192">
  <si>
    <t>見  積  書</t>
  </si>
  <si>
    <t>ESTIMATE</t>
  </si>
  <si>
    <t>To.</t>
  </si>
  <si>
    <t>현대위아㈜</t>
    <phoneticPr fontId="3" type="noConversion"/>
  </si>
  <si>
    <t>귀중</t>
  </si>
  <si>
    <t xml:space="preserve"> 코리아 훠니스 이엔지 ㈜</t>
    <phoneticPr fontId="3" type="noConversion"/>
  </si>
  <si>
    <t>REF.NO : KFec22-0111</t>
    <phoneticPr fontId="3" type="noConversion"/>
  </si>
  <si>
    <t xml:space="preserve">  KOREA FURNACE ENG. CO., LTD.</t>
    <phoneticPr fontId="3" type="noConversion"/>
  </si>
  <si>
    <t xml:space="preserve"> </t>
    <phoneticPr fontId="3" type="noConversion"/>
  </si>
  <si>
    <t>Date</t>
  </si>
  <si>
    <t>본사.공장 : 경기도 안산시 단원구 해봉로 141</t>
    <phoneticPr fontId="3" type="noConversion"/>
  </si>
  <si>
    <t xml:space="preserve">아래와 같이 견적합니다.        </t>
  </si>
  <si>
    <t xml:space="preserve"> 반월공단 607브록4롯드</t>
    <phoneticPr fontId="3" type="noConversion"/>
  </si>
  <si>
    <t>We have the pleasure in quoting you as specified below</t>
  </si>
  <si>
    <t>TEL.:(031) 319-7287 .7282</t>
    <phoneticPr fontId="3" type="noConversion"/>
  </si>
  <si>
    <t>FAX.:(031) 319-7751</t>
    <phoneticPr fontId="3" type="noConversion"/>
  </si>
  <si>
    <t>Delivery Date</t>
  </si>
  <si>
    <t>納品場所</t>
  </si>
  <si>
    <t>귀사 지정장소</t>
  </si>
  <si>
    <t>E-mail: Kfce08@naver.com</t>
    <phoneticPr fontId="3" type="noConversion"/>
  </si>
  <si>
    <t>Delivery Place</t>
  </si>
  <si>
    <t>支佛條件</t>
  </si>
  <si>
    <t>취급품목</t>
    <phoneticPr fontId="3" type="noConversion"/>
  </si>
  <si>
    <t>Payment</t>
  </si>
  <si>
    <t>공업로설계.제작.엔지니어링.가스분석계</t>
    <phoneticPr fontId="3" type="noConversion"/>
  </si>
  <si>
    <t>有效期間</t>
  </si>
  <si>
    <t xml:space="preserve"> 가스발생기.개선보수공사.A/S.열풍발생기</t>
    <phoneticPr fontId="3" type="noConversion"/>
  </si>
  <si>
    <t xml:space="preserve"> Validity</t>
  </si>
  <si>
    <t>合計金額</t>
  </si>
  <si>
    <t>Total Amount</t>
  </si>
  <si>
    <r>
      <t xml:space="preserve"> </t>
    </r>
    <r>
      <rPr>
        <b/>
        <sz val="10"/>
        <rFont val="굴림"/>
        <family val="3"/>
        <charset val="129"/>
      </rPr>
      <t xml:space="preserve">Project </t>
    </r>
    <r>
      <rPr>
        <b/>
        <sz val="12"/>
        <rFont val="굴림"/>
        <family val="3"/>
        <charset val="129"/>
      </rPr>
      <t xml:space="preserve"> :</t>
    </r>
    <phoneticPr fontId="3" type="noConversion"/>
  </si>
  <si>
    <t>3공장 하기휴무공사</t>
    <phoneticPr fontId="3" type="noConversion"/>
  </si>
  <si>
    <t xml:space="preserve">부가가치세(V.A.T)   </t>
  </si>
  <si>
    <t xml:space="preserve"> □포함 </t>
    <phoneticPr fontId="3" type="noConversion"/>
  </si>
  <si>
    <t xml:space="preserve">   ■별도</t>
    <phoneticPr fontId="3" type="noConversion"/>
  </si>
  <si>
    <t>NO.</t>
  </si>
  <si>
    <r>
      <t xml:space="preserve"> </t>
    </r>
    <r>
      <rPr>
        <b/>
        <sz val="11"/>
        <rFont val="굴림"/>
        <family val="3"/>
        <charset val="129"/>
      </rPr>
      <t>品名</t>
    </r>
    <r>
      <rPr>
        <b/>
        <sz val="10"/>
        <rFont val="굴림"/>
        <family val="3"/>
        <charset val="129"/>
      </rPr>
      <t xml:space="preserve"> 및</t>
    </r>
    <r>
      <rPr>
        <b/>
        <sz val="11"/>
        <rFont val="굴림"/>
        <family val="3"/>
        <charset val="129"/>
      </rPr>
      <t xml:space="preserve"> 規格</t>
    </r>
  </si>
  <si>
    <t>數量</t>
  </si>
  <si>
    <t>單位</t>
    <phoneticPr fontId="3" type="noConversion"/>
  </si>
  <si>
    <t>單 價</t>
  </si>
  <si>
    <t>金 額</t>
  </si>
  <si>
    <t>備 考</t>
  </si>
  <si>
    <t>(DESCRIPTION &amp; SPEC.)</t>
  </si>
  <si>
    <t>(Q'ty)</t>
  </si>
  <si>
    <t>(UNIT)</t>
    <phoneticPr fontId="3" type="noConversion"/>
  </si>
  <si>
    <t>(UNIT PRICE)</t>
    <phoneticPr fontId="3" type="noConversion"/>
  </si>
  <si>
    <t>(AMOUNT)</t>
  </si>
  <si>
    <t>(REMARK)</t>
  </si>
  <si>
    <t>식</t>
    <phoneticPr fontId="3" type="noConversion"/>
  </si>
  <si>
    <t>1.</t>
    <phoneticPr fontId="3" type="noConversion"/>
  </si>
  <si>
    <t>sets</t>
    <phoneticPr fontId="3" type="noConversion"/>
  </si>
  <si>
    <t>M</t>
    <phoneticPr fontId="3" type="noConversion"/>
  </si>
  <si>
    <t>링크  (KFEC, 주문제작품,SUS 310S)</t>
    <phoneticPr fontId="3" type="noConversion"/>
  </si>
  <si>
    <t>EA</t>
    <phoneticPr fontId="3" type="noConversion"/>
  </si>
  <si>
    <t xml:space="preserve">해체/조립공 </t>
    <phoneticPr fontId="3" type="noConversion"/>
  </si>
  <si>
    <t xml:space="preserve">공 </t>
    <phoneticPr fontId="3" type="noConversion"/>
  </si>
  <si>
    <t xml:space="preserve">도어 해체/조립공 </t>
    <phoneticPr fontId="3" type="noConversion"/>
  </si>
  <si>
    <t>SETS</t>
    <phoneticPr fontId="3" type="noConversion"/>
  </si>
  <si>
    <t xml:space="preserve">점검/해체/조립공 </t>
    <phoneticPr fontId="3" type="noConversion"/>
  </si>
  <si>
    <t>Packing &amp; Compound</t>
    <phoneticPr fontId="3" type="noConversion"/>
  </si>
  <si>
    <t>Sets</t>
    <phoneticPr fontId="3" type="noConversion"/>
  </si>
  <si>
    <t>ea</t>
    <phoneticPr fontId="3" type="noConversion"/>
  </si>
  <si>
    <t>공</t>
    <phoneticPr fontId="3" type="noConversion"/>
  </si>
  <si>
    <t>set</t>
    <phoneticPr fontId="3" type="noConversion"/>
  </si>
  <si>
    <t xml:space="preserve">청소 및 점검공 </t>
    <phoneticPr fontId="3" type="noConversion"/>
  </si>
  <si>
    <t>2.</t>
    <phoneticPr fontId="3" type="noConversion"/>
  </si>
  <si>
    <t>절단 절곡, 가공비 (상동)</t>
    <phoneticPr fontId="3" type="noConversion"/>
  </si>
  <si>
    <t>3.</t>
    <phoneticPr fontId="3" type="noConversion"/>
  </si>
  <si>
    <t>Ceramic Fiber 25 t</t>
    <phoneticPr fontId="3" type="noConversion"/>
  </si>
  <si>
    <t>Box</t>
    <phoneticPr fontId="3" type="noConversion"/>
  </si>
  <si>
    <t>매</t>
    <phoneticPr fontId="3" type="noConversion"/>
  </si>
  <si>
    <t>can</t>
    <phoneticPr fontId="3" type="noConversion"/>
  </si>
  <si>
    <t>Packing</t>
    <phoneticPr fontId="3" type="noConversion"/>
  </si>
  <si>
    <t>마대</t>
    <phoneticPr fontId="3" type="noConversion"/>
  </si>
  <si>
    <t>해체공</t>
    <phoneticPr fontId="3" type="noConversion"/>
  </si>
  <si>
    <t>축로공</t>
    <phoneticPr fontId="3" type="noConversion"/>
  </si>
  <si>
    <t>기계공</t>
    <phoneticPr fontId="3" type="noConversion"/>
  </si>
  <si>
    <t>4.</t>
    <phoneticPr fontId="3" type="noConversion"/>
  </si>
  <si>
    <t>Packing (상하부)</t>
    <phoneticPr fontId="3" type="noConversion"/>
  </si>
  <si>
    <t>장비비 (맹꽁이크레인 5톤)</t>
    <phoneticPr fontId="3" type="noConversion"/>
  </si>
  <si>
    <t>회</t>
    <phoneticPr fontId="3" type="noConversion"/>
  </si>
  <si>
    <t>5.</t>
    <phoneticPr fontId="3" type="noConversion"/>
  </si>
  <si>
    <t>롤러 베어링</t>
    <phoneticPr fontId="3" type="noConversion"/>
  </si>
  <si>
    <t>RC FAN 받침대</t>
    <phoneticPr fontId="3" type="noConversion"/>
  </si>
  <si>
    <t>절단, 레이저 가공</t>
    <phoneticPr fontId="3" type="noConversion"/>
  </si>
  <si>
    <t>소입조 출구도어용 경판제작</t>
    <phoneticPr fontId="3" type="noConversion"/>
  </si>
  <si>
    <t>개조 자재비</t>
    <phoneticPr fontId="3" type="noConversion"/>
  </si>
  <si>
    <t>철자재</t>
    <phoneticPr fontId="3" type="noConversion"/>
  </si>
  <si>
    <t>box</t>
    <phoneticPr fontId="3" type="noConversion"/>
  </si>
  <si>
    <t>RC Fan &amp; 히타, 레일 해체 조립</t>
    <phoneticPr fontId="3" type="noConversion"/>
  </si>
  <si>
    <t>바닥 Casing 수정 작업</t>
    <phoneticPr fontId="3" type="noConversion"/>
  </si>
  <si>
    <t>푸셔가이드</t>
    <phoneticPr fontId="3" type="noConversion"/>
  </si>
  <si>
    <t>SET</t>
    <phoneticPr fontId="3" type="noConversion"/>
  </si>
  <si>
    <t>6.</t>
    <phoneticPr fontId="3" type="noConversion"/>
  </si>
  <si>
    <t>노즐 15A</t>
    <phoneticPr fontId="3" type="noConversion"/>
  </si>
  <si>
    <t>현장 자재( Pipe &amp; 피팅류)</t>
    <phoneticPr fontId="3" type="noConversion"/>
  </si>
  <si>
    <t>재료비</t>
    <phoneticPr fontId="3" type="noConversion"/>
  </si>
  <si>
    <t>1)중간도어 3개소 체인,링크 교체 및 상태점검</t>
    <phoneticPr fontId="3" type="noConversion"/>
  </si>
  <si>
    <t xml:space="preserve">2)장입,PQ,출구도어 패킹 교체 </t>
    <phoneticPr fontId="3" type="noConversion"/>
  </si>
  <si>
    <t>3)히터/튜브 전체 점검 후 이상개소 교체</t>
    <phoneticPr fontId="3" type="noConversion"/>
  </si>
  <si>
    <t>4)롤러/가이드/베어링 점검 및 20개소 교체</t>
    <phoneticPr fontId="3" type="noConversion"/>
  </si>
  <si>
    <t>ea</t>
  </si>
  <si>
    <t>베어링</t>
    <phoneticPr fontId="3" type="noConversion"/>
  </si>
  <si>
    <t>현장 자재(용접봉, 천막보루, 청소 도구, 토시)</t>
    <phoneticPr fontId="3" type="noConversion"/>
  </si>
  <si>
    <t>5)로 내부 청소 및 점검</t>
    <phoneticPr fontId="3" type="noConversion"/>
  </si>
  <si>
    <t>6)연속로1 PQ도어 개조 (베어링 추가)</t>
    <phoneticPr fontId="3" type="noConversion"/>
  </si>
  <si>
    <t>7)연속로2 3rd 중간도어 아치, 기둥 재축로</t>
    <phoneticPr fontId="3" type="noConversion"/>
  </si>
  <si>
    <t>내화벽돌(LBK-28)</t>
    <phoneticPr fontId="3" type="noConversion"/>
  </si>
  <si>
    <t>내화벽돌(SK-38)</t>
    <phoneticPr fontId="3" type="noConversion"/>
  </si>
  <si>
    <t>경비</t>
    <phoneticPr fontId="3" type="noConversion"/>
  </si>
  <si>
    <t>1)연속로2 3rd 중간도어 아치, 기둥 재축로</t>
    <phoneticPr fontId="3" type="noConversion"/>
  </si>
  <si>
    <t>8)변성로 레토르트, 히터 점검/청소 및 촉매 교체</t>
    <phoneticPr fontId="3" type="noConversion"/>
  </si>
  <si>
    <t>현장 자재비(용접봉,바닥용 천막보루, 청소 도구, 토시)</t>
    <phoneticPr fontId="3" type="noConversion"/>
  </si>
  <si>
    <t>9)세척기 롤러 베어링, 패킹 일괄 교체</t>
    <phoneticPr fontId="3" type="noConversion"/>
  </si>
  <si>
    <t>롤러 베어링 패킹</t>
    <phoneticPr fontId="3" type="noConversion"/>
  </si>
  <si>
    <t>10) 리미트 스위치 스프링 일괄 교체</t>
    <phoneticPr fontId="3" type="noConversion"/>
  </si>
  <si>
    <t>11)히터/튜브/열전대 전체 점검 후 이상개소 교체</t>
    <phoneticPr fontId="3" type="noConversion"/>
  </si>
  <si>
    <t>12) 연속로도어 패킹 교체</t>
    <phoneticPr fontId="3" type="noConversion"/>
  </si>
  <si>
    <t>13)로 내부 청소 및 점검</t>
    <phoneticPr fontId="3" type="noConversion"/>
  </si>
  <si>
    <t>14)롤러/가이드/베어링 점검 및 20개소 교체</t>
    <phoneticPr fontId="3" type="noConversion"/>
  </si>
  <si>
    <t>식</t>
  </si>
  <si>
    <t>15)연속로1 2,4존 아치 재축로</t>
    <phoneticPr fontId="3" type="noConversion"/>
  </si>
  <si>
    <t>현장 자재비(바닥용 천막보루, 토시)</t>
    <phoneticPr fontId="3" type="noConversion"/>
  </si>
  <si>
    <t>폐기물 처리비 (창원처리 불가: 창원→안산 이동비용 포함)</t>
    <phoneticPr fontId="3" type="noConversion"/>
  </si>
  <si>
    <t>16) 연속로1 1,5존 RC FAN 교체</t>
    <phoneticPr fontId="3" type="noConversion"/>
  </si>
  <si>
    <t>프로그램 수정비(단선, 정지,과부하 알람 PLC수정)</t>
    <phoneticPr fontId="3" type="noConversion"/>
  </si>
  <si>
    <t>2)변성로 레토르트, 히터 점검/청소 및 촉매 교체</t>
    <phoneticPr fontId="3" type="noConversion"/>
  </si>
  <si>
    <t>3)연속로1 2,4존 아치 재축로</t>
    <phoneticPr fontId="3" type="noConversion"/>
  </si>
  <si>
    <t>현장 자재(용접봉, B/N/W)</t>
    <phoneticPr fontId="3" type="noConversion"/>
  </si>
  <si>
    <t>Steel Plate 16t &amp; 철자재</t>
    <phoneticPr fontId="3" type="noConversion"/>
  </si>
  <si>
    <t>4)연속로2 1,3,5존 아치 재축로</t>
    <phoneticPr fontId="3" type="noConversion"/>
  </si>
  <si>
    <t>현장 자재(용접봉,바닥용 천막보루, 청소 도구, 토시)</t>
    <phoneticPr fontId="3" type="noConversion"/>
  </si>
  <si>
    <t>5)소려로 바닥 &amp; 축로 보수공사</t>
    <phoneticPr fontId="3" type="noConversion"/>
  </si>
  <si>
    <t>6)등속로 5호기 중간도어 교체 및 재축로</t>
    <phoneticPr fontId="3" type="noConversion"/>
  </si>
  <si>
    <t>7)기타경비</t>
    <phoneticPr fontId="3" type="noConversion"/>
  </si>
  <si>
    <t>일반관리비</t>
    <phoneticPr fontId="3" type="noConversion"/>
  </si>
  <si>
    <t>이윤</t>
    <phoneticPr fontId="3" type="noConversion"/>
  </si>
  <si>
    <t>산업안전관리비</t>
    <phoneticPr fontId="3" type="noConversion"/>
  </si>
  <si>
    <t>(재+노+경)*6%</t>
  </si>
  <si>
    <t>(노+경+일)*15%</t>
    <phoneticPr fontId="15" type="noConversion"/>
  </si>
  <si>
    <t>노무비</t>
    <phoneticPr fontId="3" type="noConversion"/>
  </si>
  <si>
    <t>(재+노)*3.09%</t>
    <phoneticPr fontId="15" type="noConversion"/>
  </si>
  <si>
    <t>7.</t>
    <phoneticPr fontId="3" type="noConversion"/>
  </si>
  <si>
    <t>Packing, 잡자재</t>
    <phoneticPr fontId="3" type="noConversion"/>
  </si>
  <si>
    <t>절단 및 레이저 가공비</t>
    <phoneticPr fontId="3" type="noConversion"/>
  </si>
  <si>
    <t>1260 초고온 세라믹보드</t>
    <phoneticPr fontId="3" type="noConversion"/>
  </si>
  <si>
    <t>내화벽돌(SK34)</t>
    <phoneticPr fontId="3" type="noConversion"/>
  </si>
  <si>
    <t>단열벽돌(B-3)</t>
    <phoneticPr fontId="3" type="noConversion"/>
  </si>
  <si>
    <t>단열벽돌(C-1)</t>
    <phoneticPr fontId="3" type="noConversion"/>
  </si>
  <si>
    <t>내화몰탈(Super 3000)</t>
    <phoneticPr fontId="3" type="noConversion"/>
  </si>
  <si>
    <t>내화몰탈(Super-3000)</t>
    <phoneticPr fontId="3" type="noConversion"/>
  </si>
  <si>
    <t>RF-Board (초고온 전기로용)</t>
    <phoneticPr fontId="3" type="noConversion"/>
  </si>
  <si>
    <t>Silica Board</t>
    <phoneticPr fontId="3" type="noConversion"/>
  </si>
  <si>
    <t>Stud pin, Washer nut</t>
    <phoneticPr fontId="3" type="noConversion"/>
  </si>
  <si>
    <t>특수체인 (KFEC, 주문제작품,SUS 310S)</t>
    <phoneticPr fontId="3" type="noConversion"/>
  </si>
  <si>
    <t>열전대 케이블 (쉴드선 * 1.5SQ * 쌍선)</t>
    <phoneticPr fontId="3" type="noConversion"/>
  </si>
  <si>
    <t>見 積 일</t>
  </si>
  <si>
    <t>納 品 일</t>
  </si>
  <si>
    <t>14)롤러/가이드/베어링 점검 및 10개소 교체</t>
    <phoneticPr fontId="3" type="noConversion"/>
  </si>
  <si>
    <t>16)연속로1 1,5존 RC FAN 교체</t>
    <phoneticPr fontId="3" type="noConversion"/>
  </si>
  <si>
    <t>18)연속로2 출구도어 가이드 교체</t>
    <phoneticPr fontId="3" type="noConversion"/>
  </si>
  <si>
    <t>17)연속로2 중간도어 3개소 체인,링크,도어 교체</t>
    <phoneticPr fontId="3" type="noConversion"/>
  </si>
  <si>
    <t>19)연속로2 1,3,5존 아치 재축로</t>
    <phoneticPr fontId="3" type="noConversion"/>
  </si>
  <si>
    <t>20)열전대 케이블 일괄 교체</t>
    <phoneticPr fontId="3" type="noConversion"/>
  </si>
  <si>
    <t>21)배치로 1,3,5호기 RC FAN 개조</t>
    <phoneticPr fontId="3" type="noConversion"/>
  </si>
  <si>
    <t>22)소려로 바닥 &amp; 축로 보수공사</t>
    <phoneticPr fontId="3" type="noConversion"/>
  </si>
  <si>
    <t>23)등속 배치로 3호기 푸셔가이드 교체</t>
    <phoneticPr fontId="3" type="noConversion"/>
  </si>
  <si>
    <t>24)등속로 5호기 중간도어 교체 및 재축로</t>
    <phoneticPr fontId="3" type="noConversion"/>
  </si>
  <si>
    <t>25)세척배관 세척 및 노즐 교체</t>
    <phoneticPr fontId="3" type="noConversion"/>
  </si>
  <si>
    <t xml:space="preserve">소려로 축로 해체 설치 </t>
    <phoneticPr fontId="3" type="noConversion"/>
  </si>
  <si>
    <t>3명×1일</t>
    <phoneticPr fontId="3" type="noConversion"/>
  </si>
  <si>
    <t>4명×4일</t>
    <phoneticPr fontId="3" type="noConversion"/>
  </si>
  <si>
    <t>6명×1일</t>
    <phoneticPr fontId="3" type="noConversion"/>
  </si>
  <si>
    <t>5명×2일</t>
    <phoneticPr fontId="3" type="noConversion"/>
  </si>
  <si>
    <t>4명×1.5일</t>
    <phoneticPr fontId="3" type="noConversion"/>
  </si>
  <si>
    <t>5명×3일</t>
    <phoneticPr fontId="3" type="noConversion"/>
  </si>
  <si>
    <t>5명×4일</t>
    <phoneticPr fontId="3" type="noConversion"/>
  </si>
  <si>
    <t>4명×2일</t>
    <phoneticPr fontId="3" type="noConversion"/>
  </si>
  <si>
    <t>3명×2일</t>
    <phoneticPr fontId="3" type="noConversion"/>
  </si>
  <si>
    <t>4명×1일</t>
    <phoneticPr fontId="3" type="noConversion"/>
  </si>
  <si>
    <t>5명×1일</t>
    <phoneticPr fontId="3" type="noConversion"/>
  </si>
  <si>
    <t>4명×2.5일</t>
    <phoneticPr fontId="3" type="noConversion"/>
  </si>
  <si>
    <t>(22명 X 13일)</t>
    <phoneticPr fontId="3" type="noConversion"/>
  </si>
  <si>
    <t>3명×2일</t>
    <phoneticPr fontId="15" type="noConversion"/>
  </si>
  <si>
    <t>베어링&amp;고정물(도어용 샤프트&amp;베어링/베이스제작)</t>
    <phoneticPr fontId="3" type="noConversion"/>
  </si>
  <si>
    <t>리미트 스위치 스프링</t>
    <phoneticPr fontId="3" type="noConversion"/>
  </si>
  <si>
    <t>현장 자재비(진공 청소기 임대,보루, 청소 도구, 토시)</t>
    <phoneticPr fontId="3" type="noConversion"/>
  </si>
  <si>
    <t>25)배관 세척 및 노즐 교체</t>
    <phoneticPr fontId="3" type="noConversion"/>
  </si>
  <si>
    <t>소             계</t>
    <phoneticPr fontId="3" type="noConversion"/>
  </si>
  <si>
    <t>숙박비</t>
    <phoneticPr fontId="3" type="noConversion"/>
  </si>
  <si>
    <t>식사비</t>
    <phoneticPr fontId="3" type="noConversion"/>
  </si>
  <si>
    <t>총          합         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</si>
</sst>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₩&quot;#,##0;[Red]\-&quot;₩&quot;#,##0"/>
    <numFmt numFmtId="41" formatCode="_-* #,##0_-;\-* #,##0_-;_-* &quot;-&quot;_-;_-@_-"/>
    <numFmt numFmtId="176" formatCode="&quot;2022年      &quot;##&quot;月      &quot;##&quot;日&quot;"/>
    <numFmt numFmtId="177" formatCode="&quot;2001年      &quot;##&quot;月      &quot;##&quot;日&quot;"/>
    <numFmt numFmtId="178" formatCode="&quot;계&quot;&quot;약&quot;&quot;일&quot;&quot;로&quot;&quot;부&quot;&quot;터&quot;\ ##&quot;일&quot;"/>
    <numFmt numFmtId="179" formatCode="&quot;계&quot;&quot;약&quot;&quot;금&quot;\ ##%"/>
    <numFmt numFmtId="180" formatCode="&quot;중&quot;&quot;도&quot;&quot;금&quot;\ ##%"/>
    <numFmt numFmtId="181" formatCode="&quot;잔&quot;&quot; &quot;&quot;금&quot;\ ##%"/>
    <numFmt numFmtId="182" formatCode="&quot;見&quot;&quot;積&quot;&quot;日&quot;\ &quot;로&quot;&quot;부&quot;&quot;터&quot;\ \ \ ##&quot;日&quot;\ &quot;以&quot;&quot;內&quot;"/>
    <numFmt numFmtId="183" formatCode="&quot;₩&quot;#,##0_);[Red]\(&quot;₩&quot;#,##0\)"/>
    <numFmt numFmtId="184" formatCode="#,##0_ ;[Red]\-#,##0\ "/>
    <numFmt numFmtId="185" formatCode="#,##0_);[Red]\(#,##0\)"/>
    <numFmt numFmtId="186" formatCode="#,##0.00_);[Red]\(#,##0.00\)"/>
    <numFmt numFmtId="187" formatCode="#,##0;[Red]#,##0"/>
  </numFmts>
  <fonts count="17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b/>
      <u/>
      <sz val="25"/>
      <name val="굴림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b/>
      <sz val="10"/>
      <name val="굴림"/>
      <family val="3"/>
      <charset val="129"/>
    </font>
    <font>
      <b/>
      <sz val="12"/>
      <name val="굴림"/>
      <family val="3"/>
      <charset val="129"/>
    </font>
    <font>
      <b/>
      <sz val="14"/>
      <name val="굴림"/>
      <family val="3"/>
      <charset val="129"/>
    </font>
    <font>
      <b/>
      <sz val="11"/>
      <name val="굴림"/>
      <family val="3"/>
      <charset val="129"/>
    </font>
    <font>
      <sz val="10"/>
      <name val="굴림"/>
      <family val="3"/>
      <charset val="129"/>
    </font>
    <font>
      <b/>
      <sz val="9"/>
      <name val="굴림"/>
      <family val="3"/>
      <charset val="129"/>
    </font>
    <font>
      <sz val="8"/>
      <name val="굴림"/>
      <family val="3"/>
      <charset val="129"/>
    </font>
    <font>
      <b/>
      <sz val="8"/>
      <name val="굴림"/>
      <family val="3"/>
      <charset val="129"/>
    </font>
    <font>
      <sz val="10"/>
      <name val="맑은 고딕"/>
      <family val="3"/>
      <charset val="129"/>
    </font>
    <font>
      <sz val="10"/>
      <name val="굴림체"/>
      <family val="3"/>
      <charset val="129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1" fillId="0" borderId="0"/>
  </cellStyleXfs>
  <cellXfs count="170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176" fontId="5" fillId="0" borderId="0" xfId="0" applyNumberFormat="1" applyFont="1" applyAlignment="1">
      <alignment horizontal="justify" vertical="center"/>
    </xf>
    <xf numFmtId="177" fontId="5" fillId="0" borderId="0" xfId="0" applyNumberFormat="1" applyFont="1" applyAlignment="1">
      <alignment horizontal="justify" vertical="center"/>
    </xf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indent="2"/>
    </xf>
    <xf numFmtId="0" fontId="11" fillId="0" borderId="3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indent="2"/>
    </xf>
    <xf numFmtId="0" fontId="8" fillId="0" borderId="4" xfId="0" applyFont="1" applyBorder="1" applyAlignment="1">
      <alignment horizontal="center" vertical="center"/>
    </xf>
    <xf numFmtId="178" fontId="4" fillId="0" borderId="4" xfId="0" applyNumberFormat="1" applyFont="1" applyBorder="1" applyAlignment="1">
      <alignment horizontal="left" vertical="center"/>
    </xf>
    <xf numFmtId="178" fontId="4" fillId="0" borderId="0" xfId="0" applyNumberFormat="1" applyFont="1" applyAlignment="1">
      <alignment horizontal="left" vertical="center"/>
    </xf>
    <xf numFmtId="178" fontId="4" fillId="0" borderId="1" xfId="0" applyNumberFormat="1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79" fontId="9" fillId="0" borderId="2" xfId="0" applyNumberFormat="1" applyFont="1" applyBorder="1" applyAlignment="1">
      <alignment horizontal="left" vertical="center"/>
    </xf>
    <xf numFmtId="180" fontId="9" fillId="0" borderId="2" xfId="0" applyNumberFormat="1" applyFont="1" applyBorder="1" applyAlignment="1">
      <alignment horizontal="left" vertical="center"/>
    </xf>
    <xf numFmtId="181" fontId="9" fillId="0" borderId="2" xfId="0" applyNumberFormat="1" applyFont="1" applyBorder="1" applyAlignment="1">
      <alignment horizontal="left" vertical="center"/>
    </xf>
    <xf numFmtId="181" fontId="4" fillId="0" borderId="0" xfId="0" applyNumberFormat="1" applyFont="1" applyAlignment="1">
      <alignment horizontal="left" vertical="center"/>
    </xf>
    <xf numFmtId="179" fontId="9" fillId="0" borderId="1" xfId="0" applyNumberFormat="1" applyFont="1" applyBorder="1" applyAlignment="1">
      <alignment horizontal="left" vertical="center"/>
    </xf>
    <xf numFmtId="180" fontId="9" fillId="0" borderId="1" xfId="0" applyNumberFormat="1" applyFont="1" applyBorder="1" applyAlignment="1">
      <alignment horizontal="left" vertical="center"/>
    </xf>
    <xf numFmtId="181" fontId="9" fillId="0" borderId="1" xfId="0" applyNumberFormat="1" applyFont="1" applyBorder="1" applyAlignment="1">
      <alignment horizontal="left" vertical="center"/>
    </xf>
    <xf numFmtId="0" fontId="10" fillId="0" borderId="0" xfId="0" applyFont="1" applyAlignment="1">
      <alignment horizontal="left" vertical="center" indent="2"/>
    </xf>
    <xf numFmtId="0" fontId="10" fillId="0" borderId="0" xfId="0" applyFont="1" applyAlignment="1">
      <alignment horizontal="left" vertical="center"/>
    </xf>
    <xf numFmtId="182" fontId="4" fillId="0" borderId="2" xfId="0" applyNumberFormat="1" applyFont="1" applyBorder="1" applyAlignment="1">
      <alignment horizontal="left" vertical="center"/>
    </xf>
    <xf numFmtId="182" fontId="4" fillId="0" borderId="0" xfId="0" applyNumberFormat="1" applyFont="1" applyAlignment="1">
      <alignment horizontal="left" vertical="center"/>
    </xf>
    <xf numFmtId="182" fontId="4" fillId="0" borderId="1" xfId="0" applyNumberFormat="1" applyFont="1" applyBorder="1" applyAlignment="1">
      <alignment horizontal="left" vertical="center"/>
    </xf>
    <xf numFmtId="183" fontId="6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84" fontId="6" fillId="0" borderId="0" xfId="0" applyNumberFormat="1" applyFont="1" applyAlignment="1">
      <alignment vertical="center"/>
    </xf>
    <xf numFmtId="183" fontId="6" fillId="0" borderId="5" xfId="0" applyNumberFormat="1" applyFont="1" applyBorder="1" applyAlignment="1">
      <alignment horizontal="center" vertical="center"/>
    </xf>
    <xf numFmtId="6" fontId="6" fillId="0" borderId="5" xfId="0" applyNumberFormat="1" applyFont="1" applyBorder="1" applyAlignment="1">
      <alignment vertical="center"/>
    </xf>
    <xf numFmtId="184" fontId="6" fillId="0" borderId="5" xfId="0" applyNumberFormat="1" applyFont="1" applyBorder="1" applyAlignment="1">
      <alignment vertical="center"/>
    </xf>
    <xf numFmtId="0" fontId="6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185" fontId="5" fillId="0" borderId="15" xfId="0" applyNumberFormat="1" applyFont="1" applyBorder="1" applyAlignment="1">
      <alignment horizontal="center" vertical="center"/>
    </xf>
    <xf numFmtId="185" fontId="5" fillId="0" borderId="17" xfId="0" applyNumberFormat="1" applyFont="1" applyBorder="1" applyAlignment="1">
      <alignment horizontal="center" vertical="center"/>
    </xf>
    <xf numFmtId="185" fontId="5" fillId="0" borderId="17" xfId="0" applyNumberFormat="1" applyFont="1" applyBorder="1" applyAlignment="1">
      <alignment horizontal="right" vertical="center"/>
    </xf>
    <xf numFmtId="0" fontId="5" fillId="0" borderId="15" xfId="0" applyFont="1" applyBorder="1" applyAlignment="1">
      <alignment horizontal="center" vertical="center"/>
    </xf>
    <xf numFmtId="0" fontId="5" fillId="0" borderId="14" xfId="0" quotePrefix="1" applyFont="1" applyBorder="1" applyAlignment="1">
      <alignment horizontal="right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185" fontId="9" fillId="0" borderId="15" xfId="0" applyNumberFormat="1" applyFont="1" applyBorder="1" applyAlignment="1">
      <alignment horizontal="center" vertical="center"/>
    </xf>
    <xf numFmtId="185" fontId="9" fillId="0" borderId="17" xfId="0" applyNumberFormat="1" applyFont="1" applyBorder="1" applyAlignment="1">
      <alignment horizontal="center" vertical="center"/>
    </xf>
    <xf numFmtId="185" fontId="9" fillId="0" borderId="17" xfId="0" applyNumberFormat="1" applyFont="1" applyBorder="1" applyAlignment="1">
      <alignment horizontal="right" vertical="center"/>
    </xf>
    <xf numFmtId="185" fontId="9" fillId="0" borderId="17" xfId="0" applyNumberFormat="1" applyFont="1" applyBorder="1" applyAlignment="1">
      <alignment vertical="center"/>
    </xf>
    <xf numFmtId="185" fontId="9" fillId="0" borderId="14" xfId="0" applyNumberFormat="1" applyFont="1" applyBorder="1" applyAlignment="1" applyProtection="1">
      <alignment vertical="center"/>
      <protection locked="0"/>
    </xf>
    <xf numFmtId="185" fontId="9" fillId="0" borderId="14" xfId="0" applyNumberFormat="1" applyFont="1" applyBorder="1" applyAlignment="1">
      <alignment vertical="center"/>
    </xf>
    <xf numFmtId="185" fontId="9" fillId="0" borderId="16" xfId="0" applyNumberFormat="1" applyFont="1" applyBorder="1" applyAlignment="1">
      <alignment vertical="center"/>
    </xf>
    <xf numFmtId="41" fontId="9" fillId="0" borderId="15" xfId="1" applyFont="1" applyFill="1" applyBorder="1" applyAlignment="1">
      <alignment horizontal="left" vertical="center"/>
    </xf>
    <xf numFmtId="185" fontId="13" fillId="0" borderId="14" xfId="0" applyNumberFormat="1" applyFont="1" applyBorder="1" applyAlignment="1" applyProtection="1">
      <alignment vertical="center"/>
      <protection locked="0"/>
    </xf>
    <xf numFmtId="0" fontId="5" fillId="0" borderId="14" xfId="0" quotePrefix="1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185" fontId="5" fillId="0" borderId="14" xfId="0" applyNumberFormat="1" applyFont="1" applyBorder="1" applyAlignment="1">
      <alignment vertical="center"/>
    </xf>
    <xf numFmtId="185" fontId="5" fillId="0" borderId="16" xfId="0" applyNumberFormat="1" applyFont="1" applyBorder="1" applyAlignment="1">
      <alignment vertical="center"/>
    </xf>
    <xf numFmtId="185" fontId="5" fillId="0" borderId="17" xfId="0" applyNumberFormat="1" applyFont="1" applyBorder="1" applyAlignment="1">
      <alignment vertical="center"/>
    </xf>
    <xf numFmtId="185" fontId="9" fillId="0" borderId="14" xfId="0" applyNumberFormat="1" applyFont="1" applyBorder="1" applyAlignment="1" applyProtection="1">
      <alignment horizontal="left" vertical="center"/>
      <protection locked="0"/>
    </xf>
    <xf numFmtId="185" fontId="9" fillId="0" borderId="14" xfId="0" applyNumberFormat="1" applyFont="1" applyBorder="1" applyAlignment="1">
      <alignment horizontal="center" vertical="center"/>
    </xf>
    <xf numFmtId="185" fontId="9" fillId="0" borderId="15" xfId="0" applyNumberFormat="1" applyFont="1" applyBorder="1" applyAlignment="1">
      <alignment horizontal="right" vertical="center"/>
    </xf>
    <xf numFmtId="0" fontId="5" fillId="0" borderId="14" xfId="0" quotePrefix="1" applyFont="1" applyBorder="1" applyAlignment="1">
      <alignment horizontal="right" vertical="center"/>
    </xf>
    <xf numFmtId="0" fontId="9" fillId="0" borderId="14" xfId="0" applyFont="1" applyBorder="1" applyAlignment="1">
      <alignment horizontal="right" vertical="center"/>
    </xf>
    <xf numFmtId="0" fontId="5" fillId="0" borderId="14" xfId="0" applyFont="1" applyBorder="1" applyAlignment="1">
      <alignment horizontal="center" vertical="center"/>
    </xf>
    <xf numFmtId="186" fontId="9" fillId="0" borderId="15" xfId="0" applyNumberFormat="1" applyFont="1" applyBorder="1" applyAlignment="1">
      <alignment horizontal="center" vertical="center"/>
    </xf>
    <xf numFmtId="185" fontId="9" fillId="0" borderId="15" xfId="0" applyNumberFormat="1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185" fontId="9" fillId="0" borderId="15" xfId="0" applyNumberFormat="1" applyFont="1" applyBorder="1" applyAlignment="1">
      <alignment vertical="center"/>
    </xf>
    <xf numFmtId="0" fontId="4" fillId="0" borderId="16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185" fontId="9" fillId="2" borderId="14" xfId="0" applyNumberFormat="1" applyFont="1" applyFill="1" applyBorder="1" applyAlignment="1">
      <alignment vertical="center"/>
    </xf>
    <xf numFmtId="185" fontId="9" fillId="2" borderId="16" xfId="0" applyNumberFormat="1" applyFont="1" applyFill="1" applyBorder="1" applyAlignment="1">
      <alignment vertical="center"/>
    </xf>
    <xf numFmtId="185" fontId="9" fillId="2" borderId="15" xfId="0" applyNumberFormat="1" applyFont="1" applyFill="1" applyBorder="1" applyAlignment="1">
      <alignment horizontal="center" vertical="center"/>
    </xf>
    <xf numFmtId="185" fontId="9" fillId="2" borderId="17" xfId="0" applyNumberFormat="1" applyFont="1" applyFill="1" applyBorder="1" applyAlignment="1">
      <alignment horizontal="center" vertical="center"/>
    </xf>
    <xf numFmtId="185" fontId="9" fillId="2" borderId="17" xfId="0" applyNumberFormat="1" applyFont="1" applyFill="1" applyBorder="1" applyAlignment="1">
      <alignment vertical="center"/>
    </xf>
    <xf numFmtId="185" fontId="9" fillId="2" borderId="17" xfId="0" applyNumberFormat="1" applyFont="1" applyFill="1" applyBorder="1" applyAlignment="1">
      <alignment horizontal="right" vertical="center"/>
    </xf>
    <xf numFmtId="0" fontId="5" fillId="2" borderId="14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185" fontId="5" fillId="2" borderId="15" xfId="0" applyNumberFormat="1" applyFont="1" applyFill="1" applyBorder="1" applyAlignment="1">
      <alignment horizontal="center" vertical="center"/>
    </xf>
    <xf numFmtId="185" fontId="5" fillId="2" borderId="17" xfId="0" applyNumberFormat="1" applyFont="1" applyFill="1" applyBorder="1" applyAlignment="1">
      <alignment horizontal="center" vertical="center"/>
    </xf>
    <xf numFmtId="185" fontId="5" fillId="2" borderId="17" xfId="0" applyNumberFormat="1" applyFont="1" applyFill="1" applyBorder="1" applyAlignment="1">
      <alignment horizontal="right" vertical="center"/>
    </xf>
    <xf numFmtId="185" fontId="9" fillId="2" borderId="15" xfId="0" applyNumberFormat="1" applyFont="1" applyFill="1" applyBorder="1" applyAlignment="1">
      <alignment vertical="center"/>
    </xf>
    <xf numFmtId="185" fontId="9" fillId="2" borderId="14" xfId="0" applyNumberFormat="1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left" vertical="center"/>
    </xf>
    <xf numFmtId="0" fontId="9" fillId="2" borderId="16" xfId="0" applyFont="1" applyFill="1" applyBorder="1" applyAlignment="1">
      <alignment horizontal="left" vertical="center"/>
    </xf>
    <xf numFmtId="38" fontId="9" fillId="2" borderId="17" xfId="0" applyNumberFormat="1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185" fontId="9" fillId="2" borderId="14" xfId="0" applyNumberFormat="1" applyFont="1" applyFill="1" applyBorder="1" applyAlignment="1" applyProtection="1">
      <alignment vertical="center"/>
      <protection locked="0"/>
    </xf>
    <xf numFmtId="185" fontId="9" fillId="0" borderId="15" xfId="0" applyNumberFormat="1" applyFont="1" applyBorder="1" applyAlignment="1" applyProtection="1">
      <alignment vertical="center"/>
      <protection locked="0"/>
    </xf>
    <xf numFmtId="185" fontId="9" fillId="2" borderId="15" xfId="0" applyNumberFormat="1" applyFont="1" applyFill="1" applyBorder="1" applyAlignment="1">
      <alignment horizontal="right" vertical="center"/>
    </xf>
    <xf numFmtId="0" fontId="5" fillId="2" borderId="15" xfId="0" applyFont="1" applyFill="1" applyBorder="1" applyAlignment="1">
      <alignment horizontal="left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185" fontId="5" fillId="0" borderId="10" xfId="0" applyNumberFormat="1" applyFont="1" applyBorder="1" applyAlignment="1">
      <alignment horizontal="center" vertical="center"/>
    </xf>
    <xf numFmtId="185" fontId="5" fillId="0" borderId="20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185" fontId="5" fillId="0" borderId="10" xfId="0" applyNumberFormat="1" applyFont="1" applyBorder="1" applyAlignment="1">
      <alignment horizontal="right" vertical="center"/>
    </xf>
    <xf numFmtId="185" fontId="5" fillId="0" borderId="20" xfId="0" applyNumberFormat="1" applyFont="1" applyBorder="1" applyAlignment="1">
      <alignment horizontal="right" vertical="center"/>
    </xf>
    <xf numFmtId="185" fontId="5" fillId="0" borderId="14" xfId="0" applyNumberFormat="1" applyFont="1" applyBorder="1" applyAlignment="1" applyProtection="1">
      <alignment vertical="center"/>
      <protection locked="0"/>
    </xf>
    <xf numFmtId="0" fontId="14" fillId="2" borderId="21" xfId="2" applyFont="1" applyFill="1" applyBorder="1" applyAlignment="1">
      <alignment vertical="center"/>
    </xf>
    <xf numFmtId="0" fontId="16" fillId="2" borderId="22" xfId="0" applyFont="1" applyFill="1" applyBorder="1" applyAlignment="1">
      <alignment vertical="center"/>
    </xf>
    <xf numFmtId="0" fontId="8" fillId="0" borderId="14" xfId="0" quotePrefix="1" applyFont="1" applyBorder="1" applyAlignment="1">
      <alignment vertical="center" wrapText="1"/>
    </xf>
    <xf numFmtId="0" fontId="8" fillId="0" borderId="15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185" fontId="4" fillId="0" borderId="14" xfId="0" applyNumberFormat="1" applyFont="1" applyBorder="1" applyAlignment="1" applyProtection="1">
      <alignment vertical="center"/>
      <protection locked="0"/>
    </xf>
    <xf numFmtId="185" fontId="4" fillId="0" borderId="14" xfId="0" applyNumberFormat="1" applyFont="1" applyBorder="1" applyAlignment="1">
      <alignment vertical="center"/>
    </xf>
    <xf numFmtId="185" fontId="4" fillId="0" borderId="16" xfId="0" applyNumberFormat="1" applyFont="1" applyBorder="1" applyAlignment="1">
      <alignment vertical="center"/>
    </xf>
    <xf numFmtId="185" fontId="8" fillId="0" borderId="17" xfId="0" applyNumberFormat="1" applyFont="1" applyBorder="1" applyAlignment="1">
      <alignment horizontal="right" vertical="center"/>
    </xf>
    <xf numFmtId="185" fontId="8" fillId="0" borderId="17" xfId="0" applyNumberFormat="1" applyFont="1" applyBorder="1" applyAlignment="1">
      <alignment horizontal="center" vertical="center"/>
    </xf>
    <xf numFmtId="185" fontId="4" fillId="0" borderId="17" xfId="0" applyNumberFormat="1" applyFont="1" applyBorder="1" applyAlignment="1">
      <alignment vertical="center"/>
    </xf>
    <xf numFmtId="41" fontId="4" fillId="0" borderId="15" xfId="1" applyFont="1" applyFill="1" applyBorder="1" applyAlignment="1">
      <alignment horizontal="left" vertical="center"/>
    </xf>
    <xf numFmtId="185" fontId="4" fillId="0" borderId="15" xfId="0" applyNumberFormat="1" applyFont="1" applyBorder="1" applyAlignment="1">
      <alignment horizontal="center" vertical="center"/>
    </xf>
    <xf numFmtId="185" fontId="4" fillId="0" borderId="17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185" fontId="4" fillId="0" borderId="14" xfId="0" applyNumberFormat="1" applyFont="1" applyBorder="1" applyAlignment="1" applyProtection="1">
      <alignment horizontal="left" vertical="center"/>
      <protection locked="0"/>
    </xf>
    <xf numFmtId="185" fontId="4" fillId="0" borderId="14" xfId="0" applyNumberFormat="1" applyFont="1" applyBorder="1" applyAlignment="1">
      <alignment horizontal="center" vertical="center"/>
    </xf>
    <xf numFmtId="183" fontId="8" fillId="0" borderId="17" xfId="0" applyNumberFormat="1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185" fontId="8" fillId="0" borderId="15" xfId="0" applyNumberFormat="1" applyFont="1" applyBorder="1" applyAlignment="1">
      <alignment horizontal="center" vertical="center"/>
    </xf>
    <xf numFmtId="183" fontId="8" fillId="0" borderId="17" xfId="0" applyNumberFormat="1" applyFont="1" applyBorder="1" applyAlignment="1">
      <alignment horizontal="right" vertical="center"/>
    </xf>
    <xf numFmtId="187" fontId="4" fillId="0" borderId="15" xfId="2" applyNumberFormat="1" applyFont="1" applyBorder="1" applyAlignment="1">
      <alignment vertical="center"/>
    </xf>
    <xf numFmtId="0" fontId="8" fillId="2" borderId="15" xfId="0" applyFont="1" applyFill="1" applyBorder="1" applyAlignment="1">
      <alignment horizontal="left" vertical="center"/>
    </xf>
    <xf numFmtId="185" fontId="4" fillId="2" borderId="14" xfId="0" applyNumberFormat="1" applyFont="1" applyFill="1" applyBorder="1" applyAlignment="1" applyProtection="1">
      <alignment vertical="center"/>
      <protection locked="0"/>
    </xf>
    <xf numFmtId="185" fontId="4" fillId="2" borderId="14" xfId="0" applyNumberFormat="1" applyFont="1" applyFill="1" applyBorder="1" applyAlignment="1">
      <alignment vertical="center"/>
    </xf>
    <xf numFmtId="185" fontId="4" fillId="2" borderId="16" xfId="0" applyNumberFormat="1" applyFont="1" applyFill="1" applyBorder="1" applyAlignment="1">
      <alignment vertical="center"/>
    </xf>
    <xf numFmtId="185" fontId="4" fillId="2" borderId="15" xfId="0" applyNumberFormat="1" applyFont="1" applyFill="1" applyBorder="1" applyAlignment="1">
      <alignment horizontal="center" vertical="center"/>
    </xf>
    <xf numFmtId="185" fontId="4" fillId="2" borderId="17" xfId="0" applyNumberFormat="1" applyFont="1" applyFill="1" applyBorder="1" applyAlignment="1">
      <alignment horizontal="center" vertical="center"/>
    </xf>
    <xf numFmtId="185" fontId="4" fillId="2" borderId="17" xfId="0" applyNumberFormat="1" applyFont="1" applyFill="1" applyBorder="1" applyAlignment="1">
      <alignment vertical="center"/>
    </xf>
    <xf numFmtId="183" fontId="8" fillId="2" borderId="17" xfId="0" applyNumberFormat="1" applyFont="1" applyFill="1" applyBorder="1" applyAlignment="1">
      <alignment horizontal="right" vertical="center"/>
    </xf>
    <xf numFmtId="0" fontId="4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85" fontId="4" fillId="0" borderId="15" xfId="0" applyNumberFormat="1" applyFont="1" applyBorder="1" applyAlignment="1">
      <alignment horizontal="left" vertical="center"/>
    </xf>
  </cellXfs>
  <cellStyles count="3">
    <cellStyle name="쉼표 [0]" xfId="1" builtinId="6"/>
    <cellStyle name="표준" xfId="0" builtinId="0"/>
    <cellStyle name="표준 2" xfId="2" xr:uid="{9EB015A6-5003-4676-BE72-7043B0B64B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419100</xdr:colOff>
      <xdr:row>2</xdr:row>
      <xdr:rowOff>209550</xdr:rowOff>
    </xdr:from>
    <xdr:to>
      <xdr:col>7</xdr:col>
      <xdr:colOff>339091</xdr:colOff>
      <xdr:row>5</xdr:row>
      <xdr:rowOff>72390</xdr:rowOff>
    </xdr:to>
    <xdr:pic>
      <xdr:nvPicPr>
        <xdr:cNvPr id="2" name="Picture 2" descr="KFEC 로고">
          <a:extLst>
            <a:ext uri="{FF2B5EF4-FFF2-40B4-BE49-F238E27FC236}">
              <a16:creationId xmlns:a16="http://schemas.microsoft.com/office/drawing/2014/main" id="{177B12FC-41DC-4FF0-B16E-49E6089F3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" y="752475"/>
          <a:ext cx="7429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937177</xdr:colOff>
      <xdr:row>4</xdr:row>
      <xdr:rowOff>141633</xdr:rowOff>
    </xdr:from>
    <xdr:to>
      <xdr:col>9</xdr:col>
      <xdr:colOff>562904</xdr:colOff>
      <xdr:row>7</xdr:row>
      <xdr:rowOff>8283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ABF23FF-42E0-49C0-A954-DEBF6EB3A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7438" y="1069285"/>
          <a:ext cx="719031" cy="6700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0A1DD-32E9-47F2-95B7-2A331C56096C}">
  <dimension ref="A1:L206"/>
  <sheetViews>
    <sheetView showGridLines="0" tabSelected="1" view="pageBreakPreview" topLeftCell="A34" zoomScale="115" zoomScaleNormal="90" zoomScaleSheetLayoutView="115" workbookViewId="0">
      <selection activeCell="I204" sqref="I204"/>
    </sheetView>
  </sheetViews>
  <sheetFormatPr defaultRowHeight="13.5" x14ac:dyDescent="0.15"/>
  <cols>
    <col min="1" max="1" width="3.77734375" style="2" customWidth="1"/>
    <col min="2" max="2" width="2.33203125" style="2" customWidth="1"/>
    <col min="3" max="4" width="9.77734375" style="2" customWidth="1"/>
    <col min="5" max="5" width="18.5546875" style="2" customWidth="1"/>
    <col min="6" max="7" width="4.77734375" style="2" customWidth="1"/>
    <col min="8" max="8" width="9.33203125" style="2" customWidth="1"/>
    <col min="9" max="9" width="12.77734375" style="2" customWidth="1"/>
    <col min="10" max="10" width="11.33203125" style="2" customWidth="1"/>
    <col min="11" max="256" width="8.88671875" style="2"/>
    <col min="257" max="257" width="3.77734375" style="2" customWidth="1"/>
    <col min="258" max="258" width="5.77734375" style="2" customWidth="1"/>
    <col min="259" max="261" width="9.77734375" style="2" customWidth="1"/>
    <col min="262" max="263" width="4.77734375" style="2" customWidth="1"/>
    <col min="264" max="264" width="9.33203125" style="2" customWidth="1"/>
    <col min="265" max="265" width="12.77734375" style="2" customWidth="1"/>
    <col min="266" max="266" width="10.77734375" style="2" customWidth="1"/>
    <col min="267" max="512" width="8.88671875" style="2"/>
    <col min="513" max="513" width="3.77734375" style="2" customWidth="1"/>
    <col min="514" max="514" width="5.77734375" style="2" customWidth="1"/>
    <col min="515" max="517" width="9.77734375" style="2" customWidth="1"/>
    <col min="518" max="519" width="4.77734375" style="2" customWidth="1"/>
    <col min="520" max="520" width="9.33203125" style="2" customWidth="1"/>
    <col min="521" max="521" width="12.77734375" style="2" customWidth="1"/>
    <col min="522" max="522" width="10.77734375" style="2" customWidth="1"/>
    <col min="523" max="768" width="8.88671875" style="2"/>
    <col min="769" max="769" width="3.77734375" style="2" customWidth="1"/>
    <col min="770" max="770" width="5.77734375" style="2" customWidth="1"/>
    <col min="771" max="773" width="9.77734375" style="2" customWidth="1"/>
    <col min="774" max="775" width="4.77734375" style="2" customWidth="1"/>
    <col min="776" max="776" width="9.33203125" style="2" customWidth="1"/>
    <col min="777" max="777" width="12.77734375" style="2" customWidth="1"/>
    <col min="778" max="778" width="10.77734375" style="2" customWidth="1"/>
    <col min="779" max="1024" width="8.88671875" style="2"/>
    <col min="1025" max="1025" width="3.77734375" style="2" customWidth="1"/>
    <col min="1026" max="1026" width="5.77734375" style="2" customWidth="1"/>
    <col min="1027" max="1029" width="9.77734375" style="2" customWidth="1"/>
    <col min="1030" max="1031" width="4.77734375" style="2" customWidth="1"/>
    <col min="1032" max="1032" width="9.33203125" style="2" customWidth="1"/>
    <col min="1033" max="1033" width="12.77734375" style="2" customWidth="1"/>
    <col min="1034" max="1034" width="10.77734375" style="2" customWidth="1"/>
    <col min="1035" max="1280" width="8.88671875" style="2"/>
    <col min="1281" max="1281" width="3.77734375" style="2" customWidth="1"/>
    <col min="1282" max="1282" width="5.77734375" style="2" customWidth="1"/>
    <col min="1283" max="1285" width="9.77734375" style="2" customWidth="1"/>
    <col min="1286" max="1287" width="4.77734375" style="2" customWidth="1"/>
    <col min="1288" max="1288" width="9.33203125" style="2" customWidth="1"/>
    <col min="1289" max="1289" width="12.77734375" style="2" customWidth="1"/>
    <col min="1290" max="1290" width="10.77734375" style="2" customWidth="1"/>
    <col min="1291" max="1536" width="8.88671875" style="2"/>
    <col min="1537" max="1537" width="3.77734375" style="2" customWidth="1"/>
    <col min="1538" max="1538" width="5.77734375" style="2" customWidth="1"/>
    <col min="1539" max="1541" width="9.77734375" style="2" customWidth="1"/>
    <col min="1542" max="1543" width="4.77734375" style="2" customWidth="1"/>
    <col min="1544" max="1544" width="9.33203125" style="2" customWidth="1"/>
    <col min="1545" max="1545" width="12.77734375" style="2" customWidth="1"/>
    <col min="1546" max="1546" width="10.77734375" style="2" customWidth="1"/>
    <col min="1547" max="1792" width="8.88671875" style="2"/>
    <col min="1793" max="1793" width="3.77734375" style="2" customWidth="1"/>
    <col min="1794" max="1794" width="5.77734375" style="2" customWidth="1"/>
    <col min="1795" max="1797" width="9.77734375" style="2" customWidth="1"/>
    <col min="1798" max="1799" width="4.77734375" style="2" customWidth="1"/>
    <col min="1800" max="1800" width="9.33203125" style="2" customWidth="1"/>
    <col min="1801" max="1801" width="12.77734375" style="2" customWidth="1"/>
    <col min="1802" max="1802" width="10.77734375" style="2" customWidth="1"/>
    <col min="1803" max="2048" width="8.88671875" style="2"/>
    <col min="2049" max="2049" width="3.77734375" style="2" customWidth="1"/>
    <col min="2050" max="2050" width="5.77734375" style="2" customWidth="1"/>
    <col min="2051" max="2053" width="9.77734375" style="2" customWidth="1"/>
    <col min="2054" max="2055" width="4.77734375" style="2" customWidth="1"/>
    <col min="2056" max="2056" width="9.33203125" style="2" customWidth="1"/>
    <col min="2057" max="2057" width="12.77734375" style="2" customWidth="1"/>
    <col min="2058" max="2058" width="10.77734375" style="2" customWidth="1"/>
    <col min="2059" max="2304" width="8.88671875" style="2"/>
    <col min="2305" max="2305" width="3.77734375" style="2" customWidth="1"/>
    <col min="2306" max="2306" width="5.77734375" style="2" customWidth="1"/>
    <col min="2307" max="2309" width="9.77734375" style="2" customWidth="1"/>
    <col min="2310" max="2311" width="4.77734375" style="2" customWidth="1"/>
    <col min="2312" max="2312" width="9.33203125" style="2" customWidth="1"/>
    <col min="2313" max="2313" width="12.77734375" style="2" customWidth="1"/>
    <col min="2314" max="2314" width="10.77734375" style="2" customWidth="1"/>
    <col min="2315" max="2560" width="8.88671875" style="2"/>
    <col min="2561" max="2561" width="3.77734375" style="2" customWidth="1"/>
    <col min="2562" max="2562" width="5.77734375" style="2" customWidth="1"/>
    <col min="2563" max="2565" width="9.77734375" style="2" customWidth="1"/>
    <col min="2566" max="2567" width="4.77734375" style="2" customWidth="1"/>
    <col min="2568" max="2568" width="9.33203125" style="2" customWidth="1"/>
    <col min="2569" max="2569" width="12.77734375" style="2" customWidth="1"/>
    <col min="2570" max="2570" width="10.77734375" style="2" customWidth="1"/>
    <col min="2571" max="2816" width="8.88671875" style="2"/>
    <col min="2817" max="2817" width="3.77734375" style="2" customWidth="1"/>
    <col min="2818" max="2818" width="5.77734375" style="2" customWidth="1"/>
    <col min="2819" max="2821" width="9.77734375" style="2" customWidth="1"/>
    <col min="2822" max="2823" width="4.77734375" style="2" customWidth="1"/>
    <col min="2824" max="2824" width="9.33203125" style="2" customWidth="1"/>
    <col min="2825" max="2825" width="12.77734375" style="2" customWidth="1"/>
    <col min="2826" max="2826" width="10.77734375" style="2" customWidth="1"/>
    <col min="2827" max="3072" width="8.88671875" style="2"/>
    <col min="3073" max="3073" width="3.77734375" style="2" customWidth="1"/>
    <col min="3074" max="3074" width="5.77734375" style="2" customWidth="1"/>
    <col min="3075" max="3077" width="9.77734375" style="2" customWidth="1"/>
    <col min="3078" max="3079" width="4.77734375" style="2" customWidth="1"/>
    <col min="3080" max="3080" width="9.33203125" style="2" customWidth="1"/>
    <col min="3081" max="3081" width="12.77734375" style="2" customWidth="1"/>
    <col min="3082" max="3082" width="10.77734375" style="2" customWidth="1"/>
    <col min="3083" max="3328" width="8.88671875" style="2"/>
    <col min="3329" max="3329" width="3.77734375" style="2" customWidth="1"/>
    <col min="3330" max="3330" width="5.77734375" style="2" customWidth="1"/>
    <col min="3331" max="3333" width="9.77734375" style="2" customWidth="1"/>
    <col min="3334" max="3335" width="4.77734375" style="2" customWidth="1"/>
    <col min="3336" max="3336" width="9.33203125" style="2" customWidth="1"/>
    <col min="3337" max="3337" width="12.77734375" style="2" customWidth="1"/>
    <col min="3338" max="3338" width="10.77734375" style="2" customWidth="1"/>
    <col min="3339" max="3584" width="8.88671875" style="2"/>
    <col min="3585" max="3585" width="3.77734375" style="2" customWidth="1"/>
    <col min="3586" max="3586" width="5.77734375" style="2" customWidth="1"/>
    <col min="3587" max="3589" width="9.77734375" style="2" customWidth="1"/>
    <col min="3590" max="3591" width="4.77734375" style="2" customWidth="1"/>
    <col min="3592" max="3592" width="9.33203125" style="2" customWidth="1"/>
    <col min="3593" max="3593" width="12.77734375" style="2" customWidth="1"/>
    <col min="3594" max="3594" width="10.77734375" style="2" customWidth="1"/>
    <col min="3595" max="3840" width="8.88671875" style="2"/>
    <col min="3841" max="3841" width="3.77734375" style="2" customWidth="1"/>
    <col min="3842" max="3842" width="5.77734375" style="2" customWidth="1"/>
    <col min="3843" max="3845" width="9.77734375" style="2" customWidth="1"/>
    <col min="3846" max="3847" width="4.77734375" style="2" customWidth="1"/>
    <col min="3848" max="3848" width="9.33203125" style="2" customWidth="1"/>
    <col min="3849" max="3849" width="12.77734375" style="2" customWidth="1"/>
    <col min="3850" max="3850" width="10.77734375" style="2" customWidth="1"/>
    <col min="3851" max="4096" width="8.88671875" style="2"/>
    <col min="4097" max="4097" width="3.77734375" style="2" customWidth="1"/>
    <col min="4098" max="4098" width="5.77734375" style="2" customWidth="1"/>
    <col min="4099" max="4101" width="9.77734375" style="2" customWidth="1"/>
    <col min="4102" max="4103" width="4.77734375" style="2" customWidth="1"/>
    <col min="4104" max="4104" width="9.33203125" style="2" customWidth="1"/>
    <col min="4105" max="4105" width="12.77734375" style="2" customWidth="1"/>
    <col min="4106" max="4106" width="10.77734375" style="2" customWidth="1"/>
    <col min="4107" max="4352" width="8.88671875" style="2"/>
    <col min="4353" max="4353" width="3.77734375" style="2" customWidth="1"/>
    <col min="4354" max="4354" width="5.77734375" style="2" customWidth="1"/>
    <col min="4355" max="4357" width="9.77734375" style="2" customWidth="1"/>
    <col min="4358" max="4359" width="4.77734375" style="2" customWidth="1"/>
    <col min="4360" max="4360" width="9.33203125" style="2" customWidth="1"/>
    <col min="4361" max="4361" width="12.77734375" style="2" customWidth="1"/>
    <col min="4362" max="4362" width="10.77734375" style="2" customWidth="1"/>
    <col min="4363" max="4608" width="8.88671875" style="2"/>
    <col min="4609" max="4609" width="3.77734375" style="2" customWidth="1"/>
    <col min="4610" max="4610" width="5.77734375" style="2" customWidth="1"/>
    <col min="4611" max="4613" width="9.77734375" style="2" customWidth="1"/>
    <col min="4614" max="4615" width="4.77734375" style="2" customWidth="1"/>
    <col min="4616" max="4616" width="9.33203125" style="2" customWidth="1"/>
    <col min="4617" max="4617" width="12.77734375" style="2" customWidth="1"/>
    <col min="4618" max="4618" width="10.77734375" style="2" customWidth="1"/>
    <col min="4619" max="4864" width="8.88671875" style="2"/>
    <col min="4865" max="4865" width="3.77734375" style="2" customWidth="1"/>
    <col min="4866" max="4866" width="5.77734375" style="2" customWidth="1"/>
    <col min="4867" max="4869" width="9.77734375" style="2" customWidth="1"/>
    <col min="4870" max="4871" width="4.77734375" style="2" customWidth="1"/>
    <col min="4872" max="4872" width="9.33203125" style="2" customWidth="1"/>
    <col min="4873" max="4873" width="12.77734375" style="2" customWidth="1"/>
    <col min="4874" max="4874" width="10.77734375" style="2" customWidth="1"/>
    <col min="4875" max="5120" width="8.88671875" style="2"/>
    <col min="5121" max="5121" width="3.77734375" style="2" customWidth="1"/>
    <col min="5122" max="5122" width="5.77734375" style="2" customWidth="1"/>
    <col min="5123" max="5125" width="9.77734375" style="2" customWidth="1"/>
    <col min="5126" max="5127" width="4.77734375" style="2" customWidth="1"/>
    <col min="5128" max="5128" width="9.33203125" style="2" customWidth="1"/>
    <col min="5129" max="5129" width="12.77734375" style="2" customWidth="1"/>
    <col min="5130" max="5130" width="10.77734375" style="2" customWidth="1"/>
    <col min="5131" max="5376" width="8.88671875" style="2"/>
    <col min="5377" max="5377" width="3.77734375" style="2" customWidth="1"/>
    <col min="5378" max="5378" width="5.77734375" style="2" customWidth="1"/>
    <col min="5379" max="5381" width="9.77734375" style="2" customWidth="1"/>
    <col min="5382" max="5383" width="4.77734375" style="2" customWidth="1"/>
    <col min="5384" max="5384" width="9.33203125" style="2" customWidth="1"/>
    <col min="5385" max="5385" width="12.77734375" style="2" customWidth="1"/>
    <col min="5386" max="5386" width="10.77734375" style="2" customWidth="1"/>
    <col min="5387" max="5632" width="8.88671875" style="2"/>
    <col min="5633" max="5633" width="3.77734375" style="2" customWidth="1"/>
    <col min="5634" max="5634" width="5.77734375" style="2" customWidth="1"/>
    <col min="5635" max="5637" width="9.77734375" style="2" customWidth="1"/>
    <col min="5638" max="5639" width="4.77734375" style="2" customWidth="1"/>
    <col min="5640" max="5640" width="9.33203125" style="2" customWidth="1"/>
    <col min="5641" max="5641" width="12.77734375" style="2" customWidth="1"/>
    <col min="5642" max="5642" width="10.77734375" style="2" customWidth="1"/>
    <col min="5643" max="5888" width="8.88671875" style="2"/>
    <col min="5889" max="5889" width="3.77734375" style="2" customWidth="1"/>
    <col min="5890" max="5890" width="5.77734375" style="2" customWidth="1"/>
    <col min="5891" max="5893" width="9.77734375" style="2" customWidth="1"/>
    <col min="5894" max="5895" width="4.77734375" style="2" customWidth="1"/>
    <col min="5896" max="5896" width="9.33203125" style="2" customWidth="1"/>
    <col min="5897" max="5897" width="12.77734375" style="2" customWidth="1"/>
    <col min="5898" max="5898" width="10.77734375" style="2" customWidth="1"/>
    <col min="5899" max="6144" width="8.88671875" style="2"/>
    <col min="6145" max="6145" width="3.77734375" style="2" customWidth="1"/>
    <col min="6146" max="6146" width="5.77734375" style="2" customWidth="1"/>
    <col min="6147" max="6149" width="9.77734375" style="2" customWidth="1"/>
    <col min="6150" max="6151" width="4.77734375" style="2" customWidth="1"/>
    <col min="6152" max="6152" width="9.33203125" style="2" customWidth="1"/>
    <col min="6153" max="6153" width="12.77734375" style="2" customWidth="1"/>
    <col min="6154" max="6154" width="10.77734375" style="2" customWidth="1"/>
    <col min="6155" max="6400" width="8.88671875" style="2"/>
    <col min="6401" max="6401" width="3.77734375" style="2" customWidth="1"/>
    <col min="6402" max="6402" width="5.77734375" style="2" customWidth="1"/>
    <col min="6403" max="6405" width="9.77734375" style="2" customWidth="1"/>
    <col min="6406" max="6407" width="4.77734375" style="2" customWidth="1"/>
    <col min="6408" max="6408" width="9.33203125" style="2" customWidth="1"/>
    <col min="6409" max="6409" width="12.77734375" style="2" customWidth="1"/>
    <col min="6410" max="6410" width="10.77734375" style="2" customWidth="1"/>
    <col min="6411" max="6656" width="8.88671875" style="2"/>
    <col min="6657" max="6657" width="3.77734375" style="2" customWidth="1"/>
    <col min="6658" max="6658" width="5.77734375" style="2" customWidth="1"/>
    <col min="6659" max="6661" width="9.77734375" style="2" customWidth="1"/>
    <col min="6662" max="6663" width="4.77734375" style="2" customWidth="1"/>
    <col min="6664" max="6664" width="9.33203125" style="2" customWidth="1"/>
    <col min="6665" max="6665" width="12.77734375" style="2" customWidth="1"/>
    <col min="6666" max="6666" width="10.77734375" style="2" customWidth="1"/>
    <col min="6667" max="6912" width="8.88671875" style="2"/>
    <col min="6913" max="6913" width="3.77734375" style="2" customWidth="1"/>
    <col min="6914" max="6914" width="5.77734375" style="2" customWidth="1"/>
    <col min="6915" max="6917" width="9.77734375" style="2" customWidth="1"/>
    <col min="6918" max="6919" width="4.77734375" style="2" customWidth="1"/>
    <col min="6920" max="6920" width="9.33203125" style="2" customWidth="1"/>
    <col min="6921" max="6921" width="12.77734375" style="2" customWidth="1"/>
    <col min="6922" max="6922" width="10.77734375" style="2" customWidth="1"/>
    <col min="6923" max="7168" width="8.88671875" style="2"/>
    <col min="7169" max="7169" width="3.77734375" style="2" customWidth="1"/>
    <col min="7170" max="7170" width="5.77734375" style="2" customWidth="1"/>
    <col min="7171" max="7173" width="9.77734375" style="2" customWidth="1"/>
    <col min="7174" max="7175" width="4.77734375" style="2" customWidth="1"/>
    <col min="7176" max="7176" width="9.33203125" style="2" customWidth="1"/>
    <col min="7177" max="7177" width="12.77734375" style="2" customWidth="1"/>
    <col min="7178" max="7178" width="10.77734375" style="2" customWidth="1"/>
    <col min="7179" max="7424" width="8.88671875" style="2"/>
    <col min="7425" max="7425" width="3.77734375" style="2" customWidth="1"/>
    <col min="7426" max="7426" width="5.77734375" style="2" customWidth="1"/>
    <col min="7427" max="7429" width="9.77734375" style="2" customWidth="1"/>
    <col min="7430" max="7431" width="4.77734375" style="2" customWidth="1"/>
    <col min="7432" max="7432" width="9.33203125" style="2" customWidth="1"/>
    <col min="7433" max="7433" width="12.77734375" style="2" customWidth="1"/>
    <col min="7434" max="7434" width="10.77734375" style="2" customWidth="1"/>
    <col min="7435" max="7680" width="8.88671875" style="2"/>
    <col min="7681" max="7681" width="3.77734375" style="2" customWidth="1"/>
    <col min="7682" max="7682" width="5.77734375" style="2" customWidth="1"/>
    <col min="7683" max="7685" width="9.77734375" style="2" customWidth="1"/>
    <col min="7686" max="7687" width="4.77734375" style="2" customWidth="1"/>
    <col min="7688" max="7688" width="9.33203125" style="2" customWidth="1"/>
    <col min="7689" max="7689" width="12.77734375" style="2" customWidth="1"/>
    <col min="7690" max="7690" width="10.77734375" style="2" customWidth="1"/>
    <col min="7691" max="7936" width="8.88671875" style="2"/>
    <col min="7937" max="7937" width="3.77734375" style="2" customWidth="1"/>
    <col min="7938" max="7938" width="5.77734375" style="2" customWidth="1"/>
    <col min="7939" max="7941" width="9.77734375" style="2" customWidth="1"/>
    <col min="7942" max="7943" width="4.77734375" style="2" customWidth="1"/>
    <col min="7944" max="7944" width="9.33203125" style="2" customWidth="1"/>
    <col min="7945" max="7945" width="12.77734375" style="2" customWidth="1"/>
    <col min="7946" max="7946" width="10.77734375" style="2" customWidth="1"/>
    <col min="7947" max="8192" width="8.88671875" style="2"/>
    <col min="8193" max="8193" width="3.77734375" style="2" customWidth="1"/>
    <col min="8194" max="8194" width="5.77734375" style="2" customWidth="1"/>
    <col min="8195" max="8197" width="9.77734375" style="2" customWidth="1"/>
    <col min="8198" max="8199" width="4.77734375" style="2" customWidth="1"/>
    <col min="8200" max="8200" width="9.33203125" style="2" customWidth="1"/>
    <col min="8201" max="8201" width="12.77734375" style="2" customWidth="1"/>
    <col min="8202" max="8202" width="10.77734375" style="2" customWidth="1"/>
    <col min="8203" max="8448" width="8.88671875" style="2"/>
    <col min="8449" max="8449" width="3.77734375" style="2" customWidth="1"/>
    <col min="8450" max="8450" width="5.77734375" style="2" customWidth="1"/>
    <col min="8451" max="8453" width="9.77734375" style="2" customWidth="1"/>
    <col min="8454" max="8455" width="4.77734375" style="2" customWidth="1"/>
    <col min="8456" max="8456" width="9.33203125" style="2" customWidth="1"/>
    <col min="8457" max="8457" width="12.77734375" style="2" customWidth="1"/>
    <col min="8458" max="8458" width="10.77734375" style="2" customWidth="1"/>
    <col min="8459" max="8704" width="8.88671875" style="2"/>
    <col min="8705" max="8705" width="3.77734375" style="2" customWidth="1"/>
    <col min="8706" max="8706" width="5.77734375" style="2" customWidth="1"/>
    <col min="8707" max="8709" width="9.77734375" style="2" customWidth="1"/>
    <col min="8710" max="8711" width="4.77734375" style="2" customWidth="1"/>
    <col min="8712" max="8712" width="9.33203125" style="2" customWidth="1"/>
    <col min="8713" max="8713" width="12.77734375" style="2" customWidth="1"/>
    <col min="8714" max="8714" width="10.77734375" style="2" customWidth="1"/>
    <col min="8715" max="8960" width="8.88671875" style="2"/>
    <col min="8961" max="8961" width="3.77734375" style="2" customWidth="1"/>
    <col min="8962" max="8962" width="5.77734375" style="2" customWidth="1"/>
    <col min="8963" max="8965" width="9.77734375" style="2" customWidth="1"/>
    <col min="8966" max="8967" width="4.77734375" style="2" customWidth="1"/>
    <col min="8968" max="8968" width="9.33203125" style="2" customWidth="1"/>
    <col min="8969" max="8969" width="12.77734375" style="2" customWidth="1"/>
    <col min="8970" max="8970" width="10.77734375" style="2" customWidth="1"/>
    <col min="8971" max="9216" width="8.88671875" style="2"/>
    <col min="9217" max="9217" width="3.77734375" style="2" customWidth="1"/>
    <col min="9218" max="9218" width="5.77734375" style="2" customWidth="1"/>
    <col min="9219" max="9221" width="9.77734375" style="2" customWidth="1"/>
    <col min="9222" max="9223" width="4.77734375" style="2" customWidth="1"/>
    <col min="9224" max="9224" width="9.33203125" style="2" customWidth="1"/>
    <col min="9225" max="9225" width="12.77734375" style="2" customWidth="1"/>
    <col min="9226" max="9226" width="10.77734375" style="2" customWidth="1"/>
    <col min="9227" max="9472" width="8.88671875" style="2"/>
    <col min="9473" max="9473" width="3.77734375" style="2" customWidth="1"/>
    <col min="9474" max="9474" width="5.77734375" style="2" customWidth="1"/>
    <col min="9475" max="9477" width="9.77734375" style="2" customWidth="1"/>
    <col min="9478" max="9479" width="4.77734375" style="2" customWidth="1"/>
    <col min="9480" max="9480" width="9.33203125" style="2" customWidth="1"/>
    <col min="9481" max="9481" width="12.77734375" style="2" customWidth="1"/>
    <col min="9482" max="9482" width="10.77734375" style="2" customWidth="1"/>
    <col min="9483" max="9728" width="8.88671875" style="2"/>
    <col min="9729" max="9729" width="3.77734375" style="2" customWidth="1"/>
    <col min="9730" max="9730" width="5.77734375" style="2" customWidth="1"/>
    <col min="9731" max="9733" width="9.77734375" style="2" customWidth="1"/>
    <col min="9734" max="9735" width="4.77734375" style="2" customWidth="1"/>
    <col min="9736" max="9736" width="9.33203125" style="2" customWidth="1"/>
    <col min="9737" max="9737" width="12.77734375" style="2" customWidth="1"/>
    <col min="9738" max="9738" width="10.77734375" style="2" customWidth="1"/>
    <col min="9739" max="9984" width="8.88671875" style="2"/>
    <col min="9985" max="9985" width="3.77734375" style="2" customWidth="1"/>
    <col min="9986" max="9986" width="5.77734375" style="2" customWidth="1"/>
    <col min="9987" max="9989" width="9.77734375" style="2" customWidth="1"/>
    <col min="9990" max="9991" width="4.77734375" style="2" customWidth="1"/>
    <col min="9992" max="9992" width="9.33203125" style="2" customWidth="1"/>
    <col min="9993" max="9993" width="12.77734375" style="2" customWidth="1"/>
    <col min="9994" max="9994" width="10.77734375" style="2" customWidth="1"/>
    <col min="9995" max="10240" width="8.88671875" style="2"/>
    <col min="10241" max="10241" width="3.77734375" style="2" customWidth="1"/>
    <col min="10242" max="10242" width="5.77734375" style="2" customWidth="1"/>
    <col min="10243" max="10245" width="9.77734375" style="2" customWidth="1"/>
    <col min="10246" max="10247" width="4.77734375" style="2" customWidth="1"/>
    <col min="10248" max="10248" width="9.33203125" style="2" customWidth="1"/>
    <col min="10249" max="10249" width="12.77734375" style="2" customWidth="1"/>
    <col min="10250" max="10250" width="10.77734375" style="2" customWidth="1"/>
    <col min="10251" max="10496" width="8.88671875" style="2"/>
    <col min="10497" max="10497" width="3.77734375" style="2" customWidth="1"/>
    <col min="10498" max="10498" width="5.77734375" style="2" customWidth="1"/>
    <col min="10499" max="10501" width="9.77734375" style="2" customWidth="1"/>
    <col min="10502" max="10503" width="4.77734375" style="2" customWidth="1"/>
    <col min="10504" max="10504" width="9.33203125" style="2" customWidth="1"/>
    <col min="10505" max="10505" width="12.77734375" style="2" customWidth="1"/>
    <col min="10506" max="10506" width="10.77734375" style="2" customWidth="1"/>
    <col min="10507" max="10752" width="8.88671875" style="2"/>
    <col min="10753" max="10753" width="3.77734375" style="2" customWidth="1"/>
    <col min="10754" max="10754" width="5.77734375" style="2" customWidth="1"/>
    <col min="10755" max="10757" width="9.77734375" style="2" customWidth="1"/>
    <col min="10758" max="10759" width="4.77734375" style="2" customWidth="1"/>
    <col min="10760" max="10760" width="9.33203125" style="2" customWidth="1"/>
    <col min="10761" max="10761" width="12.77734375" style="2" customWidth="1"/>
    <col min="10762" max="10762" width="10.77734375" style="2" customWidth="1"/>
    <col min="10763" max="11008" width="8.88671875" style="2"/>
    <col min="11009" max="11009" width="3.77734375" style="2" customWidth="1"/>
    <col min="11010" max="11010" width="5.77734375" style="2" customWidth="1"/>
    <col min="11011" max="11013" width="9.77734375" style="2" customWidth="1"/>
    <col min="11014" max="11015" width="4.77734375" style="2" customWidth="1"/>
    <col min="11016" max="11016" width="9.33203125" style="2" customWidth="1"/>
    <col min="11017" max="11017" width="12.77734375" style="2" customWidth="1"/>
    <col min="11018" max="11018" width="10.77734375" style="2" customWidth="1"/>
    <col min="11019" max="11264" width="8.88671875" style="2"/>
    <col min="11265" max="11265" width="3.77734375" style="2" customWidth="1"/>
    <col min="11266" max="11266" width="5.77734375" style="2" customWidth="1"/>
    <col min="11267" max="11269" width="9.77734375" style="2" customWidth="1"/>
    <col min="11270" max="11271" width="4.77734375" style="2" customWidth="1"/>
    <col min="11272" max="11272" width="9.33203125" style="2" customWidth="1"/>
    <col min="11273" max="11273" width="12.77734375" style="2" customWidth="1"/>
    <col min="11274" max="11274" width="10.77734375" style="2" customWidth="1"/>
    <col min="11275" max="11520" width="8.88671875" style="2"/>
    <col min="11521" max="11521" width="3.77734375" style="2" customWidth="1"/>
    <col min="11522" max="11522" width="5.77734375" style="2" customWidth="1"/>
    <col min="11523" max="11525" width="9.77734375" style="2" customWidth="1"/>
    <col min="11526" max="11527" width="4.77734375" style="2" customWidth="1"/>
    <col min="11528" max="11528" width="9.33203125" style="2" customWidth="1"/>
    <col min="11529" max="11529" width="12.77734375" style="2" customWidth="1"/>
    <col min="11530" max="11530" width="10.77734375" style="2" customWidth="1"/>
    <col min="11531" max="11776" width="8.88671875" style="2"/>
    <col min="11777" max="11777" width="3.77734375" style="2" customWidth="1"/>
    <col min="11778" max="11778" width="5.77734375" style="2" customWidth="1"/>
    <col min="11779" max="11781" width="9.77734375" style="2" customWidth="1"/>
    <col min="11782" max="11783" width="4.77734375" style="2" customWidth="1"/>
    <col min="11784" max="11784" width="9.33203125" style="2" customWidth="1"/>
    <col min="11785" max="11785" width="12.77734375" style="2" customWidth="1"/>
    <col min="11786" max="11786" width="10.77734375" style="2" customWidth="1"/>
    <col min="11787" max="12032" width="8.88671875" style="2"/>
    <col min="12033" max="12033" width="3.77734375" style="2" customWidth="1"/>
    <col min="12034" max="12034" width="5.77734375" style="2" customWidth="1"/>
    <col min="12035" max="12037" width="9.77734375" style="2" customWidth="1"/>
    <col min="12038" max="12039" width="4.77734375" style="2" customWidth="1"/>
    <col min="12040" max="12040" width="9.33203125" style="2" customWidth="1"/>
    <col min="12041" max="12041" width="12.77734375" style="2" customWidth="1"/>
    <col min="12042" max="12042" width="10.77734375" style="2" customWidth="1"/>
    <col min="12043" max="12288" width="8.88671875" style="2"/>
    <col min="12289" max="12289" width="3.77734375" style="2" customWidth="1"/>
    <col min="12290" max="12290" width="5.77734375" style="2" customWidth="1"/>
    <col min="12291" max="12293" width="9.77734375" style="2" customWidth="1"/>
    <col min="12294" max="12295" width="4.77734375" style="2" customWidth="1"/>
    <col min="12296" max="12296" width="9.33203125" style="2" customWidth="1"/>
    <col min="12297" max="12297" width="12.77734375" style="2" customWidth="1"/>
    <col min="12298" max="12298" width="10.77734375" style="2" customWidth="1"/>
    <col min="12299" max="12544" width="8.88671875" style="2"/>
    <col min="12545" max="12545" width="3.77734375" style="2" customWidth="1"/>
    <col min="12546" max="12546" width="5.77734375" style="2" customWidth="1"/>
    <col min="12547" max="12549" width="9.77734375" style="2" customWidth="1"/>
    <col min="12550" max="12551" width="4.77734375" style="2" customWidth="1"/>
    <col min="12552" max="12552" width="9.33203125" style="2" customWidth="1"/>
    <col min="12553" max="12553" width="12.77734375" style="2" customWidth="1"/>
    <col min="12554" max="12554" width="10.77734375" style="2" customWidth="1"/>
    <col min="12555" max="12800" width="8.88671875" style="2"/>
    <col min="12801" max="12801" width="3.77734375" style="2" customWidth="1"/>
    <col min="12802" max="12802" width="5.77734375" style="2" customWidth="1"/>
    <col min="12803" max="12805" width="9.77734375" style="2" customWidth="1"/>
    <col min="12806" max="12807" width="4.77734375" style="2" customWidth="1"/>
    <col min="12808" max="12808" width="9.33203125" style="2" customWidth="1"/>
    <col min="12809" max="12809" width="12.77734375" style="2" customWidth="1"/>
    <col min="12810" max="12810" width="10.77734375" style="2" customWidth="1"/>
    <col min="12811" max="13056" width="8.88671875" style="2"/>
    <col min="13057" max="13057" width="3.77734375" style="2" customWidth="1"/>
    <col min="13058" max="13058" width="5.77734375" style="2" customWidth="1"/>
    <col min="13059" max="13061" width="9.77734375" style="2" customWidth="1"/>
    <col min="13062" max="13063" width="4.77734375" style="2" customWidth="1"/>
    <col min="13064" max="13064" width="9.33203125" style="2" customWidth="1"/>
    <col min="13065" max="13065" width="12.77734375" style="2" customWidth="1"/>
    <col min="13066" max="13066" width="10.77734375" style="2" customWidth="1"/>
    <col min="13067" max="13312" width="8.88671875" style="2"/>
    <col min="13313" max="13313" width="3.77734375" style="2" customWidth="1"/>
    <col min="13314" max="13314" width="5.77734375" style="2" customWidth="1"/>
    <col min="13315" max="13317" width="9.77734375" style="2" customWidth="1"/>
    <col min="13318" max="13319" width="4.77734375" style="2" customWidth="1"/>
    <col min="13320" max="13320" width="9.33203125" style="2" customWidth="1"/>
    <col min="13321" max="13321" width="12.77734375" style="2" customWidth="1"/>
    <col min="13322" max="13322" width="10.77734375" style="2" customWidth="1"/>
    <col min="13323" max="13568" width="8.88671875" style="2"/>
    <col min="13569" max="13569" width="3.77734375" style="2" customWidth="1"/>
    <col min="13570" max="13570" width="5.77734375" style="2" customWidth="1"/>
    <col min="13571" max="13573" width="9.77734375" style="2" customWidth="1"/>
    <col min="13574" max="13575" width="4.77734375" style="2" customWidth="1"/>
    <col min="13576" max="13576" width="9.33203125" style="2" customWidth="1"/>
    <col min="13577" max="13577" width="12.77734375" style="2" customWidth="1"/>
    <col min="13578" max="13578" width="10.77734375" style="2" customWidth="1"/>
    <col min="13579" max="13824" width="8.88671875" style="2"/>
    <col min="13825" max="13825" width="3.77734375" style="2" customWidth="1"/>
    <col min="13826" max="13826" width="5.77734375" style="2" customWidth="1"/>
    <col min="13827" max="13829" width="9.77734375" style="2" customWidth="1"/>
    <col min="13830" max="13831" width="4.77734375" style="2" customWidth="1"/>
    <col min="13832" max="13832" width="9.33203125" style="2" customWidth="1"/>
    <col min="13833" max="13833" width="12.77734375" style="2" customWidth="1"/>
    <col min="13834" max="13834" width="10.77734375" style="2" customWidth="1"/>
    <col min="13835" max="14080" width="8.88671875" style="2"/>
    <col min="14081" max="14081" width="3.77734375" style="2" customWidth="1"/>
    <col min="14082" max="14082" width="5.77734375" style="2" customWidth="1"/>
    <col min="14083" max="14085" width="9.77734375" style="2" customWidth="1"/>
    <col min="14086" max="14087" width="4.77734375" style="2" customWidth="1"/>
    <col min="14088" max="14088" width="9.33203125" style="2" customWidth="1"/>
    <col min="14089" max="14089" width="12.77734375" style="2" customWidth="1"/>
    <col min="14090" max="14090" width="10.77734375" style="2" customWidth="1"/>
    <col min="14091" max="14336" width="8.88671875" style="2"/>
    <col min="14337" max="14337" width="3.77734375" style="2" customWidth="1"/>
    <col min="14338" max="14338" width="5.77734375" style="2" customWidth="1"/>
    <col min="14339" max="14341" width="9.77734375" style="2" customWidth="1"/>
    <col min="14342" max="14343" width="4.77734375" style="2" customWidth="1"/>
    <col min="14344" max="14344" width="9.33203125" style="2" customWidth="1"/>
    <col min="14345" max="14345" width="12.77734375" style="2" customWidth="1"/>
    <col min="14346" max="14346" width="10.77734375" style="2" customWidth="1"/>
    <col min="14347" max="14592" width="8.88671875" style="2"/>
    <col min="14593" max="14593" width="3.77734375" style="2" customWidth="1"/>
    <col min="14594" max="14594" width="5.77734375" style="2" customWidth="1"/>
    <col min="14595" max="14597" width="9.77734375" style="2" customWidth="1"/>
    <col min="14598" max="14599" width="4.77734375" style="2" customWidth="1"/>
    <col min="14600" max="14600" width="9.33203125" style="2" customWidth="1"/>
    <col min="14601" max="14601" width="12.77734375" style="2" customWidth="1"/>
    <col min="14602" max="14602" width="10.77734375" style="2" customWidth="1"/>
    <col min="14603" max="14848" width="8.88671875" style="2"/>
    <col min="14849" max="14849" width="3.77734375" style="2" customWidth="1"/>
    <col min="14850" max="14850" width="5.77734375" style="2" customWidth="1"/>
    <col min="14851" max="14853" width="9.77734375" style="2" customWidth="1"/>
    <col min="14854" max="14855" width="4.77734375" style="2" customWidth="1"/>
    <col min="14856" max="14856" width="9.33203125" style="2" customWidth="1"/>
    <col min="14857" max="14857" width="12.77734375" style="2" customWidth="1"/>
    <col min="14858" max="14858" width="10.77734375" style="2" customWidth="1"/>
    <col min="14859" max="15104" width="8.88671875" style="2"/>
    <col min="15105" max="15105" width="3.77734375" style="2" customWidth="1"/>
    <col min="15106" max="15106" width="5.77734375" style="2" customWidth="1"/>
    <col min="15107" max="15109" width="9.77734375" style="2" customWidth="1"/>
    <col min="15110" max="15111" width="4.77734375" style="2" customWidth="1"/>
    <col min="15112" max="15112" width="9.33203125" style="2" customWidth="1"/>
    <col min="15113" max="15113" width="12.77734375" style="2" customWidth="1"/>
    <col min="15114" max="15114" width="10.77734375" style="2" customWidth="1"/>
    <col min="15115" max="15360" width="8.88671875" style="2"/>
    <col min="15361" max="15361" width="3.77734375" style="2" customWidth="1"/>
    <col min="15362" max="15362" width="5.77734375" style="2" customWidth="1"/>
    <col min="15363" max="15365" width="9.77734375" style="2" customWidth="1"/>
    <col min="15366" max="15367" width="4.77734375" style="2" customWidth="1"/>
    <col min="15368" max="15368" width="9.33203125" style="2" customWidth="1"/>
    <col min="15369" max="15369" width="12.77734375" style="2" customWidth="1"/>
    <col min="15370" max="15370" width="10.77734375" style="2" customWidth="1"/>
    <col min="15371" max="15616" width="8.88671875" style="2"/>
    <col min="15617" max="15617" width="3.77734375" style="2" customWidth="1"/>
    <col min="15618" max="15618" width="5.77734375" style="2" customWidth="1"/>
    <col min="15619" max="15621" width="9.77734375" style="2" customWidth="1"/>
    <col min="15622" max="15623" width="4.77734375" style="2" customWidth="1"/>
    <col min="15624" max="15624" width="9.33203125" style="2" customWidth="1"/>
    <col min="15625" max="15625" width="12.77734375" style="2" customWidth="1"/>
    <col min="15626" max="15626" width="10.77734375" style="2" customWidth="1"/>
    <col min="15627" max="15872" width="8.88671875" style="2"/>
    <col min="15873" max="15873" width="3.77734375" style="2" customWidth="1"/>
    <col min="15874" max="15874" width="5.77734375" style="2" customWidth="1"/>
    <col min="15875" max="15877" width="9.77734375" style="2" customWidth="1"/>
    <col min="15878" max="15879" width="4.77734375" style="2" customWidth="1"/>
    <col min="15880" max="15880" width="9.33203125" style="2" customWidth="1"/>
    <col min="15881" max="15881" width="12.77734375" style="2" customWidth="1"/>
    <col min="15882" max="15882" width="10.77734375" style="2" customWidth="1"/>
    <col min="15883" max="16128" width="8.88671875" style="2"/>
    <col min="16129" max="16129" width="3.77734375" style="2" customWidth="1"/>
    <col min="16130" max="16130" width="5.77734375" style="2" customWidth="1"/>
    <col min="16131" max="16133" width="9.77734375" style="2" customWidth="1"/>
    <col min="16134" max="16135" width="4.77734375" style="2" customWidth="1"/>
    <col min="16136" max="16136" width="9.33203125" style="2" customWidth="1"/>
    <col min="16137" max="16137" width="12.77734375" style="2" customWidth="1"/>
    <col min="16138" max="16138" width="10.77734375" style="2" customWidth="1"/>
    <col min="16139" max="16384" width="8.88671875" style="2"/>
  </cols>
  <sheetData>
    <row r="1" spans="1:10" ht="32.2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1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15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x14ac:dyDescent="0.15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x14ac:dyDescent="0.15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24.95" customHeight="1" x14ac:dyDescent="0.15">
      <c r="A6" s="5" t="s">
        <v>2</v>
      </c>
      <c r="B6" s="6" t="s">
        <v>3</v>
      </c>
      <c r="C6" s="6"/>
      <c r="D6" s="6"/>
      <c r="E6" s="7" t="s">
        <v>4</v>
      </c>
      <c r="F6" s="8"/>
      <c r="G6" s="9" t="s">
        <v>5</v>
      </c>
      <c r="I6" s="10"/>
      <c r="J6" s="10"/>
    </row>
    <row r="7" spans="1:10" ht="24.95" customHeight="1" x14ac:dyDescent="0.15">
      <c r="A7" s="11" t="s">
        <v>6</v>
      </c>
      <c r="B7" s="12"/>
      <c r="C7" s="12"/>
      <c r="D7" s="12"/>
      <c r="E7" s="13"/>
      <c r="F7" s="8"/>
      <c r="G7" s="14" t="s">
        <v>7</v>
      </c>
      <c r="I7" s="10"/>
      <c r="J7" s="10"/>
    </row>
    <row r="8" spans="1:10" ht="20.25" customHeight="1" x14ac:dyDescent="0.15">
      <c r="A8" s="3" t="s">
        <v>156</v>
      </c>
      <c r="B8" s="3"/>
      <c r="C8" s="15">
        <v>708</v>
      </c>
      <c r="D8" s="15"/>
      <c r="E8" s="15"/>
      <c r="F8" s="16"/>
      <c r="G8" s="8" t="s">
        <v>8</v>
      </c>
      <c r="I8" s="17"/>
      <c r="J8" s="17"/>
    </row>
    <row r="9" spans="1:10" x14ac:dyDescent="0.15">
      <c r="A9" s="18" t="s">
        <v>9</v>
      </c>
      <c r="B9" s="18"/>
      <c r="C9" s="15"/>
      <c r="D9" s="15"/>
      <c r="E9" s="15"/>
      <c r="F9" s="16"/>
      <c r="G9" s="19" t="s">
        <v>10</v>
      </c>
      <c r="I9" s="19"/>
      <c r="J9" s="10"/>
    </row>
    <row r="10" spans="1:10" x14ac:dyDescent="0.15">
      <c r="A10" s="20" t="s">
        <v>11</v>
      </c>
      <c r="B10" s="20"/>
      <c r="C10" s="20"/>
      <c r="D10" s="20"/>
      <c r="E10" s="20"/>
      <c r="F10" s="10"/>
      <c r="G10" s="21" t="s">
        <v>12</v>
      </c>
      <c r="I10" s="19"/>
      <c r="J10" s="19"/>
    </row>
    <row r="11" spans="1:10" ht="14.25" thickBot="1" x14ac:dyDescent="0.2">
      <c r="A11" s="22" t="s">
        <v>13</v>
      </c>
      <c r="B11" s="22"/>
      <c r="C11" s="22"/>
      <c r="D11" s="22"/>
      <c r="E11" s="22"/>
      <c r="F11" s="23"/>
      <c r="G11" s="24" t="s">
        <v>14</v>
      </c>
      <c r="I11" s="10"/>
      <c r="J11" s="19"/>
    </row>
    <row r="12" spans="1:10" ht="14.25" thickTop="1" x14ac:dyDescent="0.15">
      <c r="A12" s="25" t="s">
        <v>157</v>
      </c>
      <c r="B12" s="25"/>
      <c r="C12" s="26">
        <v>30</v>
      </c>
      <c r="D12" s="26"/>
      <c r="E12" s="26"/>
      <c r="F12" s="27"/>
      <c r="G12" s="24" t="s">
        <v>15</v>
      </c>
      <c r="I12" s="10"/>
      <c r="J12" s="10"/>
    </row>
    <row r="13" spans="1:10" x14ac:dyDescent="0.15">
      <c r="A13" s="18" t="s">
        <v>16</v>
      </c>
      <c r="B13" s="18"/>
      <c r="C13" s="28"/>
      <c r="D13" s="28"/>
      <c r="E13" s="28"/>
      <c r="F13" s="27"/>
      <c r="G13" s="21" t="s">
        <v>8</v>
      </c>
      <c r="I13" s="19"/>
      <c r="J13" s="19"/>
    </row>
    <row r="14" spans="1:10" x14ac:dyDescent="0.15">
      <c r="A14" s="29" t="s">
        <v>17</v>
      </c>
      <c r="B14" s="29"/>
      <c r="C14" s="30" t="s">
        <v>18</v>
      </c>
      <c r="D14" s="30"/>
      <c r="E14" s="30"/>
      <c r="G14" s="21" t="s">
        <v>19</v>
      </c>
      <c r="I14" s="10"/>
      <c r="J14" s="19"/>
    </row>
    <row r="15" spans="1:10" x14ac:dyDescent="0.15">
      <c r="A15" s="31" t="s">
        <v>20</v>
      </c>
      <c r="B15" s="31"/>
      <c r="C15" s="32"/>
      <c r="D15" s="32"/>
      <c r="E15" s="32"/>
      <c r="G15" s="24" t="s">
        <v>8</v>
      </c>
      <c r="I15" s="10"/>
      <c r="J15" s="10"/>
    </row>
    <row r="16" spans="1:10" x14ac:dyDescent="0.15">
      <c r="A16" s="29" t="s">
        <v>21</v>
      </c>
      <c r="B16" s="29"/>
      <c r="C16" s="33">
        <v>0.3</v>
      </c>
      <c r="D16" s="34">
        <v>0.5</v>
      </c>
      <c r="E16" s="35">
        <v>0.2</v>
      </c>
      <c r="F16" s="36"/>
      <c r="G16" s="19" t="s">
        <v>22</v>
      </c>
      <c r="I16" s="19"/>
      <c r="J16" s="19"/>
    </row>
    <row r="17" spans="1:10" x14ac:dyDescent="0.15">
      <c r="A17" s="18" t="s">
        <v>23</v>
      </c>
      <c r="B17" s="18"/>
      <c r="C17" s="37"/>
      <c r="D17" s="38"/>
      <c r="E17" s="39"/>
      <c r="F17" s="36"/>
      <c r="G17" s="40" t="s">
        <v>24</v>
      </c>
      <c r="I17" s="41"/>
      <c r="J17" s="41"/>
    </row>
    <row r="18" spans="1:10" x14ac:dyDescent="0.15">
      <c r="A18" s="29" t="s">
        <v>25</v>
      </c>
      <c r="B18" s="29"/>
      <c r="C18" s="42">
        <v>30</v>
      </c>
      <c r="D18" s="42"/>
      <c r="E18" s="42"/>
      <c r="F18" s="43"/>
      <c r="G18" s="40" t="s">
        <v>26</v>
      </c>
      <c r="I18" s="41"/>
      <c r="J18" s="41"/>
    </row>
    <row r="19" spans="1:10" x14ac:dyDescent="0.15">
      <c r="A19" s="31" t="s">
        <v>27</v>
      </c>
      <c r="B19" s="31"/>
      <c r="C19" s="44"/>
      <c r="D19" s="44"/>
      <c r="E19" s="44"/>
      <c r="F19" s="43"/>
    </row>
    <row r="20" spans="1:10" ht="13.5" customHeight="1" x14ac:dyDescent="0.15">
      <c r="A20" s="29" t="s">
        <v>28</v>
      </c>
      <c r="B20" s="29"/>
      <c r="C20" s="45">
        <f>I25</f>
        <v>210000000</v>
      </c>
      <c r="D20" s="45"/>
      <c r="E20" s="45"/>
      <c r="F20" s="46"/>
      <c r="I20" s="47"/>
      <c r="J20" s="47"/>
    </row>
    <row r="21" spans="1:10" ht="14.25" customHeight="1" thickBot="1" x14ac:dyDescent="0.2">
      <c r="A21" s="18" t="s">
        <v>29</v>
      </c>
      <c r="B21" s="18"/>
      <c r="C21" s="48"/>
      <c r="D21" s="48"/>
      <c r="E21" s="48"/>
      <c r="F21" s="46"/>
      <c r="G21" s="10"/>
      <c r="H21" s="49"/>
      <c r="I21" s="50"/>
      <c r="J21" s="50"/>
    </row>
    <row r="22" spans="1:10" ht="28.5" customHeight="1" thickBot="1" x14ac:dyDescent="0.2">
      <c r="A22" s="51" t="s">
        <v>30</v>
      </c>
      <c r="B22" s="51"/>
      <c r="C22" s="52" t="s">
        <v>31</v>
      </c>
      <c r="D22" s="52"/>
      <c r="E22" s="52"/>
      <c r="F22" s="52"/>
      <c r="G22" s="53" t="s">
        <v>32</v>
      </c>
      <c r="H22" s="53"/>
      <c r="I22" s="54" t="s">
        <v>33</v>
      </c>
      <c r="J22" s="54" t="s">
        <v>34</v>
      </c>
    </row>
    <row r="23" spans="1:10" ht="20.100000000000001" customHeight="1" x14ac:dyDescent="0.15">
      <c r="A23" s="55" t="s">
        <v>35</v>
      </c>
      <c r="B23" s="56" t="s">
        <v>36</v>
      </c>
      <c r="C23" s="57"/>
      <c r="D23" s="57"/>
      <c r="E23" s="55"/>
      <c r="F23" s="58" t="s">
        <v>37</v>
      </c>
      <c r="G23" s="58" t="s">
        <v>38</v>
      </c>
      <c r="H23" s="59" t="s">
        <v>39</v>
      </c>
      <c r="I23" s="59" t="s">
        <v>40</v>
      </c>
      <c r="J23" s="59" t="s">
        <v>41</v>
      </c>
    </row>
    <row r="24" spans="1:10" ht="15" customHeight="1" thickBot="1" x14ac:dyDescent="0.2">
      <c r="A24" s="60"/>
      <c r="B24" s="61" t="s">
        <v>42</v>
      </c>
      <c r="C24" s="62"/>
      <c r="D24" s="62"/>
      <c r="E24" s="63"/>
      <c r="F24" s="64" t="s">
        <v>43</v>
      </c>
      <c r="G24" s="64" t="s">
        <v>44</v>
      </c>
      <c r="H24" s="65" t="s">
        <v>45</v>
      </c>
      <c r="I24" s="65" t="s">
        <v>46</v>
      </c>
      <c r="J24" s="65" t="s">
        <v>47</v>
      </c>
    </row>
    <row r="25" spans="1:10" ht="17.45" customHeight="1" x14ac:dyDescent="0.15">
      <c r="A25" s="125" t="str">
        <f>C22</f>
        <v>3공장 하기휴무공사</v>
      </c>
      <c r="B25" s="125"/>
      <c r="C25" s="125"/>
      <c r="D25" s="125"/>
      <c r="E25" s="126"/>
      <c r="F25" s="129">
        <v>1</v>
      </c>
      <c r="G25" s="129" t="s">
        <v>48</v>
      </c>
      <c r="H25" s="129"/>
      <c r="I25" s="132">
        <f>I205</f>
        <v>210000000</v>
      </c>
      <c r="J25" s="56"/>
    </row>
    <row r="26" spans="1:10" ht="17.45" customHeight="1" x14ac:dyDescent="0.15">
      <c r="A26" s="127"/>
      <c r="B26" s="127"/>
      <c r="C26" s="127"/>
      <c r="D26" s="127"/>
      <c r="E26" s="128"/>
      <c r="F26" s="130"/>
      <c r="G26" s="130"/>
      <c r="H26" s="130"/>
      <c r="I26" s="133"/>
      <c r="J26" s="131"/>
    </row>
    <row r="27" spans="1:10" s="10" customFormat="1" ht="24.95" customHeight="1" x14ac:dyDescent="0.15">
      <c r="A27" s="137" t="s">
        <v>49</v>
      </c>
      <c r="B27" s="138" t="s">
        <v>96</v>
      </c>
      <c r="C27" s="139"/>
      <c r="D27" s="67"/>
      <c r="E27" s="68"/>
      <c r="F27" s="69"/>
      <c r="G27" s="70"/>
      <c r="H27" s="71"/>
      <c r="I27" s="71"/>
      <c r="J27" s="72"/>
    </row>
    <row r="28" spans="1:10" s="10" customFormat="1" ht="15.6" customHeight="1" x14ac:dyDescent="0.15">
      <c r="A28" s="73"/>
      <c r="B28" s="66" t="s">
        <v>97</v>
      </c>
      <c r="C28" s="67"/>
      <c r="D28" s="67"/>
      <c r="E28" s="68"/>
      <c r="F28" s="69"/>
      <c r="G28" s="70"/>
      <c r="H28" s="71"/>
      <c r="I28" s="71"/>
      <c r="J28" s="72"/>
    </row>
    <row r="29" spans="1:10" s="10" customFormat="1" ht="15.6" customHeight="1" x14ac:dyDescent="0.15">
      <c r="A29" s="74"/>
      <c r="B29" s="115"/>
      <c r="C29" s="104" t="s">
        <v>154</v>
      </c>
      <c r="D29" s="104"/>
      <c r="E29" s="105"/>
      <c r="F29" s="107">
        <f>3*3*2</f>
        <v>18</v>
      </c>
      <c r="G29" s="107" t="s">
        <v>51</v>
      </c>
      <c r="H29" s="108">
        <f>400000*1.3</f>
        <v>520000</v>
      </c>
      <c r="I29" s="108">
        <f>H29*F29</f>
        <v>9360000</v>
      </c>
      <c r="J29" s="75"/>
    </row>
    <row r="30" spans="1:10" s="10" customFormat="1" ht="15.6" customHeight="1" x14ac:dyDescent="0.15">
      <c r="A30" s="74"/>
      <c r="B30" s="115"/>
      <c r="C30" s="104" t="s">
        <v>52</v>
      </c>
      <c r="D30" s="104"/>
      <c r="E30" s="105"/>
      <c r="F30" s="107">
        <f>6*2</f>
        <v>12</v>
      </c>
      <c r="G30" s="107" t="s">
        <v>53</v>
      </c>
      <c r="H30" s="108">
        <v>300000</v>
      </c>
      <c r="I30" s="108">
        <f>H30*F30</f>
        <v>3600000</v>
      </c>
      <c r="J30" s="75"/>
    </row>
    <row r="31" spans="1:10" s="10" customFormat="1" ht="15.6" customHeight="1" x14ac:dyDescent="0.15">
      <c r="A31" s="73"/>
      <c r="B31" s="66" t="s">
        <v>98</v>
      </c>
      <c r="C31" s="110"/>
      <c r="D31" s="110"/>
      <c r="E31" s="111"/>
      <c r="F31" s="112"/>
      <c r="G31" s="113"/>
      <c r="H31" s="114"/>
      <c r="I31" s="114"/>
      <c r="J31" s="72"/>
    </row>
    <row r="32" spans="1:10" s="10" customFormat="1" ht="15.6" customHeight="1" x14ac:dyDescent="0.15">
      <c r="A32" s="74"/>
      <c r="B32" s="75"/>
      <c r="C32" s="104" t="s">
        <v>59</v>
      </c>
      <c r="D32" s="104"/>
      <c r="E32" s="105"/>
      <c r="F32" s="107">
        <v>6</v>
      </c>
      <c r="G32" s="107" t="s">
        <v>50</v>
      </c>
      <c r="H32" s="108">
        <f>300000/6</f>
        <v>50000</v>
      </c>
      <c r="I32" s="108">
        <f>F32*H32</f>
        <v>300000</v>
      </c>
      <c r="J32" s="75"/>
    </row>
    <row r="33" spans="1:10" s="10" customFormat="1" ht="15.6" customHeight="1" x14ac:dyDescent="0.15">
      <c r="A33" s="73"/>
      <c r="B33" s="66" t="s">
        <v>99</v>
      </c>
      <c r="C33" s="67"/>
      <c r="D33" s="67"/>
      <c r="E33" s="68"/>
      <c r="F33" s="78"/>
      <c r="G33" s="79"/>
      <c r="H33" s="71"/>
      <c r="I33" s="71"/>
      <c r="J33" s="72"/>
    </row>
    <row r="34" spans="1:10" s="10" customFormat="1" ht="15.6" customHeight="1" x14ac:dyDescent="0.15">
      <c r="A34" s="74"/>
      <c r="B34" s="75"/>
      <c r="C34" s="104" t="s">
        <v>103</v>
      </c>
      <c r="D34" s="104"/>
      <c r="E34" s="105"/>
      <c r="F34" s="106">
        <v>1</v>
      </c>
      <c r="G34" s="107" t="s">
        <v>48</v>
      </c>
      <c r="H34" s="108"/>
      <c r="I34" s="109">
        <v>500000</v>
      </c>
      <c r="J34" s="75"/>
    </row>
    <row r="35" spans="1:10" s="10" customFormat="1" ht="15.6" customHeight="1" x14ac:dyDescent="0.15">
      <c r="A35" s="73"/>
      <c r="B35" s="66" t="s">
        <v>100</v>
      </c>
      <c r="C35" s="67"/>
      <c r="D35" s="67"/>
      <c r="E35" s="68"/>
      <c r="F35" s="69"/>
      <c r="G35" s="70"/>
      <c r="H35" s="71"/>
      <c r="I35" s="71"/>
      <c r="J35" s="75"/>
    </row>
    <row r="36" spans="1:10" s="10" customFormat="1" ht="15.6" customHeight="1" x14ac:dyDescent="0.15">
      <c r="A36" s="74"/>
      <c r="B36" s="101"/>
      <c r="C36" s="83" t="s">
        <v>59</v>
      </c>
      <c r="D36" s="83"/>
      <c r="E36" s="77"/>
      <c r="F36" s="79">
        <v>40</v>
      </c>
      <c r="G36" s="79" t="s">
        <v>60</v>
      </c>
      <c r="H36" s="81">
        <v>6000</v>
      </c>
      <c r="I36" s="109">
        <f>H36*F36</f>
        <v>240000</v>
      </c>
      <c r="J36" s="75"/>
    </row>
    <row r="37" spans="1:10" s="10" customFormat="1" ht="15.6" customHeight="1" x14ac:dyDescent="0.15">
      <c r="A37" s="74"/>
      <c r="B37" s="122"/>
      <c r="C37" s="82" t="s">
        <v>102</v>
      </c>
      <c r="D37" s="83"/>
      <c r="E37" s="84"/>
      <c r="F37" s="78">
        <v>40</v>
      </c>
      <c r="G37" s="79" t="s">
        <v>61</v>
      </c>
      <c r="H37" s="81">
        <v>30000</v>
      </c>
      <c r="I37" s="80">
        <f>H37*F37</f>
        <v>1200000</v>
      </c>
      <c r="J37" s="75"/>
    </row>
    <row r="38" spans="1:10" s="10" customFormat="1" ht="15.6" customHeight="1" x14ac:dyDescent="0.15">
      <c r="A38" s="73"/>
      <c r="B38" s="66" t="s">
        <v>104</v>
      </c>
      <c r="C38" s="67"/>
      <c r="D38" s="67"/>
      <c r="E38" s="68"/>
      <c r="F38" s="78"/>
      <c r="G38" s="79"/>
      <c r="H38" s="71"/>
      <c r="I38" s="71"/>
      <c r="J38" s="75"/>
    </row>
    <row r="39" spans="1:10" s="10" customFormat="1" ht="15.6" customHeight="1" x14ac:dyDescent="0.15">
      <c r="A39" s="74"/>
      <c r="B39" s="75"/>
      <c r="C39" s="104" t="s">
        <v>103</v>
      </c>
      <c r="D39" s="83"/>
      <c r="E39" s="84"/>
      <c r="F39" s="78">
        <v>2</v>
      </c>
      <c r="G39" s="79" t="s">
        <v>63</v>
      </c>
      <c r="H39" s="81">
        <v>100000</v>
      </c>
      <c r="I39" s="80">
        <f>H39*2</f>
        <v>200000</v>
      </c>
      <c r="J39" s="75"/>
    </row>
    <row r="40" spans="1:10" s="10" customFormat="1" ht="15.6" customHeight="1" x14ac:dyDescent="0.15">
      <c r="A40" s="87"/>
      <c r="B40" s="88" t="s">
        <v>105</v>
      </c>
      <c r="C40" s="134"/>
      <c r="D40" s="89"/>
      <c r="E40" s="90"/>
      <c r="F40" s="69"/>
      <c r="G40" s="70"/>
      <c r="H40" s="91"/>
      <c r="I40" s="71"/>
      <c r="J40" s="88"/>
    </row>
    <row r="41" spans="1:10" s="10" customFormat="1" ht="15" customHeight="1" x14ac:dyDescent="0.15">
      <c r="A41" s="74"/>
      <c r="B41" s="115"/>
      <c r="C41" s="104" t="s">
        <v>184</v>
      </c>
      <c r="D41" s="104"/>
      <c r="E41" s="105"/>
      <c r="F41" s="78">
        <v>1</v>
      </c>
      <c r="G41" s="79" t="s">
        <v>63</v>
      </c>
      <c r="H41" s="81"/>
      <c r="I41" s="80">
        <v>1500000</v>
      </c>
      <c r="J41" s="75"/>
    </row>
    <row r="42" spans="1:10" s="10" customFormat="1" ht="15.6" customHeight="1" x14ac:dyDescent="0.15">
      <c r="A42" s="74"/>
      <c r="B42" s="115"/>
      <c r="C42" s="104" t="s">
        <v>66</v>
      </c>
      <c r="D42" s="104"/>
      <c r="E42" s="105"/>
      <c r="F42" s="78">
        <v>1</v>
      </c>
      <c r="G42" s="79" t="s">
        <v>63</v>
      </c>
      <c r="H42" s="81"/>
      <c r="I42" s="80">
        <v>500000</v>
      </c>
      <c r="J42" s="75"/>
    </row>
    <row r="43" spans="1:10" s="10" customFormat="1" ht="15.6" customHeight="1" x14ac:dyDescent="0.15">
      <c r="A43" s="87"/>
      <c r="B43" s="88" t="s">
        <v>106</v>
      </c>
      <c r="C43" s="134"/>
      <c r="D43" s="89"/>
      <c r="E43" s="90"/>
      <c r="F43" s="69"/>
      <c r="G43" s="70"/>
      <c r="H43" s="91"/>
      <c r="I43" s="71"/>
      <c r="J43" s="88"/>
    </row>
    <row r="44" spans="1:10" s="10" customFormat="1" ht="15.6" customHeight="1" x14ac:dyDescent="0.15">
      <c r="A44" s="74"/>
      <c r="B44" s="101"/>
      <c r="C44" s="83" t="s">
        <v>68</v>
      </c>
      <c r="D44" s="93"/>
      <c r="E44" s="84"/>
      <c r="F44" s="79">
        <v>3</v>
      </c>
      <c r="G44" s="79" t="s">
        <v>69</v>
      </c>
      <c r="H44" s="81">
        <v>40000</v>
      </c>
      <c r="I44" s="81">
        <f>F44*H44</f>
        <v>120000</v>
      </c>
      <c r="J44" s="75"/>
    </row>
    <row r="45" spans="1:10" s="10" customFormat="1" ht="15.6" customHeight="1" x14ac:dyDescent="0.15">
      <c r="A45" s="74"/>
      <c r="B45" s="122"/>
      <c r="C45" s="82" t="s">
        <v>107</v>
      </c>
      <c r="D45" s="93"/>
      <c r="E45" s="84"/>
      <c r="F45" s="79">
        <v>200</v>
      </c>
      <c r="G45" s="79" t="s">
        <v>70</v>
      </c>
      <c r="H45" s="81">
        <v>8000</v>
      </c>
      <c r="I45" s="81">
        <f>F45*H45</f>
        <v>1600000</v>
      </c>
      <c r="J45" s="75"/>
    </row>
    <row r="46" spans="1:10" s="10" customFormat="1" ht="15.6" customHeight="1" x14ac:dyDescent="0.15">
      <c r="A46" s="74"/>
      <c r="B46" s="101"/>
      <c r="C46" s="83" t="s">
        <v>108</v>
      </c>
      <c r="D46" s="93"/>
      <c r="E46" s="84"/>
      <c r="F46" s="79">
        <v>80</v>
      </c>
      <c r="G46" s="79" t="s">
        <v>70</v>
      </c>
      <c r="H46" s="81">
        <v>3500</v>
      </c>
      <c r="I46" s="81">
        <f>F46*H46</f>
        <v>280000</v>
      </c>
      <c r="J46" s="75"/>
    </row>
    <row r="47" spans="1:10" s="10" customFormat="1" ht="15.6" customHeight="1" x14ac:dyDescent="0.15">
      <c r="A47" s="74"/>
      <c r="B47" s="122"/>
      <c r="C47" s="82" t="s">
        <v>150</v>
      </c>
      <c r="D47" s="83"/>
      <c r="E47" s="84"/>
      <c r="F47" s="79">
        <v>5</v>
      </c>
      <c r="G47" s="79" t="s">
        <v>71</v>
      </c>
      <c r="H47" s="81">
        <v>55000</v>
      </c>
      <c r="I47" s="81">
        <f>F47*H47</f>
        <v>275000</v>
      </c>
      <c r="J47" s="75"/>
    </row>
    <row r="48" spans="1:10" s="10" customFormat="1" ht="15.6" customHeight="1" x14ac:dyDescent="0.15">
      <c r="A48" s="74"/>
      <c r="B48" s="122"/>
      <c r="C48" s="82" t="s">
        <v>72</v>
      </c>
      <c r="D48" s="93"/>
      <c r="E48" s="84"/>
      <c r="F48" s="79">
        <v>1</v>
      </c>
      <c r="G48" s="79" t="s">
        <v>48</v>
      </c>
      <c r="H48" s="81"/>
      <c r="I48" s="81">
        <v>20000</v>
      </c>
      <c r="J48" s="75"/>
    </row>
    <row r="49" spans="1:10" s="10" customFormat="1" ht="15.6" customHeight="1" x14ac:dyDescent="0.15">
      <c r="A49" s="87"/>
      <c r="B49" s="88" t="s">
        <v>111</v>
      </c>
      <c r="C49" s="134"/>
      <c r="D49" s="89"/>
      <c r="E49" s="90"/>
      <c r="F49" s="69"/>
      <c r="G49" s="70"/>
      <c r="H49" s="91"/>
      <c r="I49" s="71"/>
      <c r="J49" s="72"/>
    </row>
    <row r="50" spans="1:10" s="10" customFormat="1" ht="15.6" customHeight="1" x14ac:dyDescent="0.15">
      <c r="A50" s="74"/>
      <c r="B50" s="101"/>
      <c r="C50" s="83" t="s">
        <v>78</v>
      </c>
      <c r="D50" s="83"/>
      <c r="E50" s="84"/>
      <c r="F50" s="78">
        <v>2</v>
      </c>
      <c r="G50" s="79" t="s">
        <v>50</v>
      </c>
      <c r="H50" s="81">
        <v>120000</v>
      </c>
      <c r="I50" s="81">
        <f>F50*H50</f>
        <v>240000</v>
      </c>
      <c r="J50" s="75"/>
    </row>
    <row r="51" spans="1:10" s="10" customFormat="1" ht="15.6" customHeight="1" x14ac:dyDescent="0.15">
      <c r="A51" s="74"/>
      <c r="B51" s="122"/>
      <c r="C51" s="82" t="s">
        <v>112</v>
      </c>
      <c r="D51" s="83"/>
      <c r="E51" s="84"/>
      <c r="F51" s="78">
        <v>1</v>
      </c>
      <c r="G51" s="79" t="s">
        <v>48</v>
      </c>
      <c r="H51" s="81"/>
      <c r="I51" s="80">
        <f>500000-I50</f>
        <v>260000</v>
      </c>
      <c r="J51" s="75"/>
    </row>
    <row r="52" spans="1:10" s="10" customFormat="1" ht="15.6" customHeight="1" x14ac:dyDescent="0.15">
      <c r="A52" s="95"/>
      <c r="B52" s="88" t="s">
        <v>113</v>
      </c>
      <c r="C52" s="134"/>
      <c r="D52" s="89"/>
      <c r="E52" s="90"/>
      <c r="F52" s="69"/>
      <c r="G52" s="70"/>
      <c r="H52" s="91"/>
      <c r="I52" s="71"/>
      <c r="J52" s="88"/>
    </row>
    <row r="53" spans="1:10" s="10" customFormat="1" ht="15.6" customHeight="1" x14ac:dyDescent="0.15">
      <c r="A53" s="96"/>
      <c r="B53" s="101"/>
      <c r="C53" s="83" t="s">
        <v>82</v>
      </c>
      <c r="D53" s="83"/>
      <c r="E53" s="84"/>
      <c r="F53" s="78">
        <f>17*2</f>
        <v>34</v>
      </c>
      <c r="G53" s="79" t="s">
        <v>50</v>
      </c>
      <c r="H53" s="81">
        <v>20000</v>
      </c>
      <c r="I53" s="80">
        <f>H53*F53</f>
        <v>680000</v>
      </c>
      <c r="J53" s="75"/>
    </row>
    <row r="54" spans="1:10" s="10" customFormat="1" ht="15.6" customHeight="1" x14ac:dyDescent="0.15">
      <c r="A54" s="96"/>
      <c r="B54" s="122"/>
      <c r="C54" s="82" t="s">
        <v>114</v>
      </c>
      <c r="D54" s="83"/>
      <c r="E54" s="84"/>
      <c r="F54" s="78">
        <v>64</v>
      </c>
      <c r="G54" s="79" t="s">
        <v>61</v>
      </c>
      <c r="H54" s="81">
        <v>5000</v>
      </c>
      <c r="I54" s="80">
        <f>H54*F54</f>
        <v>320000</v>
      </c>
      <c r="J54" s="75"/>
    </row>
    <row r="55" spans="1:10" s="10" customFormat="1" ht="15.6" customHeight="1" x14ac:dyDescent="0.15">
      <c r="A55" s="96"/>
      <c r="B55" s="101"/>
      <c r="C55" s="83" t="s">
        <v>112</v>
      </c>
      <c r="D55" s="83"/>
      <c r="E55" s="84"/>
      <c r="F55" s="78">
        <v>1</v>
      </c>
      <c r="G55" s="79" t="s">
        <v>48</v>
      </c>
      <c r="H55" s="80"/>
      <c r="I55" s="80">
        <v>300000</v>
      </c>
      <c r="J55" s="75"/>
    </row>
    <row r="56" spans="1:10" s="10" customFormat="1" ht="15.6" customHeight="1" x14ac:dyDescent="0.15">
      <c r="A56" s="95"/>
      <c r="B56" s="88" t="s">
        <v>115</v>
      </c>
      <c r="C56" s="134"/>
      <c r="D56" s="89"/>
      <c r="E56" s="90"/>
      <c r="F56" s="69"/>
      <c r="G56" s="70"/>
      <c r="H56" s="91"/>
      <c r="I56" s="71"/>
      <c r="J56" s="88"/>
    </row>
    <row r="57" spans="1:10" s="10" customFormat="1" ht="15.6" customHeight="1" x14ac:dyDescent="0.15">
      <c r="A57" s="74"/>
      <c r="B57" s="101"/>
      <c r="C57" s="83" t="s">
        <v>185</v>
      </c>
      <c r="D57" s="83"/>
      <c r="E57" s="84"/>
      <c r="F57" s="78">
        <v>1</v>
      </c>
      <c r="G57" s="79" t="s">
        <v>48</v>
      </c>
      <c r="H57" s="81"/>
      <c r="I57" s="80">
        <v>100000</v>
      </c>
      <c r="J57" s="75"/>
    </row>
    <row r="58" spans="1:10" s="10" customFormat="1" ht="15.6" customHeight="1" x14ac:dyDescent="0.15">
      <c r="A58" s="73"/>
      <c r="B58" s="66" t="s">
        <v>116</v>
      </c>
      <c r="C58" s="67"/>
      <c r="D58" s="67"/>
      <c r="E58" s="68"/>
      <c r="F58" s="69"/>
      <c r="G58" s="70"/>
      <c r="H58" s="71"/>
      <c r="I58" s="71"/>
      <c r="J58" s="72"/>
    </row>
    <row r="59" spans="1:10" s="10" customFormat="1" ht="15.6" customHeight="1" x14ac:dyDescent="0.15">
      <c r="A59" s="74"/>
      <c r="B59" s="101"/>
      <c r="C59" s="83" t="s">
        <v>112</v>
      </c>
      <c r="D59" s="83"/>
      <c r="E59" s="84"/>
      <c r="F59" s="78">
        <v>1</v>
      </c>
      <c r="G59" s="79" t="s">
        <v>48</v>
      </c>
      <c r="H59" s="81"/>
      <c r="I59" s="80">
        <v>200000</v>
      </c>
      <c r="J59" s="75"/>
    </row>
    <row r="60" spans="1:10" s="10" customFormat="1" ht="15.6" customHeight="1" x14ac:dyDescent="0.15">
      <c r="A60" s="73"/>
      <c r="B60" s="66" t="s">
        <v>117</v>
      </c>
      <c r="C60" s="67"/>
      <c r="D60" s="67"/>
      <c r="E60" s="68"/>
      <c r="F60" s="78"/>
      <c r="G60" s="79"/>
      <c r="H60" s="71"/>
      <c r="I60" s="71"/>
      <c r="J60" s="72"/>
    </row>
    <row r="61" spans="1:10" s="10" customFormat="1" ht="15.6" customHeight="1" x14ac:dyDescent="0.15">
      <c r="A61" s="74"/>
      <c r="B61" s="101"/>
      <c r="C61" s="83" t="s">
        <v>59</v>
      </c>
      <c r="D61" s="104"/>
      <c r="E61" s="105"/>
      <c r="F61" s="106">
        <v>4</v>
      </c>
      <c r="G61" s="107" t="s">
        <v>57</v>
      </c>
      <c r="H61" s="108">
        <f>600000/4</f>
        <v>150000</v>
      </c>
      <c r="I61" s="81">
        <f>F61*H61</f>
        <v>600000</v>
      </c>
      <c r="J61" s="75"/>
    </row>
    <row r="62" spans="1:10" s="10" customFormat="1" ht="15" customHeight="1" x14ac:dyDescent="0.15">
      <c r="A62" s="73"/>
      <c r="B62" s="66" t="s">
        <v>118</v>
      </c>
      <c r="C62" s="67"/>
      <c r="D62" s="67"/>
      <c r="E62" s="68"/>
      <c r="F62" s="69"/>
      <c r="G62" s="70"/>
      <c r="H62" s="71"/>
      <c r="I62" s="71"/>
      <c r="J62" s="72"/>
    </row>
    <row r="63" spans="1:10" s="10" customFormat="1" ht="15.6" customHeight="1" x14ac:dyDescent="0.15">
      <c r="A63" s="74"/>
      <c r="B63" s="101"/>
      <c r="C63" s="83" t="s">
        <v>186</v>
      </c>
      <c r="D63" s="104"/>
      <c r="E63" s="105"/>
      <c r="F63" s="106">
        <v>2</v>
      </c>
      <c r="G63" s="107" t="s">
        <v>48</v>
      </c>
      <c r="H63" s="108">
        <v>200000</v>
      </c>
      <c r="I63" s="109">
        <v>400000</v>
      </c>
      <c r="J63" s="75"/>
    </row>
    <row r="64" spans="1:10" s="10" customFormat="1" ht="15.6" customHeight="1" x14ac:dyDescent="0.15">
      <c r="A64" s="73"/>
      <c r="B64" s="66" t="s">
        <v>158</v>
      </c>
      <c r="C64" s="67"/>
      <c r="D64" s="67"/>
      <c r="E64" s="68"/>
      <c r="F64" s="69"/>
      <c r="G64" s="70"/>
      <c r="H64" s="71"/>
      <c r="I64" s="71"/>
      <c r="J64" s="72"/>
    </row>
    <row r="65" spans="1:10" s="10" customFormat="1" ht="15.6" customHeight="1" x14ac:dyDescent="0.15">
      <c r="A65" s="74"/>
      <c r="B65" s="101"/>
      <c r="C65" s="83" t="s">
        <v>59</v>
      </c>
      <c r="D65" s="76"/>
      <c r="E65" s="77"/>
      <c r="F65" s="78">
        <v>40</v>
      </c>
      <c r="G65" s="79" t="s">
        <v>101</v>
      </c>
      <c r="H65" s="80">
        <v>4500</v>
      </c>
      <c r="I65" s="80">
        <v>360000</v>
      </c>
      <c r="J65" s="75"/>
    </row>
    <row r="66" spans="1:10" s="10" customFormat="1" ht="15.6" customHeight="1" x14ac:dyDescent="0.15">
      <c r="A66" s="74"/>
      <c r="B66" s="122"/>
      <c r="C66" s="82" t="s">
        <v>102</v>
      </c>
      <c r="D66" s="83"/>
      <c r="E66" s="84"/>
      <c r="F66" s="78">
        <v>20</v>
      </c>
      <c r="G66" s="79" t="s">
        <v>101</v>
      </c>
      <c r="H66" s="81">
        <v>22000</v>
      </c>
      <c r="I66" s="80">
        <v>880000</v>
      </c>
      <c r="J66" s="72"/>
    </row>
    <row r="67" spans="1:10" s="10" customFormat="1" ht="15.6" customHeight="1" x14ac:dyDescent="0.15">
      <c r="A67" s="74"/>
      <c r="B67" s="101"/>
      <c r="C67" s="83" t="s">
        <v>122</v>
      </c>
      <c r="D67" s="104"/>
      <c r="E67" s="118"/>
      <c r="F67" s="107">
        <v>1</v>
      </c>
      <c r="G67" s="107" t="s">
        <v>120</v>
      </c>
      <c r="H67" s="108"/>
      <c r="I67" s="119">
        <v>200000</v>
      </c>
      <c r="J67" s="117"/>
    </row>
    <row r="68" spans="1:10" s="10" customFormat="1" ht="15.6" customHeight="1" x14ac:dyDescent="0.15">
      <c r="A68" s="73"/>
      <c r="B68" s="66" t="s">
        <v>121</v>
      </c>
      <c r="C68" s="67"/>
      <c r="D68" s="67"/>
      <c r="E68" s="68"/>
      <c r="F68" s="69"/>
      <c r="G68" s="70"/>
      <c r="H68" s="71"/>
      <c r="I68" s="71"/>
      <c r="J68" s="72"/>
    </row>
    <row r="69" spans="1:10" s="10" customFormat="1" ht="15.6" customHeight="1" x14ac:dyDescent="0.15">
      <c r="A69" s="74"/>
      <c r="B69" s="101"/>
      <c r="C69" s="83" t="s">
        <v>68</v>
      </c>
      <c r="D69" s="93"/>
      <c r="E69" s="84"/>
      <c r="F69" s="79">
        <v>2</v>
      </c>
      <c r="G69" s="79" t="s">
        <v>69</v>
      </c>
      <c r="H69" s="81">
        <v>40000</v>
      </c>
      <c r="I69" s="81">
        <f>F69*H69</f>
        <v>80000</v>
      </c>
      <c r="J69" s="75"/>
    </row>
    <row r="70" spans="1:10" s="10" customFormat="1" ht="15.6" customHeight="1" x14ac:dyDescent="0.15">
      <c r="A70" s="74"/>
      <c r="B70" s="122"/>
      <c r="C70" s="82" t="s">
        <v>107</v>
      </c>
      <c r="D70" s="93"/>
      <c r="E70" s="84"/>
      <c r="F70" s="79">
        <v>200</v>
      </c>
      <c r="G70" s="79" t="s">
        <v>70</v>
      </c>
      <c r="H70" s="81">
        <v>8000</v>
      </c>
      <c r="I70" s="81">
        <f>F70*H70</f>
        <v>1600000</v>
      </c>
      <c r="J70" s="85"/>
    </row>
    <row r="71" spans="1:10" s="10" customFormat="1" ht="15.6" customHeight="1" x14ac:dyDescent="0.15">
      <c r="A71" s="74"/>
      <c r="B71" s="101"/>
      <c r="C71" s="83" t="s">
        <v>108</v>
      </c>
      <c r="D71" s="93"/>
      <c r="E71" s="84"/>
      <c r="F71" s="79">
        <v>60</v>
      </c>
      <c r="G71" s="79" t="s">
        <v>70</v>
      </c>
      <c r="H71" s="81">
        <v>3500</v>
      </c>
      <c r="I71" s="81">
        <f>F71*H71</f>
        <v>210000</v>
      </c>
      <c r="J71" s="75"/>
    </row>
    <row r="72" spans="1:10" s="10" customFormat="1" ht="15.6" customHeight="1" x14ac:dyDescent="0.15">
      <c r="A72" s="74"/>
      <c r="B72" s="122"/>
      <c r="C72" s="82" t="s">
        <v>150</v>
      </c>
      <c r="D72" s="83"/>
      <c r="E72" s="84"/>
      <c r="F72" s="79">
        <v>3</v>
      </c>
      <c r="G72" s="79" t="s">
        <v>71</v>
      </c>
      <c r="H72" s="81">
        <v>55000</v>
      </c>
      <c r="I72" s="81">
        <f>F72*H72</f>
        <v>165000</v>
      </c>
      <c r="J72" s="75"/>
    </row>
    <row r="73" spans="1:10" s="10" customFormat="1" ht="15.6" customHeight="1" x14ac:dyDescent="0.15">
      <c r="A73" s="74"/>
      <c r="B73" s="101"/>
      <c r="C73" s="83" t="s">
        <v>72</v>
      </c>
      <c r="D73" s="93"/>
      <c r="E73" s="84"/>
      <c r="F73" s="79">
        <v>1</v>
      </c>
      <c r="G73" s="79" t="s">
        <v>48</v>
      </c>
      <c r="H73" s="81"/>
      <c r="I73" s="81">
        <v>20000</v>
      </c>
      <c r="J73" s="75"/>
    </row>
    <row r="74" spans="1:10" s="10" customFormat="1" ht="15.6" customHeight="1" x14ac:dyDescent="0.15">
      <c r="A74" s="73"/>
      <c r="B74" s="66" t="s">
        <v>159</v>
      </c>
      <c r="C74" s="67"/>
      <c r="D74" s="67"/>
      <c r="E74" s="68"/>
      <c r="F74" s="69"/>
      <c r="G74" s="70"/>
      <c r="H74" s="71"/>
      <c r="I74" s="71"/>
      <c r="J74" s="72"/>
    </row>
    <row r="75" spans="1:10" s="10" customFormat="1" ht="15.6" customHeight="1" x14ac:dyDescent="0.15">
      <c r="A75" s="74"/>
      <c r="B75" s="101"/>
      <c r="C75" s="83" t="s">
        <v>83</v>
      </c>
      <c r="D75" s="83"/>
      <c r="E75" s="84"/>
      <c r="F75" s="78">
        <v>2</v>
      </c>
      <c r="G75" s="79" t="s">
        <v>50</v>
      </c>
      <c r="H75" s="81">
        <v>500000</v>
      </c>
      <c r="I75" s="80">
        <f>H75*F75</f>
        <v>1000000</v>
      </c>
      <c r="J75" s="75"/>
    </row>
    <row r="76" spans="1:10" s="10" customFormat="1" ht="15.6" customHeight="1" x14ac:dyDescent="0.15">
      <c r="A76" s="74"/>
      <c r="B76" s="122"/>
      <c r="C76" s="82" t="s">
        <v>143</v>
      </c>
      <c r="D76" s="83"/>
      <c r="E76" s="84"/>
      <c r="F76" s="78">
        <v>2</v>
      </c>
      <c r="G76" s="79" t="s">
        <v>50</v>
      </c>
      <c r="H76" s="81">
        <v>100000</v>
      </c>
      <c r="I76" s="80">
        <f>H76*F76</f>
        <v>200000</v>
      </c>
      <c r="J76" s="85"/>
    </row>
    <row r="77" spans="1:10" s="10" customFormat="1" ht="15.6" customHeight="1" x14ac:dyDescent="0.15">
      <c r="A77" s="73"/>
      <c r="B77" s="66" t="s">
        <v>161</v>
      </c>
      <c r="C77" s="67"/>
      <c r="D77" s="67"/>
      <c r="E77" s="68"/>
      <c r="F77" s="69"/>
      <c r="G77" s="70"/>
      <c r="H77" s="71"/>
      <c r="I77" s="71"/>
      <c r="J77" s="72"/>
    </row>
    <row r="78" spans="1:10" s="10" customFormat="1" ht="15.6" customHeight="1" x14ac:dyDescent="0.15">
      <c r="A78" s="74"/>
      <c r="B78" s="101"/>
      <c r="C78" s="83" t="s">
        <v>154</v>
      </c>
      <c r="D78" s="104"/>
      <c r="E78" s="105"/>
      <c r="F78" s="79">
        <v>9</v>
      </c>
      <c r="G78" s="79" t="s">
        <v>51</v>
      </c>
      <c r="H78" s="81">
        <f>400000*1.3</f>
        <v>520000</v>
      </c>
      <c r="I78" s="81">
        <f>H78*F78</f>
        <v>4680000</v>
      </c>
      <c r="J78" s="75"/>
    </row>
    <row r="79" spans="1:10" s="10" customFormat="1" ht="15.6" customHeight="1" x14ac:dyDescent="0.15">
      <c r="A79" s="74"/>
      <c r="B79" s="122"/>
      <c r="C79" s="82" t="s">
        <v>52</v>
      </c>
      <c r="D79" s="104"/>
      <c r="E79" s="105"/>
      <c r="F79" s="79">
        <v>6</v>
      </c>
      <c r="G79" s="79" t="s">
        <v>53</v>
      </c>
      <c r="H79" s="81">
        <v>300000</v>
      </c>
      <c r="I79" s="81">
        <f>H79*F79</f>
        <v>1800000</v>
      </c>
      <c r="J79" s="75"/>
    </row>
    <row r="80" spans="1:10" s="10" customFormat="1" ht="15.6" customHeight="1" x14ac:dyDescent="0.15">
      <c r="A80" s="73"/>
      <c r="B80" s="66" t="s">
        <v>160</v>
      </c>
      <c r="C80" s="67"/>
      <c r="D80" s="67"/>
      <c r="E80" s="68"/>
      <c r="F80" s="69"/>
      <c r="G80" s="70"/>
      <c r="H80" s="71"/>
      <c r="I80" s="71"/>
      <c r="J80" s="72"/>
    </row>
    <row r="81" spans="1:10" s="10" customFormat="1" ht="15.6" customHeight="1" x14ac:dyDescent="0.15">
      <c r="A81" s="74"/>
      <c r="B81" s="101"/>
      <c r="C81" s="83" t="s">
        <v>129</v>
      </c>
      <c r="D81" s="104"/>
      <c r="E81" s="105"/>
      <c r="F81" s="106">
        <v>2</v>
      </c>
      <c r="G81" s="107" t="s">
        <v>53</v>
      </c>
      <c r="H81" s="108">
        <f>1700000/2</f>
        <v>850000</v>
      </c>
      <c r="I81" s="109">
        <f>H81*F81</f>
        <v>1700000</v>
      </c>
      <c r="J81" s="75"/>
    </row>
    <row r="82" spans="1:10" s="10" customFormat="1" ht="15" customHeight="1" x14ac:dyDescent="0.15">
      <c r="A82" s="74"/>
      <c r="B82" s="122"/>
      <c r="C82" s="82" t="s">
        <v>84</v>
      </c>
      <c r="D82" s="104"/>
      <c r="E82" s="105"/>
      <c r="F82" s="106">
        <v>1</v>
      </c>
      <c r="G82" s="107" t="s">
        <v>48</v>
      </c>
      <c r="H82" s="108"/>
      <c r="I82" s="109">
        <v>200000</v>
      </c>
      <c r="J82" s="75"/>
    </row>
    <row r="83" spans="1:10" s="10" customFormat="1" ht="15.6" customHeight="1" x14ac:dyDescent="0.15">
      <c r="A83" s="74"/>
      <c r="B83" s="101"/>
      <c r="C83" s="83" t="s">
        <v>128</v>
      </c>
      <c r="D83" s="104"/>
      <c r="E83" s="105"/>
      <c r="F83" s="106">
        <v>1</v>
      </c>
      <c r="G83" s="107" t="s">
        <v>48</v>
      </c>
      <c r="H83" s="108"/>
      <c r="I83" s="109">
        <v>100000</v>
      </c>
      <c r="J83" s="75"/>
    </row>
    <row r="84" spans="1:10" s="10" customFormat="1" ht="15.6" customHeight="1" x14ac:dyDescent="0.15">
      <c r="A84" s="73"/>
      <c r="B84" s="66" t="s">
        <v>162</v>
      </c>
      <c r="C84" s="67"/>
      <c r="D84" s="67"/>
      <c r="E84" s="68"/>
      <c r="F84" s="69"/>
      <c r="G84" s="70"/>
      <c r="H84" s="71"/>
      <c r="I84" s="71"/>
      <c r="J84" s="72"/>
    </row>
    <row r="85" spans="1:10" s="10" customFormat="1" ht="15.6" customHeight="1" x14ac:dyDescent="0.15">
      <c r="A85" s="74"/>
      <c r="B85" s="101"/>
      <c r="C85" s="83" t="s">
        <v>68</v>
      </c>
      <c r="D85" s="93"/>
      <c r="E85" s="84"/>
      <c r="F85" s="79">
        <v>3</v>
      </c>
      <c r="G85" s="79" t="s">
        <v>69</v>
      </c>
      <c r="H85" s="81">
        <v>40000</v>
      </c>
      <c r="I85" s="81">
        <f>F85*H85</f>
        <v>120000</v>
      </c>
      <c r="J85" s="75"/>
    </row>
    <row r="86" spans="1:10" s="10" customFormat="1" ht="15.6" customHeight="1" x14ac:dyDescent="0.15">
      <c r="A86" s="74"/>
      <c r="B86" s="122"/>
      <c r="C86" s="82" t="s">
        <v>107</v>
      </c>
      <c r="D86" s="93"/>
      <c r="E86" s="84"/>
      <c r="F86" s="79">
        <v>350</v>
      </c>
      <c r="G86" s="79" t="s">
        <v>70</v>
      </c>
      <c r="H86" s="81">
        <v>8000</v>
      </c>
      <c r="I86" s="81">
        <f>F86*H86</f>
        <v>2800000</v>
      </c>
      <c r="J86" s="75"/>
    </row>
    <row r="87" spans="1:10" s="10" customFormat="1" ht="15.6" customHeight="1" x14ac:dyDescent="0.15">
      <c r="A87" s="74"/>
      <c r="B87" s="101"/>
      <c r="C87" s="83" t="s">
        <v>108</v>
      </c>
      <c r="D87" s="93"/>
      <c r="E87" s="84"/>
      <c r="F87" s="79">
        <v>100</v>
      </c>
      <c r="G87" s="79" t="s">
        <v>70</v>
      </c>
      <c r="H87" s="81">
        <v>3500</v>
      </c>
      <c r="I87" s="81">
        <f>F87*H87</f>
        <v>350000</v>
      </c>
      <c r="J87" s="75"/>
    </row>
    <row r="88" spans="1:10" s="10" customFormat="1" ht="15.6" customHeight="1" x14ac:dyDescent="0.15">
      <c r="A88" s="74"/>
      <c r="B88" s="101"/>
      <c r="C88" s="83" t="s">
        <v>150</v>
      </c>
      <c r="D88" s="83"/>
      <c r="E88" s="84"/>
      <c r="F88" s="79">
        <v>3</v>
      </c>
      <c r="G88" s="79" t="s">
        <v>71</v>
      </c>
      <c r="H88" s="81">
        <v>55000</v>
      </c>
      <c r="I88" s="81">
        <f>F88*H88</f>
        <v>165000</v>
      </c>
      <c r="J88" s="75"/>
    </row>
    <row r="89" spans="1:10" s="10" customFormat="1" ht="15.6" customHeight="1" x14ac:dyDescent="0.15">
      <c r="A89" s="73"/>
      <c r="B89" s="66" t="s">
        <v>163</v>
      </c>
      <c r="C89" s="67"/>
      <c r="D89" s="67"/>
      <c r="E89" s="68"/>
      <c r="F89" s="69"/>
      <c r="G89" s="70"/>
      <c r="H89" s="71"/>
      <c r="I89" s="71"/>
      <c r="J89" s="72"/>
    </row>
    <row r="90" spans="1:10" s="10" customFormat="1" ht="15.6" customHeight="1" x14ac:dyDescent="0.15">
      <c r="A90" s="74"/>
      <c r="B90" s="101"/>
      <c r="C90" s="83" t="s">
        <v>155</v>
      </c>
      <c r="D90" s="104"/>
      <c r="E90" s="105"/>
      <c r="F90" s="107">
        <v>300</v>
      </c>
      <c r="G90" s="107" t="s">
        <v>51</v>
      </c>
      <c r="H90" s="108">
        <v>10000</v>
      </c>
      <c r="I90" s="108">
        <f>H90*F90</f>
        <v>3000000</v>
      </c>
      <c r="J90" s="75"/>
    </row>
    <row r="91" spans="1:10" s="10" customFormat="1" ht="15.6" customHeight="1" x14ac:dyDescent="0.15">
      <c r="A91" s="95"/>
      <c r="B91" s="88" t="s">
        <v>164</v>
      </c>
      <c r="C91" s="134"/>
      <c r="D91" s="89"/>
      <c r="E91" s="90"/>
      <c r="F91" s="69"/>
      <c r="G91" s="70"/>
      <c r="H91" s="91"/>
      <c r="I91" s="71"/>
      <c r="J91" s="88"/>
    </row>
    <row r="92" spans="1:10" s="10" customFormat="1" ht="15.6" customHeight="1" x14ac:dyDescent="0.15">
      <c r="A92" s="96"/>
      <c r="B92" s="101"/>
      <c r="C92" s="83" t="s">
        <v>86</v>
      </c>
      <c r="D92" s="83"/>
      <c r="E92" s="84"/>
      <c r="F92" s="78">
        <v>3</v>
      </c>
      <c r="G92" s="79" t="s">
        <v>50</v>
      </c>
      <c r="H92" s="81">
        <v>500000</v>
      </c>
      <c r="I92" s="80">
        <f>H92*F92</f>
        <v>1500000</v>
      </c>
      <c r="J92" s="75"/>
    </row>
    <row r="93" spans="1:10" s="10" customFormat="1" ht="15.6" customHeight="1" x14ac:dyDescent="0.15">
      <c r="A93" s="96"/>
      <c r="B93" s="122"/>
      <c r="C93" s="82" t="s">
        <v>143</v>
      </c>
      <c r="D93" s="83"/>
      <c r="E93" s="84"/>
      <c r="F93" s="78">
        <v>3</v>
      </c>
      <c r="G93" s="79" t="s">
        <v>50</v>
      </c>
      <c r="H93" s="81">
        <v>100000</v>
      </c>
      <c r="I93" s="80">
        <f>H93*F93</f>
        <v>300000</v>
      </c>
      <c r="J93" s="75"/>
    </row>
    <row r="94" spans="1:10" s="10" customFormat="1" ht="15.6" customHeight="1" x14ac:dyDescent="0.15">
      <c r="A94" s="95"/>
      <c r="B94" s="88" t="s">
        <v>165</v>
      </c>
      <c r="C94" s="134"/>
      <c r="D94" s="89"/>
      <c r="E94" s="90"/>
      <c r="F94" s="69"/>
      <c r="G94" s="70"/>
      <c r="H94" s="91"/>
      <c r="I94" s="71"/>
      <c r="J94" s="88"/>
    </row>
    <row r="95" spans="1:10" s="10" customFormat="1" ht="15.6" customHeight="1" x14ac:dyDescent="0.15">
      <c r="A95" s="74"/>
      <c r="B95" s="101"/>
      <c r="C95" s="83" t="s">
        <v>87</v>
      </c>
      <c r="D95" s="100"/>
      <c r="E95" s="102"/>
      <c r="F95" s="78">
        <v>1</v>
      </c>
      <c r="G95" s="79" t="s">
        <v>63</v>
      </c>
      <c r="H95" s="80"/>
      <c r="I95" s="94">
        <v>500000</v>
      </c>
      <c r="J95" s="75"/>
    </row>
    <row r="96" spans="1:10" s="10" customFormat="1" ht="15.6" customHeight="1" x14ac:dyDescent="0.15">
      <c r="A96" s="74"/>
      <c r="B96" s="122"/>
      <c r="C96" s="82" t="s">
        <v>144</v>
      </c>
      <c r="D96" s="100"/>
      <c r="E96" s="102"/>
      <c r="F96" s="78">
        <v>1</v>
      </c>
      <c r="G96" s="79" t="s">
        <v>63</v>
      </c>
      <c r="H96" s="80"/>
      <c r="I96" s="94">
        <v>500000</v>
      </c>
      <c r="J96" s="75"/>
    </row>
    <row r="97" spans="1:10" s="10" customFormat="1" ht="15.6" customHeight="1" x14ac:dyDescent="0.15">
      <c r="A97" s="74"/>
      <c r="B97" s="101"/>
      <c r="C97" s="83" t="s">
        <v>151</v>
      </c>
      <c r="D97" s="93"/>
      <c r="E97" s="84"/>
      <c r="F97" s="79">
        <v>14</v>
      </c>
      <c r="G97" s="79" t="s">
        <v>70</v>
      </c>
      <c r="H97" s="101">
        <v>300000</v>
      </c>
      <c r="I97" s="81">
        <f>H97*F97</f>
        <v>4200000</v>
      </c>
      <c r="J97" s="75"/>
    </row>
    <row r="98" spans="1:10" s="10" customFormat="1" ht="15.6" customHeight="1" x14ac:dyDescent="0.15">
      <c r="A98" s="74"/>
      <c r="B98" s="122"/>
      <c r="C98" s="82" t="s">
        <v>145</v>
      </c>
      <c r="D98" s="93"/>
      <c r="E98" s="84"/>
      <c r="F98" s="79">
        <v>20</v>
      </c>
      <c r="G98" s="79" t="s">
        <v>70</v>
      </c>
      <c r="H98" s="101">
        <v>50000</v>
      </c>
      <c r="I98" s="81">
        <f t="shared" ref="I98:I104" si="0">H98*F98</f>
        <v>1000000</v>
      </c>
      <c r="J98" s="75"/>
    </row>
    <row r="99" spans="1:10" s="10" customFormat="1" ht="15.6" customHeight="1" x14ac:dyDescent="0.15">
      <c r="A99" s="74"/>
      <c r="B99" s="101"/>
      <c r="C99" s="83" t="s">
        <v>146</v>
      </c>
      <c r="D99" s="93"/>
      <c r="E99" s="84"/>
      <c r="F99" s="79">
        <v>30</v>
      </c>
      <c r="G99" s="79" t="s">
        <v>70</v>
      </c>
      <c r="H99" s="101">
        <v>3000</v>
      </c>
      <c r="I99" s="81">
        <f t="shared" si="0"/>
        <v>90000</v>
      </c>
      <c r="J99" s="75"/>
    </row>
    <row r="100" spans="1:10" s="10" customFormat="1" ht="15.6" customHeight="1" x14ac:dyDescent="0.15">
      <c r="A100" s="74"/>
      <c r="B100" s="122"/>
      <c r="C100" s="82" t="s">
        <v>147</v>
      </c>
      <c r="D100" s="93"/>
      <c r="E100" s="84"/>
      <c r="F100" s="79">
        <v>181</v>
      </c>
      <c r="G100" s="79" t="s">
        <v>70</v>
      </c>
      <c r="H100" s="101">
        <v>2000</v>
      </c>
      <c r="I100" s="81">
        <f t="shared" si="0"/>
        <v>362000</v>
      </c>
      <c r="J100" s="75"/>
    </row>
    <row r="101" spans="1:10" s="10" customFormat="1" ht="15.6" customHeight="1" x14ac:dyDescent="0.15">
      <c r="A101" s="74"/>
      <c r="B101" s="101"/>
      <c r="C101" s="83" t="s">
        <v>148</v>
      </c>
      <c r="D101" s="93"/>
      <c r="E101" s="84"/>
      <c r="F101" s="79">
        <v>20</v>
      </c>
      <c r="G101" s="79" t="s">
        <v>70</v>
      </c>
      <c r="H101" s="101">
        <v>4000</v>
      </c>
      <c r="I101" s="81">
        <f t="shared" si="0"/>
        <v>80000</v>
      </c>
      <c r="J101" s="75"/>
    </row>
    <row r="102" spans="1:10" s="10" customFormat="1" ht="15.6" customHeight="1" x14ac:dyDescent="0.15">
      <c r="A102" s="74"/>
      <c r="B102" s="122"/>
      <c r="C102" s="82" t="s">
        <v>68</v>
      </c>
      <c r="D102" s="93"/>
      <c r="E102" s="84"/>
      <c r="F102" s="79">
        <v>21</v>
      </c>
      <c r="G102" s="79" t="s">
        <v>88</v>
      </c>
      <c r="H102" s="101">
        <v>40000</v>
      </c>
      <c r="I102" s="81">
        <f t="shared" si="0"/>
        <v>840000</v>
      </c>
      <c r="J102" s="75"/>
    </row>
    <row r="103" spans="1:10" s="10" customFormat="1" ht="15.6" customHeight="1" x14ac:dyDescent="0.15">
      <c r="A103" s="74"/>
      <c r="B103" s="101"/>
      <c r="C103" s="83" t="s">
        <v>152</v>
      </c>
      <c r="D103" s="93"/>
      <c r="E103" s="84"/>
      <c r="F103" s="79">
        <v>32</v>
      </c>
      <c r="G103" s="79" t="s">
        <v>70</v>
      </c>
      <c r="H103" s="101">
        <v>6500</v>
      </c>
      <c r="I103" s="81">
        <f t="shared" si="0"/>
        <v>208000</v>
      </c>
      <c r="J103" s="75"/>
    </row>
    <row r="104" spans="1:10" s="10" customFormat="1" ht="15.6" customHeight="1" x14ac:dyDescent="0.15">
      <c r="A104" s="74"/>
      <c r="B104" s="122"/>
      <c r="C104" s="82" t="s">
        <v>149</v>
      </c>
      <c r="D104" s="93"/>
      <c r="E104" s="84"/>
      <c r="F104" s="79">
        <v>2</v>
      </c>
      <c r="G104" s="79" t="s">
        <v>70</v>
      </c>
      <c r="H104" s="101">
        <v>60000</v>
      </c>
      <c r="I104" s="81">
        <f t="shared" si="0"/>
        <v>120000</v>
      </c>
      <c r="J104" s="75"/>
    </row>
    <row r="105" spans="1:10" s="10" customFormat="1" ht="15.6" customHeight="1" x14ac:dyDescent="0.15">
      <c r="A105" s="74"/>
      <c r="B105" s="101"/>
      <c r="C105" s="83" t="s">
        <v>153</v>
      </c>
      <c r="D105" s="93"/>
      <c r="E105" s="84"/>
      <c r="F105" s="79">
        <v>250</v>
      </c>
      <c r="G105" s="79" t="s">
        <v>63</v>
      </c>
      <c r="H105" s="81">
        <v>3000</v>
      </c>
      <c r="I105" s="81">
        <v>750000</v>
      </c>
      <c r="J105" s="75"/>
    </row>
    <row r="106" spans="1:10" s="10" customFormat="1" ht="15.6" customHeight="1" x14ac:dyDescent="0.15">
      <c r="A106" s="74"/>
      <c r="B106" s="122"/>
      <c r="C106" s="82" t="s">
        <v>131</v>
      </c>
      <c r="D106" s="83"/>
      <c r="E106" s="84"/>
      <c r="F106" s="78">
        <v>1</v>
      </c>
      <c r="G106" s="79" t="s">
        <v>48</v>
      </c>
      <c r="H106" s="81"/>
      <c r="I106" s="94">
        <v>100000</v>
      </c>
      <c r="J106" s="75"/>
    </row>
    <row r="107" spans="1:10" s="10" customFormat="1" ht="15.6" customHeight="1" x14ac:dyDescent="0.15">
      <c r="A107" s="95"/>
      <c r="B107" s="124" t="s">
        <v>166</v>
      </c>
      <c r="C107" s="134"/>
      <c r="D107" s="89"/>
      <c r="E107" s="90"/>
      <c r="F107" s="78"/>
      <c r="G107" s="79"/>
      <c r="H107" s="81"/>
      <c r="I107" s="94"/>
      <c r="J107" s="75"/>
    </row>
    <row r="108" spans="1:10" s="10" customFormat="1" ht="15.6" customHeight="1" x14ac:dyDescent="0.15">
      <c r="A108" s="95"/>
      <c r="B108" s="101"/>
      <c r="C108" s="83" t="s">
        <v>91</v>
      </c>
      <c r="D108" s="76"/>
      <c r="E108" s="77"/>
      <c r="F108" s="78">
        <v>1</v>
      </c>
      <c r="G108" s="79" t="s">
        <v>92</v>
      </c>
      <c r="H108" s="80"/>
      <c r="I108" s="80">
        <v>1250000</v>
      </c>
      <c r="J108" s="72"/>
    </row>
    <row r="109" spans="1:10" s="10" customFormat="1" ht="15.6" customHeight="1" x14ac:dyDescent="0.15">
      <c r="A109" s="95"/>
      <c r="B109" s="88" t="s">
        <v>167</v>
      </c>
      <c r="C109" s="134"/>
      <c r="D109" s="89"/>
      <c r="E109" s="90"/>
      <c r="F109" s="69"/>
      <c r="G109" s="79"/>
      <c r="H109" s="81"/>
      <c r="I109" s="81"/>
      <c r="J109" s="75"/>
    </row>
    <row r="110" spans="1:10" s="10" customFormat="1" ht="15.6" customHeight="1" x14ac:dyDescent="0.15">
      <c r="A110" s="95"/>
      <c r="B110" s="101"/>
      <c r="C110" s="83" t="s">
        <v>68</v>
      </c>
      <c r="D110" s="93"/>
      <c r="E110" s="84"/>
      <c r="F110" s="79">
        <v>3</v>
      </c>
      <c r="G110" s="79" t="s">
        <v>69</v>
      </c>
      <c r="H110" s="81">
        <v>40000</v>
      </c>
      <c r="I110" s="81">
        <f>F110*H110</f>
        <v>120000</v>
      </c>
      <c r="J110" s="75"/>
    </row>
    <row r="111" spans="1:10" s="10" customFormat="1" ht="15.6" customHeight="1" x14ac:dyDescent="0.15">
      <c r="A111" s="95"/>
      <c r="B111" s="122"/>
      <c r="C111" s="82" t="s">
        <v>107</v>
      </c>
      <c r="D111" s="93"/>
      <c r="E111" s="84"/>
      <c r="F111" s="79">
        <v>350</v>
      </c>
      <c r="G111" s="79" t="s">
        <v>70</v>
      </c>
      <c r="H111" s="81">
        <v>8000</v>
      </c>
      <c r="I111" s="81">
        <f>F111*H111</f>
        <v>2800000</v>
      </c>
      <c r="J111" s="75"/>
    </row>
    <row r="112" spans="1:10" s="10" customFormat="1" ht="15.6" customHeight="1" x14ac:dyDescent="0.15">
      <c r="A112" s="95"/>
      <c r="B112" s="101"/>
      <c r="C112" s="83" t="s">
        <v>108</v>
      </c>
      <c r="D112" s="93"/>
      <c r="E112" s="84"/>
      <c r="F112" s="79">
        <v>100</v>
      </c>
      <c r="G112" s="79" t="s">
        <v>70</v>
      </c>
      <c r="H112" s="81">
        <v>3500</v>
      </c>
      <c r="I112" s="81">
        <f>F112*H112</f>
        <v>350000</v>
      </c>
      <c r="J112" s="75"/>
    </row>
    <row r="113" spans="1:12" s="10" customFormat="1" ht="15.6" customHeight="1" x14ac:dyDescent="0.15">
      <c r="A113" s="95"/>
      <c r="B113" s="122"/>
      <c r="C113" s="82" t="s">
        <v>150</v>
      </c>
      <c r="D113" s="83"/>
      <c r="E113" s="84"/>
      <c r="F113" s="79">
        <v>3</v>
      </c>
      <c r="G113" s="79" t="s">
        <v>71</v>
      </c>
      <c r="H113" s="81">
        <v>55000</v>
      </c>
      <c r="I113" s="81">
        <f>F113*H113</f>
        <v>165000</v>
      </c>
      <c r="J113" s="75"/>
    </row>
    <row r="114" spans="1:12" s="10" customFormat="1" ht="15.6" customHeight="1" x14ac:dyDescent="0.15">
      <c r="A114" s="95"/>
      <c r="B114" s="88" t="s">
        <v>187</v>
      </c>
      <c r="C114" s="134"/>
      <c r="D114" s="89"/>
      <c r="E114" s="90"/>
      <c r="F114" s="69"/>
      <c r="G114" s="70"/>
      <c r="H114" s="91"/>
      <c r="I114" s="71"/>
      <c r="J114" s="88"/>
    </row>
    <row r="115" spans="1:12" s="10" customFormat="1" ht="15.6" customHeight="1" x14ac:dyDescent="0.15">
      <c r="A115" s="74"/>
      <c r="B115" s="101"/>
      <c r="C115" s="83" t="s">
        <v>94</v>
      </c>
      <c r="D115" s="97"/>
      <c r="E115" s="97"/>
      <c r="F115" s="79">
        <v>40</v>
      </c>
      <c r="G115" s="79" t="s">
        <v>57</v>
      </c>
      <c r="H115" s="81">
        <v>25000</v>
      </c>
      <c r="I115" s="94">
        <f>H115*F115</f>
        <v>1000000</v>
      </c>
      <c r="J115" s="75"/>
    </row>
    <row r="116" spans="1:12" s="10" customFormat="1" ht="15.6" customHeight="1" x14ac:dyDescent="0.15">
      <c r="A116" s="74"/>
      <c r="B116" s="122"/>
      <c r="C116" s="82" t="s">
        <v>95</v>
      </c>
      <c r="D116" s="97"/>
      <c r="E116" s="97"/>
      <c r="F116" s="79">
        <v>1</v>
      </c>
      <c r="G116" s="79" t="s">
        <v>48</v>
      </c>
      <c r="H116" s="81"/>
      <c r="I116" s="81">
        <v>300000</v>
      </c>
      <c r="J116" s="75"/>
    </row>
    <row r="117" spans="1:12" ht="24.95" customHeight="1" x14ac:dyDescent="0.15">
      <c r="A117" s="165"/>
      <c r="B117" s="166" t="s">
        <v>188</v>
      </c>
      <c r="C117" s="167"/>
      <c r="D117" s="167"/>
      <c r="E117" s="167"/>
      <c r="F117" s="167"/>
      <c r="G117" s="167"/>
      <c r="H117" s="168"/>
      <c r="I117" s="152">
        <f>SUM(I29:I116)</f>
        <v>58960000</v>
      </c>
      <c r="J117" s="103"/>
    </row>
    <row r="118" spans="1:12" ht="24.95" customHeight="1" x14ac:dyDescent="0.15">
      <c r="A118" s="137" t="s">
        <v>65</v>
      </c>
      <c r="B118" s="138" t="s">
        <v>140</v>
      </c>
      <c r="C118" s="140"/>
      <c r="D118" s="141"/>
      <c r="E118" s="142"/>
      <c r="F118" s="143"/>
      <c r="G118" s="144"/>
      <c r="H118" s="145"/>
      <c r="I118" s="143"/>
      <c r="J118" s="146"/>
    </row>
    <row r="119" spans="1:12" s="10" customFormat="1" ht="15.6" customHeight="1" x14ac:dyDescent="0.15">
      <c r="A119" s="74"/>
      <c r="B119" s="66" t="s">
        <v>97</v>
      </c>
      <c r="C119" s="82"/>
      <c r="D119" s="83"/>
      <c r="E119" s="84"/>
      <c r="F119" s="78"/>
      <c r="G119" s="79"/>
      <c r="H119" s="81"/>
      <c r="I119" s="80"/>
      <c r="J119" s="75"/>
    </row>
    <row r="120" spans="1:12" s="10" customFormat="1" ht="15.6" customHeight="1" x14ac:dyDescent="0.15">
      <c r="A120" s="74"/>
      <c r="B120" s="122"/>
      <c r="C120" s="82" t="s">
        <v>54</v>
      </c>
      <c r="D120" s="83"/>
      <c r="E120" s="84"/>
      <c r="F120" s="78">
        <v>6</v>
      </c>
      <c r="G120" s="79" t="s">
        <v>55</v>
      </c>
      <c r="H120" s="81">
        <v>250000</v>
      </c>
      <c r="I120" s="80">
        <f>H120*F120</f>
        <v>1500000</v>
      </c>
      <c r="J120" s="135" t="s">
        <v>183</v>
      </c>
      <c r="K120" s="136"/>
      <c r="L120" s="136"/>
    </row>
    <row r="121" spans="1:12" s="10" customFormat="1" ht="15.6" customHeight="1" x14ac:dyDescent="0.15">
      <c r="A121" s="74"/>
      <c r="B121" s="66" t="s">
        <v>98</v>
      </c>
      <c r="C121" s="82"/>
      <c r="D121" s="83"/>
      <c r="E121" s="84"/>
      <c r="F121" s="78"/>
      <c r="G121" s="79"/>
      <c r="H121" s="81"/>
      <c r="I121" s="80"/>
      <c r="J121" s="85"/>
    </row>
    <row r="122" spans="1:12" s="10" customFormat="1" ht="15.6" customHeight="1" x14ac:dyDescent="0.15">
      <c r="A122" s="74"/>
      <c r="B122" s="122"/>
      <c r="C122" s="82" t="s">
        <v>56</v>
      </c>
      <c r="D122" s="83"/>
      <c r="E122" s="84"/>
      <c r="F122" s="78">
        <v>3</v>
      </c>
      <c r="G122" s="79" t="s">
        <v>55</v>
      </c>
      <c r="H122" s="81">
        <v>250000</v>
      </c>
      <c r="I122" s="80">
        <f>H122*F122</f>
        <v>750000</v>
      </c>
      <c r="J122" s="135" t="s">
        <v>170</v>
      </c>
    </row>
    <row r="123" spans="1:12" s="10" customFormat="1" ht="15.6" customHeight="1" x14ac:dyDescent="0.15">
      <c r="A123" s="74"/>
      <c r="B123" s="66" t="s">
        <v>99</v>
      </c>
      <c r="C123" s="82"/>
      <c r="D123" s="83"/>
      <c r="E123" s="84"/>
      <c r="F123" s="78"/>
      <c r="G123" s="79"/>
      <c r="H123" s="81"/>
      <c r="I123" s="80"/>
      <c r="J123" s="85"/>
    </row>
    <row r="124" spans="1:12" s="10" customFormat="1" ht="15.6" customHeight="1" x14ac:dyDescent="0.15">
      <c r="A124" s="74"/>
      <c r="B124" s="122"/>
      <c r="C124" s="82" t="s">
        <v>58</v>
      </c>
      <c r="D124" s="83"/>
      <c r="E124" s="84"/>
      <c r="F124" s="78">
        <v>8</v>
      </c>
      <c r="G124" s="79" t="s">
        <v>55</v>
      </c>
      <c r="H124" s="81">
        <v>250000</v>
      </c>
      <c r="I124" s="80">
        <f>H124*F124</f>
        <v>2000000</v>
      </c>
      <c r="J124" s="135" t="s">
        <v>177</v>
      </c>
    </row>
    <row r="125" spans="1:12" s="10" customFormat="1" ht="15.6" customHeight="1" x14ac:dyDescent="0.15">
      <c r="A125" s="74"/>
      <c r="B125" s="66" t="s">
        <v>100</v>
      </c>
      <c r="C125" s="82"/>
      <c r="D125" s="83"/>
      <c r="E125" s="84"/>
      <c r="F125" s="78"/>
      <c r="G125" s="79"/>
      <c r="H125" s="81"/>
      <c r="I125" s="80"/>
      <c r="J125" s="75"/>
    </row>
    <row r="126" spans="1:12" s="10" customFormat="1" ht="15.6" customHeight="1" x14ac:dyDescent="0.15">
      <c r="A126" s="74"/>
      <c r="B126" s="122"/>
      <c r="C126" s="82" t="s">
        <v>54</v>
      </c>
      <c r="D126" s="83"/>
      <c r="E126" s="84"/>
      <c r="F126" s="78">
        <v>8</v>
      </c>
      <c r="G126" s="79" t="s">
        <v>62</v>
      </c>
      <c r="H126" s="81">
        <v>250000</v>
      </c>
      <c r="I126" s="80">
        <f>H126*F126</f>
        <v>2000000</v>
      </c>
      <c r="J126" s="135" t="s">
        <v>177</v>
      </c>
    </row>
    <row r="127" spans="1:12" s="10" customFormat="1" ht="15.6" customHeight="1" x14ac:dyDescent="0.15">
      <c r="A127" s="74"/>
      <c r="B127" s="66" t="s">
        <v>104</v>
      </c>
      <c r="C127" s="82"/>
      <c r="D127" s="83"/>
      <c r="E127" s="84"/>
      <c r="F127" s="78"/>
      <c r="G127" s="79"/>
      <c r="H127" s="81"/>
      <c r="I127" s="80"/>
      <c r="J127" s="75"/>
    </row>
    <row r="128" spans="1:12" s="10" customFormat="1" ht="15.6" customHeight="1" x14ac:dyDescent="0.15">
      <c r="A128" s="74"/>
      <c r="B128" s="122"/>
      <c r="C128" s="82" t="s">
        <v>64</v>
      </c>
      <c r="D128" s="83"/>
      <c r="E128" s="84"/>
      <c r="F128" s="78">
        <v>6</v>
      </c>
      <c r="G128" s="79" t="s">
        <v>62</v>
      </c>
      <c r="H128" s="81">
        <v>250000</v>
      </c>
      <c r="I128" s="81">
        <f>F128*H128</f>
        <v>1500000</v>
      </c>
      <c r="J128" s="135" t="s">
        <v>172</v>
      </c>
    </row>
    <row r="129" spans="1:10" s="10" customFormat="1" ht="15.6" customHeight="1" x14ac:dyDescent="0.15">
      <c r="A129" s="74"/>
      <c r="B129" s="88" t="s">
        <v>105</v>
      </c>
      <c r="C129" s="82"/>
      <c r="D129" s="83"/>
      <c r="E129" s="84"/>
      <c r="F129" s="78"/>
      <c r="G129" s="79"/>
      <c r="H129" s="81"/>
      <c r="I129" s="80"/>
      <c r="J129" s="75"/>
    </row>
    <row r="130" spans="1:10" s="10" customFormat="1" ht="15.6" customHeight="1" x14ac:dyDescent="0.15">
      <c r="A130" s="74"/>
      <c r="B130" s="122"/>
      <c r="C130" s="82" t="s">
        <v>54</v>
      </c>
      <c r="D130" s="83"/>
      <c r="E130" s="84"/>
      <c r="F130" s="78">
        <v>10</v>
      </c>
      <c r="G130" s="79" t="s">
        <v>62</v>
      </c>
      <c r="H130" s="81">
        <v>250000</v>
      </c>
      <c r="I130" s="81">
        <f>F130*H130</f>
        <v>2500000</v>
      </c>
      <c r="J130" s="135" t="s">
        <v>173</v>
      </c>
    </row>
    <row r="131" spans="1:10" s="10" customFormat="1" ht="15.6" customHeight="1" x14ac:dyDescent="0.15">
      <c r="A131" s="87"/>
      <c r="B131" s="88" t="s">
        <v>106</v>
      </c>
      <c r="C131" s="134"/>
      <c r="D131" s="89"/>
      <c r="E131" s="90"/>
      <c r="F131" s="69"/>
      <c r="G131" s="70"/>
      <c r="H131" s="91"/>
      <c r="I131" s="71"/>
      <c r="J131" s="88"/>
    </row>
    <row r="132" spans="1:10" s="10" customFormat="1" ht="15.6" customHeight="1" x14ac:dyDescent="0.15">
      <c r="A132" s="74"/>
      <c r="B132" s="122"/>
      <c r="C132" s="82" t="s">
        <v>74</v>
      </c>
      <c r="D132" s="93"/>
      <c r="E132" s="84"/>
      <c r="F132" s="79">
        <v>8</v>
      </c>
      <c r="G132" s="79" t="s">
        <v>62</v>
      </c>
      <c r="H132" s="81">
        <v>250000</v>
      </c>
      <c r="I132" s="81">
        <f>F132*H132</f>
        <v>2000000</v>
      </c>
      <c r="J132" s="75" t="s">
        <v>177</v>
      </c>
    </row>
    <row r="133" spans="1:10" s="10" customFormat="1" ht="15.6" customHeight="1" x14ac:dyDescent="0.15">
      <c r="A133" s="74"/>
      <c r="B133" s="122"/>
      <c r="C133" s="82" t="s">
        <v>75</v>
      </c>
      <c r="D133" s="93"/>
      <c r="E133" s="84"/>
      <c r="F133" s="79">
        <v>16</v>
      </c>
      <c r="G133" s="79" t="s">
        <v>62</v>
      </c>
      <c r="H133" s="81">
        <v>500000</v>
      </c>
      <c r="I133" s="81">
        <f>F133*H133</f>
        <v>8000000</v>
      </c>
      <c r="J133" s="75" t="s">
        <v>171</v>
      </c>
    </row>
    <row r="134" spans="1:10" s="10" customFormat="1" ht="15.6" customHeight="1" x14ac:dyDescent="0.15">
      <c r="A134" s="74"/>
      <c r="B134" s="122"/>
      <c r="C134" s="82" t="s">
        <v>76</v>
      </c>
      <c r="D134" s="93"/>
      <c r="E134" s="84"/>
      <c r="F134" s="79">
        <v>8</v>
      </c>
      <c r="G134" s="79" t="s">
        <v>62</v>
      </c>
      <c r="H134" s="81">
        <v>250000</v>
      </c>
      <c r="I134" s="81">
        <f>F134*H134</f>
        <v>2000000</v>
      </c>
      <c r="J134" s="75" t="s">
        <v>177</v>
      </c>
    </row>
    <row r="135" spans="1:10" s="10" customFormat="1" ht="15.6" customHeight="1" x14ac:dyDescent="0.15">
      <c r="A135" s="74"/>
      <c r="B135" s="88" t="s">
        <v>111</v>
      </c>
      <c r="C135" s="82"/>
      <c r="D135" s="83"/>
      <c r="E135" s="84"/>
      <c r="F135" s="78"/>
      <c r="G135" s="79"/>
      <c r="H135" s="81"/>
      <c r="I135" s="80"/>
      <c r="J135" s="75"/>
    </row>
    <row r="136" spans="1:10" s="10" customFormat="1" ht="15.6" customHeight="1" x14ac:dyDescent="0.15">
      <c r="A136" s="74"/>
      <c r="B136" s="122"/>
      <c r="C136" s="82" t="s">
        <v>58</v>
      </c>
      <c r="D136" s="83"/>
      <c r="E136" s="84"/>
      <c r="F136" s="78">
        <v>6</v>
      </c>
      <c r="G136" s="79" t="s">
        <v>62</v>
      </c>
      <c r="H136" s="81">
        <v>250000</v>
      </c>
      <c r="I136" s="81">
        <f>F136*H136</f>
        <v>1500000</v>
      </c>
      <c r="J136" s="135" t="s">
        <v>174</v>
      </c>
    </row>
    <row r="137" spans="1:10" s="10" customFormat="1" ht="15.6" customHeight="1" x14ac:dyDescent="0.15">
      <c r="A137" s="96"/>
      <c r="B137" s="88" t="s">
        <v>113</v>
      </c>
      <c r="C137" s="82"/>
      <c r="D137" s="83"/>
      <c r="E137" s="84"/>
      <c r="F137" s="78"/>
      <c r="G137" s="79"/>
      <c r="H137" s="81"/>
      <c r="I137" s="80"/>
      <c r="J137" s="75"/>
    </row>
    <row r="138" spans="1:10" s="10" customFormat="1" ht="15.6" customHeight="1" x14ac:dyDescent="0.15">
      <c r="A138" s="96"/>
      <c r="B138" s="122"/>
      <c r="C138" s="82" t="s">
        <v>54</v>
      </c>
      <c r="D138" s="83"/>
      <c r="E138" s="84"/>
      <c r="F138" s="78">
        <v>5</v>
      </c>
      <c r="G138" s="79" t="s">
        <v>62</v>
      </c>
      <c r="H138" s="81">
        <v>250000</v>
      </c>
      <c r="I138" s="80">
        <f>H138*F138</f>
        <v>1250000</v>
      </c>
      <c r="J138" s="135" t="s">
        <v>180</v>
      </c>
    </row>
    <row r="139" spans="1:10" s="10" customFormat="1" ht="15.6" customHeight="1" x14ac:dyDescent="0.15">
      <c r="A139" s="74"/>
      <c r="B139" s="88" t="s">
        <v>115</v>
      </c>
      <c r="C139" s="82"/>
      <c r="D139" s="83"/>
      <c r="E139" s="84"/>
      <c r="F139" s="78"/>
      <c r="G139" s="79"/>
      <c r="H139" s="81"/>
      <c r="I139" s="80"/>
      <c r="J139" s="75"/>
    </row>
    <row r="140" spans="1:10" s="10" customFormat="1" ht="15.6" customHeight="1" x14ac:dyDescent="0.15">
      <c r="A140" s="74"/>
      <c r="B140" s="122"/>
      <c r="C140" s="82" t="s">
        <v>54</v>
      </c>
      <c r="D140" s="83"/>
      <c r="E140" s="84"/>
      <c r="F140" s="78">
        <v>3</v>
      </c>
      <c r="G140" s="79" t="s">
        <v>62</v>
      </c>
      <c r="H140" s="81">
        <v>250000</v>
      </c>
      <c r="I140" s="80">
        <f>H140*F140</f>
        <v>750000</v>
      </c>
      <c r="J140" s="75" t="s">
        <v>170</v>
      </c>
    </row>
    <row r="141" spans="1:10" s="10" customFormat="1" ht="15.6" customHeight="1" x14ac:dyDescent="0.15">
      <c r="A141" s="74"/>
      <c r="B141" s="66" t="s">
        <v>116</v>
      </c>
      <c r="C141" s="82"/>
      <c r="D141" s="83"/>
      <c r="E141" s="84"/>
      <c r="F141" s="78"/>
      <c r="G141" s="79"/>
      <c r="H141" s="81"/>
      <c r="I141" s="80"/>
      <c r="J141" s="75"/>
    </row>
    <row r="142" spans="1:10" s="10" customFormat="1" ht="15.6" customHeight="1" x14ac:dyDescent="0.15">
      <c r="A142" s="74"/>
      <c r="B142" s="122"/>
      <c r="C142" s="82" t="s">
        <v>58</v>
      </c>
      <c r="D142" s="83"/>
      <c r="E142" s="84"/>
      <c r="F142" s="78">
        <v>8</v>
      </c>
      <c r="G142" s="79" t="s">
        <v>55</v>
      </c>
      <c r="H142" s="81">
        <v>250000</v>
      </c>
      <c r="I142" s="80">
        <f>H142*F142</f>
        <v>2000000</v>
      </c>
      <c r="J142" s="135" t="s">
        <v>177</v>
      </c>
    </row>
    <row r="143" spans="1:10" s="10" customFormat="1" ht="15.6" customHeight="1" x14ac:dyDescent="0.15">
      <c r="A143" s="74"/>
      <c r="B143" s="66" t="s">
        <v>117</v>
      </c>
      <c r="C143" s="82"/>
      <c r="D143" s="83"/>
      <c r="E143" s="84"/>
      <c r="F143" s="78"/>
      <c r="G143" s="79"/>
      <c r="H143" s="81"/>
      <c r="I143" s="80"/>
      <c r="J143" s="75"/>
    </row>
    <row r="144" spans="1:10" s="10" customFormat="1" ht="15.6" customHeight="1" x14ac:dyDescent="0.15">
      <c r="A144" s="74"/>
      <c r="B144" s="122"/>
      <c r="C144" s="82" t="s">
        <v>56</v>
      </c>
      <c r="D144" s="83"/>
      <c r="E144" s="84"/>
      <c r="F144" s="78">
        <v>15</v>
      </c>
      <c r="G144" s="79" t="s">
        <v>55</v>
      </c>
      <c r="H144" s="81">
        <v>250000</v>
      </c>
      <c r="I144" s="80">
        <f>H144*F144</f>
        <v>3750000</v>
      </c>
      <c r="J144" s="75" t="s">
        <v>175</v>
      </c>
    </row>
    <row r="145" spans="1:10" s="10" customFormat="1" ht="15.6" customHeight="1" x14ac:dyDescent="0.15">
      <c r="A145" s="74"/>
      <c r="B145" s="66" t="s">
        <v>118</v>
      </c>
      <c r="C145" s="82"/>
      <c r="D145" s="83"/>
      <c r="E145" s="84"/>
      <c r="F145" s="78"/>
      <c r="G145" s="79"/>
      <c r="H145" s="81"/>
      <c r="I145" s="80"/>
      <c r="J145" s="75"/>
    </row>
    <row r="146" spans="1:10" s="10" customFormat="1" ht="15.6" customHeight="1" x14ac:dyDescent="0.15">
      <c r="A146" s="74"/>
      <c r="B146" s="122"/>
      <c r="C146" s="82" t="s">
        <v>64</v>
      </c>
      <c r="D146" s="83"/>
      <c r="E146" s="84"/>
      <c r="F146" s="78">
        <v>15</v>
      </c>
      <c r="G146" s="79" t="s">
        <v>62</v>
      </c>
      <c r="H146" s="81">
        <v>250000</v>
      </c>
      <c r="I146" s="81">
        <f>F146*H146</f>
        <v>3750000</v>
      </c>
      <c r="J146" s="75" t="s">
        <v>175</v>
      </c>
    </row>
    <row r="147" spans="1:10" s="10" customFormat="1" ht="15.6" customHeight="1" x14ac:dyDescent="0.15">
      <c r="A147" s="74"/>
      <c r="B147" s="66" t="s">
        <v>119</v>
      </c>
      <c r="C147" s="82"/>
      <c r="D147" s="83"/>
      <c r="E147" s="84"/>
      <c r="F147" s="78"/>
      <c r="G147" s="79"/>
      <c r="H147" s="81"/>
      <c r="I147" s="80"/>
      <c r="J147" s="85"/>
    </row>
    <row r="148" spans="1:10" s="10" customFormat="1" ht="15.6" customHeight="1" x14ac:dyDescent="0.15">
      <c r="A148" s="74"/>
      <c r="B148" s="122"/>
      <c r="C148" s="82" t="s">
        <v>54</v>
      </c>
      <c r="D148" s="83"/>
      <c r="E148" s="84"/>
      <c r="F148" s="78">
        <v>20</v>
      </c>
      <c r="G148" s="79" t="s">
        <v>62</v>
      </c>
      <c r="H148" s="81">
        <v>250000</v>
      </c>
      <c r="I148" s="80">
        <f>H148*F148</f>
        <v>5000000</v>
      </c>
      <c r="J148" s="75" t="s">
        <v>176</v>
      </c>
    </row>
    <row r="149" spans="1:10" s="10" customFormat="1" ht="15.6" customHeight="1" x14ac:dyDescent="0.15">
      <c r="A149" s="74"/>
      <c r="B149" s="66" t="s">
        <v>121</v>
      </c>
      <c r="C149" s="76"/>
      <c r="D149" s="76"/>
      <c r="E149" s="77"/>
      <c r="F149" s="78"/>
      <c r="G149" s="79"/>
      <c r="H149" s="80"/>
      <c r="I149" s="94"/>
      <c r="J149" s="75"/>
    </row>
    <row r="150" spans="1:10" s="10" customFormat="1" ht="15.6" customHeight="1" x14ac:dyDescent="0.15">
      <c r="A150" s="74"/>
      <c r="B150" s="122"/>
      <c r="C150" s="82" t="s">
        <v>74</v>
      </c>
      <c r="D150" s="93"/>
      <c r="E150" s="84"/>
      <c r="F150" s="79">
        <v>6</v>
      </c>
      <c r="G150" s="79" t="s">
        <v>62</v>
      </c>
      <c r="H150" s="81">
        <v>250000</v>
      </c>
      <c r="I150" s="81">
        <f>F150*H150</f>
        <v>1500000</v>
      </c>
      <c r="J150" s="75" t="s">
        <v>178</v>
      </c>
    </row>
    <row r="151" spans="1:10" s="10" customFormat="1" ht="15.6" customHeight="1" x14ac:dyDescent="0.15">
      <c r="A151" s="74"/>
      <c r="B151" s="122"/>
      <c r="C151" s="82" t="s">
        <v>75</v>
      </c>
      <c r="D151" s="93"/>
      <c r="E151" s="84"/>
      <c r="F151" s="79">
        <v>10</v>
      </c>
      <c r="G151" s="79" t="s">
        <v>62</v>
      </c>
      <c r="H151" s="81">
        <v>500000</v>
      </c>
      <c r="I151" s="81">
        <f>F151*H151</f>
        <v>5000000</v>
      </c>
      <c r="J151" s="75" t="s">
        <v>173</v>
      </c>
    </row>
    <row r="152" spans="1:10" s="10" customFormat="1" ht="15.6" customHeight="1" x14ac:dyDescent="0.15">
      <c r="A152" s="74"/>
      <c r="B152" s="122"/>
      <c r="C152" s="82" t="s">
        <v>76</v>
      </c>
      <c r="D152" s="93"/>
      <c r="E152" s="84"/>
      <c r="F152" s="79">
        <v>3</v>
      </c>
      <c r="G152" s="79" t="s">
        <v>62</v>
      </c>
      <c r="H152" s="81">
        <v>250000</v>
      </c>
      <c r="I152" s="81">
        <f>F152*H152</f>
        <v>750000</v>
      </c>
      <c r="J152" s="135" t="s">
        <v>170</v>
      </c>
    </row>
    <row r="153" spans="1:10" s="10" customFormat="1" ht="15.6" customHeight="1" x14ac:dyDescent="0.15">
      <c r="A153" s="74"/>
      <c r="B153" s="66" t="s">
        <v>124</v>
      </c>
      <c r="C153" s="82"/>
      <c r="D153" s="83"/>
      <c r="E153" s="84"/>
      <c r="F153" s="78"/>
      <c r="G153" s="79"/>
      <c r="H153" s="81"/>
      <c r="I153" s="80"/>
      <c r="J153" s="75"/>
    </row>
    <row r="154" spans="1:10" s="10" customFormat="1" ht="15.6" customHeight="1" x14ac:dyDescent="0.15">
      <c r="A154" s="74"/>
      <c r="B154" s="122"/>
      <c r="C154" s="82" t="s">
        <v>54</v>
      </c>
      <c r="D154" s="104"/>
      <c r="E154" s="105"/>
      <c r="F154" s="106">
        <v>8</v>
      </c>
      <c r="G154" s="107" t="s">
        <v>62</v>
      </c>
      <c r="H154" s="108">
        <v>250000</v>
      </c>
      <c r="I154" s="109">
        <f>H154*F154</f>
        <v>2000000</v>
      </c>
      <c r="J154" s="75" t="s">
        <v>177</v>
      </c>
    </row>
    <row r="155" spans="1:10" s="10" customFormat="1" ht="15.6" customHeight="1" x14ac:dyDescent="0.15">
      <c r="A155" s="74"/>
      <c r="B155" s="122"/>
      <c r="C155" s="82" t="s">
        <v>125</v>
      </c>
      <c r="D155" s="104"/>
      <c r="E155" s="105"/>
      <c r="F155" s="106"/>
      <c r="G155" s="107"/>
      <c r="H155" s="108"/>
      <c r="I155" s="109">
        <v>1000000</v>
      </c>
      <c r="J155" s="117"/>
    </row>
    <row r="156" spans="1:10" s="10" customFormat="1" ht="15.6" customHeight="1" x14ac:dyDescent="0.15">
      <c r="A156" s="74"/>
      <c r="B156" s="66" t="s">
        <v>161</v>
      </c>
      <c r="C156" s="82"/>
      <c r="D156" s="83"/>
      <c r="E156" s="84"/>
      <c r="F156" s="78"/>
      <c r="G156" s="79"/>
      <c r="H156" s="81"/>
      <c r="I156" s="80"/>
      <c r="J156" s="75"/>
    </row>
    <row r="157" spans="1:10" s="10" customFormat="1" ht="15.6" customHeight="1" x14ac:dyDescent="0.15">
      <c r="A157" s="74"/>
      <c r="B157" s="122"/>
      <c r="C157" s="82" t="s">
        <v>54</v>
      </c>
      <c r="D157" s="83"/>
      <c r="E157" s="84"/>
      <c r="F157" s="78">
        <v>4</v>
      </c>
      <c r="G157" s="79" t="s">
        <v>55</v>
      </c>
      <c r="H157" s="81">
        <v>250000</v>
      </c>
      <c r="I157" s="80">
        <f>H157*F157</f>
        <v>1000000</v>
      </c>
      <c r="J157" s="75" t="s">
        <v>179</v>
      </c>
    </row>
    <row r="158" spans="1:10" s="10" customFormat="1" ht="15.6" customHeight="1" x14ac:dyDescent="0.15">
      <c r="A158" s="74"/>
      <c r="B158" s="120" t="s">
        <v>160</v>
      </c>
      <c r="C158" s="121"/>
      <c r="D158" s="104"/>
      <c r="E158" s="105"/>
      <c r="F158" s="106"/>
      <c r="G158" s="107"/>
      <c r="H158" s="108"/>
      <c r="I158" s="109"/>
      <c r="J158" s="85"/>
    </row>
    <row r="159" spans="1:10" s="10" customFormat="1" ht="15.6" customHeight="1" x14ac:dyDescent="0.15">
      <c r="A159" s="74"/>
      <c r="B159" s="122"/>
      <c r="C159" s="82" t="s">
        <v>85</v>
      </c>
      <c r="D159" s="104"/>
      <c r="E159" s="105"/>
      <c r="F159" s="106">
        <v>3</v>
      </c>
      <c r="G159" s="107" t="s">
        <v>55</v>
      </c>
      <c r="H159" s="108">
        <v>250000</v>
      </c>
      <c r="I159" s="109">
        <f>H159*F159</f>
        <v>750000</v>
      </c>
      <c r="J159" s="75" t="s">
        <v>170</v>
      </c>
    </row>
    <row r="160" spans="1:10" s="10" customFormat="1" ht="15.6" customHeight="1" x14ac:dyDescent="0.15">
      <c r="A160" s="74"/>
      <c r="B160" s="122"/>
      <c r="C160" s="82" t="s">
        <v>54</v>
      </c>
      <c r="D160" s="104"/>
      <c r="E160" s="105"/>
      <c r="F160" s="106">
        <v>3</v>
      </c>
      <c r="G160" s="107" t="s">
        <v>55</v>
      </c>
      <c r="H160" s="108">
        <v>250000</v>
      </c>
      <c r="I160" s="109">
        <f>H160*F160</f>
        <v>750000</v>
      </c>
      <c r="J160" s="75" t="s">
        <v>170</v>
      </c>
    </row>
    <row r="161" spans="1:10" s="10" customFormat="1" ht="15.6" customHeight="1" x14ac:dyDescent="0.15">
      <c r="A161" s="74"/>
      <c r="B161" s="66" t="s">
        <v>162</v>
      </c>
      <c r="C161" s="76"/>
      <c r="D161" s="76"/>
      <c r="E161" s="77"/>
      <c r="F161" s="78"/>
      <c r="G161" s="79"/>
      <c r="H161" s="80"/>
      <c r="I161" s="94"/>
      <c r="J161" s="75"/>
    </row>
    <row r="162" spans="1:10" s="10" customFormat="1" ht="15.6" customHeight="1" x14ac:dyDescent="0.15">
      <c r="A162" s="74"/>
      <c r="B162" s="122"/>
      <c r="C162" s="82" t="s">
        <v>74</v>
      </c>
      <c r="D162" s="93"/>
      <c r="E162" s="84"/>
      <c r="F162" s="79">
        <v>8</v>
      </c>
      <c r="G162" s="79" t="s">
        <v>62</v>
      </c>
      <c r="H162" s="81">
        <v>250000</v>
      </c>
      <c r="I162" s="81">
        <f>F162*H162</f>
        <v>2000000</v>
      </c>
      <c r="J162" s="75" t="s">
        <v>177</v>
      </c>
    </row>
    <row r="163" spans="1:10" s="10" customFormat="1" ht="15.6" customHeight="1" x14ac:dyDescent="0.15">
      <c r="A163" s="74"/>
      <c r="B163" s="122"/>
      <c r="C163" s="82" t="s">
        <v>75</v>
      </c>
      <c r="D163" s="93"/>
      <c r="E163" s="84"/>
      <c r="F163" s="79">
        <v>10</v>
      </c>
      <c r="G163" s="79" t="s">
        <v>62</v>
      </c>
      <c r="H163" s="81">
        <v>500000</v>
      </c>
      <c r="I163" s="81">
        <f>F163*H163</f>
        <v>5000000</v>
      </c>
      <c r="J163" s="75" t="s">
        <v>173</v>
      </c>
    </row>
    <row r="164" spans="1:10" s="10" customFormat="1" ht="15.6" customHeight="1" x14ac:dyDescent="0.15">
      <c r="A164" s="74"/>
      <c r="B164" s="122"/>
      <c r="C164" s="82" t="s">
        <v>76</v>
      </c>
      <c r="D164" s="93"/>
      <c r="E164" s="84"/>
      <c r="F164" s="79">
        <v>8</v>
      </c>
      <c r="G164" s="79" t="s">
        <v>62</v>
      </c>
      <c r="H164" s="81">
        <v>250000</v>
      </c>
      <c r="I164" s="81">
        <f>F164*H164</f>
        <v>2000000</v>
      </c>
      <c r="J164" s="75" t="s">
        <v>177</v>
      </c>
    </row>
    <row r="165" spans="1:10" s="10" customFormat="1" ht="15.6" customHeight="1" x14ac:dyDescent="0.15">
      <c r="A165" s="74"/>
      <c r="B165" s="66" t="s">
        <v>163</v>
      </c>
      <c r="C165" s="82"/>
      <c r="D165" s="83"/>
      <c r="E165" s="84"/>
      <c r="F165" s="78"/>
      <c r="G165" s="79"/>
      <c r="H165" s="81"/>
      <c r="I165" s="80"/>
      <c r="J165" s="75"/>
    </row>
    <row r="166" spans="1:10" s="10" customFormat="1" ht="15.6" customHeight="1" x14ac:dyDescent="0.15">
      <c r="A166" s="74"/>
      <c r="B166" s="122"/>
      <c r="C166" s="82" t="s">
        <v>54</v>
      </c>
      <c r="D166" s="83"/>
      <c r="E166" s="84"/>
      <c r="F166" s="78">
        <v>6</v>
      </c>
      <c r="G166" s="79" t="s">
        <v>55</v>
      </c>
      <c r="H166" s="81">
        <v>250000</v>
      </c>
      <c r="I166" s="80">
        <f>H166*F166</f>
        <v>1500000</v>
      </c>
      <c r="J166" s="75" t="s">
        <v>173</v>
      </c>
    </row>
    <row r="167" spans="1:10" s="10" customFormat="1" ht="15.6" customHeight="1" x14ac:dyDescent="0.15">
      <c r="A167" s="96"/>
      <c r="B167" s="88" t="s">
        <v>164</v>
      </c>
      <c r="C167" s="82"/>
      <c r="D167" s="83"/>
      <c r="E167" s="84"/>
      <c r="F167" s="78"/>
      <c r="G167" s="79"/>
      <c r="H167" s="81"/>
      <c r="I167" s="80"/>
      <c r="J167" s="75"/>
    </row>
    <row r="168" spans="1:10" s="10" customFormat="1" ht="15.6" customHeight="1" x14ac:dyDescent="0.15">
      <c r="A168" s="96"/>
      <c r="B168" s="122"/>
      <c r="C168" s="82" t="s">
        <v>76</v>
      </c>
      <c r="D168" s="83"/>
      <c r="E168" s="84"/>
      <c r="F168" s="78">
        <v>3</v>
      </c>
      <c r="G168" s="79" t="s">
        <v>62</v>
      </c>
      <c r="H168" s="81">
        <v>250000</v>
      </c>
      <c r="I168" s="80">
        <f>H168*F168</f>
        <v>750000</v>
      </c>
      <c r="J168" s="75" t="s">
        <v>170</v>
      </c>
    </row>
    <row r="169" spans="1:10" s="10" customFormat="1" ht="15.6" customHeight="1" x14ac:dyDescent="0.15">
      <c r="A169" s="96"/>
      <c r="B169" s="122"/>
      <c r="C169" s="82" t="s">
        <v>54</v>
      </c>
      <c r="D169" s="83"/>
      <c r="E169" s="84"/>
      <c r="F169" s="78">
        <v>3</v>
      </c>
      <c r="G169" s="79" t="s">
        <v>62</v>
      </c>
      <c r="H169" s="81">
        <v>250000</v>
      </c>
      <c r="I169" s="80">
        <f>H169*F169</f>
        <v>750000</v>
      </c>
      <c r="J169" s="75" t="s">
        <v>170</v>
      </c>
    </row>
    <row r="170" spans="1:10" s="10" customFormat="1" ht="15.6" customHeight="1" x14ac:dyDescent="0.15">
      <c r="A170" s="96"/>
      <c r="B170" s="122"/>
      <c r="C170" s="82" t="s">
        <v>125</v>
      </c>
      <c r="D170" s="104"/>
      <c r="E170" s="105"/>
      <c r="F170" s="106"/>
      <c r="G170" s="107"/>
      <c r="H170" s="108"/>
      <c r="I170" s="109">
        <v>1000000</v>
      </c>
      <c r="J170" s="75"/>
    </row>
    <row r="171" spans="1:10" s="10" customFormat="1" ht="15.6" customHeight="1" x14ac:dyDescent="0.15">
      <c r="A171" s="96"/>
      <c r="B171" s="122"/>
      <c r="C171" s="82" t="s">
        <v>75</v>
      </c>
      <c r="D171" s="83"/>
      <c r="E171" s="84"/>
      <c r="F171" s="78">
        <v>15</v>
      </c>
      <c r="G171" s="79" t="s">
        <v>62</v>
      </c>
      <c r="H171" s="81">
        <v>500000</v>
      </c>
      <c r="I171" s="80">
        <f>H171*F171</f>
        <v>7500000</v>
      </c>
      <c r="J171" s="75" t="s">
        <v>175</v>
      </c>
    </row>
    <row r="172" spans="1:10" s="10" customFormat="1" ht="15.6" customHeight="1" x14ac:dyDescent="0.15">
      <c r="A172" s="74"/>
      <c r="B172" s="124" t="s">
        <v>165</v>
      </c>
      <c r="C172" s="76"/>
      <c r="D172" s="76"/>
      <c r="E172" s="77"/>
      <c r="F172" s="78"/>
      <c r="G172" s="79"/>
      <c r="H172" s="80"/>
      <c r="I172" s="94"/>
      <c r="J172" s="75"/>
    </row>
    <row r="173" spans="1:10" s="10" customFormat="1" ht="15.6" customHeight="1" x14ac:dyDescent="0.15">
      <c r="A173" s="74"/>
      <c r="B173" s="122"/>
      <c r="C173" s="82" t="s">
        <v>89</v>
      </c>
      <c r="D173" s="83"/>
      <c r="E173" s="84"/>
      <c r="F173" s="78">
        <v>10</v>
      </c>
      <c r="G173" s="79" t="s">
        <v>62</v>
      </c>
      <c r="H173" s="81">
        <v>250000</v>
      </c>
      <c r="I173" s="81">
        <f>F173*H173</f>
        <v>2500000</v>
      </c>
      <c r="J173" s="75" t="s">
        <v>181</v>
      </c>
    </row>
    <row r="174" spans="1:10" s="10" customFormat="1" ht="15.6" customHeight="1" x14ac:dyDescent="0.15">
      <c r="A174" s="74"/>
      <c r="B174" s="122"/>
      <c r="C174" s="82" t="s">
        <v>90</v>
      </c>
      <c r="D174" s="83"/>
      <c r="E174" s="84"/>
      <c r="F174" s="78">
        <v>6</v>
      </c>
      <c r="G174" s="79" t="s">
        <v>62</v>
      </c>
      <c r="H174" s="81">
        <v>250000</v>
      </c>
      <c r="I174" s="81">
        <f>F174*H174</f>
        <v>1500000</v>
      </c>
      <c r="J174" s="75" t="s">
        <v>178</v>
      </c>
    </row>
    <row r="175" spans="1:10" s="10" customFormat="1" ht="15.6" customHeight="1" x14ac:dyDescent="0.15">
      <c r="A175" s="74"/>
      <c r="B175" s="122"/>
      <c r="C175" s="82" t="s">
        <v>169</v>
      </c>
      <c r="D175" s="83"/>
      <c r="E175" s="84"/>
      <c r="F175" s="78">
        <v>10</v>
      </c>
      <c r="G175" s="79" t="s">
        <v>62</v>
      </c>
      <c r="H175" s="81">
        <v>250000</v>
      </c>
      <c r="I175" s="81">
        <f>F175*H175</f>
        <v>2500000</v>
      </c>
      <c r="J175" s="75" t="s">
        <v>173</v>
      </c>
    </row>
    <row r="176" spans="1:10" s="10" customFormat="1" ht="15.6" customHeight="1" x14ac:dyDescent="0.15">
      <c r="A176" s="95"/>
      <c r="B176" s="124" t="s">
        <v>166</v>
      </c>
      <c r="C176" s="82"/>
      <c r="D176" s="83"/>
      <c r="E176" s="84"/>
      <c r="F176" s="78"/>
      <c r="G176" s="79"/>
      <c r="H176" s="81"/>
      <c r="I176" s="80"/>
      <c r="J176" s="75"/>
    </row>
    <row r="177" spans="1:10" s="10" customFormat="1" ht="15.6" customHeight="1" x14ac:dyDescent="0.15">
      <c r="A177" s="95"/>
      <c r="B177" s="122"/>
      <c r="C177" s="82" t="s">
        <v>54</v>
      </c>
      <c r="D177" s="83"/>
      <c r="E177" s="84"/>
      <c r="F177" s="78">
        <v>6</v>
      </c>
      <c r="G177" s="79" t="s">
        <v>55</v>
      </c>
      <c r="H177" s="81">
        <v>250000</v>
      </c>
      <c r="I177" s="80">
        <f>H177*F177</f>
        <v>1500000</v>
      </c>
      <c r="J177" s="75" t="s">
        <v>178</v>
      </c>
    </row>
    <row r="178" spans="1:10" s="10" customFormat="1" ht="15.6" customHeight="1" x14ac:dyDescent="0.15">
      <c r="A178" s="95"/>
      <c r="B178" s="88" t="s">
        <v>167</v>
      </c>
      <c r="C178" s="76"/>
      <c r="D178" s="76"/>
      <c r="E178" s="77"/>
      <c r="F178" s="78"/>
      <c r="G178" s="79"/>
      <c r="H178" s="80"/>
      <c r="I178" s="94"/>
      <c r="J178" s="75"/>
    </row>
    <row r="179" spans="1:10" s="10" customFormat="1" ht="15.6" customHeight="1" x14ac:dyDescent="0.15">
      <c r="A179" s="95"/>
      <c r="B179" s="122"/>
      <c r="C179" s="82" t="s">
        <v>74</v>
      </c>
      <c r="D179" s="93"/>
      <c r="E179" s="84"/>
      <c r="F179" s="79">
        <v>8</v>
      </c>
      <c r="G179" s="79" t="s">
        <v>62</v>
      </c>
      <c r="H179" s="81">
        <v>250000</v>
      </c>
      <c r="I179" s="81">
        <f>F179*H179</f>
        <v>2000000</v>
      </c>
      <c r="J179" s="75" t="s">
        <v>177</v>
      </c>
    </row>
    <row r="180" spans="1:10" s="10" customFormat="1" ht="15.6" customHeight="1" x14ac:dyDescent="0.15">
      <c r="A180" s="95"/>
      <c r="B180" s="122"/>
      <c r="C180" s="82" t="s">
        <v>75</v>
      </c>
      <c r="D180" s="93"/>
      <c r="E180" s="84"/>
      <c r="F180" s="79">
        <v>10</v>
      </c>
      <c r="G180" s="79" t="s">
        <v>62</v>
      </c>
      <c r="H180" s="81">
        <v>500000</v>
      </c>
      <c r="I180" s="81">
        <f>F180*H180</f>
        <v>5000000</v>
      </c>
      <c r="J180" s="75" t="s">
        <v>173</v>
      </c>
    </row>
    <row r="181" spans="1:10" s="10" customFormat="1" ht="15.6" customHeight="1" x14ac:dyDescent="0.15">
      <c r="A181" s="95"/>
      <c r="B181" s="122"/>
      <c r="C181" s="82" t="s">
        <v>76</v>
      </c>
      <c r="D181" s="93"/>
      <c r="E181" s="84"/>
      <c r="F181" s="79">
        <v>8</v>
      </c>
      <c r="G181" s="79" t="s">
        <v>62</v>
      </c>
      <c r="H181" s="81">
        <v>250000</v>
      </c>
      <c r="I181" s="81">
        <f>F181*H181</f>
        <v>2000000</v>
      </c>
      <c r="J181" s="75" t="s">
        <v>177</v>
      </c>
    </row>
    <row r="182" spans="1:10" s="10" customFormat="1" ht="15.6" customHeight="1" x14ac:dyDescent="0.15">
      <c r="A182" s="74"/>
      <c r="B182" s="88" t="s">
        <v>168</v>
      </c>
      <c r="C182" s="82"/>
      <c r="D182" s="83"/>
      <c r="E182" s="84"/>
      <c r="F182" s="78"/>
      <c r="G182" s="79"/>
      <c r="H182" s="81"/>
      <c r="I182" s="80"/>
      <c r="J182" s="75"/>
    </row>
    <row r="183" spans="1:10" s="10" customFormat="1" ht="15.6" customHeight="1" x14ac:dyDescent="0.15">
      <c r="A183" s="74"/>
      <c r="B183" s="122"/>
      <c r="C183" s="82" t="s">
        <v>54</v>
      </c>
      <c r="D183" s="83"/>
      <c r="E183" s="84"/>
      <c r="F183" s="78">
        <v>6</v>
      </c>
      <c r="G183" s="79" t="s">
        <v>62</v>
      </c>
      <c r="H183" s="81">
        <v>250000</v>
      </c>
      <c r="I183" s="80">
        <f>H183*F183</f>
        <v>1500000</v>
      </c>
      <c r="J183" s="75" t="s">
        <v>174</v>
      </c>
    </row>
    <row r="184" spans="1:10" ht="24.95" customHeight="1" x14ac:dyDescent="0.15">
      <c r="A184" s="165"/>
      <c r="B184" s="166" t="s">
        <v>188</v>
      </c>
      <c r="C184" s="167"/>
      <c r="D184" s="167"/>
      <c r="E184" s="167"/>
      <c r="F184" s="167"/>
      <c r="G184" s="167"/>
      <c r="H184" s="168"/>
      <c r="I184" s="152">
        <f>SUM(I120:I183)</f>
        <v>92000000</v>
      </c>
      <c r="J184" s="103"/>
    </row>
    <row r="185" spans="1:10" ht="24.95" customHeight="1" x14ac:dyDescent="0.15">
      <c r="A185" s="137" t="s">
        <v>67</v>
      </c>
      <c r="B185" s="138" t="s">
        <v>109</v>
      </c>
      <c r="C185" s="140"/>
      <c r="D185" s="141"/>
      <c r="E185" s="142"/>
      <c r="F185" s="147"/>
      <c r="G185" s="148"/>
      <c r="H185" s="145"/>
      <c r="I185" s="143"/>
      <c r="J185" s="146"/>
    </row>
    <row r="186" spans="1:10" s="10" customFormat="1" ht="15.6" customHeight="1" x14ac:dyDescent="0.15">
      <c r="A186" s="74"/>
      <c r="B186" s="88" t="s">
        <v>110</v>
      </c>
      <c r="C186" s="82"/>
      <c r="D186" s="83"/>
      <c r="E186" s="84"/>
      <c r="F186" s="78"/>
      <c r="G186" s="79"/>
      <c r="H186" s="81"/>
      <c r="I186" s="81"/>
      <c r="J186" s="75"/>
    </row>
    <row r="187" spans="1:10" s="10" customFormat="1" ht="15.6" customHeight="1" x14ac:dyDescent="0.15">
      <c r="A187" s="74"/>
      <c r="B187" s="122"/>
      <c r="C187" s="82" t="s">
        <v>123</v>
      </c>
      <c r="D187" s="116"/>
      <c r="E187" s="105"/>
      <c r="F187" s="107">
        <v>5</v>
      </c>
      <c r="G187" s="107" t="s">
        <v>73</v>
      </c>
      <c r="H187" s="108">
        <v>150000</v>
      </c>
      <c r="I187" s="108">
        <f>F187*H187</f>
        <v>750000</v>
      </c>
      <c r="J187" s="75"/>
    </row>
    <row r="188" spans="1:10" s="10" customFormat="1" ht="15.6" customHeight="1" x14ac:dyDescent="0.15">
      <c r="A188" s="87"/>
      <c r="B188" s="88" t="s">
        <v>126</v>
      </c>
      <c r="C188" s="134"/>
      <c r="D188" s="89"/>
      <c r="E188" s="90"/>
      <c r="F188" s="69"/>
      <c r="G188" s="70"/>
      <c r="H188" s="91"/>
      <c r="I188" s="71"/>
      <c r="J188" s="72"/>
    </row>
    <row r="189" spans="1:10" s="10" customFormat="1" ht="15.6" customHeight="1" x14ac:dyDescent="0.15">
      <c r="A189" s="74"/>
      <c r="B189" s="122"/>
      <c r="C189" s="82" t="s">
        <v>79</v>
      </c>
      <c r="D189" s="83"/>
      <c r="E189" s="84"/>
      <c r="F189" s="78">
        <v>2</v>
      </c>
      <c r="G189" s="79" t="s">
        <v>80</v>
      </c>
      <c r="H189" s="81">
        <v>450000</v>
      </c>
      <c r="I189" s="80">
        <v>900000</v>
      </c>
      <c r="J189" s="75"/>
    </row>
    <row r="190" spans="1:10" s="10" customFormat="1" ht="15.6" customHeight="1" x14ac:dyDescent="0.15">
      <c r="A190" s="74"/>
      <c r="B190" s="66" t="s">
        <v>127</v>
      </c>
      <c r="C190" s="92"/>
      <c r="D190" s="93"/>
      <c r="E190" s="84"/>
      <c r="F190" s="79"/>
      <c r="G190" s="79"/>
      <c r="H190" s="81"/>
      <c r="I190" s="81"/>
      <c r="J190" s="75"/>
    </row>
    <row r="191" spans="1:10" s="10" customFormat="1" ht="15.6" customHeight="1" x14ac:dyDescent="0.15">
      <c r="A191" s="74"/>
      <c r="B191" s="122"/>
      <c r="C191" s="82" t="s">
        <v>123</v>
      </c>
      <c r="D191" s="116"/>
      <c r="E191" s="105"/>
      <c r="F191" s="107">
        <v>3</v>
      </c>
      <c r="G191" s="107" t="s">
        <v>73</v>
      </c>
      <c r="H191" s="108">
        <v>150000</v>
      </c>
      <c r="I191" s="108">
        <f>F191*H191</f>
        <v>450000</v>
      </c>
      <c r="J191" s="75"/>
    </row>
    <row r="192" spans="1:10" s="10" customFormat="1" ht="15.6" customHeight="1" x14ac:dyDescent="0.15">
      <c r="A192" s="74"/>
      <c r="B192" s="66" t="s">
        <v>130</v>
      </c>
      <c r="C192" s="92"/>
      <c r="D192" s="83"/>
      <c r="E192" s="84"/>
      <c r="F192" s="79"/>
      <c r="G192" s="79"/>
      <c r="H192" s="81"/>
      <c r="I192" s="81"/>
      <c r="J192" s="75"/>
    </row>
    <row r="193" spans="1:10" s="10" customFormat="1" ht="15.6" customHeight="1" x14ac:dyDescent="0.15">
      <c r="A193" s="74"/>
      <c r="B193" s="122"/>
      <c r="C193" s="82" t="s">
        <v>123</v>
      </c>
      <c r="D193" s="116"/>
      <c r="E193" s="105"/>
      <c r="F193" s="107">
        <v>6</v>
      </c>
      <c r="G193" s="107" t="s">
        <v>73</v>
      </c>
      <c r="H193" s="108">
        <v>150000</v>
      </c>
      <c r="I193" s="108">
        <f>F193*H193</f>
        <v>900000</v>
      </c>
      <c r="J193" s="75"/>
    </row>
    <row r="194" spans="1:10" s="10" customFormat="1" ht="15.6" customHeight="1" x14ac:dyDescent="0.15">
      <c r="A194" s="74"/>
      <c r="B194" s="124" t="s">
        <v>132</v>
      </c>
      <c r="C194" s="121"/>
      <c r="D194" s="104"/>
      <c r="E194" s="105"/>
      <c r="F194" s="106"/>
      <c r="G194" s="107"/>
      <c r="H194" s="108"/>
      <c r="I194" s="123"/>
      <c r="J194" s="75"/>
    </row>
    <row r="195" spans="1:10" s="10" customFormat="1" ht="15.6" customHeight="1" x14ac:dyDescent="0.15">
      <c r="A195" s="74"/>
      <c r="B195" s="122"/>
      <c r="C195" s="82" t="s">
        <v>123</v>
      </c>
      <c r="D195" s="116"/>
      <c r="E195" s="105"/>
      <c r="F195" s="107">
        <v>7</v>
      </c>
      <c r="G195" s="107" t="s">
        <v>73</v>
      </c>
      <c r="H195" s="108">
        <v>150000</v>
      </c>
      <c r="I195" s="108">
        <f>F195*H195</f>
        <v>1050000</v>
      </c>
      <c r="J195" s="75"/>
    </row>
    <row r="196" spans="1:10" s="10" customFormat="1" ht="15.6" customHeight="1" x14ac:dyDescent="0.15">
      <c r="A196" s="95"/>
      <c r="B196" s="88" t="s">
        <v>133</v>
      </c>
      <c r="C196" s="92"/>
      <c r="D196" s="83"/>
      <c r="E196" s="84"/>
      <c r="F196" s="79"/>
      <c r="G196" s="79"/>
      <c r="H196" s="81"/>
      <c r="I196" s="81"/>
      <c r="J196" s="75"/>
    </row>
    <row r="197" spans="1:10" s="10" customFormat="1" ht="15.6" customHeight="1" x14ac:dyDescent="0.15">
      <c r="A197" s="95"/>
      <c r="B197" s="122"/>
      <c r="C197" s="82" t="s">
        <v>123</v>
      </c>
      <c r="D197" s="116"/>
      <c r="E197" s="105"/>
      <c r="F197" s="107">
        <v>6</v>
      </c>
      <c r="G197" s="107" t="s">
        <v>73</v>
      </c>
      <c r="H197" s="108">
        <v>150000</v>
      </c>
      <c r="I197" s="108">
        <f>F197*H197</f>
        <v>900000</v>
      </c>
      <c r="J197" s="75"/>
    </row>
    <row r="198" spans="1:10" s="10" customFormat="1" ht="15.6" customHeight="1" x14ac:dyDescent="0.15">
      <c r="A198" s="74"/>
      <c r="B198" s="88" t="s">
        <v>134</v>
      </c>
      <c r="C198" s="82"/>
      <c r="D198" s="83"/>
      <c r="E198" s="84"/>
      <c r="F198" s="98"/>
      <c r="G198" s="79"/>
      <c r="H198" s="81"/>
      <c r="I198" s="81"/>
      <c r="J198" s="75"/>
    </row>
    <row r="199" spans="1:10" s="10" customFormat="1" ht="15.6" customHeight="1" x14ac:dyDescent="0.15">
      <c r="A199" s="74"/>
      <c r="B199" s="122"/>
      <c r="C199" s="82" t="s">
        <v>189</v>
      </c>
      <c r="D199" s="83"/>
      <c r="E199" s="84"/>
      <c r="F199" s="78">
        <v>299</v>
      </c>
      <c r="G199" s="79" t="s">
        <v>62</v>
      </c>
      <c r="H199" s="80">
        <v>50000</v>
      </c>
      <c r="I199" s="80">
        <f>H199*F199</f>
        <v>14950000</v>
      </c>
      <c r="J199" s="99" t="s">
        <v>182</v>
      </c>
    </row>
    <row r="200" spans="1:10" s="10" customFormat="1" ht="15.6" customHeight="1" x14ac:dyDescent="0.15">
      <c r="A200" s="74"/>
      <c r="B200" s="122"/>
      <c r="C200" s="82" t="s">
        <v>190</v>
      </c>
      <c r="D200" s="83"/>
      <c r="E200" s="84"/>
      <c r="F200" s="78">
        <v>299</v>
      </c>
      <c r="G200" s="79" t="s">
        <v>62</v>
      </c>
      <c r="H200" s="80">
        <v>20000</v>
      </c>
      <c r="I200" s="80">
        <f>F200*H200</f>
        <v>5980000</v>
      </c>
      <c r="J200" s="99"/>
    </row>
    <row r="201" spans="1:10" ht="24.95" customHeight="1" x14ac:dyDescent="0.15">
      <c r="A201" s="165"/>
      <c r="B201" s="166" t="s">
        <v>188</v>
      </c>
      <c r="C201" s="167"/>
      <c r="D201" s="167"/>
      <c r="E201" s="167"/>
      <c r="F201" s="167"/>
      <c r="G201" s="167"/>
      <c r="H201" s="168"/>
      <c r="I201" s="152">
        <f>SUM(I186:I200)</f>
        <v>25880000</v>
      </c>
      <c r="J201" s="169"/>
    </row>
    <row r="202" spans="1:10" ht="24.95" customHeight="1" x14ac:dyDescent="0.15">
      <c r="A202" s="137" t="s">
        <v>77</v>
      </c>
      <c r="B202" s="149" t="s">
        <v>135</v>
      </c>
      <c r="C202" s="150"/>
      <c r="D202" s="151"/>
      <c r="E202" s="142"/>
      <c r="F202" s="147"/>
      <c r="G202" s="148"/>
      <c r="H202" s="145"/>
      <c r="I202" s="152">
        <f>(I201+I117+I184)*6%</f>
        <v>10610400</v>
      </c>
      <c r="J202" s="103" t="s">
        <v>138</v>
      </c>
    </row>
    <row r="203" spans="1:10" ht="24.95" customHeight="1" x14ac:dyDescent="0.15">
      <c r="A203" s="137" t="s">
        <v>81</v>
      </c>
      <c r="B203" s="138" t="s">
        <v>136</v>
      </c>
      <c r="C203" s="139"/>
      <c r="D203" s="139"/>
      <c r="E203" s="153"/>
      <c r="F203" s="154"/>
      <c r="G203" s="144"/>
      <c r="H203" s="143"/>
      <c r="I203" s="155">
        <f>(I184+I201+I202)*14%-103720</f>
        <v>17884936</v>
      </c>
      <c r="J203" s="156" t="s">
        <v>139</v>
      </c>
    </row>
    <row r="204" spans="1:10" ht="24.95" customHeight="1" x14ac:dyDescent="0.15">
      <c r="A204" s="137" t="s">
        <v>93</v>
      </c>
      <c r="B204" s="138" t="s">
        <v>137</v>
      </c>
      <c r="C204" s="139"/>
      <c r="D204" s="139"/>
      <c r="E204" s="153"/>
      <c r="F204" s="154"/>
      <c r="G204" s="144"/>
      <c r="H204" s="143"/>
      <c r="I204" s="155">
        <f>(I117+I184)*3.09%</f>
        <v>4664663.9999999991</v>
      </c>
      <c r="J204" s="156" t="s">
        <v>141</v>
      </c>
    </row>
    <row r="205" spans="1:10" ht="24.95" customHeight="1" x14ac:dyDescent="0.15">
      <c r="A205" s="137" t="s">
        <v>142</v>
      </c>
      <c r="B205" s="157" t="s">
        <v>191</v>
      </c>
      <c r="C205" s="158"/>
      <c r="D205" s="159"/>
      <c r="E205" s="160"/>
      <c r="F205" s="161"/>
      <c r="G205" s="162"/>
      <c r="H205" s="163"/>
      <c r="I205" s="164">
        <f>I117+I184+I201+I202+I203+I204</f>
        <v>210000000</v>
      </c>
      <c r="J205" s="103"/>
    </row>
    <row r="206" spans="1:10" s="10" customFormat="1" ht="15.6" customHeight="1" x14ac:dyDescent="0.15">
      <c r="A206" s="74"/>
      <c r="B206" s="75"/>
      <c r="C206" s="86"/>
      <c r="D206" s="83"/>
      <c r="E206" s="84"/>
      <c r="F206" s="78"/>
      <c r="G206" s="79"/>
      <c r="H206" s="81"/>
      <c r="I206" s="80"/>
      <c r="J206" s="75"/>
    </row>
  </sheetData>
  <mergeCells count="40">
    <mergeCell ref="B184:H184"/>
    <mergeCell ref="B201:H201"/>
    <mergeCell ref="A25:E26"/>
    <mergeCell ref="F25:F26"/>
    <mergeCell ref="G25:G26"/>
    <mergeCell ref="H25:H26"/>
    <mergeCell ref="I25:I26"/>
    <mergeCell ref="J25:J26"/>
    <mergeCell ref="B117:H117"/>
    <mergeCell ref="A23:A24"/>
    <mergeCell ref="B23:E23"/>
    <mergeCell ref="B24:E24"/>
    <mergeCell ref="A20:B20"/>
    <mergeCell ref="C20:E21"/>
    <mergeCell ref="A21:B21"/>
    <mergeCell ref="A22:B22"/>
    <mergeCell ref="C22:F22"/>
    <mergeCell ref="G22:H22"/>
    <mergeCell ref="A16:B16"/>
    <mergeCell ref="C16:C17"/>
    <mergeCell ref="D16:D17"/>
    <mergeCell ref="E16:E17"/>
    <mergeCell ref="A17:B17"/>
    <mergeCell ref="A18:B18"/>
    <mergeCell ref="C18:E19"/>
    <mergeCell ref="A19:B19"/>
    <mergeCell ref="A10:E10"/>
    <mergeCell ref="A11:E11"/>
    <mergeCell ref="A12:B12"/>
    <mergeCell ref="C12:E13"/>
    <mergeCell ref="A13:B13"/>
    <mergeCell ref="A14:B14"/>
    <mergeCell ref="C14:E15"/>
    <mergeCell ref="A15:B15"/>
    <mergeCell ref="A1:J1"/>
    <mergeCell ref="A2:J2"/>
    <mergeCell ref="B6:D6"/>
    <mergeCell ref="A8:B8"/>
    <mergeCell ref="C8:E9"/>
    <mergeCell ref="A9:B9"/>
  </mergeCells>
  <phoneticPr fontId="3" type="noConversion"/>
  <printOptions horizontalCentered="1"/>
  <pageMargins left="0.35433070866141736" right="0.35433070866141736" top="0.51181102362204722" bottom="0.35433070866141736" header="0.31496062992125984" footer="0.19685039370078741"/>
  <pageSetup paperSize="9" scale="96" orientation="portrait" r:id="rId1"/>
  <headerFooter alignWithMargins="0">
    <oddFooter>&amp;R&amp;"돋움,굵게"KOREA FURNACE ENG.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견적서 (갑) (2)</vt:lpstr>
      <vt:lpstr>'견적서 (갑) (2)'!Print_Area</vt:lpstr>
      <vt:lpstr>'견적서 (갑)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WIA</dc:creator>
  <cp:lastModifiedBy>WIA</cp:lastModifiedBy>
  <dcterms:created xsi:type="dcterms:W3CDTF">2022-07-17T23:31:35Z</dcterms:created>
  <dcterms:modified xsi:type="dcterms:W3CDTF">2022-07-18T06:14:29Z</dcterms:modified>
</cp:coreProperties>
</file>