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A\Desktop\price_analyzer\보안해제_필요\"/>
    </mc:Choice>
  </mc:AlternateContent>
  <xr:revisionPtr revIDLastSave="0" documentId="8_{BFD06E74-7C67-44AB-89B7-917780B4B458}" xr6:coauthVersionLast="47" xr6:coauthVersionMax="47" xr10:uidLastSave="{00000000-0000-0000-0000-000000000000}"/>
  <bookViews>
    <workbookView xWindow="-120" yWindow="-120" windowWidth="29040" windowHeight="15720" xr2:uid="{4812D2FA-57B4-4992-815F-B7C2711E00C7}"/>
  </bookViews>
  <sheets>
    <sheet name="갑지" sheetId="1" r:id="rId1"/>
    <sheet name="원가항목별(집계)" sheetId="2" r:id="rId2"/>
    <sheet name="단위공사별(집계)" sheetId="3" r:id="rId3"/>
    <sheet name="전기" sheetId="4" r:id="rId4"/>
    <sheet name="단위장비1" sheetId="5" r:id="rId5"/>
    <sheet name="단위장비2" sheetId="6" r:id="rId6"/>
    <sheet name="단위장비3" sheetId="7" r:id="rId7"/>
    <sheet name="단위장비4" sheetId="8" r:id="rId8"/>
    <sheet name="단위장비5" sheetId="9" r:id="rId9"/>
    <sheet name="단위장비6" sheetId="10" r:id="rId10"/>
    <sheet name="단위장비7" sheetId="11" r:id="rId11"/>
    <sheet name="단위장비8" sheetId="12" r:id="rId12"/>
    <sheet name="단위장비9" sheetId="13" r:id="rId13"/>
    <sheet name="단위장비10" sheetId="14" r:id="rId14"/>
    <sheet name="첨부(견적조건차이내역)" sheetId="15" r:id="rId15"/>
  </sheets>
  <externalReferences>
    <externalReference r:id="rId16"/>
  </externalReferences>
  <definedNames>
    <definedName name="_xlnm._FilterDatabase" localSheetId="4" hidden="1">단위장비1!$A$2:$I$67</definedName>
    <definedName name="_xlnm._FilterDatabase" localSheetId="5" hidden="1">단위장비2!$A$2:$I$66</definedName>
    <definedName name="_xlnm._FilterDatabase" localSheetId="6" hidden="1">단위장비3!$J$2:$J$66</definedName>
    <definedName name="_xlnm._FilterDatabase" localSheetId="7" hidden="1">단위장비4!$J$2:$J$66</definedName>
    <definedName name="_xlnm._FilterDatabase" localSheetId="8" hidden="1">단위장비5!$J$2:$J$66</definedName>
    <definedName name="_xlnm._FilterDatabase" localSheetId="9" hidden="1">단위장비6!$J$2:$J$66</definedName>
    <definedName name="_xlnm._FilterDatabase" localSheetId="10" hidden="1">단위장비7!$J$2:$J$66</definedName>
    <definedName name="_xlnm._FilterDatabase" localSheetId="11" hidden="1">단위장비8!$J$2:$J$69</definedName>
    <definedName name="_xlnm._FilterDatabase" localSheetId="3" hidden="1">전기!$A$2:$I$66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'원가항목별(집계)'!$A$1:$J$44</definedName>
    <definedName name="_xlnm.Print_Area" localSheetId="3">전기!$A:$I</definedName>
    <definedName name="_xlnm.Print_Area" localSheetId="14">'첨부(견적조건차이내역)'!$A$1:$D$36</definedName>
    <definedName name="_xlnm.Print_Titles" localSheetId="3">전기!$1:$2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4" i="14" l="1"/>
  <c r="H63" i="14"/>
  <c r="H62" i="14"/>
  <c r="H61" i="14"/>
  <c r="H60" i="14"/>
  <c r="H59" i="14"/>
  <c r="H58" i="14"/>
  <c r="H57" i="14"/>
  <c r="H65" i="14" s="1"/>
  <c r="H16" i="3" s="1"/>
  <c r="H54" i="14"/>
  <c r="H53" i="14"/>
  <c r="H52" i="14"/>
  <c r="H51" i="14"/>
  <c r="H50" i="14"/>
  <c r="H49" i="14"/>
  <c r="H48" i="14"/>
  <c r="H55" i="14" s="1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47" i="14" s="1"/>
  <c r="H31" i="14"/>
  <c r="H29" i="14"/>
  <c r="H28" i="14"/>
  <c r="H27" i="14"/>
  <c r="H26" i="14"/>
  <c r="H25" i="14"/>
  <c r="H30" i="14" s="1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24" i="14" s="1"/>
  <c r="H7" i="14"/>
  <c r="H6" i="14"/>
  <c r="H5" i="14"/>
  <c r="H4" i="14"/>
  <c r="H3" i="14"/>
  <c r="H64" i="13"/>
  <c r="H63" i="13"/>
  <c r="H62" i="13"/>
  <c r="H61" i="13"/>
  <c r="H65" i="13" s="1"/>
  <c r="H60" i="13"/>
  <c r="H59" i="13"/>
  <c r="H58" i="13"/>
  <c r="H57" i="13"/>
  <c r="H54" i="13"/>
  <c r="H53" i="13"/>
  <c r="H52" i="13"/>
  <c r="H51" i="13"/>
  <c r="H50" i="13"/>
  <c r="H49" i="13"/>
  <c r="H55" i="13" s="1"/>
  <c r="H48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47" i="13" s="1"/>
  <c r="H29" i="13"/>
  <c r="H28" i="13"/>
  <c r="H27" i="13"/>
  <c r="H26" i="13"/>
  <c r="H25" i="13"/>
  <c r="H30" i="13" s="1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64" i="12"/>
  <c r="H63" i="12"/>
  <c r="H62" i="12"/>
  <c r="H61" i="12"/>
  <c r="H60" i="12"/>
  <c r="H59" i="12"/>
  <c r="H58" i="12"/>
  <c r="F14" i="3" s="1"/>
  <c r="H57" i="12"/>
  <c r="H65" i="12" s="1"/>
  <c r="H54" i="12"/>
  <c r="H55" i="12" s="1"/>
  <c r="H53" i="12"/>
  <c r="H52" i="12"/>
  <c r="H51" i="12"/>
  <c r="H50" i="12"/>
  <c r="H49" i="12"/>
  <c r="H48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61" i="11"/>
  <c r="H60" i="11"/>
  <c r="H13" i="3" s="1"/>
  <c r="H59" i="11"/>
  <c r="H58" i="11"/>
  <c r="G13" i="3" s="1"/>
  <c r="H57" i="11"/>
  <c r="H56" i="11"/>
  <c r="H62" i="11" s="1"/>
  <c r="H55" i="11"/>
  <c r="H54" i="11"/>
  <c r="H52" i="11"/>
  <c r="H53" i="11" s="1"/>
  <c r="H33" i="11"/>
  <c r="H16" i="11"/>
  <c r="H10" i="11"/>
  <c r="H62" i="10"/>
  <c r="H60" i="10"/>
  <c r="H12" i="3" s="1"/>
  <c r="H59" i="10"/>
  <c r="H58" i="10"/>
  <c r="H57" i="10"/>
  <c r="H55" i="10"/>
  <c r="H51" i="10"/>
  <c r="H35" i="10"/>
  <c r="H34" i="10"/>
  <c r="H52" i="10" s="1"/>
  <c r="H33" i="10"/>
  <c r="H32" i="10"/>
  <c r="H31" i="10"/>
  <c r="H18" i="10"/>
  <c r="H17" i="10"/>
  <c r="H16" i="10"/>
  <c r="H10" i="10"/>
  <c r="H62" i="9"/>
  <c r="H60" i="9"/>
  <c r="H11" i="3" s="1"/>
  <c r="H59" i="9"/>
  <c r="G11" i="3" s="1"/>
  <c r="H58" i="9"/>
  <c r="H55" i="9"/>
  <c r="H54" i="9"/>
  <c r="H34" i="9"/>
  <c r="H52" i="9" s="1"/>
  <c r="H53" i="9" s="1"/>
  <c r="H31" i="9"/>
  <c r="H33" i="9" s="1"/>
  <c r="H16" i="9"/>
  <c r="H10" i="9"/>
  <c r="H61" i="8"/>
  <c r="H60" i="8"/>
  <c r="H59" i="8"/>
  <c r="H58" i="8"/>
  <c r="H57" i="8"/>
  <c r="H56" i="8"/>
  <c r="H55" i="8"/>
  <c r="F10" i="3" s="1"/>
  <c r="H54" i="8"/>
  <c r="H53" i="8"/>
  <c r="H51" i="8"/>
  <c r="H35" i="8"/>
  <c r="H34" i="8"/>
  <c r="H52" i="8" s="1"/>
  <c r="H32" i="8"/>
  <c r="H31" i="8"/>
  <c r="H21" i="8"/>
  <c r="H20" i="8"/>
  <c r="H19" i="8"/>
  <c r="H18" i="8"/>
  <c r="H17" i="8"/>
  <c r="H33" i="8" s="1"/>
  <c r="H16" i="8"/>
  <c r="H10" i="8"/>
  <c r="H61" i="7"/>
  <c r="H60" i="7"/>
  <c r="H59" i="7"/>
  <c r="I17" i="2" s="1"/>
  <c r="H58" i="7"/>
  <c r="I16" i="2" s="1"/>
  <c r="H57" i="7"/>
  <c r="H56" i="7"/>
  <c r="H55" i="7"/>
  <c r="H54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9" i="7"/>
  <c r="H5" i="7"/>
  <c r="H4" i="7"/>
  <c r="H3" i="7"/>
  <c r="H10" i="7" s="1"/>
  <c r="H61" i="6"/>
  <c r="I19" i="2" s="1"/>
  <c r="H60" i="6"/>
  <c r="I18" i="2" s="1"/>
  <c r="H59" i="6"/>
  <c r="H58" i="6"/>
  <c r="H57" i="6"/>
  <c r="H56" i="6"/>
  <c r="H55" i="6"/>
  <c r="F8" i="3" s="1"/>
  <c r="H54" i="6"/>
  <c r="H51" i="6"/>
  <c r="H40" i="6"/>
  <c r="H39" i="6"/>
  <c r="H38" i="6"/>
  <c r="H37" i="6"/>
  <c r="H36" i="6"/>
  <c r="H35" i="6"/>
  <c r="H34" i="6"/>
  <c r="H52" i="6" s="1"/>
  <c r="H32" i="6"/>
  <c r="H31" i="6"/>
  <c r="H33" i="6" s="1"/>
  <c r="H53" i="6" s="1"/>
  <c r="H18" i="6"/>
  <c r="H17" i="6"/>
  <c r="H16" i="6"/>
  <c r="H15" i="6"/>
  <c r="I10" i="2" s="1"/>
  <c r="H5" i="6"/>
  <c r="H4" i="6"/>
  <c r="H3" i="6"/>
  <c r="H9" i="6" s="1"/>
  <c r="H62" i="5"/>
  <c r="H61" i="5"/>
  <c r="H60" i="5"/>
  <c r="H59" i="5"/>
  <c r="G7" i="3" s="1"/>
  <c r="H58" i="5"/>
  <c r="I15" i="2" s="1"/>
  <c r="H57" i="5"/>
  <c r="H56" i="5"/>
  <c r="H55" i="5"/>
  <c r="H63" i="5" s="1"/>
  <c r="H52" i="5"/>
  <c r="H53" i="5" s="1"/>
  <c r="H44" i="5"/>
  <c r="H43" i="5"/>
  <c r="H42" i="5"/>
  <c r="H41" i="5"/>
  <c r="H40" i="5"/>
  <c r="H39" i="5"/>
  <c r="H38" i="5"/>
  <c r="H36" i="5"/>
  <c r="H35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0" i="5"/>
  <c r="H5" i="5"/>
  <c r="H4" i="5"/>
  <c r="H3" i="5"/>
  <c r="H11" i="5" s="1"/>
  <c r="H64" i="4"/>
  <c r="H62" i="4"/>
  <c r="H61" i="4"/>
  <c r="I31" i="2" s="1"/>
  <c r="H60" i="4"/>
  <c r="I30" i="2" s="1"/>
  <c r="H59" i="4"/>
  <c r="H58" i="4"/>
  <c r="H57" i="4"/>
  <c r="H56" i="4"/>
  <c r="I26" i="2" s="1"/>
  <c r="H55" i="4"/>
  <c r="I25" i="2" s="1"/>
  <c r="H52" i="4"/>
  <c r="H48" i="4"/>
  <c r="H43" i="4"/>
  <c r="H42" i="4"/>
  <c r="H53" i="4" s="1"/>
  <c r="H54" i="4" s="1"/>
  <c r="H41" i="4"/>
  <c r="H40" i="4"/>
  <c r="H39" i="4"/>
  <c r="H37" i="4"/>
  <c r="H36" i="4"/>
  <c r="H34" i="4"/>
  <c r="H27" i="4"/>
  <c r="H26" i="4"/>
  <c r="H17" i="4"/>
  <c r="H38" i="4" s="1"/>
  <c r="H16" i="4"/>
  <c r="I24" i="2" s="1"/>
  <c r="H9" i="4"/>
  <c r="G16" i="3"/>
  <c r="E16" i="3"/>
  <c r="D16" i="3"/>
  <c r="B16" i="3"/>
  <c r="L15" i="3"/>
  <c r="K15" i="3"/>
  <c r="I15" i="3"/>
  <c r="H15" i="3"/>
  <c r="G15" i="3"/>
  <c r="F15" i="3"/>
  <c r="E15" i="3"/>
  <c r="D15" i="3"/>
  <c r="B15" i="3"/>
  <c r="A15" i="3" s="1"/>
  <c r="M14" i="3"/>
  <c r="L14" i="3"/>
  <c r="H66" i="14" s="1"/>
  <c r="F16" i="3" s="1"/>
  <c r="K14" i="3"/>
  <c r="I14" i="3"/>
  <c r="H66" i="12" s="1"/>
  <c r="H14" i="3"/>
  <c r="G14" i="3"/>
  <c r="B14" i="3"/>
  <c r="A14" i="3"/>
  <c r="M13" i="3"/>
  <c r="L13" i="3"/>
  <c r="H63" i="11" s="1"/>
  <c r="K13" i="3"/>
  <c r="I13" i="3"/>
  <c r="E13" i="3"/>
  <c r="B13" i="3"/>
  <c r="A13" i="3"/>
  <c r="L12" i="3"/>
  <c r="H63" i="10" s="1"/>
  <c r="K12" i="3"/>
  <c r="G12" i="3"/>
  <c r="F12" i="3"/>
  <c r="E12" i="3"/>
  <c r="B12" i="3"/>
  <c r="I12" i="3" s="1"/>
  <c r="A12" i="3"/>
  <c r="F11" i="3"/>
  <c r="E11" i="3"/>
  <c r="B11" i="3"/>
  <c r="A11" i="3"/>
  <c r="H10" i="3"/>
  <c r="G10" i="3"/>
  <c r="E10" i="3"/>
  <c r="B10" i="3"/>
  <c r="L9" i="3"/>
  <c r="K9" i="3"/>
  <c r="I9" i="3"/>
  <c r="H63" i="7" s="1"/>
  <c r="H9" i="3"/>
  <c r="G9" i="3"/>
  <c r="F9" i="3"/>
  <c r="E9" i="3"/>
  <c r="B9" i="3"/>
  <c r="A9" i="3" s="1"/>
  <c r="H8" i="3"/>
  <c r="G8" i="3"/>
  <c r="B8" i="3"/>
  <c r="H7" i="3"/>
  <c r="B7" i="3"/>
  <c r="A7" i="3"/>
  <c r="A8" i="3" s="1"/>
  <c r="H31" i="2"/>
  <c r="G31" i="2"/>
  <c r="H30" i="2"/>
  <c r="G30" i="2"/>
  <c r="I29" i="2"/>
  <c r="H29" i="2"/>
  <c r="G29" i="2"/>
  <c r="I28" i="2"/>
  <c r="H28" i="2"/>
  <c r="G28" i="2"/>
  <c r="I27" i="2"/>
  <c r="H27" i="2"/>
  <c r="G27" i="2"/>
  <c r="H26" i="2"/>
  <c r="G26" i="2"/>
  <c r="H25" i="2"/>
  <c r="G25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G7" i="2"/>
  <c r="I32" i="2" l="1"/>
  <c r="H64" i="6"/>
  <c r="D8" i="3"/>
  <c r="I14" i="2"/>
  <c r="A16" i="3"/>
  <c r="L16" i="3"/>
  <c r="K16" i="3"/>
  <c r="I16" i="3"/>
  <c r="E8" i="3"/>
  <c r="H62" i="6"/>
  <c r="H65" i="6" s="1"/>
  <c r="J15" i="3"/>
  <c r="H62" i="7"/>
  <c r="F13" i="3"/>
  <c r="J39" i="2"/>
  <c r="I13" i="2"/>
  <c r="H52" i="7"/>
  <c r="H53" i="7" s="1"/>
  <c r="L11" i="3"/>
  <c r="K11" i="3"/>
  <c r="I11" i="3"/>
  <c r="H63" i="9" s="1"/>
  <c r="H62" i="8"/>
  <c r="H64" i="8" s="1"/>
  <c r="H24" i="13"/>
  <c r="H56" i="13" s="1"/>
  <c r="H69" i="13" s="1"/>
  <c r="M15" i="3" s="1"/>
  <c r="P15" i="3" s="1"/>
  <c r="D11" i="3"/>
  <c r="H64" i="9"/>
  <c r="H66" i="9" s="1"/>
  <c r="H65" i="9"/>
  <c r="H65" i="4"/>
  <c r="H66" i="4" s="1"/>
  <c r="I23" i="2"/>
  <c r="G17" i="3"/>
  <c r="A10" i="3"/>
  <c r="L10" i="3"/>
  <c r="K10" i="3"/>
  <c r="I10" i="3"/>
  <c r="H53" i="10"/>
  <c r="H56" i="14"/>
  <c r="H69" i="14" s="1"/>
  <c r="M16" i="3" s="1"/>
  <c r="P16" i="3" s="1"/>
  <c r="J16" i="3"/>
  <c r="I12" i="2"/>
  <c r="D10" i="3"/>
  <c r="D13" i="3"/>
  <c r="H66" i="11"/>
  <c r="H24" i="12"/>
  <c r="H47" i="12"/>
  <c r="H56" i="12"/>
  <c r="H17" i="3"/>
  <c r="H37" i="5"/>
  <c r="I8" i="2" s="1"/>
  <c r="H66" i="13"/>
  <c r="F7" i="3"/>
  <c r="F17" i="3" s="1"/>
  <c r="E7" i="3"/>
  <c r="E17" i="3" s="1"/>
  <c r="E14" i="3"/>
  <c r="I20" i="2" l="1"/>
  <c r="J48" i="2"/>
  <c r="I33" i="2"/>
  <c r="I34" i="2" s="1"/>
  <c r="I7" i="2"/>
  <c r="J11" i="3"/>
  <c r="N11" i="3" s="1"/>
  <c r="P11" i="3"/>
  <c r="H54" i="5"/>
  <c r="H65" i="10"/>
  <c r="D12" i="3"/>
  <c r="H66" i="10"/>
  <c r="H64" i="10"/>
  <c r="I9" i="2"/>
  <c r="N16" i="3"/>
  <c r="N15" i="3"/>
  <c r="M11" i="3"/>
  <c r="H63" i="8"/>
  <c r="H66" i="8" s="1"/>
  <c r="M8" i="3"/>
  <c r="P8" i="3" s="1"/>
  <c r="D14" i="3"/>
  <c r="H69" i="12"/>
  <c r="P13" i="3"/>
  <c r="J13" i="3"/>
  <c r="N13" i="3" s="1"/>
  <c r="H65" i="8"/>
  <c r="M10" i="3" s="1"/>
  <c r="P10" i="3" s="1"/>
  <c r="J10" i="3"/>
  <c r="D9" i="3"/>
  <c r="H66" i="7"/>
  <c r="H65" i="7"/>
  <c r="H64" i="7"/>
  <c r="M9" i="3" s="1"/>
  <c r="I36" i="2"/>
  <c r="J12" i="3" l="1"/>
  <c r="E22" i="1"/>
  <c r="H22" i="1"/>
  <c r="G22" i="1"/>
  <c r="C22" i="1"/>
  <c r="P9" i="3"/>
  <c r="J9" i="3"/>
  <c r="N9" i="3" s="1"/>
  <c r="I11" i="2"/>
  <c r="I35" i="2" s="1"/>
  <c r="J47" i="2"/>
  <c r="I47" i="2" s="1"/>
  <c r="E24" i="1"/>
  <c r="C24" i="1"/>
  <c r="H24" i="1"/>
  <c r="G24" i="1"/>
  <c r="G26" i="1"/>
  <c r="C26" i="1"/>
  <c r="H26" i="1"/>
  <c r="E26" i="1"/>
  <c r="I39" i="2"/>
  <c r="I48" i="2"/>
  <c r="D7" i="3"/>
  <c r="H66" i="5"/>
  <c r="I41" i="2" s="1"/>
  <c r="H65" i="5"/>
  <c r="N10" i="3"/>
  <c r="E27" i="1"/>
  <c r="C27" i="1"/>
  <c r="H27" i="1"/>
  <c r="G27" i="1"/>
  <c r="I37" i="2"/>
  <c r="P14" i="3"/>
  <c r="J14" i="3"/>
  <c r="N14" i="3" s="1"/>
  <c r="M12" i="3"/>
  <c r="P12" i="3" s="1"/>
  <c r="E20" i="1" l="1"/>
  <c r="C20" i="1"/>
  <c r="H20" i="1"/>
  <c r="G20" i="1"/>
  <c r="H25" i="1"/>
  <c r="G25" i="1"/>
  <c r="E25" i="1"/>
  <c r="C25" i="1"/>
  <c r="N12" i="3"/>
  <c r="P7" i="3"/>
  <c r="D17" i="3"/>
  <c r="E21" i="1"/>
  <c r="C21" i="1"/>
  <c r="H21" i="1"/>
  <c r="G21" i="1"/>
  <c r="M7" i="3"/>
  <c r="M17" i="3" s="1"/>
  <c r="I21" i="2"/>
  <c r="I22" i="2" s="1"/>
  <c r="I42" i="2" s="1"/>
  <c r="I40" i="2"/>
  <c r="P17" i="3" l="1"/>
  <c r="H23" i="1"/>
  <c r="G23" i="1"/>
  <c r="E23" i="1"/>
  <c r="C23" i="1"/>
  <c r="K8" i="3" l="1"/>
  <c r="I8" i="3"/>
  <c r="J8" i="3" s="1"/>
  <c r="L8" i="3"/>
  <c r="H63" i="6" s="1"/>
  <c r="H66" i="6" s="1"/>
  <c r="L7" i="3"/>
  <c r="L17" i="3" s="1"/>
  <c r="K7" i="3"/>
  <c r="K17" i="3" s="1"/>
  <c r="I7" i="3"/>
  <c r="I17" i="3" l="1"/>
  <c r="H64" i="5"/>
  <c r="H67" i="5" s="1"/>
  <c r="J7" i="3"/>
  <c r="N7" i="3" s="1"/>
  <c r="N8" i="3"/>
  <c r="H19" i="1" l="1"/>
  <c r="G19" i="1"/>
  <c r="E19" i="1"/>
  <c r="C19" i="1"/>
  <c r="N17" i="3"/>
  <c r="F18" i="1"/>
  <c r="F28" i="1" s="1"/>
  <c r="E18" i="1"/>
  <c r="E28" i="1" s="1"/>
  <c r="C18" i="1"/>
  <c r="G18" i="1"/>
  <c r="G28" i="1" s="1"/>
  <c r="H18" i="1"/>
  <c r="I18" i="3"/>
  <c r="J17" i="3"/>
  <c r="J18" i="3" s="1"/>
  <c r="H28" i="1" l="1"/>
  <c r="D14" i="1" s="1"/>
  <c r="N18" i="3"/>
  <c r="H18" i="3"/>
  <c r="F18" i="3"/>
  <c r="G18" i="3"/>
  <c r="E18" i="3"/>
  <c r="M18" i="3"/>
  <c r="D18" i="3"/>
  <c r="L18" i="3"/>
  <c r="K18" i="3"/>
</calcChain>
</file>

<file path=xl/sharedStrings.xml><?xml version="1.0" encoding="utf-8"?>
<sst xmlns="http://schemas.openxmlformats.org/spreadsheetml/2006/main" count="912" uniqueCount="292">
  <si>
    <t>(현대/기아차 설비협력업체 견적통일양식)</t>
    <phoneticPr fontId="2" type="noConversion"/>
  </si>
  <si>
    <t xml:space="preserve">見  積  書   </t>
    <phoneticPr fontId="2" type="noConversion"/>
  </si>
  <si>
    <t>현대위아(주) 貴下</t>
    <phoneticPr fontId="2" type="noConversion"/>
  </si>
  <si>
    <t>㈜동서기전</t>
    <phoneticPr fontId="2" type="noConversion"/>
  </si>
  <si>
    <t>견적일자</t>
    <phoneticPr fontId="2" type="noConversion"/>
  </si>
  <si>
    <t>대표 : 김 연 규 (인)</t>
    <phoneticPr fontId="2" type="noConversion"/>
  </si>
  <si>
    <t>견적번호</t>
    <phoneticPr fontId="2" type="noConversion"/>
  </si>
  <si>
    <t>QZ250304-03</t>
    <phoneticPr fontId="2" type="noConversion"/>
  </si>
  <si>
    <r>
      <t xml:space="preserve">주소 : </t>
    </r>
    <r>
      <rPr>
        <sz val="10"/>
        <rFont val="굴림"/>
        <family val="3"/>
        <charset val="129"/>
      </rPr>
      <t>창원시 의창구 북면 동전산단동로12번길45</t>
    </r>
    <phoneticPr fontId="2" type="noConversion"/>
  </si>
  <si>
    <t>납기</t>
    <phoneticPr fontId="2" type="noConversion"/>
  </si>
  <si>
    <t>입하</t>
    <phoneticPr fontId="2" type="noConversion"/>
  </si>
  <si>
    <t>2025-06-31</t>
    <phoneticPr fontId="2" type="noConversion"/>
  </si>
  <si>
    <t>전화: 82-55-297-3115</t>
    <phoneticPr fontId="2" type="noConversion"/>
  </si>
  <si>
    <t>최종검수</t>
    <phoneticPr fontId="2" type="noConversion"/>
  </si>
  <si>
    <t>Fax: 82-55-296-3669</t>
    <phoneticPr fontId="2" type="noConversion"/>
  </si>
  <si>
    <t>견적유효기간</t>
    <phoneticPr fontId="2" type="noConversion"/>
  </si>
  <si>
    <r>
      <t>견적일로부터3</t>
    </r>
    <r>
      <rPr>
        <sz val="11"/>
        <rFont val="굴림"/>
        <family val="3"/>
        <charset val="129"/>
      </rPr>
      <t>0일</t>
    </r>
    <phoneticPr fontId="2" type="noConversion"/>
  </si>
  <si>
    <t>E-mail: chrcho@dongseomecha.co.kr</t>
    <phoneticPr fontId="2" type="noConversion"/>
  </si>
  <si>
    <t>인도장소</t>
    <phoneticPr fontId="2" type="noConversion"/>
  </si>
  <si>
    <t>창원3공장</t>
    <phoneticPr fontId="2" type="noConversion"/>
  </si>
  <si>
    <t xml:space="preserve">    견적담당: 조 충 래 상무</t>
    <phoneticPr fontId="2" type="noConversion"/>
  </si>
  <si>
    <t>담 당 자</t>
    <phoneticPr fontId="2" type="noConversion"/>
  </si>
  <si>
    <t>설비구매팀/박혜인 님</t>
    <phoneticPr fontId="2" type="noConversion"/>
  </si>
  <si>
    <t xml:space="preserve">    연 락 처 : 82-55-290-3232</t>
    <phoneticPr fontId="2" type="noConversion"/>
  </si>
  <si>
    <t>공 사 명:</t>
    <phoneticPr fontId="2" type="noConversion"/>
  </si>
  <si>
    <t>CT CVJ 생산준비 대응 스태킹 설비 리툴링 件</t>
    <phoneticPr fontId="2" type="noConversion"/>
  </si>
  <si>
    <t>최종견적금액:</t>
    <phoneticPr fontId="2" type="noConversion"/>
  </si>
  <si>
    <t>번호</t>
    <phoneticPr fontId="2" type="noConversion"/>
  </si>
  <si>
    <t>상세품목내역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</si>
  <si>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2" type="noConversion"/>
  </si>
  <si>
    <t>비  고</t>
    <phoneticPr fontId="2" type="noConversion"/>
  </si>
  <si>
    <t>기계부문</t>
    <phoneticPr fontId="2" type="noConversion"/>
  </si>
  <si>
    <t>전기부문</t>
    <phoneticPr fontId="2" type="noConversion"/>
  </si>
  <si>
    <r>
      <t xml:space="preserve">관리/이윤
</t>
    </r>
    <r>
      <rPr>
        <sz val="8"/>
        <rFont val="굴림"/>
        <family val="3"/>
        <charset val="129"/>
      </rPr>
      <t>(안전관리비포함)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</si>
  <si>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</si>
  <si>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</si>
  <si>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</si>
  <si>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특기사항</t>
    <phoneticPr fontId="2" type="noConversion"/>
  </si>
  <si>
    <t>1. VAT 제외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</si>
  <si>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</si>
  <si>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2. 기본 유틸리티공사 제외</t>
    <phoneticPr fontId="2" type="noConversion"/>
  </si>
  <si>
    <t>설계외주</t>
    <phoneticPr fontId="2" type="noConversion"/>
  </si>
  <si>
    <t>3. 서보 프레스 셋팅 제외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</si>
  <si>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</si>
  <si>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</si>
  <si>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</si>
  <si>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</si>
  <si>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</si>
  <si>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순번</t>
    <phoneticPr fontId="2" type="noConversion"/>
  </si>
  <si>
    <t>원가구분</t>
    <phoneticPr fontId="2" type="noConversion"/>
  </si>
  <si>
    <t>단위</t>
    <phoneticPr fontId="2" type="noConversion"/>
  </si>
  <si>
    <t>수량</t>
    <phoneticPr fontId="2" type="noConversion"/>
  </si>
  <si>
    <t>단가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</si>
  <si>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</si>
  <si>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</si>
  <si>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
부문</t>
    <phoneticPr fontId="2" type="noConversion"/>
  </si>
  <si>
    <t>자재비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</si>
  <si>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</si>
  <si>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kg</t>
    <phoneticPr fontId="2" type="noConversion"/>
  </si>
  <si>
    <t>加工必要資材</t>
    <phoneticPr fontId="2" type="noConversion"/>
  </si>
  <si>
    <t>일반구매품</t>
    <phoneticPr fontId="2" type="noConversion"/>
  </si>
  <si>
    <t>식</t>
    <phoneticPr fontId="2" type="noConversion"/>
  </si>
  <si>
    <t>加工不要資材</t>
    <phoneticPr fontId="2" type="noConversion"/>
  </si>
  <si>
    <t>외주제작품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</si>
  <si>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</si>
  <si>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설치/해체 공사 자재</t>
    <phoneticPr fontId="2" type="noConversion"/>
  </si>
  <si>
    <t>시운전 자재 포함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</si>
  <si>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</si>
  <si>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노무비</t>
    <phoneticPr fontId="2" type="noConversion"/>
  </si>
  <si>
    <t>기존설비 철거</t>
    <phoneticPr fontId="2" type="noConversion"/>
  </si>
  <si>
    <t>M/D</t>
    <phoneticPr fontId="2" type="noConversion"/>
  </si>
  <si>
    <t>개조공사時</t>
    <phoneticPr fontId="2" type="noConversion"/>
  </si>
  <si>
    <t>설계</t>
    <phoneticPr fontId="2" type="noConversion"/>
  </si>
  <si>
    <t>제작(제관,가공)</t>
    <phoneticPr fontId="2" type="noConversion"/>
  </si>
  <si>
    <t>조립</t>
    <phoneticPr fontId="2" type="noConversion"/>
  </si>
  <si>
    <t>정도검사포함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</si>
  <si>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</si>
  <si>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</si>
  <si>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</si>
  <si>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도장</t>
    <phoneticPr fontId="2" type="noConversion"/>
  </si>
  <si>
    <t>일반관리 및 이윤</t>
    <phoneticPr fontId="2" type="noConversion"/>
  </si>
  <si>
    <t>기계 소계</t>
    <phoneticPr fontId="2" type="noConversion"/>
  </si>
  <si>
    <t>전기
부문</t>
    <phoneticPr fontId="2" type="noConversion"/>
  </si>
  <si>
    <t>기계/전기자재</t>
    <phoneticPr fontId="2" type="noConversion"/>
  </si>
  <si>
    <t>철거(개조시)</t>
    <phoneticPr fontId="2" type="noConversion"/>
  </si>
  <si>
    <t>설계,프로그램</t>
    <phoneticPr fontId="2" type="noConversion"/>
  </si>
  <si>
    <t>제작</t>
    <phoneticPr fontId="2" type="noConversion"/>
  </si>
  <si>
    <t>소계</t>
    <phoneticPr fontId="2" type="noConversion"/>
  </si>
  <si>
    <t>전기 소계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</si>
  <si>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</si>
  <si>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</si>
  <si>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</si>
  <si>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포장,운송 및 중장비 사용료</t>
    <phoneticPr fontId="2" type="noConversion"/>
  </si>
  <si>
    <t>표준안전관리비</t>
  </si>
  <si>
    <t>설치/철거/수리금액 기준</t>
    <phoneticPr fontId="2" type="noConversion"/>
  </si>
  <si>
    <t>일반관리비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</si>
  <si>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</si>
  <si>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</si>
  <si>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3~7항 합계</t>
    <phoneticPr fontId="2" type="noConversion"/>
  </si>
  <si>
    <r>
      <t>주</t>
    </r>
    <r>
      <rPr>
        <sz val="11"/>
        <rFont val="굴림"/>
        <family val="3"/>
        <charset val="129"/>
      </rPr>
      <t xml:space="preserve">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ⓐ2.66%,ⓑ1.95%+기초액,ⓒ2.02%(50억 이상일경우)</t>
    </r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</si>
  <si>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</si>
  <si>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산업안전관리비
[일반건설공사(을)]</t>
    <phoneticPr fontId="2" type="noConversion"/>
  </si>
  <si>
    <t>기준</t>
    <phoneticPr fontId="2" type="noConversion"/>
  </si>
  <si>
    <t>안전관리비</t>
    <phoneticPr fontId="2" type="noConversion"/>
  </si>
  <si>
    <t>대상액</t>
    <phoneticPr fontId="2" type="noConversion"/>
  </si>
  <si>
    <t>비고</t>
    <phoneticPr fontId="2" type="noConversion"/>
  </si>
  <si>
    <t>계상기준1</t>
    <phoneticPr fontId="2" type="noConversion"/>
  </si>
  <si>
    <t>제작/설치 전체</t>
    <phoneticPr fontId="2" type="noConversion"/>
  </si>
  <si>
    <t>계상기준2</t>
    <phoneticPr fontId="2" type="noConversion"/>
  </si>
  <si>
    <t>당사내 설치비限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</si>
  <si>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</si>
  <si>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</si>
  <si>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단위:원</t>
    <phoneticPr fontId="2" type="noConversion"/>
  </si>
  <si>
    <t>포장/운송</t>
    <phoneticPr fontId="2" type="noConversion"/>
  </si>
  <si>
    <t>표준안전</t>
    <phoneticPr fontId="2" type="noConversion"/>
  </si>
  <si>
    <t>단위장비명</t>
    <phoneticPr fontId="2" type="noConversion"/>
  </si>
  <si>
    <t>철거</t>
    <phoneticPr fontId="2" type="noConversion"/>
  </si>
  <si>
    <t>설치/시운전</t>
    <phoneticPr fontId="2" type="noConversion"/>
  </si>
  <si>
    <t>중장비사용</t>
    <phoneticPr fontId="2" type="noConversion"/>
  </si>
  <si>
    <t>기계소계</t>
    <phoneticPr fontId="2" type="noConversion"/>
  </si>
  <si>
    <t>전기소계</t>
    <phoneticPr fontId="2" type="noConversion"/>
  </si>
  <si>
    <t>관리비</t>
    <phoneticPr fontId="2" type="noConversion"/>
  </si>
  <si>
    <t>이윤</t>
    <phoneticPr fontId="2" type="noConversion"/>
  </si>
  <si>
    <t>합  계</t>
    <phoneticPr fontId="2" type="noConversion"/>
  </si>
  <si>
    <t>1식</t>
    <phoneticPr fontId="2" type="noConversion"/>
  </si>
  <si>
    <t>1식</t>
  </si>
  <si>
    <t>합   계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</si>
  <si>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</si>
  <si>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□ 전기부문:</t>
    <phoneticPr fontId="2" type="noConversion"/>
  </si>
  <si>
    <t>전기부문(공통)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</si>
  <si>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</si>
  <si>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</si>
  <si>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</si>
  <si>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</si>
  <si>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</si>
  <si>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</si>
  <si>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</si>
  <si>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</si>
  <si>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</si>
  <si>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</t>
    <phoneticPr fontId="2" type="noConversion"/>
  </si>
  <si>
    <t>시운전 공사</t>
    <phoneticPr fontId="2" type="noConversion"/>
  </si>
  <si>
    <t>자재</t>
    <phoneticPr fontId="2" type="noConversion"/>
  </si>
  <si>
    <t>기타자재</t>
    <phoneticPr fontId="2" type="noConversion"/>
  </si>
  <si>
    <t>전기자재</t>
    <phoneticPr fontId="2" type="noConversion"/>
  </si>
  <si>
    <t>PLC - Q13UDEH CPU SERIES 미즈비시</t>
  </si>
  <si>
    <t xml:space="preserve"> - PLC-BASE        </t>
  </si>
  <si>
    <t xml:space="preserve"> - PLC-POWER</t>
  </si>
  <si>
    <t xml:space="preserve"> - PLC-CPU                </t>
  </si>
  <si>
    <t xml:space="preserve"> - PLC-INPUT</t>
  </si>
  <si>
    <t xml:space="preserve"> - PLC-OUTPUT</t>
  </si>
  <si>
    <t xml:space="preserve"> - PLC-REMOTE IO </t>
  </si>
  <si>
    <t xml:space="preserve"> - PLC-DATA LINK</t>
  </si>
  <si>
    <t xml:space="preserve"> - PLC용 기타 액세서리</t>
  </si>
  <si>
    <t>QD77MS16</t>
    <phoneticPr fontId="2" type="noConversion"/>
  </si>
  <si>
    <t>MITSUBISHI</t>
    <phoneticPr fontId="2" type="noConversion"/>
  </si>
  <si>
    <t>일반구매품</t>
  </si>
  <si>
    <t>식</t>
  </si>
  <si>
    <t xml:space="preserve"> - ELB</t>
    <phoneticPr fontId="2" type="noConversion"/>
  </si>
  <si>
    <t>LS 산전</t>
    <phoneticPr fontId="2" type="noConversion"/>
  </si>
  <si>
    <t xml:space="preserve"> - NF</t>
    <phoneticPr fontId="2" type="noConversion"/>
  </si>
  <si>
    <t>운영전기</t>
    <phoneticPr fontId="2" type="noConversion"/>
  </si>
  <si>
    <t xml:space="preserve"> - RELAY</t>
    <phoneticPr fontId="2" type="noConversion"/>
  </si>
  <si>
    <t>OMRON</t>
    <phoneticPr fontId="2" type="noConversion"/>
  </si>
  <si>
    <t xml:space="preserve"> - EOCR</t>
    <phoneticPr fontId="2" type="noConversion"/>
  </si>
  <si>
    <t>SCHNEIDER</t>
    <phoneticPr fontId="2" type="noConversion"/>
  </si>
  <si>
    <t xml:space="preserve"> - PIN BOX</t>
    <phoneticPr fontId="2" type="noConversion"/>
  </si>
  <si>
    <t>건흥</t>
    <phoneticPr fontId="2" type="noConversion"/>
  </si>
  <si>
    <t>DATA PC</t>
    <phoneticPr fontId="2" type="noConversion"/>
  </si>
  <si>
    <t>IAT-PPC-6191C-DS717</t>
    <phoneticPr fontId="2" type="noConversion"/>
  </si>
  <si>
    <t>ADVANTECH</t>
    <phoneticPr fontId="2" type="noConversion"/>
  </si>
  <si>
    <t>결선 자재</t>
  </si>
  <si>
    <t>기타 구매</t>
  </si>
  <si>
    <t xml:space="preserve"> MAIN CONTROL PANEL</t>
    <phoneticPr fontId="2" type="noConversion"/>
  </si>
  <si>
    <t xml:space="preserve"> RTB BOX</t>
    <phoneticPr fontId="2" type="noConversion"/>
  </si>
  <si>
    <t>동서</t>
    <phoneticPr fontId="2" type="noConversion"/>
  </si>
  <si>
    <t xml:space="preserve"> OP BOX</t>
    <phoneticPr fontId="2" type="noConversion"/>
  </si>
  <si>
    <t xml:space="preserve"> DUCT 작업</t>
    <phoneticPr fontId="2" type="noConversion"/>
  </si>
  <si>
    <t xml:space="preserve"> PC BOX</t>
    <phoneticPr fontId="2" type="noConversion"/>
  </si>
  <si>
    <t>PC 프로그램</t>
    <phoneticPr fontId="2" type="noConversion"/>
  </si>
  <si>
    <t>기타 제작</t>
    <phoneticPr fontId="2" type="noConversion"/>
  </si>
  <si>
    <t>자재비 소계</t>
    <phoneticPr fontId="2" type="noConversion"/>
  </si>
  <si>
    <t>노
무
비</t>
    <phoneticPr fontId="2" type="noConversion"/>
  </si>
  <si>
    <t>전기 설계/프로그램</t>
    <phoneticPr fontId="2" type="noConversion"/>
  </si>
  <si>
    <t>전기 제작</t>
    <phoneticPr fontId="2" type="noConversion"/>
  </si>
  <si>
    <t>전기 조립</t>
    <phoneticPr fontId="2" type="noConversion"/>
  </si>
  <si>
    <t>M/D</t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</si>
  <si>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</si>
  <si>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</si>
  <si>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</si>
  <si>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노무비 소계</t>
    <phoneticPr fontId="2" type="noConversion"/>
  </si>
  <si>
    <t>운반및중장비사용,표준안전관리비</t>
    <phoneticPr fontId="2" type="noConversion"/>
  </si>
  <si>
    <t>* 기계부문에 포함시킴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</si>
  <si>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</si>
  <si>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</si>
  <si>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</si>
  <si>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투입 CONVEYOR</t>
    <phoneticPr fontId="2" type="noConversion"/>
  </si>
  <si>
    <t>FRAME 류</t>
  </si>
  <si>
    <t>SS400</t>
  </si>
  <si>
    <t>KG</t>
  </si>
  <si>
    <t>PLATE 류</t>
  </si>
  <si>
    <t>BLOCK 류</t>
  </si>
  <si>
    <t>설치/해체/시운전</t>
    <phoneticPr fontId="2" type="noConversion"/>
  </si>
  <si>
    <t>해제작업 거치대</t>
    <phoneticPr fontId="2" type="noConversion"/>
  </si>
  <si>
    <t>공사 관련 자재</t>
    <phoneticPr fontId="2" type="noConversion"/>
  </si>
  <si>
    <t>구매품</t>
    <phoneticPr fontId="2" type="noConversion"/>
  </si>
  <si>
    <t>SERVO MOTOR &amp; AMP</t>
    <phoneticPr fontId="2" type="noConversion"/>
  </si>
  <si>
    <t>HG-KR43BJK</t>
    <phoneticPr fontId="2" type="noConversion"/>
  </si>
  <si>
    <t>(유공압품외)</t>
    <phoneticPr fontId="2" type="noConversion"/>
  </si>
  <si>
    <t>SERVO CYLINDER</t>
    <phoneticPr fontId="2" type="noConversion"/>
  </si>
  <si>
    <t>LEFS40NZA</t>
    <phoneticPr fontId="2" type="noConversion"/>
  </si>
  <si>
    <t>SMC</t>
    <phoneticPr fontId="2" type="noConversion"/>
  </si>
  <si>
    <t>2D 코드 리더기</t>
    <phoneticPr fontId="2" type="noConversion"/>
  </si>
  <si>
    <t>SRX300급</t>
    <phoneticPr fontId="2" type="noConversion"/>
  </si>
  <si>
    <t>키엔스</t>
    <phoneticPr fontId="2" type="noConversion"/>
  </si>
  <si>
    <t>AIR CYLINDER</t>
    <phoneticPr fontId="2" type="noConversion"/>
  </si>
  <si>
    <t>CA2F63</t>
    <phoneticPr fontId="2" type="noConversion"/>
  </si>
  <si>
    <t>GUIDE CYLINDER</t>
    <phoneticPr fontId="2" type="noConversion"/>
  </si>
  <si>
    <t>MGPM40</t>
    <phoneticPr fontId="2" type="noConversion"/>
  </si>
  <si>
    <t>BALL SCREW</t>
    <phoneticPr fontId="2" type="noConversion"/>
  </si>
  <si>
    <t>BTK2005-2.6ZZ</t>
    <phoneticPr fontId="2" type="noConversion"/>
  </si>
  <si>
    <t>THK</t>
    <phoneticPr fontId="2" type="noConversion"/>
  </si>
  <si>
    <t>LINEAR BUSH+SHAFT</t>
    <phoneticPr fontId="2" type="noConversion"/>
  </si>
  <si>
    <t>LHICD16+E-PSFJ16</t>
    <phoneticPr fontId="2" type="noConversion"/>
  </si>
  <si>
    <t>MISUMI</t>
    <phoneticPr fontId="2" type="noConversion"/>
  </si>
  <si>
    <t>HANDLE</t>
    <phoneticPr fontId="2" type="noConversion"/>
  </si>
  <si>
    <t>AHLNAK80-10</t>
    <phoneticPr fontId="2" type="noConversion"/>
  </si>
  <si>
    <t>BALL BUSH</t>
    <phoneticPr fontId="2" type="noConversion"/>
  </si>
  <si>
    <t>LMF20LUU</t>
    <phoneticPr fontId="2" type="noConversion"/>
  </si>
  <si>
    <t>회전 실린더</t>
    <phoneticPr fontId="2" type="noConversion"/>
  </si>
  <si>
    <t>MSQB50A</t>
    <phoneticPr fontId="2" type="noConversion"/>
  </si>
  <si>
    <t>LM GUIDE+RAIL</t>
    <phoneticPr fontId="2" type="noConversion"/>
  </si>
  <si>
    <t>HSR35A2QZUU</t>
  </si>
  <si>
    <t>AIR FINGER</t>
    <phoneticPr fontId="2" type="noConversion"/>
  </si>
  <si>
    <t>AF02-40</t>
    <phoneticPr fontId="2" type="noConversion"/>
  </si>
  <si>
    <t>JRT</t>
    <phoneticPr fontId="2" type="noConversion"/>
  </si>
  <si>
    <t>SOL V/V</t>
    <phoneticPr fontId="2" type="noConversion"/>
  </si>
  <si>
    <t>VQC4201</t>
    <phoneticPr fontId="2" type="noConversion"/>
  </si>
  <si>
    <t>근접 센서</t>
    <phoneticPr fontId="2" type="noConversion"/>
  </si>
  <si>
    <t>E2E-X7D1-M1GJ</t>
    <phoneticPr fontId="2" type="noConversion"/>
  </si>
  <si>
    <t>포터 센서</t>
    <phoneticPr fontId="2" type="noConversion"/>
  </si>
  <si>
    <t>E3ZM-CT61-M1TJ</t>
    <phoneticPr fontId="2" type="noConversion"/>
  </si>
  <si>
    <t>조립/배관 자재</t>
    <phoneticPr fontId="2" type="noConversion"/>
  </si>
  <si>
    <t>기타 자재</t>
    <phoneticPr fontId="2" type="noConversion"/>
  </si>
  <si>
    <t>이스케이퍼 UNIT</t>
    <phoneticPr fontId="2" type="noConversion"/>
  </si>
  <si>
    <t>STOPPER JIG</t>
    <phoneticPr fontId="2" type="noConversion"/>
  </si>
  <si>
    <t>↑</t>
    <phoneticPr fontId="2" type="noConversion"/>
  </si>
  <si>
    <t>안착 포지션 JIG</t>
    <phoneticPr fontId="2" type="noConversion"/>
  </si>
  <si>
    <t>WORO CLAMP</t>
    <phoneticPr fontId="2" type="noConversion"/>
  </si>
  <si>
    <t>바코드 리드기 UNIT</t>
    <phoneticPr fontId="2" type="noConversion"/>
  </si>
  <si>
    <t>CAGE 정렬 UNIT + JIG</t>
    <phoneticPr fontId="2" type="noConversion"/>
  </si>
  <si>
    <t>WORK 이송 UNIT</t>
    <phoneticPr fontId="2" type="noConversion"/>
  </si>
  <si>
    <t>기타 가공</t>
    <phoneticPr fontId="2" type="noConversion"/>
  </si>
  <si>
    <t>기계/전기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</si>
  <si>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</si>
  <si>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</si>
  <si>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</si>
  <si>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</si>
  <si>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</si>
  <si>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</si>
  <si>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</si>
  <si>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운반및중장비사용</t>
    <phoneticPr fontId="2" type="noConversion"/>
  </si>
  <si>
    <t>스태킹 M/C 개조</t>
    <phoneticPr fontId="2" type="noConversion"/>
  </si>
  <si>
    <t>BKT 류</t>
  </si>
  <si>
    <t>베어링</t>
    <phoneticPr fontId="2" type="noConversion"/>
  </si>
  <si>
    <t>NSK</t>
    <phoneticPr fontId="2" type="noConversion"/>
  </si>
  <si>
    <t>조립/배관 자재</t>
  </si>
  <si>
    <t>기타 자재</t>
  </si>
  <si>
    <t>로드 TEST JIG</t>
    <phoneticPr fontId="2" type="noConversion"/>
  </si>
  <si>
    <t>#20, #26,#27, #28</t>
    <phoneticPr fontId="2" type="noConversion"/>
  </si>
  <si>
    <t>방향정렬 JIG</t>
    <phoneticPr fontId="2" type="noConversion"/>
  </si>
  <si>
    <t>#20</t>
    <phoneticPr fontId="2" type="noConversion"/>
  </si>
  <si>
    <t>스태킹 JIG</t>
    <phoneticPr fontId="2" type="noConversion"/>
  </si>
  <si>
    <t>스테이션 하부 JIG</t>
    <phoneticPr fontId="2" type="noConversion"/>
  </si>
  <si>
    <t>방향/스태킹/풀로드/비젼</t>
    <phoneticPr fontId="2" type="noConversion"/>
  </si>
  <si>
    <t>TRANSFER JOB</t>
    <phoneticPr fontId="2" type="noConversion"/>
  </si>
  <si>
    <t>상부 커버 수정</t>
    <phoneticPr fontId="2" type="noConversion"/>
  </si>
  <si>
    <t>지그 보관함</t>
    <phoneticPr fontId="2" type="noConversion"/>
  </si>
  <si>
    <t>FRAME 류</t>
    <phoneticPr fontId="2" type="noConversion"/>
  </si>
  <si>
    <t>SS400</t>
    <phoneticPr fontId="2" type="noConversion"/>
  </si>
  <si>
    <t>KG</t>
    <phoneticPr fontId="2" type="noConversion"/>
  </si>
  <si>
    <t>BLOCK 류</t>
    <phoneticPr fontId="2" type="noConversion"/>
  </si>
  <si>
    <t>BKT 류</t>
    <phoneticPr fontId="2" type="noConversion"/>
  </si>
  <si>
    <t xml:space="preserve"> </t>
    <phoneticPr fontId="2" type="noConversion"/>
  </si>
  <si>
    <t>기타자재</t>
  </si>
  <si>
    <t>파렛트 JIG</t>
    <phoneticPr fontId="2" type="noConversion"/>
  </si>
  <si>
    <t>제용 이송용 JIG</t>
    <phoneticPr fontId="2" type="noConversion"/>
  </si>
  <si>
    <t>홀 위치 결정용 JIG</t>
    <phoneticPr fontId="2" type="noConversion"/>
  </si>
  <si>
    <t>※ 현대/기아차의 요구사양과 업체견적사양이 다른경우만 작성</t>
    <phoneticPr fontId="2" type="noConversion"/>
  </si>
  <si>
    <t>현대/기아차 요구사양대비 견적조건 상이내역</t>
    <phoneticPr fontId="2" type="noConversion"/>
  </si>
  <si>
    <t>항   목</t>
    <phoneticPr fontId="2" type="noConversion"/>
  </si>
  <si>
    <t>현대/기아차 요구사양</t>
    <phoneticPr fontId="2" type="noConversion"/>
  </si>
  <si>
    <t>업체 견적기준 사양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</si>
</sst>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</numFmts>
  <fonts count="27" x14ac:knownFonts="1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10"/>
      <name val="굴림"/>
      <family val="3"/>
      <charset val="129"/>
    </font>
    <font>
      <b/>
      <i/>
      <sz val="11"/>
      <name val="굴림"/>
      <family val="3"/>
      <charset val="129"/>
    </font>
    <font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 val="double"/>
      <sz val="12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b/>
      <sz val="10"/>
      <name val="굴림"/>
      <family val="3"/>
      <charset val="129"/>
    </font>
    <font>
      <sz val="14"/>
      <name val="HY헤드라인M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1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5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0" fillId="2" borderId="6" xfId="0" applyNumberForma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 textRotation="255"/>
    </xf>
    <xf numFmtId="0" fontId="1" fillId="0" borderId="4" xfId="0" applyFont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1" fillId="2" borderId="6" xfId="0" applyFont="1" applyFill="1" applyBorder="1" applyAlignment="1">
      <alignment horizontal="left" vertical="center"/>
    </xf>
    <xf numFmtId="0" fontId="8" fillId="2" borderId="0" xfId="0" applyFont="1" applyFill="1" applyAlignment="1">
      <alignment vertical="center"/>
    </xf>
    <xf numFmtId="0" fontId="9" fillId="2" borderId="8" xfId="0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8" fillId="2" borderId="10" xfId="0" applyFont="1" applyFill="1" applyBorder="1" applyAlignment="1">
      <alignment vertical="center"/>
    </xf>
    <xf numFmtId="0" fontId="9" fillId="2" borderId="11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11" fillId="3" borderId="0" xfId="0" applyFont="1" applyFill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176" fontId="1" fillId="0" borderId="22" xfId="0" applyNumberFormat="1" applyFont="1" applyBorder="1" applyAlignment="1">
      <alignment horizontal="right" vertical="center"/>
    </xf>
    <xf numFmtId="176" fontId="1" fillId="0" borderId="23" xfId="0" applyNumberFormat="1" applyFont="1" applyBorder="1" applyAlignment="1">
      <alignment horizontal="right" vertical="center"/>
    </xf>
    <xf numFmtId="176" fontId="1" fillId="0" borderId="24" xfId="0" applyNumberFormat="1" applyFont="1" applyBorder="1" applyAlignment="1">
      <alignment horizontal="right" vertical="center"/>
    </xf>
    <xf numFmtId="176" fontId="1" fillId="0" borderId="25" xfId="0" applyNumberFormat="1" applyFont="1" applyBorder="1" applyAlignment="1">
      <alignment horizontal="right" vertical="center"/>
    </xf>
    <xf numFmtId="0" fontId="1" fillId="0" borderId="19" xfId="0" applyFont="1" applyBorder="1" applyAlignment="1">
      <alignment vertical="center"/>
    </xf>
    <xf numFmtId="0" fontId="1" fillId="0" borderId="26" xfId="0" applyFont="1" applyBorder="1" applyAlignment="1">
      <alignment horizontal="center" vertical="center"/>
    </xf>
    <xf numFmtId="176" fontId="1" fillId="0" borderId="27" xfId="0" applyNumberFormat="1" applyFont="1" applyBorder="1" applyAlignment="1">
      <alignment horizontal="right" vertical="center"/>
    </xf>
    <xf numFmtId="0" fontId="0" fillId="0" borderId="28" xfId="0" applyBorder="1" applyAlignment="1">
      <alignment vertical="center"/>
    </xf>
    <xf numFmtId="176" fontId="1" fillId="0" borderId="6" xfId="0" applyNumberFormat="1" applyFont="1" applyBorder="1" applyAlignment="1">
      <alignment horizontal="right" vertical="center"/>
    </xf>
    <xf numFmtId="176" fontId="1" fillId="0" borderId="21" xfId="0" applyNumberFormat="1" applyFont="1" applyBorder="1" applyAlignment="1">
      <alignment horizontal="right" vertical="center"/>
    </xf>
    <xf numFmtId="0" fontId="1" fillId="0" borderId="26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176" fontId="1" fillId="0" borderId="31" xfId="0" applyNumberFormat="1" applyFont="1" applyBorder="1" applyAlignment="1">
      <alignment horizontal="right" vertical="center"/>
    </xf>
    <xf numFmtId="0" fontId="0" fillId="0" borderId="32" xfId="0" applyBorder="1" applyAlignment="1">
      <alignment vertical="center"/>
    </xf>
    <xf numFmtId="176" fontId="1" fillId="0" borderId="33" xfId="0" applyNumberFormat="1" applyFont="1" applyBorder="1" applyAlignment="1">
      <alignment horizontal="right" vertical="center"/>
    </xf>
    <xf numFmtId="176" fontId="1" fillId="0" borderId="30" xfId="0" applyNumberFormat="1" applyFont="1" applyBorder="1" applyAlignment="1">
      <alignment horizontal="right" vertical="center"/>
    </xf>
    <xf numFmtId="0" fontId="1" fillId="0" borderId="34" xfId="0" applyFont="1" applyBorder="1" applyAlignment="1">
      <alignment vertical="center"/>
    </xf>
    <xf numFmtId="176" fontId="1" fillId="0" borderId="35" xfId="0" applyNumberFormat="1" applyFont="1" applyBorder="1" applyAlignment="1">
      <alignment horizontal="center" vertical="center"/>
    </xf>
    <xf numFmtId="176" fontId="1" fillId="0" borderId="36" xfId="0" applyNumberFormat="1" applyFont="1" applyBorder="1" applyAlignment="1">
      <alignment horizontal="center" vertical="center"/>
    </xf>
    <xf numFmtId="176" fontId="1" fillId="0" borderId="37" xfId="0" applyNumberFormat="1" applyFont="1" applyBorder="1" applyAlignment="1">
      <alignment horizontal="center" vertical="center"/>
    </xf>
    <xf numFmtId="176" fontId="1" fillId="0" borderId="38" xfId="0" applyNumberFormat="1" applyFont="1" applyBorder="1" applyAlignment="1">
      <alignment vertical="center"/>
    </xf>
    <xf numFmtId="176" fontId="1" fillId="0" borderId="39" xfId="0" applyNumberFormat="1" applyFont="1" applyBorder="1" applyAlignment="1">
      <alignment vertical="center"/>
    </xf>
    <xf numFmtId="176" fontId="5" fillId="4" borderId="37" xfId="0" applyNumberFormat="1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35" xfId="0" applyNumberFormat="1" applyFont="1" applyBorder="1" applyAlignment="1">
      <alignment horizontal="center" vertical="center" wrapText="1"/>
    </xf>
    <xf numFmtId="176" fontId="1" fillId="0" borderId="37" xfId="0" applyNumberFormat="1" applyFont="1" applyBorder="1" applyAlignment="1">
      <alignment horizontal="center" vertical="center" wrapText="1"/>
    </xf>
    <xf numFmtId="176" fontId="1" fillId="0" borderId="12" xfId="0" applyNumberFormat="1" applyFont="1" applyBorder="1" applyAlignment="1">
      <alignment vertical="center"/>
    </xf>
    <xf numFmtId="0" fontId="1" fillId="0" borderId="13" xfId="0" applyFont="1" applyBorder="1" applyAlignment="1">
      <alignment horizontal="center" vertical="center" textRotation="255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textRotation="255"/>
    </xf>
    <xf numFmtId="0" fontId="0" fillId="2" borderId="7" xfId="0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0" borderId="41" xfId="0" applyFont="1" applyBorder="1" applyAlignment="1">
      <alignment horizontal="center" vertical="center"/>
    </xf>
    <xf numFmtId="0" fontId="1" fillId="2" borderId="42" xfId="0" applyFont="1" applyFill="1" applyBorder="1" applyAlignment="1">
      <alignment vertical="center"/>
    </xf>
    <xf numFmtId="0" fontId="1" fillId="2" borderId="43" xfId="0" applyFont="1" applyFill="1" applyBorder="1" applyAlignment="1">
      <alignment vertical="center"/>
    </xf>
    <xf numFmtId="0" fontId="1" fillId="2" borderId="44" xfId="0" applyFont="1" applyFill="1" applyBorder="1" applyAlignment="1">
      <alignment vertical="center"/>
    </xf>
    <xf numFmtId="177" fontId="0" fillId="2" borderId="7" xfId="0" applyNumberFormat="1" applyFill="1" applyBorder="1" applyAlignment="1">
      <alignment horizontal="left" vertical="center"/>
    </xf>
    <xf numFmtId="177" fontId="1" fillId="2" borderId="0" xfId="0" applyNumberFormat="1" applyFont="1" applyFill="1" applyAlignment="1">
      <alignment horizontal="left" vertical="center"/>
    </xf>
    <xf numFmtId="177" fontId="1" fillId="2" borderId="8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178" fontId="1" fillId="2" borderId="7" xfId="0" applyNumberFormat="1" applyFont="1" applyFill="1" applyBorder="1" applyAlignment="1">
      <alignment vertical="center"/>
    </xf>
    <xf numFmtId="178" fontId="1" fillId="2" borderId="0" xfId="0" applyNumberFormat="1" applyFont="1" applyFill="1" applyAlignment="1">
      <alignment vertical="center"/>
    </xf>
    <xf numFmtId="178" fontId="1" fillId="2" borderId="8" xfId="0" applyNumberFormat="1" applyFont="1" applyFill="1" applyBorder="1" applyAlignment="1">
      <alignment vertical="center"/>
    </xf>
    <xf numFmtId="0" fontId="1" fillId="0" borderId="45" xfId="0" applyFont="1" applyBorder="1" applyAlignment="1">
      <alignment horizontal="center" vertical="center" textRotation="255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3" fontId="14" fillId="0" borderId="0" xfId="0" applyNumberFormat="1" applyFont="1" applyAlignment="1">
      <alignment vertical="center"/>
    </xf>
    <xf numFmtId="3" fontId="15" fillId="0" borderId="0" xfId="0" applyNumberFormat="1" applyFont="1" applyAlignment="1">
      <alignment vertical="center"/>
    </xf>
    <xf numFmtId="3" fontId="17" fillId="0" borderId="0" xfId="0" applyNumberFormat="1" applyFont="1" applyAlignment="1">
      <alignment vertical="center"/>
    </xf>
    <xf numFmtId="3" fontId="17" fillId="0" borderId="0" xfId="0" applyNumberFormat="1" applyFont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179" fontId="17" fillId="0" borderId="0" xfId="0" applyNumberFormat="1" applyFont="1" applyAlignment="1">
      <alignment vertical="center"/>
    </xf>
    <xf numFmtId="4" fontId="18" fillId="0" borderId="0" xfId="0" applyNumberFormat="1" applyFont="1" applyAlignment="1">
      <alignment vertical="center"/>
    </xf>
    <xf numFmtId="3" fontId="18" fillId="0" borderId="0" xfId="0" applyNumberFormat="1" applyFont="1" applyAlignment="1">
      <alignment vertical="center"/>
    </xf>
    <xf numFmtId="3" fontId="1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3" fontId="1" fillId="0" borderId="48" xfId="0" applyNumberFormat="1" applyFont="1" applyBorder="1" applyAlignment="1">
      <alignment horizontal="center" vertical="center"/>
    </xf>
    <xf numFmtId="3" fontId="1" fillId="0" borderId="49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50" xfId="0" applyNumberFormat="1" applyFont="1" applyBorder="1" applyAlignment="1">
      <alignment horizontal="center" vertical="center"/>
    </xf>
    <xf numFmtId="3" fontId="1" fillId="0" borderId="51" xfId="0" applyNumberFormat="1" applyFont="1" applyBorder="1" applyAlignment="1">
      <alignment horizontal="center" vertical="center"/>
    </xf>
    <xf numFmtId="179" fontId="1" fillId="0" borderId="51" xfId="0" applyNumberFormat="1" applyFont="1" applyBorder="1" applyAlignment="1">
      <alignment horizontal="center" vertical="center"/>
    </xf>
    <xf numFmtId="3" fontId="1" fillId="0" borderId="52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3" fontId="1" fillId="0" borderId="53" xfId="0" applyNumberFormat="1" applyFont="1" applyBorder="1" applyAlignment="1">
      <alignment horizontal="center" vertical="center"/>
    </xf>
    <xf numFmtId="3" fontId="1" fillId="0" borderId="54" xfId="0" applyNumberFormat="1" applyFont="1" applyBorder="1" applyAlignment="1">
      <alignment horizontal="center" vertical="center"/>
    </xf>
    <xf numFmtId="3" fontId="1" fillId="0" borderId="55" xfId="0" applyNumberFormat="1" applyFont="1" applyBorder="1" applyAlignment="1">
      <alignment horizontal="center" vertical="center"/>
    </xf>
    <xf numFmtId="3" fontId="1" fillId="0" borderId="56" xfId="0" applyNumberFormat="1" applyFont="1" applyBorder="1" applyAlignment="1">
      <alignment horizontal="center" vertical="center"/>
    </xf>
    <xf numFmtId="3" fontId="1" fillId="0" borderId="57" xfId="0" applyNumberFormat="1" applyFont="1" applyBorder="1" applyAlignment="1">
      <alignment horizontal="center" vertical="center"/>
    </xf>
    <xf numFmtId="179" fontId="1" fillId="0" borderId="57" xfId="0" applyNumberFormat="1" applyFont="1" applyBorder="1" applyAlignment="1">
      <alignment horizontal="center" vertical="center"/>
    </xf>
    <xf numFmtId="3" fontId="1" fillId="0" borderId="58" xfId="0" applyNumberFormat="1" applyFont="1" applyBorder="1" applyAlignment="1">
      <alignment horizontal="center" vertical="center"/>
    </xf>
    <xf numFmtId="3" fontId="1" fillId="0" borderId="59" xfId="0" applyNumberFormat="1" applyFont="1" applyBorder="1" applyAlignment="1">
      <alignment horizontal="center" vertical="center"/>
    </xf>
    <xf numFmtId="3" fontId="1" fillId="0" borderId="60" xfId="0" applyNumberFormat="1" applyFont="1" applyBorder="1" applyAlignment="1">
      <alignment horizontal="center" vertical="center" wrapText="1"/>
    </xf>
    <xf numFmtId="3" fontId="1" fillId="0" borderId="60" xfId="0" applyNumberFormat="1" applyFont="1" applyBorder="1" applyAlignment="1">
      <alignment horizontal="center" vertical="center"/>
    </xf>
    <xf numFmtId="3" fontId="1" fillId="0" borderId="61" xfId="0" applyNumberFormat="1" applyFont="1" applyBorder="1" applyAlignment="1">
      <alignment horizontal="center" vertical="center"/>
    </xf>
    <xf numFmtId="3" fontId="7" fillId="0" borderId="61" xfId="0" applyNumberFormat="1" applyFont="1" applyBorder="1" applyAlignment="1">
      <alignment horizontal="center" vertical="center"/>
    </xf>
    <xf numFmtId="179" fontId="1" fillId="0" borderId="61" xfId="0" applyNumberFormat="1" applyFont="1" applyBorder="1" applyAlignment="1">
      <alignment horizontal="right" vertical="center"/>
    </xf>
    <xf numFmtId="179" fontId="1" fillId="0" borderId="61" xfId="0" applyNumberFormat="1" applyFont="1" applyBorder="1" applyAlignment="1">
      <alignment vertical="center"/>
    </xf>
    <xf numFmtId="3" fontId="1" fillId="0" borderId="62" xfId="0" applyNumberFormat="1" applyFont="1" applyBorder="1" applyAlignment="1">
      <alignment vertical="center"/>
    </xf>
    <xf numFmtId="3" fontId="1" fillId="0" borderId="6" xfId="0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179" fontId="1" fillId="0" borderId="6" xfId="2" applyNumberFormat="1" applyFont="1" applyFill="1" applyBorder="1" applyAlignment="1">
      <alignment horizontal="right" vertical="center"/>
    </xf>
    <xf numFmtId="179" fontId="1" fillId="0" borderId="6" xfId="0" applyNumberFormat="1" applyFont="1" applyBorder="1" applyAlignment="1">
      <alignment vertical="center"/>
    </xf>
    <xf numFmtId="3" fontId="1" fillId="0" borderId="63" xfId="0" applyNumberFormat="1" applyFont="1" applyBorder="1" applyAlignment="1">
      <alignment vertical="center"/>
    </xf>
    <xf numFmtId="179" fontId="1" fillId="0" borderId="6" xfId="0" applyNumberFormat="1" applyFont="1" applyBorder="1" applyAlignment="1">
      <alignment horizontal="right" vertical="center"/>
    </xf>
    <xf numFmtId="3" fontId="0" fillId="5" borderId="6" xfId="0" applyNumberFormat="1" applyFill="1" applyBorder="1" applyAlignment="1">
      <alignment horizontal="center" vertical="center"/>
    </xf>
    <xf numFmtId="179" fontId="1" fillId="5" borderId="6" xfId="0" applyNumberFormat="1" applyFont="1" applyFill="1" applyBorder="1" applyAlignment="1">
      <alignment vertical="center"/>
    </xf>
    <xf numFmtId="3" fontId="0" fillId="0" borderId="63" xfId="0" applyNumberFormat="1" applyBorder="1" applyAlignment="1">
      <alignment vertical="center"/>
    </xf>
    <xf numFmtId="3" fontId="1" fillId="0" borderId="64" xfId="0" applyNumberFormat="1" applyFont="1" applyBorder="1" applyAlignment="1">
      <alignment horizontal="center" vertical="center"/>
    </xf>
    <xf numFmtId="3" fontId="1" fillId="0" borderId="65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65" xfId="0" applyNumberFormat="1" applyFont="1" applyBorder="1" applyAlignment="1">
      <alignment horizontal="center" vertical="center"/>
    </xf>
    <xf numFmtId="179" fontId="5" fillId="0" borderId="6" xfId="0" applyNumberFormat="1" applyFont="1" applyBorder="1" applyAlignment="1">
      <alignment vertical="center"/>
    </xf>
    <xf numFmtId="3" fontId="1" fillId="0" borderId="66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left" vertical="center"/>
    </xf>
    <xf numFmtId="3" fontId="1" fillId="0" borderId="67" xfId="0" applyNumberFormat="1" applyFont="1" applyBorder="1" applyAlignment="1">
      <alignment horizontal="center" vertical="center"/>
    </xf>
    <xf numFmtId="179" fontId="5" fillId="0" borderId="68" xfId="0" applyNumberFormat="1" applyFont="1" applyBorder="1" applyAlignment="1">
      <alignment vertical="center"/>
    </xf>
    <xf numFmtId="3" fontId="1" fillId="0" borderId="69" xfId="0" applyNumberFormat="1" applyFont="1" applyBorder="1" applyAlignment="1">
      <alignment vertical="center"/>
    </xf>
    <xf numFmtId="3" fontId="1" fillId="0" borderId="70" xfId="0" applyNumberFormat="1" applyFont="1" applyBorder="1" applyAlignment="1">
      <alignment horizontal="center" vertic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47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46" xfId="0" applyNumberFormat="1" applyFont="1" applyBorder="1" applyAlignment="1">
      <alignment horizontal="center" vertical="center"/>
    </xf>
    <xf numFmtId="3" fontId="1" fillId="0" borderId="47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179" fontId="5" fillId="0" borderId="33" xfId="0" applyNumberFormat="1" applyFont="1" applyBorder="1" applyAlignment="1">
      <alignment vertical="center"/>
    </xf>
    <xf numFmtId="3" fontId="1" fillId="0" borderId="73" xfId="0" applyNumberFormat="1" applyFont="1" applyBorder="1" applyAlignment="1">
      <alignment vertical="center"/>
    </xf>
    <xf numFmtId="3" fontId="1" fillId="0" borderId="48" xfId="0" applyNumberFormat="1" applyFont="1" applyBorder="1" applyAlignment="1">
      <alignment horizontal="center" vertical="center"/>
    </xf>
    <xf numFmtId="3" fontId="1" fillId="0" borderId="51" xfId="0" applyNumberFormat="1" applyFont="1" applyBorder="1" applyAlignment="1">
      <alignment horizontal="center" vertical="center" wrapText="1"/>
    </xf>
    <xf numFmtId="3" fontId="1" fillId="0" borderId="51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3" fontId="7" fillId="0" borderId="74" xfId="0" applyNumberFormat="1" applyFont="1" applyBorder="1" applyAlignment="1">
      <alignment horizontal="center" vertical="center"/>
    </xf>
    <xf numFmtId="179" fontId="1" fillId="0" borderId="74" xfId="0" applyNumberFormat="1" applyFont="1" applyBorder="1" applyAlignment="1">
      <alignment vertical="center"/>
    </xf>
    <xf numFmtId="3" fontId="1" fillId="0" borderId="75" xfId="0" applyNumberFormat="1" applyFont="1" applyBorder="1" applyAlignment="1">
      <alignment vertical="center"/>
    </xf>
    <xf numFmtId="3" fontId="1" fillId="0" borderId="28" xfId="0" applyNumberFormat="1" applyFont="1" applyBorder="1" applyAlignment="1">
      <alignment horizontal="center" vertical="center" wrapText="1"/>
    </xf>
    <xf numFmtId="3" fontId="1" fillId="0" borderId="61" xfId="0" applyNumberFormat="1" applyFont="1" applyBorder="1" applyAlignment="1">
      <alignment horizontal="center" vertical="center"/>
    </xf>
    <xf numFmtId="179" fontId="1" fillId="5" borderId="61" xfId="0" applyNumberFormat="1" applyFont="1" applyFill="1" applyBorder="1" applyAlignment="1">
      <alignment vertical="center"/>
    </xf>
    <xf numFmtId="3" fontId="1" fillId="0" borderId="28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42" xfId="0" applyNumberFormat="1" applyFont="1" applyBorder="1" applyAlignment="1">
      <alignment horizontal="center" vertical="center"/>
    </xf>
    <xf numFmtId="3" fontId="1" fillId="0" borderId="43" xfId="0" applyNumberFormat="1" applyFont="1" applyBorder="1" applyAlignment="1">
      <alignment horizontal="center" vertical="center"/>
    </xf>
    <xf numFmtId="3" fontId="1" fillId="0" borderId="76" xfId="0" applyNumberFormat="1" applyFont="1" applyBorder="1" applyAlignment="1">
      <alignment horizontal="center" vertical="center"/>
    </xf>
    <xf numFmtId="179" fontId="5" fillId="0" borderId="74" xfId="0" applyNumberFormat="1" applyFont="1" applyBorder="1" applyAlignment="1">
      <alignment vertical="center"/>
    </xf>
    <xf numFmtId="3" fontId="1" fillId="0" borderId="7" xfId="0" applyNumberFormat="1" applyFont="1" applyBorder="1" applyAlignment="1">
      <alignment horizontal="center" vertical="center"/>
    </xf>
    <xf numFmtId="3" fontId="1" fillId="0" borderId="15" xfId="0" applyNumberFormat="1" applyFont="1" applyBorder="1" applyAlignment="1">
      <alignment horizontal="center" vertical="center"/>
    </xf>
    <xf numFmtId="3" fontId="1" fillId="0" borderId="77" xfId="0" applyNumberFormat="1" applyFont="1" applyBorder="1" applyAlignment="1">
      <alignment horizontal="center" vertical="center"/>
    </xf>
    <xf numFmtId="3" fontId="1" fillId="0" borderId="78" xfId="0" applyNumberFormat="1" applyFont="1" applyBorder="1" applyAlignment="1">
      <alignment horizontal="center" vertical="center"/>
    </xf>
    <xf numFmtId="3" fontId="1" fillId="0" borderId="79" xfId="0" applyNumberFormat="1" applyFont="1" applyBorder="1" applyAlignment="1">
      <alignment horizontal="center" vertical="center"/>
    </xf>
    <xf numFmtId="179" fontId="5" fillId="0" borderId="18" xfId="0" applyNumberFormat="1" applyFont="1" applyBorder="1" applyAlignment="1">
      <alignment vertical="center"/>
    </xf>
    <xf numFmtId="3" fontId="1" fillId="0" borderId="80" xfId="0" applyNumberFormat="1" applyFont="1" applyBorder="1" applyAlignment="1">
      <alignment vertical="center"/>
    </xf>
    <xf numFmtId="3" fontId="1" fillId="0" borderId="81" xfId="0" applyNumberFormat="1" applyFont="1" applyBorder="1" applyAlignment="1">
      <alignment horizontal="center" vertical="center"/>
    </xf>
    <xf numFmtId="3" fontId="1" fillId="0" borderId="82" xfId="0" applyNumberFormat="1" applyFont="1" applyBorder="1" applyAlignment="1">
      <alignment horizontal="center" vertical="center"/>
    </xf>
    <xf numFmtId="3" fontId="1" fillId="0" borderId="83" xfId="0" applyNumberFormat="1" applyFont="1" applyBorder="1" applyAlignment="1">
      <alignment horizontal="center" vertical="center"/>
    </xf>
    <xf numFmtId="3" fontId="1" fillId="0" borderId="84" xfId="0" applyNumberFormat="1" applyFont="1" applyBorder="1" applyAlignment="1">
      <alignment horizontal="center" vertical="center"/>
    </xf>
    <xf numFmtId="3" fontId="1" fillId="0" borderId="85" xfId="0" applyNumberFormat="1" applyFont="1" applyBorder="1" applyAlignment="1">
      <alignment horizontal="center" vertical="center"/>
    </xf>
    <xf numFmtId="3" fontId="1" fillId="0" borderId="25" xfId="0" applyNumberFormat="1" applyFont="1" applyBorder="1" applyAlignment="1">
      <alignment horizontal="center" vertical="center"/>
    </xf>
    <xf numFmtId="179" fontId="5" fillId="4" borderId="86" xfId="0" applyNumberFormat="1" applyFont="1" applyFill="1" applyBorder="1" applyAlignment="1">
      <alignment vertical="center"/>
    </xf>
    <xf numFmtId="3" fontId="1" fillId="0" borderId="87" xfId="0" applyNumberFormat="1" applyFont="1" applyBorder="1" applyAlignment="1">
      <alignment vertical="center"/>
    </xf>
    <xf numFmtId="3" fontId="1" fillId="0" borderId="27" xfId="0" applyNumberFormat="1" applyFont="1" applyBorder="1" applyAlignment="1">
      <alignment horizontal="center" vertical="center"/>
    </xf>
    <xf numFmtId="3" fontId="7" fillId="5" borderId="4" xfId="0" applyNumberFormat="1" applyFont="1" applyFill="1" applyBorder="1" applyAlignment="1">
      <alignment horizontal="left" vertical="center"/>
    </xf>
    <xf numFmtId="3" fontId="7" fillId="5" borderId="5" xfId="0" applyNumberFormat="1" applyFont="1" applyFill="1" applyBorder="1" applyAlignment="1">
      <alignment horizontal="left" vertical="center"/>
    </xf>
    <xf numFmtId="3" fontId="7" fillId="5" borderId="65" xfId="0" applyNumberFormat="1" applyFont="1" applyFill="1" applyBorder="1" applyAlignment="1">
      <alignment horizontal="left" vertical="center"/>
    </xf>
    <xf numFmtId="179" fontId="5" fillId="0" borderId="61" xfId="0" applyNumberFormat="1" applyFont="1" applyBorder="1" applyAlignment="1">
      <alignment vertical="center"/>
    </xf>
    <xf numFmtId="3" fontId="7" fillId="0" borderId="63" xfId="0" applyNumberFormat="1" applyFont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7" fillId="0" borderId="4" xfId="0" applyNumberFormat="1" applyFont="1" applyBorder="1" applyAlignment="1">
      <alignment horizontal="left" vertical="center"/>
    </xf>
    <xf numFmtId="3" fontId="7" fillId="0" borderId="5" xfId="0" applyNumberFormat="1" applyFont="1" applyBorder="1" applyAlignment="1">
      <alignment horizontal="left" vertical="center"/>
    </xf>
    <xf numFmtId="3" fontId="7" fillId="0" borderId="65" xfId="0" applyNumberFormat="1" applyFont="1" applyBorder="1" applyAlignment="1">
      <alignment horizontal="left" vertical="center"/>
    </xf>
    <xf numFmtId="3" fontId="1" fillId="0" borderId="88" xfId="0" applyNumberFormat="1" applyFont="1" applyBorder="1" applyAlignment="1">
      <alignment horizontal="center" vertical="center"/>
    </xf>
    <xf numFmtId="3" fontId="0" fillId="0" borderId="46" xfId="0" quotePrefix="1" applyNumberFormat="1" applyBorder="1" applyAlignment="1">
      <alignment horizontal="left" vertical="center"/>
    </xf>
    <xf numFmtId="3" fontId="0" fillId="0" borderId="47" xfId="0" quotePrefix="1" applyNumberFormat="1" applyBorder="1" applyAlignment="1">
      <alignment horizontal="left" vertical="center"/>
    </xf>
    <xf numFmtId="3" fontId="0" fillId="0" borderId="72" xfId="0" quotePrefix="1" applyNumberFormat="1" applyBorder="1" applyAlignment="1">
      <alignment horizontal="left" vertical="center"/>
    </xf>
    <xf numFmtId="3" fontId="1" fillId="0" borderId="89" xfId="0" applyNumberFormat="1" applyFont="1" applyBorder="1" applyAlignment="1">
      <alignment horizontal="left" vertical="center"/>
    </xf>
    <xf numFmtId="3" fontId="1" fillId="0" borderId="90" xfId="0" applyNumberFormat="1" applyFont="1" applyBorder="1" applyAlignment="1">
      <alignment horizontal="center" vertical="center"/>
    </xf>
    <xf numFmtId="3" fontId="7" fillId="0" borderId="91" xfId="0" quotePrefix="1" applyNumberFormat="1" applyFont="1" applyBorder="1" applyAlignment="1">
      <alignment horizontal="left" vertical="center"/>
    </xf>
    <xf numFmtId="3" fontId="7" fillId="0" borderId="90" xfId="0" quotePrefix="1" applyNumberFormat="1" applyFont="1" applyBorder="1" applyAlignment="1">
      <alignment horizontal="left" vertical="center"/>
    </xf>
    <xf numFmtId="3" fontId="7" fillId="0" borderId="92" xfId="0" quotePrefix="1" applyNumberFormat="1" applyFont="1" applyBorder="1" applyAlignment="1">
      <alignment horizontal="left" vertical="center"/>
    </xf>
    <xf numFmtId="179" fontId="5" fillId="0" borderId="91" xfId="0" applyNumberFormat="1" applyFont="1" applyBorder="1" applyAlignment="1">
      <alignment vertical="center"/>
    </xf>
    <xf numFmtId="3" fontId="1" fillId="0" borderId="93" xfId="0" applyNumberFormat="1" applyFont="1" applyBorder="1" applyAlignment="1">
      <alignment vertical="center"/>
    </xf>
    <xf numFmtId="3" fontId="0" fillId="0" borderId="0" xfId="0" applyNumberFormat="1" applyAlignment="1">
      <alignment vertical="center"/>
    </xf>
    <xf numFmtId="3" fontId="0" fillId="0" borderId="68" xfId="0" applyNumberFormat="1" applyBorder="1" applyAlignment="1">
      <alignment horizontal="center" vertical="center" wrapText="1"/>
    </xf>
    <xf numFmtId="179" fontId="0" fillId="0" borderId="4" xfId="0" applyNumberFormat="1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9" fontId="0" fillId="0" borderId="65" xfId="0" applyNumberFormat="1" applyBorder="1" applyAlignment="1">
      <alignment horizontal="center" vertical="center"/>
    </xf>
    <xf numFmtId="179" fontId="0" fillId="0" borderId="6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3" fontId="0" fillId="0" borderId="28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3" fontId="0" fillId="0" borderId="6" xfId="0" applyNumberFormat="1" applyBorder="1" applyAlignment="1">
      <alignment vertical="center"/>
    </xf>
    <xf numFmtId="3" fontId="0" fillId="0" borderId="61" xfId="0" applyNumberFormat="1" applyBorder="1" applyAlignment="1">
      <alignment horizontal="center" vertical="center"/>
    </xf>
    <xf numFmtId="17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176" fontId="0" fillId="0" borderId="103" xfId="0" applyNumberFormat="1" applyBorder="1" applyAlignment="1">
      <alignment horizontal="center" vertical="center"/>
    </xf>
    <xf numFmtId="176" fontId="0" fillId="0" borderId="103" xfId="0" applyNumberFormat="1" applyBorder="1" applyAlignment="1">
      <alignment horizontal="left" vertical="center"/>
    </xf>
    <xf numFmtId="176" fontId="20" fillId="0" borderId="104" xfId="0" applyNumberFormat="1" applyFont="1" applyBorder="1" applyAlignment="1">
      <alignment vertical="center"/>
    </xf>
    <xf numFmtId="176" fontId="20" fillId="0" borderId="105" xfId="0" applyNumberFormat="1" applyFont="1" applyBorder="1" applyAlignment="1">
      <alignment vertical="center"/>
    </xf>
    <xf numFmtId="176" fontId="20" fillId="0" borderId="106" xfId="0" applyNumberFormat="1" applyFont="1" applyBorder="1" applyAlignment="1">
      <alignment vertical="center"/>
    </xf>
    <xf numFmtId="176" fontId="1" fillId="0" borderId="107" xfId="0" applyNumberFormat="1" applyFont="1" applyBorder="1" applyAlignment="1">
      <alignment vertical="center"/>
    </xf>
    <xf numFmtId="176" fontId="1" fillId="0" borderId="105" xfId="0" applyNumberFormat="1" applyFont="1" applyBorder="1" applyAlignment="1">
      <alignment vertical="center"/>
    </xf>
    <xf numFmtId="176" fontId="0" fillId="0" borderId="108" xfId="0" applyNumberFormat="1" applyBorder="1" applyAlignment="1">
      <alignment vertical="center"/>
    </xf>
    <xf numFmtId="176" fontId="0" fillId="0" borderId="109" xfId="0" applyNumberFormat="1" applyBorder="1" applyAlignment="1">
      <alignment vertical="center"/>
    </xf>
    <xf numFmtId="176" fontId="0" fillId="0" borderId="110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26" xfId="0" applyNumberFormat="1" applyBorder="1" applyAlignment="1">
      <alignment horizontal="center" vertical="center"/>
    </xf>
    <xf numFmtId="176" fontId="0" fillId="0" borderId="26" xfId="0" applyNumberFormat="1" applyBorder="1" applyAlignment="1">
      <alignment horizontal="left" vertical="center"/>
    </xf>
    <xf numFmtId="176" fontId="20" fillId="0" borderId="27" xfId="0" applyNumberFormat="1" applyFont="1" applyBorder="1" applyAlignment="1">
      <alignment vertical="center"/>
    </xf>
    <xf numFmtId="176" fontId="20" fillId="0" borderId="6" xfId="0" applyNumberFormat="1" applyFont="1" applyBorder="1" applyAlignment="1">
      <alignment vertical="center"/>
    </xf>
    <xf numFmtId="176" fontId="20" fillId="0" borderId="63" xfId="0" applyNumberFormat="1" applyFont="1" applyBorder="1" applyAlignment="1">
      <alignment vertical="center"/>
    </xf>
    <xf numFmtId="176" fontId="1" fillId="0" borderId="65" xfId="0" applyNumberFormat="1" applyFont="1" applyBorder="1" applyAlignment="1">
      <alignment vertical="center"/>
    </xf>
    <xf numFmtId="176" fontId="1" fillId="0" borderId="6" xfId="0" applyNumberFormat="1" applyFont="1" applyBorder="1" applyAlignment="1">
      <alignment vertical="center"/>
    </xf>
    <xf numFmtId="176" fontId="0" fillId="0" borderId="111" xfId="0" applyNumberFormat="1" applyBorder="1" applyAlignment="1">
      <alignment vertical="center"/>
    </xf>
    <xf numFmtId="176" fontId="0" fillId="0" borderId="112" xfId="0" applyNumberFormat="1" applyBorder="1" applyAlignment="1">
      <alignment vertical="center"/>
    </xf>
    <xf numFmtId="176" fontId="0" fillId="0" borderId="21" xfId="0" applyNumberFormat="1" applyBorder="1" applyAlignment="1">
      <alignment vertical="center"/>
    </xf>
    <xf numFmtId="176" fontId="0" fillId="0" borderId="34" xfId="0" applyNumberFormat="1" applyBorder="1" applyAlignment="1">
      <alignment horizontal="center" vertical="center"/>
    </xf>
    <xf numFmtId="176" fontId="0" fillId="0" borderId="34" xfId="0" applyNumberFormat="1" applyBorder="1" applyAlignment="1">
      <alignment horizontal="left" vertical="center"/>
    </xf>
    <xf numFmtId="176" fontId="20" fillId="0" borderId="31" xfId="0" applyNumberFormat="1" applyFont="1" applyBorder="1" applyAlignment="1">
      <alignment vertical="center"/>
    </xf>
    <xf numFmtId="176" fontId="20" fillId="0" borderId="33" xfId="0" applyNumberFormat="1" applyFont="1" applyBorder="1" applyAlignment="1">
      <alignment vertical="center"/>
    </xf>
    <xf numFmtId="176" fontId="20" fillId="0" borderId="73" xfId="0" applyNumberFormat="1" applyFont="1" applyBorder="1" applyAlignment="1">
      <alignment vertical="center"/>
    </xf>
    <xf numFmtId="176" fontId="1" fillId="0" borderId="72" xfId="0" applyNumberFormat="1" applyFont="1" applyBorder="1" applyAlignment="1">
      <alignment vertical="center"/>
    </xf>
    <xf numFmtId="176" fontId="1" fillId="0" borderId="33" xfId="0" applyNumberFormat="1" applyFont="1" applyBorder="1" applyAlignment="1">
      <alignment vertical="center"/>
    </xf>
    <xf numFmtId="176" fontId="0" fillId="0" borderId="113" xfId="0" applyNumberFormat="1" applyBorder="1" applyAlignment="1">
      <alignment vertical="center"/>
    </xf>
    <xf numFmtId="176" fontId="0" fillId="0" borderId="114" xfId="0" applyNumberFormat="1" applyBorder="1" applyAlignment="1">
      <alignment vertical="center"/>
    </xf>
    <xf numFmtId="176" fontId="0" fillId="0" borderId="30" xfId="0" applyNumberFormat="1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20" fillId="0" borderId="48" xfId="0" applyNumberFormat="1" applyFont="1" applyBorder="1" applyAlignment="1">
      <alignment vertical="center"/>
    </xf>
    <xf numFmtId="176" fontId="20" fillId="0" borderId="51" xfId="0" applyNumberFormat="1" applyFont="1" applyBorder="1" applyAlignment="1">
      <alignment vertical="center"/>
    </xf>
    <xf numFmtId="176" fontId="20" fillId="0" borderId="52" xfId="0" applyNumberFormat="1" applyFont="1" applyBorder="1" applyAlignment="1">
      <alignment vertical="center"/>
    </xf>
    <xf numFmtId="176" fontId="5" fillId="0" borderId="50" xfId="0" applyNumberFormat="1" applyFont="1" applyBorder="1" applyAlignment="1">
      <alignment vertical="center"/>
    </xf>
    <xf numFmtId="176" fontId="5" fillId="0" borderId="51" xfId="0" applyNumberFormat="1" applyFont="1" applyBorder="1" applyAlignment="1">
      <alignment vertical="center"/>
    </xf>
    <xf numFmtId="176" fontId="5" fillId="0" borderId="94" xfId="0" applyNumberFormat="1" applyFont="1" applyBorder="1" applyAlignment="1">
      <alignment vertical="center"/>
    </xf>
    <xf numFmtId="176" fontId="5" fillId="0" borderId="115" xfId="0" applyNumberFormat="1" applyFon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7" fillId="0" borderId="9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9" fontId="21" fillId="0" borderId="70" xfId="2" applyFont="1" applyBorder="1" applyAlignment="1">
      <alignment vertical="center"/>
    </xf>
    <xf numFmtId="9" fontId="21" fillId="0" borderId="32" xfId="2" applyFont="1" applyBorder="1" applyAlignment="1">
      <alignment vertical="center"/>
    </xf>
    <xf numFmtId="9" fontId="21" fillId="0" borderId="116" xfId="2" applyFont="1" applyBorder="1" applyAlignment="1">
      <alignment vertical="center"/>
    </xf>
    <xf numFmtId="9" fontId="7" fillId="0" borderId="117" xfId="2" applyFont="1" applyBorder="1" applyAlignment="1">
      <alignment vertical="center"/>
    </xf>
    <xf numFmtId="9" fontId="7" fillId="0" borderId="32" xfId="2" applyFont="1" applyFill="1" applyBorder="1" applyAlignment="1">
      <alignment vertical="center"/>
    </xf>
    <xf numFmtId="9" fontId="7" fillId="0" borderId="32" xfId="2" applyFont="1" applyBorder="1" applyAlignment="1">
      <alignment vertical="center"/>
    </xf>
    <xf numFmtId="9" fontId="7" fillId="0" borderId="118" xfId="2" applyFont="1" applyBorder="1" applyAlignment="1">
      <alignment vertical="center"/>
    </xf>
    <xf numFmtId="9" fontId="7" fillId="0" borderId="119" xfId="2" applyFont="1" applyBorder="1" applyAlignment="1">
      <alignment vertical="center"/>
    </xf>
    <xf numFmtId="176" fontId="7" fillId="0" borderId="11" xfId="0" applyNumberFormat="1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vertical="center"/>
    </xf>
    <xf numFmtId="0" fontId="22" fillId="0" borderId="0" xfId="0" applyFont="1" applyAlignment="1">
      <alignment vertical="center"/>
    </xf>
    <xf numFmtId="41" fontId="22" fillId="0" borderId="0" xfId="1" applyFont="1" applyAlignment="1">
      <alignment vertical="center"/>
    </xf>
    <xf numFmtId="179" fontId="23" fillId="0" borderId="0" xfId="0" applyNumberFormat="1" applyFont="1" applyAlignment="1">
      <alignment vertical="center"/>
    </xf>
    <xf numFmtId="0" fontId="11" fillId="0" borderId="0" xfId="0" applyFont="1" applyAlignment="1">
      <alignment horizontal="right" vertical="center"/>
    </xf>
    <xf numFmtId="180" fontId="24" fillId="0" borderId="10" xfId="0" applyNumberFormat="1" applyFont="1" applyBorder="1" applyAlignment="1">
      <alignment horizontal="center" vertical="center"/>
    </xf>
    <xf numFmtId="176" fontId="23" fillId="0" borderId="0" xfId="0" applyNumberFormat="1" applyFont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2" borderId="26" xfId="0" applyFill="1" applyBorder="1" applyAlignment="1">
      <alignment vertical="center"/>
    </xf>
    <xf numFmtId="0" fontId="0" fillId="2" borderId="120" xfId="0" applyFill="1" applyBorder="1" applyAlignment="1">
      <alignment vertical="center"/>
    </xf>
    <xf numFmtId="0" fontId="0" fillId="2" borderId="120" xfId="0" applyFill="1" applyBorder="1" applyAlignment="1">
      <alignment horizontal="center" vertical="center"/>
    </xf>
    <xf numFmtId="176" fontId="0" fillId="2" borderId="120" xfId="0" applyNumberFormat="1" applyFill="1" applyBorder="1" applyAlignment="1">
      <alignment horizontal="right" vertical="center"/>
    </xf>
    <xf numFmtId="176" fontId="0" fillId="2" borderId="120" xfId="0" applyNumberFormat="1" applyFill="1" applyBorder="1" applyAlignment="1">
      <alignment vertical="center"/>
    </xf>
    <xf numFmtId="176" fontId="0" fillId="0" borderId="87" xfId="0" applyNumberFormat="1" applyBorder="1" applyAlignment="1">
      <alignment vertical="center"/>
    </xf>
    <xf numFmtId="0" fontId="0" fillId="0" borderId="120" xfId="0" applyBorder="1" applyAlignment="1">
      <alignment vertical="center"/>
    </xf>
    <xf numFmtId="0" fontId="0" fillId="0" borderId="40" xfId="0" applyBorder="1" applyAlignment="1">
      <alignment horizontal="center" vertical="center" wrapText="1"/>
    </xf>
    <xf numFmtId="0" fontId="0" fillId="0" borderId="26" xfId="0" applyBorder="1" applyAlignment="1">
      <alignment vertical="center"/>
    </xf>
    <xf numFmtId="0" fontId="0" fillId="2" borderId="26" xfId="0" applyFill="1" applyBorder="1" applyAlignment="1">
      <alignment horizontal="center" vertical="center"/>
    </xf>
    <xf numFmtId="176" fontId="0" fillId="2" borderId="26" xfId="0" applyNumberFormat="1" applyFill="1" applyBorder="1" applyAlignment="1">
      <alignment horizontal="right" vertical="center"/>
    </xf>
    <xf numFmtId="176" fontId="0" fillId="2" borderId="26" xfId="0" applyNumberFormat="1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0" fillId="2" borderId="34" xfId="0" applyFill="1" applyBorder="1" applyAlignment="1">
      <alignment horizontal="center" vertical="center"/>
    </xf>
    <xf numFmtId="176" fontId="0" fillId="2" borderId="34" xfId="0" applyNumberFormat="1" applyFill="1" applyBorder="1" applyAlignment="1">
      <alignment horizontal="right" vertical="center"/>
    </xf>
    <xf numFmtId="176" fontId="0" fillId="2" borderId="34" xfId="0" applyNumberFormat="1" applyFill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5" xfId="0" applyBorder="1" applyAlignment="1">
      <alignment vertical="center"/>
    </xf>
    <xf numFmtId="176" fontId="0" fillId="0" borderId="45" xfId="0" applyNumberFormat="1" applyBorder="1" applyAlignment="1">
      <alignment horizontal="right" vertical="center"/>
    </xf>
    <xf numFmtId="176" fontId="0" fillId="0" borderId="45" xfId="0" applyNumberFormat="1" applyBorder="1" applyAlignment="1">
      <alignment vertical="center"/>
    </xf>
    <xf numFmtId="176" fontId="0" fillId="0" borderId="12" xfId="0" applyNumberFormat="1" applyBorder="1" applyAlignment="1">
      <alignment vertical="center"/>
    </xf>
    <xf numFmtId="0" fontId="0" fillId="0" borderId="12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2" borderId="121" xfId="0" applyFill="1" applyBorder="1" applyAlignment="1">
      <alignment vertical="center"/>
    </xf>
    <xf numFmtId="0" fontId="0" fillId="2" borderId="121" xfId="0" applyFill="1" applyBorder="1" applyAlignment="1">
      <alignment horizontal="center" vertical="center"/>
    </xf>
    <xf numFmtId="176" fontId="0" fillId="2" borderId="121" xfId="0" applyNumberFormat="1" applyFill="1" applyBorder="1" applyAlignment="1">
      <alignment horizontal="right" vertical="center"/>
    </xf>
    <xf numFmtId="176" fontId="0" fillId="2" borderId="121" xfId="0" applyNumberFormat="1" applyFill="1" applyBorder="1" applyAlignment="1">
      <alignment vertical="center"/>
    </xf>
    <xf numFmtId="176" fontId="0" fillId="0" borderId="44" xfId="0" applyNumberFormat="1" applyBorder="1" applyAlignment="1">
      <alignment vertical="center"/>
    </xf>
    <xf numFmtId="0" fontId="0" fillId="0" borderId="121" xfId="0" applyBorder="1" applyAlignment="1">
      <alignment vertical="center"/>
    </xf>
    <xf numFmtId="0" fontId="0" fillId="5" borderId="7" xfId="0" applyFill="1" applyBorder="1" applyAlignment="1">
      <alignment vertical="center"/>
    </xf>
    <xf numFmtId="0" fontId="0" fillId="2" borderId="122" xfId="0" applyFill="1" applyBorder="1" applyAlignment="1">
      <alignment vertical="center"/>
    </xf>
    <xf numFmtId="0" fontId="0" fillId="2" borderId="122" xfId="0" applyFill="1" applyBorder="1" applyAlignment="1">
      <alignment horizontal="center" vertical="center"/>
    </xf>
    <xf numFmtId="176" fontId="0" fillId="2" borderId="122" xfId="0" applyNumberFormat="1" applyFill="1" applyBorder="1" applyAlignment="1">
      <alignment horizontal="right" vertical="center"/>
    </xf>
    <xf numFmtId="176" fontId="0" fillId="2" borderId="122" xfId="0" applyNumberFormat="1" applyFill="1" applyBorder="1" applyAlignment="1">
      <alignment vertical="center"/>
    </xf>
    <xf numFmtId="176" fontId="0" fillId="0" borderId="123" xfId="0" applyNumberFormat="1" applyBorder="1" applyAlignment="1">
      <alignment vertical="center"/>
    </xf>
    <xf numFmtId="0" fontId="0" fillId="0" borderId="122" xfId="0" applyBorder="1" applyAlignment="1">
      <alignment vertical="center"/>
    </xf>
    <xf numFmtId="0" fontId="0" fillId="6" borderId="37" xfId="0" applyFill="1" applyBorder="1" applyAlignment="1">
      <alignment vertical="center"/>
    </xf>
    <xf numFmtId="0" fontId="1" fillId="6" borderId="12" xfId="0" applyFont="1" applyFill="1" applyBorder="1" applyAlignment="1">
      <alignment vertical="center"/>
    </xf>
    <xf numFmtId="0" fontId="0" fillId="6" borderId="12" xfId="0" applyFill="1" applyBorder="1" applyAlignment="1">
      <alignment horizontal="center" vertical="center"/>
    </xf>
    <xf numFmtId="176" fontId="0" fillId="6" borderId="12" xfId="0" applyNumberFormat="1" applyFill="1" applyBorder="1" applyAlignment="1">
      <alignment horizontal="right" vertical="center"/>
    </xf>
    <xf numFmtId="176" fontId="0" fillId="6" borderId="12" xfId="0" applyNumberFormat="1" applyFill="1" applyBorder="1" applyAlignment="1">
      <alignment vertical="center"/>
    </xf>
    <xf numFmtId="176" fontId="0" fillId="6" borderId="37" xfId="0" applyNumberFormat="1" applyFill="1" applyBorder="1" applyAlignment="1">
      <alignment vertical="center"/>
    </xf>
    <xf numFmtId="0" fontId="0" fillId="6" borderId="12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26" xfId="1" applyNumberFormat="1" applyFont="1" applyFill="1" applyBorder="1" applyAlignment="1">
      <alignment horizontal="left" vertical="center"/>
    </xf>
    <xf numFmtId="0" fontId="0" fillId="2" borderId="13" xfId="0" applyFill="1" applyBorder="1" applyAlignment="1">
      <alignment vertical="center" wrapText="1"/>
    </xf>
    <xf numFmtId="0" fontId="0" fillId="2" borderId="13" xfId="0" applyFill="1" applyBorder="1" applyAlignment="1">
      <alignment horizontal="center" vertical="center"/>
    </xf>
    <xf numFmtId="176" fontId="0" fillId="2" borderId="13" xfId="0" applyNumberFormat="1" applyFill="1" applyBorder="1" applyAlignment="1">
      <alignment horizontal="right" vertical="center"/>
    </xf>
    <xf numFmtId="176" fontId="0" fillId="2" borderId="13" xfId="0" applyNumberFormat="1" applyFill="1" applyBorder="1" applyAlignment="1">
      <alignment vertical="center"/>
    </xf>
    <xf numFmtId="0" fontId="0" fillId="0" borderId="121" xfId="0" applyBorder="1" applyAlignment="1">
      <alignment horizontal="center" vertical="center"/>
    </xf>
    <xf numFmtId="41" fontId="0" fillId="2" borderId="26" xfId="1" applyFont="1" applyFill="1" applyBorder="1" applyAlignment="1">
      <alignment horizontal="center" vertical="center"/>
    </xf>
    <xf numFmtId="41" fontId="1" fillId="2" borderId="26" xfId="1" applyFont="1" applyFill="1" applyBorder="1" applyAlignment="1">
      <alignment horizontal="right" vertical="center"/>
    </xf>
    <xf numFmtId="0" fontId="0" fillId="0" borderId="26" xfId="0" applyBorder="1" applyAlignment="1">
      <alignment horizontal="center" vertical="center"/>
    </xf>
    <xf numFmtId="41" fontId="1" fillId="2" borderId="26" xfId="1" applyFont="1" applyFill="1" applyBorder="1" applyAlignment="1">
      <alignment horizontal="center" vertical="center"/>
    </xf>
    <xf numFmtId="0" fontId="0" fillId="2" borderId="26" xfId="0" applyFill="1" applyBorder="1" applyAlignment="1">
      <alignment vertical="center" shrinkToFit="1"/>
    </xf>
    <xf numFmtId="0" fontId="0" fillId="0" borderId="34" xfId="0" applyBorder="1" applyAlignment="1">
      <alignment horizontal="center" vertical="center"/>
    </xf>
    <xf numFmtId="0" fontId="0" fillId="0" borderId="120" xfId="0" applyBorder="1" applyAlignment="1">
      <alignment horizontal="center" vertical="center"/>
    </xf>
    <xf numFmtId="176" fontId="0" fillId="0" borderId="120" xfId="0" applyNumberFormat="1" applyBorder="1" applyAlignment="1">
      <alignment horizontal="right" vertical="center"/>
    </xf>
    <xf numFmtId="176" fontId="0" fillId="0" borderId="120" xfId="0" applyNumberFormat="1" applyBorder="1" applyAlignment="1">
      <alignment vertical="center"/>
    </xf>
    <xf numFmtId="176" fontId="0" fillId="0" borderId="8" xfId="0" applyNumberFormat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vertical="center"/>
    </xf>
    <xf numFmtId="176" fontId="0" fillId="0" borderId="13" xfId="0" applyNumberFormat="1" applyBorder="1" applyAlignment="1">
      <alignment horizontal="right" vertical="center"/>
    </xf>
    <xf numFmtId="176" fontId="0" fillId="0" borderId="13" xfId="0" applyNumberFormat="1" applyBorder="1" applyAlignment="1">
      <alignment vertical="center"/>
    </xf>
    <xf numFmtId="0" fontId="0" fillId="0" borderId="13" xfId="0" applyBorder="1" applyAlignment="1">
      <alignment horizontal="center" vertical="top" wrapText="1" shrinkToFit="1"/>
    </xf>
    <xf numFmtId="0" fontId="0" fillId="0" borderId="35" xfId="0" applyBorder="1" applyAlignment="1">
      <alignment vertical="center"/>
    </xf>
    <xf numFmtId="0" fontId="0" fillId="6" borderId="35" xfId="0" applyFill="1" applyBorder="1" applyAlignment="1">
      <alignment horizontal="center" vertical="center"/>
    </xf>
    <xf numFmtId="176" fontId="0" fillId="2" borderId="12" xfId="0" applyNumberFormat="1" applyFill="1" applyBorder="1" applyAlignment="1">
      <alignment horizontal="right" vertical="center"/>
    </xf>
    <xf numFmtId="176" fontId="0" fillId="2" borderId="12" xfId="0" applyNumberFormat="1" applyFill="1" applyBorder="1" applyAlignment="1">
      <alignment vertical="center"/>
    </xf>
    <xf numFmtId="176" fontId="0" fillId="0" borderId="37" xfId="0" applyNumberFormat="1" applyBorder="1" applyAlignment="1">
      <alignment vertical="center"/>
    </xf>
    <xf numFmtId="0" fontId="0" fillId="0" borderId="40" xfId="0" applyBorder="1" applyAlignment="1">
      <alignment horizontal="center" vertical="top" wrapText="1" shrinkToFit="1"/>
    </xf>
    <xf numFmtId="0" fontId="0" fillId="0" borderId="41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6" borderId="20" xfId="0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6" borderId="29" xfId="0" applyFill="1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35" xfId="0" applyBorder="1" applyAlignment="1">
      <alignment horizontal="center" vertical="center"/>
    </xf>
    <xf numFmtId="176" fontId="0" fillId="0" borderId="12" xfId="0" applyNumberFormat="1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176" fontId="0" fillId="0" borderId="35" xfId="0" applyNumberFormat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80" fontId="11" fillId="2" borderId="10" xfId="0" applyNumberFormat="1" applyFont="1" applyFill="1" applyBorder="1" applyAlignment="1">
      <alignment vertical="center"/>
    </xf>
    <xf numFmtId="180" fontId="0" fillId="0" borderId="0" xfId="0" applyNumberFormat="1" applyAlignment="1">
      <alignment vertical="center"/>
    </xf>
    <xf numFmtId="176" fontId="0" fillId="0" borderId="13" xfId="0" applyNumberFormat="1" applyBorder="1" applyAlignment="1">
      <alignment horizontal="center" vertical="center"/>
    </xf>
    <xf numFmtId="0" fontId="0" fillId="2" borderId="26" xfId="0" applyFill="1" applyBorder="1" applyAlignment="1">
      <alignment horizontal="left" vertical="center"/>
    </xf>
    <xf numFmtId="0" fontId="0" fillId="0" borderId="40" xfId="0" applyBorder="1" applyAlignment="1">
      <alignment horizontal="center" vertical="center"/>
    </xf>
    <xf numFmtId="181" fontId="0" fillId="0" borderId="45" xfId="0" applyNumberFormat="1" applyBorder="1" applyAlignment="1">
      <alignment horizontal="right" vertical="center"/>
    </xf>
    <xf numFmtId="0" fontId="0" fillId="2" borderId="40" xfId="0" applyFill="1" applyBorder="1" applyAlignment="1">
      <alignment vertical="center" wrapText="1"/>
    </xf>
    <xf numFmtId="0" fontId="0" fillId="3" borderId="124" xfId="0" applyFill="1" applyBorder="1" applyAlignment="1">
      <alignment horizontal="left" vertical="center" shrinkToFit="1"/>
    </xf>
    <xf numFmtId="0" fontId="0" fillId="0" borderId="4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2" borderId="13" xfId="0" applyFill="1" applyBorder="1" applyAlignment="1">
      <alignment horizontal="left" vertical="center" wrapText="1"/>
    </xf>
    <xf numFmtId="0" fontId="0" fillId="2" borderId="40" xfId="0" applyFill="1" applyBorder="1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20" xfId="0" applyFont="1" applyBorder="1" applyAlignment="1">
      <alignment vertical="center"/>
    </xf>
    <xf numFmtId="176" fontId="0" fillId="0" borderId="26" xfId="0" applyNumberFormat="1" applyBorder="1" applyAlignment="1">
      <alignment vertical="center"/>
    </xf>
    <xf numFmtId="3" fontId="0" fillId="0" borderId="120" xfId="0" applyNumberFormat="1" applyBorder="1" applyAlignment="1">
      <alignment horizontal="center" vertical="center"/>
    </xf>
    <xf numFmtId="176" fontId="0" fillId="2" borderId="26" xfId="0" applyNumberFormat="1" applyFill="1" applyBorder="1" applyAlignment="1">
      <alignment horizontal="center" vertical="center"/>
    </xf>
    <xf numFmtId="176" fontId="0" fillId="2" borderId="122" xfId="0" applyNumberFormat="1" applyFill="1" applyBorder="1" applyAlignment="1">
      <alignment horizontal="center" vertical="center"/>
    </xf>
    <xf numFmtId="176" fontId="0" fillId="6" borderId="12" xfId="0" applyNumberFormat="1" applyFill="1" applyBorder="1" applyAlignment="1">
      <alignment horizontal="center" vertical="center"/>
    </xf>
    <xf numFmtId="176" fontId="0" fillId="2" borderId="120" xfId="0" applyNumberFormat="1" applyFill="1" applyBorder="1" applyAlignment="1">
      <alignment horizontal="center" vertical="center"/>
    </xf>
    <xf numFmtId="176" fontId="0" fillId="2" borderId="34" xfId="0" applyNumberFormat="1" applyFill="1" applyBorder="1" applyAlignment="1">
      <alignment horizontal="center" vertical="center"/>
    </xf>
    <xf numFmtId="181" fontId="0" fillId="0" borderId="45" xfId="0" applyNumberFormat="1" applyBorder="1" applyAlignment="1">
      <alignment horizontal="center" vertical="center"/>
    </xf>
    <xf numFmtId="176" fontId="0" fillId="0" borderId="45" xfId="0" applyNumberFormat="1" applyBorder="1" applyAlignment="1">
      <alignment horizontal="center" vertical="center"/>
    </xf>
    <xf numFmtId="176" fontId="23" fillId="0" borderId="0" xfId="0" applyNumberFormat="1" applyFont="1" applyAlignment="1">
      <alignment vertical="center"/>
    </xf>
    <xf numFmtId="181" fontId="0" fillId="0" borderId="45" xfId="0" applyNumberFormat="1" applyBorder="1" applyAlignment="1">
      <alignment vertical="center"/>
    </xf>
    <xf numFmtId="0" fontId="26" fillId="0" borderId="0" xfId="0" applyFont="1" applyAlignment="1">
      <alignment vertical="center"/>
    </xf>
    <xf numFmtId="0" fontId="5" fillId="0" borderId="12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40" xfId="0" applyBorder="1" applyAlignme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43049</xdr:colOff>
      <xdr:row>3</xdr:row>
      <xdr:rowOff>43805</xdr:rowOff>
    </xdr:from>
    <xdr:to>
      <xdr:col>7</xdr:col>
      <xdr:colOff>699049</xdr:colOff>
      <xdr:row>5</xdr:row>
      <xdr:rowOff>92529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00D1953-F205-48C1-852A-703B32569E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9232" t="36430" r="34857" b="52977"/>
        <a:stretch/>
      </xdr:blipFill>
      <xdr:spPr>
        <a:xfrm>
          <a:off x="4881749" y="872480"/>
          <a:ext cx="656000" cy="6297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50449BD-7A41-466A-89F4-971B7E8E7A36}"/>
            </a:ext>
          </a:extLst>
        </xdr:cNvPr>
        <xdr:cNvSpPr>
          <a:spLocks noChangeArrowheads="1"/>
        </xdr:cNvSpPr>
      </xdr:nvSpPr>
      <xdr:spPr bwMode="auto">
        <a:xfrm>
          <a:off x="6438900" y="0"/>
          <a:ext cx="19335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6</xdr:col>
      <xdr:colOff>295275</xdr:colOff>
      <xdr:row>0</xdr:row>
      <xdr:rowOff>276398</xdr:rowOff>
    </xdr:to>
    <xdr:sp macro="[1]!값이있는행만출력하시오" textlink="">
      <xdr:nvSpPr>
        <xdr:cNvPr id="3" name="AutoShape 22">
          <a:extLst>
            <a:ext uri="{FF2B5EF4-FFF2-40B4-BE49-F238E27FC236}">
              <a16:creationId xmlns:a16="http://schemas.microsoft.com/office/drawing/2014/main" id="{4890C747-56B2-4AE2-A21F-E640825C697C}"/>
            </a:ext>
          </a:extLst>
        </xdr:cNvPr>
        <xdr:cNvSpPr>
          <a:spLocks noChangeArrowheads="1"/>
        </xdr:cNvSpPr>
      </xdr:nvSpPr>
      <xdr:spPr bwMode="auto">
        <a:xfrm>
          <a:off x="3371850" y="11430"/>
          <a:ext cx="24003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</xdr:colOff>
      <xdr:row>0</xdr:row>
      <xdr:rowOff>0</xdr:rowOff>
    </xdr:from>
    <xdr:to>
      <xdr:col>9</xdr:col>
      <xdr:colOff>3403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52E5272-9609-47EB-BC79-E999ABB69394}"/>
            </a:ext>
          </a:extLst>
        </xdr:cNvPr>
        <xdr:cNvSpPr>
          <a:spLocks noChangeArrowheads="1"/>
        </xdr:cNvSpPr>
      </xdr:nvSpPr>
      <xdr:spPr bwMode="auto">
        <a:xfrm>
          <a:off x="5383530" y="0"/>
          <a:ext cx="3554323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3</xdr:col>
      <xdr:colOff>1228725</xdr:colOff>
      <xdr:row>0</xdr:row>
      <xdr:rowOff>276398</xdr:rowOff>
    </xdr:to>
    <xdr:sp macro="[1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id="{604DB387-4A11-4E79-BD78-B06E08AC063F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287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52</xdr:row>
      <xdr:rowOff>200585</xdr:rowOff>
    </xdr:from>
    <xdr:to>
      <xdr:col>9</xdr:col>
      <xdr:colOff>2</xdr:colOff>
      <xdr:row>52</xdr:row>
      <xdr:rowOff>200585</xdr:rowOff>
    </xdr:to>
    <xdr:sp macro="" textlink="">
      <xdr:nvSpPr>
        <xdr:cNvPr id="4" name="Rectangle 15">
          <a:extLst>
            <a:ext uri="{FF2B5EF4-FFF2-40B4-BE49-F238E27FC236}">
              <a16:creationId xmlns:a16="http://schemas.microsoft.com/office/drawing/2014/main" id="{DBE6211C-14BB-4460-8189-A46E86AAB0A9}"/>
            </a:ext>
          </a:extLst>
        </xdr:cNvPr>
        <xdr:cNvSpPr>
          <a:spLocks noChangeArrowheads="1"/>
        </xdr:cNvSpPr>
      </xdr:nvSpPr>
      <xdr:spPr bwMode="auto">
        <a:xfrm>
          <a:off x="1744980" y="1069713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1266825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C64FD2C9-204A-4978-AA33-A3C48D8D3BAE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66800" cy="264968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51</xdr:row>
      <xdr:rowOff>199465</xdr:rowOff>
    </xdr:from>
    <xdr:to>
      <xdr:col>9</xdr:col>
      <xdr:colOff>2</xdr:colOff>
      <xdr:row>51</xdr:row>
      <xdr:rowOff>199465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855C0F8D-488E-4655-9570-0339AE0DA5F5}"/>
            </a:ext>
          </a:extLst>
        </xdr:cNvPr>
        <xdr:cNvSpPr>
          <a:spLocks noChangeArrowheads="1"/>
        </xdr:cNvSpPr>
      </xdr:nvSpPr>
      <xdr:spPr bwMode="auto">
        <a:xfrm>
          <a:off x="1744980" y="10495990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213360</xdr:colOff>
      <xdr:row>0</xdr:row>
      <xdr:rowOff>0</xdr:rowOff>
    </xdr:from>
    <xdr:to>
      <xdr:col>8</xdr:col>
      <xdr:colOff>718185</xdr:colOff>
      <xdr:row>1</xdr:row>
      <xdr:rowOff>0</xdr:rowOff>
    </xdr:to>
    <xdr:sp macro="" textlink="">
      <xdr:nvSpPr>
        <xdr:cNvPr id="4" name="Rectangle 15">
          <a:extLst>
            <a:ext uri="{FF2B5EF4-FFF2-40B4-BE49-F238E27FC236}">
              <a16:creationId xmlns:a16="http://schemas.microsoft.com/office/drawing/2014/main" id="{8AC4514D-79DC-4AFC-B98A-C15C278F1F37}"/>
            </a:ext>
          </a:extLst>
        </xdr:cNvPr>
        <xdr:cNvSpPr>
          <a:spLocks noChangeArrowheads="1"/>
        </xdr:cNvSpPr>
      </xdr:nvSpPr>
      <xdr:spPr bwMode="auto">
        <a:xfrm>
          <a:off x="514731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1289776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122EE124-35A3-42B1-BAAA-33B309137401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89751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52</xdr:row>
      <xdr:rowOff>5042</xdr:rowOff>
    </xdr:from>
    <xdr:to>
      <xdr:col>9</xdr:col>
      <xdr:colOff>2</xdr:colOff>
      <xdr:row>52</xdr:row>
      <xdr:rowOff>5042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5DC842A6-800E-4A8A-9104-0B6CA9DEF5B6}"/>
            </a:ext>
          </a:extLst>
        </xdr:cNvPr>
        <xdr:cNvSpPr>
          <a:spLocks noChangeArrowheads="1"/>
        </xdr:cNvSpPr>
      </xdr:nvSpPr>
      <xdr:spPr bwMode="auto">
        <a:xfrm>
          <a:off x="1744980" y="10501592"/>
          <a:ext cx="720852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299085</xdr:colOff>
      <xdr:row>0</xdr:row>
      <xdr:rowOff>0</xdr:rowOff>
    </xdr:from>
    <xdr:to>
      <xdr:col>8</xdr:col>
      <xdr:colOff>800117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7F6B79BC-75FF-48DF-9D50-8A6CBE851CC2}"/>
            </a:ext>
          </a:extLst>
        </xdr:cNvPr>
        <xdr:cNvSpPr>
          <a:spLocks noChangeArrowheads="1"/>
        </xdr:cNvSpPr>
      </xdr:nvSpPr>
      <xdr:spPr bwMode="auto">
        <a:xfrm>
          <a:off x="5233035" y="0"/>
          <a:ext cx="3549032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1211627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85960931-B797-477E-A711-034993B4CE53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11602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52</xdr:row>
      <xdr:rowOff>5042</xdr:rowOff>
    </xdr:from>
    <xdr:to>
      <xdr:col>9</xdr:col>
      <xdr:colOff>2</xdr:colOff>
      <xdr:row>52</xdr:row>
      <xdr:rowOff>5042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BBCCCC8A-AD2C-4AEC-AB5B-C8192C8F01F9}"/>
            </a:ext>
          </a:extLst>
        </xdr:cNvPr>
        <xdr:cNvSpPr>
          <a:spLocks noChangeArrowheads="1"/>
        </xdr:cNvSpPr>
      </xdr:nvSpPr>
      <xdr:spPr bwMode="auto">
        <a:xfrm>
          <a:off x="1744980" y="10501592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222B31FF-B201-4965-A680-6B97A6264288}"/>
            </a:ext>
          </a:extLst>
        </xdr:cNvPr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1184982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3B4DD3AA-334E-42BD-B15C-8DEC6542AC5B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84957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52</xdr:row>
      <xdr:rowOff>5042</xdr:rowOff>
    </xdr:from>
    <xdr:to>
      <xdr:col>9</xdr:col>
      <xdr:colOff>2</xdr:colOff>
      <xdr:row>52</xdr:row>
      <xdr:rowOff>5042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29F2488C-18BD-483B-A870-BB29BF4323DD}"/>
            </a:ext>
          </a:extLst>
        </xdr:cNvPr>
        <xdr:cNvSpPr>
          <a:spLocks noChangeArrowheads="1"/>
        </xdr:cNvSpPr>
      </xdr:nvSpPr>
      <xdr:spPr bwMode="auto">
        <a:xfrm>
          <a:off x="1744980" y="10501592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601990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ABBF193F-D1B5-4B9C-B368-4985061B0EB1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4521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1251679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FBFE0C24-E161-4449-8BB0-08EF64BDCEBD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51654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52</xdr:row>
      <xdr:rowOff>5042</xdr:rowOff>
    </xdr:from>
    <xdr:to>
      <xdr:col>9</xdr:col>
      <xdr:colOff>2</xdr:colOff>
      <xdr:row>52</xdr:row>
      <xdr:rowOff>5042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17EC5A8C-E8C9-4CEC-88E3-190424385EFD}"/>
            </a:ext>
          </a:extLst>
        </xdr:cNvPr>
        <xdr:cNvSpPr>
          <a:spLocks noChangeArrowheads="1"/>
        </xdr:cNvSpPr>
      </xdr:nvSpPr>
      <xdr:spPr bwMode="auto">
        <a:xfrm>
          <a:off x="1744980" y="10501592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299085</xdr:colOff>
      <xdr:row>0</xdr:row>
      <xdr:rowOff>0</xdr:rowOff>
    </xdr:from>
    <xdr:to>
      <xdr:col>8</xdr:col>
      <xdr:colOff>800117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BD55BF21-7442-4728-B494-F68241DFBC06}"/>
            </a:ext>
          </a:extLst>
        </xdr:cNvPr>
        <xdr:cNvSpPr>
          <a:spLocks noChangeArrowheads="1"/>
        </xdr:cNvSpPr>
      </xdr:nvSpPr>
      <xdr:spPr bwMode="auto">
        <a:xfrm>
          <a:off x="5233035" y="0"/>
          <a:ext cx="3529982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1184982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D5614131-D86D-4674-8982-A3EE5B0031A2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84957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52</xdr:row>
      <xdr:rowOff>0</xdr:rowOff>
    </xdr:from>
    <xdr:to>
      <xdr:col>9</xdr:col>
      <xdr:colOff>2</xdr:colOff>
      <xdr:row>52</xdr:row>
      <xdr:rowOff>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10C7E2CE-AE88-40C5-BD7C-524BC56067AB}"/>
            </a:ext>
          </a:extLst>
        </xdr:cNvPr>
        <xdr:cNvSpPr>
          <a:spLocks noChangeArrowheads="1"/>
        </xdr:cNvSpPr>
      </xdr:nvSpPr>
      <xdr:spPr bwMode="auto">
        <a:xfrm>
          <a:off x="1744980" y="10496550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175260</xdr:colOff>
      <xdr:row>0</xdr:row>
      <xdr:rowOff>0</xdr:rowOff>
    </xdr:from>
    <xdr:to>
      <xdr:col>8</xdr:col>
      <xdr:colOff>680085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02891AB3-A690-4D2E-B98F-AD3F75E50D37}"/>
            </a:ext>
          </a:extLst>
        </xdr:cNvPr>
        <xdr:cNvSpPr>
          <a:spLocks noChangeArrowheads="1"/>
        </xdr:cNvSpPr>
      </xdr:nvSpPr>
      <xdr:spPr bwMode="auto">
        <a:xfrm>
          <a:off x="510921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1173529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DB1C3B93-EC18-425D-88F8-1FC9E5B8F425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73504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B6535553-97E2-402C-B0E1-7A1FB7D6D8D7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525790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E679CA6D-907D-465A-B97B-88255DEA4CFF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4521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1173529</xdr:colOff>
      <xdr:row>0</xdr:row>
      <xdr:rowOff>276398</xdr:rowOff>
    </xdr:to>
    <xdr:sp macro="[1]!값이있는행만출력하시오" textlink="">
      <xdr:nvSpPr>
        <xdr:cNvPr id="2" name="AutoShape 2">
          <a:extLst>
            <a:ext uri="{FF2B5EF4-FFF2-40B4-BE49-F238E27FC236}">
              <a16:creationId xmlns:a16="http://schemas.microsoft.com/office/drawing/2014/main" id="{4CB35D05-017E-40E8-801C-D8A5C6BB07DA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73504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9F65F5B5-CE38-4341-BFDD-A9FBBC5E23FE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C823243B-B4D5-401B-9BBB-2EB5DC283981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1173529</xdr:colOff>
      <xdr:row>0</xdr:row>
      <xdr:rowOff>276398</xdr:rowOff>
    </xdr:to>
    <xdr:sp macro="[1]!값이있는행만출력하시오" textlink="">
      <xdr:nvSpPr>
        <xdr:cNvPr id="2" name="AutoShape 2">
          <a:extLst>
            <a:ext uri="{FF2B5EF4-FFF2-40B4-BE49-F238E27FC236}">
              <a16:creationId xmlns:a16="http://schemas.microsoft.com/office/drawing/2014/main" id="{8CBA83F8-EC12-4680-B74E-109B4BF2BE81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73504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CDF78958-6A28-4176-A63D-AAFDAFEF6ADB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E3A1D9E1-B162-4F27-A914-67D02E951050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wiakr-my.sharepoint.com/Documents%20and%20Settings/ehkim/Local%20Settings/Temporary%20Internet%20Files/Content.Outlook/FD2C2Z0N/5.%20&#50724;&#45720;&#54624;&#51068;(7.09)/1.%20&#50629;&#47924;/8.%20&#50577;&#49885;/&#50577;&#49885;_&#50948;&#50500;%20&#54364;&#51456;&#44204;&#51201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원가항목별(집계)"/>
      <sheetName val="단위공사별(집계)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첨부(견적조건차이내역)"/>
      <sheetName val="양식_위아 표준견적서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C097-9F1F-49B3-B036-7B5FE7C1C82D}">
  <sheetPr>
    <pageSetUpPr fitToPage="1"/>
  </sheetPr>
  <dimension ref="B1:J36"/>
  <sheetViews>
    <sheetView showGridLines="0" tabSelected="1" zoomScale="115" zoomScaleNormal="115" workbookViewId="0">
      <selection sqref="A1:XFD1048576"/>
    </sheetView>
  </sheetViews>
  <sheetFormatPr defaultRowHeight="13.5" x14ac:dyDescent="0.15"/>
  <cols>
    <col min="1" max="1" width="2" style="1" customWidth="1"/>
    <col min="2" max="2" width="4.875" style="1" customWidth="1"/>
    <col min="3" max="3" width="8.5" style="1" customWidth="1"/>
    <col min="4" max="4" width="14.75" style="1" customWidth="1"/>
    <col min="5" max="7" width="11.125" style="1" customWidth="1"/>
    <col min="8" max="8" width="12.25" style="1" customWidth="1"/>
    <col min="9" max="9" width="8.5" style="1" customWidth="1"/>
    <col min="10" max="10" width="1.375" style="1" customWidth="1"/>
    <col min="11" max="11" width="9" style="1"/>
    <col min="12" max="12" width="33.25" style="1" customWidth="1"/>
    <col min="13" max="16384" width="9" style="1"/>
  </cols>
  <sheetData>
    <row r="1" spans="2:10" x14ac:dyDescent="0.15">
      <c r="B1" s="1" t="s">
        <v>0</v>
      </c>
    </row>
    <row r="2" spans="2:10" ht="38.25" x14ac:dyDescent="0.15">
      <c r="B2" s="2" t="s">
        <v>1</v>
      </c>
      <c r="C2" s="2"/>
      <c r="D2" s="2"/>
      <c r="E2" s="2"/>
      <c r="F2" s="2"/>
      <c r="G2" s="2"/>
      <c r="H2" s="2"/>
      <c r="I2" s="2"/>
    </row>
    <row r="4" spans="2:10" s="4" customFormat="1" ht="24" customHeight="1" x14ac:dyDescent="0.15">
      <c r="B4" s="3" t="s">
        <v>2</v>
      </c>
      <c r="C4" s="3"/>
      <c r="D4" s="3"/>
      <c r="G4" s="5" t="s">
        <v>3</v>
      </c>
      <c r="H4" s="6"/>
      <c r="I4" s="7"/>
    </row>
    <row r="5" spans="2:10" s="4" customFormat="1" ht="21.75" customHeight="1" x14ac:dyDescent="0.15">
      <c r="B5" s="8" t="s">
        <v>4</v>
      </c>
      <c r="C5" s="9"/>
      <c r="D5" s="10">
        <v>45744</v>
      </c>
      <c r="E5" s="11"/>
      <c r="G5" s="12" t="s">
        <v>5</v>
      </c>
      <c r="H5" s="13"/>
      <c r="I5" s="14"/>
    </row>
    <row r="6" spans="2:10" s="4" customFormat="1" ht="21.75" customHeight="1" x14ac:dyDescent="0.15">
      <c r="B6" s="8" t="s">
        <v>6</v>
      </c>
      <c r="C6" s="9"/>
      <c r="D6" s="15" t="s">
        <v>7</v>
      </c>
      <c r="E6" s="11"/>
      <c r="G6" s="12" t="s">
        <v>8</v>
      </c>
      <c r="H6" s="16"/>
      <c r="I6" s="17"/>
      <c r="J6" s="1"/>
    </row>
    <row r="7" spans="2:10" s="4" customFormat="1" ht="21.75" customHeight="1" x14ac:dyDescent="0.15">
      <c r="B7" s="18" t="s">
        <v>9</v>
      </c>
      <c r="C7" s="19" t="s">
        <v>10</v>
      </c>
      <c r="D7" s="10" t="s">
        <v>11</v>
      </c>
      <c r="E7" s="11"/>
      <c r="G7" s="20" t="s">
        <v>12</v>
      </c>
      <c r="H7" s="16"/>
      <c r="I7" s="17"/>
      <c r="J7" s="1"/>
    </row>
    <row r="8" spans="2:10" s="4" customFormat="1" ht="21.75" customHeight="1" x14ac:dyDescent="0.15">
      <c r="B8" s="18"/>
      <c r="C8" s="19" t="s">
        <v>13</v>
      </c>
      <c r="D8" s="10">
        <v>45843</v>
      </c>
      <c r="E8" s="11"/>
      <c r="G8" s="20" t="s">
        <v>14</v>
      </c>
      <c r="H8" s="16"/>
      <c r="I8" s="17"/>
      <c r="J8" s="1"/>
    </row>
    <row r="9" spans="2:10" s="4" customFormat="1" ht="21.75" customHeight="1" x14ac:dyDescent="0.15">
      <c r="B9" s="8" t="s">
        <v>15</v>
      </c>
      <c r="C9" s="9"/>
      <c r="D9" s="21" t="s">
        <v>16</v>
      </c>
      <c r="E9" s="11"/>
      <c r="G9" s="12" t="s">
        <v>17</v>
      </c>
      <c r="H9" s="16"/>
      <c r="I9" s="17"/>
      <c r="J9" s="1"/>
    </row>
    <row r="10" spans="2:10" s="4" customFormat="1" ht="21.75" customHeight="1" x14ac:dyDescent="0.15">
      <c r="B10" s="8" t="s">
        <v>18</v>
      </c>
      <c r="C10" s="9"/>
      <c r="D10" s="15" t="s">
        <v>19</v>
      </c>
      <c r="E10" s="11"/>
      <c r="G10" s="20" t="s">
        <v>20</v>
      </c>
      <c r="H10" s="22"/>
      <c r="I10" s="23"/>
    </row>
    <row r="11" spans="2:10" s="4" customFormat="1" ht="21.75" customHeight="1" x14ac:dyDescent="0.15">
      <c r="B11" s="24" t="s">
        <v>21</v>
      </c>
      <c r="C11" s="9"/>
      <c r="D11" s="15" t="s">
        <v>22</v>
      </c>
      <c r="E11" s="11"/>
      <c r="G11" s="25" t="s">
        <v>23</v>
      </c>
      <c r="H11" s="26"/>
      <c r="I11" s="27"/>
    </row>
    <row r="12" spans="2:10" s="29" customFormat="1" ht="10.5" customHeight="1" x14ac:dyDescent="0.15">
      <c r="B12" s="28"/>
      <c r="I12" s="30"/>
    </row>
    <row r="13" spans="2:10" s="29" customFormat="1" ht="24.95" customHeight="1" x14ac:dyDescent="0.15">
      <c r="B13" s="31" t="s">
        <v>24</v>
      </c>
      <c r="C13" s="31"/>
      <c r="D13" s="32" t="s">
        <v>25</v>
      </c>
      <c r="E13" s="32"/>
      <c r="F13" s="32"/>
      <c r="G13" s="32"/>
      <c r="H13" s="33"/>
    </row>
    <row r="14" spans="2:10" s="29" customFormat="1" ht="24.95" customHeight="1" x14ac:dyDescent="0.15">
      <c r="B14" s="34" t="s">
        <v>26</v>
      </c>
      <c r="C14" s="35"/>
      <c r="D14" s="36" t="str">
        <f>"一金"&amp;NUMBERSTRING(H28*1000,1)&amp;"원整 ("&amp;TEXT(H28*1000,"\#,#)")</f>
        <v>一金일억삼천팔백칠십만원整 (₩138,700,000)</v>
      </c>
      <c r="E14" s="32"/>
      <c r="F14" s="32"/>
      <c r="G14" s="32"/>
      <c r="H14" s="33"/>
    </row>
    <row r="15" spans="2:10" s="4" customFormat="1" ht="8.25" customHeight="1" x14ac:dyDescent="0.15"/>
    <row r="16" spans="2:10" s="41" customFormat="1" ht="24.95" customHeight="1" x14ac:dyDescent="0.15">
      <c r="B16" s="37" t="s">
        <v>27</v>
      </c>
      <c r="C16" s="38" t="s">
        <v>28</v>
      </c>
      <c r="D16" s="39"/>
      <c r="E16" s="40" t="s">
        <v>29</v>
      </c>
      <c r="F16" s="40"/>
      <c r="G16" s="40"/>
      <c r="H16" s="40"/>
      <c r="I16" s="37" t="s">
        <v>30</v>
      </c>
    </row>
    <row r="17" spans="2:10" s="41" customFormat="1" ht="29.25" customHeight="1" thickBot="1" x14ac:dyDescent="0.2">
      <c r="B17" s="42"/>
      <c r="C17" s="43"/>
      <c r="D17" s="44"/>
      <c r="E17" s="45" t="s">
        <v>31</v>
      </c>
      <c r="F17" s="46" t="s">
        <v>32</v>
      </c>
      <c r="G17" s="47" t="s">
        <v>33</v>
      </c>
      <c r="H17" s="48" t="s">
        <v>34</v>
      </c>
      <c r="I17" s="42"/>
    </row>
    <row r="18" spans="2:10" ht="24.95" customHeight="1" x14ac:dyDescent="0.15">
      <c r="B18" s="49">
        <v>1</v>
      </c>
      <c r="C18" s="50" t="str">
        <f>IF('단위공사별(집계)'!N7&gt;0,'단위공사별(집계)'!B7,"")</f>
        <v>투입 CONVEYOR</v>
      </c>
      <c r="D18" s="51"/>
      <c r="E18" s="52">
        <f>IF('단위공사별(집계)'!N7&gt;1,('단위공사별(집계)'!D7+'단위공사별(집계)'!E7+'단위공사별(집계)'!F7+'단위공사별(집계)'!G7+'단위공사별(집계)'!H7+'단위공사별(집계)'!I7)/1000," ")</f>
        <v>48190.072063380634</v>
      </c>
      <c r="F18" s="53">
        <f>IF('단위공사별(집계)'!N7&gt;0,'단위공사별(집계)'!K17/1000,"")</f>
        <v>39445</v>
      </c>
      <c r="G18" s="54">
        <f>IF('단위공사별(집계)'!N7&gt;0,('단위공사별(집계)'!L7+'단위공사별(집계)'!M7)/1000,"")</f>
        <v>7407.0332383090199</v>
      </c>
      <c r="H18" s="55">
        <f>IF('단위공사별(집계)'!N7&gt;0,'단위공사별(집계)'!N7/1000,"")</f>
        <v>77691.99038178788</v>
      </c>
      <c r="I18" s="56"/>
    </row>
    <row r="19" spans="2:10" ht="24.95" customHeight="1" x14ac:dyDescent="0.15">
      <c r="B19" s="57">
        <v>2</v>
      </c>
      <c r="C19" s="50" t="str">
        <f>IF('단위공사별(집계)'!N8&gt;0,'단위공사별(집계)'!B8,"")</f>
        <v>스태킹 M/C 개조</v>
      </c>
      <c r="D19" s="51"/>
      <c r="E19" s="58">
        <f>IF('단위공사별(집계)'!N8&gt;1,('단위공사별(집계)'!D8+'단위공사별(집계)'!E8+'단위공사별(집계)'!F8+'단위공사별(집계)'!G8+'단위공사별(집계)'!H8+'단위공사별(집계)'!I8)/1000," ")</f>
        <v>37835.927936619366</v>
      </c>
      <c r="F19" s="59"/>
      <c r="G19" s="60">
        <f>IF('단위공사별(집계)'!N8&gt;0,('단위공사별(집계)'!L8+'단위공사별(집계)'!M8)/1000,"")</f>
        <v>5821.9667616909801</v>
      </c>
      <c r="H19" s="61">
        <f>IF('단위공사별(집계)'!N8&gt;0,'단위공사별(집계)'!N8/1000,"")</f>
        <v>61008.009618212127</v>
      </c>
      <c r="I19" s="62"/>
    </row>
    <row r="20" spans="2:10" ht="24.95" customHeight="1" x14ac:dyDescent="0.15">
      <c r="B20" s="57">
        <v>3</v>
      </c>
      <c r="C20" s="50" t="str">
        <f>IF('단위공사별(집계)'!N9&gt;0,'단위공사별(집계)'!B9,"")</f>
        <v/>
      </c>
      <c r="D20" s="51"/>
      <c r="E20" s="58" t="str">
        <f>IF('단위공사별(집계)'!N9&gt;1,('단위공사별(집계)'!D9+'단위공사별(집계)'!E9+'단위공사별(집계)'!F9+'단위공사별(집계)'!G9+'단위공사별(집계)'!H9+'단위공사별(집계)'!I9)/1000," ")</f>
        <v xml:space="preserve"> </v>
      </c>
      <c r="F20" s="59"/>
      <c r="G20" s="60" t="str">
        <f>IF('단위공사별(집계)'!N9&gt;0,('단위공사별(집계)'!L9+'단위공사별(집계)'!M9)/1000,"")</f>
        <v/>
      </c>
      <c r="H20" s="61" t="str">
        <f>IF('단위공사별(집계)'!N9&gt;0,'단위공사별(집계)'!N9/1000,"")</f>
        <v/>
      </c>
      <c r="I20" s="62"/>
    </row>
    <row r="21" spans="2:10" ht="24.95" customHeight="1" x14ac:dyDescent="0.15">
      <c r="B21" s="57">
        <v>4</v>
      </c>
      <c r="C21" s="50" t="str">
        <f>IF('단위공사별(집계)'!N10&gt;0,'단위공사별(집계)'!B10,"")</f>
        <v/>
      </c>
      <c r="D21" s="51"/>
      <c r="E21" s="58" t="str">
        <f>IF('단위공사별(집계)'!N10&gt;1,('단위공사별(집계)'!D10+'단위공사별(집계)'!E10+'단위공사별(집계)'!F10+'단위공사별(집계)'!G10+'단위공사별(집계)'!H10+'단위공사별(집계)'!I10)/1000," ")</f>
        <v xml:space="preserve"> </v>
      </c>
      <c r="F21" s="59"/>
      <c r="G21" s="60" t="str">
        <f>IF('단위공사별(집계)'!N10&gt;0,('단위공사별(집계)'!L10+'단위공사별(집계)'!M10)/1000,"")</f>
        <v/>
      </c>
      <c r="H21" s="61" t="str">
        <f>IF('단위공사별(집계)'!N10&gt;0,'단위공사별(집계)'!N10/1000,"")</f>
        <v/>
      </c>
      <c r="I21" s="62"/>
    </row>
    <row r="22" spans="2:10" ht="24.95" customHeight="1" x14ac:dyDescent="0.15">
      <c r="B22" s="57">
        <v>5</v>
      </c>
      <c r="C22" s="50" t="str">
        <f>IF('단위공사별(집계)'!N11&gt;0,'단위공사별(집계)'!B11,"")</f>
        <v/>
      </c>
      <c r="D22" s="51"/>
      <c r="E22" s="58" t="str">
        <f>IF('단위공사별(집계)'!N11&gt;1,('단위공사별(집계)'!D11+'단위공사별(집계)'!E11+'단위공사별(집계)'!F11+'단위공사별(집계)'!G11+'단위공사별(집계)'!H11+'단위공사별(집계)'!I11)/1000," ")</f>
        <v xml:space="preserve"> </v>
      </c>
      <c r="F22" s="59"/>
      <c r="G22" s="60" t="str">
        <f>IF('단위공사별(집계)'!N11&gt;0,('단위공사별(집계)'!L11+'단위공사별(집계)'!M11)/1000,"")</f>
        <v/>
      </c>
      <c r="H22" s="61" t="str">
        <f>IF('단위공사별(집계)'!N11&gt;0,'단위공사별(집계)'!N11/1000,"")</f>
        <v/>
      </c>
      <c r="I22" s="62"/>
    </row>
    <row r="23" spans="2:10" ht="24.95" customHeight="1" x14ac:dyDescent="0.15">
      <c r="B23" s="57">
        <v>6</v>
      </c>
      <c r="C23" s="50" t="str">
        <f>IF('단위공사별(집계)'!N12&gt;0,'단위공사별(집계)'!B12,"")</f>
        <v/>
      </c>
      <c r="D23" s="51"/>
      <c r="E23" s="58" t="str">
        <f>IF('단위공사별(집계)'!N12&gt;1,('단위공사별(집계)'!D12+'단위공사별(집계)'!E12+'단위공사별(집계)'!F12+'단위공사별(집계)'!G12+'단위공사별(집계)'!H12+'단위공사별(집계)'!I12)/1000," ")</f>
        <v xml:space="preserve"> </v>
      </c>
      <c r="F23" s="59"/>
      <c r="G23" s="60" t="str">
        <f>IF('단위공사별(집계)'!N12&gt;0,('단위공사별(집계)'!L12+'단위공사별(집계)'!M12)/1000,"")</f>
        <v/>
      </c>
      <c r="H23" s="61" t="str">
        <f>IF('단위공사별(집계)'!N12&gt;0,'단위공사별(집계)'!N12/1000,"")</f>
        <v/>
      </c>
      <c r="I23" s="62"/>
    </row>
    <row r="24" spans="2:10" ht="24.95" customHeight="1" x14ac:dyDescent="0.15">
      <c r="B24" s="57">
        <v>7</v>
      </c>
      <c r="C24" s="50" t="str">
        <f>IF('단위공사별(집계)'!N13&gt;0,'단위공사별(집계)'!B13,"")</f>
        <v/>
      </c>
      <c r="D24" s="51"/>
      <c r="E24" s="58" t="str">
        <f>IF('단위공사별(집계)'!N13&gt;1,('단위공사별(집계)'!D13+'단위공사별(집계)'!E13+'단위공사별(집계)'!F13+'단위공사별(집계)'!G13+'단위공사별(집계)'!H13+'단위공사별(집계)'!I13)/1000," ")</f>
        <v xml:space="preserve"> </v>
      </c>
      <c r="F24" s="59"/>
      <c r="G24" s="60" t="str">
        <f>IF('단위공사별(집계)'!N13&gt;0,('단위공사별(집계)'!L13+'단위공사별(집계)'!M13)/1000,"")</f>
        <v/>
      </c>
      <c r="H24" s="61" t="str">
        <f>IF('단위공사별(집계)'!N13&gt;0,'단위공사별(집계)'!N13/1000,"")</f>
        <v/>
      </c>
      <c r="I24" s="62"/>
    </row>
    <row r="25" spans="2:10" ht="24.95" customHeight="1" x14ac:dyDescent="0.15">
      <c r="B25" s="63">
        <v>8</v>
      </c>
      <c r="C25" s="50" t="str">
        <f>IF('단위공사별(집계)'!N14&gt;0,'단위공사별(집계)'!B14,"")</f>
        <v/>
      </c>
      <c r="D25" s="51"/>
      <c r="E25" s="58" t="str">
        <f>IF('단위공사별(집계)'!N14&gt;1,('단위공사별(집계)'!D14+'단위공사별(집계)'!E14+'단위공사별(집계)'!F14+'단위공사별(집계)'!G14+'단위공사별(집계)'!H14+'단위공사별(집계)'!I14)/1000," ")</f>
        <v xml:space="preserve"> </v>
      </c>
      <c r="F25" s="59"/>
      <c r="G25" s="60" t="str">
        <f>IF('단위공사별(집계)'!N14&gt;0,('단위공사별(집계)'!L14+'단위공사별(집계)'!M14)/1000,"")</f>
        <v/>
      </c>
      <c r="H25" s="61" t="str">
        <f>IF('단위공사별(집계)'!N14&gt;0,'단위공사별(집계)'!N14/1000,"")</f>
        <v/>
      </c>
      <c r="I25" s="62"/>
    </row>
    <row r="26" spans="2:10" ht="24.95" customHeight="1" x14ac:dyDescent="0.15">
      <c r="B26" s="63">
        <v>9</v>
      </c>
      <c r="C26" s="50" t="str">
        <f>IF('단위공사별(집계)'!N15&gt;0,'단위공사별(집계)'!B15,"")</f>
        <v/>
      </c>
      <c r="D26" s="51"/>
      <c r="E26" s="58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6" s="59"/>
      <c r="G26" s="60" t="str">
        <f>IF('단위공사별(집계)'!N15&gt;0,('단위공사별(집계)'!L15+'단위공사별(집계)'!M15)/1000,"")</f>
        <v/>
      </c>
      <c r="H26" s="61" t="str">
        <f>IF('단위공사별(집계)'!N15&gt;0,'단위공사별(집계)'!N15/1000,"")</f>
        <v/>
      </c>
      <c r="I26" s="62"/>
    </row>
    <row r="27" spans="2:10" ht="24.95" customHeight="1" x14ac:dyDescent="0.15">
      <c r="B27" s="64">
        <v>10</v>
      </c>
      <c r="C27" s="65" t="str">
        <f>IF('단위공사별(집계)'!N16&gt;0,'단위공사별(집계)'!B16,"")</f>
        <v/>
      </c>
      <c r="D27" s="66"/>
      <c r="E27" s="67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7" s="68"/>
      <c r="G27" s="69" t="str">
        <f>IF('단위공사별(집계)'!N16&gt;0,('단위공사별(집계)'!L16+'단위공사별(집계)'!M16)/1000,"")</f>
        <v/>
      </c>
      <c r="H27" s="70" t="str">
        <f>IF('단위공사별(집계)'!N16&gt;0,'단위공사별(집계)'!N16/1000,"")</f>
        <v/>
      </c>
      <c r="I27" s="71"/>
    </row>
    <row r="28" spans="2:10" ht="24.95" customHeight="1" x14ac:dyDescent="0.15">
      <c r="B28" s="72" t="s">
        <v>35</v>
      </c>
      <c r="C28" s="73"/>
      <c r="D28" s="74"/>
      <c r="E28" s="75">
        <f>SUM(E18:E24)</f>
        <v>86026</v>
      </c>
      <c r="F28" s="76">
        <f>SUM(F18:F24)</f>
        <v>39445</v>
      </c>
      <c r="G28" s="76">
        <f>SUM(G18:G24)</f>
        <v>13229</v>
      </c>
      <c r="H28" s="77">
        <f>SUM(H18:H24)</f>
        <v>138700</v>
      </c>
      <c r="I28" s="78"/>
      <c r="J28" s="79"/>
    </row>
    <row r="29" spans="2:10" ht="4.5" customHeight="1" x14ac:dyDescent="0.15">
      <c r="B29" s="80"/>
      <c r="C29" s="81"/>
      <c r="D29" s="81"/>
      <c r="E29" s="79"/>
      <c r="F29" s="79"/>
      <c r="G29" s="79"/>
      <c r="H29" s="79"/>
    </row>
    <row r="30" spans="2:10" ht="24" customHeight="1" x14ac:dyDescent="0.15">
      <c r="B30" s="81"/>
      <c r="C30" s="81"/>
      <c r="D30" s="81"/>
      <c r="E30" s="79"/>
      <c r="F30" s="82" t="s">
        <v>36</v>
      </c>
      <c r="G30" s="83"/>
      <c r="H30" s="84"/>
    </row>
    <row r="31" spans="2:10" ht="15" customHeight="1" x14ac:dyDescent="0.15">
      <c r="B31" s="81"/>
      <c r="C31" s="81"/>
      <c r="D31" s="81"/>
      <c r="E31" s="79"/>
      <c r="F31" s="79"/>
      <c r="G31" s="79"/>
      <c r="H31" s="79"/>
    </row>
    <row r="32" spans="2:10" ht="22.5" customHeight="1" x14ac:dyDescent="0.15">
      <c r="B32" s="85" t="s">
        <v>37</v>
      </c>
      <c r="C32" s="86" t="s">
        <v>38</v>
      </c>
      <c r="D32" s="87"/>
      <c r="E32" s="88"/>
      <c r="F32" s="89" t="s">
        <v>39</v>
      </c>
      <c r="G32" s="90"/>
      <c r="H32" s="90"/>
      <c r="I32" s="91"/>
    </row>
    <row r="33" spans="2:9" ht="22.5" customHeight="1" x14ac:dyDescent="0.15">
      <c r="B33" s="92"/>
      <c r="C33" s="93" t="s">
        <v>40</v>
      </c>
      <c r="D33" s="94"/>
      <c r="E33" s="95"/>
      <c r="F33" s="96" t="s">
        <v>41</v>
      </c>
      <c r="G33" s="97"/>
      <c r="H33" s="98"/>
      <c r="I33" s="99"/>
    </row>
    <row r="34" spans="2:9" ht="22.5" customHeight="1" x14ac:dyDescent="0.15">
      <c r="B34" s="92"/>
      <c r="C34" s="100" t="s">
        <v>42</v>
      </c>
      <c r="D34" s="101"/>
      <c r="E34" s="102"/>
      <c r="F34" s="63" t="s">
        <v>43</v>
      </c>
      <c r="G34" s="103"/>
      <c r="H34" s="104"/>
      <c r="I34" s="105"/>
    </row>
    <row r="35" spans="2:9" ht="22.5" customHeight="1" x14ac:dyDescent="0.15">
      <c r="B35" s="92"/>
      <c r="C35" s="106"/>
      <c r="D35" s="107"/>
      <c r="E35" s="108"/>
      <c r="F35" s="63" t="s">
        <v>44</v>
      </c>
      <c r="G35" s="103"/>
      <c r="H35" s="104"/>
      <c r="I35" s="105"/>
    </row>
    <row r="36" spans="2:9" ht="22.5" customHeight="1" x14ac:dyDescent="0.15">
      <c r="B36" s="109"/>
      <c r="C36" s="110"/>
      <c r="D36" s="111"/>
      <c r="E36" s="112"/>
      <c r="F36" s="64" t="s">
        <v>45</v>
      </c>
      <c r="G36" s="113"/>
      <c r="H36" s="114"/>
      <c r="I36" s="115"/>
    </row>
  </sheetData>
  <mergeCells count="36">
    <mergeCell ref="C36:E36"/>
    <mergeCell ref="G36:I36"/>
    <mergeCell ref="F30:G30"/>
    <mergeCell ref="B32:B36"/>
    <mergeCell ref="C32:E32"/>
    <mergeCell ref="F32:I32"/>
    <mergeCell ref="C33:E33"/>
    <mergeCell ref="G33:I33"/>
    <mergeCell ref="C34:E34"/>
    <mergeCell ref="G34:I34"/>
    <mergeCell ref="C35:E35"/>
    <mergeCell ref="G35:I35"/>
    <mergeCell ref="C23:D23"/>
    <mergeCell ref="C24:D24"/>
    <mergeCell ref="C25:D25"/>
    <mergeCell ref="C26:D26"/>
    <mergeCell ref="C27:D27"/>
    <mergeCell ref="B28:D28"/>
    <mergeCell ref="I16:I17"/>
    <mergeCell ref="C18:D18"/>
    <mergeCell ref="C19:D19"/>
    <mergeCell ref="C20:D20"/>
    <mergeCell ref="C21:D21"/>
    <mergeCell ref="C22:D22"/>
    <mergeCell ref="B10:C10"/>
    <mergeCell ref="B11:C11"/>
    <mergeCell ref="B14:C14"/>
    <mergeCell ref="B16:B17"/>
    <mergeCell ref="C16:D17"/>
    <mergeCell ref="E16:H16"/>
    <mergeCell ref="B2:I2"/>
    <mergeCell ref="B4:D4"/>
    <mergeCell ref="B5:C5"/>
    <mergeCell ref="B6:C6"/>
    <mergeCell ref="B7:B8"/>
    <mergeCell ref="B9:C9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96" orientation="portrait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2026-08-11T09:00:59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73DD9-F910-4313-9822-D14BF557ACEC}">
  <sheetPr>
    <pageSetUpPr fitToPage="1"/>
  </sheetPr>
  <dimension ref="B2:K49"/>
  <sheetViews>
    <sheetView showGridLines="0" zoomScale="80" workbookViewId="0">
      <pane ySplit="6" topLeftCell="A13" activePane="bottomLeft" state="frozen"/>
      <selection sqref="A1:XFD1048576"/>
      <selection pane="bottomLeft" sqref="A1:XFD1048576"/>
    </sheetView>
  </sheetViews>
  <sheetFormatPr defaultRowHeight="19.5" customHeight="1" x14ac:dyDescent="0.15"/>
  <cols>
    <col min="1" max="1" width="0.5" style="125" customWidth="1"/>
    <col min="2" max="2" width="5.25" style="125" bestFit="1" customWidth="1"/>
    <col min="3" max="3" width="7.375" style="125" customWidth="1"/>
    <col min="4" max="4" width="8.875" style="125" customWidth="1"/>
    <col min="5" max="5" width="17.75" style="125" customWidth="1"/>
    <col min="6" max="6" width="6.375" style="127" customWidth="1"/>
    <col min="7" max="7" width="8.875" style="128" customWidth="1"/>
    <col min="8" max="8" width="9.75" style="129" customWidth="1"/>
    <col min="9" max="9" width="17.5" style="129" bestFit="1" customWidth="1"/>
    <col min="10" max="10" width="15.625" style="125" customWidth="1"/>
    <col min="11" max="11" width="13.75" style="130" bestFit="1" customWidth="1"/>
    <col min="12" max="16384" width="9" style="125"/>
  </cols>
  <sheetData>
    <row r="2" spans="2:11" s="123" customFormat="1" ht="26.25" customHeight="1" x14ac:dyDescent="0.15">
      <c r="B2" s="116"/>
      <c r="C2" s="117" t="s">
        <v>46</v>
      </c>
      <c r="D2" s="118"/>
      <c r="E2" s="118"/>
      <c r="F2" s="119"/>
      <c r="G2" s="120"/>
      <c r="H2" s="121"/>
      <c r="I2" s="121"/>
      <c r="J2" s="118"/>
      <c r="K2" s="122"/>
    </row>
    <row r="3" spans="2:11" s="123" customFormat="1" ht="19.5" customHeight="1" x14ac:dyDescent="0.15">
      <c r="B3" s="116"/>
      <c r="C3" s="117"/>
      <c r="D3" s="118"/>
      <c r="E3" s="118"/>
      <c r="F3" s="119"/>
      <c r="G3" s="120"/>
      <c r="H3" s="121"/>
      <c r="I3" s="121"/>
      <c r="J3" s="118"/>
      <c r="K3" s="122"/>
    </row>
    <row r="4" spans="2:11" ht="30" customHeight="1" x14ac:dyDescent="0.15">
      <c r="B4" s="124" t="s">
        <v>47</v>
      </c>
      <c r="D4" s="126"/>
      <c r="J4" s="127"/>
    </row>
    <row r="5" spans="2:11" s="127" customFormat="1" ht="8.25" customHeight="1" x14ac:dyDescent="0.15">
      <c r="B5" s="131"/>
      <c r="C5" s="132"/>
      <c r="D5" s="133"/>
      <c r="E5" s="134"/>
      <c r="F5" s="135"/>
      <c r="G5" s="136"/>
      <c r="H5" s="136"/>
      <c r="I5" s="136"/>
      <c r="J5" s="137"/>
      <c r="K5" s="138"/>
    </row>
    <row r="6" spans="2:11" s="127" customFormat="1" ht="22.5" customHeight="1" thickBot="1" x14ac:dyDescent="0.2">
      <c r="B6" s="139" t="s">
        <v>48</v>
      </c>
      <c r="C6" s="140" t="s">
        <v>49</v>
      </c>
      <c r="D6" s="141"/>
      <c r="E6" s="142"/>
      <c r="F6" s="143" t="s">
        <v>50</v>
      </c>
      <c r="G6" s="144" t="s">
        <v>51</v>
      </c>
      <c r="H6" s="144" t="s">
        <v>52</v>
      </c>
      <c r="I6" s="144" t="s">
        <v>53</v>
      </c>
      <c r="J6" s="145" t="s">
        <v>54</v>
      </c>
      <c r="K6" s="138"/>
    </row>
    <row r="7" spans="2:11" ht="19.5" customHeight="1" thickTop="1" x14ac:dyDescent="0.15">
      <c r="B7" s="146">
        <v>1</v>
      </c>
      <c r="C7" s="147" t="s">
        <v>55</v>
      </c>
      <c r="D7" s="148" t="s">
        <v>56</v>
      </c>
      <c r="E7" s="149" t="s">
        <v>57</v>
      </c>
      <c r="F7" s="150" t="s">
        <v>58</v>
      </c>
      <c r="G7" s="151">
        <f>단위장비1!F17+단위장비2!F15+단위장비3!F16+단위장비4!F16+단위장비5!F16+단위장비6!F16+단위장비7!F16+단위장비8!F30+단위장비9!F30+단위장비10!F30</f>
        <v>0</v>
      </c>
      <c r="H7" s="152"/>
      <c r="I7" s="152">
        <f>단위장비1!H11+단위장비2!H9+단위장비3!H10+단위장비4!H10+단위장비5!H10+단위장비6!H10+단위장비7!H10+단위장비8!H24+단위장비9!H24+단위장비10!H24</f>
        <v>0</v>
      </c>
      <c r="J7" s="153" t="s">
        <v>59</v>
      </c>
    </row>
    <row r="8" spans="2:11" ht="19.5" customHeight="1" x14ac:dyDescent="0.15">
      <c r="B8" s="146"/>
      <c r="C8" s="148"/>
      <c r="D8" s="148"/>
      <c r="E8" s="154" t="s">
        <v>60</v>
      </c>
      <c r="F8" s="155" t="s">
        <v>61</v>
      </c>
      <c r="G8" s="156">
        <v>1</v>
      </c>
      <c r="H8" s="157"/>
      <c r="I8" s="157">
        <f>단위장비1!H37+단위장비2!H33+단위장비3!H34+단위장비4!H33+단위장비5!H33+단위장비6!H33+단위장비7!H33+단위장비8!H47+단위장비9!H47+단위장비10!H47</f>
        <v>26650000</v>
      </c>
      <c r="J8" s="158" t="s">
        <v>62</v>
      </c>
    </row>
    <row r="9" spans="2:11" ht="19.5" customHeight="1" x14ac:dyDescent="0.15">
      <c r="B9" s="146"/>
      <c r="C9" s="148"/>
      <c r="D9" s="148"/>
      <c r="E9" s="154" t="s">
        <v>63</v>
      </c>
      <c r="F9" s="155" t="s">
        <v>61</v>
      </c>
      <c r="G9" s="159">
        <v>1</v>
      </c>
      <c r="H9" s="157"/>
      <c r="I9" s="157">
        <f>단위장비1!H53+단위장비2!H52+단위장비3!H52+단위장비4!H52+단위장비5!H52+단위장비6!H52+단위장비7!H52+단위장비8!H55+단위장비9!H55+단위장비10!H55</f>
        <v>30126000</v>
      </c>
      <c r="J9" s="158" t="s">
        <v>64</v>
      </c>
    </row>
    <row r="10" spans="2:11" ht="19.5" customHeight="1" x14ac:dyDescent="0.15">
      <c r="B10" s="146"/>
      <c r="C10" s="148"/>
      <c r="D10" s="148"/>
      <c r="E10" s="160" t="s">
        <v>65</v>
      </c>
      <c r="F10" s="155" t="s">
        <v>61</v>
      </c>
      <c r="G10" s="159">
        <v>1</v>
      </c>
      <c r="H10" s="157"/>
      <c r="I10" s="161">
        <f>단위장비1!H17+단위장비2!H15+단위장비3!H16+단위장비4!H16+단위장비5!H16+단위장비6!H16+단위장비7!H16+단위장비8!H30+단위장비9!H30+단위장비10!H30</f>
        <v>0</v>
      </c>
      <c r="J10" s="162" t="s">
        <v>66</v>
      </c>
    </row>
    <row r="11" spans="2:11" ht="19.5" customHeight="1" x14ac:dyDescent="0.15">
      <c r="B11" s="146"/>
      <c r="C11" s="148"/>
      <c r="D11" s="163"/>
      <c r="E11" s="164" t="s">
        <v>67</v>
      </c>
      <c r="F11" s="165"/>
      <c r="G11" s="166"/>
      <c r="H11" s="167"/>
      <c r="I11" s="168">
        <f>SUM(I7:I10)</f>
        <v>56776000</v>
      </c>
      <c r="J11" s="158"/>
    </row>
    <row r="12" spans="2:11" ht="19.5" customHeight="1" x14ac:dyDescent="0.15">
      <c r="B12" s="146"/>
      <c r="C12" s="148"/>
      <c r="D12" s="169" t="s">
        <v>68</v>
      </c>
      <c r="E12" s="154" t="s">
        <v>69</v>
      </c>
      <c r="F12" s="155" t="s">
        <v>70</v>
      </c>
      <c r="G12" s="157">
        <f>단위장비1!F55+단위장비2!F54+단위장비3!F54+단위장비4!F54+단위장비5!F54+단위장비6!F54+단위장비7!F54+단위장비8!F57+단위장비9!F57+단위장비10!F57</f>
        <v>6</v>
      </c>
      <c r="H12" s="157">
        <f>IF(단위장비1!G55&gt;0,단위장비1!G55,"")</f>
        <v>300000</v>
      </c>
      <c r="I12" s="157">
        <f>단위장비1!H55+단위장비2!H54+단위장비3!H54+단위장비4!H54+단위장비5!H54+단위장비6!H54+단위장비7!H54+단위장비8!H57+단위장비9!H57+단위장비10!H57</f>
        <v>1800000</v>
      </c>
      <c r="J12" s="158" t="s">
        <v>71</v>
      </c>
    </row>
    <row r="13" spans="2:11" ht="19.5" customHeight="1" x14ac:dyDescent="0.15">
      <c r="B13" s="146"/>
      <c r="C13" s="148"/>
      <c r="D13" s="148"/>
      <c r="E13" s="154" t="s">
        <v>72</v>
      </c>
      <c r="F13" s="155" t="s">
        <v>70</v>
      </c>
      <c r="G13" s="157">
        <f>단위장비1!F56+단위장비2!F55+단위장비3!F55+단위장비4!F55+단위장비5!F55+단위장비6!F55+단위장비7!F55+단위장비8!F58+단위장비9!F58+단위장비10!F58</f>
        <v>35</v>
      </c>
      <c r="H13" s="157">
        <f>IF(단위장비1!G56&gt;0,단위장비1!G56,"")</f>
        <v>350000</v>
      </c>
      <c r="I13" s="157">
        <f>단위장비1!H56+단위장비2!H55+단위장비3!H55+단위장비4!H55+단위장비5!H55+단위장비6!H55+단위장비7!H55+단위장비8!H58+단위장비9!H58+단위장비10!H58</f>
        <v>12250000</v>
      </c>
      <c r="J13" s="158"/>
    </row>
    <row r="14" spans="2:11" ht="19.5" customHeight="1" x14ac:dyDescent="0.15">
      <c r="B14" s="146"/>
      <c r="C14" s="148"/>
      <c r="D14" s="148"/>
      <c r="E14" s="154" t="s">
        <v>73</v>
      </c>
      <c r="F14" s="155" t="s">
        <v>70</v>
      </c>
      <c r="G14" s="157">
        <f>단위장비1!F57+단위장비2!F56+단위장비3!F56+단위장비4!F56+단위장비5!F56+단위장비6!F56+단위장비7!F56+단위장비8!F59+단위장비9!F59+단위장비10!F59</f>
        <v>9</v>
      </c>
      <c r="H14" s="157">
        <f>IF(단위장비1!G57&gt;0,단위장비1!G57,"")</f>
        <v>300000</v>
      </c>
      <c r="I14" s="157">
        <f>단위장비1!H57+단위장비2!H56+단위장비3!H56+단위장비4!H56+단위장비5!H56+단위장비6!H56+단위장비7!H56+단위장비8!H59+단위장비9!H59+단위장비10!H59</f>
        <v>2700000</v>
      </c>
      <c r="J14" s="158"/>
    </row>
    <row r="15" spans="2:11" ht="19.5" customHeight="1" x14ac:dyDescent="0.15">
      <c r="B15" s="146"/>
      <c r="C15" s="148"/>
      <c r="D15" s="148"/>
      <c r="E15" s="154" t="s">
        <v>74</v>
      </c>
      <c r="F15" s="155" t="s">
        <v>70</v>
      </c>
      <c r="G15" s="157">
        <f>단위장비1!F58+단위장비2!F57+단위장비3!F57+단위장비4!F57+단위장비5!F57+단위장비6!F57+단위장비7!F57+단위장비8!F60+단위장비9!F60+단위장비10!F60</f>
        <v>11</v>
      </c>
      <c r="H15" s="157">
        <f>IF(단위장비1!G58&gt;0,단위장비1!G58,"")</f>
        <v>300000</v>
      </c>
      <c r="I15" s="157">
        <f>단위장비1!H58+단위장비2!H57+단위장비3!H57+단위장비4!H57+단위장비5!H57+단위장비6!H57+단위장비7!H57+단위장비8!H60+단위장비9!H60+단위장비10!H60</f>
        <v>3300000</v>
      </c>
      <c r="J15" s="158" t="s">
        <v>75</v>
      </c>
    </row>
    <row r="16" spans="2:11" ht="19.5" customHeight="1" x14ac:dyDescent="0.15">
      <c r="B16" s="146"/>
      <c r="C16" s="148"/>
      <c r="D16" s="148"/>
      <c r="E16" s="154" t="s">
        <v>76</v>
      </c>
      <c r="F16" s="155" t="s">
        <v>70</v>
      </c>
      <c r="G16" s="157">
        <f>단위장비1!F59+단위장비2!F58+단위장비3!F58+단위장비4!F58+단위장비5!F58+단위장비6!F58+단위장비7!F58+단위장비8!F61+단위장비9!F61+단위장비10!F61</f>
        <v>10</v>
      </c>
      <c r="H16" s="157">
        <f>IF(단위장비1!G59&gt;0,단위장비1!G59,"")</f>
        <v>300000</v>
      </c>
      <c r="I16" s="157">
        <f>단위장비1!H59+단위장비2!H58+단위장비3!H58+단위장비4!H58+단위장비5!H58+단위장비6!H58+단위장비7!H58+단위장비8!H61+단위장비9!H61+단위장비10!H61</f>
        <v>3000000</v>
      </c>
      <c r="J16" s="158"/>
    </row>
    <row r="17" spans="2:10" ht="19.5" customHeight="1" x14ac:dyDescent="0.15">
      <c r="B17" s="146"/>
      <c r="C17" s="148"/>
      <c r="D17" s="148"/>
      <c r="E17" s="154" t="s">
        <v>77</v>
      </c>
      <c r="F17" s="155" t="s">
        <v>70</v>
      </c>
      <c r="G17" s="157">
        <f>단위장비1!F60+단위장비2!F59+단위장비3!F59+단위장비4!F59+단위장비5!F59+단위장비6!F59+단위장비7!F59+단위장비8!F62+단위장비9!F62+단위장비10!F62</f>
        <v>8</v>
      </c>
      <c r="H17" s="157">
        <f>IF(단위장비1!G60&gt;0,단위장비1!G60,"")</f>
        <v>300000</v>
      </c>
      <c r="I17" s="157">
        <f>단위장비1!H60+단위장비2!H59+단위장비3!H59+단위장비4!H59+단위장비5!H59+단위장비6!H59+단위장비7!H59+단위장비8!H62+단위장비9!H62+단위장비10!H62</f>
        <v>2400000</v>
      </c>
      <c r="J17" s="158"/>
    </row>
    <row r="18" spans="2:10" ht="19.5" customHeight="1" x14ac:dyDescent="0.15">
      <c r="B18" s="146"/>
      <c r="C18" s="148"/>
      <c r="D18" s="148"/>
      <c r="E18" s="154" t="s">
        <v>78</v>
      </c>
      <c r="F18" s="155" t="s">
        <v>70</v>
      </c>
      <c r="G18" s="157">
        <f>단위장비1!F61+단위장비2!F60+단위장비3!F60+단위장비4!F60+단위장비5!F60+단위장비6!F60+단위장비7!F60+단위장비8!F63+단위장비9!F63+단위장비10!F63</f>
        <v>6</v>
      </c>
      <c r="H18" s="157">
        <f>IF(단위장비1!G61&gt;0,단위장비1!G61,"")</f>
        <v>300000</v>
      </c>
      <c r="I18" s="157">
        <f>단위장비1!H61+단위장비2!H60+단위장비3!H60+단위장비4!H60+단위장비5!H60+단위장비6!H60+단위장비7!H60+단위장비8!H63+단위장비9!H63+단위장비10!H63</f>
        <v>1800000</v>
      </c>
      <c r="J18" s="158"/>
    </row>
    <row r="19" spans="2:10" ht="19.5" customHeight="1" x14ac:dyDescent="0.15">
      <c r="B19" s="146"/>
      <c r="C19" s="148"/>
      <c r="D19" s="148"/>
      <c r="E19" s="154" t="s">
        <v>79</v>
      </c>
      <c r="F19" s="155" t="s">
        <v>70</v>
      </c>
      <c r="G19" s="157">
        <f>단위장비1!F62+단위장비2!F61+단위장비3!F61+단위장비4!F61+단위장비5!F61+단위장비6!F61+단위장비7!F61+단위장비8!F64+단위장비9!F64+단위장비10!F64</f>
        <v>5</v>
      </c>
      <c r="H19" s="157">
        <f>IF(단위장비1!G62&gt;0,단위장비1!G62,"")</f>
        <v>300000</v>
      </c>
      <c r="I19" s="157">
        <f>단위장비1!H62+단위장비2!H61+단위장비3!H61+단위장비4!H61+단위장비5!H61+단위장비6!H61+단위장비7!H61+단위장비8!H64+단위장비9!H64+단위장비10!H64</f>
        <v>1500000</v>
      </c>
      <c r="J19" s="158"/>
    </row>
    <row r="20" spans="2:10" ht="19.5" customHeight="1" x14ac:dyDescent="0.15">
      <c r="B20" s="146"/>
      <c r="C20" s="148"/>
      <c r="D20" s="163"/>
      <c r="E20" s="164" t="s">
        <v>67</v>
      </c>
      <c r="F20" s="165"/>
      <c r="G20" s="166"/>
      <c r="H20" s="167"/>
      <c r="I20" s="168">
        <f>SUM(I12:I19)</f>
        <v>28750000</v>
      </c>
      <c r="J20" s="158"/>
    </row>
    <row r="21" spans="2:10" ht="19.5" customHeight="1" x14ac:dyDescent="0.15">
      <c r="B21" s="146"/>
      <c r="C21" s="148"/>
      <c r="D21" s="170" t="s">
        <v>80</v>
      </c>
      <c r="E21" s="171"/>
      <c r="F21" s="165"/>
      <c r="G21" s="166"/>
      <c r="H21" s="167"/>
      <c r="I21" s="172">
        <f>단위장비1!H65+단위장비1!H66+단위장비2!H64+단위장비2!H65+단위장비3!H64+단위장비3!H65+단위장비4!H64+단위장비4!H65+단위장비5!H64+단위장비5!H65+단위장비6!H64+단위장비6!H65+단위장비7!H64+단위장비7!H65+단위장비8!H67+단위장비8!H68+단위장비9!H67+단위장비9!H68+단위장비10!H67+단위장비10!H68</f>
        <v>12820760</v>
      </c>
      <c r="J21" s="173"/>
    </row>
    <row r="22" spans="2:10" ht="19.5" customHeight="1" x14ac:dyDescent="0.15">
      <c r="B22" s="174"/>
      <c r="C22" s="175"/>
      <c r="D22" s="176"/>
      <c r="E22" s="177" t="s">
        <v>81</v>
      </c>
      <c r="F22" s="178"/>
      <c r="G22" s="179"/>
      <c r="H22" s="180"/>
      <c r="I22" s="181">
        <f>I20+I11+I21</f>
        <v>98346760</v>
      </c>
      <c r="J22" s="182"/>
    </row>
    <row r="23" spans="2:10" ht="19.5" customHeight="1" x14ac:dyDescent="0.15">
      <c r="B23" s="183">
        <v>2</v>
      </c>
      <c r="C23" s="184" t="s">
        <v>82</v>
      </c>
      <c r="D23" s="185" t="s">
        <v>56</v>
      </c>
      <c r="E23" s="186" t="s">
        <v>83</v>
      </c>
      <c r="F23" s="187" t="s">
        <v>61</v>
      </c>
      <c r="G23" s="188">
        <v>1</v>
      </c>
      <c r="H23" s="188"/>
      <c r="I23" s="188">
        <f>전기!H54-I24</f>
        <v>19800000</v>
      </c>
      <c r="J23" s="189"/>
    </row>
    <row r="24" spans="2:10" ht="19.5" customHeight="1" x14ac:dyDescent="0.15">
      <c r="B24" s="146"/>
      <c r="C24" s="190"/>
      <c r="D24" s="191"/>
      <c r="E24" s="160" t="s">
        <v>65</v>
      </c>
      <c r="F24" s="150" t="s">
        <v>61</v>
      </c>
      <c r="G24" s="152">
        <v>1</v>
      </c>
      <c r="H24" s="152"/>
      <c r="I24" s="192">
        <f>전기!H16</f>
        <v>0</v>
      </c>
      <c r="J24" s="162" t="s">
        <v>66</v>
      </c>
    </row>
    <row r="25" spans="2:10" ht="19.5" customHeight="1" x14ac:dyDescent="0.15">
      <c r="B25" s="146"/>
      <c r="C25" s="193"/>
      <c r="D25" s="169" t="s">
        <v>68</v>
      </c>
      <c r="E25" s="154" t="s">
        <v>84</v>
      </c>
      <c r="F25" s="155" t="s">
        <v>70</v>
      </c>
      <c r="G25" s="157">
        <f>전기!F55</f>
        <v>3</v>
      </c>
      <c r="H25" s="157">
        <f>IF(전기!G55&gt;0,전기!G55,"")</f>
        <v>300000</v>
      </c>
      <c r="I25" s="157">
        <f>전기!H55</f>
        <v>900000</v>
      </c>
      <c r="J25" s="158"/>
    </row>
    <row r="26" spans="2:10" ht="19.5" customHeight="1" x14ac:dyDescent="0.15">
      <c r="B26" s="146"/>
      <c r="C26" s="193"/>
      <c r="D26" s="148"/>
      <c r="E26" s="154" t="s">
        <v>85</v>
      </c>
      <c r="F26" s="155" t="s">
        <v>70</v>
      </c>
      <c r="G26" s="157">
        <f>전기!F56</f>
        <v>20</v>
      </c>
      <c r="H26" s="157">
        <f>IF(전기!G56&gt;0,전기!G56,"")</f>
        <v>350000</v>
      </c>
      <c r="I26" s="157">
        <f>전기!H56</f>
        <v>7000000</v>
      </c>
      <c r="J26" s="158"/>
    </row>
    <row r="27" spans="2:10" ht="19.5" customHeight="1" x14ac:dyDescent="0.15">
      <c r="B27" s="146"/>
      <c r="C27" s="193"/>
      <c r="D27" s="148"/>
      <c r="E27" s="154" t="s">
        <v>86</v>
      </c>
      <c r="F27" s="155" t="s">
        <v>70</v>
      </c>
      <c r="G27" s="157">
        <f>전기!F57</f>
        <v>5</v>
      </c>
      <c r="H27" s="157">
        <f>IF(전기!G57&gt;0,전기!G57,"")</f>
        <v>300000</v>
      </c>
      <c r="I27" s="157">
        <f>전기!H57</f>
        <v>1500000</v>
      </c>
      <c r="J27" s="158"/>
    </row>
    <row r="28" spans="2:10" ht="19.5" customHeight="1" x14ac:dyDescent="0.15">
      <c r="B28" s="146"/>
      <c r="C28" s="193"/>
      <c r="D28" s="148"/>
      <c r="E28" s="154" t="s">
        <v>74</v>
      </c>
      <c r="F28" s="155" t="s">
        <v>70</v>
      </c>
      <c r="G28" s="157">
        <f>전기!F58</f>
        <v>5</v>
      </c>
      <c r="H28" s="157">
        <f>IF(전기!G58&gt;0,전기!G58,"")</f>
        <v>300000</v>
      </c>
      <c r="I28" s="157">
        <f>전기!H58</f>
        <v>1500000</v>
      </c>
      <c r="J28" s="158"/>
    </row>
    <row r="29" spans="2:10" ht="19.5" customHeight="1" x14ac:dyDescent="0.15">
      <c r="B29" s="146"/>
      <c r="C29" s="193"/>
      <c r="D29" s="148"/>
      <c r="E29" s="154" t="s">
        <v>76</v>
      </c>
      <c r="F29" s="155" t="s">
        <v>70</v>
      </c>
      <c r="G29" s="157">
        <f>전기!F59</f>
        <v>6</v>
      </c>
      <c r="H29" s="157">
        <f>IF(전기!G59&gt;0,전기!G59,"")</f>
        <v>300000</v>
      </c>
      <c r="I29" s="157">
        <f>전기!H59</f>
        <v>1800000</v>
      </c>
      <c r="J29" s="158"/>
    </row>
    <row r="30" spans="2:10" ht="19.5" customHeight="1" x14ac:dyDescent="0.15">
      <c r="B30" s="146"/>
      <c r="C30" s="193"/>
      <c r="D30" s="148"/>
      <c r="E30" s="154" t="s">
        <v>77</v>
      </c>
      <c r="F30" s="155" t="s">
        <v>70</v>
      </c>
      <c r="G30" s="157">
        <f>전기!F60</f>
        <v>3</v>
      </c>
      <c r="H30" s="157">
        <f>IF(전기!G60&gt;0,전기!G60,"")</f>
        <v>300000</v>
      </c>
      <c r="I30" s="157">
        <f>전기!H60</f>
        <v>900000</v>
      </c>
      <c r="J30" s="158"/>
    </row>
    <row r="31" spans="2:10" ht="19.5" customHeight="1" x14ac:dyDescent="0.15">
      <c r="B31" s="146"/>
      <c r="C31" s="193"/>
      <c r="D31" s="148"/>
      <c r="E31" s="154" t="s">
        <v>78</v>
      </c>
      <c r="F31" s="155" t="s">
        <v>70</v>
      </c>
      <c r="G31" s="157">
        <f>전기!F61</f>
        <v>3</v>
      </c>
      <c r="H31" s="157">
        <f>IF(전기!G61&gt;0,전기!G61,"")</f>
        <v>300000</v>
      </c>
      <c r="I31" s="157">
        <f>전기!H61</f>
        <v>900000</v>
      </c>
      <c r="J31" s="158"/>
    </row>
    <row r="32" spans="2:10" ht="19.5" customHeight="1" x14ac:dyDescent="0.15">
      <c r="B32" s="146"/>
      <c r="C32" s="193"/>
      <c r="D32" s="163"/>
      <c r="E32" s="164" t="s">
        <v>87</v>
      </c>
      <c r="F32" s="165"/>
      <c r="G32" s="166"/>
      <c r="H32" s="167"/>
      <c r="I32" s="168">
        <f>SUM(I25:I31)</f>
        <v>14500000</v>
      </c>
      <c r="J32" s="158"/>
    </row>
    <row r="33" spans="2:11" ht="19.5" customHeight="1" x14ac:dyDescent="0.15">
      <c r="B33" s="146"/>
      <c r="C33" s="148"/>
      <c r="D33" s="170" t="s">
        <v>80</v>
      </c>
      <c r="E33" s="171"/>
      <c r="F33" s="165"/>
      <c r="G33" s="166"/>
      <c r="H33" s="167"/>
      <c r="I33" s="172">
        <f>전기!H64+전기!H65</f>
        <v>5145000</v>
      </c>
      <c r="J33" s="173"/>
    </row>
    <row r="34" spans="2:11" ht="19.5" customHeight="1" x14ac:dyDescent="0.15">
      <c r="B34" s="174"/>
      <c r="C34" s="175"/>
      <c r="D34" s="176"/>
      <c r="E34" s="177" t="s">
        <v>88</v>
      </c>
      <c r="F34" s="178"/>
      <c r="G34" s="179"/>
      <c r="H34" s="180"/>
      <c r="I34" s="181">
        <f>I32+I23+I33+I24</f>
        <v>39445000</v>
      </c>
      <c r="J34" s="182"/>
    </row>
    <row r="35" spans="2:11" ht="19.5" customHeight="1" x14ac:dyDescent="0.15">
      <c r="B35" s="194">
        <v>3</v>
      </c>
      <c r="C35" s="195" t="s">
        <v>89</v>
      </c>
      <c r="D35" s="196"/>
      <c r="E35" s="197"/>
      <c r="F35" s="195"/>
      <c r="G35" s="196"/>
      <c r="H35" s="197"/>
      <c r="I35" s="198">
        <f>I23+I11+I24</f>
        <v>76576000</v>
      </c>
      <c r="J35" s="189"/>
    </row>
    <row r="36" spans="2:11" ht="19.5" customHeight="1" x14ac:dyDescent="0.15">
      <c r="B36" s="199"/>
      <c r="C36" s="165" t="s">
        <v>90</v>
      </c>
      <c r="D36" s="166"/>
      <c r="E36" s="167"/>
      <c r="F36" s="165"/>
      <c r="G36" s="166"/>
      <c r="H36" s="167"/>
      <c r="I36" s="168">
        <f>I32+I20</f>
        <v>43250000</v>
      </c>
      <c r="J36" s="158"/>
    </row>
    <row r="37" spans="2:11" ht="19.5" customHeight="1" thickBot="1" x14ac:dyDescent="0.2">
      <c r="B37" s="200"/>
      <c r="C37" s="201" t="s">
        <v>91</v>
      </c>
      <c r="D37" s="201"/>
      <c r="E37" s="202"/>
      <c r="F37" s="203"/>
      <c r="G37" s="201"/>
      <c r="H37" s="202"/>
      <c r="I37" s="204">
        <f>I36+I35</f>
        <v>119826000</v>
      </c>
      <c r="J37" s="205"/>
    </row>
    <row r="38" spans="2:11" ht="20.25" customHeight="1" x14ac:dyDescent="0.15">
      <c r="B38" s="206">
        <v>4</v>
      </c>
      <c r="C38" s="163" t="s">
        <v>92</v>
      </c>
      <c r="D38" s="207"/>
      <c r="E38" s="208"/>
      <c r="F38" s="209"/>
      <c r="G38" s="210"/>
      <c r="H38" s="211"/>
      <c r="I38" s="212">
        <v>500000</v>
      </c>
      <c r="J38" s="213"/>
    </row>
    <row r="39" spans="2:11" ht="22.5" customHeight="1" x14ac:dyDescent="0.15">
      <c r="B39" s="214">
        <v>5</v>
      </c>
      <c r="C39" s="165" t="s">
        <v>93</v>
      </c>
      <c r="D39" s="166"/>
      <c r="E39" s="167"/>
      <c r="F39" s="215" t="s">
        <v>94</v>
      </c>
      <c r="G39" s="216"/>
      <c r="H39" s="217"/>
      <c r="I39" s="218">
        <f>(IF(J48&lt;500000000,J48*0.0315,1)+IF(J48&gt;500000000,J48*0.0199+5499000)*IF(J48&gt;5000000000,0,1)+IF(J48&gt;5000000000,J48*0.021,0))*1.2</f>
        <v>408240</v>
      </c>
      <c r="J39" s="219">
        <f>I30+I29+I25+I24+I17+I16+I12+I10</f>
        <v>10800000</v>
      </c>
      <c r="K39" s="220"/>
    </row>
    <row r="40" spans="2:11" ht="20.25" customHeight="1" x14ac:dyDescent="0.15">
      <c r="B40" s="214">
        <v>6</v>
      </c>
      <c r="C40" s="165" t="s">
        <v>95</v>
      </c>
      <c r="D40" s="166"/>
      <c r="E40" s="167"/>
      <c r="F40" s="221"/>
      <c r="G40" s="222"/>
      <c r="H40" s="223"/>
      <c r="I40" s="168">
        <f>전기!H64+단위장비1!H65+단위장비2!H64+단위장비3!H64+단위장비4!H64+단위장비5!H64+단위장비6!H64+단위장비7!H64+단위장비8!H67+단위장비9!H67+단위장비10!H67</f>
        <v>5991300</v>
      </c>
      <c r="J40" s="158"/>
    </row>
    <row r="41" spans="2:11" ht="20.25" customHeight="1" x14ac:dyDescent="0.15">
      <c r="B41" s="224">
        <v>7</v>
      </c>
      <c r="C41" s="178" t="s">
        <v>96</v>
      </c>
      <c r="D41" s="179"/>
      <c r="E41" s="180"/>
      <c r="F41" s="225"/>
      <c r="G41" s="226"/>
      <c r="H41" s="227"/>
      <c r="I41" s="172">
        <f>전기!H65+단위장비1!H66+단위장비2!H65+단위장비3!H65+단위장비4!H65+단위장비5!H65+단위장비6!H65+단위장비7!H65+단위장비8!H68+단위장비9!H68+단위장비10!H68</f>
        <v>11974460</v>
      </c>
      <c r="J41" s="173"/>
      <c r="K41" s="125"/>
    </row>
    <row r="42" spans="2:11" ht="28.5" customHeight="1" thickBot="1" x14ac:dyDescent="0.2">
      <c r="B42" s="228"/>
      <c r="C42" s="229" t="s">
        <v>97</v>
      </c>
      <c r="D42" s="229"/>
      <c r="E42" s="229"/>
      <c r="F42" s="230" t="s">
        <v>98</v>
      </c>
      <c r="G42" s="231"/>
      <c r="H42" s="232"/>
      <c r="I42" s="233">
        <f>I22+I34+I38+I39</f>
        <v>138700000</v>
      </c>
      <c r="J42" s="234"/>
      <c r="K42" s="125"/>
    </row>
    <row r="43" spans="2:11" ht="19.5" customHeight="1" x14ac:dyDescent="0.15">
      <c r="B43" s="235" t="s">
        <v>99</v>
      </c>
      <c r="C43" s="127"/>
      <c r="D43" s="127"/>
      <c r="E43" s="127"/>
    </row>
    <row r="44" spans="2:11" ht="19.5" customHeight="1" x14ac:dyDescent="0.15">
      <c r="B44" s="125" t="s">
        <v>100</v>
      </c>
      <c r="C44" s="127"/>
      <c r="D44" s="127"/>
      <c r="E44" s="127"/>
    </row>
    <row r="45" spans="2:11" ht="19.5" customHeight="1" x14ac:dyDescent="0.15">
      <c r="C45" s="127"/>
      <c r="D45" s="127"/>
      <c r="E45" s="127"/>
    </row>
    <row r="46" spans="2:11" ht="19.5" customHeight="1" x14ac:dyDescent="0.15">
      <c r="C46" s="127"/>
      <c r="D46" s="127"/>
      <c r="E46" s="236" t="s">
        <v>101</v>
      </c>
      <c r="F46" s="237" t="s">
        <v>102</v>
      </c>
      <c r="G46" s="238"/>
      <c r="H46" s="239"/>
      <c r="I46" s="240" t="s">
        <v>103</v>
      </c>
      <c r="J46" s="241" t="s">
        <v>104</v>
      </c>
      <c r="K46" s="242" t="s">
        <v>105</v>
      </c>
    </row>
    <row r="47" spans="2:11" ht="19.5" customHeight="1" x14ac:dyDescent="0.15">
      <c r="C47" s="127"/>
      <c r="D47" s="127"/>
      <c r="E47" s="243"/>
      <c r="F47" s="244" t="s">
        <v>106</v>
      </c>
      <c r="G47" s="245"/>
      <c r="H47" s="245"/>
      <c r="I47" s="168">
        <f>IF(J47&lt;500000000,J47*0.0315,1)+IF(J47&gt;500000000,J47*0.0253+3300000)*IF(J47&gt;5000000000,0,1)+IF(J47&gt;5000000000,J47*0.026,0)</f>
        <v>3705219</v>
      </c>
      <c r="J47" s="246">
        <f>SUM(I7:I10,I12:I17,I23:I30,I38,I19)</f>
        <v>117626000</v>
      </c>
      <c r="K47" s="246" t="s">
        <v>107</v>
      </c>
    </row>
    <row r="48" spans="2:11" ht="19.5" customHeight="1" x14ac:dyDescent="0.15">
      <c r="E48" s="247"/>
      <c r="F48" s="244" t="s">
        <v>108</v>
      </c>
      <c r="G48" s="245"/>
      <c r="H48" s="245"/>
      <c r="I48" s="168">
        <f>(IF(J48&lt;500000000,J48*0.0315,1)+IF(J48&gt;500000000,J48*0.0253+3300000)*IF(J48&gt;5000000000,0,1)+IF(J48&gt;5000000000,J48*0.026,0))*1.2</f>
        <v>408240</v>
      </c>
      <c r="J48" s="246">
        <f>SUM(I10,I24,I12,I16:I17,I25,I29:I30)</f>
        <v>10800000</v>
      </c>
      <c r="K48" s="246" t="s">
        <v>109</v>
      </c>
    </row>
    <row r="49" spans="7:7" ht="19.5" customHeight="1" x14ac:dyDescent="0.15">
      <c r="G49" s="248" t="s">
        <v>110</v>
      </c>
    </row>
  </sheetData>
  <mergeCells count="38">
    <mergeCell ref="C41:E41"/>
    <mergeCell ref="F41:H41"/>
    <mergeCell ref="C42:E42"/>
    <mergeCell ref="F42:H42"/>
    <mergeCell ref="E46:E48"/>
    <mergeCell ref="F46:H46"/>
    <mergeCell ref="F47:H47"/>
    <mergeCell ref="F48:H48"/>
    <mergeCell ref="C38:E38"/>
    <mergeCell ref="F38:H38"/>
    <mergeCell ref="C39:E39"/>
    <mergeCell ref="F39:H39"/>
    <mergeCell ref="C40:E40"/>
    <mergeCell ref="F40:H40"/>
    <mergeCell ref="B35:B37"/>
    <mergeCell ref="C35:E35"/>
    <mergeCell ref="F35:H35"/>
    <mergeCell ref="C36:E36"/>
    <mergeCell ref="F36:H36"/>
    <mergeCell ref="C37:E37"/>
    <mergeCell ref="F37:H37"/>
    <mergeCell ref="B23:B34"/>
    <mergeCell ref="C23:C34"/>
    <mergeCell ref="D23:D24"/>
    <mergeCell ref="D25:D32"/>
    <mergeCell ref="F32:H32"/>
    <mergeCell ref="F33:H33"/>
    <mergeCell ref="F34:H34"/>
    <mergeCell ref="C5:E5"/>
    <mergeCell ref="C6:E6"/>
    <mergeCell ref="B7:B22"/>
    <mergeCell ref="C7:C22"/>
    <mergeCell ref="D7:D11"/>
    <mergeCell ref="F11:H11"/>
    <mergeCell ref="D12:D20"/>
    <mergeCell ref="F20:H20"/>
    <mergeCell ref="F21:H21"/>
    <mergeCell ref="F22:H22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6" orientation="portrait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2026-08-11T09:00:59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F29C-F27E-4279-90CD-2910C1063F38}">
  <sheetPr>
    <pageSetUpPr fitToPage="1"/>
  </sheetPr>
  <dimension ref="A2:P22"/>
  <sheetViews>
    <sheetView zoomScale="110" zoomScaleNormal="110" workbookViewId="0">
      <selection sqref="A1:XFD1048576"/>
    </sheetView>
  </sheetViews>
  <sheetFormatPr defaultRowHeight="17.25" customHeight="1" x14ac:dyDescent="0.15"/>
  <cols>
    <col min="1" max="1" width="5" style="249" customWidth="1"/>
    <col min="2" max="2" width="20.125" style="249" customWidth="1"/>
    <col min="3" max="3" width="6.25" style="249" customWidth="1"/>
    <col min="4" max="8" width="11.875" style="249" customWidth="1"/>
    <col min="9" max="9" width="13" style="249" customWidth="1"/>
    <col min="10" max="11" width="13.875" style="249" customWidth="1"/>
    <col min="12" max="12" width="12.5" style="249" bestFit="1" customWidth="1"/>
    <col min="13" max="13" width="15" style="249" bestFit="1" customWidth="1"/>
    <col min="14" max="14" width="13.875" style="249" customWidth="1"/>
    <col min="15" max="15" width="9.625" style="249" customWidth="1"/>
    <col min="16" max="16" width="11.5" style="249" hidden="1" customWidth="1"/>
    <col min="17" max="17" width="10" style="249" customWidth="1"/>
    <col min="18" max="16384" width="9" style="249"/>
  </cols>
  <sheetData>
    <row r="2" spans="1:16" ht="31.5" customHeight="1" x14ac:dyDescent="0.15">
      <c r="A2" s="117" t="s">
        <v>111</v>
      </c>
    </row>
    <row r="3" spans="1:16" ht="17.25" customHeight="1" thickBot="1" x14ac:dyDescent="0.2">
      <c r="N3" s="249" t="s">
        <v>112</v>
      </c>
    </row>
    <row r="4" spans="1:16" s="258" customFormat="1" ht="8.25" customHeight="1" x14ac:dyDescent="0.15">
      <c r="A4" s="250"/>
      <c r="B4" s="250"/>
      <c r="C4" s="250"/>
      <c r="D4" s="251"/>
      <c r="E4" s="252"/>
      <c r="F4" s="252"/>
      <c r="G4" s="252"/>
      <c r="H4" s="252"/>
      <c r="I4" s="252"/>
      <c r="J4" s="253"/>
      <c r="K4" s="254"/>
      <c r="L4" s="254"/>
      <c r="M4" s="255"/>
      <c r="N4" s="256"/>
      <c r="O4" s="257"/>
    </row>
    <row r="5" spans="1:16" s="258" customFormat="1" ht="25.5" customHeight="1" x14ac:dyDescent="0.15">
      <c r="A5" s="259"/>
      <c r="B5" s="259"/>
      <c r="C5" s="259"/>
      <c r="D5" s="260"/>
      <c r="E5" s="261"/>
      <c r="F5" s="261"/>
      <c r="G5" s="261"/>
      <c r="H5" s="261"/>
      <c r="I5" s="262" t="s">
        <v>113</v>
      </c>
      <c r="J5" s="263"/>
      <c r="K5" s="264"/>
      <c r="L5" s="264" t="s">
        <v>114</v>
      </c>
      <c r="M5" s="265" t="s">
        <v>95</v>
      </c>
      <c r="N5" s="266"/>
      <c r="O5" s="267"/>
    </row>
    <row r="6" spans="1:16" s="258" customFormat="1" ht="25.5" customHeight="1" thickBot="1" x14ac:dyDescent="0.2">
      <c r="A6" s="268" t="s">
        <v>48</v>
      </c>
      <c r="B6" s="268" t="s">
        <v>115</v>
      </c>
      <c r="C6" s="268" t="s">
        <v>51</v>
      </c>
      <c r="D6" s="269" t="s">
        <v>56</v>
      </c>
      <c r="E6" s="270" t="s">
        <v>116</v>
      </c>
      <c r="F6" s="270" t="s">
        <v>86</v>
      </c>
      <c r="G6" s="270" t="s">
        <v>117</v>
      </c>
      <c r="H6" s="270" t="s">
        <v>78</v>
      </c>
      <c r="I6" s="271" t="s">
        <v>118</v>
      </c>
      <c r="J6" s="272" t="s">
        <v>119</v>
      </c>
      <c r="K6" s="273" t="s">
        <v>120</v>
      </c>
      <c r="L6" s="273" t="s">
        <v>121</v>
      </c>
      <c r="M6" s="274" t="s">
        <v>122</v>
      </c>
      <c r="N6" s="275" t="s">
        <v>123</v>
      </c>
      <c r="O6" s="276" t="s">
        <v>30</v>
      </c>
    </row>
    <row r="7" spans="1:16" s="287" customFormat="1" ht="25.5" customHeight="1" thickTop="1" x14ac:dyDescent="0.15">
      <c r="A7" s="277">
        <f>IF(B7&gt;0,1,"")</f>
        <v>1</v>
      </c>
      <c r="B7" s="278" t="str">
        <f>단위장비1!C1</f>
        <v>투입 CONVEYOR</v>
      </c>
      <c r="C7" s="277" t="s">
        <v>124</v>
      </c>
      <c r="D7" s="279">
        <f>단위장비1!H54</f>
        <v>34260000</v>
      </c>
      <c r="E7" s="280">
        <f>단위장비1!H55</f>
        <v>900000</v>
      </c>
      <c r="F7" s="280">
        <f>단위장비1!H56+단위장비1!H57+단위장비1!H58+단위장비1!H62</f>
        <v>8850000</v>
      </c>
      <c r="G7" s="280">
        <f>단위장비1!H59+단위장비1!H60</f>
        <v>3000000</v>
      </c>
      <c r="H7" s="280">
        <f>단위장비1!H61</f>
        <v>900000</v>
      </c>
      <c r="I7" s="281">
        <f>IF($B7&gt;0,'원가항목별(집계)'!I$38*$P7/$P$17,0)</f>
        <v>280072.063380634</v>
      </c>
      <c r="J7" s="282">
        <f>SUM(D7:I7)</f>
        <v>48190072.063380636</v>
      </c>
      <c r="K7" s="283">
        <f>IF(B7&gt;0,'원가항목별(집계)'!I$34*P7/P$17,0)</f>
        <v>22094885.080098215</v>
      </c>
      <c r="L7" s="283">
        <f>IF($B7&gt;0,'원가항목별(집계)'!I$39*$P7/$P$17,0)</f>
        <v>228673.23830902003</v>
      </c>
      <c r="M7" s="284">
        <f>단위장비1!H65+단위장비1!H66</f>
        <v>7178360</v>
      </c>
      <c r="N7" s="285">
        <f>SUM(J7:M7)</f>
        <v>77691990.381787881</v>
      </c>
      <c r="O7" s="286"/>
      <c r="P7" s="287">
        <f t="shared" ref="P7:P17" si="0">D7+E7+F7+G7+H7+M7</f>
        <v>55088360</v>
      </c>
    </row>
    <row r="8" spans="1:16" s="287" customFormat="1" ht="25.5" customHeight="1" x14ac:dyDescent="0.15">
      <c r="A8" s="288">
        <f>IF(B8&gt;0,A7+1,"")</f>
        <v>2</v>
      </c>
      <c r="B8" s="289" t="str">
        <f>단위장비2!C1</f>
        <v>스태킹 M/C 개조</v>
      </c>
      <c r="C8" s="288" t="s">
        <v>124</v>
      </c>
      <c r="D8" s="290">
        <f>단위장비2!H53</f>
        <v>22516000</v>
      </c>
      <c r="E8" s="291">
        <f>단위장비2!H54</f>
        <v>900000</v>
      </c>
      <c r="F8" s="291">
        <f>단위장비2!H55+단위장비2!H56+단위장비2!H57+단위장비2!H61</f>
        <v>10900000</v>
      </c>
      <c r="G8" s="291">
        <f>단위장비2!H58+단위장비2!H59</f>
        <v>2400000</v>
      </c>
      <c r="H8" s="291">
        <f>단위장비2!H60</f>
        <v>900000</v>
      </c>
      <c r="I8" s="292">
        <f>IF($B8&gt;0,'원가항목별(집계)'!I$38*$P8/$P$17,0)</f>
        <v>219927.936619366</v>
      </c>
      <c r="J8" s="293">
        <f>SUM(D8:I8)</f>
        <v>37835927.936619364</v>
      </c>
      <c r="K8" s="294">
        <f>IF(B8&gt;0,'원가항목별(집계)'!I$34*P8/P$17,0)</f>
        <v>17350114.919901785</v>
      </c>
      <c r="L8" s="294">
        <f>IF($B8&gt;0,'원가항목별(집계)'!I$39*$P8/$P$17,0)</f>
        <v>179566.76169097997</v>
      </c>
      <c r="M8" s="295">
        <f>단위장비2!H64+단위장비2!H65</f>
        <v>5642400</v>
      </c>
      <c r="N8" s="296">
        <f t="shared" ref="N8:N16" si="1">SUM(J8:M8)</f>
        <v>61008009.618212126</v>
      </c>
      <c r="O8" s="297"/>
      <c r="P8" s="287">
        <f t="shared" si="0"/>
        <v>43258400</v>
      </c>
    </row>
    <row r="9" spans="1:16" s="287" customFormat="1" ht="25.5" customHeight="1" x14ac:dyDescent="0.15">
      <c r="A9" s="288" t="str">
        <f>IF(B9&gt;0,A8+1,"")</f>
        <v/>
      </c>
      <c r="B9" s="289">
        <f>단위장비3!C1</f>
        <v>0</v>
      </c>
      <c r="C9" s="288" t="s">
        <v>125</v>
      </c>
      <c r="D9" s="290">
        <f>단위장비3!H53</f>
        <v>0</v>
      </c>
      <c r="E9" s="291">
        <f>단위장비3!H54</f>
        <v>0</v>
      </c>
      <c r="F9" s="291">
        <f>단위장비3!H55+단위장비3!H56+단위장비3!H57+단위장비3!H61</f>
        <v>0</v>
      </c>
      <c r="G9" s="291">
        <f>단위장비3!H58+단위장비3!H59</f>
        <v>0</v>
      </c>
      <c r="H9" s="291">
        <f>단위장비3!H60</f>
        <v>0</v>
      </c>
      <c r="I9" s="292">
        <f>IF($B9&gt;0,'원가항목별(집계)'!I$38*$P9/$P$17,0)</f>
        <v>0</v>
      </c>
      <c r="J9" s="293">
        <f t="shared" ref="J9:J17" si="2">SUM(D9:I9)</f>
        <v>0</v>
      </c>
      <c r="K9" s="294">
        <f>IF(B9&gt;0,'원가항목별(집계)'!I$34*P9/P$17,0)</f>
        <v>0</v>
      </c>
      <c r="L9" s="294">
        <f>IF($B9&gt;0,'원가항목별(집계)'!I$39*$P9/$P$17,0)</f>
        <v>0</v>
      </c>
      <c r="M9" s="295">
        <f>단위장비3!H64+단위장비3!H65</f>
        <v>0</v>
      </c>
      <c r="N9" s="296">
        <f t="shared" si="1"/>
        <v>0</v>
      </c>
      <c r="O9" s="297"/>
      <c r="P9" s="287">
        <f t="shared" si="0"/>
        <v>0</v>
      </c>
    </row>
    <row r="10" spans="1:16" s="287" customFormat="1" ht="25.5" customHeight="1" x14ac:dyDescent="0.15">
      <c r="A10" s="288" t="str">
        <f>IF(B10&gt;0,A9+1,"")</f>
        <v/>
      </c>
      <c r="B10" s="289">
        <f>단위장비4!C$1</f>
        <v>0</v>
      </c>
      <c r="C10" s="288" t="s">
        <v>125</v>
      </c>
      <c r="D10" s="290">
        <f>단위장비4!H53</f>
        <v>0</v>
      </c>
      <c r="E10" s="291">
        <f>단위장비4!H54</f>
        <v>0</v>
      </c>
      <c r="F10" s="291">
        <f>단위장비4!H55+단위장비4!H56+단위장비4!H57+단위장비4!H61</f>
        <v>0</v>
      </c>
      <c r="G10" s="291">
        <f>단위장비4!H58+단위장비4!H59</f>
        <v>0</v>
      </c>
      <c r="H10" s="291">
        <f>단위장비4!H60</f>
        <v>0</v>
      </c>
      <c r="I10" s="292">
        <f>IF($B10&gt;0,'원가항목별(집계)'!I$38*$P10/$P$17,0)</f>
        <v>0</v>
      </c>
      <c r="J10" s="293">
        <f t="shared" si="2"/>
        <v>0</v>
      </c>
      <c r="K10" s="294">
        <f>IF(B10&gt;0,'원가항목별(집계)'!I$34*P10/P$17,0)</f>
        <v>0</v>
      </c>
      <c r="L10" s="294">
        <f>IF($B10&gt;0,'원가항목별(집계)'!I$39*$P10/$P$17,0)</f>
        <v>0</v>
      </c>
      <c r="M10" s="295">
        <f>단위장비4!H64+단위장비4!H65</f>
        <v>0</v>
      </c>
      <c r="N10" s="296">
        <f t="shared" si="1"/>
        <v>0</v>
      </c>
      <c r="O10" s="297"/>
      <c r="P10" s="287">
        <f t="shared" si="0"/>
        <v>0</v>
      </c>
    </row>
    <row r="11" spans="1:16" s="287" customFormat="1" ht="25.5" customHeight="1" x14ac:dyDescent="0.15">
      <c r="A11" s="288" t="str">
        <f>IF(B11&gt;0,A10+1,"")</f>
        <v/>
      </c>
      <c r="B11" s="289">
        <f>단위장비5!C$1</f>
        <v>0</v>
      </c>
      <c r="C11" s="288" t="s">
        <v>125</v>
      </c>
      <c r="D11" s="290">
        <f>단위장비5!H53</f>
        <v>0</v>
      </c>
      <c r="E11" s="291">
        <f>단위장비5!H54</f>
        <v>0</v>
      </c>
      <c r="F11" s="291">
        <f>단위장비5!H55+단위장비5!H56+단위장비5!H57+단위장비5!H61</f>
        <v>0</v>
      </c>
      <c r="G11" s="291">
        <f>단위장비5!H58+단위장비5!H59</f>
        <v>0</v>
      </c>
      <c r="H11" s="291">
        <f>단위장비5!H60</f>
        <v>0</v>
      </c>
      <c r="I11" s="292">
        <f>IF($B11&gt;0,'원가항목별(집계)'!I$38*$P11/$P$17,0)</f>
        <v>0</v>
      </c>
      <c r="J11" s="293">
        <f t="shared" si="2"/>
        <v>0</v>
      </c>
      <c r="K11" s="294">
        <f>IF(B11&gt;0,'원가항목별(집계)'!I$34*P11/P$17,0)</f>
        <v>0</v>
      </c>
      <c r="L11" s="294">
        <f>IF($B11&gt;0,'원가항목별(집계)'!I$39*$P11/$P$17,0)</f>
        <v>0</v>
      </c>
      <c r="M11" s="295">
        <f>단위장비5!H64+단위장비5!H65</f>
        <v>0</v>
      </c>
      <c r="N11" s="296">
        <f t="shared" si="1"/>
        <v>0</v>
      </c>
      <c r="O11" s="297"/>
      <c r="P11" s="287">
        <f t="shared" si="0"/>
        <v>0</v>
      </c>
    </row>
    <row r="12" spans="1:16" s="287" customFormat="1" ht="25.5" customHeight="1" x14ac:dyDescent="0.15">
      <c r="A12" s="288" t="str">
        <f>IF(B12&gt;0,A11+1,"")</f>
        <v/>
      </c>
      <c r="B12" s="289">
        <f>단위장비6!C$1</f>
        <v>0</v>
      </c>
      <c r="C12" s="288" t="s">
        <v>125</v>
      </c>
      <c r="D12" s="290">
        <f>단위장비6!H53</f>
        <v>0</v>
      </c>
      <c r="E12" s="291">
        <f>단위장비6!H54</f>
        <v>0</v>
      </c>
      <c r="F12" s="291">
        <f>단위장비6!H55+단위장비6!H56+단위장비6!H57+단위장비6!H61</f>
        <v>0</v>
      </c>
      <c r="G12" s="291">
        <f>단위장비6!H58+단위장비6!H59</f>
        <v>0</v>
      </c>
      <c r="H12" s="291">
        <f>단위장비6!H60</f>
        <v>0</v>
      </c>
      <c r="I12" s="292">
        <f>IF($B12&gt;0,'원가항목별(집계)'!I$38*$P12/$P$17,0)</f>
        <v>0</v>
      </c>
      <c r="J12" s="293">
        <f t="shared" si="2"/>
        <v>0</v>
      </c>
      <c r="K12" s="294">
        <f>IF(B12&gt;0,'원가항목별(집계)'!I$34*P12/P$17,0)</f>
        <v>0</v>
      </c>
      <c r="L12" s="294">
        <f>IF($B12&gt;0,'원가항목별(집계)'!I$39*$P12/$P$17,0)</f>
        <v>0</v>
      </c>
      <c r="M12" s="295">
        <f>단위장비6!H64+단위장비6!H65</f>
        <v>0</v>
      </c>
      <c r="N12" s="296">
        <f t="shared" si="1"/>
        <v>0</v>
      </c>
      <c r="O12" s="297"/>
      <c r="P12" s="287">
        <f t="shared" si="0"/>
        <v>0</v>
      </c>
    </row>
    <row r="13" spans="1:16" s="287" customFormat="1" ht="25.5" customHeight="1" x14ac:dyDescent="0.15">
      <c r="A13" s="288" t="str">
        <f>IF(B13&gt;0,A8+1,"")</f>
        <v/>
      </c>
      <c r="B13" s="289">
        <f>단위장비7!C$1</f>
        <v>0</v>
      </c>
      <c r="C13" s="288" t="s">
        <v>125</v>
      </c>
      <c r="D13" s="290">
        <f>단위장비7!H53</f>
        <v>0</v>
      </c>
      <c r="E13" s="291">
        <f>단위장비7!H54</f>
        <v>0</v>
      </c>
      <c r="F13" s="291">
        <f>단위장비7!H55+단위장비7!H56+단위장비7!H57+단위장비7!H61</f>
        <v>0</v>
      </c>
      <c r="G13" s="291">
        <f>단위장비7!H58+단위장비7!H59</f>
        <v>0</v>
      </c>
      <c r="H13" s="291">
        <f>단위장비7!H60</f>
        <v>0</v>
      </c>
      <c r="I13" s="292">
        <f>IF($B13&gt;0,'원가항목별(집계)'!I$38*$P13/$P$17,0)</f>
        <v>0</v>
      </c>
      <c r="J13" s="293">
        <f t="shared" si="2"/>
        <v>0</v>
      </c>
      <c r="K13" s="294">
        <f>IF(B13&gt;0,'원가항목별(집계)'!I$34*P13/P$17,0)</f>
        <v>0</v>
      </c>
      <c r="L13" s="294">
        <f>IF($B13&gt;0,'원가항목별(집계)'!I$39*$P13/$P$17,0)</f>
        <v>0</v>
      </c>
      <c r="M13" s="295">
        <f>단위장비7!H64+단위장비7!H65</f>
        <v>0</v>
      </c>
      <c r="N13" s="296">
        <f t="shared" si="1"/>
        <v>0</v>
      </c>
      <c r="O13" s="297"/>
      <c r="P13" s="287">
        <f t="shared" si="0"/>
        <v>0</v>
      </c>
    </row>
    <row r="14" spans="1:16" s="287" customFormat="1" ht="25.5" customHeight="1" x14ac:dyDescent="0.15">
      <c r="A14" s="288" t="str">
        <f>IF(B14&gt;0,A13+1,"")</f>
        <v/>
      </c>
      <c r="B14" s="289">
        <f>단위장비8!C$1</f>
        <v>0</v>
      </c>
      <c r="C14" s="288" t="s">
        <v>125</v>
      </c>
      <c r="D14" s="290">
        <f>단위장비8!H56</f>
        <v>0</v>
      </c>
      <c r="E14" s="291">
        <f>단위장비8!H57</f>
        <v>0</v>
      </c>
      <c r="F14" s="291">
        <f>단위장비8!H58+단위장비8!H59+단위장비8!H60+단위장비8!H64</f>
        <v>0</v>
      </c>
      <c r="G14" s="291">
        <f>단위장비8!H61+단위장비8!H62</f>
        <v>0</v>
      </c>
      <c r="H14" s="291">
        <f>단위장비8!H63</f>
        <v>0</v>
      </c>
      <c r="I14" s="292">
        <f>IF($B14&gt;0,'원가항목별(집계)'!I$38*$P14/$P$17,0)</f>
        <v>0</v>
      </c>
      <c r="J14" s="293">
        <f t="shared" si="2"/>
        <v>0</v>
      </c>
      <c r="K14" s="294">
        <f>IF(B14&gt;0,'원가항목별(집계)'!I$34*P14/P$17,0)</f>
        <v>0</v>
      </c>
      <c r="L14" s="294">
        <f>IF($B14&gt;0,'원가항목별(집계)'!I$39*$P14/$P$17,0)</f>
        <v>0</v>
      </c>
      <c r="M14" s="295">
        <f>단위장비8!H67+단위장비8!H68</f>
        <v>0</v>
      </c>
      <c r="N14" s="296">
        <f t="shared" si="1"/>
        <v>0</v>
      </c>
      <c r="O14" s="297"/>
      <c r="P14" s="287">
        <f t="shared" si="0"/>
        <v>0</v>
      </c>
    </row>
    <row r="15" spans="1:16" s="287" customFormat="1" ht="25.5" customHeight="1" x14ac:dyDescent="0.15">
      <c r="A15" s="288" t="str">
        <f>IF(B15&gt;0,A14+1,"")</f>
        <v/>
      </c>
      <c r="B15" s="289">
        <f>단위장비9!C$1</f>
        <v>0</v>
      </c>
      <c r="C15" s="288" t="s">
        <v>125</v>
      </c>
      <c r="D15" s="290">
        <f>단위장비9!H57</f>
        <v>0</v>
      </c>
      <c r="E15" s="291">
        <f>단위장비9!H58</f>
        <v>0</v>
      </c>
      <c r="F15" s="291">
        <f>단위장비9!H59+단위장비9!H60+단위장비9!H61+단위장비9!H65</f>
        <v>0</v>
      </c>
      <c r="G15" s="291">
        <f>단위장비9!H62+단위장비9!H63</f>
        <v>0</v>
      </c>
      <c r="H15" s="291">
        <f>단위장비9!H64</f>
        <v>0</v>
      </c>
      <c r="I15" s="292">
        <f>IF($B15&gt;0,'원가항목별(집계)'!I$38*$P15/$P$17,0)</f>
        <v>0</v>
      </c>
      <c r="J15" s="293">
        <f t="shared" si="2"/>
        <v>0</v>
      </c>
      <c r="K15" s="294">
        <f>IF(B15&gt;0,'원가항목별(집계)'!I$34*P15/P$17,0)</f>
        <v>0</v>
      </c>
      <c r="L15" s="294">
        <f>IF($B15&gt;0,'원가항목별(집계)'!I$39*$P15/$P$17,0)</f>
        <v>0</v>
      </c>
      <c r="M15" s="295">
        <f>단위장비9!H68+단위장비9!H69</f>
        <v>0</v>
      </c>
      <c r="N15" s="296">
        <f t="shared" si="1"/>
        <v>0</v>
      </c>
      <c r="O15" s="297"/>
      <c r="P15" s="287">
        <f t="shared" si="0"/>
        <v>0</v>
      </c>
    </row>
    <row r="16" spans="1:16" s="287" customFormat="1" ht="25.5" customHeight="1" x14ac:dyDescent="0.15">
      <c r="A16" s="298" t="str">
        <f>IF(B16&gt;0,A15+1,"")</f>
        <v/>
      </c>
      <c r="B16" s="299">
        <f>단위장비10!C$1</f>
        <v>0</v>
      </c>
      <c r="C16" s="298" t="s">
        <v>125</v>
      </c>
      <c r="D16" s="300">
        <f>단위장비10!H58</f>
        <v>0</v>
      </c>
      <c r="E16" s="301">
        <f>단위장비10!H59</f>
        <v>0</v>
      </c>
      <c r="F16" s="301">
        <f>단위장비10!H60+단위장비10!H61+단위장비10!H62+단위장비10!H66</f>
        <v>0</v>
      </c>
      <c r="G16" s="301">
        <f>단위장비10!H63+단위장비10!H64</f>
        <v>0</v>
      </c>
      <c r="H16" s="301">
        <f>단위장비10!H65</f>
        <v>0</v>
      </c>
      <c r="I16" s="302">
        <f>IF($B16&gt;0,'원가항목별(집계)'!I$38*$P16/$P$17,0)</f>
        <v>0</v>
      </c>
      <c r="J16" s="303">
        <f t="shared" si="2"/>
        <v>0</v>
      </c>
      <c r="K16" s="304">
        <f>IF(B16&gt;0,'원가항목별(집계)'!I$34*P16/P$17,0)</f>
        <v>0</v>
      </c>
      <c r="L16" s="304">
        <f>IF($B16&gt;0,'원가항목별(집계)'!I$39*$P16/$P$17,0)</f>
        <v>0</v>
      </c>
      <c r="M16" s="305">
        <f>단위장비10!H69+단위장비10!H70</f>
        <v>0</v>
      </c>
      <c r="N16" s="306">
        <f t="shared" si="1"/>
        <v>0</v>
      </c>
      <c r="O16" s="307"/>
      <c r="P16" s="287">
        <f t="shared" si="0"/>
        <v>0</v>
      </c>
    </row>
    <row r="17" spans="1:16" s="287" customFormat="1" ht="33" customHeight="1" x14ac:dyDescent="0.15">
      <c r="A17" s="308" t="s">
        <v>126</v>
      </c>
      <c r="B17" s="309"/>
      <c r="C17" s="310"/>
      <c r="D17" s="311">
        <f t="shared" ref="D17:M17" si="3">SUM(D7:D16)</f>
        <v>56776000</v>
      </c>
      <c r="E17" s="312">
        <f t="shared" si="3"/>
        <v>1800000</v>
      </c>
      <c r="F17" s="312">
        <f t="shared" si="3"/>
        <v>19750000</v>
      </c>
      <c r="G17" s="312">
        <f t="shared" si="3"/>
        <v>5400000</v>
      </c>
      <c r="H17" s="312">
        <f t="shared" si="3"/>
        <v>1800000</v>
      </c>
      <c r="I17" s="313">
        <f t="shared" si="3"/>
        <v>500000</v>
      </c>
      <c r="J17" s="314">
        <f t="shared" si="2"/>
        <v>86026000</v>
      </c>
      <c r="K17" s="315">
        <f>SUM(K7:K16)</f>
        <v>39445000</v>
      </c>
      <c r="L17" s="315">
        <f t="shared" si="3"/>
        <v>408240</v>
      </c>
      <c r="M17" s="316">
        <f t="shared" si="3"/>
        <v>12820760</v>
      </c>
      <c r="N17" s="317">
        <f>SUM(N7:N14)</f>
        <v>138700000</v>
      </c>
      <c r="O17" s="318"/>
      <c r="P17" s="287">
        <f t="shared" si="0"/>
        <v>98346760</v>
      </c>
    </row>
    <row r="18" spans="1:16" s="331" customFormat="1" ht="18.75" customHeight="1" x14ac:dyDescent="0.15">
      <c r="A18" s="319"/>
      <c r="B18" s="320"/>
      <c r="C18" s="321"/>
      <c r="D18" s="322">
        <f t="shared" ref="D18:N18" si="4">IF(D17=0,"",D17/$N17)</f>
        <v>0.40934390771449169</v>
      </c>
      <c r="E18" s="323">
        <f t="shared" si="4"/>
        <v>1.2977649603460706E-2</v>
      </c>
      <c r="F18" s="323">
        <f t="shared" si="4"/>
        <v>0.14239365537130497</v>
      </c>
      <c r="G18" s="323">
        <f t="shared" si="4"/>
        <v>3.8932948810382118E-2</v>
      </c>
      <c r="H18" s="323">
        <f t="shared" si="4"/>
        <v>1.2977649603460706E-2</v>
      </c>
      <c r="I18" s="324">
        <f t="shared" si="4"/>
        <v>3.6049026676279738E-3</v>
      </c>
      <c r="J18" s="325">
        <f t="shared" si="4"/>
        <v>0.62023071377072814</v>
      </c>
      <c r="K18" s="326">
        <f t="shared" si="4"/>
        <v>0.28439077144917085</v>
      </c>
      <c r="L18" s="327">
        <f t="shared" si="4"/>
        <v>2.9433309300648885E-3</v>
      </c>
      <c r="M18" s="328">
        <f t="shared" si="4"/>
        <v>9.2435183850036046E-2</v>
      </c>
      <c r="N18" s="329">
        <f t="shared" si="4"/>
        <v>1</v>
      </c>
      <c r="O18" s="330"/>
    </row>
    <row r="19" spans="1:16" ht="28.5" customHeight="1" x14ac:dyDescent="0.15">
      <c r="A19" s="249" t="s">
        <v>127</v>
      </c>
      <c r="H19" s="332"/>
      <c r="I19" s="332"/>
      <c r="J19" s="332"/>
      <c r="K19" s="332"/>
      <c r="L19" s="332"/>
    </row>
    <row r="20" spans="1:16" ht="17.25" customHeight="1" x14ac:dyDescent="0.15">
      <c r="H20" s="333"/>
      <c r="I20" s="333"/>
      <c r="J20" s="333"/>
      <c r="K20" s="333"/>
      <c r="L20" s="333"/>
      <c r="M20" s="334"/>
      <c r="N20" s="335"/>
    </row>
    <row r="21" spans="1:16" ht="17.25" customHeight="1" x14ac:dyDescent="0.15">
      <c r="H21" s="336"/>
      <c r="I21" s="336"/>
      <c r="J21" s="336"/>
      <c r="K21" s="336"/>
      <c r="L21" s="336"/>
      <c r="N21" s="336"/>
    </row>
    <row r="22" spans="1:16" ht="17.25" customHeight="1" x14ac:dyDescent="0.15">
      <c r="H22" s="287"/>
      <c r="I22" s="287"/>
      <c r="J22" s="287"/>
      <c r="L22" s="287"/>
    </row>
  </sheetData>
  <mergeCells count="2">
    <mergeCell ref="D4:J4"/>
    <mergeCell ref="A17:C17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2026-08-11T09:00:59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CF16-BD2D-4EF8-A188-FA04B66AF59A}">
  <sheetPr>
    <tabColor rgb="FF00B050"/>
    <pageSetUpPr fitToPage="1"/>
  </sheetPr>
  <dimension ref="A1:I67"/>
  <sheetViews>
    <sheetView zoomScale="90" zoomScaleNormal="90" workbookViewId="0">
      <pane xSplit="3" ySplit="2" topLeftCell="D32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3.5" x14ac:dyDescent="0.15"/>
  <cols>
    <col min="1" max="1" width="5" style="249" customWidth="1"/>
    <col min="2" max="2" width="13" style="249" customWidth="1"/>
    <col min="3" max="3" width="23.625" style="249" customWidth="1"/>
    <col min="4" max="4" width="18.25" style="249" customWidth="1"/>
    <col min="5" max="5" width="5.25" style="258" bestFit="1" customWidth="1"/>
    <col min="6" max="6" width="6.75" style="434" customWidth="1"/>
    <col min="7" max="7" width="11.875" style="287" customWidth="1"/>
    <col min="8" max="8" width="13.625" style="287" customWidth="1"/>
    <col min="9" max="9" width="12.75" style="249" customWidth="1"/>
    <col min="10" max="10" width="9.25" style="249" customWidth="1"/>
    <col min="11" max="16384" width="9" style="249"/>
  </cols>
  <sheetData>
    <row r="1" spans="1:9" ht="22.5" customHeight="1" x14ac:dyDescent="0.15">
      <c r="B1" s="337" t="s">
        <v>128</v>
      </c>
      <c r="C1" s="338" t="s">
        <v>129</v>
      </c>
      <c r="F1" s="339"/>
      <c r="I1" s="249" t="s">
        <v>130</v>
      </c>
    </row>
    <row r="2" spans="1:9" s="258" customFormat="1" ht="16.5" customHeight="1" x14ac:dyDescent="0.15">
      <c r="A2" s="89" t="s">
        <v>131</v>
      </c>
      <c r="B2" s="340"/>
      <c r="C2" s="341" t="s">
        <v>132</v>
      </c>
      <c r="D2" s="342" t="s">
        <v>133</v>
      </c>
      <c r="E2" s="342" t="s">
        <v>50</v>
      </c>
      <c r="F2" s="343" t="s">
        <v>51</v>
      </c>
      <c r="G2" s="343" t="s">
        <v>134</v>
      </c>
      <c r="H2" s="343" t="s">
        <v>135</v>
      </c>
      <c r="I2" s="342" t="s">
        <v>136</v>
      </c>
    </row>
    <row r="3" spans="1:9" ht="15.95" customHeight="1" x14ac:dyDescent="0.15">
      <c r="A3" s="344" t="s">
        <v>137</v>
      </c>
      <c r="B3" s="345" t="s">
        <v>138</v>
      </c>
      <c r="C3" s="346"/>
      <c r="D3" s="347"/>
      <c r="E3" s="348"/>
      <c r="F3" s="349"/>
      <c r="G3" s="350"/>
      <c r="H3" s="351"/>
      <c r="I3" s="352"/>
    </row>
    <row r="4" spans="1:9" ht="15.95" customHeight="1" x14ac:dyDescent="0.15">
      <c r="A4" s="353"/>
      <c r="B4" s="345"/>
      <c r="C4" s="346"/>
      <c r="D4" s="347"/>
      <c r="E4" s="348"/>
      <c r="F4" s="349"/>
      <c r="G4" s="350"/>
      <c r="H4" s="297"/>
      <c r="I4" s="354"/>
    </row>
    <row r="5" spans="1:9" ht="15.95" customHeight="1" x14ac:dyDescent="0.15">
      <c r="A5" s="353"/>
      <c r="B5" s="345"/>
      <c r="C5" s="346"/>
      <c r="D5" s="347"/>
      <c r="E5" s="348"/>
      <c r="F5" s="349"/>
      <c r="G5" s="350"/>
      <c r="H5" s="297"/>
      <c r="I5" s="354"/>
    </row>
    <row r="6" spans="1:9" ht="15.95" customHeight="1" x14ac:dyDescent="0.15">
      <c r="A6" s="353"/>
      <c r="B6" s="345"/>
      <c r="C6" s="346"/>
      <c r="D6" s="347"/>
      <c r="E6" s="348"/>
      <c r="F6" s="349"/>
      <c r="G6" s="350"/>
      <c r="H6" s="297"/>
      <c r="I6" s="354"/>
    </row>
    <row r="7" spans="1:9" ht="15.95" customHeight="1" x14ac:dyDescent="0.15">
      <c r="A7" s="353"/>
      <c r="B7" s="345"/>
      <c r="C7" s="346"/>
      <c r="D7" s="346"/>
      <c r="E7" s="355"/>
      <c r="F7" s="356"/>
      <c r="G7" s="357"/>
      <c r="H7" s="297"/>
      <c r="I7" s="354"/>
    </row>
    <row r="8" spans="1:9" ht="15.95" customHeight="1" x14ac:dyDescent="0.15">
      <c r="A8" s="353"/>
      <c r="B8" s="345"/>
      <c r="C8" s="358"/>
      <c r="D8" s="358"/>
      <c r="E8" s="359"/>
      <c r="F8" s="360"/>
      <c r="G8" s="361"/>
      <c r="H8" s="297"/>
      <c r="I8" s="362"/>
    </row>
    <row r="9" spans="1:9" ht="15.95" customHeight="1" x14ac:dyDescent="0.15">
      <c r="A9" s="353"/>
      <c r="B9" s="363"/>
      <c r="C9" s="364"/>
      <c r="D9" s="365"/>
      <c r="E9" s="341"/>
      <c r="F9" s="366"/>
      <c r="G9" s="367"/>
      <c r="H9" s="368">
        <f>SUM(H3:H8)</f>
        <v>0</v>
      </c>
      <c r="I9" s="369"/>
    </row>
    <row r="10" spans="1:9" ht="15.95" customHeight="1" x14ac:dyDescent="0.15">
      <c r="A10" s="353"/>
      <c r="B10" s="370" t="s">
        <v>139</v>
      </c>
      <c r="C10" s="371"/>
      <c r="D10" s="371"/>
      <c r="E10" s="372"/>
      <c r="F10" s="373"/>
      <c r="G10" s="374"/>
      <c r="H10" s="375"/>
      <c r="I10" s="376"/>
    </row>
    <row r="11" spans="1:9" ht="15.95" customHeight="1" x14ac:dyDescent="0.15">
      <c r="A11" s="353"/>
      <c r="B11" s="377" t="s">
        <v>140</v>
      </c>
      <c r="C11" s="346"/>
      <c r="D11" s="346"/>
      <c r="E11" s="355"/>
      <c r="F11" s="356"/>
      <c r="G11" s="357"/>
      <c r="H11" s="297"/>
      <c r="I11" s="354"/>
    </row>
    <row r="12" spans="1:9" ht="15.95" customHeight="1" x14ac:dyDescent="0.15">
      <c r="A12" s="353"/>
      <c r="B12" s="377" t="s">
        <v>141</v>
      </c>
      <c r="C12" s="346"/>
      <c r="D12" s="346"/>
      <c r="E12" s="355"/>
      <c r="F12" s="356"/>
      <c r="G12" s="357"/>
      <c r="H12" s="297"/>
      <c r="I12" s="354"/>
    </row>
    <row r="13" spans="1:9" ht="15.95" customHeight="1" x14ac:dyDescent="0.15">
      <c r="A13" s="353"/>
      <c r="B13" s="345"/>
      <c r="C13" s="346"/>
      <c r="D13" s="346"/>
      <c r="E13" s="355"/>
      <c r="F13" s="356"/>
      <c r="G13" s="357"/>
      <c r="H13" s="297"/>
      <c r="I13" s="354"/>
    </row>
    <row r="14" spans="1:9" ht="15.95" customHeight="1" x14ac:dyDescent="0.15">
      <c r="A14" s="353"/>
      <c r="B14" s="345"/>
      <c r="C14" s="346"/>
      <c r="D14" s="346"/>
      <c r="E14" s="355"/>
      <c r="F14" s="356"/>
      <c r="G14" s="357"/>
      <c r="H14" s="297"/>
      <c r="I14" s="354"/>
    </row>
    <row r="15" spans="1:9" ht="15.95" customHeight="1" x14ac:dyDescent="0.15">
      <c r="A15" s="353"/>
      <c r="B15" s="345"/>
      <c r="C15" s="358" t="s">
        <v>142</v>
      </c>
      <c r="D15" s="378"/>
      <c r="E15" s="379"/>
      <c r="F15" s="380"/>
      <c r="G15" s="381"/>
      <c r="H15" s="382"/>
      <c r="I15" s="383"/>
    </row>
    <row r="16" spans="1:9" ht="15.95" customHeight="1" x14ac:dyDescent="0.15">
      <c r="A16" s="353"/>
      <c r="B16" s="345"/>
      <c r="C16" s="384"/>
      <c r="D16" s="385"/>
      <c r="E16" s="386"/>
      <c r="F16" s="387"/>
      <c r="G16" s="388"/>
      <c r="H16" s="389">
        <f>SUM(H10:H15)</f>
        <v>0</v>
      </c>
      <c r="I16" s="390"/>
    </row>
    <row r="17" spans="1:9" ht="15.95" customHeight="1" x14ac:dyDescent="0.15">
      <c r="A17" s="353"/>
      <c r="B17" s="391" t="s">
        <v>143</v>
      </c>
      <c r="C17" s="392" t="s">
        <v>144</v>
      </c>
      <c r="D17" s="393"/>
      <c r="E17" s="394"/>
      <c r="F17" s="395"/>
      <c r="G17" s="396"/>
      <c r="H17" s="375">
        <f>F17*G17</f>
        <v>0</v>
      </c>
      <c r="I17" s="397"/>
    </row>
    <row r="18" spans="1:9" ht="15.95" customHeight="1" x14ac:dyDescent="0.15">
      <c r="A18" s="353"/>
      <c r="B18" s="345"/>
      <c r="C18" s="392" t="s">
        <v>145</v>
      </c>
      <c r="D18" s="346"/>
      <c r="E18" s="398"/>
      <c r="F18" s="399"/>
      <c r="G18" s="399"/>
      <c r="H18" s="297"/>
      <c r="I18" s="400"/>
    </row>
    <row r="19" spans="1:9" ht="15.95" customHeight="1" x14ac:dyDescent="0.15">
      <c r="A19" s="353"/>
      <c r="B19" s="345"/>
      <c r="C19" s="392" t="s">
        <v>146</v>
      </c>
      <c r="D19" s="346"/>
      <c r="E19" s="398"/>
      <c r="F19" s="399"/>
      <c r="G19" s="399"/>
      <c r="H19" s="297"/>
      <c r="I19" s="400"/>
    </row>
    <row r="20" spans="1:9" ht="15.95" customHeight="1" x14ac:dyDescent="0.15">
      <c r="A20" s="353"/>
      <c r="B20" s="345"/>
      <c r="C20" s="392" t="s">
        <v>147</v>
      </c>
      <c r="D20" s="346"/>
      <c r="E20" s="401"/>
      <c r="F20" s="399"/>
      <c r="G20" s="399"/>
      <c r="H20" s="297"/>
      <c r="I20" s="400"/>
    </row>
    <row r="21" spans="1:9" ht="15.95" customHeight="1" x14ac:dyDescent="0.15">
      <c r="A21" s="353"/>
      <c r="B21" s="345"/>
      <c r="C21" s="392" t="s">
        <v>148</v>
      </c>
      <c r="D21" s="346"/>
      <c r="E21" s="401"/>
      <c r="F21" s="399"/>
      <c r="G21" s="399"/>
      <c r="H21" s="297"/>
      <c r="I21" s="400"/>
    </row>
    <row r="22" spans="1:9" ht="15.95" customHeight="1" x14ac:dyDescent="0.15">
      <c r="A22" s="353"/>
      <c r="B22" s="345"/>
      <c r="C22" s="392" t="s">
        <v>149</v>
      </c>
      <c r="D22" s="346"/>
      <c r="E22" s="398"/>
      <c r="F22" s="399"/>
      <c r="G22" s="399"/>
      <c r="H22" s="297"/>
      <c r="I22" s="400"/>
    </row>
    <row r="23" spans="1:9" ht="15.95" customHeight="1" x14ac:dyDescent="0.15">
      <c r="A23" s="353"/>
      <c r="B23" s="345"/>
      <c r="C23" s="392" t="s">
        <v>150</v>
      </c>
      <c r="D23" s="346"/>
      <c r="E23" s="355"/>
      <c r="F23" s="399"/>
      <c r="G23" s="357"/>
      <c r="H23" s="297"/>
      <c r="I23" s="400"/>
    </row>
    <row r="24" spans="1:9" ht="15.95" customHeight="1" x14ac:dyDescent="0.15">
      <c r="A24" s="353"/>
      <c r="B24" s="345"/>
      <c r="C24" s="346" t="s">
        <v>150</v>
      </c>
      <c r="D24" s="346"/>
      <c r="E24" s="355"/>
      <c r="F24" s="399"/>
      <c r="G24" s="357"/>
      <c r="H24" s="297"/>
      <c r="I24" s="400"/>
    </row>
    <row r="25" spans="1:9" ht="15.95" customHeight="1" x14ac:dyDescent="0.15">
      <c r="A25" s="353"/>
      <c r="B25" s="345"/>
      <c r="C25" s="346" t="s">
        <v>151</v>
      </c>
      <c r="D25" s="346"/>
      <c r="E25" s="355"/>
      <c r="F25" s="356"/>
      <c r="G25" s="357"/>
      <c r="H25" s="297"/>
      <c r="I25" s="400"/>
    </row>
    <row r="26" spans="1:9" ht="15.95" customHeight="1" x14ac:dyDescent="0.15">
      <c r="A26" s="353"/>
      <c r="B26" s="345"/>
      <c r="C26" s="346" t="s">
        <v>152</v>
      </c>
      <c r="D26" s="346" t="s">
        <v>153</v>
      </c>
      <c r="E26" s="355" t="s">
        <v>61</v>
      </c>
      <c r="F26" s="356">
        <v>1</v>
      </c>
      <c r="G26" s="357">
        <v>2000000</v>
      </c>
      <c r="H26" s="297">
        <f t="shared" ref="H26:H27" si="0">F26*G26</f>
        <v>2000000</v>
      </c>
      <c r="I26" s="400" t="s">
        <v>154</v>
      </c>
    </row>
    <row r="27" spans="1:9" ht="15.95" customHeight="1" x14ac:dyDescent="0.15">
      <c r="A27" s="353"/>
      <c r="B27" s="345"/>
      <c r="C27" s="346" t="s">
        <v>155</v>
      </c>
      <c r="D27" s="346"/>
      <c r="E27" s="355" t="s">
        <v>156</v>
      </c>
      <c r="F27" s="356">
        <v>1</v>
      </c>
      <c r="G27" s="357">
        <v>2000000</v>
      </c>
      <c r="H27" s="297">
        <f t="shared" si="0"/>
        <v>2000000</v>
      </c>
      <c r="I27" s="400"/>
    </row>
    <row r="28" spans="1:9" ht="15.95" customHeight="1" x14ac:dyDescent="0.15">
      <c r="A28" s="353"/>
      <c r="B28" s="345"/>
      <c r="C28" s="346" t="s">
        <v>157</v>
      </c>
      <c r="D28" s="346"/>
      <c r="E28" s="355"/>
      <c r="F28" s="356"/>
      <c r="G28" s="357"/>
      <c r="H28" s="297"/>
      <c r="I28" s="400" t="s">
        <v>158</v>
      </c>
    </row>
    <row r="29" spans="1:9" ht="15.95" customHeight="1" x14ac:dyDescent="0.15">
      <c r="A29" s="353"/>
      <c r="B29" s="345"/>
      <c r="C29" s="346" t="s">
        <v>159</v>
      </c>
      <c r="D29" s="346"/>
      <c r="E29" s="355"/>
      <c r="F29" s="356"/>
      <c r="G29" s="357"/>
      <c r="H29" s="297"/>
      <c r="I29" s="400" t="s">
        <v>160</v>
      </c>
    </row>
    <row r="30" spans="1:9" ht="15.95" customHeight="1" x14ac:dyDescent="0.15">
      <c r="A30" s="353"/>
      <c r="B30" s="345"/>
      <c r="C30" s="346" t="s">
        <v>161</v>
      </c>
      <c r="D30" s="346"/>
      <c r="E30" s="355"/>
      <c r="F30" s="356"/>
      <c r="G30" s="357"/>
      <c r="H30" s="297"/>
      <c r="I30" s="400" t="s">
        <v>162</v>
      </c>
    </row>
    <row r="31" spans="1:9" ht="15.95" customHeight="1" x14ac:dyDescent="0.15">
      <c r="A31" s="353"/>
      <c r="B31" s="345"/>
      <c r="C31" s="346" t="s">
        <v>163</v>
      </c>
      <c r="D31" s="402"/>
      <c r="E31" s="355"/>
      <c r="F31" s="356"/>
      <c r="G31" s="357"/>
      <c r="H31" s="297"/>
      <c r="I31" s="400" t="s">
        <v>164</v>
      </c>
    </row>
    <row r="32" spans="1:9" ht="15.95" customHeight="1" x14ac:dyDescent="0.15">
      <c r="A32" s="353"/>
      <c r="B32" s="345"/>
      <c r="C32" s="346" t="s">
        <v>165</v>
      </c>
      <c r="D32" s="346"/>
      <c r="E32" s="355"/>
      <c r="F32" s="356"/>
      <c r="G32" s="357"/>
      <c r="H32" s="297"/>
      <c r="I32" s="400" t="s">
        <v>166</v>
      </c>
    </row>
    <row r="33" spans="1:9" ht="15.95" customHeight="1" x14ac:dyDescent="0.15">
      <c r="A33" s="353"/>
      <c r="B33" s="345"/>
      <c r="C33" s="346"/>
      <c r="D33" s="346"/>
      <c r="E33" s="355"/>
      <c r="F33" s="356"/>
      <c r="G33" s="357"/>
      <c r="H33" s="297"/>
      <c r="I33" s="400"/>
    </row>
    <row r="34" spans="1:9" ht="15.95" customHeight="1" x14ac:dyDescent="0.15">
      <c r="A34" s="353"/>
      <c r="B34" s="345"/>
      <c r="C34" s="346" t="s">
        <v>167</v>
      </c>
      <c r="D34" s="402" t="s">
        <v>168</v>
      </c>
      <c r="E34" s="355" t="s">
        <v>61</v>
      </c>
      <c r="F34" s="356">
        <v>1</v>
      </c>
      <c r="G34" s="357">
        <v>3500000</v>
      </c>
      <c r="H34" s="297">
        <f t="shared" ref="H34" si="1">F34*G34</f>
        <v>3500000</v>
      </c>
      <c r="I34" s="400" t="s">
        <v>169</v>
      </c>
    </row>
    <row r="35" spans="1:9" ht="15.95" customHeight="1" x14ac:dyDescent="0.15">
      <c r="A35" s="353"/>
      <c r="B35" s="345"/>
      <c r="C35" s="346"/>
      <c r="D35" s="346"/>
      <c r="E35" s="355"/>
      <c r="F35" s="356"/>
      <c r="G35" s="357"/>
      <c r="H35" s="297"/>
      <c r="I35" s="400"/>
    </row>
    <row r="36" spans="1:9" ht="15.95" customHeight="1" x14ac:dyDescent="0.15">
      <c r="A36" s="353"/>
      <c r="B36" s="345"/>
      <c r="C36" s="346" t="s">
        <v>170</v>
      </c>
      <c r="D36" s="346"/>
      <c r="E36" s="355" t="s">
        <v>156</v>
      </c>
      <c r="F36" s="356">
        <v>1</v>
      </c>
      <c r="G36" s="357">
        <v>1000000</v>
      </c>
      <c r="H36" s="297">
        <f t="shared" ref="H36" si="2">F36*G36</f>
        <v>1000000</v>
      </c>
      <c r="I36" s="400"/>
    </row>
    <row r="37" spans="1:9" ht="15.95" customHeight="1" x14ac:dyDescent="0.15">
      <c r="A37" s="353"/>
      <c r="B37" s="345"/>
      <c r="C37" s="358" t="s">
        <v>171</v>
      </c>
      <c r="D37" s="358"/>
      <c r="E37" s="359" t="s">
        <v>61</v>
      </c>
      <c r="F37" s="360">
        <v>1</v>
      </c>
      <c r="G37" s="361">
        <v>500000</v>
      </c>
      <c r="H37" s="307">
        <f>F37*G37</f>
        <v>500000</v>
      </c>
      <c r="I37" s="403"/>
    </row>
    <row r="38" spans="1:9" ht="15.95" customHeight="1" x14ac:dyDescent="0.15">
      <c r="A38" s="353"/>
      <c r="B38" s="345"/>
      <c r="C38" s="364"/>
      <c r="D38" s="352"/>
      <c r="E38" s="404"/>
      <c r="F38" s="405"/>
      <c r="G38" s="406"/>
      <c r="H38" s="407">
        <f>SUM(H17:H37)</f>
        <v>9000000</v>
      </c>
      <c r="I38" s="259"/>
    </row>
    <row r="39" spans="1:9" ht="15.95" customHeight="1" x14ac:dyDescent="0.15">
      <c r="A39" s="353"/>
      <c r="B39" s="391" t="s">
        <v>63</v>
      </c>
      <c r="C39" s="408" t="s">
        <v>172</v>
      </c>
      <c r="D39" s="408"/>
      <c r="E39" s="394" t="s">
        <v>156</v>
      </c>
      <c r="F39" s="395"/>
      <c r="G39" s="396">
        <v>2500000</v>
      </c>
      <c r="H39" s="375">
        <f>F39*G39</f>
        <v>0</v>
      </c>
      <c r="I39" s="397"/>
    </row>
    <row r="40" spans="1:9" ht="15.95" customHeight="1" x14ac:dyDescent="0.15">
      <c r="A40" s="353"/>
      <c r="B40" s="345"/>
      <c r="C40" s="346" t="s">
        <v>173</v>
      </c>
      <c r="D40" s="346"/>
      <c r="E40" s="355" t="s">
        <v>156</v>
      </c>
      <c r="F40" s="356">
        <v>1</v>
      </c>
      <c r="G40" s="357">
        <v>750000</v>
      </c>
      <c r="H40" s="297">
        <f t="shared" ref="H40:H43" si="3">F40*G40</f>
        <v>750000</v>
      </c>
      <c r="I40" s="400" t="s">
        <v>174</v>
      </c>
    </row>
    <row r="41" spans="1:9" ht="15.95" customHeight="1" x14ac:dyDescent="0.15">
      <c r="A41" s="353"/>
      <c r="B41" s="345"/>
      <c r="C41" s="346" t="s">
        <v>175</v>
      </c>
      <c r="D41" s="346"/>
      <c r="E41" s="348" t="s">
        <v>156</v>
      </c>
      <c r="F41" s="356"/>
      <c r="G41" s="357">
        <v>600000</v>
      </c>
      <c r="H41" s="297">
        <f t="shared" si="3"/>
        <v>0</v>
      </c>
      <c r="I41" s="400"/>
    </row>
    <row r="42" spans="1:9" ht="15.95" customHeight="1" x14ac:dyDescent="0.15">
      <c r="A42" s="353"/>
      <c r="B42" s="345"/>
      <c r="C42" s="346" t="s">
        <v>176</v>
      </c>
      <c r="D42" s="346"/>
      <c r="E42" s="348" t="s">
        <v>156</v>
      </c>
      <c r="F42" s="349">
        <v>1</v>
      </c>
      <c r="G42" s="350">
        <v>500000</v>
      </c>
      <c r="H42" s="297">
        <f t="shared" si="3"/>
        <v>500000</v>
      </c>
      <c r="I42" s="400" t="s">
        <v>174</v>
      </c>
    </row>
    <row r="43" spans="1:9" ht="15.95" customHeight="1" x14ac:dyDescent="0.15">
      <c r="A43" s="353"/>
      <c r="B43" s="345"/>
      <c r="C43" s="346" t="s">
        <v>177</v>
      </c>
      <c r="D43" s="346"/>
      <c r="E43" s="348" t="s">
        <v>156</v>
      </c>
      <c r="F43" s="349">
        <v>1</v>
      </c>
      <c r="G43" s="350">
        <v>650000</v>
      </c>
      <c r="H43" s="297">
        <f t="shared" si="3"/>
        <v>650000</v>
      </c>
      <c r="I43" s="400" t="s">
        <v>174</v>
      </c>
    </row>
    <row r="44" spans="1:9" ht="15.95" customHeight="1" x14ac:dyDescent="0.15">
      <c r="A44" s="353"/>
      <c r="B44" s="345"/>
      <c r="C44" s="346"/>
      <c r="D44" s="346"/>
      <c r="E44" s="355"/>
      <c r="F44" s="356"/>
      <c r="G44" s="357"/>
      <c r="H44" s="297"/>
      <c r="I44" s="400"/>
    </row>
    <row r="45" spans="1:9" ht="15.95" customHeight="1" x14ac:dyDescent="0.15">
      <c r="A45" s="353"/>
      <c r="B45" s="345"/>
      <c r="C45" s="346"/>
      <c r="D45" s="346"/>
      <c r="E45" s="355"/>
      <c r="F45" s="356"/>
      <c r="G45" s="357"/>
      <c r="H45" s="297"/>
      <c r="I45" s="400"/>
    </row>
    <row r="46" spans="1:9" ht="15.95" customHeight="1" x14ac:dyDescent="0.15">
      <c r="A46" s="353"/>
      <c r="B46" s="345"/>
      <c r="C46" s="346"/>
      <c r="D46" s="346"/>
      <c r="E46" s="355"/>
      <c r="F46" s="356"/>
      <c r="G46" s="357"/>
      <c r="H46" s="297"/>
      <c r="I46" s="400"/>
    </row>
    <row r="47" spans="1:9" ht="15.95" customHeight="1" x14ac:dyDescent="0.15">
      <c r="A47" s="353"/>
      <c r="B47" s="345"/>
      <c r="C47" s="346"/>
      <c r="D47" s="346"/>
      <c r="E47" s="355"/>
      <c r="F47" s="356"/>
      <c r="G47" s="357"/>
      <c r="H47" s="297"/>
      <c r="I47" s="400"/>
    </row>
    <row r="48" spans="1:9" ht="15.95" customHeight="1" x14ac:dyDescent="0.15">
      <c r="A48" s="353"/>
      <c r="B48" s="345"/>
      <c r="C48" s="346" t="s">
        <v>178</v>
      </c>
      <c r="D48" s="346"/>
      <c r="E48" s="355" t="s">
        <v>70</v>
      </c>
      <c r="F48" s="356">
        <v>21</v>
      </c>
      <c r="G48" s="357">
        <v>400000</v>
      </c>
      <c r="H48" s="297">
        <f t="shared" ref="H48" si="4">F48*G48</f>
        <v>8400000</v>
      </c>
      <c r="I48" s="400"/>
    </row>
    <row r="49" spans="1:9" ht="15.95" customHeight="1" x14ac:dyDescent="0.15">
      <c r="A49" s="353"/>
      <c r="B49" s="345"/>
      <c r="C49" s="346"/>
      <c r="D49" s="346"/>
      <c r="E49" s="355"/>
      <c r="F49" s="356"/>
      <c r="G49" s="357"/>
      <c r="H49" s="297"/>
      <c r="I49" s="400"/>
    </row>
    <row r="50" spans="1:9" ht="15.95" customHeight="1" x14ac:dyDescent="0.15">
      <c r="A50" s="353"/>
      <c r="B50" s="345"/>
      <c r="C50" s="346"/>
      <c r="D50" s="346"/>
      <c r="E50" s="355"/>
      <c r="F50" s="356"/>
      <c r="G50" s="357"/>
      <c r="H50" s="297"/>
      <c r="I50" s="400"/>
    </row>
    <row r="51" spans="1:9" ht="15.95" customHeight="1" x14ac:dyDescent="0.15">
      <c r="A51" s="353"/>
      <c r="B51" s="345"/>
      <c r="C51" s="346"/>
      <c r="D51" s="346"/>
      <c r="E51" s="355"/>
      <c r="F51" s="356"/>
      <c r="G51" s="357"/>
      <c r="H51" s="297"/>
      <c r="I51" s="400"/>
    </row>
    <row r="52" spans="1:9" ht="15.95" customHeight="1" x14ac:dyDescent="0.15">
      <c r="A52" s="353"/>
      <c r="B52" s="345"/>
      <c r="C52" s="358" t="s">
        <v>179</v>
      </c>
      <c r="D52" s="358"/>
      <c r="E52" s="359" t="s">
        <v>61</v>
      </c>
      <c r="F52" s="360">
        <v>1</v>
      </c>
      <c r="G52" s="361">
        <v>500000</v>
      </c>
      <c r="H52" s="307">
        <f>F52*G52</f>
        <v>500000</v>
      </c>
      <c r="I52" s="403"/>
    </row>
    <row r="53" spans="1:9" ht="15.95" customHeight="1" x14ac:dyDescent="0.15">
      <c r="A53" s="353"/>
      <c r="B53" s="363"/>
      <c r="C53" s="364"/>
      <c r="D53" s="365"/>
      <c r="E53" s="341"/>
      <c r="F53" s="366"/>
      <c r="G53" s="367"/>
      <c r="H53" s="368">
        <f>SUM(H39:H52)</f>
        <v>10800000</v>
      </c>
      <c r="I53" s="369"/>
    </row>
    <row r="54" spans="1:9" ht="15.95" customHeight="1" x14ac:dyDescent="0.15">
      <c r="A54" s="409"/>
      <c r="B54" s="410" t="s">
        <v>180</v>
      </c>
      <c r="C54" s="411"/>
      <c r="D54" s="369"/>
      <c r="E54" s="342"/>
      <c r="F54" s="412"/>
      <c r="G54" s="413"/>
      <c r="H54" s="368">
        <f>SUM(H53,H9,H38)</f>
        <v>19800000</v>
      </c>
      <c r="I54" s="369"/>
    </row>
    <row r="55" spans="1:9" ht="15.95" customHeight="1" x14ac:dyDescent="0.15">
      <c r="A55" s="414" t="s">
        <v>181</v>
      </c>
      <c r="B55" s="415" t="s">
        <v>69</v>
      </c>
      <c r="C55" s="411"/>
      <c r="D55" s="369"/>
      <c r="E55" s="416" t="s">
        <v>70</v>
      </c>
      <c r="F55" s="417">
        <v>3</v>
      </c>
      <c r="G55" s="418">
        <v>300000</v>
      </c>
      <c r="H55" s="419">
        <f t="shared" ref="H55:H61" si="5">F55*G55</f>
        <v>900000</v>
      </c>
      <c r="I55" s="369"/>
    </row>
    <row r="56" spans="1:9" ht="15.95" customHeight="1" x14ac:dyDescent="0.15">
      <c r="A56" s="420"/>
      <c r="B56" s="421" t="s">
        <v>182</v>
      </c>
      <c r="C56" s="422"/>
      <c r="D56" s="376"/>
      <c r="E56" s="423" t="s">
        <v>70</v>
      </c>
      <c r="F56" s="373">
        <v>20</v>
      </c>
      <c r="G56" s="374">
        <v>350000</v>
      </c>
      <c r="H56" s="375">
        <f t="shared" si="5"/>
        <v>7000000</v>
      </c>
      <c r="I56" s="376"/>
    </row>
    <row r="57" spans="1:9" ht="15.95" customHeight="1" x14ac:dyDescent="0.15">
      <c r="A57" s="420"/>
      <c r="B57" s="424" t="s">
        <v>183</v>
      </c>
      <c r="C57" s="425"/>
      <c r="D57" s="354"/>
      <c r="E57" s="423" t="s">
        <v>70</v>
      </c>
      <c r="F57" s="356">
        <v>5</v>
      </c>
      <c r="G57" s="357">
        <v>300000</v>
      </c>
      <c r="H57" s="297">
        <f t="shared" si="5"/>
        <v>1500000</v>
      </c>
      <c r="I57" s="354"/>
    </row>
    <row r="58" spans="1:9" ht="15.95" customHeight="1" x14ac:dyDescent="0.15">
      <c r="A58" s="420"/>
      <c r="B58" s="424" t="s">
        <v>184</v>
      </c>
      <c r="C58" s="425"/>
      <c r="D58" s="354"/>
      <c r="E58" s="423" t="s">
        <v>185</v>
      </c>
      <c r="F58" s="356">
        <v>5</v>
      </c>
      <c r="G58" s="357">
        <v>300000</v>
      </c>
      <c r="H58" s="297">
        <f t="shared" si="5"/>
        <v>1500000</v>
      </c>
      <c r="I58" s="354"/>
    </row>
    <row r="59" spans="1:9" ht="15.95" customHeight="1" x14ac:dyDescent="0.15">
      <c r="A59" s="420"/>
      <c r="B59" s="424" t="s">
        <v>186</v>
      </c>
      <c r="C59" s="425"/>
      <c r="D59" s="354"/>
      <c r="E59" s="423" t="s">
        <v>185</v>
      </c>
      <c r="F59" s="356">
        <v>6</v>
      </c>
      <c r="G59" s="357">
        <v>300000</v>
      </c>
      <c r="H59" s="297">
        <f t="shared" si="5"/>
        <v>1800000</v>
      </c>
      <c r="I59" s="354"/>
    </row>
    <row r="60" spans="1:9" ht="15.95" customHeight="1" x14ac:dyDescent="0.15">
      <c r="A60" s="420"/>
      <c r="B60" s="424" t="s">
        <v>187</v>
      </c>
      <c r="C60" s="425"/>
      <c r="D60" s="354"/>
      <c r="E60" s="423" t="s">
        <v>185</v>
      </c>
      <c r="F60" s="356">
        <v>3</v>
      </c>
      <c r="G60" s="357">
        <v>300000</v>
      </c>
      <c r="H60" s="297">
        <f t="shared" si="5"/>
        <v>900000</v>
      </c>
      <c r="I60" s="354"/>
    </row>
    <row r="61" spans="1:9" ht="15.95" customHeight="1" x14ac:dyDescent="0.15">
      <c r="A61" s="420"/>
      <c r="B61" s="426" t="s">
        <v>188</v>
      </c>
      <c r="C61" s="427"/>
      <c r="D61" s="362"/>
      <c r="E61" s="428" t="s">
        <v>185</v>
      </c>
      <c r="F61" s="360">
        <v>3</v>
      </c>
      <c r="G61" s="361">
        <v>300000</v>
      </c>
      <c r="H61" s="307">
        <f t="shared" si="5"/>
        <v>900000</v>
      </c>
      <c r="I61" s="362"/>
    </row>
    <row r="62" spans="1:9" ht="15.95" customHeight="1" x14ac:dyDescent="0.15">
      <c r="A62" s="409"/>
      <c r="B62" s="429" t="s">
        <v>189</v>
      </c>
      <c r="C62" s="411"/>
      <c r="D62" s="369"/>
      <c r="E62" s="342"/>
      <c r="F62" s="366"/>
      <c r="G62" s="367"/>
      <c r="H62" s="368">
        <f>SUM(H55:H61)</f>
        <v>14500000</v>
      </c>
      <c r="I62" s="369"/>
    </row>
    <row r="63" spans="1:9" ht="15.95" customHeight="1" x14ac:dyDescent="0.15">
      <c r="A63" s="430"/>
      <c r="B63" s="429" t="s">
        <v>190</v>
      </c>
      <c r="C63" s="411"/>
      <c r="D63" s="369"/>
      <c r="E63" s="342"/>
      <c r="F63" s="431"/>
      <c r="G63" s="432" t="s">
        <v>191</v>
      </c>
      <c r="H63" s="413">
        <v>0</v>
      </c>
      <c r="I63" s="369"/>
    </row>
    <row r="64" spans="1:9" ht="15.95" customHeight="1" x14ac:dyDescent="0.15">
      <c r="A64" s="430"/>
      <c r="B64" s="429" t="s">
        <v>95</v>
      </c>
      <c r="C64" s="411"/>
      <c r="D64" s="369"/>
      <c r="E64" s="342"/>
      <c r="F64" s="431"/>
      <c r="G64" s="433"/>
      <c r="H64" s="418">
        <f>SUM(H54,H62) * 0.05</f>
        <v>1715000</v>
      </c>
      <c r="I64" s="411"/>
    </row>
    <row r="65" spans="1:9" ht="15.95" customHeight="1" x14ac:dyDescent="0.15">
      <c r="A65" s="430"/>
      <c r="B65" s="429" t="s">
        <v>192</v>
      </c>
      <c r="C65" s="411"/>
      <c r="D65" s="369"/>
      <c r="E65" s="342"/>
      <c r="F65" s="431"/>
      <c r="G65" s="433"/>
      <c r="H65" s="418">
        <f>SUM(H54,H62) * 0.1</f>
        <v>3430000</v>
      </c>
      <c r="I65" s="411"/>
    </row>
    <row r="66" spans="1:9" ht="15.95" customHeight="1" x14ac:dyDescent="0.15">
      <c r="A66" s="430"/>
      <c r="B66" s="429" t="s">
        <v>193</v>
      </c>
      <c r="C66" s="411"/>
      <c r="D66" s="369"/>
      <c r="E66" s="342"/>
      <c r="F66" s="431"/>
      <c r="G66" s="368"/>
      <c r="H66" s="367">
        <f>H54+H62+H63+H64+H65</f>
        <v>39445000</v>
      </c>
      <c r="I66" s="369"/>
    </row>
    <row r="67" spans="1:9" x14ac:dyDescent="0.15">
      <c r="A67" s="258"/>
    </row>
  </sheetData>
  <mergeCells count="3">
    <mergeCell ref="A2:B2"/>
    <mergeCell ref="A3:A53"/>
    <mergeCell ref="A55:A61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71" orientation="portrait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2026-08-11T09:00:59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2531-B325-4AEE-BC47-7C8461F435B9}">
  <sheetPr>
    <tabColor rgb="FF00B050"/>
    <pageSetUpPr fitToPage="1"/>
  </sheetPr>
  <dimension ref="A1:L68"/>
  <sheetViews>
    <sheetView zoomScale="90" zoomScaleNormal="90" workbookViewId="0">
      <pane xSplit="2" ySplit="2" topLeftCell="C12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3.5" x14ac:dyDescent="0.15"/>
  <cols>
    <col min="1" max="1" width="5" style="249" customWidth="1"/>
    <col min="2" max="2" width="17.875" style="249" bestFit="1" customWidth="1"/>
    <col min="3" max="3" width="23.625" style="249" customWidth="1"/>
    <col min="4" max="4" width="18.25" style="249" customWidth="1"/>
    <col min="5" max="5" width="5.25" style="258" bestFit="1" customWidth="1"/>
    <col min="6" max="6" width="9" style="434"/>
    <col min="7" max="7" width="11.875" style="287" customWidth="1"/>
    <col min="8" max="8" width="13.625" style="287" customWidth="1"/>
    <col min="9" max="9" width="12.75" style="249" customWidth="1"/>
    <col min="10" max="10" width="9" style="249"/>
    <col min="11" max="11" width="10" style="249" bestFit="1" customWidth="1"/>
    <col min="12" max="12" width="12.625" style="333" customWidth="1"/>
    <col min="13" max="16384" width="9" style="249"/>
  </cols>
  <sheetData>
    <row r="1" spans="1:12" ht="22.5" customHeight="1" x14ac:dyDescent="0.15">
      <c r="B1" s="337" t="s">
        <v>194</v>
      </c>
      <c r="C1" s="435" t="s">
        <v>195</v>
      </c>
      <c r="F1" s="339"/>
      <c r="I1" s="249" t="s">
        <v>130</v>
      </c>
      <c r="K1" s="436"/>
    </row>
    <row r="2" spans="1:12" s="258" customFormat="1" ht="16.5" customHeight="1" x14ac:dyDescent="0.15">
      <c r="A2" s="89" t="s">
        <v>131</v>
      </c>
      <c r="B2" s="340"/>
      <c r="C2" s="259" t="s">
        <v>132</v>
      </c>
      <c r="D2" s="250" t="s">
        <v>133</v>
      </c>
      <c r="E2" s="250" t="s">
        <v>50</v>
      </c>
      <c r="F2" s="437" t="s">
        <v>51</v>
      </c>
      <c r="G2" s="437" t="s">
        <v>134</v>
      </c>
      <c r="H2" s="437" t="s">
        <v>135</v>
      </c>
      <c r="I2" s="250" t="s">
        <v>136</v>
      </c>
      <c r="L2" s="332"/>
    </row>
    <row r="3" spans="1:12" ht="15.95" customHeight="1" x14ac:dyDescent="0.15">
      <c r="A3" s="344" t="s">
        <v>137</v>
      </c>
      <c r="B3" s="345" t="s">
        <v>138</v>
      </c>
      <c r="C3" s="346" t="s">
        <v>196</v>
      </c>
      <c r="D3" s="438" t="s">
        <v>197</v>
      </c>
      <c r="E3" s="355" t="s">
        <v>198</v>
      </c>
      <c r="F3" s="356"/>
      <c r="G3" s="357">
        <v>1500</v>
      </c>
      <c r="H3" s="375">
        <f>F3*G3</f>
        <v>0</v>
      </c>
      <c r="I3" s="376"/>
    </row>
    <row r="4" spans="1:12" ht="15.95" customHeight="1" x14ac:dyDescent="0.15">
      <c r="A4" s="439"/>
      <c r="B4" s="345"/>
      <c r="C4" s="346" t="s">
        <v>199</v>
      </c>
      <c r="D4" s="438" t="s">
        <v>197</v>
      </c>
      <c r="E4" s="355" t="s">
        <v>198</v>
      </c>
      <c r="F4" s="356"/>
      <c r="G4" s="357">
        <v>1500</v>
      </c>
      <c r="H4" s="297">
        <f t="shared" ref="H4:H5" si="0">F4*G4</f>
        <v>0</v>
      </c>
      <c r="I4" s="354"/>
    </row>
    <row r="5" spans="1:12" ht="15.95" customHeight="1" x14ac:dyDescent="0.15">
      <c r="A5" s="439"/>
      <c r="B5" s="345"/>
      <c r="C5" s="346" t="s">
        <v>200</v>
      </c>
      <c r="D5" s="438" t="s">
        <v>197</v>
      </c>
      <c r="E5" s="355" t="s">
        <v>198</v>
      </c>
      <c r="F5" s="356"/>
      <c r="G5" s="357">
        <v>1500</v>
      </c>
      <c r="H5" s="297">
        <f t="shared" si="0"/>
        <v>0</v>
      </c>
      <c r="I5" s="354"/>
    </row>
    <row r="6" spans="1:12" ht="15.95" customHeight="1" x14ac:dyDescent="0.15">
      <c r="A6" s="439"/>
      <c r="B6" s="345"/>
      <c r="C6" s="346"/>
      <c r="D6" s="347"/>
      <c r="E6" s="348"/>
      <c r="F6" s="349"/>
      <c r="G6" s="350"/>
      <c r="H6" s="297"/>
      <c r="I6" s="354"/>
    </row>
    <row r="7" spans="1:12" ht="15.95" customHeight="1" x14ac:dyDescent="0.15">
      <c r="A7" s="439"/>
      <c r="B7" s="345"/>
      <c r="C7" s="346"/>
      <c r="D7" s="346"/>
      <c r="E7" s="355"/>
      <c r="F7" s="356"/>
      <c r="G7" s="357"/>
      <c r="H7" s="297"/>
      <c r="I7" s="354"/>
    </row>
    <row r="8" spans="1:12" ht="15.95" customHeight="1" x14ac:dyDescent="0.15">
      <c r="A8" s="439"/>
      <c r="B8" s="345"/>
      <c r="C8" s="346"/>
      <c r="D8" s="346"/>
      <c r="E8" s="355"/>
      <c r="F8" s="356"/>
      <c r="G8" s="357"/>
      <c r="H8" s="297"/>
      <c r="I8" s="354"/>
    </row>
    <row r="9" spans="1:12" ht="15.95" customHeight="1" x14ac:dyDescent="0.15">
      <c r="A9" s="439"/>
      <c r="B9" s="345"/>
      <c r="C9" s="346"/>
      <c r="D9" s="346"/>
      <c r="E9" s="355"/>
      <c r="F9" s="356"/>
      <c r="G9" s="357"/>
      <c r="H9" s="297"/>
      <c r="I9" s="354"/>
    </row>
    <row r="10" spans="1:12" ht="15.95" customHeight="1" x14ac:dyDescent="0.15">
      <c r="A10" s="439"/>
      <c r="B10" s="345"/>
      <c r="C10" s="358" t="s">
        <v>142</v>
      </c>
      <c r="D10" s="378"/>
      <c r="E10" s="359" t="s">
        <v>156</v>
      </c>
      <c r="F10" s="360"/>
      <c r="G10" s="361">
        <v>100000</v>
      </c>
      <c r="H10" s="307">
        <f>F10*G10</f>
        <v>0</v>
      </c>
      <c r="I10" s="383"/>
    </row>
    <row r="11" spans="1:12" ht="15.95" customHeight="1" x14ac:dyDescent="0.15">
      <c r="A11" s="439"/>
      <c r="B11" s="363"/>
      <c r="C11" s="390"/>
      <c r="D11" s="390"/>
      <c r="E11" s="386"/>
      <c r="F11" s="387"/>
      <c r="G11" s="388"/>
      <c r="H11" s="389">
        <f>SUM(H3:H10)</f>
        <v>0</v>
      </c>
      <c r="I11" s="390"/>
    </row>
    <row r="12" spans="1:12" ht="15.95" customHeight="1" x14ac:dyDescent="0.15">
      <c r="A12" s="439"/>
      <c r="B12" s="345" t="s">
        <v>201</v>
      </c>
      <c r="C12" s="347" t="s">
        <v>202</v>
      </c>
      <c r="D12" s="347"/>
      <c r="E12" s="348"/>
      <c r="F12" s="349"/>
      <c r="G12" s="350"/>
      <c r="H12" s="351"/>
      <c r="I12" s="352"/>
    </row>
    <row r="13" spans="1:12" ht="15.95" customHeight="1" x14ac:dyDescent="0.15">
      <c r="A13" s="439"/>
      <c r="B13" s="345" t="s">
        <v>203</v>
      </c>
      <c r="C13" s="346"/>
      <c r="D13" s="346"/>
      <c r="E13" s="355"/>
      <c r="F13" s="356"/>
      <c r="G13" s="357"/>
      <c r="H13" s="297"/>
      <c r="I13" s="354"/>
    </row>
    <row r="14" spans="1:12" ht="15.95" customHeight="1" x14ac:dyDescent="0.15">
      <c r="A14" s="439"/>
      <c r="B14" s="345"/>
      <c r="C14" s="346"/>
      <c r="D14" s="346"/>
      <c r="E14" s="355"/>
      <c r="F14" s="356"/>
      <c r="G14" s="357"/>
      <c r="H14" s="297"/>
      <c r="I14" s="354"/>
    </row>
    <row r="15" spans="1:12" ht="15.95" customHeight="1" x14ac:dyDescent="0.15">
      <c r="A15" s="439"/>
      <c r="B15" s="345"/>
      <c r="C15" s="346"/>
      <c r="D15" s="346"/>
      <c r="E15" s="355"/>
      <c r="F15" s="356"/>
      <c r="G15" s="357"/>
      <c r="H15" s="297"/>
      <c r="I15" s="354"/>
    </row>
    <row r="16" spans="1:12" ht="15.95" customHeight="1" x14ac:dyDescent="0.15">
      <c r="A16" s="439"/>
      <c r="B16" s="345"/>
      <c r="C16" s="358" t="s">
        <v>142</v>
      </c>
      <c r="D16" s="358"/>
      <c r="E16" s="359"/>
      <c r="F16" s="360"/>
      <c r="G16" s="361"/>
      <c r="H16" s="297"/>
      <c r="I16" s="362"/>
    </row>
    <row r="17" spans="1:9" ht="15.95" customHeight="1" x14ac:dyDescent="0.15">
      <c r="A17" s="439"/>
      <c r="B17" s="363"/>
      <c r="C17" s="364"/>
      <c r="D17" s="365"/>
      <c r="E17" s="341"/>
      <c r="F17" s="440"/>
      <c r="G17" s="367"/>
      <c r="H17" s="368">
        <f>SUM(H12:H16)</f>
        <v>0</v>
      </c>
      <c r="I17" s="369"/>
    </row>
    <row r="18" spans="1:9" ht="15.95" customHeight="1" x14ac:dyDescent="0.15">
      <c r="A18" s="439"/>
      <c r="B18" s="391" t="s">
        <v>204</v>
      </c>
      <c r="C18" s="392" t="s">
        <v>205</v>
      </c>
      <c r="D18" s="393" t="s">
        <v>206</v>
      </c>
      <c r="E18" s="355" t="s">
        <v>61</v>
      </c>
      <c r="F18" s="356">
        <v>2</v>
      </c>
      <c r="G18" s="357">
        <v>1440000</v>
      </c>
      <c r="H18" s="375">
        <f t="shared" ref="H18" si="1">F18*G18</f>
        <v>2880000</v>
      </c>
      <c r="I18" s="397" t="s">
        <v>154</v>
      </c>
    </row>
    <row r="19" spans="1:9" ht="15.95" customHeight="1" x14ac:dyDescent="0.15">
      <c r="A19" s="439"/>
      <c r="B19" s="345" t="s">
        <v>207</v>
      </c>
      <c r="C19" s="392" t="s">
        <v>208</v>
      </c>
      <c r="D19" s="346" t="s">
        <v>209</v>
      </c>
      <c r="E19" s="355" t="s">
        <v>61</v>
      </c>
      <c r="F19" s="356">
        <v>4</v>
      </c>
      <c r="G19" s="357">
        <v>1360000</v>
      </c>
      <c r="H19" s="297">
        <f>IF(F19=0,G19,G19*F19)</f>
        <v>5440000</v>
      </c>
      <c r="I19" s="400" t="s">
        <v>210</v>
      </c>
    </row>
    <row r="20" spans="1:9" ht="15.95" customHeight="1" x14ac:dyDescent="0.15">
      <c r="A20" s="439"/>
      <c r="B20" s="345"/>
      <c r="C20" s="392" t="s">
        <v>211</v>
      </c>
      <c r="D20" s="346" t="s">
        <v>212</v>
      </c>
      <c r="E20" s="355" t="s">
        <v>61</v>
      </c>
      <c r="F20" s="356">
        <v>1</v>
      </c>
      <c r="G20" s="357">
        <v>5000000</v>
      </c>
      <c r="H20" s="297">
        <f>IF(F20=0,G20,G20*F20)</f>
        <v>5000000</v>
      </c>
      <c r="I20" s="400" t="s">
        <v>213</v>
      </c>
    </row>
    <row r="21" spans="1:9" ht="15.95" customHeight="1" x14ac:dyDescent="0.15">
      <c r="A21" s="439"/>
      <c r="B21" s="345"/>
      <c r="C21" s="392" t="s">
        <v>214</v>
      </c>
      <c r="D21" s="441" t="s">
        <v>215</v>
      </c>
      <c r="E21" s="355" t="s">
        <v>61</v>
      </c>
      <c r="F21" s="356">
        <v>5</v>
      </c>
      <c r="G21" s="357">
        <v>144000</v>
      </c>
      <c r="H21" s="297">
        <f t="shared" ref="H21" si="2">IF(F21=0,G21,G21*F21)</f>
        <v>720000</v>
      </c>
      <c r="I21" s="400" t="s">
        <v>210</v>
      </c>
    </row>
    <row r="22" spans="1:9" ht="15.95" customHeight="1" x14ac:dyDescent="0.15">
      <c r="A22" s="439"/>
      <c r="B22" s="345"/>
      <c r="C22" s="392" t="s">
        <v>216</v>
      </c>
      <c r="D22" s="346" t="s">
        <v>217</v>
      </c>
      <c r="E22" s="355" t="s">
        <v>61</v>
      </c>
      <c r="F22" s="356">
        <v>2</v>
      </c>
      <c r="G22" s="399">
        <v>360000</v>
      </c>
      <c r="H22" s="297">
        <f>IF(F22=0,G22,G22*F22)</f>
        <v>720000</v>
      </c>
      <c r="I22" s="400" t="s">
        <v>210</v>
      </c>
    </row>
    <row r="23" spans="1:9" ht="15.95" customHeight="1" x14ac:dyDescent="0.15">
      <c r="A23" s="439"/>
      <c r="B23" s="345"/>
      <c r="C23" s="392" t="s">
        <v>218</v>
      </c>
      <c r="D23" s="346" t="s">
        <v>219</v>
      </c>
      <c r="E23" s="355" t="s">
        <v>61</v>
      </c>
      <c r="F23" s="356">
        <v>1</v>
      </c>
      <c r="G23" s="399">
        <v>300000</v>
      </c>
      <c r="H23" s="297">
        <f>IF(F23=0,G23,G23*F23)</f>
        <v>300000</v>
      </c>
      <c r="I23" s="400" t="s">
        <v>220</v>
      </c>
    </row>
    <row r="24" spans="1:9" ht="15.95" customHeight="1" x14ac:dyDescent="0.15">
      <c r="A24" s="439"/>
      <c r="B24" s="345"/>
      <c r="C24" s="392" t="s">
        <v>221</v>
      </c>
      <c r="D24" s="402" t="s">
        <v>222</v>
      </c>
      <c r="E24" s="355" t="s">
        <v>61</v>
      </c>
      <c r="F24" s="356">
        <v>4</v>
      </c>
      <c r="G24" s="399">
        <v>96000</v>
      </c>
      <c r="H24" s="297">
        <f t="shared" ref="H24:H32" si="3">IF(F24=0,G24,G24*F24)</f>
        <v>384000</v>
      </c>
      <c r="I24" s="400" t="s">
        <v>223</v>
      </c>
    </row>
    <row r="25" spans="1:9" ht="15.95" customHeight="1" x14ac:dyDescent="0.15">
      <c r="A25" s="439"/>
      <c r="B25" s="345"/>
      <c r="C25" s="392" t="s">
        <v>224</v>
      </c>
      <c r="D25" s="346" t="s">
        <v>225</v>
      </c>
      <c r="E25" s="355" t="s">
        <v>61</v>
      </c>
      <c r="F25" s="356">
        <v>1</v>
      </c>
      <c r="G25" s="399">
        <v>36000</v>
      </c>
      <c r="H25" s="297">
        <f t="shared" si="3"/>
        <v>36000</v>
      </c>
      <c r="I25" s="400" t="s">
        <v>223</v>
      </c>
    </row>
    <row r="26" spans="1:9" ht="15.95" customHeight="1" x14ac:dyDescent="0.15">
      <c r="A26" s="439"/>
      <c r="B26" s="345"/>
      <c r="C26" s="392" t="s">
        <v>226</v>
      </c>
      <c r="D26" s="346" t="s">
        <v>227</v>
      </c>
      <c r="E26" s="355" t="s">
        <v>61</v>
      </c>
      <c r="F26" s="356">
        <v>2</v>
      </c>
      <c r="G26" s="399">
        <v>30000</v>
      </c>
      <c r="H26" s="297">
        <f t="shared" si="3"/>
        <v>60000</v>
      </c>
      <c r="I26" s="400" t="s">
        <v>220</v>
      </c>
    </row>
    <row r="27" spans="1:9" ht="15.95" customHeight="1" x14ac:dyDescent="0.15">
      <c r="A27" s="439"/>
      <c r="B27" s="345"/>
      <c r="C27" s="392" t="s">
        <v>228</v>
      </c>
      <c r="D27" s="346" t="s">
        <v>229</v>
      </c>
      <c r="E27" s="355" t="s">
        <v>61</v>
      </c>
      <c r="F27" s="356">
        <v>1</v>
      </c>
      <c r="G27" s="399">
        <v>700000</v>
      </c>
      <c r="H27" s="297">
        <f t="shared" si="3"/>
        <v>700000</v>
      </c>
      <c r="I27" s="400" t="s">
        <v>210</v>
      </c>
    </row>
    <row r="28" spans="1:9" ht="15.95" customHeight="1" x14ac:dyDescent="0.15">
      <c r="A28" s="439"/>
      <c r="B28" s="345"/>
      <c r="C28" s="392" t="s">
        <v>230</v>
      </c>
      <c r="D28" s="346" t="s">
        <v>231</v>
      </c>
      <c r="E28" s="355" t="s">
        <v>61</v>
      </c>
      <c r="F28" s="356">
        <v>4</v>
      </c>
      <c r="G28" s="399">
        <v>500000</v>
      </c>
      <c r="H28" s="297">
        <f t="shared" si="3"/>
        <v>2000000</v>
      </c>
      <c r="I28" s="400" t="s">
        <v>220</v>
      </c>
    </row>
    <row r="29" spans="1:9" ht="15.95" customHeight="1" x14ac:dyDescent="0.15">
      <c r="A29" s="439"/>
      <c r="B29" s="345"/>
      <c r="C29" s="392" t="s">
        <v>232</v>
      </c>
      <c r="D29" s="346" t="s">
        <v>233</v>
      </c>
      <c r="E29" s="355" t="s">
        <v>61</v>
      </c>
      <c r="F29" s="356">
        <v>3</v>
      </c>
      <c r="G29" s="399">
        <v>670000</v>
      </c>
      <c r="H29" s="297">
        <f t="shared" si="3"/>
        <v>2010000</v>
      </c>
      <c r="I29" s="400" t="s">
        <v>234</v>
      </c>
    </row>
    <row r="30" spans="1:9" ht="15.95" customHeight="1" x14ac:dyDescent="0.15">
      <c r="A30" s="439"/>
      <c r="B30" s="345"/>
      <c r="C30" s="346" t="s">
        <v>235</v>
      </c>
      <c r="D30" s="346" t="s">
        <v>236</v>
      </c>
      <c r="E30" s="355" t="s">
        <v>61</v>
      </c>
      <c r="F30" s="356">
        <v>10</v>
      </c>
      <c r="G30" s="357">
        <v>120000</v>
      </c>
      <c r="H30" s="297">
        <f t="shared" si="3"/>
        <v>1200000</v>
      </c>
      <c r="I30" s="400" t="s">
        <v>210</v>
      </c>
    </row>
    <row r="31" spans="1:9" ht="15.95" customHeight="1" x14ac:dyDescent="0.15">
      <c r="A31" s="439"/>
      <c r="B31" s="345"/>
      <c r="C31" s="346" t="s">
        <v>237</v>
      </c>
      <c r="D31" s="346" t="s">
        <v>238</v>
      </c>
      <c r="E31" s="355" t="s">
        <v>61</v>
      </c>
      <c r="F31" s="356">
        <v>10</v>
      </c>
      <c r="G31" s="357">
        <v>50000</v>
      </c>
      <c r="H31" s="297">
        <f t="shared" si="3"/>
        <v>500000</v>
      </c>
      <c r="I31" s="400" t="s">
        <v>162</v>
      </c>
    </row>
    <row r="32" spans="1:9" ht="15.95" customHeight="1" x14ac:dyDescent="0.15">
      <c r="A32" s="439"/>
      <c r="B32" s="345"/>
      <c r="C32" s="346" t="s">
        <v>239</v>
      </c>
      <c r="D32" s="442" t="s">
        <v>240</v>
      </c>
      <c r="E32" s="355" t="s">
        <v>61</v>
      </c>
      <c r="F32" s="356">
        <v>5</v>
      </c>
      <c r="G32" s="357">
        <v>200000</v>
      </c>
      <c r="H32" s="297">
        <f t="shared" si="3"/>
        <v>1000000</v>
      </c>
      <c r="I32" s="400" t="s">
        <v>162</v>
      </c>
    </row>
    <row r="33" spans="1:9" ht="15.95" customHeight="1" x14ac:dyDescent="0.15">
      <c r="A33" s="439"/>
      <c r="B33" s="345"/>
      <c r="C33" s="346"/>
      <c r="D33" s="346"/>
      <c r="E33" s="355"/>
      <c r="F33" s="356"/>
      <c r="G33" s="357"/>
      <c r="H33" s="297"/>
      <c r="I33" s="400"/>
    </row>
    <row r="34" spans="1:9" ht="15.95" customHeight="1" x14ac:dyDescent="0.15">
      <c r="A34" s="439"/>
      <c r="B34" s="345"/>
      <c r="C34" s="346"/>
      <c r="D34" s="346"/>
      <c r="E34" s="348"/>
      <c r="F34" s="356"/>
      <c r="G34" s="357"/>
      <c r="H34" s="297"/>
      <c r="I34" s="400"/>
    </row>
    <row r="35" spans="1:9" ht="15.95" customHeight="1" x14ac:dyDescent="0.15">
      <c r="A35" s="439"/>
      <c r="B35" s="345"/>
      <c r="C35" s="346" t="s">
        <v>241</v>
      </c>
      <c r="D35" s="346"/>
      <c r="E35" s="348" t="s">
        <v>61</v>
      </c>
      <c r="F35" s="356">
        <v>1</v>
      </c>
      <c r="G35" s="357">
        <v>500000</v>
      </c>
      <c r="H35" s="297">
        <f>IF(F35=0,G35,G35*F35)</f>
        <v>500000</v>
      </c>
      <c r="I35" s="400"/>
    </row>
    <row r="36" spans="1:9" ht="15.95" customHeight="1" x14ac:dyDescent="0.15">
      <c r="A36" s="439"/>
      <c r="B36" s="345"/>
      <c r="C36" s="358" t="s">
        <v>242</v>
      </c>
      <c r="D36" s="358"/>
      <c r="E36" s="359" t="s">
        <v>61</v>
      </c>
      <c r="F36" s="360">
        <v>1</v>
      </c>
      <c r="G36" s="361">
        <v>1500000</v>
      </c>
      <c r="H36" s="307">
        <f>IF(F36=0,G36,G36*F36)</f>
        <v>1500000</v>
      </c>
      <c r="I36" s="403"/>
    </row>
    <row r="37" spans="1:9" ht="15.95" customHeight="1" x14ac:dyDescent="0.15">
      <c r="A37" s="439"/>
      <c r="B37" s="363"/>
      <c r="C37" s="364"/>
      <c r="D37" s="365"/>
      <c r="E37" s="341"/>
      <c r="F37" s="366"/>
      <c r="G37" s="367"/>
      <c r="H37" s="368">
        <f>SUM(H18:H36)</f>
        <v>24950000</v>
      </c>
      <c r="I37" s="369"/>
    </row>
    <row r="38" spans="1:9" ht="15.95" customHeight="1" x14ac:dyDescent="0.15">
      <c r="A38" s="439"/>
      <c r="B38" s="391" t="s">
        <v>63</v>
      </c>
      <c r="C38" s="346" t="s">
        <v>243</v>
      </c>
      <c r="D38" s="393"/>
      <c r="E38" s="355" t="s">
        <v>61</v>
      </c>
      <c r="F38" s="356">
        <v>1</v>
      </c>
      <c r="G38" s="357">
        <v>1250000</v>
      </c>
      <c r="H38" s="375">
        <f t="shared" ref="H38" si="4">F38*G38</f>
        <v>1250000</v>
      </c>
      <c r="I38" s="397" t="s">
        <v>174</v>
      </c>
    </row>
    <row r="39" spans="1:9" ht="15.95" customHeight="1" x14ac:dyDescent="0.15">
      <c r="A39" s="439"/>
      <c r="B39" s="345"/>
      <c r="C39" s="346" t="s">
        <v>244</v>
      </c>
      <c r="D39" s="378"/>
      <c r="E39" s="348" t="s">
        <v>61</v>
      </c>
      <c r="F39" s="356">
        <v>1</v>
      </c>
      <c r="G39" s="357">
        <v>360000</v>
      </c>
      <c r="H39" s="297">
        <f t="shared" ref="H39:H44" si="5">IF(F39=0,G39,G39*F39)</f>
        <v>360000</v>
      </c>
      <c r="I39" s="400" t="s">
        <v>245</v>
      </c>
    </row>
    <row r="40" spans="1:9" ht="15.95" customHeight="1" x14ac:dyDescent="0.15">
      <c r="A40" s="439"/>
      <c r="B40" s="345"/>
      <c r="C40" s="346" t="s">
        <v>246</v>
      </c>
      <c r="D40" s="378"/>
      <c r="E40" s="348" t="s">
        <v>61</v>
      </c>
      <c r="F40" s="356">
        <v>1</v>
      </c>
      <c r="G40" s="357">
        <v>400000</v>
      </c>
      <c r="H40" s="297">
        <f t="shared" si="5"/>
        <v>400000</v>
      </c>
      <c r="I40" s="400" t="s">
        <v>245</v>
      </c>
    </row>
    <row r="41" spans="1:9" ht="15.95" customHeight="1" x14ac:dyDescent="0.15">
      <c r="A41" s="439"/>
      <c r="B41" s="345"/>
      <c r="C41" s="346" t="s">
        <v>247</v>
      </c>
      <c r="D41" s="378"/>
      <c r="E41" s="348" t="s">
        <v>61</v>
      </c>
      <c r="F41" s="356">
        <v>1</v>
      </c>
      <c r="G41" s="357">
        <v>600000</v>
      </c>
      <c r="H41" s="297">
        <f t="shared" si="5"/>
        <v>600000</v>
      </c>
      <c r="I41" s="400" t="s">
        <v>245</v>
      </c>
    </row>
    <row r="42" spans="1:9" ht="15.95" customHeight="1" x14ac:dyDescent="0.15">
      <c r="A42" s="439"/>
      <c r="B42" s="345"/>
      <c r="C42" s="346" t="s">
        <v>248</v>
      </c>
      <c r="D42" s="378"/>
      <c r="E42" s="348" t="s">
        <v>61</v>
      </c>
      <c r="F42" s="356">
        <v>1</v>
      </c>
      <c r="G42" s="357">
        <v>1180000</v>
      </c>
      <c r="H42" s="297">
        <f t="shared" si="5"/>
        <v>1180000</v>
      </c>
      <c r="I42" s="400" t="s">
        <v>245</v>
      </c>
    </row>
    <row r="43" spans="1:9" ht="15.95" customHeight="1" x14ac:dyDescent="0.15">
      <c r="A43" s="439"/>
      <c r="B43" s="345"/>
      <c r="C43" s="346" t="s">
        <v>249</v>
      </c>
      <c r="D43" s="378"/>
      <c r="E43" s="348" t="s">
        <v>61</v>
      </c>
      <c r="F43" s="356">
        <v>1</v>
      </c>
      <c r="G43" s="357">
        <v>2520000</v>
      </c>
      <c r="H43" s="297">
        <f t="shared" si="5"/>
        <v>2520000</v>
      </c>
      <c r="I43" s="400" t="s">
        <v>245</v>
      </c>
    </row>
    <row r="44" spans="1:9" ht="15.95" customHeight="1" x14ac:dyDescent="0.15">
      <c r="A44" s="439"/>
      <c r="B44" s="345"/>
      <c r="C44" s="392" t="s">
        <v>250</v>
      </c>
      <c r="D44" s="378"/>
      <c r="E44" s="348" t="s">
        <v>61</v>
      </c>
      <c r="F44" s="356">
        <v>1</v>
      </c>
      <c r="G44" s="357">
        <v>2000000</v>
      </c>
      <c r="H44" s="297">
        <f t="shared" si="5"/>
        <v>2000000</v>
      </c>
      <c r="I44" s="400" t="s">
        <v>245</v>
      </c>
    </row>
    <row r="45" spans="1:9" ht="15.95" customHeight="1" x14ac:dyDescent="0.15">
      <c r="A45" s="439"/>
      <c r="B45" s="345"/>
      <c r="C45" s="392"/>
      <c r="D45" s="378"/>
      <c r="E45" s="348"/>
      <c r="F45" s="356"/>
      <c r="G45" s="399"/>
      <c r="H45" s="297"/>
      <c r="I45" s="354"/>
    </row>
    <row r="46" spans="1:9" ht="15.95" customHeight="1" x14ac:dyDescent="0.15">
      <c r="A46" s="439"/>
      <c r="B46" s="345"/>
      <c r="C46" s="346"/>
      <c r="D46" s="346"/>
      <c r="E46" s="348"/>
      <c r="F46" s="356"/>
      <c r="G46" s="357"/>
      <c r="H46" s="297"/>
      <c r="I46" s="354"/>
    </row>
    <row r="47" spans="1:9" ht="15.95" customHeight="1" x14ac:dyDescent="0.15">
      <c r="A47" s="439"/>
      <c r="B47" s="345"/>
      <c r="C47" s="346"/>
      <c r="D47" s="346"/>
      <c r="E47" s="348"/>
      <c r="F47" s="356"/>
      <c r="G47" s="357"/>
      <c r="H47" s="297"/>
      <c r="I47" s="354"/>
    </row>
    <row r="48" spans="1:9" ht="15.95" customHeight="1" x14ac:dyDescent="0.15">
      <c r="A48" s="439"/>
      <c r="B48" s="345"/>
      <c r="C48" s="392"/>
      <c r="D48" s="346"/>
      <c r="E48" s="348"/>
      <c r="F48" s="356"/>
      <c r="G48" s="399"/>
      <c r="H48" s="297"/>
      <c r="I48" s="354"/>
    </row>
    <row r="49" spans="1:9" ht="15.95" customHeight="1" x14ac:dyDescent="0.15">
      <c r="A49" s="439"/>
      <c r="B49" s="345"/>
      <c r="C49" s="346"/>
      <c r="D49" s="346"/>
      <c r="E49" s="348"/>
      <c r="F49" s="356"/>
      <c r="G49" s="357"/>
      <c r="H49" s="297"/>
      <c r="I49" s="354"/>
    </row>
    <row r="50" spans="1:9" ht="15.95" customHeight="1" x14ac:dyDescent="0.15">
      <c r="A50" s="439"/>
      <c r="B50" s="345"/>
      <c r="C50" s="346"/>
      <c r="D50" s="346"/>
      <c r="E50" s="348"/>
      <c r="F50" s="356"/>
      <c r="G50" s="357"/>
      <c r="H50" s="297"/>
      <c r="I50" s="354"/>
    </row>
    <row r="51" spans="1:9" ht="15.95" customHeight="1" x14ac:dyDescent="0.15">
      <c r="A51" s="439"/>
      <c r="B51" s="345"/>
      <c r="C51" s="346"/>
      <c r="D51" s="346"/>
      <c r="E51" s="355"/>
      <c r="F51" s="399"/>
      <c r="G51" s="357"/>
      <c r="H51" s="297"/>
      <c r="I51" s="354"/>
    </row>
    <row r="52" spans="1:9" ht="15.95" customHeight="1" x14ac:dyDescent="0.15">
      <c r="A52" s="439"/>
      <c r="B52" s="345"/>
      <c r="C52" s="358" t="s">
        <v>251</v>
      </c>
      <c r="D52" s="358"/>
      <c r="E52" s="359" t="s">
        <v>61</v>
      </c>
      <c r="F52" s="360">
        <v>1</v>
      </c>
      <c r="G52" s="361">
        <v>1000000</v>
      </c>
      <c r="H52" s="307">
        <f>F52*G52</f>
        <v>1000000</v>
      </c>
      <c r="I52" s="362"/>
    </row>
    <row r="53" spans="1:9" ht="15.95" customHeight="1" x14ac:dyDescent="0.15">
      <c r="A53" s="439"/>
      <c r="B53" s="363"/>
      <c r="C53" s="364"/>
      <c r="D53" s="365"/>
      <c r="E53" s="341"/>
      <c r="F53" s="366"/>
      <c r="G53" s="367"/>
      <c r="H53" s="368">
        <f>SUM(H38:H52)</f>
        <v>9310000</v>
      </c>
      <c r="I53" s="369"/>
    </row>
    <row r="54" spans="1:9" ht="15.95" customHeight="1" x14ac:dyDescent="0.15">
      <c r="A54" s="409"/>
      <c r="B54" s="410" t="s">
        <v>180</v>
      </c>
      <c r="C54" s="411"/>
      <c r="D54" s="369"/>
      <c r="E54" s="342"/>
      <c r="F54" s="412"/>
      <c r="G54" s="413"/>
      <c r="H54" s="368">
        <f>SUM(H53,H37,H17,H11)</f>
        <v>34260000</v>
      </c>
      <c r="I54" s="369"/>
    </row>
    <row r="55" spans="1:9" ht="15.95" customHeight="1" x14ac:dyDescent="0.15">
      <c r="A55" s="344" t="s">
        <v>181</v>
      </c>
      <c r="B55" s="415" t="s">
        <v>69</v>
      </c>
      <c r="C55" s="411"/>
      <c r="D55" s="369"/>
      <c r="E55" s="430" t="s">
        <v>70</v>
      </c>
      <c r="F55" s="417">
        <v>3</v>
      </c>
      <c r="G55" s="418">
        <v>300000</v>
      </c>
      <c r="H55" s="419">
        <f>F55*G55</f>
        <v>900000</v>
      </c>
      <c r="I55" s="369" t="s">
        <v>252</v>
      </c>
    </row>
    <row r="56" spans="1:9" ht="15.95" customHeight="1" x14ac:dyDescent="0.15">
      <c r="A56" s="439"/>
      <c r="B56" s="421" t="s">
        <v>253</v>
      </c>
      <c r="C56" s="422"/>
      <c r="D56" s="376"/>
      <c r="E56" s="443" t="s">
        <v>185</v>
      </c>
      <c r="F56" s="373">
        <v>15</v>
      </c>
      <c r="G56" s="374">
        <v>350000</v>
      </c>
      <c r="H56" s="375">
        <f t="shared" ref="H56:H62" si="6">F56*G56</f>
        <v>5250000</v>
      </c>
      <c r="I56" s="376"/>
    </row>
    <row r="57" spans="1:9" ht="15.95" customHeight="1" x14ac:dyDescent="0.15">
      <c r="A57" s="439"/>
      <c r="B57" s="424" t="s">
        <v>254</v>
      </c>
      <c r="C57" s="425"/>
      <c r="D57" s="354"/>
      <c r="E57" s="444" t="s">
        <v>185</v>
      </c>
      <c r="F57" s="356">
        <v>4</v>
      </c>
      <c r="G57" s="357">
        <v>300000</v>
      </c>
      <c r="H57" s="297">
        <f t="shared" si="6"/>
        <v>1200000</v>
      </c>
      <c r="I57" s="354"/>
    </row>
    <row r="58" spans="1:9" ht="15.95" customHeight="1" x14ac:dyDescent="0.15">
      <c r="A58" s="439"/>
      <c r="B58" s="424" t="s">
        <v>255</v>
      </c>
      <c r="C58" s="425"/>
      <c r="D58" s="354"/>
      <c r="E58" s="444" t="s">
        <v>185</v>
      </c>
      <c r="F58" s="356">
        <v>6</v>
      </c>
      <c r="G58" s="357">
        <v>300000</v>
      </c>
      <c r="H58" s="297">
        <f t="shared" si="6"/>
        <v>1800000</v>
      </c>
      <c r="I58" s="354"/>
    </row>
    <row r="59" spans="1:9" ht="15.95" customHeight="1" x14ac:dyDescent="0.15">
      <c r="A59" s="439"/>
      <c r="B59" s="424" t="s">
        <v>256</v>
      </c>
      <c r="C59" s="425"/>
      <c r="D59" s="354"/>
      <c r="E59" s="444" t="s">
        <v>185</v>
      </c>
      <c r="F59" s="356">
        <v>5</v>
      </c>
      <c r="G59" s="357">
        <v>300000</v>
      </c>
      <c r="H59" s="297">
        <f t="shared" si="6"/>
        <v>1500000</v>
      </c>
      <c r="I59" s="354"/>
    </row>
    <row r="60" spans="1:9" ht="15.95" customHeight="1" x14ac:dyDescent="0.15">
      <c r="A60" s="439"/>
      <c r="B60" s="424" t="s">
        <v>257</v>
      </c>
      <c r="C60" s="425"/>
      <c r="D60" s="354"/>
      <c r="E60" s="444" t="s">
        <v>185</v>
      </c>
      <c r="F60" s="356">
        <v>5</v>
      </c>
      <c r="G60" s="357">
        <v>300000</v>
      </c>
      <c r="H60" s="297">
        <f t="shared" si="6"/>
        <v>1500000</v>
      </c>
      <c r="I60" s="354"/>
    </row>
    <row r="61" spans="1:9" ht="15.95" customHeight="1" x14ac:dyDescent="0.15">
      <c r="A61" s="439"/>
      <c r="B61" s="424" t="s">
        <v>258</v>
      </c>
      <c r="C61" s="425"/>
      <c r="D61" s="354"/>
      <c r="E61" s="444" t="s">
        <v>70</v>
      </c>
      <c r="F61" s="356">
        <v>3</v>
      </c>
      <c r="G61" s="357">
        <v>300000</v>
      </c>
      <c r="H61" s="297">
        <f t="shared" si="6"/>
        <v>900000</v>
      </c>
      <c r="I61" s="354"/>
    </row>
    <row r="62" spans="1:9" ht="15.95" customHeight="1" x14ac:dyDescent="0.15">
      <c r="A62" s="439"/>
      <c r="B62" s="426" t="s">
        <v>259</v>
      </c>
      <c r="C62" s="427"/>
      <c r="D62" s="362"/>
      <c r="E62" s="445" t="s">
        <v>70</v>
      </c>
      <c r="F62" s="360">
        <v>2</v>
      </c>
      <c r="G62" s="361">
        <v>300000</v>
      </c>
      <c r="H62" s="307">
        <f t="shared" si="6"/>
        <v>600000</v>
      </c>
      <c r="I62" s="362"/>
    </row>
    <row r="63" spans="1:9" ht="15.95" customHeight="1" x14ac:dyDescent="0.15">
      <c r="A63" s="409"/>
      <c r="B63" s="429" t="s">
        <v>189</v>
      </c>
      <c r="C63" s="411"/>
      <c r="D63" s="369"/>
      <c r="E63" s="342"/>
      <c r="F63" s="366"/>
      <c r="G63" s="367"/>
      <c r="H63" s="367">
        <f>SUM(H55:H62)</f>
        <v>13650000</v>
      </c>
      <c r="I63" s="365"/>
    </row>
    <row r="64" spans="1:9" ht="15.95" customHeight="1" x14ac:dyDescent="0.15">
      <c r="A64" s="430"/>
      <c r="B64" s="429" t="s">
        <v>260</v>
      </c>
      <c r="C64" s="411"/>
      <c r="D64" s="369"/>
      <c r="E64" s="342"/>
      <c r="F64" s="431"/>
      <c r="G64" s="368"/>
      <c r="H64" s="413">
        <f>'단위공사별(집계)'!I7+'단위공사별(집계)'!L7</f>
        <v>508745.30168965401</v>
      </c>
      <c r="I64" s="369"/>
    </row>
    <row r="65" spans="1:9" ht="15.95" customHeight="1" x14ac:dyDescent="0.15">
      <c r="A65" s="430"/>
      <c r="B65" s="429" t="s">
        <v>95</v>
      </c>
      <c r="C65" s="411"/>
      <c r="D65" s="369"/>
      <c r="E65" s="342"/>
      <c r="F65" s="431"/>
      <c r="G65" s="433"/>
      <c r="H65" s="418">
        <f>SUM(H54,H63) * 0.05</f>
        <v>2395500</v>
      </c>
      <c r="I65" s="411"/>
    </row>
    <row r="66" spans="1:9" ht="15.95" customHeight="1" x14ac:dyDescent="0.15">
      <c r="A66" s="430"/>
      <c r="B66" s="429" t="s">
        <v>192</v>
      </c>
      <c r="C66" s="411"/>
      <c r="D66" s="369"/>
      <c r="E66" s="342"/>
      <c r="F66" s="431"/>
      <c r="G66" s="433"/>
      <c r="H66" s="418">
        <f>SUM(H54,H63) * 0.1-8140</f>
        <v>4782860</v>
      </c>
      <c r="I66" s="411"/>
    </row>
    <row r="67" spans="1:9" ht="15.95" customHeight="1" x14ac:dyDescent="0.15">
      <c r="A67" s="430"/>
      <c r="B67" s="429" t="s">
        <v>193</v>
      </c>
      <c r="C67" s="411"/>
      <c r="D67" s="369"/>
      <c r="E67" s="342"/>
      <c r="F67" s="431"/>
      <c r="G67" s="368"/>
      <c r="H67" s="367">
        <f>H54+H63+H64+H65+H66</f>
        <v>55597105.301689655</v>
      </c>
      <c r="I67" s="369"/>
    </row>
    <row r="68" spans="1:9" x14ac:dyDescent="0.15">
      <c r="A68" s="258"/>
    </row>
  </sheetData>
  <mergeCells count="3">
    <mergeCell ref="A2:B2"/>
    <mergeCell ref="A3:A53"/>
    <mergeCell ref="A55:A6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1" orientation="portrait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2026-08-11T09:00:59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7A5DA-76A8-4FCC-A2D4-7DBBACB097F2}">
  <sheetPr>
    <tabColor rgb="FF00B050"/>
    <pageSetUpPr fitToPage="1"/>
  </sheetPr>
  <dimension ref="A1:I67"/>
  <sheetViews>
    <sheetView zoomScale="90" zoomScaleNormal="90" workbookViewId="0">
      <pane xSplit="2" ySplit="2" topLeftCell="C6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3.5" x14ac:dyDescent="0.15"/>
  <cols>
    <col min="1" max="1" width="5" style="249" customWidth="1"/>
    <col min="2" max="2" width="17.875" style="249" bestFit="1" customWidth="1"/>
    <col min="3" max="3" width="23.625" style="249" customWidth="1"/>
    <col min="4" max="4" width="18.25" style="249" customWidth="1"/>
    <col min="5" max="5" width="5.25" style="258" bestFit="1" customWidth="1"/>
    <col min="6" max="6" width="9" style="434"/>
    <col min="7" max="7" width="11.875" style="287" customWidth="1"/>
    <col min="8" max="8" width="13.625" style="287" customWidth="1"/>
    <col min="9" max="9" width="12.75" style="249" customWidth="1"/>
    <col min="10" max="16384" width="9" style="249"/>
  </cols>
  <sheetData>
    <row r="1" spans="1:9" ht="22.5" customHeight="1" x14ac:dyDescent="0.15">
      <c r="B1" s="337" t="s">
        <v>194</v>
      </c>
      <c r="C1" s="435" t="s">
        <v>261</v>
      </c>
      <c r="F1" s="339"/>
      <c r="I1" s="249" t="s">
        <v>130</v>
      </c>
    </row>
    <row r="2" spans="1:9" s="258" customFormat="1" ht="16.5" customHeight="1" x14ac:dyDescent="0.15">
      <c r="A2" s="89" t="s">
        <v>131</v>
      </c>
      <c r="B2" s="340"/>
      <c r="C2" s="259" t="s">
        <v>132</v>
      </c>
      <c r="D2" s="250" t="s">
        <v>133</v>
      </c>
      <c r="E2" s="250" t="s">
        <v>50</v>
      </c>
      <c r="F2" s="437" t="s">
        <v>51</v>
      </c>
      <c r="G2" s="437" t="s">
        <v>134</v>
      </c>
      <c r="H2" s="437" t="s">
        <v>135</v>
      </c>
      <c r="I2" s="250" t="s">
        <v>136</v>
      </c>
    </row>
    <row r="3" spans="1:9" ht="15.95" customHeight="1" x14ac:dyDescent="0.15">
      <c r="A3" s="344" t="s">
        <v>137</v>
      </c>
      <c r="B3" s="345" t="s">
        <v>138</v>
      </c>
      <c r="C3" s="346" t="s">
        <v>196</v>
      </c>
      <c r="D3" s="438" t="s">
        <v>197</v>
      </c>
      <c r="E3" s="355" t="s">
        <v>61</v>
      </c>
      <c r="F3" s="356"/>
      <c r="G3" s="357">
        <v>1500</v>
      </c>
      <c r="H3" s="297">
        <f t="shared" ref="H3:H5" si="0">F3*G3</f>
        <v>0</v>
      </c>
      <c r="I3" s="376"/>
    </row>
    <row r="4" spans="1:9" ht="15.95" customHeight="1" x14ac:dyDescent="0.15">
      <c r="A4" s="439"/>
      <c r="B4" s="345"/>
      <c r="C4" s="346" t="s">
        <v>200</v>
      </c>
      <c r="D4" s="438" t="s">
        <v>197</v>
      </c>
      <c r="E4" s="355" t="s">
        <v>61</v>
      </c>
      <c r="F4" s="356"/>
      <c r="G4" s="357">
        <v>1500</v>
      </c>
      <c r="H4" s="297">
        <f t="shared" si="0"/>
        <v>0</v>
      </c>
      <c r="I4" s="354"/>
    </row>
    <row r="5" spans="1:9" ht="15.95" customHeight="1" x14ac:dyDescent="0.15">
      <c r="A5" s="439"/>
      <c r="B5" s="345"/>
      <c r="C5" s="346" t="s">
        <v>262</v>
      </c>
      <c r="D5" s="438" t="s">
        <v>197</v>
      </c>
      <c r="E5" s="355" t="s">
        <v>61</v>
      </c>
      <c r="F5" s="356"/>
      <c r="G5" s="357">
        <v>1500</v>
      </c>
      <c r="H5" s="297">
        <f t="shared" si="0"/>
        <v>0</v>
      </c>
      <c r="I5" s="354"/>
    </row>
    <row r="6" spans="1:9" ht="15.95" customHeight="1" x14ac:dyDescent="0.15">
      <c r="A6" s="439"/>
      <c r="B6" s="345"/>
      <c r="C6" s="346"/>
      <c r="D6" s="347"/>
      <c r="E6" s="348"/>
      <c r="F6" s="349"/>
      <c r="G6" s="350"/>
      <c r="H6" s="297"/>
      <c r="I6" s="354"/>
    </row>
    <row r="7" spans="1:9" ht="15.95" customHeight="1" x14ac:dyDescent="0.15">
      <c r="A7" s="439"/>
      <c r="B7" s="345"/>
      <c r="C7" s="346"/>
      <c r="D7" s="346"/>
      <c r="E7" s="355"/>
      <c r="F7" s="356"/>
      <c r="G7" s="357"/>
      <c r="H7" s="297"/>
      <c r="I7" s="354"/>
    </row>
    <row r="8" spans="1:9" ht="15.95" customHeight="1" x14ac:dyDescent="0.15">
      <c r="A8" s="439"/>
      <c r="B8" s="345"/>
      <c r="C8" s="358" t="s">
        <v>142</v>
      </c>
      <c r="D8" s="378"/>
      <c r="E8" s="359" t="s">
        <v>156</v>
      </c>
      <c r="F8" s="360"/>
      <c r="G8" s="361"/>
      <c r="H8" s="307"/>
      <c r="I8" s="383"/>
    </row>
    <row r="9" spans="1:9" ht="15.95" customHeight="1" x14ac:dyDescent="0.15">
      <c r="A9" s="439"/>
      <c r="B9" s="363"/>
      <c r="C9" s="390"/>
      <c r="D9" s="390"/>
      <c r="E9" s="386"/>
      <c r="F9" s="387"/>
      <c r="G9" s="388"/>
      <c r="H9" s="389">
        <f>SUM(H3:H8)</f>
        <v>0</v>
      </c>
      <c r="I9" s="390"/>
    </row>
    <row r="10" spans="1:9" ht="15.95" customHeight="1" x14ac:dyDescent="0.15">
      <c r="A10" s="439"/>
      <c r="B10" s="345" t="s">
        <v>201</v>
      </c>
      <c r="C10" s="347"/>
      <c r="D10" s="347"/>
      <c r="E10" s="348"/>
      <c r="F10" s="349"/>
      <c r="G10" s="350"/>
      <c r="H10" s="351"/>
      <c r="I10" s="352"/>
    </row>
    <row r="11" spans="1:9" ht="15.95" customHeight="1" x14ac:dyDescent="0.15">
      <c r="A11" s="439"/>
      <c r="B11" s="345" t="s">
        <v>203</v>
      </c>
      <c r="C11" s="346"/>
      <c r="D11" s="346"/>
      <c r="E11" s="355"/>
      <c r="F11" s="356"/>
      <c r="G11" s="357"/>
      <c r="H11" s="297"/>
      <c r="I11" s="354"/>
    </row>
    <row r="12" spans="1:9" ht="15.95" customHeight="1" x14ac:dyDescent="0.15">
      <c r="A12" s="439"/>
      <c r="B12" s="345"/>
      <c r="C12" s="346"/>
      <c r="D12" s="346"/>
      <c r="E12" s="355"/>
      <c r="F12" s="356"/>
      <c r="G12" s="357"/>
      <c r="H12" s="297"/>
      <c r="I12" s="354"/>
    </row>
    <row r="13" spans="1:9" ht="15.95" customHeight="1" x14ac:dyDescent="0.15">
      <c r="A13" s="439"/>
      <c r="B13" s="345"/>
      <c r="C13" s="346"/>
      <c r="D13" s="346"/>
      <c r="E13" s="355"/>
      <c r="F13" s="356"/>
      <c r="G13" s="357"/>
      <c r="H13" s="297"/>
      <c r="I13" s="354"/>
    </row>
    <row r="14" spans="1:9" ht="15.95" customHeight="1" x14ac:dyDescent="0.15">
      <c r="A14" s="439"/>
      <c r="B14" s="345"/>
      <c r="C14" s="358" t="s">
        <v>142</v>
      </c>
      <c r="D14" s="358"/>
      <c r="E14" s="359"/>
      <c r="F14" s="360"/>
      <c r="G14" s="361"/>
      <c r="H14" s="297"/>
      <c r="I14" s="362"/>
    </row>
    <row r="15" spans="1:9" ht="15.95" customHeight="1" x14ac:dyDescent="0.15">
      <c r="A15" s="439"/>
      <c r="B15" s="363"/>
      <c r="C15" s="364"/>
      <c r="D15" s="365"/>
      <c r="E15" s="341"/>
      <c r="F15" s="440"/>
      <c r="G15" s="367"/>
      <c r="H15" s="368">
        <f>SUM(H10:H14)</f>
        <v>0</v>
      </c>
      <c r="I15" s="369"/>
    </row>
    <row r="16" spans="1:9" ht="15.95" customHeight="1" x14ac:dyDescent="0.15">
      <c r="A16" s="439"/>
      <c r="B16" s="391" t="s">
        <v>204</v>
      </c>
      <c r="C16" s="392" t="s">
        <v>263</v>
      </c>
      <c r="D16" s="446">
        <v>6826</v>
      </c>
      <c r="E16" s="355" t="s">
        <v>156</v>
      </c>
      <c r="F16" s="356">
        <v>1</v>
      </c>
      <c r="G16" s="357">
        <v>100000</v>
      </c>
      <c r="H16" s="375">
        <f>F16*G16</f>
        <v>100000</v>
      </c>
      <c r="I16" s="397" t="s">
        <v>264</v>
      </c>
    </row>
    <row r="17" spans="1:9" ht="15.95" customHeight="1" x14ac:dyDescent="0.15">
      <c r="A17" s="439"/>
      <c r="B17" s="345" t="s">
        <v>207</v>
      </c>
      <c r="C17" s="346" t="s">
        <v>237</v>
      </c>
      <c r="D17" s="346" t="s">
        <v>238</v>
      </c>
      <c r="E17" s="355" t="s">
        <v>61</v>
      </c>
      <c r="F17" s="356">
        <v>4</v>
      </c>
      <c r="G17" s="357">
        <v>50000</v>
      </c>
      <c r="H17" s="297">
        <f>F17*G17</f>
        <v>200000</v>
      </c>
      <c r="I17" s="400" t="s">
        <v>162</v>
      </c>
    </row>
    <row r="18" spans="1:9" ht="15.95" customHeight="1" x14ac:dyDescent="0.15">
      <c r="A18" s="439"/>
      <c r="B18" s="345"/>
      <c r="C18" s="346" t="s">
        <v>239</v>
      </c>
      <c r="D18" s="442" t="s">
        <v>240</v>
      </c>
      <c r="E18" s="355" t="s">
        <v>61</v>
      </c>
      <c r="F18" s="356">
        <v>4</v>
      </c>
      <c r="G18" s="357">
        <v>200000</v>
      </c>
      <c r="H18" s="297">
        <f t="shared" ref="H18" si="1">F18*G18</f>
        <v>800000</v>
      </c>
      <c r="I18" s="400" t="s">
        <v>162</v>
      </c>
    </row>
    <row r="19" spans="1:9" ht="15.95" customHeight="1" x14ac:dyDescent="0.15">
      <c r="A19" s="439"/>
      <c r="B19" s="345"/>
      <c r="C19" s="347"/>
      <c r="D19" s="346"/>
      <c r="E19" s="355"/>
      <c r="F19" s="356"/>
      <c r="G19" s="357"/>
      <c r="H19" s="297"/>
      <c r="I19" s="400"/>
    </row>
    <row r="20" spans="1:9" ht="15.95" customHeight="1" x14ac:dyDescent="0.15">
      <c r="A20" s="439"/>
      <c r="B20" s="345"/>
      <c r="C20" s="447"/>
      <c r="D20" s="346"/>
      <c r="E20" s="355"/>
      <c r="F20" s="356"/>
      <c r="G20" s="357"/>
      <c r="H20" s="297"/>
      <c r="I20" s="400"/>
    </row>
    <row r="21" spans="1:9" ht="15.95" customHeight="1" x14ac:dyDescent="0.15">
      <c r="A21" s="439"/>
      <c r="B21" s="345"/>
      <c r="C21" s="346"/>
      <c r="D21" s="346"/>
      <c r="E21" s="355"/>
      <c r="F21" s="356"/>
      <c r="G21" s="357"/>
      <c r="H21" s="297"/>
      <c r="I21" s="354"/>
    </row>
    <row r="22" spans="1:9" ht="15.95" customHeight="1" x14ac:dyDescent="0.15">
      <c r="A22" s="439"/>
      <c r="B22" s="345"/>
      <c r="C22" s="447"/>
      <c r="D22" s="346"/>
      <c r="E22" s="348"/>
      <c r="F22" s="356"/>
      <c r="G22" s="357"/>
      <c r="H22" s="297"/>
      <c r="I22" s="354"/>
    </row>
    <row r="23" spans="1:9" ht="15.95" customHeight="1" x14ac:dyDescent="0.15">
      <c r="A23" s="439"/>
      <c r="B23" s="345"/>
      <c r="C23" s="346"/>
      <c r="D23" s="346"/>
      <c r="E23" s="348"/>
      <c r="F23" s="356"/>
      <c r="G23" s="357"/>
      <c r="H23" s="297"/>
      <c r="I23" s="354"/>
    </row>
    <row r="24" spans="1:9" ht="15.95" customHeight="1" x14ac:dyDescent="0.15">
      <c r="A24" s="439"/>
      <c r="B24" s="345"/>
      <c r="C24" s="347"/>
      <c r="D24" s="346"/>
      <c r="E24" s="348"/>
      <c r="F24" s="356"/>
      <c r="G24" s="357"/>
      <c r="H24" s="297"/>
      <c r="I24" s="354"/>
    </row>
    <row r="25" spans="1:9" ht="15.95" customHeight="1" x14ac:dyDescent="0.15">
      <c r="A25" s="439"/>
      <c r="B25" s="345"/>
      <c r="C25" s="347"/>
      <c r="D25" s="346"/>
      <c r="E25" s="348"/>
      <c r="F25" s="356"/>
      <c r="G25" s="357"/>
      <c r="H25" s="297"/>
      <c r="I25" s="354"/>
    </row>
    <row r="26" spans="1:9" ht="15.95" customHeight="1" x14ac:dyDescent="0.15">
      <c r="A26" s="439"/>
      <c r="B26" s="345"/>
      <c r="C26" s="347"/>
      <c r="D26" s="346"/>
      <c r="E26" s="348"/>
      <c r="F26" s="356"/>
      <c r="G26" s="357"/>
      <c r="H26" s="297"/>
      <c r="I26" s="354"/>
    </row>
    <row r="27" spans="1:9" ht="15.95" customHeight="1" x14ac:dyDescent="0.15">
      <c r="A27" s="439"/>
      <c r="B27" s="345"/>
      <c r="C27" s="347"/>
      <c r="D27" s="346"/>
      <c r="E27" s="348"/>
      <c r="F27" s="356"/>
      <c r="G27" s="357"/>
      <c r="H27" s="297"/>
      <c r="I27" s="354"/>
    </row>
    <row r="28" spans="1:9" ht="15.95" customHeight="1" x14ac:dyDescent="0.15">
      <c r="A28" s="439"/>
      <c r="B28" s="345"/>
      <c r="C28" s="346"/>
      <c r="D28" s="346"/>
      <c r="E28" s="355"/>
      <c r="F28" s="356"/>
      <c r="G28" s="357"/>
      <c r="H28" s="297"/>
      <c r="I28" s="354"/>
    </row>
    <row r="29" spans="1:9" ht="15.95" customHeight="1" x14ac:dyDescent="0.15">
      <c r="A29" s="439"/>
      <c r="B29" s="345"/>
      <c r="C29" s="346"/>
      <c r="D29" s="346"/>
      <c r="E29" s="355"/>
      <c r="F29" s="356"/>
      <c r="G29" s="357"/>
      <c r="H29" s="297"/>
      <c r="I29" s="354"/>
    </row>
    <row r="30" spans="1:9" ht="15.95" customHeight="1" x14ac:dyDescent="0.15">
      <c r="A30" s="439"/>
      <c r="B30" s="345"/>
      <c r="C30" s="346"/>
      <c r="D30" s="346"/>
      <c r="E30" s="355"/>
      <c r="F30" s="356"/>
      <c r="G30" s="357"/>
      <c r="H30" s="297"/>
      <c r="I30" s="354"/>
    </row>
    <row r="31" spans="1:9" ht="15.95" customHeight="1" x14ac:dyDescent="0.15">
      <c r="A31" s="439"/>
      <c r="B31" s="345"/>
      <c r="C31" s="346" t="s">
        <v>265</v>
      </c>
      <c r="D31" s="346"/>
      <c r="E31" s="348" t="s">
        <v>156</v>
      </c>
      <c r="F31" s="356">
        <v>1</v>
      </c>
      <c r="G31" s="357">
        <v>300000</v>
      </c>
      <c r="H31" s="297">
        <f>IF(F31=0,G31,G31*F31)</f>
        <v>300000</v>
      </c>
      <c r="I31" s="354"/>
    </row>
    <row r="32" spans="1:9" ht="15.95" customHeight="1" x14ac:dyDescent="0.15">
      <c r="A32" s="439"/>
      <c r="B32" s="345"/>
      <c r="C32" s="358" t="s">
        <v>266</v>
      </c>
      <c r="D32" s="358"/>
      <c r="E32" s="359" t="s">
        <v>156</v>
      </c>
      <c r="F32" s="360">
        <v>1</v>
      </c>
      <c r="G32" s="361">
        <v>300000</v>
      </c>
      <c r="H32" s="307">
        <f>IF(F32=0,G32,G32*F32)</f>
        <v>300000</v>
      </c>
      <c r="I32" s="362"/>
    </row>
    <row r="33" spans="1:9" ht="15.95" customHeight="1" x14ac:dyDescent="0.15">
      <c r="A33" s="439"/>
      <c r="B33" s="363"/>
      <c r="C33" s="364"/>
      <c r="D33" s="365"/>
      <c r="E33" s="341"/>
      <c r="F33" s="366"/>
      <c r="G33" s="367"/>
      <c r="H33" s="368">
        <f>SUM(H16:H32)</f>
        <v>1700000</v>
      </c>
      <c r="I33" s="369"/>
    </row>
    <row r="34" spans="1:9" ht="15.95" customHeight="1" x14ac:dyDescent="0.15">
      <c r="A34" s="439"/>
      <c r="B34" s="391" t="s">
        <v>63</v>
      </c>
      <c r="C34" s="346" t="s">
        <v>267</v>
      </c>
      <c r="D34" s="378" t="s">
        <v>268</v>
      </c>
      <c r="E34" s="348" t="s">
        <v>156</v>
      </c>
      <c r="F34" s="356">
        <v>4</v>
      </c>
      <c r="G34" s="357">
        <v>800000</v>
      </c>
      <c r="H34" s="375">
        <f>F34*G34</f>
        <v>3200000</v>
      </c>
      <c r="I34" s="397" t="s">
        <v>174</v>
      </c>
    </row>
    <row r="35" spans="1:9" ht="15.95" customHeight="1" x14ac:dyDescent="0.15">
      <c r="A35" s="439"/>
      <c r="B35" s="345"/>
      <c r="C35" s="346" t="s">
        <v>269</v>
      </c>
      <c r="D35" s="378" t="s">
        <v>270</v>
      </c>
      <c r="E35" s="348" t="s">
        <v>156</v>
      </c>
      <c r="F35" s="356">
        <v>1</v>
      </c>
      <c r="G35" s="357">
        <v>572000</v>
      </c>
      <c r="H35" s="297">
        <f>F35*G35</f>
        <v>572000</v>
      </c>
      <c r="I35" s="400" t="s">
        <v>245</v>
      </c>
    </row>
    <row r="36" spans="1:9" ht="15.95" customHeight="1" x14ac:dyDescent="0.15">
      <c r="A36" s="439"/>
      <c r="B36" s="345"/>
      <c r="C36" s="346" t="s">
        <v>271</v>
      </c>
      <c r="D36" s="378" t="s">
        <v>270</v>
      </c>
      <c r="E36" s="348" t="s">
        <v>156</v>
      </c>
      <c r="F36" s="356">
        <v>1</v>
      </c>
      <c r="G36" s="357">
        <v>4444000</v>
      </c>
      <c r="H36" s="297">
        <f>F36*G36</f>
        <v>4444000</v>
      </c>
      <c r="I36" s="400" t="s">
        <v>245</v>
      </c>
    </row>
    <row r="37" spans="1:9" ht="15.95" customHeight="1" x14ac:dyDescent="0.15">
      <c r="A37" s="439"/>
      <c r="B37" s="345"/>
      <c r="C37" s="346" t="s">
        <v>272</v>
      </c>
      <c r="D37" s="402" t="s">
        <v>273</v>
      </c>
      <c r="E37" s="348" t="s">
        <v>156</v>
      </c>
      <c r="F37" s="356">
        <v>4</v>
      </c>
      <c r="G37" s="357">
        <v>1500000</v>
      </c>
      <c r="H37" s="297">
        <f t="shared" ref="H37:H40" si="2">F37*G37</f>
        <v>6000000</v>
      </c>
      <c r="I37" s="400" t="s">
        <v>245</v>
      </c>
    </row>
    <row r="38" spans="1:9" ht="15.95" customHeight="1" x14ac:dyDescent="0.15">
      <c r="A38" s="439"/>
      <c r="B38" s="345"/>
      <c r="C38" s="346" t="s">
        <v>274</v>
      </c>
      <c r="D38" s="346"/>
      <c r="E38" s="348" t="s">
        <v>156</v>
      </c>
      <c r="F38" s="356">
        <v>4</v>
      </c>
      <c r="G38" s="357">
        <v>400000</v>
      </c>
      <c r="H38" s="297">
        <f t="shared" si="2"/>
        <v>1600000</v>
      </c>
      <c r="I38" s="400" t="s">
        <v>245</v>
      </c>
    </row>
    <row r="39" spans="1:9" ht="15.95" customHeight="1" x14ac:dyDescent="0.15">
      <c r="A39" s="439"/>
      <c r="B39" s="345"/>
      <c r="C39" s="346" t="s">
        <v>275</v>
      </c>
      <c r="D39" s="346"/>
      <c r="E39" s="348" t="s">
        <v>156</v>
      </c>
      <c r="F39" s="356">
        <v>1</v>
      </c>
      <c r="G39" s="357">
        <v>1500000</v>
      </c>
      <c r="H39" s="297">
        <f t="shared" si="2"/>
        <v>1500000</v>
      </c>
      <c r="I39" s="400" t="s">
        <v>245</v>
      </c>
    </row>
    <row r="40" spans="1:9" ht="15.95" customHeight="1" x14ac:dyDescent="0.15">
      <c r="A40" s="439"/>
      <c r="B40" s="345"/>
      <c r="C40" s="347" t="s">
        <v>276</v>
      </c>
      <c r="D40" s="347"/>
      <c r="E40" s="348" t="s">
        <v>61</v>
      </c>
      <c r="F40" s="349">
        <v>1</v>
      </c>
      <c r="G40" s="350">
        <v>2500000</v>
      </c>
      <c r="H40" s="297">
        <f t="shared" si="2"/>
        <v>2500000</v>
      </c>
      <c r="I40" s="400" t="s">
        <v>245</v>
      </c>
    </row>
    <row r="41" spans="1:9" ht="15.95" customHeight="1" x14ac:dyDescent="0.15">
      <c r="A41" s="439"/>
      <c r="B41" s="345"/>
      <c r="C41" s="347"/>
      <c r="D41" s="347"/>
      <c r="E41" s="348"/>
      <c r="F41" s="349"/>
      <c r="G41" s="350"/>
      <c r="H41" s="297"/>
      <c r="I41" s="400"/>
    </row>
    <row r="42" spans="1:9" ht="15.95" customHeight="1" x14ac:dyDescent="0.15">
      <c r="A42" s="439"/>
      <c r="B42" s="345"/>
      <c r="C42" s="347"/>
      <c r="D42" s="347"/>
      <c r="E42" s="348"/>
      <c r="F42" s="349"/>
      <c r="G42" s="350"/>
      <c r="H42" s="297"/>
      <c r="I42" s="400"/>
    </row>
    <row r="43" spans="1:9" ht="15.95" customHeight="1" x14ac:dyDescent="0.15">
      <c r="A43" s="439"/>
      <c r="B43" s="345"/>
      <c r="C43" s="347"/>
      <c r="D43" s="347"/>
      <c r="E43" s="348"/>
      <c r="F43" s="349"/>
      <c r="G43" s="350"/>
      <c r="H43" s="297"/>
      <c r="I43" s="400"/>
    </row>
    <row r="44" spans="1:9" ht="15.95" customHeight="1" x14ac:dyDescent="0.15">
      <c r="A44" s="439"/>
      <c r="B44" s="345"/>
      <c r="C44" s="347"/>
      <c r="D44" s="347"/>
      <c r="E44" s="348"/>
      <c r="F44" s="349"/>
      <c r="G44" s="350"/>
      <c r="H44" s="297"/>
      <c r="I44" s="400"/>
    </row>
    <row r="45" spans="1:9" ht="15.95" customHeight="1" x14ac:dyDescent="0.15">
      <c r="A45" s="439"/>
      <c r="B45" s="345"/>
      <c r="C45" s="347"/>
      <c r="D45" s="347"/>
      <c r="E45" s="348"/>
      <c r="F45" s="349"/>
      <c r="G45" s="350"/>
      <c r="H45" s="297"/>
      <c r="I45" s="400"/>
    </row>
    <row r="46" spans="1:9" ht="15.95" customHeight="1" x14ac:dyDescent="0.15">
      <c r="A46" s="439"/>
      <c r="B46" s="345"/>
      <c r="C46" s="347"/>
      <c r="D46" s="347"/>
      <c r="E46" s="348"/>
      <c r="F46" s="349"/>
      <c r="G46" s="350"/>
      <c r="H46" s="297"/>
      <c r="I46" s="400"/>
    </row>
    <row r="47" spans="1:9" ht="15.95" customHeight="1" x14ac:dyDescent="0.15">
      <c r="A47" s="439"/>
      <c r="B47" s="345"/>
      <c r="C47" s="347"/>
      <c r="D47" s="347"/>
      <c r="E47" s="355"/>
      <c r="F47" s="356"/>
      <c r="G47" s="350"/>
      <c r="H47" s="297"/>
      <c r="I47" s="400"/>
    </row>
    <row r="48" spans="1:9" ht="15.95" customHeight="1" x14ac:dyDescent="0.15">
      <c r="A48" s="439"/>
      <c r="B48" s="345"/>
      <c r="C48" s="346"/>
      <c r="D48" s="346"/>
      <c r="E48" s="355"/>
      <c r="F48" s="356"/>
      <c r="G48" s="399"/>
      <c r="H48" s="297"/>
      <c r="I48" s="400"/>
    </row>
    <row r="49" spans="1:9" ht="15.95" customHeight="1" x14ac:dyDescent="0.15">
      <c r="A49" s="439"/>
      <c r="B49" s="345"/>
      <c r="C49" s="346"/>
      <c r="D49" s="346"/>
      <c r="E49" s="355"/>
      <c r="F49" s="356"/>
      <c r="G49" s="357"/>
      <c r="H49" s="297"/>
      <c r="I49" s="400"/>
    </row>
    <row r="50" spans="1:9" ht="15.95" customHeight="1" x14ac:dyDescent="0.15">
      <c r="A50" s="439"/>
      <c r="B50" s="345"/>
      <c r="C50" s="346"/>
      <c r="D50" s="346"/>
      <c r="E50" s="348"/>
      <c r="F50" s="356"/>
      <c r="G50" s="357"/>
      <c r="H50" s="297"/>
      <c r="I50" s="400"/>
    </row>
    <row r="51" spans="1:9" ht="15.95" customHeight="1" x14ac:dyDescent="0.15">
      <c r="A51" s="439"/>
      <c r="B51" s="345"/>
      <c r="C51" s="358" t="s">
        <v>142</v>
      </c>
      <c r="D51" s="358"/>
      <c r="E51" s="359" t="s">
        <v>61</v>
      </c>
      <c r="F51" s="360">
        <v>1</v>
      </c>
      <c r="G51" s="361">
        <v>1000000</v>
      </c>
      <c r="H51" s="307">
        <f>IF(F51=0,G51,G51*F51)</f>
        <v>1000000</v>
      </c>
      <c r="I51" s="362"/>
    </row>
    <row r="52" spans="1:9" ht="15.95" customHeight="1" x14ac:dyDescent="0.15">
      <c r="A52" s="439"/>
      <c r="B52" s="363"/>
      <c r="C52" s="364"/>
      <c r="D52" s="365"/>
      <c r="E52" s="341"/>
      <c r="F52" s="366"/>
      <c r="G52" s="367"/>
      <c r="H52" s="368">
        <f>SUM(H34:H51)</f>
        <v>20816000</v>
      </c>
      <c r="I52" s="369"/>
    </row>
    <row r="53" spans="1:9" ht="15.95" customHeight="1" x14ac:dyDescent="0.15">
      <c r="A53" s="409"/>
      <c r="B53" s="410" t="s">
        <v>180</v>
      </c>
      <c r="C53" s="411"/>
      <c r="D53" s="369"/>
      <c r="E53" s="342"/>
      <c r="F53" s="412"/>
      <c r="G53" s="413"/>
      <c r="H53" s="368">
        <f>SUM(H52,H33,H15,H9)</f>
        <v>22516000</v>
      </c>
      <c r="I53" s="369"/>
    </row>
    <row r="54" spans="1:9" ht="15.95" customHeight="1" x14ac:dyDescent="0.15">
      <c r="A54" s="448" t="s">
        <v>181</v>
      </c>
      <c r="B54" s="415" t="s">
        <v>69</v>
      </c>
      <c r="C54" s="411"/>
      <c r="D54" s="369"/>
      <c r="E54" s="430" t="s">
        <v>70</v>
      </c>
      <c r="F54" s="417">
        <v>3</v>
      </c>
      <c r="G54" s="418">
        <v>300000</v>
      </c>
      <c r="H54" s="375">
        <f t="shared" ref="H54:H61" si="3">F54*G54</f>
        <v>900000</v>
      </c>
      <c r="I54" s="369"/>
    </row>
    <row r="55" spans="1:9" ht="15.95" customHeight="1" x14ac:dyDescent="0.15">
      <c r="A55" s="439"/>
      <c r="B55" s="421" t="s">
        <v>253</v>
      </c>
      <c r="C55" s="422"/>
      <c r="D55" s="376"/>
      <c r="E55" s="443" t="s">
        <v>185</v>
      </c>
      <c r="F55" s="373">
        <v>20</v>
      </c>
      <c r="G55" s="374">
        <v>350000</v>
      </c>
      <c r="H55" s="375">
        <f t="shared" si="3"/>
        <v>7000000</v>
      </c>
      <c r="I55" s="376"/>
    </row>
    <row r="56" spans="1:9" ht="15.95" customHeight="1" x14ac:dyDescent="0.15">
      <c r="A56" s="439"/>
      <c r="B56" s="449" t="s">
        <v>254</v>
      </c>
      <c r="C56" s="425"/>
      <c r="D56" s="354"/>
      <c r="E56" s="444" t="s">
        <v>185</v>
      </c>
      <c r="F56" s="356">
        <v>5</v>
      </c>
      <c r="G56" s="357">
        <v>300000</v>
      </c>
      <c r="H56" s="297">
        <f t="shared" si="3"/>
        <v>1500000</v>
      </c>
      <c r="I56" s="354"/>
    </row>
    <row r="57" spans="1:9" ht="15.95" customHeight="1" x14ac:dyDescent="0.15">
      <c r="A57" s="439"/>
      <c r="B57" s="424" t="s">
        <v>255</v>
      </c>
      <c r="C57" s="425"/>
      <c r="D57" s="354"/>
      <c r="E57" s="444" t="s">
        <v>185</v>
      </c>
      <c r="F57" s="356">
        <v>5</v>
      </c>
      <c r="G57" s="357">
        <v>300000</v>
      </c>
      <c r="H57" s="297">
        <f t="shared" si="3"/>
        <v>1500000</v>
      </c>
      <c r="I57" s="354"/>
    </row>
    <row r="58" spans="1:9" ht="15.95" customHeight="1" x14ac:dyDescent="0.15">
      <c r="A58" s="439"/>
      <c r="B58" s="424" t="s">
        <v>256</v>
      </c>
      <c r="C58" s="425"/>
      <c r="D58" s="354"/>
      <c r="E58" s="444" t="s">
        <v>185</v>
      </c>
      <c r="F58" s="356">
        <v>5</v>
      </c>
      <c r="G58" s="357">
        <v>300000</v>
      </c>
      <c r="H58" s="297">
        <f t="shared" si="3"/>
        <v>1500000</v>
      </c>
      <c r="I58" s="354"/>
    </row>
    <row r="59" spans="1:9" ht="15.95" customHeight="1" x14ac:dyDescent="0.15">
      <c r="A59" s="439"/>
      <c r="B59" s="424" t="s">
        <v>257</v>
      </c>
      <c r="C59" s="425"/>
      <c r="D59" s="354"/>
      <c r="E59" s="444" t="s">
        <v>185</v>
      </c>
      <c r="F59" s="356">
        <v>3</v>
      </c>
      <c r="G59" s="357">
        <v>300000</v>
      </c>
      <c r="H59" s="297">
        <f t="shared" si="3"/>
        <v>900000</v>
      </c>
      <c r="I59" s="354"/>
    </row>
    <row r="60" spans="1:9" ht="15.95" customHeight="1" x14ac:dyDescent="0.15">
      <c r="A60" s="439"/>
      <c r="B60" s="424" t="s">
        <v>258</v>
      </c>
      <c r="C60" s="425"/>
      <c r="D60" s="354"/>
      <c r="E60" s="444" t="s">
        <v>70</v>
      </c>
      <c r="F60" s="356">
        <v>3</v>
      </c>
      <c r="G60" s="357">
        <v>300000</v>
      </c>
      <c r="H60" s="297">
        <f t="shared" si="3"/>
        <v>900000</v>
      </c>
      <c r="I60" s="354"/>
    </row>
    <row r="61" spans="1:9" ht="15.95" customHeight="1" x14ac:dyDescent="0.15">
      <c r="A61" s="439"/>
      <c r="B61" s="426" t="s">
        <v>259</v>
      </c>
      <c r="C61" s="427"/>
      <c r="D61" s="362"/>
      <c r="E61" s="445" t="s">
        <v>185</v>
      </c>
      <c r="F61" s="360">
        <v>3</v>
      </c>
      <c r="G61" s="361">
        <v>300000</v>
      </c>
      <c r="H61" s="307">
        <f t="shared" si="3"/>
        <v>900000</v>
      </c>
      <c r="I61" s="362"/>
    </row>
    <row r="62" spans="1:9" ht="15.95" customHeight="1" x14ac:dyDescent="0.15">
      <c r="A62" s="409"/>
      <c r="B62" s="429" t="s">
        <v>189</v>
      </c>
      <c r="C62" s="411"/>
      <c r="D62" s="369"/>
      <c r="E62" s="342"/>
      <c r="F62" s="366"/>
      <c r="G62" s="367"/>
      <c r="H62" s="367">
        <f>SUM(H54:H61)</f>
        <v>15100000</v>
      </c>
      <c r="I62" s="365"/>
    </row>
    <row r="63" spans="1:9" ht="15.95" customHeight="1" x14ac:dyDescent="0.15">
      <c r="A63" s="430"/>
      <c r="B63" s="429" t="s">
        <v>260</v>
      </c>
      <c r="C63" s="411"/>
      <c r="D63" s="369"/>
      <c r="E63" s="342"/>
      <c r="F63" s="431"/>
      <c r="G63" s="368"/>
      <c r="H63" s="413">
        <f>'단위공사별(집계)'!L8+'단위공사별(집계)'!I8</f>
        <v>399494.69831034599</v>
      </c>
      <c r="I63" s="369"/>
    </row>
    <row r="64" spans="1:9" ht="15.95" customHeight="1" x14ac:dyDescent="0.15">
      <c r="A64" s="430"/>
      <c r="B64" s="429" t="s">
        <v>95</v>
      </c>
      <c r="C64" s="411"/>
      <c r="D64" s="369"/>
      <c r="E64" s="342"/>
      <c r="F64" s="431"/>
      <c r="G64" s="433"/>
      <c r="H64" s="418">
        <f>SUM(H53,H62) * 0.05</f>
        <v>1880800</v>
      </c>
      <c r="I64" s="411"/>
    </row>
    <row r="65" spans="1:9" ht="15.95" customHeight="1" x14ac:dyDescent="0.15">
      <c r="A65" s="430"/>
      <c r="B65" s="429" t="s">
        <v>192</v>
      </c>
      <c r="C65" s="411"/>
      <c r="D65" s="369"/>
      <c r="E65" s="342"/>
      <c r="F65" s="431"/>
      <c r="G65" s="433"/>
      <c r="H65" s="418">
        <f>SUM(H53,H62) * 0.1</f>
        <v>3761600</v>
      </c>
      <c r="I65" s="411"/>
    </row>
    <row r="66" spans="1:9" ht="15.95" customHeight="1" x14ac:dyDescent="0.15">
      <c r="A66" s="430"/>
      <c r="B66" s="429" t="s">
        <v>193</v>
      </c>
      <c r="C66" s="411"/>
      <c r="D66" s="369"/>
      <c r="E66" s="342"/>
      <c r="F66" s="431"/>
      <c r="G66" s="368"/>
      <c r="H66" s="367">
        <f>H53+H62+H63+H64+H65</f>
        <v>43657894.698310345</v>
      </c>
      <c r="I66" s="369"/>
    </row>
    <row r="67" spans="1:9" x14ac:dyDescent="0.15">
      <c r="A67" s="258"/>
    </row>
  </sheetData>
  <mergeCells count="3">
    <mergeCell ref="A2:B2"/>
    <mergeCell ref="A3:A52"/>
    <mergeCell ref="A54:A6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2026-08-11T09:00:59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47D58-CE7C-4969-89DA-4E9D91AFA1A8}">
  <sheetPr>
    <tabColor rgb="FF00B050"/>
    <pageSetUpPr fitToPage="1"/>
  </sheetPr>
  <dimension ref="A1:I67"/>
  <sheetViews>
    <sheetView zoomScale="90" zoomScaleNormal="90" workbookViewId="0">
      <pane xSplit="2" ySplit="2" topLeftCell="C3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3.5" x14ac:dyDescent="0.15"/>
  <cols>
    <col min="1" max="1" width="5" style="249" customWidth="1"/>
    <col min="2" max="2" width="17.875" style="249" bestFit="1" customWidth="1"/>
    <col min="3" max="3" width="23.625" style="249" customWidth="1"/>
    <col min="4" max="4" width="18.25" style="249" customWidth="1"/>
    <col min="5" max="5" width="5.5" style="249" bestFit="1" customWidth="1"/>
    <col min="6" max="6" width="9" style="434"/>
    <col min="7" max="7" width="11.875" style="287" customWidth="1"/>
    <col min="8" max="8" width="13.625" style="287" customWidth="1"/>
    <col min="9" max="9" width="12.75" style="249" customWidth="1"/>
    <col min="10" max="16384" width="9" style="249"/>
  </cols>
  <sheetData>
    <row r="1" spans="1:9" ht="22.5" customHeight="1" x14ac:dyDescent="0.15">
      <c r="B1" s="337" t="s">
        <v>194</v>
      </c>
      <c r="C1" s="435"/>
      <c r="F1" s="339"/>
      <c r="I1" s="249" t="s">
        <v>130</v>
      </c>
    </row>
    <row r="2" spans="1:9" s="258" customFormat="1" ht="16.5" customHeight="1" x14ac:dyDescent="0.15">
      <c r="A2" s="89" t="s">
        <v>131</v>
      </c>
      <c r="B2" s="340"/>
      <c r="C2" s="259" t="s">
        <v>132</v>
      </c>
      <c r="D2" s="250" t="s">
        <v>133</v>
      </c>
      <c r="E2" s="250" t="s">
        <v>50</v>
      </c>
      <c r="F2" s="437" t="s">
        <v>51</v>
      </c>
      <c r="G2" s="437" t="s">
        <v>134</v>
      </c>
      <c r="H2" s="437" t="s">
        <v>135</v>
      </c>
      <c r="I2" s="250" t="s">
        <v>136</v>
      </c>
    </row>
    <row r="3" spans="1:9" ht="15.95" customHeight="1" x14ac:dyDescent="0.15">
      <c r="A3" s="344" t="s">
        <v>137</v>
      </c>
      <c r="B3" s="345" t="s">
        <v>138</v>
      </c>
      <c r="C3" s="346" t="s">
        <v>277</v>
      </c>
      <c r="D3" s="438" t="s">
        <v>278</v>
      </c>
      <c r="E3" s="355" t="s">
        <v>279</v>
      </c>
      <c r="F3" s="356"/>
      <c r="G3" s="357">
        <v>1500</v>
      </c>
      <c r="H3" s="318">
        <f>F3*G3</f>
        <v>0</v>
      </c>
      <c r="I3" s="376"/>
    </row>
    <row r="4" spans="1:9" ht="15.95" customHeight="1" x14ac:dyDescent="0.15">
      <c r="A4" s="439"/>
      <c r="B4" s="345"/>
      <c r="C4" s="346" t="s">
        <v>280</v>
      </c>
      <c r="D4" s="438" t="s">
        <v>278</v>
      </c>
      <c r="E4" s="355" t="s">
        <v>279</v>
      </c>
      <c r="F4" s="356"/>
      <c r="G4" s="357">
        <v>1500</v>
      </c>
      <c r="H4" s="450">
        <f t="shared" ref="H4:H5" si="0">F4*G4</f>
        <v>0</v>
      </c>
      <c r="I4" s="354"/>
    </row>
    <row r="5" spans="1:9" ht="15.95" customHeight="1" x14ac:dyDescent="0.15">
      <c r="A5" s="439"/>
      <c r="B5" s="345"/>
      <c r="C5" s="346" t="s">
        <v>281</v>
      </c>
      <c r="D5" s="438" t="s">
        <v>278</v>
      </c>
      <c r="E5" s="355" t="s">
        <v>279</v>
      </c>
      <c r="F5" s="356"/>
      <c r="G5" s="357">
        <v>1500</v>
      </c>
      <c r="H5" s="351">
        <f t="shared" si="0"/>
        <v>0</v>
      </c>
      <c r="I5" s="354"/>
    </row>
    <row r="6" spans="1:9" ht="15.95" customHeight="1" x14ac:dyDescent="0.15">
      <c r="A6" s="439"/>
      <c r="B6" s="345"/>
      <c r="C6" s="346"/>
      <c r="D6" s="346"/>
      <c r="E6" s="355"/>
      <c r="F6" s="356"/>
      <c r="G6" s="357"/>
      <c r="H6" s="297"/>
      <c r="I6" s="354"/>
    </row>
    <row r="7" spans="1:9" ht="15.95" customHeight="1" x14ac:dyDescent="0.15">
      <c r="A7" s="439"/>
      <c r="B7" s="345"/>
      <c r="C7" s="346"/>
      <c r="D7" s="346"/>
      <c r="E7" s="346"/>
      <c r="F7" s="356"/>
      <c r="G7" s="357"/>
      <c r="H7" s="297"/>
      <c r="I7" s="354"/>
    </row>
    <row r="8" spans="1:9" ht="15.75" customHeight="1" x14ac:dyDescent="0.15">
      <c r="A8" s="439"/>
      <c r="B8" s="345"/>
      <c r="C8" s="346"/>
      <c r="D8" s="346"/>
      <c r="E8" s="346"/>
      <c r="F8" s="356"/>
      <c r="G8" s="357"/>
      <c r="H8" s="297"/>
      <c r="I8" s="354"/>
    </row>
    <row r="9" spans="1:9" ht="15.95" customHeight="1" x14ac:dyDescent="0.15">
      <c r="A9" s="439"/>
      <c r="B9" s="345"/>
      <c r="C9" s="358" t="s">
        <v>142</v>
      </c>
      <c r="D9" s="378"/>
      <c r="E9" s="379" t="s">
        <v>61</v>
      </c>
      <c r="F9" s="380">
        <v>1</v>
      </c>
      <c r="G9" s="381"/>
      <c r="H9" s="297">
        <f t="shared" ref="H9" si="1">IF(F9=0,G9,G9*F9)</f>
        <v>0</v>
      </c>
      <c r="I9" s="383"/>
    </row>
    <row r="10" spans="1:9" ht="15.95" customHeight="1" x14ac:dyDescent="0.15">
      <c r="A10" s="439"/>
      <c r="B10" s="363"/>
      <c r="C10" s="390"/>
      <c r="D10" s="390"/>
      <c r="E10" s="390"/>
      <c r="F10" s="387"/>
      <c r="G10" s="388"/>
      <c r="H10" s="389">
        <f>SUM(H3:H9)</f>
        <v>0</v>
      </c>
      <c r="I10" s="390"/>
    </row>
    <row r="11" spans="1:9" ht="15.95" customHeight="1" x14ac:dyDescent="0.15">
      <c r="A11" s="439"/>
      <c r="B11" s="345" t="s">
        <v>201</v>
      </c>
      <c r="C11" s="347"/>
      <c r="D11" s="347"/>
      <c r="E11" s="347"/>
      <c r="F11" s="349"/>
      <c r="G11" s="350"/>
      <c r="H11" s="351"/>
      <c r="I11" s="352"/>
    </row>
    <row r="12" spans="1:9" ht="15.95" customHeight="1" x14ac:dyDescent="0.15">
      <c r="A12" s="439"/>
      <c r="B12" s="345" t="s">
        <v>203</v>
      </c>
      <c r="C12" s="346"/>
      <c r="D12" s="346"/>
      <c r="E12" s="346"/>
      <c r="F12" s="356"/>
      <c r="G12" s="357"/>
      <c r="H12" s="297"/>
      <c r="I12" s="354"/>
    </row>
    <row r="13" spans="1:9" ht="15.95" customHeight="1" x14ac:dyDescent="0.15">
      <c r="A13" s="439"/>
      <c r="B13" s="345"/>
      <c r="C13" s="346"/>
      <c r="D13" s="346"/>
      <c r="E13" s="346"/>
      <c r="F13" s="356"/>
      <c r="G13" s="357"/>
      <c r="H13" s="297"/>
      <c r="I13" s="354"/>
    </row>
    <row r="14" spans="1:9" ht="15.95" customHeight="1" x14ac:dyDescent="0.15">
      <c r="A14" s="439"/>
      <c r="B14" s="345"/>
      <c r="C14" s="346"/>
      <c r="D14" s="346"/>
      <c r="E14" s="346"/>
      <c r="F14" s="356"/>
      <c r="G14" s="357"/>
      <c r="H14" s="297"/>
      <c r="I14" s="354"/>
    </row>
    <row r="15" spans="1:9" ht="15.95" customHeight="1" x14ac:dyDescent="0.15">
      <c r="A15" s="439"/>
      <c r="B15" s="345"/>
      <c r="C15" s="358" t="s">
        <v>142</v>
      </c>
      <c r="D15" s="358"/>
      <c r="E15" s="358"/>
      <c r="F15" s="360"/>
      <c r="G15" s="361"/>
      <c r="H15" s="297"/>
      <c r="I15" s="362"/>
    </row>
    <row r="16" spans="1:9" ht="15.95" customHeight="1" x14ac:dyDescent="0.15">
      <c r="A16" s="439"/>
      <c r="B16" s="363"/>
      <c r="C16" s="364"/>
      <c r="D16" s="365"/>
      <c r="E16" s="365"/>
      <c r="F16" s="440"/>
      <c r="G16" s="367"/>
      <c r="H16" s="368">
        <f>SUM(H11:H15)</f>
        <v>0</v>
      </c>
      <c r="I16" s="369"/>
    </row>
    <row r="17" spans="1:9" ht="15.95" customHeight="1" x14ac:dyDescent="0.15">
      <c r="A17" s="439"/>
      <c r="B17" s="391" t="s">
        <v>204</v>
      </c>
      <c r="C17" s="392"/>
      <c r="D17" s="393"/>
      <c r="E17" s="355"/>
      <c r="F17" s="356"/>
      <c r="G17" s="357"/>
      <c r="H17" s="375">
        <f>IF(F17=0,G17,G17*F17)</f>
        <v>0</v>
      </c>
      <c r="I17" s="376"/>
    </row>
    <row r="18" spans="1:9" ht="15.95" customHeight="1" x14ac:dyDescent="0.15">
      <c r="A18" s="439"/>
      <c r="B18" s="345" t="s">
        <v>207</v>
      </c>
      <c r="C18" s="346"/>
      <c r="D18" s="346"/>
      <c r="E18" s="355"/>
      <c r="F18" s="356"/>
      <c r="G18" s="357"/>
      <c r="H18" s="297">
        <f>IF(F18=0,G18,G18*F18)</f>
        <v>0</v>
      </c>
      <c r="I18" s="354"/>
    </row>
    <row r="19" spans="1:9" ht="15.95" customHeight="1" x14ac:dyDescent="0.15">
      <c r="A19" s="439"/>
      <c r="B19" s="345"/>
      <c r="C19" s="346"/>
      <c r="D19" s="346"/>
      <c r="E19" s="355"/>
      <c r="F19" s="356"/>
      <c r="G19" s="357"/>
      <c r="H19" s="297">
        <f t="shared" ref="H19:H22" si="2">IF(F19=0,G19,G19*F19)</f>
        <v>0</v>
      </c>
      <c r="I19" s="354"/>
    </row>
    <row r="20" spans="1:9" ht="15.95" customHeight="1" x14ac:dyDescent="0.15">
      <c r="A20" s="439"/>
      <c r="B20" s="345"/>
      <c r="C20" s="392"/>
      <c r="D20" s="346"/>
      <c r="E20" s="355"/>
      <c r="F20" s="356"/>
      <c r="G20" s="357"/>
      <c r="H20" s="297">
        <f t="shared" si="2"/>
        <v>0</v>
      </c>
      <c r="I20" s="400"/>
    </row>
    <row r="21" spans="1:9" ht="15.95" customHeight="1" x14ac:dyDescent="0.15">
      <c r="A21" s="439"/>
      <c r="B21" s="345"/>
      <c r="C21" s="392"/>
      <c r="D21" s="346"/>
      <c r="E21" s="355"/>
      <c r="F21" s="356"/>
      <c r="G21" s="399"/>
      <c r="H21" s="297">
        <f t="shared" si="2"/>
        <v>0</v>
      </c>
      <c r="I21" s="354"/>
    </row>
    <row r="22" spans="1:9" ht="15.95" customHeight="1" x14ac:dyDescent="0.15">
      <c r="A22" s="439"/>
      <c r="B22" s="345"/>
      <c r="C22" s="346"/>
      <c r="D22" s="346"/>
      <c r="E22" s="355"/>
      <c r="F22" s="356"/>
      <c r="G22" s="357"/>
      <c r="H22" s="297">
        <f t="shared" si="2"/>
        <v>0</v>
      </c>
      <c r="I22" s="354"/>
    </row>
    <row r="23" spans="1:9" ht="15.95" customHeight="1" x14ac:dyDescent="0.15">
      <c r="A23" s="439"/>
      <c r="B23" s="345"/>
      <c r="C23" s="347"/>
      <c r="D23" s="346"/>
      <c r="E23" s="355"/>
      <c r="F23" s="356"/>
      <c r="G23" s="357"/>
      <c r="H23" s="297">
        <f>F23*G23</f>
        <v>0</v>
      </c>
      <c r="I23" s="354"/>
    </row>
    <row r="24" spans="1:9" ht="15.95" customHeight="1" x14ac:dyDescent="0.15">
      <c r="A24" s="439"/>
      <c r="B24" s="345"/>
      <c r="C24" s="346"/>
      <c r="D24" s="346"/>
      <c r="E24" s="355"/>
      <c r="F24" s="356"/>
      <c r="G24" s="357"/>
      <c r="H24" s="297">
        <f t="shared" ref="H24:H32" si="3">F24*G24</f>
        <v>0</v>
      </c>
      <c r="I24" s="354"/>
    </row>
    <row r="25" spans="1:9" ht="15.95" customHeight="1" x14ac:dyDescent="0.15">
      <c r="A25" s="439"/>
      <c r="B25" s="345"/>
      <c r="C25" s="346"/>
      <c r="D25" s="346"/>
      <c r="E25" s="355"/>
      <c r="F25" s="356"/>
      <c r="G25" s="357"/>
      <c r="H25" s="297">
        <f t="shared" si="3"/>
        <v>0</v>
      </c>
      <c r="I25" s="354"/>
    </row>
    <row r="26" spans="1:9" ht="15.95" customHeight="1" x14ac:dyDescent="0.15">
      <c r="A26" s="439"/>
      <c r="B26" s="345"/>
      <c r="C26" s="346"/>
      <c r="D26" s="346"/>
      <c r="E26" s="355"/>
      <c r="F26" s="356"/>
      <c r="G26" s="357"/>
      <c r="H26" s="297">
        <f t="shared" si="3"/>
        <v>0</v>
      </c>
      <c r="I26" s="354"/>
    </row>
    <row r="27" spans="1:9" ht="15.95" customHeight="1" x14ac:dyDescent="0.15">
      <c r="A27" s="439"/>
      <c r="B27" s="345"/>
      <c r="C27" s="392"/>
      <c r="D27" s="346"/>
      <c r="E27" s="348"/>
      <c r="F27" s="356"/>
      <c r="G27" s="357"/>
      <c r="H27" s="297">
        <f t="shared" si="3"/>
        <v>0</v>
      </c>
      <c r="I27" s="354"/>
    </row>
    <row r="28" spans="1:9" ht="15.95" customHeight="1" x14ac:dyDescent="0.15">
      <c r="A28" s="439"/>
      <c r="B28" s="345"/>
      <c r="C28" s="346"/>
      <c r="D28" s="346"/>
      <c r="E28" s="355"/>
      <c r="F28" s="356"/>
      <c r="G28" s="357"/>
      <c r="H28" s="297">
        <f t="shared" si="3"/>
        <v>0</v>
      </c>
      <c r="I28" s="354"/>
    </row>
    <row r="29" spans="1:9" ht="15.95" customHeight="1" x14ac:dyDescent="0.15">
      <c r="A29" s="439"/>
      <c r="B29" s="345"/>
      <c r="C29" s="346"/>
      <c r="D29" s="346"/>
      <c r="E29" s="355"/>
      <c r="F29" s="356"/>
      <c r="G29" s="357"/>
      <c r="H29" s="297">
        <f t="shared" si="3"/>
        <v>0</v>
      </c>
      <c r="I29" s="354"/>
    </row>
    <row r="30" spans="1:9" ht="15.95" customHeight="1" x14ac:dyDescent="0.15">
      <c r="A30" s="439"/>
      <c r="B30" s="345"/>
      <c r="C30" s="346"/>
      <c r="D30" s="346"/>
      <c r="E30" s="355"/>
      <c r="F30" s="356"/>
      <c r="G30" s="357"/>
      <c r="H30" s="297">
        <f t="shared" si="3"/>
        <v>0</v>
      </c>
      <c r="I30" s="354"/>
    </row>
    <row r="31" spans="1:9" ht="15.95" customHeight="1" x14ac:dyDescent="0.15">
      <c r="A31" s="439"/>
      <c r="B31" s="345"/>
      <c r="C31" s="346"/>
      <c r="D31" s="346"/>
      <c r="E31" s="355"/>
      <c r="F31" s="356"/>
      <c r="G31" s="357"/>
      <c r="H31" s="297">
        <f t="shared" si="3"/>
        <v>0</v>
      </c>
      <c r="I31" s="354"/>
    </row>
    <row r="32" spans="1:9" ht="15.95" customHeight="1" x14ac:dyDescent="0.15">
      <c r="A32" s="439"/>
      <c r="B32" s="345"/>
      <c r="C32" s="346"/>
      <c r="D32" s="346"/>
      <c r="E32" s="355"/>
      <c r="F32" s="356"/>
      <c r="G32" s="357"/>
      <c r="H32" s="297">
        <f t="shared" si="3"/>
        <v>0</v>
      </c>
      <c r="I32" s="354"/>
    </row>
    <row r="33" spans="1:9" ht="15.95" customHeight="1" x14ac:dyDescent="0.15">
      <c r="A33" s="439"/>
      <c r="B33" s="345"/>
      <c r="C33" s="358" t="s">
        <v>266</v>
      </c>
      <c r="D33" s="358"/>
      <c r="E33" s="359" t="s">
        <v>156</v>
      </c>
      <c r="F33" s="360">
        <v>1</v>
      </c>
      <c r="G33" s="361"/>
      <c r="H33" s="307">
        <f>F33*G33</f>
        <v>0</v>
      </c>
      <c r="I33" s="362"/>
    </row>
    <row r="34" spans="1:9" ht="15.95" customHeight="1" x14ac:dyDescent="0.15">
      <c r="A34" s="439"/>
      <c r="B34" s="363"/>
      <c r="C34" s="364"/>
      <c r="D34" s="365"/>
      <c r="E34" s="365"/>
      <c r="F34" s="366"/>
      <c r="G34" s="367"/>
      <c r="H34" s="368">
        <f>SUM(H17:H33)</f>
        <v>0</v>
      </c>
      <c r="I34" s="369"/>
    </row>
    <row r="35" spans="1:9" ht="15.95" customHeight="1" x14ac:dyDescent="0.15">
      <c r="A35" s="439"/>
      <c r="B35" s="391" t="s">
        <v>63</v>
      </c>
      <c r="C35" s="346"/>
      <c r="D35" s="378"/>
      <c r="E35" s="348"/>
      <c r="F35" s="356"/>
      <c r="G35" s="357"/>
      <c r="H35" s="375">
        <f>IF(F35=0,G35,G35*F35)</f>
        <v>0</v>
      </c>
      <c r="I35" s="376"/>
    </row>
    <row r="36" spans="1:9" ht="15.95" customHeight="1" x14ac:dyDescent="0.15">
      <c r="A36" s="439"/>
      <c r="B36" s="345"/>
      <c r="C36" s="346"/>
      <c r="D36" s="378"/>
      <c r="E36" s="348"/>
      <c r="F36" s="356"/>
      <c r="G36" s="357"/>
      <c r="H36" s="297">
        <f>IF(F36=0,G36,G36*F36)</f>
        <v>0</v>
      </c>
      <c r="I36" s="352"/>
    </row>
    <row r="37" spans="1:9" ht="15.95" customHeight="1" x14ac:dyDescent="0.15">
      <c r="A37" s="439"/>
      <c r="B37" s="345"/>
      <c r="C37" s="346"/>
      <c r="D37" s="378"/>
      <c r="E37" s="348"/>
      <c r="F37" s="356"/>
      <c r="G37" s="357"/>
      <c r="H37" s="297">
        <f t="shared" ref="H37:H50" si="4">IF(F37=0,G37,G37*F37)</f>
        <v>0</v>
      </c>
      <c r="I37" s="451"/>
    </row>
    <row r="38" spans="1:9" ht="15.95" customHeight="1" x14ac:dyDescent="0.15">
      <c r="A38" s="439"/>
      <c r="B38" s="345"/>
      <c r="C38" s="346"/>
      <c r="D38" s="402"/>
      <c r="E38" s="348"/>
      <c r="F38" s="356"/>
      <c r="G38" s="357"/>
      <c r="H38" s="297">
        <f t="shared" si="4"/>
        <v>0</v>
      </c>
      <c r="I38" s="451"/>
    </row>
    <row r="39" spans="1:9" ht="15.95" customHeight="1" x14ac:dyDescent="0.15">
      <c r="A39" s="439"/>
      <c r="B39" s="345"/>
      <c r="C39" s="346"/>
      <c r="D39" s="346"/>
      <c r="E39" s="348"/>
      <c r="F39" s="356"/>
      <c r="G39" s="357"/>
      <c r="H39" s="297">
        <f t="shared" si="4"/>
        <v>0</v>
      </c>
      <c r="I39" s="352"/>
    </row>
    <row r="40" spans="1:9" ht="15.95" customHeight="1" x14ac:dyDescent="0.15">
      <c r="A40" s="439"/>
      <c r="B40" s="345"/>
      <c r="C40" s="346"/>
      <c r="D40" s="346"/>
      <c r="E40" s="348"/>
      <c r="F40" s="356"/>
      <c r="G40" s="357"/>
      <c r="H40" s="297">
        <f t="shared" si="4"/>
        <v>0</v>
      </c>
      <c r="I40" s="352"/>
    </row>
    <row r="41" spans="1:9" ht="15.95" customHeight="1" x14ac:dyDescent="0.15">
      <c r="A41" s="439"/>
      <c r="B41" s="345"/>
      <c r="C41" s="347"/>
      <c r="D41" s="347"/>
      <c r="E41" s="348"/>
      <c r="F41" s="349"/>
      <c r="G41" s="350"/>
      <c r="H41" s="297">
        <f t="shared" si="4"/>
        <v>0</v>
      </c>
      <c r="I41" s="352"/>
    </row>
    <row r="42" spans="1:9" ht="15.95" customHeight="1" x14ac:dyDescent="0.15">
      <c r="A42" s="439"/>
      <c r="B42" s="345"/>
      <c r="C42" s="347"/>
      <c r="D42" s="347"/>
      <c r="E42" s="348"/>
      <c r="F42" s="349"/>
      <c r="G42" s="350"/>
      <c r="H42" s="297">
        <f t="shared" si="4"/>
        <v>0</v>
      </c>
      <c r="I42" s="352"/>
    </row>
    <row r="43" spans="1:9" ht="15.95" customHeight="1" x14ac:dyDescent="0.15">
      <c r="A43" s="439"/>
      <c r="B43" s="345"/>
      <c r="C43" s="347"/>
      <c r="D43" s="347"/>
      <c r="E43" s="348"/>
      <c r="F43" s="349"/>
      <c r="G43" s="350"/>
      <c r="H43" s="297">
        <f t="shared" si="4"/>
        <v>0</v>
      </c>
      <c r="I43" s="352"/>
    </row>
    <row r="44" spans="1:9" ht="15.95" customHeight="1" x14ac:dyDescent="0.15">
      <c r="A44" s="439"/>
      <c r="B44" s="345"/>
      <c r="C44" s="347"/>
      <c r="D44" s="347"/>
      <c r="E44" s="348"/>
      <c r="F44" s="349"/>
      <c r="G44" s="350"/>
      <c r="H44" s="297">
        <f t="shared" si="4"/>
        <v>0</v>
      </c>
      <c r="I44" s="352"/>
    </row>
    <row r="45" spans="1:9" ht="15.95" customHeight="1" x14ac:dyDescent="0.15">
      <c r="A45" s="439"/>
      <c r="B45" s="345"/>
      <c r="C45" s="347"/>
      <c r="D45" s="347"/>
      <c r="E45" s="348"/>
      <c r="F45" s="349"/>
      <c r="G45" s="350"/>
      <c r="H45" s="297">
        <f t="shared" si="4"/>
        <v>0</v>
      </c>
      <c r="I45" s="352"/>
    </row>
    <row r="46" spans="1:9" ht="15.95" customHeight="1" x14ac:dyDescent="0.15">
      <c r="A46" s="439"/>
      <c r="B46" s="345"/>
      <c r="C46" s="347"/>
      <c r="D46" s="347"/>
      <c r="E46" s="348"/>
      <c r="F46" s="349"/>
      <c r="G46" s="350"/>
      <c r="H46" s="297">
        <f t="shared" si="4"/>
        <v>0</v>
      </c>
      <c r="I46" s="352"/>
    </row>
    <row r="47" spans="1:9" ht="15.95" customHeight="1" x14ac:dyDescent="0.15">
      <c r="A47" s="439"/>
      <c r="B47" s="345"/>
      <c r="C47" s="346"/>
      <c r="D47" s="346"/>
      <c r="E47" s="355"/>
      <c r="F47" s="356"/>
      <c r="G47" s="357"/>
      <c r="H47" s="297">
        <f t="shared" si="4"/>
        <v>0</v>
      </c>
      <c r="I47" s="354"/>
    </row>
    <row r="48" spans="1:9" ht="15.95" customHeight="1" x14ac:dyDescent="0.15">
      <c r="A48" s="439"/>
      <c r="B48" s="345"/>
      <c r="C48" s="346"/>
      <c r="D48" s="346"/>
      <c r="E48" s="355"/>
      <c r="F48" s="356"/>
      <c r="G48" s="357"/>
      <c r="H48" s="297">
        <f t="shared" si="4"/>
        <v>0</v>
      </c>
      <c r="I48" s="354"/>
    </row>
    <row r="49" spans="1:9" ht="15.95" customHeight="1" x14ac:dyDescent="0.15">
      <c r="A49" s="439"/>
      <c r="B49" s="345"/>
      <c r="C49" s="346"/>
      <c r="D49" s="346"/>
      <c r="E49" s="355"/>
      <c r="F49" s="356"/>
      <c r="G49" s="357"/>
      <c r="H49" s="297">
        <f t="shared" si="4"/>
        <v>0</v>
      </c>
      <c r="I49" s="354"/>
    </row>
    <row r="50" spans="1:9" ht="15.95" customHeight="1" x14ac:dyDescent="0.15">
      <c r="A50" s="439"/>
      <c r="B50" s="345"/>
      <c r="C50" s="346"/>
      <c r="D50" s="346"/>
      <c r="E50" s="355"/>
      <c r="F50" s="356"/>
      <c r="G50" s="357"/>
      <c r="H50" s="297">
        <f t="shared" si="4"/>
        <v>0</v>
      </c>
      <c r="I50" s="354"/>
    </row>
    <row r="51" spans="1:9" ht="15.95" customHeight="1" x14ac:dyDescent="0.15">
      <c r="A51" s="439"/>
      <c r="B51" s="345"/>
      <c r="C51" s="358" t="s">
        <v>142</v>
      </c>
      <c r="D51" s="358"/>
      <c r="E51" s="359" t="s">
        <v>61</v>
      </c>
      <c r="F51" s="360">
        <v>1</v>
      </c>
      <c r="G51" s="361"/>
      <c r="H51" s="307">
        <f>IF(F51=0,G51,G51*F51)</f>
        <v>0</v>
      </c>
      <c r="I51" s="362"/>
    </row>
    <row r="52" spans="1:9" ht="15.95" customHeight="1" x14ac:dyDescent="0.15">
      <c r="A52" s="439"/>
      <c r="B52" s="363"/>
      <c r="C52" s="364"/>
      <c r="D52" s="365"/>
      <c r="E52" s="365"/>
      <c r="F52" s="366"/>
      <c r="G52" s="367"/>
      <c r="H52" s="368">
        <f>SUM(H35:H51)</f>
        <v>0</v>
      </c>
      <c r="I52" s="369"/>
    </row>
    <row r="53" spans="1:9" ht="15.95" customHeight="1" x14ac:dyDescent="0.15">
      <c r="A53" s="409"/>
      <c r="B53" s="410" t="s">
        <v>180</v>
      </c>
      <c r="C53" s="411"/>
      <c r="D53" s="369"/>
      <c r="E53" s="369"/>
      <c r="F53" s="412"/>
      <c r="G53" s="413"/>
      <c r="H53" s="368">
        <f>SUM(H52,H34,H16,H10)</f>
        <v>0</v>
      </c>
      <c r="I53" s="369"/>
    </row>
    <row r="54" spans="1:9" ht="15.95" customHeight="1" x14ac:dyDescent="0.15">
      <c r="A54" s="448" t="s">
        <v>181</v>
      </c>
      <c r="B54" s="415" t="s">
        <v>69</v>
      </c>
      <c r="C54" s="411"/>
      <c r="D54" s="369"/>
      <c r="E54" s="430" t="s">
        <v>70</v>
      </c>
      <c r="F54" s="417"/>
      <c r="G54" s="418">
        <v>300000</v>
      </c>
      <c r="H54" s="375">
        <f t="shared" ref="H54:H61" si="5">F54*G54</f>
        <v>0</v>
      </c>
      <c r="I54" s="369"/>
    </row>
    <row r="55" spans="1:9" ht="15.95" customHeight="1" x14ac:dyDescent="0.15">
      <c r="A55" s="439"/>
      <c r="B55" s="421" t="s">
        <v>253</v>
      </c>
      <c r="C55" s="422"/>
      <c r="D55" s="376"/>
      <c r="E55" s="443" t="s">
        <v>185</v>
      </c>
      <c r="F55" s="373"/>
      <c r="G55" s="374">
        <v>350000</v>
      </c>
      <c r="H55" s="375">
        <f t="shared" si="5"/>
        <v>0</v>
      </c>
      <c r="I55" s="376"/>
    </row>
    <row r="56" spans="1:9" ht="15.95" customHeight="1" x14ac:dyDescent="0.15">
      <c r="A56" s="439"/>
      <c r="B56" s="449" t="s">
        <v>254</v>
      </c>
      <c r="C56" s="425"/>
      <c r="D56" s="354"/>
      <c r="E56" s="444" t="s">
        <v>185</v>
      </c>
      <c r="F56" s="356"/>
      <c r="G56" s="357">
        <v>300000</v>
      </c>
      <c r="H56" s="297">
        <f t="shared" si="5"/>
        <v>0</v>
      </c>
      <c r="I56" s="354"/>
    </row>
    <row r="57" spans="1:9" ht="15.95" customHeight="1" x14ac:dyDescent="0.15">
      <c r="A57" s="439"/>
      <c r="B57" s="424" t="s">
        <v>255</v>
      </c>
      <c r="C57" s="425"/>
      <c r="D57" s="354"/>
      <c r="E57" s="444" t="s">
        <v>185</v>
      </c>
      <c r="F57" s="356"/>
      <c r="G57" s="357">
        <v>300000</v>
      </c>
      <c r="H57" s="297">
        <f t="shared" si="5"/>
        <v>0</v>
      </c>
      <c r="I57" s="354"/>
    </row>
    <row r="58" spans="1:9" ht="15.95" customHeight="1" x14ac:dyDescent="0.15">
      <c r="A58" s="439"/>
      <c r="B58" s="424" t="s">
        <v>256</v>
      </c>
      <c r="C58" s="425"/>
      <c r="D58" s="354"/>
      <c r="E58" s="444" t="s">
        <v>185</v>
      </c>
      <c r="F58" s="356"/>
      <c r="G58" s="357">
        <v>300000</v>
      </c>
      <c r="H58" s="297">
        <f t="shared" si="5"/>
        <v>0</v>
      </c>
      <c r="I58" s="354"/>
    </row>
    <row r="59" spans="1:9" ht="15.95" customHeight="1" x14ac:dyDescent="0.15">
      <c r="A59" s="439"/>
      <c r="B59" s="424" t="s">
        <v>257</v>
      </c>
      <c r="C59" s="425"/>
      <c r="D59" s="354"/>
      <c r="E59" s="444" t="s">
        <v>185</v>
      </c>
      <c r="F59" s="356"/>
      <c r="G59" s="357">
        <v>300000</v>
      </c>
      <c r="H59" s="297">
        <f t="shared" si="5"/>
        <v>0</v>
      </c>
      <c r="I59" s="354"/>
    </row>
    <row r="60" spans="1:9" ht="15.95" customHeight="1" x14ac:dyDescent="0.15">
      <c r="A60" s="439"/>
      <c r="B60" s="424" t="s">
        <v>258</v>
      </c>
      <c r="C60" s="425"/>
      <c r="D60" s="354"/>
      <c r="E60" s="444" t="s">
        <v>185</v>
      </c>
      <c r="F60" s="356"/>
      <c r="G60" s="357">
        <v>300000</v>
      </c>
      <c r="H60" s="297">
        <f t="shared" si="5"/>
        <v>0</v>
      </c>
      <c r="I60" s="354"/>
    </row>
    <row r="61" spans="1:9" ht="15.95" customHeight="1" x14ac:dyDescent="0.15">
      <c r="A61" s="439"/>
      <c r="B61" s="426" t="s">
        <v>259</v>
      </c>
      <c r="C61" s="427"/>
      <c r="D61" s="362"/>
      <c r="E61" s="445" t="s">
        <v>185</v>
      </c>
      <c r="F61" s="360"/>
      <c r="G61" s="361">
        <v>300000</v>
      </c>
      <c r="H61" s="307">
        <f t="shared" si="5"/>
        <v>0</v>
      </c>
      <c r="I61" s="362"/>
    </row>
    <row r="62" spans="1:9" ht="15.95" customHeight="1" x14ac:dyDescent="0.15">
      <c r="A62" s="409"/>
      <c r="B62" s="429" t="s">
        <v>189</v>
      </c>
      <c r="C62" s="411"/>
      <c r="D62" s="369"/>
      <c r="E62" s="369"/>
      <c r="F62" s="366"/>
      <c r="G62" s="367"/>
      <c r="H62" s="367">
        <f>SUM(H54:H61)</f>
        <v>0</v>
      </c>
      <c r="I62" s="365"/>
    </row>
    <row r="63" spans="1:9" ht="15.95" customHeight="1" x14ac:dyDescent="0.15">
      <c r="A63" s="430"/>
      <c r="B63" s="429" t="s">
        <v>260</v>
      </c>
      <c r="C63" s="411"/>
      <c r="D63" s="369"/>
      <c r="E63" s="369"/>
      <c r="F63" s="431"/>
      <c r="G63" s="368"/>
      <c r="H63" s="413">
        <f>'단위공사별(집계)'!L9+'단위공사별(집계)'!I9</f>
        <v>0</v>
      </c>
      <c r="I63" s="369"/>
    </row>
    <row r="64" spans="1:9" ht="15.95" customHeight="1" x14ac:dyDescent="0.15">
      <c r="A64" s="430"/>
      <c r="B64" s="429" t="s">
        <v>95</v>
      </c>
      <c r="C64" s="411"/>
      <c r="D64" s="369"/>
      <c r="E64" s="369"/>
      <c r="F64" s="431"/>
      <c r="G64" s="433"/>
      <c r="H64" s="418">
        <f>SUM(H53,H62) * 0.05</f>
        <v>0</v>
      </c>
      <c r="I64" s="411"/>
    </row>
    <row r="65" spans="1:9" ht="15.95" customHeight="1" x14ac:dyDescent="0.15">
      <c r="A65" s="430"/>
      <c r="B65" s="429" t="s">
        <v>192</v>
      </c>
      <c r="C65" s="411"/>
      <c r="D65" s="369"/>
      <c r="E65" s="369"/>
      <c r="F65" s="431"/>
      <c r="G65" s="433"/>
      <c r="H65" s="418">
        <f>SUM(H53,H62) * 0.1</f>
        <v>0</v>
      </c>
      <c r="I65" s="411"/>
    </row>
    <row r="66" spans="1:9" ht="15.95" customHeight="1" x14ac:dyDescent="0.15">
      <c r="A66" s="430"/>
      <c r="B66" s="429" t="s">
        <v>193</v>
      </c>
      <c r="C66" s="411"/>
      <c r="D66" s="369"/>
      <c r="E66" s="369"/>
      <c r="F66" s="431"/>
      <c r="G66" s="368"/>
      <c r="H66" s="367">
        <f>H53+H62+H63+H64+H65</f>
        <v>0</v>
      </c>
      <c r="I66" s="369"/>
    </row>
    <row r="67" spans="1:9" x14ac:dyDescent="0.15">
      <c r="A67" s="258"/>
    </row>
  </sheetData>
  <mergeCells count="3">
    <mergeCell ref="A2:B2"/>
    <mergeCell ref="A3:A52"/>
    <mergeCell ref="A54:A6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1" orientation="portrait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2026-08-11T09:00:59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E4D7-0324-4ECB-9CCC-108AC2C5D848}">
  <sheetPr>
    <tabColor rgb="FF00B050"/>
    <pageSetUpPr fitToPage="1"/>
  </sheetPr>
  <dimension ref="A1:I67"/>
  <sheetViews>
    <sheetView zoomScale="90" zoomScaleNormal="90" workbookViewId="0">
      <pane xSplit="2" ySplit="2" topLeftCell="C30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3.5" x14ac:dyDescent="0.15"/>
  <cols>
    <col min="1" max="1" width="5" style="249" customWidth="1"/>
    <col min="2" max="2" width="17.875" style="249" bestFit="1" customWidth="1"/>
    <col min="3" max="3" width="23.625" style="249" customWidth="1"/>
    <col min="4" max="4" width="18.25" style="249" customWidth="1"/>
    <col min="5" max="5" width="5.25" style="249" bestFit="1" customWidth="1"/>
    <col min="6" max="6" width="9" style="434"/>
    <col min="7" max="7" width="11.875" style="287" customWidth="1"/>
    <col min="8" max="8" width="13.625" style="287" customWidth="1"/>
    <col min="9" max="9" width="12.75" style="249" customWidth="1"/>
    <col min="10" max="16384" width="9" style="249"/>
  </cols>
  <sheetData>
    <row r="1" spans="1:9" ht="22.5" customHeight="1" x14ac:dyDescent="0.15">
      <c r="B1" s="337" t="s">
        <v>194</v>
      </c>
      <c r="C1" s="435"/>
      <c r="F1" s="339"/>
      <c r="I1" s="249" t="s">
        <v>130</v>
      </c>
    </row>
    <row r="2" spans="1:9" s="258" customFormat="1" ht="16.5" customHeight="1" x14ac:dyDescent="0.15">
      <c r="A2" s="89" t="s">
        <v>131</v>
      </c>
      <c r="B2" s="340"/>
      <c r="C2" s="259" t="s">
        <v>132</v>
      </c>
      <c r="D2" s="250" t="s">
        <v>133</v>
      </c>
      <c r="E2" s="250" t="s">
        <v>50</v>
      </c>
      <c r="F2" s="437" t="s">
        <v>51</v>
      </c>
      <c r="G2" s="437" t="s">
        <v>134</v>
      </c>
      <c r="H2" s="437" t="s">
        <v>135</v>
      </c>
      <c r="I2" s="250" t="s">
        <v>136</v>
      </c>
    </row>
    <row r="3" spans="1:9" ht="15.95" customHeight="1" x14ac:dyDescent="0.15">
      <c r="A3" s="344" t="s">
        <v>137</v>
      </c>
      <c r="B3" s="345" t="s">
        <v>138</v>
      </c>
      <c r="C3" s="346" t="s">
        <v>277</v>
      </c>
      <c r="D3" s="438" t="s">
        <v>278</v>
      </c>
      <c r="E3" s="355" t="s">
        <v>279</v>
      </c>
      <c r="F3" s="356"/>
      <c r="G3" s="357">
        <v>1500</v>
      </c>
      <c r="H3" s="375"/>
      <c r="I3" s="376"/>
    </row>
    <row r="4" spans="1:9" ht="15.95" customHeight="1" x14ac:dyDescent="0.15">
      <c r="A4" s="439"/>
      <c r="B4" s="345"/>
      <c r="C4" s="346" t="s">
        <v>280</v>
      </c>
      <c r="D4" s="438" t="s">
        <v>278</v>
      </c>
      <c r="E4" s="355" t="s">
        <v>279</v>
      </c>
      <c r="F4" s="356"/>
      <c r="G4" s="357">
        <v>1500</v>
      </c>
      <c r="H4" s="297"/>
      <c r="I4" s="354"/>
    </row>
    <row r="5" spans="1:9" ht="15.95" customHeight="1" x14ac:dyDescent="0.15">
      <c r="A5" s="439"/>
      <c r="B5" s="345"/>
      <c r="C5" s="346" t="s">
        <v>281</v>
      </c>
      <c r="D5" s="438" t="s">
        <v>278</v>
      </c>
      <c r="E5" s="355" t="s">
        <v>279</v>
      </c>
      <c r="F5" s="356"/>
      <c r="G5" s="357">
        <v>1500</v>
      </c>
      <c r="H5" s="297"/>
      <c r="I5" s="354"/>
    </row>
    <row r="6" spans="1:9" ht="15.95" customHeight="1" x14ac:dyDescent="0.15">
      <c r="A6" s="439"/>
      <c r="B6" s="345"/>
      <c r="C6" s="346"/>
      <c r="D6" s="346"/>
      <c r="E6" s="346"/>
      <c r="F6" s="452"/>
      <c r="G6" s="357"/>
      <c r="H6" s="297"/>
      <c r="I6" s="354"/>
    </row>
    <row r="7" spans="1:9" ht="15.95" customHeight="1" x14ac:dyDescent="0.15">
      <c r="A7" s="439"/>
      <c r="B7" s="345"/>
      <c r="C7" s="346"/>
      <c r="D7" s="346"/>
      <c r="E7" s="346"/>
      <c r="F7" s="452"/>
      <c r="G7" s="357"/>
      <c r="H7" s="297"/>
      <c r="I7" s="354"/>
    </row>
    <row r="8" spans="1:9" ht="15.95" customHeight="1" x14ac:dyDescent="0.15">
      <c r="A8" s="439"/>
      <c r="B8" s="345"/>
      <c r="C8" s="346"/>
      <c r="D8" s="346"/>
      <c r="E8" s="346"/>
      <c r="F8" s="452"/>
      <c r="G8" s="357"/>
      <c r="H8" s="297"/>
      <c r="I8" s="354"/>
    </row>
    <row r="9" spans="1:9" ht="15.95" customHeight="1" x14ac:dyDescent="0.15">
      <c r="A9" s="439"/>
      <c r="B9" s="345"/>
      <c r="C9" s="358" t="s">
        <v>142</v>
      </c>
      <c r="D9" s="378"/>
      <c r="E9" s="379"/>
      <c r="F9" s="453"/>
      <c r="G9" s="381"/>
      <c r="H9" s="382"/>
      <c r="I9" s="383"/>
    </row>
    <row r="10" spans="1:9" ht="15.95" customHeight="1" x14ac:dyDescent="0.15">
      <c r="A10" s="439"/>
      <c r="B10" s="363"/>
      <c r="C10" s="390"/>
      <c r="D10" s="390"/>
      <c r="E10" s="390"/>
      <c r="F10" s="454"/>
      <c r="G10" s="388"/>
      <c r="H10" s="389">
        <f>SUM(H3:H9)</f>
        <v>0</v>
      </c>
      <c r="I10" s="390"/>
    </row>
    <row r="11" spans="1:9" ht="15.95" customHeight="1" x14ac:dyDescent="0.15">
      <c r="A11" s="439"/>
      <c r="B11" s="345" t="s">
        <v>201</v>
      </c>
      <c r="C11" s="347"/>
      <c r="D11" s="347"/>
      <c r="E11" s="347"/>
      <c r="F11" s="455"/>
      <c r="G11" s="350"/>
      <c r="H11" s="351"/>
      <c r="I11" s="352"/>
    </row>
    <row r="12" spans="1:9" ht="15.95" customHeight="1" x14ac:dyDescent="0.15">
      <c r="A12" s="439"/>
      <c r="B12" s="345" t="s">
        <v>203</v>
      </c>
      <c r="C12" s="346"/>
      <c r="D12" s="346"/>
      <c r="E12" s="346"/>
      <c r="F12" s="452"/>
      <c r="G12" s="357"/>
      <c r="H12" s="297"/>
      <c r="I12" s="354"/>
    </row>
    <row r="13" spans="1:9" ht="15.95" customHeight="1" x14ac:dyDescent="0.15">
      <c r="A13" s="439"/>
      <c r="B13" s="345"/>
      <c r="C13" s="346"/>
      <c r="D13" s="346"/>
      <c r="E13" s="346"/>
      <c r="F13" s="452"/>
      <c r="G13" s="357"/>
      <c r="H13" s="297"/>
      <c r="I13" s="354"/>
    </row>
    <row r="14" spans="1:9" ht="15.95" customHeight="1" x14ac:dyDescent="0.15">
      <c r="A14" s="439"/>
      <c r="B14" s="345"/>
      <c r="C14" s="346"/>
      <c r="D14" s="346"/>
      <c r="E14" s="346"/>
      <c r="F14" s="452"/>
      <c r="G14" s="357"/>
      <c r="H14" s="297"/>
      <c r="I14" s="354"/>
    </row>
    <row r="15" spans="1:9" ht="15.95" customHeight="1" x14ac:dyDescent="0.15">
      <c r="A15" s="439"/>
      <c r="B15" s="345"/>
      <c r="C15" s="358" t="s">
        <v>142</v>
      </c>
      <c r="D15" s="358"/>
      <c r="E15" s="358"/>
      <c r="F15" s="456"/>
      <c r="G15" s="361"/>
      <c r="H15" s="297"/>
      <c r="I15" s="362"/>
    </row>
    <row r="16" spans="1:9" ht="15.95" customHeight="1" x14ac:dyDescent="0.15">
      <c r="A16" s="439"/>
      <c r="B16" s="363"/>
      <c r="C16" s="364"/>
      <c r="D16" s="365"/>
      <c r="E16" s="365"/>
      <c r="F16" s="457"/>
      <c r="G16" s="367"/>
      <c r="H16" s="368">
        <f>SUM(H11:H15)</f>
        <v>0</v>
      </c>
      <c r="I16" s="369"/>
    </row>
    <row r="17" spans="1:9" ht="15.95" customHeight="1" x14ac:dyDescent="0.15">
      <c r="A17" s="439"/>
      <c r="B17" s="391" t="s">
        <v>204</v>
      </c>
      <c r="C17" s="371"/>
      <c r="D17" s="371"/>
      <c r="E17" s="355"/>
      <c r="F17" s="356"/>
      <c r="G17" s="374"/>
      <c r="H17" s="375">
        <f>IF(F17=0,G17,G17*F17)</f>
        <v>0</v>
      </c>
      <c r="I17" s="376"/>
    </row>
    <row r="18" spans="1:9" ht="15.95" customHeight="1" x14ac:dyDescent="0.15">
      <c r="A18" s="439"/>
      <c r="B18" s="345" t="s">
        <v>207</v>
      </c>
      <c r="C18" s="346"/>
      <c r="D18" s="346"/>
      <c r="E18" s="348"/>
      <c r="F18" s="356"/>
      <c r="G18" s="357"/>
      <c r="H18" s="297">
        <f>IF(F18=0,G18,G18*F18)</f>
        <v>0</v>
      </c>
      <c r="I18" s="354"/>
    </row>
    <row r="19" spans="1:9" ht="15.95" customHeight="1" x14ac:dyDescent="0.15">
      <c r="A19" s="439"/>
      <c r="B19" s="345"/>
      <c r="C19" s="392"/>
      <c r="D19" s="346"/>
      <c r="E19" s="355"/>
      <c r="F19" s="356"/>
      <c r="G19" s="399"/>
      <c r="H19" s="297">
        <f t="shared" ref="H19:H21" si="0">IF(F19=0,G19,G19*F19)</f>
        <v>0</v>
      </c>
      <c r="I19" s="354"/>
    </row>
    <row r="20" spans="1:9" ht="15.95" customHeight="1" x14ac:dyDescent="0.15">
      <c r="A20" s="439"/>
      <c r="B20" s="345"/>
      <c r="C20" s="346"/>
      <c r="D20" s="346"/>
      <c r="E20" s="348"/>
      <c r="F20" s="356"/>
      <c r="G20" s="357"/>
      <c r="H20" s="297">
        <f t="shared" si="0"/>
        <v>0</v>
      </c>
      <c r="I20" s="354"/>
    </row>
    <row r="21" spans="1:9" ht="15.95" customHeight="1" x14ac:dyDescent="0.15">
      <c r="A21" s="439"/>
      <c r="B21" s="345"/>
      <c r="C21" s="346"/>
      <c r="D21" s="346"/>
      <c r="E21" s="348"/>
      <c r="F21" s="356"/>
      <c r="G21" s="357"/>
      <c r="H21" s="297">
        <f t="shared" si="0"/>
        <v>0</v>
      </c>
      <c r="I21" s="354"/>
    </row>
    <row r="22" spans="1:9" ht="15.95" customHeight="1" x14ac:dyDescent="0.15">
      <c r="A22" s="439"/>
      <c r="B22" s="345"/>
      <c r="C22" s="346"/>
      <c r="D22" s="346"/>
      <c r="E22" s="348"/>
      <c r="F22" s="349"/>
      <c r="G22" s="357"/>
      <c r="H22" s="297"/>
      <c r="I22" s="354"/>
    </row>
    <row r="23" spans="1:9" ht="15.95" customHeight="1" x14ac:dyDescent="0.15">
      <c r="A23" s="439"/>
      <c r="B23" s="345"/>
      <c r="C23" s="346"/>
      <c r="D23" s="346"/>
      <c r="E23" s="346"/>
      <c r="F23" s="452"/>
      <c r="G23" s="357"/>
      <c r="H23" s="297"/>
      <c r="I23" s="354"/>
    </row>
    <row r="24" spans="1:9" ht="15.95" customHeight="1" x14ac:dyDescent="0.15">
      <c r="A24" s="439"/>
      <c r="B24" s="345"/>
      <c r="C24" s="346"/>
      <c r="D24" s="346"/>
      <c r="E24" s="346"/>
      <c r="F24" s="452"/>
      <c r="G24" s="357"/>
      <c r="H24" s="297"/>
      <c r="I24" s="354"/>
    </row>
    <row r="25" spans="1:9" ht="15.95" customHeight="1" x14ac:dyDescent="0.15">
      <c r="A25" s="439"/>
      <c r="B25" s="345"/>
      <c r="C25" s="346"/>
      <c r="D25" s="346"/>
      <c r="E25" s="346"/>
      <c r="F25" s="452"/>
      <c r="G25" s="357"/>
      <c r="H25" s="297"/>
      <c r="I25" s="354"/>
    </row>
    <row r="26" spans="1:9" ht="15.95" customHeight="1" x14ac:dyDescent="0.15">
      <c r="A26" s="439"/>
      <c r="B26" s="345"/>
      <c r="C26" s="346"/>
      <c r="D26" s="346"/>
      <c r="E26" s="346"/>
      <c r="F26" s="452"/>
      <c r="G26" s="357"/>
      <c r="H26" s="297"/>
      <c r="I26" s="354"/>
    </row>
    <row r="27" spans="1:9" ht="15.95" customHeight="1" x14ac:dyDescent="0.15">
      <c r="A27" s="439"/>
      <c r="B27" s="345"/>
      <c r="C27" s="346"/>
      <c r="D27" s="346"/>
      <c r="E27" s="346"/>
      <c r="F27" s="452"/>
      <c r="G27" s="357"/>
      <c r="H27" s="297"/>
      <c r="I27" s="354"/>
    </row>
    <row r="28" spans="1:9" ht="15.95" customHeight="1" x14ac:dyDescent="0.15">
      <c r="A28" s="439"/>
      <c r="B28" s="345"/>
      <c r="C28" s="346"/>
      <c r="D28" s="346"/>
      <c r="E28" s="346"/>
      <c r="F28" s="452"/>
      <c r="G28" s="357"/>
      <c r="H28" s="297"/>
      <c r="I28" s="354"/>
    </row>
    <row r="29" spans="1:9" ht="15.95" customHeight="1" x14ac:dyDescent="0.15">
      <c r="A29" s="439"/>
      <c r="B29" s="345"/>
      <c r="C29" s="346"/>
      <c r="D29" s="346"/>
      <c r="E29" s="346"/>
      <c r="F29" s="452"/>
      <c r="G29" s="357"/>
      <c r="H29" s="297"/>
      <c r="I29" s="354"/>
    </row>
    <row r="30" spans="1:9" ht="15.95" customHeight="1" x14ac:dyDescent="0.15">
      <c r="A30" s="439"/>
      <c r="B30" s="345"/>
      <c r="C30" s="346"/>
      <c r="D30" s="346"/>
      <c r="E30" s="346"/>
      <c r="F30" s="452"/>
      <c r="G30" s="357"/>
      <c r="H30" s="297"/>
      <c r="I30" s="354"/>
    </row>
    <row r="31" spans="1:9" ht="15.95" customHeight="1" x14ac:dyDescent="0.15">
      <c r="A31" s="439"/>
      <c r="B31" s="345"/>
      <c r="C31" s="346" t="s">
        <v>241</v>
      </c>
      <c r="D31" s="346"/>
      <c r="E31" s="348" t="s">
        <v>156</v>
      </c>
      <c r="F31" s="356"/>
      <c r="G31" s="357"/>
      <c r="H31" s="297">
        <f>IF(F31=0,G31,G31*F31)</f>
        <v>0</v>
      </c>
      <c r="I31" s="354"/>
    </row>
    <row r="32" spans="1:9" ht="15.95" customHeight="1" x14ac:dyDescent="0.15">
      <c r="A32" s="439"/>
      <c r="B32" s="345"/>
      <c r="C32" s="358" t="s">
        <v>142</v>
      </c>
      <c r="D32" s="358"/>
      <c r="E32" s="359" t="s">
        <v>156</v>
      </c>
      <c r="F32" s="360"/>
      <c r="G32" s="361"/>
      <c r="H32" s="307">
        <f>F32*G32</f>
        <v>0</v>
      </c>
      <c r="I32" s="362"/>
    </row>
    <row r="33" spans="1:9" ht="15.95" customHeight="1" x14ac:dyDescent="0.15">
      <c r="A33" s="439"/>
      <c r="B33" s="363"/>
      <c r="C33" s="364"/>
      <c r="D33" s="365"/>
      <c r="E33" s="365"/>
      <c r="F33" s="458"/>
      <c r="G33" s="367"/>
      <c r="H33" s="368">
        <f>SUM(H17:H32)</f>
        <v>0</v>
      </c>
      <c r="I33" s="369"/>
    </row>
    <row r="34" spans="1:9" ht="15.95" customHeight="1" x14ac:dyDescent="0.15">
      <c r="A34" s="439"/>
      <c r="B34" s="391" t="s">
        <v>63</v>
      </c>
      <c r="C34" s="371"/>
      <c r="D34" s="371"/>
      <c r="E34" s="355"/>
      <c r="F34" s="356"/>
      <c r="G34" s="374"/>
      <c r="H34" s="375">
        <f>IF(F34=0,G34,G34*F34)</f>
        <v>0</v>
      </c>
      <c r="I34" s="376"/>
    </row>
    <row r="35" spans="1:9" ht="15.95" customHeight="1" x14ac:dyDescent="0.15">
      <c r="A35" s="439"/>
      <c r="B35" s="345"/>
      <c r="C35" s="347"/>
      <c r="D35" s="347"/>
      <c r="E35" s="348"/>
      <c r="F35" s="356"/>
      <c r="G35" s="350"/>
      <c r="H35" s="297">
        <f>IF(F35=0,G35,G35*F35)</f>
        <v>0</v>
      </c>
      <c r="I35" s="352"/>
    </row>
    <row r="36" spans="1:9" ht="15.95" customHeight="1" x14ac:dyDescent="0.15">
      <c r="A36" s="439"/>
      <c r="B36" s="345"/>
      <c r="C36" s="347"/>
      <c r="D36" s="347"/>
      <c r="E36" s="348"/>
      <c r="F36" s="356"/>
      <c r="G36" s="350"/>
      <c r="H36" s="297"/>
      <c r="I36" s="352"/>
    </row>
    <row r="37" spans="1:9" ht="15.95" customHeight="1" x14ac:dyDescent="0.15">
      <c r="A37" s="439"/>
      <c r="B37" s="345"/>
      <c r="C37" s="347"/>
      <c r="D37" s="347"/>
      <c r="E37" s="348"/>
      <c r="F37" s="356"/>
      <c r="G37" s="350"/>
      <c r="H37" s="351"/>
      <c r="I37" s="352"/>
    </row>
    <row r="38" spans="1:9" ht="15.95" customHeight="1" x14ac:dyDescent="0.15">
      <c r="A38" s="439"/>
      <c r="B38" s="345"/>
      <c r="C38" s="347"/>
      <c r="D38" s="347"/>
      <c r="E38" s="348"/>
      <c r="F38" s="356"/>
      <c r="G38" s="350"/>
      <c r="H38" s="351"/>
      <c r="I38" s="352"/>
    </row>
    <row r="39" spans="1:9" ht="15.95" customHeight="1" x14ac:dyDescent="0.15">
      <c r="A39" s="439"/>
      <c r="B39" s="345"/>
      <c r="C39" s="347"/>
      <c r="D39" s="347"/>
      <c r="E39" s="348"/>
      <c r="F39" s="349"/>
      <c r="G39" s="350"/>
      <c r="H39" s="351"/>
      <c r="I39" s="352"/>
    </row>
    <row r="40" spans="1:9" ht="15.95" customHeight="1" x14ac:dyDescent="0.15">
      <c r="A40" s="439"/>
      <c r="B40" s="345"/>
      <c r="C40" s="347"/>
      <c r="D40" s="347"/>
      <c r="E40" s="347"/>
      <c r="F40" s="455"/>
      <c r="G40" s="350"/>
      <c r="H40" s="351"/>
      <c r="I40" s="352"/>
    </row>
    <row r="41" spans="1:9" ht="15.95" customHeight="1" x14ac:dyDescent="0.15">
      <c r="A41" s="439"/>
      <c r="B41" s="345"/>
      <c r="C41" s="347"/>
      <c r="D41" s="347"/>
      <c r="E41" s="347"/>
      <c r="F41" s="455"/>
      <c r="G41" s="350"/>
      <c r="H41" s="351"/>
      <c r="I41" s="352"/>
    </row>
    <row r="42" spans="1:9" ht="15.95" customHeight="1" x14ac:dyDescent="0.15">
      <c r="A42" s="439"/>
      <c r="B42" s="345"/>
      <c r="C42" s="347"/>
      <c r="D42" s="347"/>
      <c r="E42" s="347"/>
      <c r="F42" s="455"/>
      <c r="G42" s="350"/>
      <c r="H42" s="351"/>
      <c r="I42" s="352"/>
    </row>
    <row r="43" spans="1:9" ht="15.95" customHeight="1" x14ac:dyDescent="0.15">
      <c r="A43" s="439"/>
      <c r="B43" s="345"/>
      <c r="C43" s="347"/>
      <c r="D43" s="347"/>
      <c r="E43" s="347"/>
      <c r="F43" s="455"/>
      <c r="G43" s="350"/>
      <c r="H43" s="351"/>
      <c r="I43" s="352"/>
    </row>
    <row r="44" spans="1:9" ht="15.95" customHeight="1" x14ac:dyDescent="0.15">
      <c r="A44" s="439"/>
      <c r="B44" s="345"/>
      <c r="C44" s="347"/>
      <c r="D44" s="347"/>
      <c r="E44" s="347"/>
      <c r="F44" s="455"/>
      <c r="G44" s="350"/>
      <c r="H44" s="351"/>
      <c r="I44" s="352"/>
    </row>
    <row r="45" spans="1:9" ht="15.95" customHeight="1" x14ac:dyDescent="0.15">
      <c r="A45" s="439"/>
      <c r="B45" s="345"/>
      <c r="C45" s="347"/>
      <c r="D45" s="347"/>
      <c r="E45" s="347"/>
      <c r="F45" s="455"/>
      <c r="G45" s="350"/>
      <c r="H45" s="351"/>
      <c r="I45" s="352"/>
    </row>
    <row r="46" spans="1:9" ht="15.95" customHeight="1" x14ac:dyDescent="0.15">
      <c r="A46" s="439"/>
      <c r="B46" s="345"/>
      <c r="C46" s="346"/>
      <c r="D46" s="346"/>
      <c r="E46" s="346"/>
      <c r="F46" s="452"/>
      <c r="G46" s="357"/>
      <c r="H46" s="297"/>
      <c r="I46" s="354"/>
    </row>
    <row r="47" spans="1:9" ht="15.95" customHeight="1" x14ac:dyDescent="0.15">
      <c r="A47" s="439"/>
      <c r="B47" s="345"/>
      <c r="C47" s="346"/>
      <c r="D47" s="346"/>
      <c r="E47" s="346"/>
      <c r="F47" s="452"/>
      <c r="G47" s="357"/>
      <c r="H47" s="297"/>
      <c r="I47" s="354"/>
    </row>
    <row r="48" spans="1:9" ht="15.95" customHeight="1" x14ac:dyDescent="0.15">
      <c r="A48" s="439"/>
      <c r="B48" s="345"/>
      <c r="C48" s="346"/>
      <c r="D48" s="346"/>
      <c r="E48" s="346"/>
      <c r="F48" s="452"/>
      <c r="G48" s="357"/>
      <c r="H48" s="297"/>
      <c r="I48" s="354"/>
    </row>
    <row r="49" spans="1:9" ht="15.95" customHeight="1" x14ac:dyDescent="0.15">
      <c r="A49" s="439"/>
      <c r="B49" s="345"/>
      <c r="C49" s="346"/>
      <c r="D49" s="346"/>
      <c r="E49" s="346"/>
      <c r="F49" s="452"/>
      <c r="G49" s="357"/>
      <c r="H49" s="297"/>
      <c r="I49" s="354"/>
    </row>
    <row r="50" spans="1:9" ht="15.95" customHeight="1" x14ac:dyDescent="0.15">
      <c r="A50" s="439"/>
      <c r="B50" s="345"/>
      <c r="C50" s="346"/>
      <c r="D50" s="346"/>
      <c r="E50" s="348"/>
      <c r="F50" s="356"/>
      <c r="G50" s="357"/>
      <c r="H50" s="297"/>
      <c r="I50" s="354"/>
    </row>
    <row r="51" spans="1:9" ht="15.95" customHeight="1" x14ac:dyDescent="0.15">
      <c r="A51" s="439"/>
      <c r="B51" s="345"/>
      <c r="C51" s="358" t="s">
        <v>142</v>
      </c>
      <c r="D51" s="358"/>
      <c r="E51" s="359" t="s">
        <v>156</v>
      </c>
      <c r="F51" s="360"/>
      <c r="G51" s="361"/>
      <c r="H51" s="307">
        <f>F51*G51</f>
        <v>0</v>
      </c>
      <c r="I51" s="362"/>
    </row>
    <row r="52" spans="1:9" ht="15.95" customHeight="1" x14ac:dyDescent="0.15">
      <c r="A52" s="439"/>
      <c r="B52" s="363"/>
      <c r="C52" s="364"/>
      <c r="D52" s="365"/>
      <c r="E52" s="365"/>
      <c r="F52" s="458"/>
      <c r="G52" s="367"/>
      <c r="H52" s="368">
        <f>SUM(H34:H51)</f>
        <v>0</v>
      </c>
      <c r="I52" s="369"/>
    </row>
    <row r="53" spans="1:9" ht="15.95" customHeight="1" x14ac:dyDescent="0.15">
      <c r="A53" s="409"/>
      <c r="B53" s="410" t="s">
        <v>180</v>
      </c>
      <c r="C53" s="411"/>
      <c r="D53" s="369"/>
      <c r="E53" s="369"/>
      <c r="F53" s="437"/>
      <c r="G53" s="413"/>
      <c r="H53" s="368">
        <f>SUM(H52,H33,H16,H10)</f>
        <v>0</v>
      </c>
      <c r="I53" s="369"/>
    </row>
    <row r="54" spans="1:9" ht="15.95" customHeight="1" x14ac:dyDescent="0.15">
      <c r="A54" s="448" t="s">
        <v>181</v>
      </c>
      <c r="B54" s="415" t="s">
        <v>69</v>
      </c>
      <c r="C54" s="411"/>
      <c r="D54" s="369"/>
      <c r="E54" s="430" t="s">
        <v>70</v>
      </c>
      <c r="F54" s="417"/>
      <c r="G54" s="418">
        <v>300000</v>
      </c>
      <c r="H54" s="419">
        <f>F54*G54</f>
        <v>0</v>
      </c>
      <c r="I54" s="369"/>
    </row>
    <row r="55" spans="1:9" ht="15.95" customHeight="1" x14ac:dyDescent="0.15">
      <c r="A55" s="439"/>
      <c r="B55" s="421" t="s">
        <v>253</v>
      </c>
      <c r="C55" s="422"/>
      <c r="D55" s="376"/>
      <c r="E55" s="443" t="s">
        <v>185</v>
      </c>
      <c r="F55" s="373"/>
      <c r="G55" s="374">
        <v>350000</v>
      </c>
      <c r="H55" s="297">
        <f t="shared" ref="H55:H61" si="1">F55*G55</f>
        <v>0</v>
      </c>
      <c r="I55" s="376"/>
    </row>
    <row r="56" spans="1:9" ht="15.95" customHeight="1" x14ac:dyDescent="0.15">
      <c r="A56" s="439"/>
      <c r="B56" s="449" t="s">
        <v>254</v>
      </c>
      <c r="C56" s="425"/>
      <c r="D56" s="354"/>
      <c r="E56" s="444" t="s">
        <v>185</v>
      </c>
      <c r="F56" s="356"/>
      <c r="G56" s="357">
        <v>300000</v>
      </c>
      <c r="H56" s="297">
        <f t="shared" si="1"/>
        <v>0</v>
      </c>
      <c r="I56" s="354"/>
    </row>
    <row r="57" spans="1:9" ht="15.95" customHeight="1" x14ac:dyDescent="0.15">
      <c r="A57" s="439"/>
      <c r="B57" s="424" t="s">
        <v>255</v>
      </c>
      <c r="C57" s="425"/>
      <c r="D57" s="354"/>
      <c r="E57" s="444" t="s">
        <v>185</v>
      </c>
      <c r="F57" s="356"/>
      <c r="G57" s="357">
        <v>300000</v>
      </c>
      <c r="H57" s="297">
        <f t="shared" si="1"/>
        <v>0</v>
      </c>
      <c r="I57" s="354"/>
    </row>
    <row r="58" spans="1:9" ht="15.95" customHeight="1" x14ac:dyDescent="0.15">
      <c r="A58" s="439"/>
      <c r="B58" s="424" t="s">
        <v>256</v>
      </c>
      <c r="C58" s="425"/>
      <c r="D58" s="354"/>
      <c r="E58" s="444" t="s">
        <v>185</v>
      </c>
      <c r="F58" s="356"/>
      <c r="G58" s="357">
        <v>300000</v>
      </c>
      <c r="H58" s="297">
        <f t="shared" si="1"/>
        <v>0</v>
      </c>
      <c r="I58" s="354"/>
    </row>
    <row r="59" spans="1:9" ht="15.95" customHeight="1" x14ac:dyDescent="0.15">
      <c r="A59" s="439"/>
      <c r="B59" s="424" t="s">
        <v>257</v>
      </c>
      <c r="C59" s="425"/>
      <c r="D59" s="354"/>
      <c r="E59" s="444" t="s">
        <v>185</v>
      </c>
      <c r="F59" s="356"/>
      <c r="G59" s="357">
        <v>300000</v>
      </c>
      <c r="H59" s="297">
        <f t="shared" si="1"/>
        <v>0</v>
      </c>
      <c r="I59" s="354"/>
    </row>
    <row r="60" spans="1:9" ht="15.95" customHeight="1" x14ac:dyDescent="0.15">
      <c r="A60" s="439"/>
      <c r="B60" s="424" t="s">
        <v>258</v>
      </c>
      <c r="C60" s="425"/>
      <c r="D60" s="354"/>
      <c r="E60" s="444" t="s">
        <v>185</v>
      </c>
      <c r="F60" s="356"/>
      <c r="G60" s="357">
        <v>300000</v>
      </c>
      <c r="H60" s="297">
        <f t="shared" si="1"/>
        <v>0</v>
      </c>
      <c r="I60" s="354"/>
    </row>
    <row r="61" spans="1:9" ht="15.95" customHeight="1" x14ac:dyDescent="0.15">
      <c r="A61" s="439"/>
      <c r="B61" s="426" t="s">
        <v>259</v>
      </c>
      <c r="C61" s="427"/>
      <c r="D61" s="362"/>
      <c r="E61" s="445" t="s">
        <v>185</v>
      </c>
      <c r="F61" s="360"/>
      <c r="G61" s="361">
        <v>300000</v>
      </c>
      <c r="H61" s="297">
        <f t="shared" si="1"/>
        <v>0</v>
      </c>
      <c r="I61" s="362"/>
    </row>
    <row r="62" spans="1:9" ht="15.95" customHeight="1" x14ac:dyDescent="0.15">
      <c r="A62" s="409"/>
      <c r="B62" s="429" t="s">
        <v>189</v>
      </c>
      <c r="C62" s="411"/>
      <c r="D62" s="369"/>
      <c r="E62" s="369"/>
      <c r="F62" s="458"/>
      <c r="G62" s="367"/>
      <c r="H62" s="367">
        <f>SUM(H54:H61)</f>
        <v>0</v>
      </c>
      <c r="I62" s="365"/>
    </row>
    <row r="63" spans="1:9" ht="15.95" customHeight="1" x14ac:dyDescent="0.15">
      <c r="A63" s="430"/>
      <c r="B63" s="429" t="s">
        <v>260</v>
      </c>
      <c r="C63" s="411"/>
      <c r="D63" s="369"/>
      <c r="E63" s="369"/>
      <c r="F63" s="343"/>
      <c r="G63" s="368"/>
      <c r="H63" s="413">
        <f>'단위공사별(집계)'!L10+'단위공사별(집계)'!I10</f>
        <v>0</v>
      </c>
      <c r="I63" s="369"/>
    </row>
    <row r="64" spans="1:9" ht="15.95" customHeight="1" x14ac:dyDescent="0.15">
      <c r="A64" s="430"/>
      <c r="B64" s="429" t="s">
        <v>95</v>
      </c>
      <c r="C64" s="411"/>
      <c r="D64" s="369"/>
      <c r="E64" s="369"/>
      <c r="F64" s="343"/>
      <c r="G64" s="433"/>
      <c r="H64" s="418">
        <f>(H53+H62)*0.05</f>
        <v>0</v>
      </c>
      <c r="I64" s="411"/>
    </row>
    <row r="65" spans="1:9" ht="15.95" customHeight="1" x14ac:dyDescent="0.15">
      <c r="A65" s="430"/>
      <c r="B65" s="429" t="s">
        <v>192</v>
      </c>
      <c r="C65" s="411"/>
      <c r="D65" s="369"/>
      <c r="E65" s="369"/>
      <c r="F65" s="343"/>
      <c r="G65" s="433"/>
      <c r="H65" s="418">
        <f>(H53+H62)*0.1</f>
        <v>0</v>
      </c>
      <c r="I65" s="411"/>
    </row>
    <row r="66" spans="1:9" ht="15.95" customHeight="1" x14ac:dyDescent="0.15">
      <c r="A66" s="430"/>
      <c r="B66" s="429" t="s">
        <v>193</v>
      </c>
      <c r="C66" s="411"/>
      <c r="D66" s="369"/>
      <c r="E66" s="369"/>
      <c r="F66" s="343"/>
      <c r="G66" s="368"/>
      <c r="H66" s="367">
        <f>H53+H62+H63+H64+H65</f>
        <v>0</v>
      </c>
      <c r="I66" s="369"/>
    </row>
    <row r="67" spans="1:9" x14ac:dyDescent="0.15">
      <c r="A67" s="258"/>
    </row>
  </sheetData>
  <mergeCells count="3">
    <mergeCell ref="A2:B2"/>
    <mergeCell ref="A3:A52"/>
    <mergeCell ref="A54:A6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2026-08-11T09:00:59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0588B-7688-41A1-B458-C245E1DC6D4F}">
  <sheetPr>
    <tabColor rgb="FF00B050"/>
    <pageSetUpPr fitToPage="1"/>
  </sheetPr>
  <dimension ref="A1:I67"/>
  <sheetViews>
    <sheetView zoomScale="85" workbookViewId="0">
      <pane xSplit="2" ySplit="2" topLeftCell="C15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3.5" x14ac:dyDescent="0.15"/>
  <cols>
    <col min="1" max="1" width="5" style="249" customWidth="1"/>
    <col min="2" max="2" width="17.875" style="249" bestFit="1" customWidth="1"/>
    <col min="3" max="3" width="23.625" style="249" customWidth="1"/>
    <col min="4" max="4" width="18.25" style="249" customWidth="1"/>
    <col min="5" max="5" width="5.25" style="249" bestFit="1" customWidth="1"/>
    <col min="6" max="6" width="9" style="287"/>
    <col min="7" max="7" width="11.875" style="287" customWidth="1"/>
    <col min="8" max="8" width="13.625" style="287" customWidth="1"/>
    <col min="9" max="9" width="12.75" style="249" customWidth="1"/>
    <col min="10" max="16384" width="9" style="249"/>
  </cols>
  <sheetData>
    <row r="1" spans="1:9" ht="22.5" customHeight="1" x14ac:dyDescent="0.15">
      <c r="B1" s="337" t="s">
        <v>194</v>
      </c>
      <c r="C1" s="435"/>
      <c r="F1" s="459"/>
      <c r="I1" s="249" t="s">
        <v>130</v>
      </c>
    </row>
    <row r="2" spans="1:9" s="258" customFormat="1" ht="16.5" customHeight="1" x14ac:dyDescent="0.15">
      <c r="A2" s="89" t="s">
        <v>131</v>
      </c>
      <c r="B2" s="340"/>
      <c r="C2" s="259" t="s">
        <v>132</v>
      </c>
      <c r="D2" s="250" t="s">
        <v>133</v>
      </c>
      <c r="E2" s="250" t="s">
        <v>50</v>
      </c>
      <c r="F2" s="437" t="s">
        <v>51</v>
      </c>
      <c r="G2" s="437" t="s">
        <v>134</v>
      </c>
      <c r="H2" s="437" t="s">
        <v>135</v>
      </c>
      <c r="I2" s="250" t="s">
        <v>136</v>
      </c>
    </row>
    <row r="3" spans="1:9" ht="15.95" customHeight="1" x14ac:dyDescent="0.15">
      <c r="A3" s="344" t="s">
        <v>137</v>
      </c>
      <c r="B3" s="345" t="s">
        <v>138</v>
      </c>
      <c r="C3" s="346" t="s">
        <v>277</v>
      </c>
      <c r="D3" s="438" t="s">
        <v>278</v>
      </c>
      <c r="E3" s="355"/>
      <c r="F3" s="374"/>
      <c r="G3" s="374"/>
      <c r="H3" s="375"/>
      <c r="I3" s="376"/>
    </row>
    <row r="4" spans="1:9" ht="15.95" customHeight="1" x14ac:dyDescent="0.15">
      <c r="A4" s="439"/>
      <c r="B4" s="345"/>
      <c r="C4" s="346" t="s">
        <v>280</v>
      </c>
      <c r="D4" s="438" t="s">
        <v>278</v>
      </c>
      <c r="E4" s="355"/>
      <c r="F4" s="357"/>
      <c r="G4" s="357"/>
      <c r="H4" s="297"/>
      <c r="I4" s="354"/>
    </row>
    <row r="5" spans="1:9" ht="15.95" customHeight="1" x14ac:dyDescent="0.15">
      <c r="A5" s="439"/>
      <c r="B5" s="345"/>
      <c r="C5" s="346" t="s">
        <v>281</v>
      </c>
      <c r="D5" s="438" t="s">
        <v>278</v>
      </c>
      <c r="E5" s="355"/>
      <c r="F5" s="357"/>
      <c r="G5" s="357"/>
      <c r="H5" s="297"/>
      <c r="I5" s="354"/>
    </row>
    <row r="6" spans="1:9" ht="15.95" customHeight="1" x14ac:dyDescent="0.15">
      <c r="A6" s="439"/>
      <c r="B6" s="345"/>
      <c r="C6" s="346"/>
      <c r="D6" s="346"/>
      <c r="E6" s="355"/>
      <c r="F6" s="357"/>
      <c r="G6" s="357"/>
      <c r="H6" s="297"/>
      <c r="I6" s="354"/>
    </row>
    <row r="7" spans="1:9" ht="15.95" customHeight="1" x14ac:dyDescent="0.15">
      <c r="A7" s="439"/>
      <c r="B7" s="345"/>
      <c r="C7" s="346"/>
      <c r="D7" s="346"/>
      <c r="E7" s="346"/>
      <c r="F7" s="357"/>
      <c r="G7" s="357"/>
      <c r="H7" s="297"/>
      <c r="I7" s="354"/>
    </row>
    <row r="8" spans="1:9" ht="15.95" customHeight="1" x14ac:dyDescent="0.15">
      <c r="A8" s="439"/>
      <c r="B8" s="345"/>
      <c r="C8" s="346"/>
      <c r="D8" s="346"/>
      <c r="E8" s="346"/>
      <c r="F8" s="357"/>
      <c r="G8" s="357"/>
      <c r="H8" s="297"/>
      <c r="I8" s="354"/>
    </row>
    <row r="9" spans="1:9" ht="15.95" customHeight="1" x14ac:dyDescent="0.15">
      <c r="A9" s="439"/>
      <c r="B9" s="345"/>
      <c r="C9" s="358" t="s">
        <v>142</v>
      </c>
      <c r="D9" s="378"/>
      <c r="E9" s="379"/>
      <c r="F9" s="380"/>
      <c r="G9" s="381"/>
      <c r="H9" s="382"/>
      <c r="I9" s="383"/>
    </row>
    <row r="10" spans="1:9" ht="15.95" customHeight="1" x14ac:dyDescent="0.15">
      <c r="A10" s="439"/>
      <c r="B10" s="363"/>
      <c r="C10" s="390"/>
      <c r="D10" s="390"/>
      <c r="E10" s="390"/>
      <c r="F10" s="388"/>
      <c r="G10" s="388"/>
      <c r="H10" s="389">
        <f>SUM(H3:H9)</f>
        <v>0</v>
      </c>
      <c r="I10" s="390"/>
    </row>
    <row r="11" spans="1:9" ht="15.95" customHeight="1" x14ac:dyDescent="0.15">
      <c r="A11" s="439"/>
      <c r="B11" s="345" t="s">
        <v>201</v>
      </c>
      <c r="C11" s="347"/>
      <c r="D11" s="347"/>
      <c r="E11" s="347"/>
      <c r="F11" s="350"/>
      <c r="G11" s="350"/>
      <c r="H11" s="351"/>
      <c r="I11" s="352"/>
    </row>
    <row r="12" spans="1:9" ht="15.95" customHeight="1" x14ac:dyDescent="0.15">
      <c r="A12" s="439"/>
      <c r="B12" s="345" t="s">
        <v>203</v>
      </c>
      <c r="C12" s="346"/>
      <c r="D12" s="346"/>
      <c r="E12" s="346"/>
      <c r="F12" s="357"/>
      <c r="G12" s="357"/>
      <c r="H12" s="297"/>
      <c r="I12" s="354"/>
    </row>
    <row r="13" spans="1:9" ht="15.95" customHeight="1" x14ac:dyDescent="0.15">
      <c r="A13" s="439"/>
      <c r="B13" s="345"/>
      <c r="C13" s="346"/>
      <c r="D13" s="346"/>
      <c r="E13" s="346"/>
      <c r="F13" s="357"/>
      <c r="G13" s="357"/>
      <c r="H13" s="297"/>
      <c r="I13" s="354"/>
    </row>
    <row r="14" spans="1:9" ht="15.95" customHeight="1" x14ac:dyDescent="0.15">
      <c r="A14" s="439"/>
      <c r="B14" s="345"/>
      <c r="C14" s="346"/>
      <c r="D14" s="346"/>
      <c r="E14" s="346"/>
      <c r="F14" s="357"/>
      <c r="G14" s="357"/>
      <c r="H14" s="297"/>
      <c r="I14" s="354"/>
    </row>
    <row r="15" spans="1:9" ht="15.95" customHeight="1" x14ac:dyDescent="0.15">
      <c r="A15" s="439"/>
      <c r="B15" s="345"/>
      <c r="C15" s="358" t="s">
        <v>142</v>
      </c>
      <c r="D15" s="358"/>
      <c r="E15" s="358"/>
      <c r="F15" s="361"/>
      <c r="G15" s="361"/>
      <c r="H15" s="297"/>
      <c r="I15" s="362"/>
    </row>
    <row r="16" spans="1:9" ht="15.95" customHeight="1" x14ac:dyDescent="0.15">
      <c r="A16" s="439"/>
      <c r="B16" s="363"/>
      <c r="C16" s="364"/>
      <c r="D16" s="365"/>
      <c r="E16" s="365"/>
      <c r="F16" s="460"/>
      <c r="G16" s="367"/>
      <c r="H16" s="368">
        <f>SUM(H11:H15)</f>
        <v>0</v>
      </c>
      <c r="I16" s="369"/>
    </row>
    <row r="17" spans="1:9" ht="15.95" customHeight="1" x14ac:dyDescent="0.15">
      <c r="A17" s="439"/>
      <c r="B17" s="391" t="s">
        <v>204</v>
      </c>
      <c r="C17" s="371"/>
      <c r="D17" s="371"/>
      <c r="E17" s="355"/>
      <c r="F17" s="356"/>
      <c r="G17" s="374"/>
      <c r="H17" s="375"/>
      <c r="I17" s="376"/>
    </row>
    <row r="18" spans="1:9" ht="15.95" customHeight="1" x14ac:dyDescent="0.15">
      <c r="A18" s="439"/>
      <c r="B18" s="345" t="s">
        <v>207</v>
      </c>
      <c r="C18" s="346"/>
      <c r="D18" s="346"/>
      <c r="E18" s="346"/>
      <c r="F18" s="357"/>
      <c r="G18" s="357"/>
      <c r="H18" s="297"/>
      <c r="I18" s="354"/>
    </row>
    <row r="19" spans="1:9" ht="15.95" customHeight="1" x14ac:dyDescent="0.15">
      <c r="A19" s="439"/>
      <c r="B19" s="345"/>
      <c r="C19" s="346"/>
      <c r="D19" s="346"/>
      <c r="E19" s="346"/>
      <c r="F19" s="357"/>
      <c r="G19" s="357"/>
      <c r="H19" s="297"/>
      <c r="I19" s="354"/>
    </row>
    <row r="20" spans="1:9" ht="15.95" customHeight="1" x14ac:dyDescent="0.15">
      <c r="A20" s="439"/>
      <c r="B20" s="345"/>
      <c r="C20" s="346"/>
      <c r="D20" s="346"/>
      <c r="E20" s="346"/>
      <c r="F20" s="357"/>
      <c r="G20" s="357"/>
      <c r="H20" s="297"/>
      <c r="I20" s="354"/>
    </row>
    <row r="21" spans="1:9" ht="15.95" customHeight="1" x14ac:dyDescent="0.15">
      <c r="A21" s="439"/>
      <c r="B21" s="345"/>
      <c r="C21" s="346"/>
      <c r="D21" s="346"/>
      <c r="E21" s="346"/>
      <c r="F21" s="357"/>
      <c r="G21" s="357"/>
      <c r="H21" s="297"/>
      <c r="I21" s="354"/>
    </row>
    <row r="22" spans="1:9" ht="15.95" customHeight="1" x14ac:dyDescent="0.15">
      <c r="A22" s="439"/>
      <c r="B22" s="345"/>
      <c r="C22" s="346"/>
      <c r="D22" s="346"/>
      <c r="E22" s="346"/>
      <c r="F22" s="357"/>
      <c r="G22" s="357"/>
      <c r="H22" s="297"/>
      <c r="I22" s="354"/>
    </row>
    <row r="23" spans="1:9" ht="15.95" customHeight="1" x14ac:dyDescent="0.15">
      <c r="A23" s="439"/>
      <c r="B23" s="345"/>
      <c r="C23" s="346"/>
      <c r="D23" s="346"/>
      <c r="E23" s="346"/>
      <c r="F23" s="357"/>
      <c r="G23" s="357"/>
      <c r="H23" s="297"/>
      <c r="I23" s="354"/>
    </row>
    <row r="24" spans="1:9" ht="15.95" customHeight="1" x14ac:dyDescent="0.15">
      <c r="A24" s="439"/>
      <c r="B24" s="345"/>
      <c r="C24" s="346"/>
      <c r="D24" s="346"/>
      <c r="E24" s="346"/>
      <c r="F24" s="357"/>
      <c r="G24" s="357"/>
      <c r="H24" s="297"/>
      <c r="I24" s="354"/>
    </row>
    <row r="25" spans="1:9" ht="15.95" customHeight="1" x14ac:dyDescent="0.15">
      <c r="A25" s="439"/>
      <c r="B25" s="345"/>
      <c r="C25" s="346"/>
      <c r="D25" s="346"/>
      <c r="E25" s="346"/>
      <c r="F25" s="357"/>
      <c r="G25" s="357"/>
      <c r="H25" s="297"/>
      <c r="I25" s="354"/>
    </row>
    <row r="26" spans="1:9" ht="15.95" customHeight="1" x14ac:dyDescent="0.15">
      <c r="A26" s="439"/>
      <c r="B26" s="345"/>
      <c r="C26" s="346"/>
      <c r="D26" s="346"/>
      <c r="E26" s="346"/>
      <c r="F26" s="357"/>
      <c r="G26" s="357"/>
      <c r="H26" s="297"/>
      <c r="I26" s="354"/>
    </row>
    <row r="27" spans="1:9" ht="15.95" customHeight="1" x14ac:dyDescent="0.15">
      <c r="A27" s="439"/>
      <c r="B27" s="345"/>
      <c r="C27" s="346"/>
      <c r="D27" s="346"/>
      <c r="E27" s="346"/>
      <c r="F27" s="357"/>
      <c r="G27" s="357"/>
      <c r="H27" s="297"/>
      <c r="I27" s="354"/>
    </row>
    <row r="28" spans="1:9" ht="15.95" customHeight="1" x14ac:dyDescent="0.15">
      <c r="A28" s="439"/>
      <c r="B28" s="345"/>
      <c r="C28" s="346"/>
      <c r="D28" s="346"/>
      <c r="E28" s="346"/>
      <c r="F28" s="357"/>
      <c r="G28" s="357"/>
      <c r="H28" s="297"/>
      <c r="I28" s="354"/>
    </row>
    <row r="29" spans="1:9" ht="15.95" customHeight="1" x14ac:dyDescent="0.15">
      <c r="A29" s="439"/>
      <c r="B29" s="345"/>
      <c r="C29" s="346"/>
      <c r="D29" s="346"/>
      <c r="E29" s="346"/>
      <c r="F29" s="357"/>
      <c r="G29" s="357"/>
      <c r="H29" s="297"/>
      <c r="I29" s="354"/>
    </row>
    <row r="30" spans="1:9" ht="15.95" customHeight="1" x14ac:dyDescent="0.15">
      <c r="A30" s="439"/>
      <c r="B30" s="345"/>
      <c r="C30" s="346"/>
      <c r="D30" s="346"/>
      <c r="E30" s="346"/>
      <c r="F30" s="357"/>
      <c r="G30" s="357"/>
      <c r="H30" s="297"/>
      <c r="I30" s="354"/>
    </row>
    <row r="31" spans="1:9" ht="15.95" customHeight="1" x14ac:dyDescent="0.15">
      <c r="A31" s="439"/>
      <c r="B31" s="345"/>
      <c r="C31" s="346" t="s">
        <v>241</v>
      </c>
      <c r="D31" s="346"/>
      <c r="E31" s="348"/>
      <c r="F31" s="357"/>
      <c r="G31" s="357"/>
      <c r="H31" s="297">
        <f>F31*G31</f>
        <v>0</v>
      </c>
      <c r="I31" s="354"/>
    </row>
    <row r="32" spans="1:9" ht="15.95" customHeight="1" x14ac:dyDescent="0.15">
      <c r="A32" s="439"/>
      <c r="B32" s="345"/>
      <c r="C32" s="358" t="s">
        <v>142</v>
      </c>
      <c r="D32" s="358"/>
      <c r="E32" s="359"/>
      <c r="F32" s="361"/>
      <c r="G32" s="361"/>
      <c r="H32" s="307"/>
      <c r="I32" s="362"/>
    </row>
    <row r="33" spans="1:9" ht="15.95" customHeight="1" x14ac:dyDescent="0.15">
      <c r="A33" s="439"/>
      <c r="B33" s="363"/>
      <c r="C33" s="364"/>
      <c r="D33" s="365"/>
      <c r="E33" s="365"/>
      <c r="F33" s="367"/>
      <c r="G33" s="367"/>
      <c r="H33" s="368">
        <f>SUM(H17:H32)</f>
        <v>0</v>
      </c>
      <c r="I33" s="369"/>
    </row>
    <row r="34" spans="1:9" ht="15.95" customHeight="1" x14ac:dyDescent="0.15">
      <c r="A34" s="439"/>
      <c r="B34" s="391" t="s">
        <v>63</v>
      </c>
      <c r="C34" s="371"/>
      <c r="D34" s="371"/>
      <c r="E34" s="372"/>
      <c r="F34" s="374"/>
      <c r="G34" s="374"/>
      <c r="H34" s="375">
        <f>IF(F34=0,G34,G34*F34)</f>
        <v>0</v>
      </c>
      <c r="I34" s="376"/>
    </row>
    <row r="35" spans="1:9" ht="15.95" customHeight="1" x14ac:dyDescent="0.15">
      <c r="A35" s="439"/>
      <c r="B35" s="345"/>
      <c r="C35" s="347"/>
      <c r="D35" s="347"/>
      <c r="E35" s="348"/>
      <c r="F35" s="350"/>
      <c r="G35" s="350"/>
      <c r="H35" s="297"/>
      <c r="I35" s="352"/>
    </row>
    <row r="36" spans="1:9" ht="15.95" customHeight="1" x14ac:dyDescent="0.15">
      <c r="A36" s="439"/>
      <c r="B36" s="345"/>
      <c r="C36" s="347"/>
      <c r="D36" s="347"/>
      <c r="E36" s="348"/>
      <c r="F36" s="350"/>
      <c r="G36" s="350"/>
      <c r="H36" s="297"/>
      <c r="I36" s="352"/>
    </row>
    <row r="37" spans="1:9" ht="15.95" customHeight="1" x14ac:dyDescent="0.15">
      <c r="A37" s="439"/>
      <c r="B37" s="345"/>
      <c r="C37" s="347"/>
      <c r="D37" s="347"/>
      <c r="E37" s="348"/>
      <c r="F37" s="350"/>
      <c r="G37" s="350"/>
      <c r="H37" s="351"/>
      <c r="I37" s="352"/>
    </row>
    <row r="38" spans="1:9" ht="15.95" customHeight="1" x14ac:dyDescent="0.15">
      <c r="A38" s="439"/>
      <c r="B38" s="345"/>
      <c r="C38" s="347"/>
      <c r="D38" s="347"/>
      <c r="E38" s="348"/>
      <c r="F38" s="350"/>
      <c r="G38" s="350"/>
      <c r="H38" s="351"/>
      <c r="I38" s="352"/>
    </row>
    <row r="39" spans="1:9" ht="15.95" customHeight="1" x14ac:dyDescent="0.15">
      <c r="A39" s="439"/>
      <c r="B39" s="345"/>
      <c r="C39" s="347"/>
      <c r="D39" s="347"/>
      <c r="E39" s="348"/>
      <c r="F39" s="350"/>
      <c r="G39" s="350"/>
      <c r="H39" s="351"/>
      <c r="I39" s="352"/>
    </row>
    <row r="40" spans="1:9" ht="15.95" customHeight="1" x14ac:dyDescent="0.15">
      <c r="A40" s="439"/>
      <c r="B40" s="345"/>
      <c r="C40" s="347"/>
      <c r="D40" s="347"/>
      <c r="E40" s="348"/>
      <c r="F40" s="350"/>
      <c r="G40" s="350"/>
      <c r="H40" s="351"/>
      <c r="I40" s="352"/>
    </row>
    <row r="41" spans="1:9" ht="15.95" customHeight="1" x14ac:dyDescent="0.15">
      <c r="A41" s="439"/>
      <c r="B41" s="345"/>
      <c r="C41" s="347"/>
      <c r="D41" s="347"/>
      <c r="E41" s="348"/>
      <c r="F41" s="350"/>
      <c r="G41" s="350"/>
      <c r="H41" s="351"/>
      <c r="I41" s="352"/>
    </row>
    <row r="42" spans="1:9" ht="15.95" customHeight="1" x14ac:dyDescent="0.15">
      <c r="A42" s="439"/>
      <c r="B42" s="345"/>
      <c r="C42" s="347"/>
      <c r="D42" s="347"/>
      <c r="E42" s="348"/>
      <c r="F42" s="350"/>
      <c r="G42" s="350"/>
      <c r="H42" s="351"/>
      <c r="I42" s="352"/>
    </row>
    <row r="43" spans="1:9" ht="15.95" customHeight="1" x14ac:dyDescent="0.15">
      <c r="A43" s="439"/>
      <c r="B43" s="345"/>
      <c r="C43" s="347"/>
      <c r="D43" s="347"/>
      <c r="E43" s="348"/>
      <c r="F43" s="350"/>
      <c r="G43" s="350"/>
      <c r="H43" s="351"/>
      <c r="I43" s="352"/>
    </row>
    <row r="44" spans="1:9" ht="15.95" customHeight="1" x14ac:dyDescent="0.15">
      <c r="A44" s="439"/>
      <c r="B44" s="345"/>
      <c r="C44" s="347"/>
      <c r="D44" s="347"/>
      <c r="E44" s="348"/>
      <c r="F44" s="350"/>
      <c r="G44" s="350"/>
      <c r="H44" s="351"/>
      <c r="I44" s="352"/>
    </row>
    <row r="45" spans="1:9" ht="15.95" customHeight="1" x14ac:dyDescent="0.15">
      <c r="A45" s="439"/>
      <c r="B45" s="345"/>
      <c r="C45" s="347"/>
      <c r="D45" s="347"/>
      <c r="E45" s="348"/>
      <c r="F45" s="350"/>
      <c r="G45" s="350"/>
      <c r="H45" s="351"/>
      <c r="I45" s="352"/>
    </row>
    <row r="46" spans="1:9" ht="15.95" customHeight="1" x14ac:dyDescent="0.15">
      <c r="A46" s="439"/>
      <c r="B46" s="345"/>
      <c r="C46" s="346"/>
      <c r="D46" s="346"/>
      <c r="E46" s="355"/>
      <c r="F46" s="357"/>
      <c r="G46" s="357"/>
      <c r="H46" s="297"/>
      <c r="I46" s="354"/>
    </row>
    <row r="47" spans="1:9" ht="15.95" customHeight="1" x14ac:dyDescent="0.15">
      <c r="A47" s="439"/>
      <c r="B47" s="345"/>
      <c r="C47" s="346"/>
      <c r="D47" s="346"/>
      <c r="E47" s="355"/>
      <c r="F47" s="357"/>
      <c r="G47" s="357"/>
      <c r="H47" s="297"/>
      <c r="I47" s="354"/>
    </row>
    <row r="48" spans="1:9" ht="15.95" customHeight="1" x14ac:dyDescent="0.15">
      <c r="A48" s="439"/>
      <c r="B48" s="345"/>
      <c r="C48" s="346"/>
      <c r="D48" s="346"/>
      <c r="E48" s="355"/>
      <c r="F48" s="357"/>
      <c r="G48" s="357"/>
      <c r="H48" s="297"/>
      <c r="I48" s="354"/>
    </row>
    <row r="49" spans="1:9" ht="15.95" customHeight="1" x14ac:dyDescent="0.15">
      <c r="A49" s="439"/>
      <c r="B49" s="345"/>
      <c r="C49" s="346"/>
      <c r="D49" s="346"/>
      <c r="E49" s="355"/>
      <c r="F49" s="357"/>
      <c r="G49" s="357"/>
      <c r="H49" s="297"/>
      <c r="I49" s="354"/>
    </row>
    <row r="50" spans="1:9" ht="15.95" customHeight="1" x14ac:dyDescent="0.15">
      <c r="A50" s="439"/>
      <c r="B50" s="345"/>
      <c r="C50" s="346"/>
      <c r="D50" s="346"/>
      <c r="E50" s="355"/>
      <c r="F50" s="357"/>
      <c r="G50" s="357"/>
      <c r="H50" s="297"/>
      <c r="I50" s="354"/>
    </row>
    <row r="51" spans="1:9" ht="15.95" customHeight="1" x14ac:dyDescent="0.15">
      <c r="A51" s="439"/>
      <c r="B51" s="345"/>
      <c r="C51" s="358" t="s">
        <v>142</v>
      </c>
      <c r="D51" s="358"/>
      <c r="E51" s="359"/>
      <c r="F51" s="361"/>
      <c r="G51" s="361"/>
      <c r="H51" s="307"/>
      <c r="I51" s="362"/>
    </row>
    <row r="52" spans="1:9" ht="15.95" customHeight="1" x14ac:dyDescent="0.15">
      <c r="A52" s="439"/>
      <c r="B52" s="363"/>
      <c r="C52" s="364"/>
      <c r="D52" s="365"/>
      <c r="E52" s="365"/>
      <c r="F52" s="367"/>
      <c r="G52" s="367"/>
      <c r="H52" s="368">
        <f>SUM(H34:H51)</f>
        <v>0</v>
      </c>
      <c r="I52" s="369"/>
    </row>
    <row r="53" spans="1:9" ht="15.95" customHeight="1" x14ac:dyDescent="0.15">
      <c r="A53" s="409"/>
      <c r="B53" s="410" t="s">
        <v>180</v>
      </c>
      <c r="C53" s="411"/>
      <c r="D53" s="369"/>
      <c r="E53" s="369"/>
      <c r="F53" s="413"/>
      <c r="G53" s="413"/>
      <c r="H53" s="368">
        <f>SUM(H52,H33,H16,H10)</f>
        <v>0</v>
      </c>
      <c r="I53" s="369"/>
    </row>
    <row r="54" spans="1:9" ht="15.95" customHeight="1" x14ac:dyDescent="0.15">
      <c r="A54" s="448" t="s">
        <v>181</v>
      </c>
      <c r="B54" s="415" t="s">
        <v>69</v>
      </c>
      <c r="C54" s="411"/>
      <c r="D54" s="369"/>
      <c r="E54" s="430" t="s">
        <v>70</v>
      </c>
      <c r="F54" s="418"/>
      <c r="G54" s="418"/>
      <c r="H54" s="419">
        <f>F54*G54</f>
        <v>0</v>
      </c>
      <c r="I54" s="369"/>
    </row>
    <row r="55" spans="1:9" ht="15.95" customHeight="1" x14ac:dyDescent="0.15">
      <c r="A55" s="439"/>
      <c r="B55" s="421" t="s">
        <v>253</v>
      </c>
      <c r="C55" s="422"/>
      <c r="D55" s="376"/>
      <c r="E55" s="443" t="s">
        <v>185</v>
      </c>
      <c r="F55" s="374"/>
      <c r="G55" s="374"/>
      <c r="H55" s="375">
        <f t="shared" ref="H55:H60" si="0">F55*G55</f>
        <v>0</v>
      </c>
      <c r="I55" s="376"/>
    </row>
    <row r="56" spans="1:9" ht="15.95" customHeight="1" x14ac:dyDescent="0.15">
      <c r="A56" s="439"/>
      <c r="B56" s="449" t="s">
        <v>254</v>
      </c>
      <c r="C56" s="425"/>
      <c r="D56" s="354"/>
      <c r="E56" s="444" t="s">
        <v>185</v>
      </c>
      <c r="F56" s="357"/>
      <c r="G56" s="357"/>
      <c r="H56" s="297"/>
      <c r="I56" s="354"/>
    </row>
    <row r="57" spans="1:9" ht="15.95" customHeight="1" x14ac:dyDescent="0.15">
      <c r="A57" s="439"/>
      <c r="B57" s="424" t="s">
        <v>255</v>
      </c>
      <c r="C57" s="425"/>
      <c r="D57" s="354"/>
      <c r="E57" s="444" t="s">
        <v>185</v>
      </c>
      <c r="F57" s="357"/>
      <c r="G57" s="357"/>
      <c r="H57" s="297"/>
      <c r="I57" s="354"/>
    </row>
    <row r="58" spans="1:9" ht="15.95" customHeight="1" x14ac:dyDescent="0.15">
      <c r="A58" s="439"/>
      <c r="B58" s="424" t="s">
        <v>256</v>
      </c>
      <c r="C58" s="425"/>
      <c r="D58" s="354"/>
      <c r="E58" s="444" t="s">
        <v>185</v>
      </c>
      <c r="F58" s="357"/>
      <c r="G58" s="357"/>
      <c r="H58" s="297">
        <f t="shared" si="0"/>
        <v>0</v>
      </c>
      <c r="I58" s="354"/>
    </row>
    <row r="59" spans="1:9" ht="15.95" customHeight="1" x14ac:dyDescent="0.15">
      <c r="A59" s="439"/>
      <c r="B59" s="424" t="s">
        <v>257</v>
      </c>
      <c r="C59" s="425"/>
      <c r="D59" s="354"/>
      <c r="E59" s="444" t="s">
        <v>185</v>
      </c>
      <c r="F59" s="357"/>
      <c r="G59" s="357"/>
      <c r="H59" s="297">
        <f t="shared" si="0"/>
        <v>0</v>
      </c>
      <c r="I59" s="354"/>
    </row>
    <row r="60" spans="1:9" ht="15.95" customHeight="1" x14ac:dyDescent="0.15">
      <c r="A60" s="439"/>
      <c r="B60" s="424" t="s">
        <v>258</v>
      </c>
      <c r="C60" s="425"/>
      <c r="D60" s="354"/>
      <c r="E60" s="444" t="s">
        <v>185</v>
      </c>
      <c r="F60" s="357"/>
      <c r="G60" s="357"/>
      <c r="H60" s="297">
        <f t="shared" si="0"/>
        <v>0</v>
      </c>
      <c r="I60" s="354"/>
    </row>
    <row r="61" spans="1:9" ht="15.95" customHeight="1" x14ac:dyDescent="0.15">
      <c r="A61" s="439"/>
      <c r="B61" s="426" t="s">
        <v>259</v>
      </c>
      <c r="C61" s="427"/>
      <c r="D61" s="362"/>
      <c r="E61" s="445" t="s">
        <v>185</v>
      </c>
      <c r="F61" s="361"/>
      <c r="G61" s="361"/>
      <c r="H61" s="307"/>
      <c r="I61" s="362"/>
    </row>
    <row r="62" spans="1:9" ht="15.95" customHeight="1" x14ac:dyDescent="0.15">
      <c r="A62" s="409"/>
      <c r="B62" s="429" t="s">
        <v>189</v>
      </c>
      <c r="C62" s="411"/>
      <c r="D62" s="369"/>
      <c r="E62" s="369"/>
      <c r="F62" s="367"/>
      <c r="G62" s="367"/>
      <c r="H62" s="367">
        <f>SUM(H54:H61)</f>
        <v>0</v>
      </c>
      <c r="I62" s="365"/>
    </row>
    <row r="63" spans="1:9" ht="15.95" customHeight="1" x14ac:dyDescent="0.15">
      <c r="A63" s="430"/>
      <c r="B63" s="429" t="s">
        <v>260</v>
      </c>
      <c r="C63" s="411"/>
      <c r="D63" s="369"/>
      <c r="E63" s="369"/>
      <c r="F63" s="368"/>
      <c r="G63" s="368"/>
      <c r="H63" s="413">
        <f>'단위공사별(집계)'!I11+'단위공사별(집계)'!L11</f>
        <v>0</v>
      </c>
      <c r="I63" s="369"/>
    </row>
    <row r="64" spans="1:9" ht="15.95" customHeight="1" x14ac:dyDescent="0.15">
      <c r="A64" s="430"/>
      <c r="B64" s="429" t="s">
        <v>95</v>
      </c>
      <c r="C64" s="411"/>
      <c r="D64" s="369"/>
      <c r="E64" s="369"/>
      <c r="F64" s="368"/>
      <c r="G64" s="433"/>
      <c r="H64" s="418">
        <f>(H53+H62)*0.05</f>
        <v>0</v>
      </c>
      <c r="I64" s="411"/>
    </row>
    <row r="65" spans="1:9" ht="15.95" customHeight="1" x14ac:dyDescent="0.15">
      <c r="A65" s="430"/>
      <c r="B65" s="429" t="s">
        <v>192</v>
      </c>
      <c r="C65" s="411"/>
      <c r="D65" s="369"/>
      <c r="E65" s="369"/>
      <c r="F65" s="368"/>
      <c r="G65" s="433"/>
      <c r="H65" s="418">
        <f>(H53+H62)*0.1</f>
        <v>0</v>
      </c>
      <c r="I65" s="411"/>
    </row>
    <row r="66" spans="1:9" ht="15.95" customHeight="1" x14ac:dyDescent="0.15">
      <c r="A66" s="430"/>
      <c r="B66" s="429" t="s">
        <v>193</v>
      </c>
      <c r="C66" s="411"/>
      <c r="D66" s="369"/>
      <c r="E66" s="369"/>
      <c r="F66" s="368"/>
      <c r="G66" s="368"/>
      <c r="H66" s="367">
        <f>H53+H62+H63+H64+H65</f>
        <v>0</v>
      </c>
      <c r="I66" s="369"/>
    </row>
    <row r="67" spans="1:9" x14ac:dyDescent="0.15">
      <c r="A67" s="258"/>
    </row>
  </sheetData>
  <mergeCells count="3">
    <mergeCell ref="A2:B2"/>
    <mergeCell ref="A3:A52"/>
    <mergeCell ref="A54:A6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2026-08-11T09:00:59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AC74F-D725-4894-A0F7-084E11EB0D7C}">
  <sheetPr>
    <tabColor rgb="FF00B050"/>
    <pageSetUpPr fitToPage="1"/>
  </sheetPr>
  <dimension ref="A1:I67"/>
  <sheetViews>
    <sheetView zoomScale="85" workbookViewId="0">
      <pane xSplit="2" ySplit="2" topLeftCell="C3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3.5" x14ac:dyDescent="0.15"/>
  <cols>
    <col min="1" max="1" width="5" style="249" customWidth="1"/>
    <col min="2" max="2" width="17.875" style="249" bestFit="1" customWidth="1"/>
    <col min="3" max="3" width="23.625" style="249" customWidth="1"/>
    <col min="4" max="4" width="18.25" style="249" customWidth="1"/>
    <col min="5" max="5" width="5.25" style="249" bestFit="1" customWidth="1"/>
    <col min="6" max="6" width="9" style="287"/>
    <col min="7" max="7" width="11.875" style="287" customWidth="1"/>
    <col min="8" max="8" width="13.625" style="287" customWidth="1"/>
    <col min="9" max="9" width="12.75" style="249" customWidth="1"/>
    <col min="10" max="16384" width="9" style="249"/>
  </cols>
  <sheetData>
    <row r="1" spans="1:9" ht="22.5" customHeight="1" x14ac:dyDescent="0.15">
      <c r="B1" s="337" t="s">
        <v>194</v>
      </c>
      <c r="C1" s="435"/>
      <c r="F1" s="459"/>
      <c r="I1" s="249" t="s">
        <v>130</v>
      </c>
    </row>
    <row r="2" spans="1:9" s="258" customFormat="1" ht="16.5" customHeight="1" x14ac:dyDescent="0.15">
      <c r="A2" s="89" t="s">
        <v>131</v>
      </c>
      <c r="B2" s="340"/>
      <c r="C2" s="259" t="s">
        <v>132</v>
      </c>
      <c r="D2" s="250" t="s">
        <v>133</v>
      </c>
      <c r="E2" s="250" t="s">
        <v>50</v>
      </c>
      <c r="F2" s="437" t="s">
        <v>51</v>
      </c>
      <c r="G2" s="437" t="s">
        <v>134</v>
      </c>
      <c r="H2" s="437" t="s">
        <v>135</v>
      </c>
      <c r="I2" s="250" t="s">
        <v>136</v>
      </c>
    </row>
    <row r="3" spans="1:9" ht="15.95" customHeight="1" x14ac:dyDescent="0.15">
      <c r="A3" s="344" t="s">
        <v>137</v>
      </c>
      <c r="B3" s="345" t="s">
        <v>138</v>
      </c>
      <c r="C3" s="346" t="s">
        <v>277</v>
      </c>
      <c r="D3" s="438" t="s">
        <v>278</v>
      </c>
      <c r="E3" s="355"/>
      <c r="F3" s="374"/>
      <c r="G3" s="374"/>
      <c r="H3" s="375"/>
      <c r="I3" s="376"/>
    </row>
    <row r="4" spans="1:9" ht="15.95" customHeight="1" x14ac:dyDescent="0.15">
      <c r="A4" s="439"/>
      <c r="B4" s="345"/>
      <c r="C4" s="346" t="s">
        <v>280</v>
      </c>
      <c r="D4" s="438" t="s">
        <v>278</v>
      </c>
      <c r="E4" s="355"/>
      <c r="F4" s="357"/>
      <c r="G4" s="357"/>
      <c r="H4" s="297"/>
      <c r="I4" s="354"/>
    </row>
    <row r="5" spans="1:9" ht="15.95" customHeight="1" x14ac:dyDescent="0.15">
      <c r="A5" s="439"/>
      <c r="B5" s="345"/>
      <c r="C5" s="346" t="s">
        <v>281</v>
      </c>
      <c r="D5" s="438" t="s">
        <v>278</v>
      </c>
      <c r="E5" s="355"/>
      <c r="F5" s="357"/>
      <c r="G5" s="357"/>
      <c r="H5" s="297"/>
      <c r="I5" s="354"/>
    </row>
    <row r="6" spans="1:9" ht="15.95" customHeight="1" x14ac:dyDescent="0.15">
      <c r="A6" s="439"/>
      <c r="B6" s="345"/>
      <c r="C6" s="346"/>
      <c r="D6" s="346"/>
      <c r="E6" s="355"/>
      <c r="F6" s="357"/>
      <c r="G6" s="357"/>
      <c r="H6" s="297"/>
      <c r="I6" s="354"/>
    </row>
    <row r="7" spans="1:9" ht="15.95" customHeight="1" x14ac:dyDescent="0.15">
      <c r="A7" s="439"/>
      <c r="B7" s="345"/>
      <c r="C7" s="346"/>
      <c r="D7" s="346"/>
      <c r="E7" s="346"/>
      <c r="F7" s="357"/>
      <c r="G7" s="357"/>
      <c r="H7" s="297"/>
      <c r="I7" s="354"/>
    </row>
    <row r="8" spans="1:9" ht="15.95" customHeight="1" x14ac:dyDescent="0.15">
      <c r="A8" s="439"/>
      <c r="B8" s="345"/>
      <c r="C8" s="346"/>
      <c r="D8" s="346"/>
      <c r="E8" s="346"/>
      <c r="F8" s="357"/>
      <c r="G8" s="357"/>
      <c r="H8" s="297"/>
      <c r="I8" s="354"/>
    </row>
    <row r="9" spans="1:9" ht="15.95" customHeight="1" x14ac:dyDescent="0.15">
      <c r="A9" s="439"/>
      <c r="B9" s="345"/>
      <c r="C9" s="358" t="s">
        <v>142</v>
      </c>
      <c r="D9" s="378"/>
      <c r="E9" s="379"/>
      <c r="F9" s="380"/>
      <c r="G9" s="381"/>
      <c r="H9" s="382"/>
      <c r="I9" s="383"/>
    </row>
    <row r="10" spans="1:9" ht="15.95" customHeight="1" x14ac:dyDescent="0.15">
      <c r="A10" s="439"/>
      <c r="B10" s="363"/>
      <c r="C10" s="390"/>
      <c r="D10" s="390"/>
      <c r="E10" s="390"/>
      <c r="F10" s="388"/>
      <c r="G10" s="388"/>
      <c r="H10" s="389">
        <f>SUM(H3:H9)</f>
        <v>0</v>
      </c>
      <c r="I10" s="390"/>
    </row>
    <row r="11" spans="1:9" ht="15.95" customHeight="1" x14ac:dyDescent="0.15">
      <c r="A11" s="439"/>
      <c r="B11" s="345" t="s">
        <v>201</v>
      </c>
      <c r="C11" s="347"/>
      <c r="D11" s="347"/>
      <c r="E11" s="347"/>
      <c r="F11" s="350"/>
      <c r="G11" s="350"/>
      <c r="H11" s="351"/>
      <c r="I11" s="352"/>
    </row>
    <row r="12" spans="1:9" ht="15.95" customHeight="1" x14ac:dyDescent="0.15">
      <c r="A12" s="439"/>
      <c r="B12" s="345" t="s">
        <v>203</v>
      </c>
      <c r="C12" s="346"/>
      <c r="D12" s="346"/>
      <c r="E12" s="346"/>
      <c r="F12" s="357"/>
      <c r="G12" s="357"/>
      <c r="H12" s="297"/>
      <c r="I12" s="354"/>
    </row>
    <row r="13" spans="1:9" ht="15.95" customHeight="1" x14ac:dyDescent="0.15">
      <c r="A13" s="439"/>
      <c r="B13" s="345"/>
      <c r="C13" s="346"/>
      <c r="D13" s="346"/>
      <c r="E13" s="346"/>
      <c r="F13" s="357"/>
      <c r="G13" s="357"/>
      <c r="H13" s="297"/>
      <c r="I13" s="354"/>
    </row>
    <row r="14" spans="1:9" ht="15.95" customHeight="1" x14ac:dyDescent="0.15">
      <c r="A14" s="439"/>
      <c r="B14" s="345"/>
      <c r="C14" s="346"/>
      <c r="D14" s="346"/>
      <c r="E14" s="346"/>
      <c r="F14" s="357"/>
      <c r="G14" s="357"/>
      <c r="H14" s="297"/>
      <c r="I14" s="354"/>
    </row>
    <row r="15" spans="1:9" ht="15.95" customHeight="1" x14ac:dyDescent="0.15">
      <c r="A15" s="439"/>
      <c r="B15" s="345"/>
      <c r="C15" s="358" t="s">
        <v>142</v>
      </c>
      <c r="D15" s="358"/>
      <c r="E15" s="358"/>
      <c r="F15" s="361"/>
      <c r="G15" s="361"/>
      <c r="H15" s="297"/>
      <c r="I15" s="362"/>
    </row>
    <row r="16" spans="1:9" ht="15.95" customHeight="1" x14ac:dyDescent="0.15">
      <c r="A16" s="439"/>
      <c r="B16" s="363"/>
      <c r="C16" s="364"/>
      <c r="D16" s="365"/>
      <c r="E16" s="365"/>
      <c r="F16" s="460"/>
      <c r="G16" s="367"/>
      <c r="H16" s="368">
        <f>SUM(H11:H15)</f>
        <v>0</v>
      </c>
      <c r="I16" s="369"/>
    </row>
    <row r="17" spans="1:9" ht="15.95" customHeight="1" x14ac:dyDescent="0.15">
      <c r="A17" s="439"/>
      <c r="B17" s="391" t="s">
        <v>204</v>
      </c>
      <c r="C17" s="371"/>
      <c r="D17" s="371"/>
      <c r="E17" s="372"/>
      <c r="F17" s="374"/>
      <c r="G17" s="374"/>
      <c r="H17" s="297">
        <f>IF(F17=0,G17,G17*F17)</f>
        <v>0</v>
      </c>
      <c r="I17" s="376"/>
    </row>
    <row r="18" spans="1:9" ht="15.95" customHeight="1" x14ac:dyDescent="0.15">
      <c r="A18" s="439"/>
      <c r="B18" s="345" t="s">
        <v>207</v>
      </c>
      <c r="C18" s="346"/>
      <c r="D18" s="346"/>
      <c r="E18" s="355"/>
      <c r="F18" s="357"/>
      <c r="G18" s="357"/>
      <c r="H18" s="297">
        <f>IF(F18=0,G18,G18*F18)</f>
        <v>0</v>
      </c>
      <c r="I18" s="354"/>
    </row>
    <row r="19" spans="1:9" ht="15.95" customHeight="1" x14ac:dyDescent="0.15">
      <c r="A19" s="439"/>
      <c r="B19" s="345"/>
      <c r="C19" s="346"/>
      <c r="D19" s="346"/>
      <c r="E19" s="346"/>
      <c r="F19" s="357"/>
      <c r="G19" s="357"/>
      <c r="H19" s="297"/>
      <c r="I19" s="354"/>
    </row>
    <row r="20" spans="1:9" ht="15.95" customHeight="1" x14ac:dyDescent="0.15">
      <c r="A20" s="439"/>
      <c r="B20" s="345"/>
      <c r="C20" s="346"/>
      <c r="D20" s="346"/>
      <c r="E20" s="346"/>
      <c r="F20" s="357"/>
      <c r="G20" s="357"/>
      <c r="H20" s="297"/>
      <c r="I20" s="354"/>
    </row>
    <row r="21" spans="1:9" ht="15.95" customHeight="1" x14ac:dyDescent="0.15">
      <c r="A21" s="439"/>
      <c r="B21" s="345"/>
      <c r="C21" s="346"/>
      <c r="D21" s="346"/>
      <c r="E21" s="346"/>
      <c r="F21" s="357"/>
      <c r="G21" s="357"/>
      <c r="H21" s="297"/>
      <c r="I21" s="354"/>
    </row>
    <row r="22" spans="1:9" ht="15.95" customHeight="1" x14ac:dyDescent="0.15">
      <c r="A22" s="439"/>
      <c r="B22" s="345"/>
      <c r="C22" s="346"/>
      <c r="D22" s="346"/>
      <c r="E22" s="346"/>
      <c r="F22" s="357"/>
      <c r="G22" s="357"/>
      <c r="H22" s="297"/>
      <c r="I22" s="354"/>
    </row>
    <row r="23" spans="1:9" ht="15.95" customHeight="1" x14ac:dyDescent="0.15">
      <c r="A23" s="439"/>
      <c r="B23" s="345"/>
      <c r="C23" s="346"/>
      <c r="D23" s="346"/>
      <c r="E23" s="346"/>
      <c r="F23" s="357"/>
      <c r="G23" s="357"/>
      <c r="H23" s="297"/>
      <c r="I23" s="354"/>
    </row>
    <row r="24" spans="1:9" ht="15.95" customHeight="1" x14ac:dyDescent="0.15">
      <c r="A24" s="439"/>
      <c r="B24" s="345"/>
      <c r="C24" s="346"/>
      <c r="D24" s="346"/>
      <c r="E24" s="346"/>
      <c r="F24" s="357"/>
      <c r="G24" s="357"/>
      <c r="H24" s="297"/>
      <c r="I24" s="354"/>
    </row>
    <row r="25" spans="1:9" ht="15.95" customHeight="1" x14ac:dyDescent="0.15">
      <c r="A25" s="439"/>
      <c r="B25" s="345"/>
      <c r="C25" s="346"/>
      <c r="D25" s="346" t="s">
        <v>282</v>
      </c>
      <c r="E25" s="346"/>
      <c r="F25" s="357"/>
      <c r="G25" s="357"/>
      <c r="H25" s="297"/>
      <c r="I25" s="354"/>
    </row>
    <row r="26" spans="1:9" ht="15.95" customHeight="1" x14ac:dyDescent="0.15">
      <c r="A26" s="439"/>
      <c r="B26" s="345"/>
      <c r="C26" s="346"/>
      <c r="D26" s="346"/>
      <c r="E26" s="346"/>
      <c r="F26" s="357"/>
      <c r="G26" s="357"/>
      <c r="H26" s="297"/>
      <c r="I26" s="354"/>
    </row>
    <row r="27" spans="1:9" ht="15.95" customHeight="1" x14ac:dyDescent="0.15">
      <c r="A27" s="439"/>
      <c r="B27" s="345"/>
      <c r="C27" s="346"/>
      <c r="D27" s="346"/>
      <c r="E27" s="346"/>
      <c r="F27" s="357"/>
      <c r="G27" s="357"/>
      <c r="H27" s="297"/>
      <c r="I27" s="354"/>
    </row>
    <row r="28" spans="1:9" ht="15.95" customHeight="1" x14ac:dyDescent="0.15">
      <c r="A28" s="439"/>
      <c r="B28" s="345"/>
      <c r="C28" s="346"/>
      <c r="D28" s="346"/>
      <c r="E28" s="346"/>
      <c r="F28" s="357"/>
      <c r="G28" s="357"/>
      <c r="H28" s="297"/>
      <c r="I28" s="354"/>
    </row>
    <row r="29" spans="1:9" ht="15.95" customHeight="1" x14ac:dyDescent="0.15">
      <c r="A29" s="439"/>
      <c r="B29" s="345"/>
      <c r="C29" s="346"/>
      <c r="D29" s="346"/>
      <c r="E29" s="355"/>
      <c r="F29" s="357"/>
      <c r="G29" s="357"/>
      <c r="H29" s="297"/>
      <c r="I29" s="354"/>
    </row>
    <row r="30" spans="1:9" ht="15.95" customHeight="1" x14ac:dyDescent="0.15">
      <c r="A30" s="439"/>
      <c r="B30" s="345"/>
      <c r="C30" s="346"/>
      <c r="D30" s="346"/>
      <c r="E30" s="346"/>
      <c r="F30" s="357"/>
      <c r="G30" s="357"/>
      <c r="H30" s="297"/>
      <c r="I30" s="354"/>
    </row>
    <row r="31" spans="1:9" ht="15.95" customHeight="1" x14ac:dyDescent="0.15">
      <c r="A31" s="439"/>
      <c r="B31" s="345"/>
      <c r="C31" s="346" t="s">
        <v>241</v>
      </c>
      <c r="D31" s="346"/>
      <c r="E31" s="348"/>
      <c r="F31" s="357"/>
      <c r="G31" s="357"/>
      <c r="H31" s="297">
        <f>IF(F31=0,G31,G31*F31)</f>
        <v>0</v>
      </c>
      <c r="I31" s="354"/>
    </row>
    <row r="32" spans="1:9" ht="15.95" customHeight="1" x14ac:dyDescent="0.15">
      <c r="A32" s="439"/>
      <c r="B32" s="345"/>
      <c r="C32" s="358" t="s">
        <v>142</v>
      </c>
      <c r="D32" s="358"/>
      <c r="E32" s="359"/>
      <c r="F32" s="361"/>
      <c r="G32" s="361"/>
      <c r="H32" s="307">
        <f>IF(F32=0,G32,G32*F32)</f>
        <v>0</v>
      </c>
      <c r="I32" s="362"/>
    </row>
    <row r="33" spans="1:9" ht="15.95" customHeight="1" x14ac:dyDescent="0.15">
      <c r="A33" s="439"/>
      <c r="B33" s="363"/>
      <c r="C33" s="364"/>
      <c r="D33" s="365"/>
      <c r="E33" s="365"/>
      <c r="F33" s="367"/>
      <c r="G33" s="367"/>
      <c r="H33" s="368">
        <f>SUM(H17:H32)</f>
        <v>0</v>
      </c>
      <c r="I33" s="369"/>
    </row>
    <row r="34" spans="1:9" ht="15.95" customHeight="1" x14ac:dyDescent="0.15">
      <c r="A34" s="439"/>
      <c r="B34" s="391" t="s">
        <v>63</v>
      </c>
      <c r="C34" s="371"/>
      <c r="D34" s="371"/>
      <c r="E34" s="372"/>
      <c r="F34" s="374"/>
      <c r="G34" s="374"/>
      <c r="H34" s="297">
        <f>IF(F34=0,G34,G34*F34)</f>
        <v>0</v>
      </c>
      <c r="I34" s="376"/>
    </row>
    <row r="35" spans="1:9" ht="15.95" customHeight="1" x14ac:dyDescent="0.15">
      <c r="A35" s="439"/>
      <c r="B35" s="345"/>
      <c r="C35" s="347"/>
      <c r="D35" s="347"/>
      <c r="E35" s="348"/>
      <c r="F35" s="350"/>
      <c r="G35" s="350"/>
      <c r="H35" s="297">
        <f>IF(F35=0,G35,G35*F35)</f>
        <v>0</v>
      </c>
      <c r="I35" s="352"/>
    </row>
    <row r="36" spans="1:9" ht="15.95" customHeight="1" x14ac:dyDescent="0.15">
      <c r="A36" s="439"/>
      <c r="B36" s="345"/>
      <c r="C36" s="347"/>
      <c r="D36" s="347"/>
      <c r="E36" s="348"/>
      <c r="F36" s="350"/>
      <c r="G36" s="350"/>
      <c r="H36" s="297"/>
      <c r="I36" s="352"/>
    </row>
    <row r="37" spans="1:9" ht="15.95" customHeight="1" x14ac:dyDescent="0.15">
      <c r="A37" s="439"/>
      <c r="B37" s="345"/>
      <c r="C37" s="347"/>
      <c r="D37" s="347"/>
      <c r="E37" s="347"/>
      <c r="F37" s="350"/>
      <c r="G37" s="350"/>
      <c r="H37" s="351"/>
      <c r="I37" s="352"/>
    </row>
    <row r="38" spans="1:9" ht="15.95" customHeight="1" x14ac:dyDescent="0.15">
      <c r="A38" s="439"/>
      <c r="B38" s="345"/>
      <c r="C38" s="347"/>
      <c r="D38" s="347"/>
      <c r="E38" s="347"/>
      <c r="F38" s="350"/>
      <c r="G38" s="350"/>
      <c r="H38" s="351"/>
      <c r="I38" s="352"/>
    </row>
    <row r="39" spans="1:9" ht="15.95" customHeight="1" x14ac:dyDescent="0.15">
      <c r="A39" s="439"/>
      <c r="B39" s="345"/>
      <c r="C39" s="347"/>
      <c r="D39" s="347"/>
      <c r="E39" s="347"/>
      <c r="F39" s="350"/>
      <c r="G39" s="350"/>
      <c r="H39" s="351"/>
      <c r="I39" s="352"/>
    </row>
    <row r="40" spans="1:9" ht="15.95" customHeight="1" x14ac:dyDescent="0.15">
      <c r="A40" s="439"/>
      <c r="B40" s="345"/>
      <c r="C40" s="347"/>
      <c r="D40" s="347"/>
      <c r="E40" s="347"/>
      <c r="F40" s="350"/>
      <c r="G40" s="350"/>
      <c r="H40" s="351"/>
      <c r="I40" s="352"/>
    </row>
    <row r="41" spans="1:9" ht="15.95" customHeight="1" x14ac:dyDescent="0.15">
      <c r="A41" s="439"/>
      <c r="B41" s="345"/>
      <c r="C41" s="347"/>
      <c r="D41" s="347"/>
      <c r="E41" s="347"/>
      <c r="F41" s="350"/>
      <c r="G41" s="350"/>
      <c r="H41" s="351"/>
      <c r="I41" s="352"/>
    </row>
    <row r="42" spans="1:9" ht="15.95" customHeight="1" x14ac:dyDescent="0.15">
      <c r="A42" s="439"/>
      <c r="B42" s="345"/>
      <c r="C42" s="347"/>
      <c r="D42" s="347"/>
      <c r="E42" s="347"/>
      <c r="F42" s="350"/>
      <c r="G42" s="350"/>
      <c r="H42" s="351"/>
      <c r="I42" s="352"/>
    </row>
    <row r="43" spans="1:9" ht="15.95" customHeight="1" x14ac:dyDescent="0.15">
      <c r="A43" s="439"/>
      <c r="B43" s="345"/>
      <c r="C43" s="347"/>
      <c r="D43" s="347"/>
      <c r="E43" s="347"/>
      <c r="F43" s="350"/>
      <c r="G43" s="350"/>
      <c r="H43" s="351"/>
      <c r="I43" s="352"/>
    </row>
    <row r="44" spans="1:9" ht="15.95" customHeight="1" x14ac:dyDescent="0.15">
      <c r="A44" s="439"/>
      <c r="B44" s="345"/>
      <c r="C44" s="347"/>
      <c r="D44" s="347"/>
      <c r="E44" s="347"/>
      <c r="F44" s="350"/>
      <c r="G44" s="350"/>
      <c r="H44" s="351"/>
      <c r="I44" s="352"/>
    </row>
    <row r="45" spans="1:9" ht="15.95" customHeight="1" x14ac:dyDescent="0.15">
      <c r="A45" s="439"/>
      <c r="B45" s="345"/>
      <c r="C45" s="347"/>
      <c r="D45" s="347"/>
      <c r="E45" s="347"/>
      <c r="F45" s="350"/>
      <c r="G45" s="350"/>
      <c r="H45" s="351"/>
      <c r="I45" s="352"/>
    </row>
    <row r="46" spans="1:9" ht="15.95" customHeight="1" x14ac:dyDescent="0.15">
      <c r="A46" s="439"/>
      <c r="B46" s="345"/>
      <c r="C46" s="346"/>
      <c r="D46" s="346"/>
      <c r="E46" s="346"/>
      <c r="F46" s="357"/>
      <c r="G46" s="357"/>
      <c r="H46" s="297"/>
      <c r="I46" s="354"/>
    </row>
    <row r="47" spans="1:9" ht="15.95" customHeight="1" x14ac:dyDescent="0.15">
      <c r="A47" s="439"/>
      <c r="B47" s="345"/>
      <c r="C47" s="346"/>
      <c r="D47" s="346"/>
      <c r="E47" s="346"/>
      <c r="F47" s="357"/>
      <c r="G47" s="357"/>
      <c r="H47" s="297"/>
      <c r="I47" s="354"/>
    </row>
    <row r="48" spans="1:9" ht="15.95" customHeight="1" x14ac:dyDescent="0.15">
      <c r="A48" s="439"/>
      <c r="B48" s="345"/>
      <c r="C48" s="346"/>
      <c r="D48" s="346"/>
      <c r="E48" s="346"/>
      <c r="F48" s="357"/>
      <c r="G48" s="357"/>
      <c r="H48" s="297"/>
      <c r="I48" s="354"/>
    </row>
    <row r="49" spans="1:9" ht="15.95" customHeight="1" x14ac:dyDescent="0.15">
      <c r="A49" s="439"/>
      <c r="B49" s="345"/>
      <c r="C49" s="346"/>
      <c r="D49" s="346"/>
      <c r="E49" s="346"/>
      <c r="F49" s="357"/>
      <c r="G49" s="357"/>
      <c r="H49" s="297"/>
      <c r="I49" s="354"/>
    </row>
    <row r="50" spans="1:9" ht="15.95" customHeight="1" x14ac:dyDescent="0.15">
      <c r="A50" s="439"/>
      <c r="B50" s="345"/>
      <c r="C50" s="346"/>
      <c r="D50" s="346"/>
      <c r="E50" s="346"/>
      <c r="F50" s="357"/>
      <c r="G50" s="357"/>
      <c r="H50" s="297"/>
      <c r="I50" s="354"/>
    </row>
    <row r="51" spans="1:9" ht="15.95" customHeight="1" x14ac:dyDescent="0.15">
      <c r="A51" s="439"/>
      <c r="B51" s="345"/>
      <c r="C51" s="358" t="s">
        <v>142</v>
      </c>
      <c r="D51" s="358"/>
      <c r="E51" s="359"/>
      <c r="F51" s="361"/>
      <c r="G51" s="361"/>
      <c r="H51" s="307">
        <f>IF(F51=0,G51,G51*F51)</f>
        <v>0</v>
      </c>
      <c r="I51" s="362"/>
    </row>
    <row r="52" spans="1:9" ht="15.95" customHeight="1" x14ac:dyDescent="0.15">
      <c r="A52" s="439"/>
      <c r="B52" s="363"/>
      <c r="C52" s="364"/>
      <c r="D52" s="365"/>
      <c r="E52" s="365"/>
      <c r="F52" s="367"/>
      <c r="G52" s="367"/>
      <c r="H52" s="368">
        <f>SUM(H34:H51)</f>
        <v>0</v>
      </c>
      <c r="I52" s="369"/>
    </row>
    <row r="53" spans="1:9" ht="15.95" customHeight="1" x14ac:dyDescent="0.15">
      <c r="A53" s="409"/>
      <c r="B53" s="410" t="s">
        <v>180</v>
      </c>
      <c r="C53" s="411"/>
      <c r="D53" s="369"/>
      <c r="E53" s="369"/>
      <c r="F53" s="413"/>
      <c r="G53" s="413"/>
      <c r="H53" s="368">
        <f>SUM(H52,H33,H16,H10)</f>
        <v>0</v>
      </c>
      <c r="I53" s="369"/>
    </row>
    <row r="54" spans="1:9" ht="15.95" customHeight="1" x14ac:dyDescent="0.15">
      <c r="A54" s="448" t="s">
        <v>181</v>
      </c>
      <c r="B54" s="415" t="s">
        <v>69</v>
      </c>
      <c r="C54" s="411"/>
      <c r="D54" s="369"/>
      <c r="E54" s="430" t="s">
        <v>70</v>
      </c>
      <c r="F54" s="418"/>
      <c r="G54" s="418"/>
      <c r="H54" s="419"/>
      <c r="I54" s="369"/>
    </row>
    <row r="55" spans="1:9" ht="15.95" customHeight="1" x14ac:dyDescent="0.15">
      <c r="A55" s="439"/>
      <c r="B55" s="421" t="s">
        <v>253</v>
      </c>
      <c r="C55" s="422"/>
      <c r="D55" s="376"/>
      <c r="E55" s="443" t="s">
        <v>185</v>
      </c>
      <c r="F55" s="373"/>
      <c r="G55" s="374"/>
      <c r="H55" s="375">
        <f t="shared" ref="H55:H60" si="0">F55*G55</f>
        <v>0</v>
      </c>
      <c r="I55" s="376"/>
    </row>
    <row r="56" spans="1:9" ht="15.95" customHeight="1" x14ac:dyDescent="0.15">
      <c r="A56" s="439"/>
      <c r="B56" s="449" t="s">
        <v>254</v>
      </c>
      <c r="C56" s="425"/>
      <c r="D56" s="354"/>
      <c r="E56" s="444" t="s">
        <v>185</v>
      </c>
      <c r="F56" s="356"/>
      <c r="G56" s="357"/>
      <c r="H56" s="297"/>
      <c r="I56" s="354"/>
    </row>
    <row r="57" spans="1:9" ht="15.95" customHeight="1" x14ac:dyDescent="0.15">
      <c r="A57" s="439"/>
      <c r="B57" s="424" t="s">
        <v>255</v>
      </c>
      <c r="C57" s="425"/>
      <c r="D57" s="354"/>
      <c r="E57" s="444" t="s">
        <v>185</v>
      </c>
      <c r="F57" s="356"/>
      <c r="G57" s="357"/>
      <c r="H57" s="297">
        <f t="shared" si="0"/>
        <v>0</v>
      </c>
      <c r="I57" s="354"/>
    </row>
    <row r="58" spans="1:9" ht="15.95" customHeight="1" x14ac:dyDescent="0.15">
      <c r="A58" s="439"/>
      <c r="B58" s="424" t="s">
        <v>256</v>
      </c>
      <c r="C58" s="425"/>
      <c r="D58" s="354"/>
      <c r="E58" s="444" t="s">
        <v>185</v>
      </c>
      <c r="F58" s="356"/>
      <c r="G58" s="357"/>
      <c r="H58" s="297">
        <f t="shared" si="0"/>
        <v>0</v>
      </c>
      <c r="I58" s="354"/>
    </row>
    <row r="59" spans="1:9" ht="15.95" customHeight="1" x14ac:dyDescent="0.15">
      <c r="A59" s="439"/>
      <c r="B59" s="424" t="s">
        <v>257</v>
      </c>
      <c r="C59" s="425"/>
      <c r="D59" s="354"/>
      <c r="E59" s="444" t="s">
        <v>185</v>
      </c>
      <c r="F59" s="356"/>
      <c r="G59" s="357"/>
      <c r="H59" s="297">
        <f t="shared" si="0"/>
        <v>0</v>
      </c>
      <c r="I59" s="354"/>
    </row>
    <row r="60" spans="1:9" ht="15.95" customHeight="1" x14ac:dyDescent="0.15">
      <c r="A60" s="439"/>
      <c r="B60" s="424" t="s">
        <v>258</v>
      </c>
      <c r="C60" s="425"/>
      <c r="D60" s="354"/>
      <c r="E60" s="444" t="s">
        <v>185</v>
      </c>
      <c r="F60" s="356"/>
      <c r="G60" s="357"/>
      <c r="H60" s="297">
        <f t="shared" si="0"/>
        <v>0</v>
      </c>
      <c r="I60" s="354"/>
    </row>
    <row r="61" spans="1:9" ht="15.95" customHeight="1" x14ac:dyDescent="0.15">
      <c r="A61" s="439"/>
      <c r="B61" s="426" t="s">
        <v>259</v>
      </c>
      <c r="C61" s="427"/>
      <c r="D61" s="362"/>
      <c r="E61" s="445" t="s">
        <v>185</v>
      </c>
      <c r="F61" s="360"/>
      <c r="G61" s="361"/>
      <c r="H61" s="307"/>
      <c r="I61" s="362"/>
    </row>
    <row r="62" spans="1:9" ht="15.95" customHeight="1" x14ac:dyDescent="0.15">
      <c r="A62" s="409"/>
      <c r="B62" s="429" t="s">
        <v>189</v>
      </c>
      <c r="C62" s="411"/>
      <c r="D62" s="369"/>
      <c r="E62" s="369"/>
      <c r="F62" s="367"/>
      <c r="G62" s="367"/>
      <c r="H62" s="367">
        <f>SUM(H54:H61)</f>
        <v>0</v>
      </c>
      <c r="I62" s="365"/>
    </row>
    <row r="63" spans="1:9" ht="15.95" customHeight="1" x14ac:dyDescent="0.15">
      <c r="A63" s="430"/>
      <c r="B63" s="429" t="s">
        <v>260</v>
      </c>
      <c r="C63" s="411"/>
      <c r="D63" s="369"/>
      <c r="E63" s="369"/>
      <c r="F63" s="368"/>
      <c r="G63" s="368"/>
      <c r="H63" s="413">
        <f>'단위공사별(집계)'!L12+'단위공사별(집계)'!I12</f>
        <v>0</v>
      </c>
      <c r="I63" s="369"/>
    </row>
    <row r="64" spans="1:9" ht="15.95" customHeight="1" x14ac:dyDescent="0.15">
      <c r="A64" s="430"/>
      <c r="B64" s="429" t="s">
        <v>95</v>
      </c>
      <c r="C64" s="411"/>
      <c r="D64" s="369"/>
      <c r="E64" s="369"/>
      <c r="F64" s="368"/>
      <c r="G64" s="433"/>
      <c r="H64" s="418">
        <f>(H53+H62)*0.05</f>
        <v>0</v>
      </c>
      <c r="I64" s="411"/>
    </row>
    <row r="65" spans="1:9" ht="15.95" customHeight="1" x14ac:dyDescent="0.15">
      <c r="A65" s="430"/>
      <c r="B65" s="429" t="s">
        <v>192</v>
      </c>
      <c r="C65" s="411"/>
      <c r="D65" s="369"/>
      <c r="E65" s="369"/>
      <c r="F65" s="368"/>
      <c r="G65" s="433"/>
      <c r="H65" s="418">
        <f>(H53+H62)*0.1</f>
        <v>0</v>
      </c>
      <c r="I65" s="411"/>
    </row>
    <row r="66" spans="1:9" ht="15.95" customHeight="1" x14ac:dyDescent="0.15">
      <c r="A66" s="430"/>
      <c r="B66" s="429" t="s">
        <v>193</v>
      </c>
      <c r="C66" s="411"/>
      <c r="D66" s="369"/>
      <c r="E66" s="369"/>
      <c r="F66" s="368"/>
      <c r="G66" s="368"/>
      <c r="H66" s="367">
        <f>H53+H62+H63+H64+H65</f>
        <v>0</v>
      </c>
      <c r="I66" s="369"/>
    </row>
    <row r="67" spans="1:9" x14ac:dyDescent="0.15">
      <c r="A67" s="258"/>
    </row>
  </sheetData>
  <mergeCells count="3">
    <mergeCell ref="A2:B2"/>
    <mergeCell ref="A3:A52"/>
    <mergeCell ref="A54:A6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2026-08-11T09:00:59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983E-F542-4F09-BF75-3C859F9EC355}">
  <sheetPr>
    <tabColor rgb="FF00B050"/>
    <pageSetUpPr fitToPage="1"/>
  </sheetPr>
  <dimension ref="A1:I67"/>
  <sheetViews>
    <sheetView zoomScale="85" workbookViewId="0">
      <pane xSplit="2" ySplit="2" topLeftCell="C12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3.5" x14ac:dyDescent="0.15"/>
  <cols>
    <col min="1" max="1" width="5" style="249" customWidth="1"/>
    <col min="2" max="2" width="17.875" style="249" bestFit="1" customWidth="1"/>
    <col min="3" max="3" width="23.625" style="249" customWidth="1"/>
    <col min="4" max="4" width="18.25" style="249" customWidth="1"/>
    <col min="5" max="5" width="5.25" style="249" bestFit="1" customWidth="1"/>
    <col min="6" max="6" width="9" style="287"/>
    <col min="7" max="7" width="11.875" style="287" customWidth="1"/>
    <col min="8" max="8" width="13.625" style="287" customWidth="1"/>
    <col min="9" max="9" width="12.75" style="249" customWidth="1"/>
    <col min="10" max="16384" width="9" style="249"/>
  </cols>
  <sheetData>
    <row r="1" spans="1:9" ht="22.5" customHeight="1" x14ac:dyDescent="0.15">
      <c r="B1" s="337" t="s">
        <v>194</v>
      </c>
      <c r="C1" s="435"/>
      <c r="F1" s="459"/>
      <c r="I1" s="249" t="s">
        <v>130</v>
      </c>
    </row>
    <row r="2" spans="1:9" s="258" customFormat="1" ht="16.5" customHeight="1" x14ac:dyDescent="0.15">
      <c r="A2" s="89" t="s">
        <v>131</v>
      </c>
      <c r="B2" s="340"/>
      <c r="C2" s="259" t="s">
        <v>132</v>
      </c>
      <c r="D2" s="250" t="s">
        <v>133</v>
      </c>
      <c r="E2" s="250" t="s">
        <v>50</v>
      </c>
      <c r="F2" s="437" t="s">
        <v>51</v>
      </c>
      <c r="G2" s="437" t="s">
        <v>134</v>
      </c>
      <c r="H2" s="437" t="s">
        <v>135</v>
      </c>
      <c r="I2" s="250" t="s">
        <v>136</v>
      </c>
    </row>
    <row r="3" spans="1:9" ht="15.95" customHeight="1" x14ac:dyDescent="0.15">
      <c r="A3" s="344" t="s">
        <v>137</v>
      </c>
      <c r="B3" s="345" t="s">
        <v>138</v>
      </c>
      <c r="C3" s="346" t="s">
        <v>196</v>
      </c>
      <c r="D3" s="438" t="s">
        <v>197</v>
      </c>
      <c r="E3" s="355" t="s">
        <v>198</v>
      </c>
      <c r="F3" s="374"/>
      <c r="G3" s="374"/>
      <c r="H3" s="375"/>
      <c r="I3" s="376"/>
    </row>
    <row r="4" spans="1:9" ht="15.95" customHeight="1" x14ac:dyDescent="0.15">
      <c r="A4" s="439"/>
      <c r="B4" s="345"/>
      <c r="C4" s="346" t="s">
        <v>200</v>
      </c>
      <c r="D4" s="438" t="s">
        <v>197</v>
      </c>
      <c r="E4" s="355" t="s">
        <v>198</v>
      </c>
      <c r="F4" s="357"/>
      <c r="G4" s="357"/>
      <c r="H4" s="297"/>
      <c r="I4" s="354"/>
    </row>
    <row r="5" spans="1:9" ht="15.95" customHeight="1" x14ac:dyDescent="0.15">
      <c r="A5" s="439"/>
      <c r="B5" s="345"/>
      <c r="C5" s="346" t="s">
        <v>262</v>
      </c>
      <c r="D5" s="438" t="s">
        <v>197</v>
      </c>
      <c r="E5" s="355" t="s">
        <v>198</v>
      </c>
      <c r="F5" s="357"/>
      <c r="G5" s="357"/>
      <c r="H5" s="297"/>
      <c r="I5" s="354"/>
    </row>
    <row r="6" spans="1:9" ht="15.95" customHeight="1" x14ac:dyDescent="0.15">
      <c r="A6" s="439"/>
      <c r="B6" s="345"/>
      <c r="C6" s="346"/>
      <c r="D6" s="346"/>
      <c r="E6" s="346"/>
      <c r="F6" s="357"/>
      <c r="G6" s="357"/>
      <c r="H6" s="297"/>
      <c r="I6" s="354"/>
    </row>
    <row r="7" spans="1:9" ht="15.95" customHeight="1" x14ac:dyDescent="0.15">
      <c r="A7" s="439"/>
      <c r="B7" s="345"/>
      <c r="C7" s="346"/>
      <c r="D7" s="346"/>
      <c r="E7" s="346"/>
      <c r="F7" s="357"/>
      <c r="G7" s="357"/>
      <c r="H7" s="297"/>
      <c r="I7" s="354"/>
    </row>
    <row r="8" spans="1:9" ht="15.95" customHeight="1" x14ac:dyDescent="0.15">
      <c r="A8" s="439"/>
      <c r="B8" s="345"/>
      <c r="C8" s="346"/>
      <c r="D8" s="346"/>
      <c r="E8" s="346"/>
      <c r="F8" s="357"/>
      <c r="G8" s="357"/>
      <c r="H8" s="297"/>
      <c r="I8" s="354"/>
    </row>
    <row r="9" spans="1:9" ht="15.95" customHeight="1" x14ac:dyDescent="0.15">
      <c r="A9" s="439"/>
      <c r="B9" s="345"/>
      <c r="C9" s="346" t="s">
        <v>283</v>
      </c>
      <c r="D9" s="346"/>
      <c r="E9" s="346" t="s">
        <v>156</v>
      </c>
      <c r="F9" s="357"/>
      <c r="G9" s="357"/>
      <c r="H9" s="297"/>
      <c r="I9" s="354"/>
    </row>
    <row r="10" spans="1:9" ht="15.95" customHeight="1" x14ac:dyDescent="0.15">
      <c r="A10" s="439"/>
      <c r="B10" s="363"/>
      <c r="C10" s="390"/>
      <c r="D10" s="390"/>
      <c r="E10" s="390"/>
      <c r="F10" s="388"/>
      <c r="G10" s="388"/>
      <c r="H10" s="389">
        <f>SUM(H3:H9)</f>
        <v>0</v>
      </c>
      <c r="I10" s="390"/>
    </row>
    <row r="11" spans="1:9" ht="15.95" customHeight="1" x14ac:dyDescent="0.15">
      <c r="A11" s="439"/>
      <c r="B11" s="345" t="s">
        <v>201</v>
      </c>
      <c r="C11" s="347"/>
      <c r="D11" s="347"/>
      <c r="E11" s="347"/>
      <c r="F11" s="350"/>
      <c r="G11" s="350"/>
      <c r="H11" s="351"/>
      <c r="I11" s="352"/>
    </row>
    <row r="12" spans="1:9" ht="15.95" customHeight="1" x14ac:dyDescent="0.15">
      <c r="A12" s="439"/>
      <c r="B12" s="345" t="s">
        <v>203</v>
      </c>
      <c r="C12" s="346"/>
      <c r="D12" s="346"/>
      <c r="E12" s="346"/>
      <c r="F12" s="357"/>
      <c r="G12" s="357"/>
      <c r="H12" s="297"/>
      <c r="I12" s="354"/>
    </row>
    <row r="13" spans="1:9" ht="15.95" customHeight="1" x14ac:dyDescent="0.15">
      <c r="A13" s="439"/>
      <c r="B13" s="345"/>
      <c r="C13" s="346"/>
      <c r="D13" s="346"/>
      <c r="E13" s="346"/>
      <c r="F13" s="357"/>
      <c r="G13" s="357"/>
      <c r="H13" s="297"/>
      <c r="I13" s="354"/>
    </row>
    <row r="14" spans="1:9" ht="15.95" customHeight="1" x14ac:dyDescent="0.15">
      <c r="A14" s="439"/>
      <c r="B14" s="345"/>
      <c r="C14" s="346"/>
      <c r="D14" s="346"/>
      <c r="E14" s="346"/>
      <c r="F14" s="357"/>
      <c r="G14" s="357"/>
      <c r="H14" s="297"/>
      <c r="I14" s="354"/>
    </row>
    <row r="15" spans="1:9" ht="15.95" customHeight="1" x14ac:dyDescent="0.15">
      <c r="A15" s="439"/>
      <c r="B15" s="345"/>
      <c r="C15" s="358" t="s">
        <v>142</v>
      </c>
      <c r="D15" s="358"/>
      <c r="E15" s="358"/>
      <c r="F15" s="361"/>
      <c r="G15" s="361"/>
      <c r="H15" s="297"/>
      <c r="I15" s="362"/>
    </row>
    <row r="16" spans="1:9" ht="15.95" customHeight="1" x14ac:dyDescent="0.15">
      <c r="A16" s="439"/>
      <c r="B16" s="363"/>
      <c r="C16" s="364"/>
      <c r="D16" s="365"/>
      <c r="E16" s="365"/>
      <c r="F16" s="460"/>
      <c r="G16" s="367"/>
      <c r="H16" s="368">
        <f>SUM(H11:H15)</f>
        <v>0</v>
      </c>
      <c r="I16" s="369"/>
    </row>
    <row r="17" spans="1:9" ht="15.95" customHeight="1" x14ac:dyDescent="0.15">
      <c r="A17" s="439"/>
      <c r="B17" s="391" t="s">
        <v>204</v>
      </c>
      <c r="C17" s="371"/>
      <c r="D17" s="371"/>
      <c r="E17" s="355"/>
      <c r="F17" s="356"/>
      <c r="G17" s="374"/>
      <c r="H17" s="375"/>
      <c r="I17" s="376"/>
    </row>
    <row r="18" spans="1:9" ht="15.95" customHeight="1" x14ac:dyDescent="0.15">
      <c r="A18" s="439"/>
      <c r="B18" s="345" t="s">
        <v>207</v>
      </c>
      <c r="C18" s="346"/>
      <c r="D18" s="346"/>
      <c r="E18" s="346"/>
      <c r="F18" s="357"/>
      <c r="G18" s="357"/>
      <c r="H18" s="297"/>
      <c r="I18" s="354"/>
    </row>
    <row r="19" spans="1:9" ht="15.95" customHeight="1" x14ac:dyDescent="0.15">
      <c r="A19" s="439"/>
      <c r="B19" s="345"/>
      <c r="C19" s="346"/>
      <c r="D19" s="346"/>
      <c r="E19" s="346"/>
      <c r="F19" s="357"/>
      <c r="G19" s="357"/>
      <c r="H19" s="297"/>
      <c r="I19" s="354"/>
    </row>
    <row r="20" spans="1:9" ht="15.95" customHeight="1" x14ac:dyDescent="0.15">
      <c r="A20" s="439"/>
      <c r="B20" s="345"/>
      <c r="C20" s="346"/>
      <c r="D20" s="346"/>
      <c r="E20" s="346"/>
      <c r="F20" s="357"/>
      <c r="G20" s="357"/>
      <c r="H20" s="297"/>
      <c r="I20" s="354"/>
    </row>
    <row r="21" spans="1:9" ht="15.95" customHeight="1" x14ac:dyDescent="0.15">
      <c r="A21" s="439"/>
      <c r="B21" s="345"/>
      <c r="C21" s="346"/>
      <c r="D21" s="346"/>
      <c r="E21" s="346"/>
      <c r="F21" s="357"/>
      <c r="G21" s="357"/>
      <c r="H21" s="297"/>
      <c r="I21" s="354"/>
    </row>
    <row r="22" spans="1:9" ht="15.95" customHeight="1" x14ac:dyDescent="0.15">
      <c r="A22" s="439"/>
      <c r="B22" s="345"/>
      <c r="C22" s="346"/>
      <c r="D22" s="346"/>
      <c r="E22" s="346"/>
      <c r="F22" s="357"/>
      <c r="G22" s="357"/>
      <c r="H22" s="297"/>
      <c r="I22" s="354"/>
    </row>
    <row r="23" spans="1:9" ht="15.95" customHeight="1" x14ac:dyDescent="0.15">
      <c r="A23" s="439"/>
      <c r="B23" s="345"/>
      <c r="C23" s="346"/>
      <c r="D23" s="346"/>
      <c r="E23" s="346"/>
      <c r="F23" s="357"/>
      <c r="G23" s="357"/>
      <c r="H23" s="297"/>
      <c r="I23" s="354"/>
    </row>
    <row r="24" spans="1:9" ht="15.95" customHeight="1" x14ac:dyDescent="0.15">
      <c r="A24" s="439"/>
      <c r="B24" s="345"/>
      <c r="C24" s="346"/>
      <c r="D24" s="346"/>
      <c r="E24" s="346"/>
      <c r="F24" s="357"/>
      <c r="G24" s="357"/>
      <c r="H24" s="297"/>
      <c r="I24" s="354"/>
    </row>
    <row r="25" spans="1:9" ht="15.95" customHeight="1" x14ac:dyDescent="0.15">
      <c r="A25" s="439"/>
      <c r="B25" s="345"/>
      <c r="C25" s="346"/>
      <c r="D25" s="346"/>
      <c r="E25" s="346"/>
      <c r="F25" s="357"/>
      <c r="G25" s="357"/>
      <c r="H25" s="297"/>
      <c r="I25" s="354"/>
    </row>
    <row r="26" spans="1:9" ht="15.95" customHeight="1" x14ac:dyDescent="0.15">
      <c r="A26" s="439"/>
      <c r="B26" s="345"/>
      <c r="C26" s="346"/>
      <c r="D26" s="346"/>
      <c r="E26" s="346"/>
      <c r="F26" s="357"/>
      <c r="G26" s="357"/>
      <c r="H26" s="297"/>
      <c r="I26" s="354"/>
    </row>
    <row r="27" spans="1:9" ht="15.95" customHeight="1" x14ac:dyDescent="0.15">
      <c r="A27" s="439"/>
      <c r="B27" s="345"/>
      <c r="C27" s="346"/>
      <c r="D27" s="346"/>
      <c r="E27" s="346"/>
      <c r="F27" s="357"/>
      <c r="G27" s="357"/>
      <c r="H27" s="297"/>
      <c r="I27" s="354"/>
    </row>
    <row r="28" spans="1:9" ht="15.95" customHeight="1" x14ac:dyDescent="0.15">
      <c r="A28" s="439"/>
      <c r="B28" s="345"/>
      <c r="C28" s="346"/>
      <c r="D28" s="346"/>
      <c r="E28" s="346"/>
      <c r="F28" s="357"/>
      <c r="G28" s="357"/>
      <c r="H28" s="297"/>
      <c r="I28" s="354"/>
    </row>
    <row r="29" spans="1:9" ht="15.95" customHeight="1" x14ac:dyDescent="0.15">
      <c r="A29" s="439"/>
      <c r="B29" s="345"/>
      <c r="C29" s="346"/>
      <c r="D29" s="346"/>
      <c r="E29" s="346"/>
      <c r="F29" s="357"/>
      <c r="G29" s="357"/>
      <c r="H29" s="297"/>
      <c r="I29" s="354"/>
    </row>
    <row r="30" spans="1:9" ht="15.95" customHeight="1" x14ac:dyDescent="0.15">
      <c r="A30" s="439"/>
      <c r="B30" s="345"/>
      <c r="C30" s="346"/>
      <c r="D30" s="346"/>
      <c r="E30" s="346"/>
      <c r="F30" s="357"/>
      <c r="G30" s="357"/>
      <c r="H30" s="297"/>
      <c r="I30" s="354"/>
    </row>
    <row r="31" spans="1:9" ht="15.95" customHeight="1" x14ac:dyDescent="0.15">
      <c r="A31" s="439"/>
      <c r="B31" s="345"/>
      <c r="C31" s="346" t="s">
        <v>241</v>
      </c>
      <c r="D31" s="346"/>
      <c r="E31" s="348"/>
      <c r="F31" s="357"/>
      <c r="G31" s="357"/>
      <c r="H31" s="297"/>
      <c r="I31" s="354"/>
    </row>
    <row r="32" spans="1:9" ht="15.95" customHeight="1" x14ac:dyDescent="0.15">
      <c r="A32" s="439"/>
      <c r="B32" s="345"/>
      <c r="C32" s="358" t="s">
        <v>142</v>
      </c>
      <c r="D32" s="358"/>
      <c r="E32" s="359"/>
      <c r="F32" s="361"/>
      <c r="G32" s="361"/>
      <c r="H32" s="307"/>
      <c r="I32" s="362"/>
    </row>
    <row r="33" spans="1:9" ht="15.95" customHeight="1" x14ac:dyDescent="0.15">
      <c r="A33" s="439"/>
      <c r="B33" s="363"/>
      <c r="C33" s="364"/>
      <c r="D33" s="365"/>
      <c r="E33" s="365"/>
      <c r="F33" s="367"/>
      <c r="G33" s="367"/>
      <c r="H33" s="368">
        <f>SUM(H17:H32)</f>
        <v>0</v>
      </c>
      <c r="I33" s="369"/>
    </row>
    <row r="34" spans="1:9" ht="15.95" customHeight="1" x14ac:dyDescent="0.15">
      <c r="A34" s="439"/>
      <c r="B34" s="391" t="s">
        <v>63</v>
      </c>
      <c r="C34" s="371" t="s">
        <v>284</v>
      </c>
      <c r="D34" s="371"/>
      <c r="E34" s="372"/>
      <c r="F34" s="374"/>
      <c r="G34" s="374"/>
      <c r="H34" s="375"/>
      <c r="I34" s="376"/>
    </row>
    <row r="35" spans="1:9" ht="15.95" customHeight="1" x14ac:dyDescent="0.15">
      <c r="A35" s="439"/>
      <c r="B35" s="345"/>
      <c r="C35" s="347" t="s">
        <v>285</v>
      </c>
      <c r="D35" s="347"/>
      <c r="E35" s="348"/>
      <c r="F35" s="350"/>
      <c r="G35" s="350"/>
      <c r="H35" s="297"/>
      <c r="I35" s="354"/>
    </row>
    <row r="36" spans="1:9" ht="15.95" customHeight="1" x14ac:dyDescent="0.15">
      <c r="A36" s="439"/>
      <c r="B36" s="345"/>
      <c r="C36" s="347" t="s">
        <v>286</v>
      </c>
      <c r="D36" s="347"/>
      <c r="E36" s="348"/>
      <c r="F36" s="350"/>
      <c r="G36" s="350"/>
      <c r="H36" s="297"/>
      <c r="I36" s="354"/>
    </row>
    <row r="37" spans="1:9" ht="15.95" customHeight="1" x14ac:dyDescent="0.15">
      <c r="A37" s="439"/>
      <c r="B37" s="345"/>
      <c r="C37" s="347"/>
      <c r="D37" s="347"/>
      <c r="E37" s="348"/>
      <c r="F37" s="350"/>
      <c r="G37" s="350"/>
      <c r="H37" s="351"/>
      <c r="I37" s="354"/>
    </row>
    <row r="38" spans="1:9" ht="15.95" customHeight="1" x14ac:dyDescent="0.15">
      <c r="A38" s="439"/>
      <c r="B38" s="345"/>
      <c r="C38" s="347"/>
      <c r="D38" s="347"/>
      <c r="E38" s="348"/>
      <c r="F38" s="350"/>
      <c r="G38" s="350"/>
      <c r="H38" s="351"/>
      <c r="I38" s="354"/>
    </row>
    <row r="39" spans="1:9" ht="15.95" customHeight="1" x14ac:dyDescent="0.15">
      <c r="A39" s="439"/>
      <c r="B39" s="345"/>
      <c r="C39" s="347"/>
      <c r="D39" s="347"/>
      <c r="E39" s="348"/>
      <c r="F39" s="350"/>
      <c r="G39" s="350"/>
      <c r="H39" s="351"/>
      <c r="I39" s="354"/>
    </row>
    <row r="40" spans="1:9" ht="15.95" customHeight="1" x14ac:dyDescent="0.15">
      <c r="A40" s="439"/>
      <c r="B40" s="345"/>
      <c r="C40" s="347"/>
      <c r="D40" s="347"/>
      <c r="E40" s="348"/>
      <c r="F40" s="350"/>
      <c r="G40" s="350"/>
      <c r="H40" s="351"/>
      <c r="I40" s="354"/>
    </row>
    <row r="41" spans="1:9" ht="15.95" customHeight="1" x14ac:dyDescent="0.15">
      <c r="A41" s="439"/>
      <c r="B41" s="345"/>
      <c r="C41" s="347"/>
      <c r="D41" s="347"/>
      <c r="E41" s="348"/>
      <c r="F41" s="350"/>
      <c r="G41" s="350"/>
      <c r="H41" s="351"/>
      <c r="I41" s="354"/>
    </row>
    <row r="42" spans="1:9" ht="15.95" customHeight="1" x14ac:dyDescent="0.15">
      <c r="A42" s="439"/>
      <c r="B42" s="345"/>
      <c r="C42" s="347"/>
      <c r="D42" s="347"/>
      <c r="E42" s="348"/>
      <c r="F42" s="350"/>
      <c r="G42" s="350"/>
      <c r="H42" s="351"/>
      <c r="I42" s="354"/>
    </row>
    <row r="43" spans="1:9" ht="15.95" customHeight="1" x14ac:dyDescent="0.15">
      <c r="A43" s="439"/>
      <c r="B43" s="345"/>
      <c r="C43" s="347"/>
      <c r="D43" s="347"/>
      <c r="E43" s="348"/>
      <c r="F43" s="350"/>
      <c r="G43" s="350"/>
      <c r="H43" s="351"/>
      <c r="I43" s="354"/>
    </row>
    <row r="44" spans="1:9" ht="15.95" customHeight="1" x14ac:dyDescent="0.15">
      <c r="A44" s="439"/>
      <c r="B44" s="345"/>
      <c r="C44" s="347"/>
      <c r="D44" s="347"/>
      <c r="E44" s="348"/>
      <c r="F44" s="350"/>
      <c r="G44" s="350"/>
      <c r="H44" s="351"/>
      <c r="I44" s="354"/>
    </row>
    <row r="45" spans="1:9" ht="15.95" customHeight="1" x14ac:dyDescent="0.15">
      <c r="A45" s="439"/>
      <c r="B45" s="345"/>
      <c r="C45" s="347"/>
      <c r="D45" s="347"/>
      <c r="E45" s="348"/>
      <c r="F45" s="350"/>
      <c r="G45" s="350"/>
      <c r="H45" s="351"/>
      <c r="I45" s="354"/>
    </row>
    <row r="46" spans="1:9" ht="15.95" customHeight="1" x14ac:dyDescent="0.15">
      <c r="A46" s="439"/>
      <c r="B46" s="345"/>
      <c r="C46" s="346"/>
      <c r="D46" s="346"/>
      <c r="E46" s="355"/>
      <c r="F46" s="357"/>
      <c r="G46" s="357"/>
      <c r="H46" s="297"/>
      <c r="I46" s="354"/>
    </row>
    <row r="47" spans="1:9" ht="15.95" customHeight="1" x14ac:dyDescent="0.15">
      <c r="A47" s="439"/>
      <c r="B47" s="345"/>
      <c r="C47" s="346"/>
      <c r="D47" s="346"/>
      <c r="E47" s="355"/>
      <c r="F47" s="357"/>
      <c r="G47" s="357"/>
      <c r="H47" s="297"/>
      <c r="I47" s="354"/>
    </row>
    <row r="48" spans="1:9" ht="15.95" customHeight="1" x14ac:dyDescent="0.15">
      <c r="A48" s="439"/>
      <c r="B48" s="345"/>
      <c r="C48" s="346"/>
      <c r="D48" s="346"/>
      <c r="E48" s="355"/>
      <c r="F48" s="357"/>
      <c r="G48" s="357"/>
      <c r="H48" s="297"/>
      <c r="I48" s="354"/>
    </row>
    <row r="49" spans="1:9" ht="15.95" customHeight="1" x14ac:dyDescent="0.15">
      <c r="A49" s="439"/>
      <c r="B49" s="345"/>
      <c r="C49" s="346"/>
      <c r="D49" s="346"/>
      <c r="E49" s="355"/>
      <c r="F49" s="357"/>
      <c r="G49" s="357"/>
      <c r="H49" s="297"/>
      <c r="I49" s="354"/>
    </row>
    <row r="50" spans="1:9" ht="15.95" customHeight="1" x14ac:dyDescent="0.15">
      <c r="A50" s="439"/>
      <c r="B50" s="345"/>
      <c r="C50" s="346"/>
      <c r="D50" s="346"/>
      <c r="E50" s="355"/>
      <c r="F50" s="357"/>
      <c r="G50" s="357"/>
      <c r="H50" s="297"/>
      <c r="I50" s="354"/>
    </row>
    <row r="51" spans="1:9" ht="15.95" customHeight="1" x14ac:dyDescent="0.15">
      <c r="A51" s="439"/>
      <c r="B51" s="345"/>
      <c r="C51" s="358" t="s">
        <v>142</v>
      </c>
      <c r="D51" s="358"/>
      <c r="E51" s="359"/>
      <c r="F51" s="361"/>
      <c r="G51" s="361"/>
      <c r="H51" s="307"/>
      <c r="I51" s="354"/>
    </row>
    <row r="52" spans="1:9" ht="15.95" customHeight="1" x14ac:dyDescent="0.15">
      <c r="A52" s="439"/>
      <c r="B52" s="363"/>
      <c r="C52" s="364"/>
      <c r="D52" s="365"/>
      <c r="E52" s="365"/>
      <c r="F52" s="367"/>
      <c r="G52" s="367"/>
      <c r="H52" s="368">
        <f>SUM(H34:H51)</f>
        <v>0</v>
      </c>
      <c r="I52" s="369"/>
    </row>
    <row r="53" spans="1:9" ht="15.95" customHeight="1" x14ac:dyDescent="0.15">
      <c r="A53" s="409"/>
      <c r="B53" s="410" t="s">
        <v>180</v>
      </c>
      <c r="C53" s="411"/>
      <c r="D53" s="369"/>
      <c r="E53" s="369"/>
      <c r="F53" s="413"/>
      <c r="G53" s="413"/>
      <c r="H53" s="368">
        <f>SUM(H52,H33,H16,H10)</f>
        <v>0</v>
      </c>
      <c r="I53" s="369"/>
    </row>
    <row r="54" spans="1:9" ht="15.95" customHeight="1" x14ac:dyDescent="0.15">
      <c r="A54" s="448" t="s">
        <v>181</v>
      </c>
      <c r="B54" s="415" t="s">
        <v>69</v>
      </c>
      <c r="C54" s="411"/>
      <c r="D54" s="369"/>
      <c r="E54" s="430" t="s">
        <v>70</v>
      </c>
      <c r="F54" s="418"/>
      <c r="G54" s="418"/>
      <c r="H54" s="419">
        <f>F54*G54</f>
        <v>0</v>
      </c>
      <c r="I54" s="369"/>
    </row>
    <row r="55" spans="1:9" ht="15.95" customHeight="1" x14ac:dyDescent="0.15">
      <c r="A55" s="439"/>
      <c r="B55" s="421" t="s">
        <v>253</v>
      </c>
      <c r="C55" s="422"/>
      <c r="D55" s="376"/>
      <c r="E55" s="443" t="s">
        <v>185</v>
      </c>
      <c r="F55" s="374"/>
      <c r="G55" s="374"/>
      <c r="H55" s="375">
        <f t="shared" ref="H55:H61" si="0">F55*G55</f>
        <v>0</v>
      </c>
      <c r="I55" s="376"/>
    </row>
    <row r="56" spans="1:9" ht="15.95" customHeight="1" x14ac:dyDescent="0.15">
      <c r="A56" s="439"/>
      <c r="B56" s="449" t="s">
        <v>254</v>
      </c>
      <c r="C56" s="425"/>
      <c r="D56" s="354"/>
      <c r="E56" s="444" t="s">
        <v>185</v>
      </c>
      <c r="F56" s="357"/>
      <c r="G56" s="357"/>
      <c r="H56" s="297">
        <f t="shared" si="0"/>
        <v>0</v>
      </c>
      <c r="I56" s="354"/>
    </row>
    <row r="57" spans="1:9" ht="15.95" customHeight="1" x14ac:dyDescent="0.15">
      <c r="A57" s="439"/>
      <c r="B57" s="424" t="s">
        <v>255</v>
      </c>
      <c r="C57" s="425"/>
      <c r="D57" s="354"/>
      <c r="E57" s="444" t="s">
        <v>185</v>
      </c>
      <c r="F57" s="357"/>
      <c r="G57" s="357"/>
      <c r="H57" s="297">
        <f t="shared" si="0"/>
        <v>0</v>
      </c>
      <c r="I57" s="354"/>
    </row>
    <row r="58" spans="1:9" ht="15.95" customHeight="1" x14ac:dyDescent="0.15">
      <c r="A58" s="439"/>
      <c r="B58" s="424" t="s">
        <v>256</v>
      </c>
      <c r="C58" s="425"/>
      <c r="D58" s="354"/>
      <c r="E58" s="444" t="s">
        <v>185</v>
      </c>
      <c r="F58" s="357"/>
      <c r="G58" s="357"/>
      <c r="H58" s="297">
        <f t="shared" si="0"/>
        <v>0</v>
      </c>
      <c r="I58" s="354"/>
    </row>
    <row r="59" spans="1:9" ht="15.95" customHeight="1" x14ac:dyDescent="0.15">
      <c r="A59" s="439"/>
      <c r="B59" s="424" t="s">
        <v>257</v>
      </c>
      <c r="C59" s="425"/>
      <c r="D59" s="354"/>
      <c r="E59" s="444" t="s">
        <v>185</v>
      </c>
      <c r="F59" s="357"/>
      <c r="G59" s="357"/>
      <c r="H59" s="297">
        <f t="shared" si="0"/>
        <v>0</v>
      </c>
      <c r="I59" s="354"/>
    </row>
    <row r="60" spans="1:9" ht="15.95" customHeight="1" x14ac:dyDescent="0.15">
      <c r="A60" s="439"/>
      <c r="B60" s="424" t="s">
        <v>258</v>
      </c>
      <c r="C60" s="425"/>
      <c r="D60" s="354"/>
      <c r="E60" s="444" t="s">
        <v>185</v>
      </c>
      <c r="F60" s="357"/>
      <c r="G60" s="357"/>
      <c r="H60" s="297">
        <f t="shared" si="0"/>
        <v>0</v>
      </c>
      <c r="I60" s="354"/>
    </row>
    <row r="61" spans="1:9" ht="15.95" customHeight="1" x14ac:dyDescent="0.15">
      <c r="A61" s="439"/>
      <c r="B61" s="426" t="s">
        <v>259</v>
      </c>
      <c r="C61" s="427"/>
      <c r="D61" s="362"/>
      <c r="E61" s="445" t="s">
        <v>185</v>
      </c>
      <c r="F61" s="361"/>
      <c r="G61" s="361"/>
      <c r="H61" s="307">
        <f t="shared" si="0"/>
        <v>0</v>
      </c>
      <c r="I61" s="362"/>
    </row>
    <row r="62" spans="1:9" ht="15.95" customHeight="1" x14ac:dyDescent="0.15">
      <c r="A62" s="409"/>
      <c r="B62" s="429" t="s">
        <v>189</v>
      </c>
      <c r="C62" s="411"/>
      <c r="D62" s="369"/>
      <c r="E62" s="369"/>
      <c r="F62" s="367"/>
      <c r="G62" s="367"/>
      <c r="H62" s="367">
        <f>SUM(H54:H61)</f>
        <v>0</v>
      </c>
      <c r="I62" s="365"/>
    </row>
    <row r="63" spans="1:9" ht="15.95" customHeight="1" x14ac:dyDescent="0.15">
      <c r="A63" s="430"/>
      <c r="B63" s="429" t="s">
        <v>260</v>
      </c>
      <c r="C63" s="411"/>
      <c r="D63" s="369"/>
      <c r="E63" s="369"/>
      <c r="F63" s="368"/>
      <c r="G63" s="368"/>
      <c r="H63" s="413">
        <f>'단위공사별(집계)'!L13+'단위공사별(집계)'!I13</f>
        <v>0</v>
      </c>
      <c r="I63" s="369"/>
    </row>
    <row r="64" spans="1:9" ht="15.95" customHeight="1" x14ac:dyDescent="0.15">
      <c r="A64" s="430"/>
      <c r="B64" s="429" t="s">
        <v>95</v>
      </c>
      <c r="C64" s="411"/>
      <c r="D64" s="369"/>
      <c r="E64" s="369"/>
      <c r="F64" s="368"/>
      <c r="G64" s="433"/>
      <c r="H64" s="418"/>
      <c r="I64" s="411"/>
    </row>
    <row r="65" spans="1:9" ht="15.95" customHeight="1" x14ac:dyDescent="0.15">
      <c r="A65" s="430"/>
      <c r="B65" s="429" t="s">
        <v>192</v>
      </c>
      <c r="C65" s="411"/>
      <c r="D65" s="369"/>
      <c r="E65" s="369"/>
      <c r="F65" s="368"/>
      <c r="G65" s="433"/>
      <c r="H65" s="418"/>
      <c r="I65" s="411"/>
    </row>
    <row r="66" spans="1:9" ht="15.95" customHeight="1" x14ac:dyDescent="0.15">
      <c r="A66" s="430"/>
      <c r="B66" s="429" t="s">
        <v>193</v>
      </c>
      <c r="C66" s="411"/>
      <c r="D66" s="369"/>
      <c r="E66" s="369"/>
      <c r="F66" s="368"/>
      <c r="G66" s="368"/>
      <c r="H66" s="367">
        <f>H53+H62+H63+H64+H65</f>
        <v>0</v>
      </c>
      <c r="I66" s="369"/>
    </row>
    <row r="67" spans="1:9" x14ac:dyDescent="0.15">
      <c r="A67" s="258"/>
    </row>
  </sheetData>
  <mergeCells count="3">
    <mergeCell ref="A2:B2"/>
    <mergeCell ref="A3:A52"/>
    <mergeCell ref="A54:A6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2026-08-11T09:00:59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3DAAF-D97E-418F-8551-0B62930C92A6}">
  <sheetPr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3.5" x14ac:dyDescent="0.15"/>
  <cols>
    <col min="1" max="1" width="5" style="249" customWidth="1"/>
    <col min="2" max="2" width="17.875" style="249" bestFit="1" customWidth="1"/>
    <col min="3" max="3" width="23.625" style="249" customWidth="1"/>
    <col min="4" max="4" width="18.25" style="249" customWidth="1"/>
    <col min="5" max="5" width="5.25" style="249" bestFit="1" customWidth="1"/>
    <col min="6" max="6" width="9" style="287"/>
    <col min="7" max="7" width="11.875" style="287" customWidth="1"/>
    <col min="8" max="8" width="13.625" style="287" customWidth="1"/>
    <col min="9" max="9" width="12.75" style="249" customWidth="1"/>
    <col min="10" max="16384" width="9" style="249"/>
  </cols>
  <sheetData>
    <row r="1" spans="1:9" ht="22.5" customHeight="1" x14ac:dyDescent="0.15">
      <c r="B1" s="337" t="s">
        <v>194</v>
      </c>
      <c r="C1" s="435"/>
      <c r="F1" s="459"/>
      <c r="I1" s="249" t="s">
        <v>130</v>
      </c>
    </row>
    <row r="2" spans="1:9" s="258" customFormat="1" ht="16.5" customHeight="1" x14ac:dyDescent="0.15">
      <c r="A2" s="89" t="s">
        <v>131</v>
      </c>
      <c r="B2" s="340"/>
      <c r="C2" s="259" t="s">
        <v>132</v>
      </c>
      <c r="D2" s="250" t="s">
        <v>133</v>
      </c>
      <c r="E2" s="250" t="s">
        <v>50</v>
      </c>
      <c r="F2" s="437" t="s">
        <v>51</v>
      </c>
      <c r="G2" s="437" t="s">
        <v>134</v>
      </c>
      <c r="H2" s="437" t="s">
        <v>135</v>
      </c>
      <c r="I2" s="250" t="s">
        <v>136</v>
      </c>
    </row>
    <row r="3" spans="1:9" ht="15.95" customHeight="1" x14ac:dyDescent="0.15">
      <c r="A3" s="344" t="s">
        <v>137</v>
      </c>
      <c r="B3" s="345" t="s">
        <v>138</v>
      </c>
      <c r="C3" s="371"/>
      <c r="D3" s="371"/>
      <c r="E3" s="371"/>
      <c r="F3" s="374"/>
      <c r="G3" s="374"/>
      <c r="H3" s="375">
        <f>IF(F3=0,G3,G3*F3)</f>
        <v>0</v>
      </c>
      <c r="I3" s="376"/>
    </row>
    <row r="4" spans="1:9" ht="15.95" customHeight="1" x14ac:dyDescent="0.15">
      <c r="A4" s="439"/>
      <c r="B4" s="345"/>
      <c r="C4" s="346"/>
      <c r="D4" s="346"/>
      <c r="E4" s="346"/>
      <c r="F4" s="357"/>
      <c r="G4" s="357"/>
      <c r="H4" s="297">
        <f>IF(F4=0,G4,G4*F4)</f>
        <v>0</v>
      </c>
      <c r="I4" s="354"/>
    </row>
    <row r="5" spans="1:9" ht="15.95" customHeight="1" x14ac:dyDescent="0.15">
      <c r="A5" s="439"/>
      <c r="B5" s="345"/>
      <c r="C5" s="346"/>
      <c r="D5" s="346"/>
      <c r="E5" s="346"/>
      <c r="F5" s="357"/>
      <c r="G5" s="357"/>
      <c r="H5" s="297">
        <f t="shared" ref="H5:H54" si="0">IF(F5=0,G5,G5*F5)</f>
        <v>0</v>
      </c>
      <c r="I5" s="354"/>
    </row>
    <row r="6" spans="1:9" ht="15.95" customHeight="1" x14ac:dyDescent="0.15">
      <c r="A6" s="439"/>
      <c r="B6" s="345"/>
      <c r="C6" s="346"/>
      <c r="D6" s="346"/>
      <c r="E6" s="346"/>
      <c r="F6" s="357"/>
      <c r="G6" s="357"/>
      <c r="H6" s="297">
        <f t="shared" si="0"/>
        <v>0</v>
      </c>
      <c r="I6" s="354"/>
    </row>
    <row r="7" spans="1:9" ht="15.95" customHeight="1" x14ac:dyDescent="0.15">
      <c r="A7" s="439"/>
      <c r="B7" s="345"/>
      <c r="C7" s="346"/>
      <c r="D7" s="346"/>
      <c r="E7" s="346"/>
      <c r="F7" s="357"/>
      <c r="G7" s="357"/>
      <c r="H7" s="297">
        <f t="shared" si="0"/>
        <v>0</v>
      </c>
      <c r="I7" s="354"/>
    </row>
    <row r="8" spans="1:9" ht="15.95" customHeight="1" x14ac:dyDescent="0.15">
      <c r="A8" s="439"/>
      <c r="B8" s="345"/>
      <c r="C8" s="346"/>
      <c r="D8" s="346"/>
      <c r="E8" s="346"/>
      <c r="F8" s="357"/>
      <c r="G8" s="357"/>
      <c r="H8" s="297">
        <f t="shared" si="0"/>
        <v>0</v>
      </c>
      <c r="I8" s="354"/>
    </row>
    <row r="9" spans="1:9" ht="15.95" customHeight="1" x14ac:dyDescent="0.15">
      <c r="A9" s="439"/>
      <c r="B9" s="345"/>
      <c r="C9" s="346"/>
      <c r="D9" s="346"/>
      <c r="E9" s="346"/>
      <c r="F9" s="357"/>
      <c r="G9" s="357"/>
      <c r="H9" s="297">
        <f t="shared" si="0"/>
        <v>0</v>
      </c>
      <c r="I9" s="354"/>
    </row>
    <row r="10" spans="1:9" ht="15.95" customHeight="1" x14ac:dyDescent="0.15">
      <c r="A10" s="439"/>
      <c r="B10" s="345"/>
      <c r="C10" s="346"/>
      <c r="D10" s="346"/>
      <c r="E10" s="346"/>
      <c r="F10" s="357"/>
      <c r="G10" s="357"/>
      <c r="H10" s="297">
        <f t="shared" si="0"/>
        <v>0</v>
      </c>
      <c r="I10" s="354"/>
    </row>
    <row r="11" spans="1:9" ht="15.95" customHeight="1" x14ac:dyDescent="0.15">
      <c r="A11" s="439"/>
      <c r="B11" s="345"/>
      <c r="C11" s="346"/>
      <c r="D11" s="346"/>
      <c r="E11" s="346"/>
      <c r="F11" s="357"/>
      <c r="G11" s="357"/>
      <c r="H11" s="297">
        <f t="shared" si="0"/>
        <v>0</v>
      </c>
      <c r="I11" s="354"/>
    </row>
    <row r="12" spans="1:9" ht="15.95" customHeight="1" x14ac:dyDescent="0.15">
      <c r="A12" s="439"/>
      <c r="B12" s="345"/>
      <c r="C12" s="346"/>
      <c r="D12" s="346"/>
      <c r="E12" s="346"/>
      <c r="F12" s="357"/>
      <c r="G12" s="357"/>
      <c r="H12" s="297">
        <f t="shared" si="0"/>
        <v>0</v>
      </c>
      <c r="I12" s="354"/>
    </row>
    <row r="13" spans="1:9" ht="15.95" customHeight="1" x14ac:dyDescent="0.15">
      <c r="A13" s="439"/>
      <c r="B13" s="345"/>
      <c r="C13" s="346"/>
      <c r="D13" s="346"/>
      <c r="E13" s="346"/>
      <c r="F13" s="357"/>
      <c r="G13" s="357"/>
      <c r="H13" s="297">
        <f t="shared" si="0"/>
        <v>0</v>
      </c>
      <c r="I13" s="354"/>
    </row>
    <row r="14" spans="1:9" ht="15.95" customHeight="1" x14ac:dyDescent="0.15">
      <c r="A14" s="439"/>
      <c r="B14" s="345"/>
      <c r="C14" s="346"/>
      <c r="D14" s="346"/>
      <c r="E14" s="346"/>
      <c r="F14" s="357"/>
      <c r="G14" s="357"/>
      <c r="H14" s="297">
        <f t="shared" si="0"/>
        <v>0</v>
      </c>
      <c r="I14" s="354"/>
    </row>
    <row r="15" spans="1:9" ht="15.95" customHeight="1" x14ac:dyDescent="0.15">
      <c r="A15" s="439"/>
      <c r="B15" s="345"/>
      <c r="C15" s="346"/>
      <c r="D15" s="346"/>
      <c r="E15" s="346"/>
      <c r="F15" s="357"/>
      <c r="G15" s="357"/>
      <c r="H15" s="297">
        <f t="shared" si="0"/>
        <v>0</v>
      </c>
      <c r="I15" s="354"/>
    </row>
    <row r="16" spans="1:9" ht="15.95" customHeight="1" x14ac:dyDescent="0.15">
      <c r="A16" s="439"/>
      <c r="B16" s="345"/>
      <c r="C16" s="346"/>
      <c r="D16" s="346"/>
      <c r="E16" s="346"/>
      <c r="F16" s="357"/>
      <c r="G16" s="357"/>
      <c r="H16" s="297">
        <f t="shared" si="0"/>
        <v>0</v>
      </c>
      <c r="I16" s="354"/>
    </row>
    <row r="17" spans="1:9" ht="15.95" customHeight="1" x14ac:dyDescent="0.15">
      <c r="A17" s="439"/>
      <c r="B17" s="345"/>
      <c r="C17" s="346"/>
      <c r="D17" s="346"/>
      <c r="E17" s="346"/>
      <c r="F17" s="357"/>
      <c r="G17" s="357"/>
      <c r="H17" s="297">
        <f t="shared" si="0"/>
        <v>0</v>
      </c>
      <c r="I17" s="354"/>
    </row>
    <row r="18" spans="1:9" ht="15.95" customHeight="1" x14ac:dyDescent="0.15">
      <c r="A18" s="439"/>
      <c r="B18" s="345"/>
      <c r="C18" s="346"/>
      <c r="D18" s="346"/>
      <c r="E18" s="346"/>
      <c r="F18" s="357"/>
      <c r="G18" s="357"/>
      <c r="H18" s="297">
        <f t="shared" si="0"/>
        <v>0</v>
      </c>
      <c r="I18" s="354"/>
    </row>
    <row r="19" spans="1:9" ht="15.95" customHeight="1" x14ac:dyDescent="0.15">
      <c r="A19" s="439"/>
      <c r="B19" s="345"/>
      <c r="C19" s="346"/>
      <c r="D19" s="346"/>
      <c r="E19" s="346"/>
      <c r="F19" s="357"/>
      <c r="G19" s="357"/>
      <c r="H19" s="297">
        <f t="shared" si="0"/>
        <v>0</v>
      </c>
      <c r="I19" s="354"/>
    </row>
    <row r="20" spans="1:9" ht="15.95" customHeight="1" x14ac:dyDescent="0.15">
      <c r="A20" s="439"/>
      <c r="B20" s="345"/>
      <c r="C20" s="346"/>
      <c r="D20" s="346"/>
      <c r="E20" s="346"/>
      <c r="F20" s="357"/>
      <c r="G20" s="357"/>
      <c r="H20" s="297">
        <f t="shared" si="0"/>
        <v>0</v>
      </c>
      <c r="I20" s="354"/>
    </row>
    <row r="21" spans="1:9" ht="15.95" customHeight="1" x14ac:dyDescent="0.15">
      <c r="A21" s="439"/>
      <c r="B21" s="345"/>
      <c r="C21" s="346"/>
      <c r="D21" s="346"/>
      <c r="E21" s="346"/>
      <c r="F21" s="357"/>
      <c r="G21" s="357"/>
      <c r="H21" s="297">
        <f t="shared" si="0"/>
        <v>0</v>
      </c>
      <c r="I21" s="354"/>
    </row>
    <row r="22" spans="1:9" ht="15.95" customHeight="1" x14ac:dyDescent="0.15">
      <c r="A22" s="439"/>
      <c r="B22" s="345"/>
      <c r="C22" s="346"/>
      <c r="D22" s="346"/>
      <c r="E22" s="346"/>
      <c r="F22" s="357"/>
      <c r="G22" s="357"/>
      <c r="H22" s="297">
        <f t="shared" si="0"/>
        <v>0</v>
      </c>
      <c r="I22" s="354"/>
    </row>
    <row r="23" spans="1:9" ht="15.95" customHeight="1" x14ac:dyDescent="0.15">
      <c r="A23" s="439"/>
      <c r="B23" s="345"/>
      <c r="C23" s="358" t="s">
        <v>142</v>
      </c>
      <c r="D23" s="378"/>
      <c r="E23" s="378"/>
      <c r="F23" s="381"/>
      <c r="G23" s="381"/>
      <c r="H23" s="382">
        <f t="shared" si="0"/>
        <v>0</v>
      </c>
      <c r="I23" s="383"/>
    </row>
    <row r="24" spans="1:9" ht="15.95" customHeight="1" x14ac:dyDescent="0.15">
      <c r="A24" s="439"/>
      <c r="B24" s="363"/>
      <c r="C24" s="390"/>
      <c r="D24" s="390"/>
      <c r="E24" s="390"/>
      <c r="F24" s="388"/>
      <c r="G24" s="388"/>
      <c r="H24" s="389">
        <f>SUM(H3:H23)</f>
        <v>0</v>
      </c>
      <c r="I24" s="390"/>
    </row>
    <row r="25" spans="1:9" ht="15.95" customHeight="1" x14ac:dyDescent="0.15">
      <c r="A25" s="439"/>
      <c r="B25" s="345" t="s">
        <v>201</v>
      </c>
      <c r="C25" s="347"/>
      <c r="D25" s="347"/>
      <c r="E25" s="347"/>
      <c r="F25" s="350"/>
      <c r="G25" s="350"/>
      <c r="H25" s="351">
        <f t="shared" si="0"/>
        <v>0</v>
      </c>
      <c r="I25" s="352"/>
    </row>
    <row r="26" spans="1:9" ht="15.95" customHeight="1" x14ac:dyDescent="0.15">
      <c r="A26" s="439"/>
      <c r="B26" s="345" t="s">
        <v>203</v>
      </c>
      <c r="C26" s="346"/>
      <c r="D26" s="346"/>
      <c r="E26" s="346"/>
      <c r="F26" s="357"/>
      <c r="G26" s="357"/>
      <c r="H26" s="297">
        <f t="shared" si="0"/>
        <v>0</v>
      </c>
      <c r="I26" s="354"/>
    </row>
    <row r="27" spans="1:9" ht="15.95" customHeight="1" x14ac:dyDescent="0.15">
      <c r="A27" s="439"/>
      <c r="B27" s="345"/>
      <c r="C27" s="346"/>
      <c r="D27" s="346"/>
      <c r="E27" s="346"/>
      <c r="F27" s="357"/>
      <c r="G27" s="357"/>
      <c r="H27" s="297">
        <f t="shared" si="0"/>
        <v>0</v>
      </c>
      <c r="I27" s="354"/>
    </row>
    <row r="28" spans="1:9" ht="15.95" customHeight="1" x14ac:dyDescent="0.15">
      <c r="A28" s="439"/>
      <c r="B28" s="345"/>
      <c r="C28" s="346"/>
      <c r="D28" s="346"/>
      <c r="E28" s="346"/>
      <c r="F28" s="357"/>
      <c r="G28" s="357"/>
      <c r="H28" s="297">
        <f t="shared" si="0"/>
        <v>0</v>
      </c>
      <c r="I28" s="354"/>
    </row>
    <row r="29" spans="1:9" ht="15.95" customHeight="1" x14ac:dyDescent="0.15">
      <c r="A29" s="439"/>
      <c r="B29" s="345"/>
      <c r="C29" s="358" t="s">
        <v>142</v>
      </c>
      <c r="D29" s="358"/>
      <c r="E29" s="358"/>
      <c r="F29" s="361"/>
      <c r="G29" s="361"/>
      <c r="H29" s="297">
        <f t="shared" si="0"/>
        <v>0</v>
      </c>
      <c r="I29" s="362"/>
    </row>
    <row r="30" spans="1:9" ht="15.95" customHeight="1" x14ac:dyDescent="0.15">
      <c r="A30" s="439"/>
      <c r="B30" s="363"/>
      <c r="C30" s="364"/>
      <c r="D30" s="365"/>
      <c r="E30" s="365"/>
      <c r="F30" s="460"/>
      <c r="G30" s="367"/>
      <c r="H30" s="368">
        <f>SUM(H25:H29)</f>
        <v>0</v>
      </c>
      <c r="I30" s="369"/>
    </row>
    <row r="31" spans="1:9" ht="15.95" customHeight="1" x14ac:dyDescent="0.15">
      <c r="A31" s="439"/>
      <c r="B31" s="391" t="s">
        <v>204</v>
      </c>
      <c r="C31" s="371"/>
      <c r="D31" s="371"/>
      <c r="E31" s="371"/>
      <c r="F31" s="374"/>
      <c r="G31" s="374"/>
      <c r="H31" s="375">
        <f t="shared" si="0"/>
        <v>0</v>
      </c>
      <c r="I31" s="376"/>
    </row>
    <row r="32" spans="1:9" ht="15.95" customHeight="1" x14ac:dyDescent="0.15">
      <c r="A32" s="439"/>
      <c r="B32" s="345" t="s">
        <v>207</v>
      </c>
      <c r="C32" s="346"/>
      <c r="D32" s="346"/>
      <c r="E32" s="346"/>
      <c r="F32" s="357"/>
      <c r="G32" s="357"/>
      <c r="H32" s="297">
        <f t="shared" si="0"/>
        <v>0</v>
      </c>
      <c r="I32" s="354"/>
    </row>
    <row r="33" spans="1:9" ht="15.95" customHeight="1" x14ac:dyDescent="0.15">
      <c r="A33" s="439"/>
      <c r="B33" s="345"/>
      <c r="C33" s="346"/>
      <c r="D33" s="346"/>
      <c r="E33" s="346"/>
      <c r="F33" s="357"/>
      <c r="G33" s="357"/>
      <c r="H33" s="297">
        <f t="shared" si="0"/>
        <v>0</v>
      </c>
      <c r="I33" s="354"/>
    </row>
    <row r="34" spans="1:9" ht="15.95" customHeight="1" x14ac:dyDescent="0.15">
      <c r="A34" s="439"/>
      <c r="B34" s="345"/>
      <c r="C34" s="346"/>
      <c r="D34" s="346"/>
      <c r="E34" s="346"/>
      <c r="F34" s="357"/>
      <c r="G34" s="357"/>
      <c r="H34" s="297">
        <f t="shared" si="0"/>
        <v>0</v>
      </c>
      <c r="I34" s="354"/>
    </row>
    <row r="35" spans="1:9" ht="15.95" customHeight="1" x14ac:dyDescent="0.15">
      <c r="A35" s="439"/>
      <c r="B35" s="345"/>
      <c r="C35" s="346"/>
      <c r="D35" s="346"/>
      <c r="E35" s="346"/>
      <c r="F35" s="357"/>
      <c r="G35" s="357"/>
      <c r="H35" s="297">
        <f t="shared" si="0"/>
        <v>0</v>
      </c>
      <c r="I35" s="354"/>
    </row>
    <row r="36" spans="1:9" ht="15.95" customHeight="1" x14ac:dyDescent="0.15">
      <c r="A36" s="439"/>
      <c r="B36" s="345"/>
      <c r="C36" s="346"/>
      <c r="D36" s="346"/>
      <c r="E36" s="346"/>
      <c r="F36" s="357"/>
      <c r="G36" s="357"/>
      <c r="H36" s="297">
        <f t="shared" si="0"/>
        <v>0</v>
      </c>
      <c r="I36" s="354"/>
    </row>
    <row r="37" spans="1:9" ht="15.95" customHeight="1" x14ac:dyDescent="0.15">
      <c r="A37" s="439"/>
      <c r="B37" s="345"/>
      <c r="C37" s="346"/>
      <c r="D37" s="346"/>
      <c r="E37" s="346"/>
      <c r="F37" s="357"/>
      <c r="G37" s="357"/>
      <c r="H37" s="297">
        <f t="shared" si="0"/>
        <v>0</v>
      </c>
      <c r="I37" s="354"/>
    </row>
    <row r="38" spans="1:9" ht="15.95" customHeight="1" x14ac:dyDescent="0.15">
      <c r="A38" s="439"/>
      <c r="B38" s="345"/>
      <c r="C38" s="346"/>
      <c r="D38" s="346"/>
      <c r="E38" s="346"/>
      <c r="F38" s="357"/>
      <c r="G38" s="357"/>
      <c r="H38" s="297">
        <f t="shared" si="0"/>
        <v>0</v>
      </c>
      <c r="I38" s="354"/>
    </row>
    <row r="39" spans="1:9" ht="15.95" customHeight="1" x14ac:dyDescent="0.15">
      <c r="A39" s="439"/>
      <c r="B39" s="345"/>
      <c r="C39" s="346"/>
      <c r="D39" s="346"/>
      <c r="E39" s="346"/>
      <c r="F39" s="357"/>
      <c r="G39" s="357"/>
      <c r="H39" s="297">
        <f t="shared" si="0"/>
        <v>0</v>
      </c>
      <c r="I39" s="354"/>
    </row>
    <row r="40" spans="1:9" ht="15.95" customHeight="1" x14ac:dyDescent="0.15">
      <c r="A40" s="439"/>
      <c r="B40" s="345"/>
      <c r="C40" s="346"/>
      <c r="D40" s="346"/>
      <c r="E40" s="346"/>
      <c r="F40" s="357"/>
      <c r="G40" s="357"/>
      <c r="H40" s="297">
        <f t="shared" si="0"/>
        <v>0</v>
      </c>
      <c r="I40" s="354"/>
    </row>
    <row r="41" spans="1:9" ht="15.95" customHeight="1" x14ac:dyDescent="0.15">
      <c r="A41" s="439"/>
      <c r="B41" s="345"/>
      <c r="C41" s="346"/>
      <c r="D41" s="346"/>
      <c r="E41" s="346"/>
      <c r="F41" s="357"/>
      <c r="G41" s="357"/>
      <c r="H41" s="297">
        <f t="shared" si="0"/>
        <v>0</v>
      </c>
      <c r="I41" s="354"/>
    </row>
    <row r="42" spans="1:9" ht="15.95" customHeight="1" x14ac:dyDescent="0.15">
      <c r="A42" s="439"/>
      <c r="B42" s="345"/>
      <c r="C42" s="346"/>
      <c r="D42" s="346"/>
      <c r="E42" s="346"/>
      <c r="F42" s="357"/>
      <c r="G42" s="357"/>
      <c r="H42" s="297">
        <f t="shared" si="0"/>
        <v>0</v>
      </c>
      <c r="I42" s="354"/>
    </row>
    <row r="43" spans="1:9" ht="15.95" customHeight="1" x14ac:dyDescent="0.15">
      <c r="A43" s="439"/>
      <c r="B43" s="345"/>
      <c r="C43" s="346"/>
      <c r="D43" s="346"/>
      <c r="E43" s="346"/>
      <c r="F43" s="357"/>
      <c r="G43" s="357"/>
      <c r="H43" s="297">
        <f t="shared" si="0"/>
        <v>0</v>
      </c>
      <c r="I43" s="354"/>
    </row>
    <row r="44" spans="1:9" ht="15.95" customHeight="1" x14ac:dyDescent="0.15">
      <c r="A44" s="439"/>
      <c r="B44" s="345"/>
      <c r="C44" s="346"/>
      <c r="D44" s="346"/>
      <c r="E44" s="346"/>
      <c r="F44" s="357"/>
      <c r="G44" s="357"/>
      <c r="H44" s="297">
        <f t="shared" si="0"/>
        <v>0</v>
      </c>
      <c r="I44" s="354"/>
    </row>
    <row r="45" spans="1:9" ht="15.95" customHeight="1" x14ac:dyDescent="0.15">
      <c r="A45" s="439"/>
      <c r="B45" s="345"/>
      <c r="C45" s="346"/>
      <c r="D45" s="346"/>
      <c r="E45" s="346"/>
      <c r="F45" s="357"/>
      <c r="G45" s="357"/>
      <c r="H45" s="297">
        <f t="shared" si="0"/>
        <v>0</v>
      </c>
      <c r="I45" s="354"/>
    </row>
    <row r="46" spans="1:9" ht="15.95" customHeight="1" x14ac:dyDescent="0.15">
      <c r="A46" s="439"/>
      <c r="B46" s="345"/>
      <c r="C46" s="358" t="s">
        <v>142</v>
      </c>
      <c r="D46" s="358"/>
      <c r="E46" s="358"/>
      <c r="F46" s="361"/>
      <c r="G46" s="361"/>
      <c r="H46" s="307">
        <f t="shared" si="0"/>
        <v>0</v>
      </c>
      <c r="I46" s="362"/>
    </row>
    <row r="47" spans="1:9" ht="15.95" customHeight="1" x14ac:dyDescent="0.15">
      <c r="A47" s="439"/>
      <c r="B47" s="363"/>
      <c r="C47" s="364"/>
      <c r="D47" s="365"/>
      <c r="E47" s="365"/>
      <c r="F47" s="367"/>
      <c r="G47" s="367"/>
      <c r="H47" s="368">
        <f>SUM(H31:H46)</f>
        <v>0</v>
      </c>
      <c r="I47" s="369"/>
    </row>
    <row r="48" spans="1:9" ht="15.95" customHeight="1" x14ac:dyDescent="0.15">
      <c r="A48" s="439"/>
      <c r="B48" s="391" t="s">
        <v>63</v>
      </c>
      <c r="C48" s="371"/>
      <c r="D48" s="371"/>
      <c r="E48" s="371"/>
      <c r="F48" s="374"/>
      <c r="G48" s="374"/>
      <c r="H48" s="375">
        <f t="shared" si="0"/>
        <v>0</v>
      </c>
      <c r="I48" s="376"/>
    </row>
    <row r="49" spans="1:9" ht="15.95" customHeight="1" x14ac:dyDescent="0.15">
      <c r="A49" s="439"/>
      <c r="B49" s="345"/>
      <c r="C49" s="346"/>
      <c r="D49" s="346"/>
      <c r="E49" s="346"/>
      <c r="F49" s="357"/>
      <c r="G49" s="357"/>
      <c r="H49" s="297">
        <f t="shared" si="0"/>
        <v>0</v>
      </c>
      <c r="I49" s="354"/>
    </row>
    <row r="50" spans="1:9" ht="15.95" customHeight="1" x14ac:dyDescent="0.15">
      <c r="A50" s="439"/>
      <c r="B50" s="345"/>
      <c r="C50" s="346"/>
      <c r="D50" s="346"/>
      <c r="E50" s="346"/>
      <c r="F50" s="357"/>
      <c r="G50" s="357"/>
      <c r="H50" s="297">
        <f t="shared" si="0"/>
        <v>0</v>
      </c>
      <c r="I50" s="354"/>
    </row>
    <row r="51" spans="1:9" ht="15.95" customHeight="1" x14ac:dyDescent="0.15">
      <c r="A51" s="439"/>
      <c r="B51" s="345"/>
      <c r="C51" s="346"/>
      <c r="D51" s="346"/>
      <c r="E51" s="346"/>
      <c r="F51" s="357"/>
      <c r="G51" s="357"/>
      <c r="H51" s="297">
        <f t="shared" si="0"/>
        <v>0</v>
      </c>
      <c r="I51" s="354"/>
    </row>
    <row r="52" spans="1:9" ht="15.95" customHeight="1" x14ac:dyDescent="0.15">
      <c r="A52" s="439"/>
      <c r="B52" s="345"/>
      <c r="C52" s="346"/>
      <c r="D52" s="346"/>
      <c r="E52" s="346"/>
      <c r="F52" s="357"/>
      <c r="G52" s="357"/>
      <c r="H52" s="297">
        <f t="shared" si="0"/>
        <v>0</v>
      </c>
      <c r="I52" s="354"/>
    </row>
    <row r="53" spans="1:9" ht="15.95" customHeight="1" x14ac:dyDescent="0.15">
      <c r="A53" s="439"/>
      <c r="B53" s="345"/>
      <c r="C53" s="346"/>
      <c r="D53" s="346"/>
      <c r="E53" s="346"/>
      <c r="F53" s="357"/>
      <c r="G53" s="357"/>
      <c r="H53" s="297">
        <f t="shared" si="0"/>
        <v>0</v>
      </c>
      <c r="I53" s="354"/>
    </row>
    <row r="54" spans="1:9" ht="15.95" customHeight="1" x14ac:dyDescent="0.15">
      <c r="A54" s="439"/>
      <c r="B54" s="345"/>
      <c r="C54" s="358" t="s">
        <v>142</v>
      </c>
      <c r="D54" s="358"/>
      <c r="E54" s="358"/>
      <c r="F54" s="361"/>
      <c r="G54" s="361"/>
      <c r="H54" s="307">
        <f t="shared" si="0"/>
        <v>0</v>
      </c>
      <c r="I54" s="362"/>
    </row>
    <row r="55" spans="1:9" ht="15.95" customHeight="1" x14ac:dyDescent="0.15">
      <c r="A55" s="439"/>
      <c r="B55" s="363"/>
      <c r="C55" s="364"/>
      <c r="D55" s="365"/>
      <c r="E55" s="365"/>
      <c r="F55" s="367"/>
      <c r="G55" s="367"/>
      <c r="H55" s="368">
        <f>SUM(H48:H54)</f>
        <v>0</v>
      </c>
      <c r="I55" s="369"/>
    </row>
    <row r="56" spans="1:9" ht="15.95" customHeight="1" x14ac:dyDescent="0.15">
      <c r="A56" s="409"/>
      <c r="B56" s="410" t="s">
        <v>180</v>
      </c>
      <c r="C56" s="411"/>
      <c r="D56" s="369"/>
      <c r="E56" s="369"/>
      <c r="F56" s="413"/>
      <c r="G56" s="413"/>
      <c r="H56" s="368">
        <f>SUM(H55,H47,H30,H24)</f>
        <v>0</v>
      </c>
      <c r="I56" s="369"/>
    </row>
    <row r="57" spans="1:9" ht="15.95" customHeight="1" x14ac:dyDescent="0.15">
      <c r="A57" s="448" t="s">
        <v>181</v>
      </c>
      <c r="B57" s="415" t="s">
        <v>69</v>
      </c>
      <c r="C57" s="411"/>
      <c r="D57" s="369"/>
      <c r="E57" s="415" t="s">
        <v>70</v>
      </c>
      <c r="F57" s="418"/>
      <c r="G57" s="418"/>
      <c r="H57" s="419">
        <f>F57*G57</f>
        <v>0</v>
      </c>
      <c r="I57" s="369"/>
    </row>
    <row r="58" spans="1:9" ht="15.95" customHeight="1" x14ac:dyDescent="0.15">
      <c r="A58" s="439"/>
      <c r="B58" s="421" t="s">
        <v>253</v>
      </c>
      <c r="C58" s="422"/>
      <c r="D58" s="376"/>
      <c r="E58" s="421" t="s">
        <v>185</v>
      </c>
      <c r="F58" s="374"/>
      <c r="G58" s="374"/>
      <c r="H58" s="375">
        <f t="shared" ref="H58:H64" si="1">F58*G58</f>
        <v>0</v>
      </c>
      <c r="I58" s="376"/>
    </row>
    <row r="59" spans="1:9" ht="15.95" customHeight="1" x14ac:dyDescent="0.15">
      <c r="A59" s="439"/>
      <c r="B59" s="449" t="s">
        <v>254</v>
      </c>
      <c r="C59" s="425"/>
      <c r="D59" s="354"/>
      <c r="E59" s="424" t="s">
        <v>185</v>
      </c>
      <c r="F59" s="357"/>
      <c r="G59" s="357"/>
      <c r="H59" s="297">
        <f t="shared" si="1"/>
        <v>0</v>
      </c>
      <c r="I59" s="354"/>
    </row>
    <row r="60" spans="1:9" ht="15.95" customHeight="1" x14ac:dyDescent="0.15">
      <c r="A60" s="439"/>
      <c r="B60" s="424" t="s">
        <v>255</v>
      </c>
      <c r="C60" s="425"/>
      <c r="D60" s="354"/>
      <c r="E60" s="424" t="s">
        <v>185</v>
      </c>
      <c r="F60" s="357"/>
      <c r="G60" s="357"/>
      <c r="H60" s="297">
        <f t="shared" si="1"/>
        <v>0</v>
      </c>
      <c r="I60" s="354"/>
    </row>
    <row r="61" spans="1:9" ht="15.95" customHeight="1" x14ac:dyDescent="0.15">
      <c r="A61" s="439"/>
      <c r="B61" s="424" t="s">
        <v>256</v>
      </c>
      <c r="C61" s="425"/>
      <c r="D61" s="354"/>
      <c r="E61" s="424" t="s">
        <v>185</v>
      </c>
      <c r="F61" s="357"/>
      <c r="G61" s="357"/>
      <c r="H61" s="297">
        <f t="shared" si="1"/>
        <v>0</v>
      </c>
      <c r="I61" s="354"/>
    </row>
    <row r="62" spans="1:9" ht="15.95" customHeight="1" x14ac:dyDescent="0.15">
      <c r="A62" s="439"/>
      <c r="B62" s="424" t="s">
        <v>257</v>
      </c>
      <c r="C62" s="425"/>
      <c r="D62" s="354"/>
      <c r="E62" s="424" t="s">
        <v>185</v>
      </c>
      <c r="F62" s="357"/>
      <c r="G62" s="357"/>
      <c r="H62" s="297">
        <f t="shared" si="1"/>
        <v>0</v>
      </c>
      <c r="I62" s="354"/>
    </row>
    <row r="63" spans="1:9" ht="15.95" customHeight="1" x14ac:dyDescent="0.15">
      <c r="A63" s="439"/>
      <c r="B63" s="424" t="s">
        <v>258</v>
      </c>
      <c r="C63" s="425"/>
      <c r="D63" s="354"/>
      <c r="E63" s="424" t="s">
        <v>185</v>
      </c>
      <c r="F63" s="357"/>
      <c r="G63" s="357"/>
      <c r="H63" s="297">
        <f t="shared" si="1"/>
        <v>0</v>
      </c>
      <c r="I63" s="354"/>
    </row>
    <row r="64" spans="1:9" ht="15.95" customHeight="1" x14ac:dyDescent="0.15">
      <c r="A64" s="439"/>
      <c r="B64" s="426" t="s">
        <v>259</v>
      </c>
      <c r="C64" s="427"/>
      <c r="D64" s="362"/>
      <c r="E64" s="426" t="s">
        <v>185</v>
      </c>
      <c r="F64" s="361"/>
      <c r="G64" s="361"/>
      <c r="H64" s="307">
        <f t="shared" si="1"/>
        <v>0</v>
      </c>
      <c r="I64" s="362"/>
    </row>
    <row r="65" spans="1:9" ht="15.95" customHeight="1" x14ac:dyDescent="0.15">
      <c r="A65" s="409"/>
      <c r="B65" s="429" t="s">
        <v>189</v>
      </c>
      <c r="C65" s="411"/>
      <c r="D65" s="369"/>
      <c r="E65" s="369"/>
      <c r="F65" s="367"/>
      <c r="G65" s="367"/>
      <c r="H65" s="367">
        <f>SUM(H57:H64)</f>
        <v>0</v>
      </c>
      <c r="I65" s="365"/>
    </row>
    <row r="66" spans="1:9" ht="15.95" customHeight="1" x14ac:dyDescent="0.15">
      <c r="A66" s="430"/>
      <c r="B66" s="429" t="s">
        <v>260</v>
      </c>
      <c r="C66" s="411"/>
      <c r="D66" s="369"/>
      <c r="E66" s="369"/>
      <c r="F66" s="368"/>
      <c r="G66" s="368"/>
      <c r="H66" s="413">
        <f>'단위공사별(집계)'!L14+'단위공사별(집계)'!I14</f>
        <v>0</v>
      </c>
      <c r="I66" s="369"/>
    </row>
    <row r="67" spans="1:9" ht="15.95" customHeight="1" x14ac:dyDescent="0.15">
      <c r="A67" s="430"/>
      <c r="B67" s="429" t="s">
        <v>95</v>
      </c>
      <c r="C67" s="411"/>
      <c r="D67" s="369"/>
      <c r="E67" s="369"/>
      <c r="F67" s="368"/>
      <c r="G67" s="433"/>
      <c r="H67" s="418"/>
      <c r="I67" s="411"/>
    </row>
    <row r="68" spans="1:9" ht="15.95" customHeight="1" x14ac:dyDescent="0.15">
      <c r="A68" s="430"/>
      <c r="B68" s="429" t="s">
        <v>192</v>
      </c>
      <c r="C68" s="411"/>
      <c r="D68" s="369"/>
      <c r="E68" s="369"/>
      <c r="F68" s="368"/>
      <c r="G68" s="433"/>
      <c r="H68" s="418"/>
      <c r="I68" s="411"/>
    </row>
    <row r="69" spans="1:9" ht="15.95" customHeight="1" x14ac:dyDescent="0.15">
      <c r="A69" s="430"/>
      <c r="B69" s="429" t="s">
        <v>193</v>
      </c>
      <c r="C69" s="411"/>
      <c r="D69" s="369"/>
      <c r="E69" s="369"/>
      <c r="F69" s="368"/>
      <c r="G69" s="368"/>
      <c r="H69" s="367">
        <f>H56+H65+H66+H67+H68</f>
        <v>0</v>
      </c>
      <c r="I69" s="369"/>
    </row>
    <row r="70" spans="1:9" x14ac:dyDescent="0.15">
      <c r="A70" s="258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2026-08-11T09:00:59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94609-E5E7-4C7F-B90F-9B4DCAA9BB4E}">
  <sheetPr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3.5" x14ac:dyDescent="0.15"/>
  <cols>
    <col min="1" max="1" width="5" style="249" customWidth="1"/>
    <col min="2" max="2" width="17.875" style="249" bestFit="1" customWidth="1"/>
    <col min="3" max="3" width="23.625" style="249" customWidth="1"/>
    <col min="4" max="4" width="18.25" style="249" customWidth="1"/>
    <col min="5" max="5" width="5.25" style="249" bestFit="1" customWidth="1"/>
    <col min="6" max="6" width="9" style="287"/>
    <col min="7" max="7" width="11.875" style="287" customWidth="1"/>
    <col min="8" max="8" width="13.625" style="287" customWidth="1"/>
    <col min="9" max="9" width="12.75" style="249" customWidth="1"/>
    <col min="10" max="16384" width="9" style="249"/>
  </cols>
  <sheetData>
    <row r="1" spans="1:9" ht="22.5" customHeight="1" x14ac:dyDescent="0.15">
      <c r="B1" s="337" t="s">
        <v>194</v>
      </c>
      <c r="C1" s="435"/>
      <c r="F1" s="459"/>
      <c r="I1" s="249" t="s">
        <v>130</v>
      </c>
    </row>
    <row r="2" spans="1:9" s="258" customFormat="1" ht="16.5" customHeight="1" x14ac:dyDescent="0.15">
      <c r="A2" s="89" t="s">
        <v>131</v>
      </c>
      <c r="B2" s="340"/>
      <c r="C2" s="259" t="s">
        <v>132</v>
      </c>
      <c r="D2" s="250" t="s">
        <v>133</v>
      </c>
      <c r="E2" s="250" t="s">
        <v>50</v>
      </c>
      <c r="F2" s="437" t="s">
        <v>51</v>
      </c>
      <c r="G2" s="437" t="s">
        <v>134</v>
      </c>
      <c r="H2" s="437" t="s">
        <v>135</v>
      </c>
      <c r="I2" s="250" t="s">
        <v>136</v>
      </c>
    </row>
    <row r="3" spans="1:9" ht="15.95" customHeight="1" x14ac:dyDescent="0.15">
      <c r="A3" s="344" t="s">
        <v>137</v>
      </c>
      <c r="B3" s="345" t="s">
        <v>138</v>
      </c>
      <c r="C3" s="371"/>
      <c r="D3" s="371"/>
      <c r="E3" s="371"/>
      <c r="F3" s="374"/>
      <c r="G3" s="374"/>
      <c r="H3" s="375">
        <f>IF(F3=0,G3,G3*F3)</f>
        <v>0</v>
      </c>
      <c r="I3" s="376"/>
    </row>
    <row r="4" spans="1:9" ht="15.95" customHeight="1" x14ac:dyDescent="0.15">
      <c r="A4" s="439"/>
      <c r="B4" s="345"/>
      <c r="C4" s="346"/>
      <c r="D4" s="346"/>
      <c r="E4" s="346"/>
      <c r="F4" s="357"/>
      <c r="G4" s="357"/>
      <c r="H4" s="297">
        <f>IF(F4=0,G4,G4*F4)</f>
        <v>0</v>
      </c>
      <c r="I4" s="354"/>
    </row>
    <row r="5" spans="1:9" ht="15.95" customHeight="1" x14ac:dyDescent="0.15">
      <c r="A5" s="439"/>
      <c r="B5" s="345"/>
      <c r="C5" s="346"/>
      <c r="D5" s="346"/>
      <c r="E5" s="346"/>
      <c r="F5" s="357"/>
      <c r="G5" s="357"/>
      <c r="H5" s="297">
        <f t="shared" ref="H5:H54" si="0">IF(F5=0,G5,G5*F5)</f>
        <v>0</v>
      </c>
      <c r="I5" s="354"/>
    </row>
    <row r="6" spans="1:9" ht="15.95" customHeight="1" x14ac:dyDescent="0.15">
      <c r="A6" s="439"/>
      <c r="B6" s="345"/>
      <c r="C6" s="346"/>
      <c r="D6" s="346"/>
      <c r="E6" s="346"/>
      <c r="F6" s="357"/>
      <c r="G6" s="357"/>
      <c r="H6" s="297">
        <f t="shared" si="0"/>
        <v>0</v>
      </c>
      <c r="I6" s="354"/>
    </row>
    <row r="7" spans="1:9" ht="15.95" customHeight="1" x14ac:dyDescent="0.15">
      <c r="A7" s="439"/>
      <c r="B7" s="345"/>
      <c r="C7" s="346"/>
      <c r="D7" s="346"/>
      <c r="E7" s="346"/>
      <c r="F7" s="357"/>
      <c r="G7" s="357"/>
      <c r="H7" s="297">
        <f t="shared" si="0"/>
        <v>0</v>
      </c>
      <c r="I7" s="354"/>
    </row>
    <row r="8" spans="1:9" ht="15.95" customHeight="1" x14ac:dyDescent="0.15">
      <c r="A8" s="439"/>
      <c r="B8" s="345"/>
      <c r="C8" s="346"/>
      <c r="D8" s="346"/>
      <c r="E8" s="346"/>
      <c r="F8" s="357"/>
      <c r="G8" s="357"/>
      <c r="H8" s="297">
        <f t="shared" si="0"/>
        <v>0</v>
      </c>
      <c r="I8" s="354"/>
    </row>
    <row r="9" spans="1:9" ht="15.95" customHeight="1" x14ac:dyDescent="0.15">
      <c r="A9" s="439"/>
      <c r="B9" s="345"/>
      <c r="C9" s="346"/>
      <c r="D9" s="346"/>
      <c r="E9" s="346"/>
      <c r="F9" s="357"/>
      <c r="G9" s="357"/>
      <c r="H9" s="297">
        <f t="shared" si="0"/>
        <v>0</v>
      </c>
      <c r="I9" s="354"/>
    </row>
    <row r="10" spans="1:9" ht="15.95" customHeight="1" x14ac:dyDescent="0.15">
      <c r="A10" s="439"/>
      <c r="B10" s="345"/>
      <c r="C10" s="346"/>
      <c r="D10" s="346"/>
      <c r="E10" s="346"/>
      <c r="F10" s="357"/>
      <c r="G10" s="357"/>
      <c r="H10" s="297">
        <f t="shared" si="0"/>
        <v>0</v>
      </c>
      <c r="I10" s="354"/>
    </row>
    <row r="11" spans="1:9" ht="15.95" customHeight="1" x14ac:dyDescent="0.15">
      <c r="A11" s="439"/>
      <c r="B11" s="345"/>
      <c r="C11" s="346"/>
      <c r="D11" s="346"/>
      <c r="E11" s="346"/>
      <c r="F11" s="357"/>
      <c r="G11" s="357"/>
      <c r="H11" s="297">
        <f t="shared" si="0"/>
        <v>0</v>
      </c>
      <c r="I11" s="354"/>
    </row>
    <row r="12" spans="1:9" ht="15.95" customHeight="1" x14ac:dyDescent="0.15">
      <c r="A12" s="439"/>
      <c r="B12" s="345"/>
      <c r="C12" s="346"/>
      <c r="D12" s="346"/>
      <c r="E12" s="346"/>
      <c r="F12" s="357"/>
      <c r="G12" s="357"/>
      <c r="H12" s="297">
        <f t="shared" si="0"/>
        <v>0</v>
      </c>
      <c r="I12" s="354"/>
    </row>
    <row r="13" spans="1:9" ht="15.95" customHeight="1" x14ac:dyDescent="0.15">
      <c r="A13" s="439"/>
      <c r="B13" s="345"/>
      <c r="C13" s="346"/>
      <c r="D13" s="346"/>
      <c r="E13" s="346"/>
      <c r="F13" s="357"/>
      <c r="G13" s="357"/>
      <c r="H13" s="297">
        <f t="shared" si="0"/>
        <v>0</v>
      </c>
      <c r="I13" s="354"/>
    </row>
    <row r="14" spans="1:9" ht="15.95" customHeight="1" x14ac:dyDescent="0.15">
      <c r="A14" s="439"/>
      <c r="B14" s="345"/>
      <c r="C14" s="346"/>
      <c r="D14" s="346"/>
      <c r="E14" s="346"/>
      <c r="F14" s="357"/>
      <c r="G14" s="357"/>
      <c r="H14" s="297">
        <f t="shared" si="0"/>
        <v>0</v>
      </c>
      <c r="I14" s="354"/>
    </row>
    <row r="15" spans="1:9" ht="15.95" customHeight="1" x14ac:dyDescent="0.15">
      <c r="A15" s="439"/>
      <c r="B15" s="345"/>
      <c r="C15" s="346"/>
      <c r="D15" s="346"/>
      <c r="E15" s="346"/>
      <c r="F15" s="357"/>
      <c r="G15" s="357"/>
      <c r="H15" s="297">
        <f t="shared" si="0"/>
        <v>0</v>
      </c>
      <c r="I15" s="354"/>
    </row>
    <row r="16" spans="1:9" ht="15.95" customHeight="1" x14ac:dyDescent="0.15">
      <c r="A16" s="439"/>
      <c r="B16" s="345"/>
      <c r="C16" s="346"/>
      <c r="D16" s="346"/>
      <c r="E16" s="346"/>
      <c r="F16" s="357"/>
      <c r="G16" s="357"/>
      <c r="H16" s="297">
        <f t="shared" si="0"/>
        <v>0</v>
      </c>
      <c r="I16" s="354"/>
    </row>
    <row r="17" spans="1:9" ht="15.95" customHeight="1" x14ac:dyDescent="0.15">
      <c r="A17" s="439"/>
      <c r="B17" s="345"/>
      <c r="C17" s="346"/>
      <c r="D17" s="346"/>
      <c r="E17" s="346"/>
      <c r="F17" s="357"/>
      <c r="G17" s="357"/>
      <c r="H17" s="297">
        <f t="shared" si="0"/>
        <v>0</v>
      </c>
      <c r="I17" s="354"/>
    </row>
    <row r="18" spans="1:9" ht="15.95" customHeight="1" x14ac:dyDescent="0.15">
      <c r="A18" s="439"/>
      <c r="B18" s="345"/>
      <c r="C18" s="346"/>
      <c r="D18" s="346"/>
      <c r="E18" s="346"/>
      <c r="F18" s="357"/>
      <c r="G18" s="357"/>
      <c r="H18" s="297">
        <f t="shared" si="0"/>
        <v>0</v>
      </c>
      <c r="I18" s="354"/>
    </row>
    <row r="19" spans="1:9" ht="15.95" customHeight="1" x14ac:dyDescent="0.15">
      <c r="A19" s="439"/>
      <c r="B19" s="345"/>
      <c r="C19" s="346"/>
      <c r="D19" s="346"/>
      <c r="E19" s="346"/>
      <c r="F19" s="357"/>
      <c r="G19" s="357"/>
      <c r="H19" s="297">
        <f t="shared" si="0"/>
        <v>0</v>
      </c>
      <c r="I19" s="354"/>
    </row>
    <row r="20" spans="1:9" ht="15.95" customHeight="1" x14ac:dyDescent="0.15">
      <c r="A20" s="439"/>
      <c r="B20" s="345"/>
      <c r="C20" s="346"/>
      <c r="D20" s="346"/>
      <c r="E20" s="346"/>
      <c r="F20" s="357"/>
      <c r="G20" s="357"/>
      <c r="H20" s="297">
        <f t="shared" si="0"/>
        <v>0</v>
      </c>
      <c r="I20" s="354"/>
    </row>
    <row r="21" spans="1:9" ht="15.95" customHeight="1" x14ac:dyDescent="0.15">
      <c r="A21" s="439"/>
      <c r="B21" s="345"/>
      <c r="C21" s="346"/>
      <c r="D21" s="346"/>
      <c r="E21" s="346"/>
      <c r="F21" s="357"/>
      <c r="G21" s="357"/>
      <c r="H21" s="297">
        <f t="shared" si="0"/>
        <v>0</v>
      </c>
      <c r="I21" s="354"/>
    </row>
    <row r="22" spans="1:9" ht="15.95" customHeight="1" x14ac:dyDescent="0.15">
      <c r="A22" s="439"/>
      <c r="B22" s="345"/>
      <c r="C22" s="346"/>
      <c r="D22" s="346"/>
      <c r="E22" s="346"/>
      <c r="F22" s="357"/>
      <c r="G22" s="357"/>
      <c r="H22" s="297">
        <f t="shared" si="0"/>
        <v>0</v>
      </c>
      <c r="I22" s="354"/>
    </row>
    <row r="23" spans="1:9" ht="15.95" customHeight="1" x14ac:dyDescent="0.15">
      <c r="A23" s="439"/>
      <c r="B23" s="345"/>
      <c r="C23" s="358" t="s">
        <v>142</v>
      </c>
      <c r="D23" s="378"/>
      <c r="E23" s="378"/>
      <c r="F23" s="381"/>
      <c r="G23" s="381"/>
      <c r="H23" s="382">
        <f t="shared" si="0"/>
        <v>0</v>
      </c>
      <c r="I23" s="383"/>
    </row>
    <row r="24" spans="1:9" ht="15.95" customHeight="1" x14ac:dyDescent="0.15">
      <c r="A24" s="439"/>
      <c r="B24" s="363"/>
      <c r="C24" s="390"/>
      <c r="D24" s="390"/>
      <c r="E24" s="390"/>
      <c r="F24" s="388"/>
      <c r="G24" s="388"/>
      <c r="H24" s="389">
        <f>SUM(H3:H23)</f>
        <v>0</v>
      </c>
      <c r="I24" s="390"/>
    </row>
    <row r="25" spans="1:9" ht="15.95" customHeight="1" x14ac:dyDescent="0.15">
      <c r="A25" s="439"/>
      <c r="B25" s="345" t="s">
        <v>201</v>
      </c>
      <c r="C25" s="347"/>
      <c r="D25" s="347"/>
      <c r="E25" s="347"/>
      <c r="F25" s="350"/>
      <c r="G25" s="350"/>
      <c r="H25" s="351">
        <f t="shared" si="0"/>
        <v>0</v>
      </c>
      <c r="I25" s="352"/>
    </row>
    <row r="26" spans="1:9" ht="15.95" customHeight="1" x14ac:dyDescent="0.15">
      <c r="A26" s="439"/>
      <c r="B26" s="345" t="s">
        <v>203</v>
      </c>
      <c r="C26" s="346"/>
      <c r="D26" s="346"/>
      <c r="E26" s="346"/>
      <c r="F26" s="357"/>
      <c r="G26" s="357"/>
      <c r="H26" s="297">
        <f t="shared" si="0"/>
        <v>0</v>
      </c>
      <c r="I26" s="354"/>
    </row>
    <row r="27" spans="1:9" ht="15.95" customHeight="1" x14ac:dyDescent="0.15">
      <c r="A27" s="439"/>
      <c r="B27" s="345"/>
      <c r="C27" s="346"/>
      <c r="D27" s="346"/>
      <c r="E27" s="346"/>
      <c r="F27" s="357"/>
      <c r="G27" s="357"/>
      <c r="H27" s="297">
        <f t="shared" si="0"/>
        <v>0</v>
      </c>
      <c r="I27" s="354"/>
    </row>
    <row r="28" spans="1:9" ht="15.95" customHeight="1" x14ac:dyDescent="0.15">
      <c r="A28" s="439"/>
      <c r="B28" s="345"/>
      <c r="C28" s="346"/>
      <c r="D28" s="346"/>
      <c r="E28" s="346"/>
      <c r="F28" s="357"/>
      <c r="G28" s="357"/>
      <c r="H28" s="297">
        <f t="shared" si="0"/>
        <v>0</v>
      </c>
      <c r="I28" s="354"/>
    </row>
    <row r="29" spans="1:9" ht="15.95" customHeight="1" x14ac:dyDescent="0.15">
      <c r="A29" s="439"/>
      <c r="B29" s="345"/>
      <c r="C29" s="358" t="s">
        <v>142</v>
      </c>
      <c r="D29" s="358"/>
      <c r="E29" s="358"/>
      <c r="F29" s="361"/>
      <c r="G29" s="361"/>
      <c r="H29" s="297">
        <f t="shared" si="0"/>
        <v>0</v>
      </c>
      <c r="I29" s="362"/>
    </row>
    <row r="30" spans="1:9" ht="15.95" customHeight="1" x14ac:dyDescent="0.15">
      <c r="A30" s="439"/>
      <c r="B30" s="363"/>
      <c r="C30" s="364"/>
      <c r="D30" s="365"/>
      <c r="E30" s="365"/>
      <c r="F30" s="460"/>
      <c r="G30" s="367"/>
      <c r="H30" s="368">
        <f>SUM(H25:H29)</f>
        <v>0</v>
      </c>
      <c r="I30" s="369"/>
    </row>
    <row r="31" spans="1:9" ht="15.95" customHeight="1" x14ac:dyDescent="0.15">
      <c r="A31" s="439"/>
      <c r="B31" s="391" t="s">
        <v>204</v>
      </c>
      <c r="C31" s="371"/>
      <c r="D31" s="371"/>
      <c r="E31" s="371"/>
      <c r="F31" s="374"/>
      <c r="G31" s="374"/>
      <c r="H31" s="375">
        <f t="shared" si="0"/>
        <v>0</v>
      </c>
      <c r="I31" s="376"/>
    </row>
    <row r="32" spans="1:9" ht="15.95" customHeight="1" x14ac:dyDescent="0.15">
      <c r="A32" s="439"/>
      <c r="B32" s="345" t="s">
        <v>207</v>
      </c>
      <c r="C32" s="346"/>
      <c r="D32" s="346"/>
      <c r="E32" s="346"/>
      <c r="F32" s="357"/>
      <c r="G32" s="357"/>
      <c r="H32" s="297">
        <f t="shared" si="0"/>
        <v>0</v>
      </c>
      <c r="I32" s="354"/>
    </row>
    <row r="33" spans="1:9" ht="15.95" customHeight="1" x14ac:dyDescent="0.15">
      <c r="A33" s="439"/>
      <c r="B33" s="345"/>
      <c r="C33" s="346"/>
      <c r="D33" s="346"/>
      <c r="E33" s="346"/>
      <c r="F33" s="357"/>
      <c r="G33" s="357"/>
      <c r="H33" s="297">
        <f t="shared" si="0"/>
        <v>0</v>
      </c>
      <c r="I33" s="354"/>
    </row>
    <row r="34" spans="1:9" ht="15.95" customHeight="1" x14ac:dyDescent="0.15">
      <c r="A34" s="439"/>
      <c r="B34" s="345"/>
      <c r="C34" s="346"/>
      <c r="D34" s="346"/>
      <c r="E34" s="346"/>
      <c r="F34" s="357"/>
      <c r="G34" s="357"/>
      <c r="H34" s="297">
        <f t="shared" si="0"/>
        <v>0</v>
      </c>
      <c r="I34" s="354"/>
    </row>
    <row r="35" spans="1:9" ht="15.95" customHeight="1" x14ac:dyDescent="0.15">
      <c r="A35" s="439"/>
      <c r="B35" s="345"/>
      <c r="C35" s="346"/>
      <c r="D35" s="346"/>
      <c r="E35" s="346"/>
      <c r="F35" s="357"/>
      <c r="G35" s="357"/>
      <c r="H35" s="297">
        <f t="shared" si="0"/>
        <v>0</v>
      </c>
      <c r="I35" s="354"/>
    </row>
    <row r="36" spans="1:9" ht="15.95" customHeight="1" x14ac:dyDescent="0.15">
      <c r="A36" s="439"/>
      <c r="B36" s="345"/>
      <c r="C36" s="346"/>
      <c r="D36" s="346"/>
      <c r="E36" s="346"/>
      <c r="F36" s="357"/>
      <c r="G36" s="357"/>
      <c r="H36" s="297">
        <f t="shared" si="0"/>
        <v>0</v>
      </c>
      <c r="I36" s="354"/>
    </row>
    <row r="37" spans="1:9" ht="15.95" customHeight="1" x14ac:dyDescent="0.15">
      <c r="A37" s="439"/>
      <c r="B37" s="345"/>
      <c r="C37" s="346"/>
      <c r="D37" s="346"/>
      <c r="E37" s="346"/>
      <c r="F37" s="357"/>
      <c r="G37" s="357"/>
      <c r="H37" s="297">
        <f t="shared" si="0"/>
        <v>0</v>
      </c>
      <c r="I37" s="354"/>
    </row>
    <row r="38" spans="1:9" ht="15.95" customHeight="1" x14ac:dyDescent="0.15">
      <c r="A38" s="439"/>
      <c r="B38" s="345"/>
      <c r="C38" s="346"/>
      <c r="D38" s="346"/>
      <c r="E38" s="346"/>
      <c r="F38" s="357"/>
      <c r="G38" s="357"/>
      <c r="H38" s="297">
        <f t="shared" si="0"/>
        <v>0</v>
      </c>
      <c r="I38" s="354"/>
    </row>
    <row r="39" spans="1:9" ht="15.95" customHeight="1" x14ac:dyDescent="0.15">
      <c r="A39" s="439"/>
      <c r="B39" s="345"/>
      <c r="C39" s="346"/>
      <c r="D39" s="346"/>
      <c r="E39" s="346"/>
      <c r="F39" s="357"/>
      <c r="G39" s="357"/>
      <c r="H39" s="297">
        <f t="shared" si="0"/>
        <v>0</v>
      </c>
      <c r="I39" s="354"/>
    </row>
    <row r="40" spans="1:9" ht="15.95" customHeight="1" x14ac:dyDescent="0.15">
      <c r="A40" s="439"/>
      <c r="B40" s="345"/>
      <c r="C40" s="346"/>
      <c r="D40" s="346"/>
      <c r="E40" s="346"/>
      <c r="F40" s="357"/>
      <c r="G40" s="357"/>
      <c r="H40" s="297">
        <f t="shared" si="0"/>
        <v>0</v>
      </c>
      <c r="I40" s="354"/>
    </row>
    <row r="41" spans="1:9" ht="15.95" customHeight="1" x14ac:dyDescent="0.15">
      <c r="A41" s="439"/>
      <c r="B41" s="345"/>
      <c r="C41" s="346"/>
      <c r="D41" s="346"/>
      <c r="E41" s="346"/>
      <c r="F41" s="357"/>
      <c r="G41" s="357"/>
      <c r="H41" s="297">
        <f t="shared" si="0"/>
        <v>0</v>
      </c>
      <c r="I41" s="354"/>
    </row>
    <row r="42" spans="1:9" ht="15.95" customHeight="1" x14ac:dyDescent="0.15">
      <c r="A42" s="439"/>
      <c r="B42" s="345"/>
      <c r="C42" s="346"/>
      <c r="D42" s="346"/>
      <c r="E42" s="346"/>
      <c r="F42" s="357"/>
      <c r="G42" s="357"/>
      <c r="H42" s="297">
        <f t="shared" si="0"/>
        <v>0</v>
      </c>
      <c r="I42" s="354"/>
    </row>
    <row r="43" spans="1:9" ht="15.95" customHeight="1" x14ac:dyDescent="0.15">
      <c r="A43" s="439"/>
      <c r="B43" s="345"/>
      <c r="C43" s="346"/>
      <c r="D43" s="346"/>
      <c r="E43" s="346"/>
      <c r="F43" s="357"/>
      <c r="G43" s="357"/>
      <c r="H43" s="297">
        <f t="shared" si="0"/>
        <v>0</v>
      </c>
      <c r="I43" s="354"/>
    </row>
    <row r="44" spans="1:9" ht="15.95" customHeight="1" x14ac:dyDescent="0.15">
      <c r="A44" s="439"/>
      <c r="B44" s="345"/>
      <c r="C44" s="346"/>
      <c r="D44" s="346"/>
      <c r="E44" s="346"/>
      <c r="F44" s="357"/>
      <c r="G44" s="357"/>
      <c r="H44" s="297">
        <f t="shared" si="0"/>
        <v>0</v>
      </c>
      <c r="I44" s="354"/>
    </row>
    <row r="45" spans="1:9" ht="15.95" customHeight="1" x14ac:dyDescent="0.15">
      <c r="A45" s="439"/>
      <c r="B45" s="345"/>
      <c r="C45" s="346"/>
      <c r="D45" s="346"/>
      <c r="E45" s="346"/>
      <c r="F45" s="357"/>
      <c r="G45" s="357"/>
      <c r="H45" s="297">
        <f t="shared" si="0"/>
        <v>0</v>
      </c>
      <c r="I45" s="354"/>
    </row>
    <row r="46" spans="1:9" ht="15.95" customHeight="1" x14ac:dyDescent="0.15">
      <c r="A46" s="439"/>
      <c r="B46" s="345"/>
      <c r="C46" s="358" t="s">
        <v>142</v>
      </c>
      <c r="D46" s="358"/>
      <c r="E46" s="358"/>
      <c r="F46" s="361"/>
      <c r="G46" s="361"/>
      <c r="H46" s="307">
        <f t="shared" si="0"/>
        <v>0</v>
      </c>
      <c r="I46" s="362"/>
    </row>
    <row r="47" spans="1:9" ht="15.95" customHeight="1" x14ac:dyDescent="0.15">
      <c r="A47" s="439"/>
      <c r="B47" s="363"/>
      <c r="C47" s="364"/>
      <c r="D47" s="365"/>
      <c r="E47" s="365"/>
      <c r="F47" s="367"/>
      <c r="G47" s="367"/>
      <c r="H47" s="368">
        <f>SUM(H31:H46)</f>
        <v>0</v>
      </c>
      <c r="I47" s="369"/>
    </row>
    <row r="48" spans="1:9" ht="15.95" customHeight="1" x14ac:dyDescent="0.15">
      <c r="A48" s="439"/>
      <c r="B48" s="391" t="s">
        <v>63</v>
      </c>
      <c r="C48" s="371"/>
      <c r="D48" s="371"/>
      <c r="E48" s="371"/>
      <c r="F48" s="374"/>
      <c r="G48" s="374"/>
      <c r="H48" s="375">
        <f t="shared" si="0"/>
        <v>0</v>
      </c>
      <c r="I48" s="376"/>
    </row>
    <row r="49" spans="1:9" ht="15.95" customHeight="1" x14ac:dyDescent="0.15">
      <c r="A49" s="439"/>
      <c r="B49" s="345"/>
      <c r="C49" s="346"/>
      <c r="D49" s="346"/>
      <c r="E49" s="346"/>
      <c r="F49" s="357"/>
      <c r="G49" s="357"/>
      <c r="H49" s="297">
        <f t="shared" si="0"/>
        <v>0</v>
      </c>
      <c r="I49" s="354"/>
    </row>
    <row r="50" spans="1:9" ht="15.95" customHeight="1" x14ac:dyDescent="0.15">
      <c r="A50" s="439"/>
      <c r="B50" s="345"/>
      <c r="C50" s="346"/>
      <c r="D50" s="346"/>
      <c r="E50" s="346"/>
      <c r="F50" s="357"/>
      <c r="G50" s="357"/>
      <c r="H50" s="297">
        <f t="shared" si="0"/>
        <v>0</v>
      </c>
      <c r="I50" s="354"/>
    </row>
    <row r="51" spans="1:9" ht="15.95" customHeight="1" x14ac:dyDescent="0.15">
      <c r="A51" s="439"/>
      <c r="B51" s="345"/>
      <c r="C51" s="346"/>
      <c r="D51" s="346"/>
      <c r="E51" s="346"/>
      <c r="F51" s="357"/>
      <c r="G51" s="357"/>
      <c r="H51" s="297">
        <f t="shared" si="0"/>
        <v>0</v>
      </c>
      <c r="I51" s="354"/>
    </row>
    <row r="52" spans="1:9" ht="15.95" customHeight="1" x14ac:dyDescent="0.15">
      <c r="A52" s="439"/>
      <c r="B52" s="345"/>
      <c r="C52" s="346"/>
      <c r="D52" s="346"/>
      <c r="E52" s="346"/>
      <c r="F52" s="357"/>
      <c r="G52" s="357"/>
      <c r="H52" s="297">
        <f t="shared" si="0"/>
        <v>0</v>
      </c>
      <c r="I52" s="354"/>
    </row>
    <row r="53" spans="1:9" ht="15.95" customHeight="1" x14ac:dyDescent="0.15">
      <c r="A53" s="439"/>
      <c r="B53" s="345"/>
      <c r="C53" s="346"/>
      <c r="D53" s="346"/>
      <c r="E53" s="346"/>
      <c r="F53" s="357"/>
      <c r="G53" s="357"/>
      <c r="H53" s="297">
        <f t="shared" si="0"/>
        <v>0</v>
      </c>
      <c r="I53" s="354"/>
    </row>
    <row r="54" spans="1:9" ht="15.95" customHeight="1" x14ac:dyDescent="0.15">
      <c r="A54" s="439"/>
      <c r="B54" s="345"/>
      <c r="C54" s="358" t="s">
        <v>142</v>
      </c>
      <c r="D54" s="358"/>
      <c r="E54" s="358"/>
      <c r="F54" s="361"/>
      <c r="G54" s="361"/>
      <c r="H54" s="307">
        <f t="shared" si="0"/>
        <v>0</v>
      </c>
      <c r="I54" s="362"/>
    </row>
    <row r="55" spans="1:9" ht="15.95" customHeight="1" x14ac:dyDescent="0.15">
      <c r="A55" s="439"/>
      <c r="B55" s="363"/>
      <c r="C55" s="364"/>
      <c r="D55" s="365"/>
      <c r="E55" s="365"/>
      <c r="F55" s="367"/>
      <c r="G55" s="367"/>
      <c r="H55" s="368">
        <f>SUM(H48:H54)</f>
        <v>0</v>
      </c>
      <c r="I55" s="369"/>
    </row>
    <row r="56" spans="1:9" ht="15.95" customHeight="1" x14ac:dyDescent="0.15">
      <c r="A56" s="409"/>
      <c r="B56" s="410" t="s">
        <v>180</v>
      </c>
      <c r="C56" s="411"/>
      <c r="D56" s="369"/>
      <c r="E56" s="369"/>
      <c r="F56" s="413"/>
      <c r="G56" s="413"/>
      <c r="H56" s="368">
        <f>SUM(H55,H47,H30,H24)</f>
        <v>0</v>
      </c>
      <c r="I56" s="369"/>
    </row>
    <row r="57" spans="1:9" ht="15.95" customHeight="1" x14ac:dyDescent="0.15">
      <c r="A57" s="448" t="s">
        <v>181</v>
      </c>
      <c r="B57" s="415" t="s">
        <v>69</v>
      </c>
      <c r="C57" s="411"/>
      <c r="D57" s="369"/>
      <c r="E57" s="415" t="s">
        <v>70</v>
      </c>
      <c r="F57" s="418"/>
      <c r="G57" s="418"/>
      <c r="H57" s="419">
        <f>F57*G57</f>
        <v>0</v>
      </c>
      <c r="I57" s="369"/>
    </row>
    <row r="58" spans="1:9" ht="15.95" customHeight="1" x14ac:dyDescent="0.15">
      <c r="A58" s="439"/>
      <c r="B58" s="421" t="s">
        <v>253</v>
      </c>
      <c r="C58" s="422"/>
      <c r="D58" s="376"/>
      <c r="E58" s="421" t="s">
        <v>185</v>
      </c>
      <c r="F58" s="374"/>
      <c r="G58" s="374"/>
      <c r="H58" s="375">
        <f t="shared" ref="H58:H64" si="1">F58*G58</f>
        <v>0</v>
      </c>
      <c r="I58" s="376"/>
    </row>
    <row r="59" spans="1:9" ht="15.95" customHeight="1" x14ac:dyDescent="0.15">
      <c r="A59" s="439"/>
      <c r="B59" s="449" t="s">
        <v>254</v>
      </c>
      <c r="C59" s="425"/>
      <c r="D59" s="354"/>
      <c r="E59" s="424" t="s">
        <v>185</v>
      </c>
      <c r="F59" s="357"/>
      <c r="G59" s="357"/>
      <c r="H59" s="297">
        <f t="shared" si="1"/>
        <v>0</v>
      </c>
      <c r="I59" s="354"/>
    </row>
    <row r="60" spans="1:9" ht="15.95" customHeight="1" x14ac:dyDescent="0.15">
      <c r="A60" s="439"/>
      <c r="B60" s="424" t="s">
        <v>255</v>
      </c>
      <c r="C60" s="425"/>
      <c r="D60" s="354"/>
      <c r="E60" s="424" t="s">
        <v>185</v>
      </c>
      <c r="F60" s="357"/>
      <c r="G60" s="357"/>
      <c r="H60" s="297">
        <f t="shared" si="1"/>
        <v>0</v>
      </c>
      <c r="I60" s="354"/>
    </row>
    <row r="61" spans="1:9" ht="15.95" customHeight="1" x14ac:dyDescent="0.15">
      <c r="A61" s="439"/>
      <c r="B61" s="424" t="s">
        <v>256</v>
      </c>
      <c r="C61" s="425"/>
      <c r="D61" s="354"/>
      <c r="E61" s="424" t="s">
        <v>185</v>
      </c>
      <c r="F61" s="357"/>
      <c r="G61" s="357"/>
      <c r="H61" s="297">
        <f t="shared" si="1"/>
        <v>0</v>
      </c>
      <c r="I61" s="354"/>
    </row>
    <row r="62" spans="1:9" ht="15.95" customHeight="1" x14ac:dyDescent="0.15">
      <c r="A62" s="439"/>
      <c r="B62" s="424" t="s">
        <v>257</v>
      </c>
      <c r="C62" s="425"/>
      <c r="D62" s="354"/>
      <c r="E62" s="424" t="s">
        <v>185</v>
      </c>
      <c r="F62" s="357"/>
      <c r="G62" s="357"/>
      <c r="H62" s="297">
        <f t="shared" si="1"/>
        <v>0</v>
      </c>
      <c r="I62" s="354"/>
    </row>
    <row r="63" spans="1:9" ht="15.95" customHeight="1" x14ac:dyDescent="0.15">
      <c r="A63" s="439"/>
      <c r="B63" s="424" t="s">
        <v>258</v>
      </c>
      <c r="C63" s="425"/>
      <c r="D63" s="354"/>
      <c r="E63" s="424" t="s">
        <v>185</v>
      </c>
      <c r="F63" s="357"/>
      <c r="G63" s="357"/>
      <c r="H63" s="297">
        <f t="shared" si="1"/>
        <v>0</v>
      </c>
      <c r="I63" s="354"/>
    </row>
    <row r="64" spans="1:9" ht="15.95" customHeight="1" x14ac:dyDescent="0.15">
      <c r="A64" s="439"/>
      <c r="B64" s="426" t="s">
        <v>259</v>
      </c>
      <c r="C64" s="427"/>
      <c r="D64" s="362"/>
      <c r="E64" s="426" t="s">
        <v>185</v>
      </c>
      <c r="F64" s="361"/>
      <c r="G64" s="361"/>
      <c r="H64" s="307">
        <f t="shared" si="1"/>
        <v>0</v>
      </c>
      <c r="I64" s="362"/>
    </row>
    <row r="65" spans="1:9" ht="15.95" customHeight="1" x14ac:dyDescent="0.15">
      <c r="A65" s="409"/>
      <c r="B65" s="429" t="s">
        <v>189</v>
      </c>
      <c r="C65" s="411"/>
      <c r="D65" s="369"/>
      <c r="E65" s="369"/>
      <c r="F65" s="367"/>
      <c r="G65" s="367"/>
      <c r="H65" s="367">
        <f>SUM(H57:H64)</f>
        <v>0</v>
      </c>
      <c r="I65" s="365"/>
    </row>
    <row r="66" spans="1:9" ht="15.95" customHeight="1" x14ac:dyDescent="0.15">
      <c r="A66" s="430"/>
      <c r="B66" s="429" t="s">
        <v>260</v>
      </c>
      <c r="C66" s="411"/>
      <c r="D66" s="369"/>
      <c r="E66" s="369"/>
      <c r="F66" s="368"/>
      <c r="G66" s="368"/>
      <c r="H66" s="413">
        <f>'단위공사별(집계)'!L14+'단위공사별(집계)'!I14</f>
        <v>0</v>
      </c>
      <c r="I66" s="369"/>
    </row>
    <row r="67" spans="1:9" ht="15.95" customHeight="1" x14ac:dyDescent="0.15">
      <c r="A67" s="430"/>
      <c r="B67" s="429" t="s">
        <v>95</v>
      </c>
      <c r="C67" s="411"/>
      <c r="D67" s="369"/>
      <c r="E67" s="369"/>
      <c r="F67" s="368"/>
      <c r="G67" s="433"/>
      <c r="H67" s="418"/>
      <c r="I67" s="411"/>
    </row>
    <row r="68" spans="1:9" ht="15.95" customHeight="1" x14ac:dyDescent="0.15">
      <c r="A68" s="430"/>
      <c r="B68" s="429" t="s">
        <v>192</v>
      </c>
      <c r="C68" s="411"/>
      <c r="D68" s="369"/>
      <c r="E68" s="369"/>
      <c r="F68" s="368"/>
      <c r="G68" s="433"/>
      <c r="H68" s="418"/>
      <c r="I68" s="411"/>
    </row>
    <row r="69" spans="1:9" ht="15.95" customHeight="1" x14ac:dyDescent="0.15">
      <c r="A69" s="430"/>
      <c r="B69" s="429" t="s">
        <v>193</v>
      </c>
      <c r="C69" s="411"/>
      <c r="D69" s="369"/>
      <c r="E69" s="369"/>
      <c r="F69" s="368"/>
      <c r="G69" s="368"/>
      <c r="H69" s="367">
        <f>H56+H65+H66+H67+H68</f>
        <v>0</v>
      </c>
      <c r="I69" s="369"/>
    </row>
    <row r="70" spans="1:9" x14ac:dyDescent="0.15">
      <c r="A70" s="258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2026-08-11T09:00:59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8AF85-C860-4843-9A54-10A688BFDC7C}">
  <sheetPr>
    <tabColor rgb="FF00B050"/>
    <pageSetUpPr fitToPage="1"/>
  </sheetPr>
  <dimension ref="A1:I70"/>
  <sheetViews>
    <sheetView zoomScale="85" workbookViewId="0">
      <pane xSplit="2" ySplit="2" topLeftCell="C33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3.5" x14ac:dyDescent="0.15"/>
  <cols>
    <col min="1" max="1" width="5" style="249" customWidth="1"/>
    <col min="2" max="2" width="17.875" style="249" bestFit="1" customWidth="1"/>
    <col min="3" max="3" width="23.625" style="249" customWidth="1"/>
    <col min="4" max="4" width="18.25" style="249" customWidth="1"/>
    <col min="5" max="5" width="5.25" style="249" bestFit="1" customWidth="1"/>
    <col min="6" max="6" width="9" style="287"/>
    <col min="7" max="7" width="11.875" style="287" customWidth="1"/>
    <col min="8" max="8" width="13.625" style="287" customWidth="1"/>
    <col min="9" max="9" width="12.75" style="249" customWidth="1"/>
    <col min="10" max="16384" width="9" style="249"/>
  </cols>
  <sheetData>
    <row r="1" spans="1:9" ht="22.5" customHeight="1" x14ac:dyDescent="0.15">
      <c r="B1" s="337" t="s">
        <v>194</v>
      </c>
      <c r="C1" s="435"/>
      <c r="F1" s="459"/>
      <c r="I1" s="249" t="s">
        <v>130</v>
      </c>
    </row>
    <row r="2" spans="1:9" s="258" customFormat="1" ht="16.5" customHeight="1" x14ac:dyDescent="0.15">
      <c r="A2" s="89" t="s">
        <v>131</v>
      </c>
      <c r="B2" s="340"/>
      <c r="C2" s="259" t="s">
        <v>132</v>
      </c>
      <c r="D2" s="250" t="s">
        <v>133</v>
      </c>
      <c r="E2" s="250" t="s">
        <v>50</v>
      </c>
      <c r="F2" s="437" t="s">
        <v>51</v>
      </c>
      <c r="G2" s="437" t="s">
        <v>134</v>
      </c>
      <c r="H2" s="437" t="s">
        <v>135</v>
      </c>
      <c r="I2" s="250" t="s">
        <v>136</v>
      </c>
    </row>
    <row r="3" spans="1:9" ht="15.95" customHeight="1" x14ac:dyDescent="0.15">
      <c r="A3" s="344" t="s">
        <v>137</v>
      </c>
      <c r="B3" s="345" t="s">
        <v>138</v>
      </c>
      <c r="C3" s="371"/>
      <c r="D3" s="371"/>
      <c r="E3" s="371"/>
      <c r="F3" s="374"/>
      <c r="G3" s="374"/>
      <c r="H3" s="375">
        <f>IF(F3=0,G3,G3*F3)</f>
        <v>0</v>
      </c>
      <c r="I3" s="376"/>
    </row>
    <row r="4" spans="1:9" ht="15.95" customHeight="1" x14ac:dyDescent="0.15">
      <c r="A4" s="439"/>
      <c r="B4" s="345"/>
      <c r="C4" s="346"/>
      <c r="D4" s="346"/>
      <c r="E4" s="346"/>
      <c r="F4" s="357"/>
      <c r="G4" s="357"/>
      <c r="H4" s="297">
        <f>IF(F4=0,G4,G4*F4)</f>
        <v>0</v>
      </c>
      <c r="I4" s="354"/>
    </row>
    <row r="5" spans="1:9" ht="15.95" customHeight="1" x14ac:dyDescent="0.15">
      <c r="A5" s="439"/>
      <c r="B5" s="345"/>
      <c r="C5" s="346"/>
      <c r="D5" s="346"/>
      <c r="E5" s="346"/>
      <c r="F5" s="357"/>
      <c r="G5" s="357"/>
      <c r="H5" s="297">
        <f t="shared" ref="H5:H54" si="0">IF(F5=0,G5,G5*F5)</f>
        <v>0</v>
      </c>
      <c r="I5" s="354"/>
    </row>
    <row r="6" spans="1:9" ht="15.95" customHeight="1" x14ac:dyDescent="0.15">
      <c r="A6" s="439"/>
      <c r="B6" s="345"/>
      <c r="C6" s="346"/>
      <c r="D6" s="346"/>
      <c r="E6" s="346"/>
      <c r="F6" s="357"/>
      <c r="G6" s="357"/>
      <c r="H6" s="297">
        <f t="shared" si="0"/>
        <v>0</v>
      </c>
      <c r="I6" s="354"/>
    </row>
    <row r="7" spans="1:9" ht="15.95" customHeight="1" x14ac:dyDescent="0.15">
      <c r="A7" s="439"/>
      <c r="B7" s="345"/>
      <c r="C7" s="346"/>
      <c r="D7" s="346"/>
      <c r="E7" s="346"/>
      <c r="F7" s="357"/>
      <c r="G7" s="357"/>
      <c r="H7" s="297">
        <f t="shared" si="0"/>
        <v>0</v>
      </c>
      <c r="I7" s="354"/>
    </row>
    <row r="8" spans="1:9" ht="15.95" customHeight="1" x14ac:dyDescent="0.15">
      <c r="A8" s="439"/>
      <c r="B8" s="345"/>
      <c r="C8" s="346"/>
      <c r="D8" s="346"/>
      <c r="E8" s="346"/>
      <c r="F8" s="357"/>
      <c r="G8" s="357"/>
      <c r="H8" s="297">
        <f t="shared" si="0"/>
        <v>0</v>
      </c>
      <c r="I8" s="354"/>
    </row>
    <row r="9" spans="1:9" ht="15.95" customHeight="1" x14ac:dyDescent="0.15">
      <c r="A9" s="439"/>
      <c r="B9" s="345"/>
      <c r="C9" s="346"/>
      <c r="D9" s="346"/>
      <c r="E9" s="346"/>
      <c r="F9" s="357"/>
      <c r="G9" s="357"/>
      <c r="H9" s="297">
        <f t="shared" si="0"/>
        <v>0</v>
      </c>
      <c r="I9" s="354"/>
    </row>
    <row r="10" spans="1:9" ht="15.95" customHeight="1" x14ac:dyDescent="0.15">
      <c r="A10" s="439"/>
      <c r="B10" s="345"/>
      <c r="C10" s="346"/>
      <c r="D10" s="346"/>
      <c r="E10" s="346"/>
      <c r="F10" s="357"/>
      <c r="G10" s="357"/>
      <c r="H10" s="297">
        <f t="shared" si="0"/>
        <v>0</v>
      </c>
      <c r="I10" s="354"/>
    </row>
    <row r="11" spans="1:9" ht="15.95" customHeight="1" x14ac:dyDescent="0.15">
      <c r="A11" s="439"/>
      <c r="B11" s="345"/>
      <c r="C11" s="346"/>
      <c r="D11" s="346"/>
      <c r="E11" s="346"/>
      <c r="F11" s="357"/>
      <c r="G11" s="357"/>
      <c r="H11" s="297">
        <f t="shared" si="0"/>
        <v>0</v>
      </c>
      <c r="I11" s="354"/>
    </row>
    <row r="12" spans="1:9" ht="15.95" customHeight="1" x14ac:dyDescent="0.15">
      <c r="A12" s="439"/>
      <c r="B12" s="345"/>
      <c r="C12" s="346"/>
      <c r="D12" s="346"/>
      <c r="E12" s="346"/>
      <c r="F12" s="357"/>
      <c r="G12" s="357"/>
      <c r="H12" s="297">
        <f t="shared" si="0"/>
        <v>0</v>
      </c>
      <c r="I12" s="354"/>
    </row>
    <row r="13" spans="1:9" ht="15.95" customHeight="1" x14ac:dyDescent="0.15">
      <c r="A13" s="439"/>
      <c r="B13" s="345"/>
      <c r="C13" s="346"/>
      <c r="D13" s="346"/>
      <c r="E13" s="346"/>
      <c r="F13" s="357"/>
      <c r="G13" s="357"/>
      <c r="H13" s="297">
        <f t="shared" si="0"/>
        <v>0</v>
      </c>
      <c r="I13" s="354"/>
    </row>
    <row r="14" spans="1:9" ht="15.95" customHeight="1" x14ac:dyDescent="0.15">
      <c r="A14" s="439"/>
      <c r="B14" s="345"/>
      <c r="C14" s="346"/>
      <c r="D14" s="346"/>
      <c r="E14" s="346"/>
      <c r="F14" s="357"/>
      <c r="G14" s="357"/>
      <c r="H14" s="297">
        <f t="shared" si="0"/>
        <v>0</v>
      </c>
      <c r="I14" s="354"/>
    </row>
    <row r="15" spans="1:9" ht="15.95" customHeight="1" x14ac:dyDescent="0.15">
      <c r="A15" s="439"/>
      <c r="B15" s="345"/>
      <c r="C15" s="346"/>
      <c r="D15" s="346"/>
      <c r="E15" s="346"/>
      <c r="F15" s="357"/>
      <c r="G15" s="357"/>
      <c r="H15" s="297">
        <f t="shared" si="0"/>
        <v>0</v>
      </c>
      <c r="I15" s="354"/>
    </row>
    <row r="16" spans="1:9" ht="15.95" customHeight="1" x14ac:dyDescent="0.15">
      <c r="A16" s="439"/>
      <c r="B16" s="345"/>
      <c r="C16" s="346"/>
      <c r="D16" s="346"/>
      <c r="E16" s="346"/>
      <c r="F16" s="357"/>
      <c r="G16" s="357"/>
      <c r="H16" s="297">
        <f t="shared" si="0"/>
        <v>0</v>
      </c>
      <c r="I16" s="354"/>
    </row>
    <row r="17" spans="1:9" ht="15.95" customHeight="1" x14ac:dyDescent="0.15">
      <c r="A17" s="439"/>
      <c r="B17" s="345"/>
      <c r="C17" s="346"/>
      <c r="D17" s="346"/>
      <c r="E17" s="346"/>
      <c r="F17" s="357"/>
      <c r="G17" s="357"/>
      <c r="H17" s="297">
        <f t="shared" si="0"/>
        <v>0</v>
      </c>
      <c r="I17" s="354"/>
    </row>
    <row r="18" spans="1:9" ht="15.95" customHeight="1" x14ac:dyDescent="0.15">
      <c r="A18" s="439"/>
      <c r="B18" s="345"/>
      <c r="C18" s="346"/>
      <c r="D18" s="346"/>
      <c r="E18" s="346"/>
      <c r="F18" s="357"/>
      <c r="G18" s="357"/>
      <c r="H18" s="297">
        <f t="shared" si="0"/>
        <v>0</v>
      </c>
      <c r="I18" s="354"/>
    </row>
    <row r="19" spans="1:9" ht="15.95" customHeight="1" x14ac:dyDescent="0.15">
      <c r="A19" s="439"/>
      <c r="B19" s="345"/>
      <c r="C19" s="346"/>
      <c r="D19" s="346"/>
      <c r="E19" s="346"/>
      <c r="F19" s="357"/>
      <c r="G19" s="357"/>
      <c r="H19" s="297">
        <f t="shared" si="0"/>
        <v>0</v>
      </c>
      <c r="I19" s="354"/>
    </row>
    <row r="20" spans="1:9" ht="15.95" customHeight="1" x14ac:dyDescent="0.15">
      <c r="A20" s="439"/>
      <c r="B20" s="345"/>
      <c r="C20" s="346"/>
      <c r="D20" s="346"/>
      <c r="E20" s="346"/>
      <c r="F20" s="357"/>
      <c r="G20" s="357"/>
      <c r="H20" s="297">
        <f t="shared" si="0"/>
        <v>0</v>
      </c>
      <c r="I20" s="354"/>
    </row>
    <row r="21" spans="1:9" ht="15.95" customHeight="1" x14ac:dyDescent="0.15">
      <c r="A21" s="439"/>
      <c r="B21" s="345"/>
      <c r="C21" s="346"/>
      <c r="D21" s="346"/>
      <c r="E21" s="346"/>
      <c r="F21" s="357"/>
      <c r="G21" s="357"/>
      <c r="H21" s="297">
        <f t="shared" si="0"/>
        <v>0</v>
      </c>
      <c r="I21" s="354"/>
    </row>
    <row r="22" spans="1:9" ht="15.95" customHeight="1" x14ac:dyDescent="0.15">
      <c r="A22" s="439"/>
      <c r="B22" s="345"/>
      <c r="C22" s="346"/>
      <c r="D22" s="346"/>
      <c r="E22" s="346"/>
      <c r="F22" s="357"/>
      <c r="G22" s="357"/>
      <c r="H22" s="297">
        <f t="shared" si="0"/>
        <v>0</v>
      </c>
      <c r="I22" s="354"/>
    </row>
    <row r="23" spans="1:9" ht="15.95" customHeight="1" x14ac:dyDescent="0.15">
      <c r="A23" s="439"/>
      <c r="B23" s="345"/>
      <c r="C23" s="358" t="s">
        <v>142</v>
      </c>
      <c r="D23" s="378"/>
      <c r="E23" s="378"/>
      <c r="F23" s="381"/>
      <c r="G23" s="381"/>
      <c r="H23" s="382">
        <f t="shared" si="0"/>
        <v>0</v>
      </c>
      <c r="I23" s="383"/>
    </row>
    <row r="24" spans="1:9" ht="15.95" customHeight="1" x14ac:dyDescent="0.15">
      <c r="A24" s="439"/>
      <c r="B24" s="363"/>
      <c r="C24" s="390"/>
      <c r="D24" s="390"/>
      <c r="E24" s="390"/>
      <c r="F24" s="388"/>
      <c r="G24" s="388"/>
      <c r="H24" s="389">
        <f>SUM(H3:H23)</f>
        <v>0</v>
      </c>
      <c r="I24" s="390"/>
    </row>
    <row r="25" spans="1:9" ht="15.95" customHeight="1" x14ac:dyDescent="0.15">
      <c r="A25" s="439"/>
      <c r="B25" s="345" t="s">
        <v>201</v>
      </c>
      <c r="C25" s="347"/>
      <c r="D25" s="347"/>
      <c r="E25" s="347"/>
      <c r="F25" s="350"/>
      <c r="G25" s="350"/>
      <c r="H25" s="351">
        <f t="shared" si="0"/>
        <v>0</v>
      </c>
      <c r="I25" s="352"/>
    </row>
    <row r="26" spans="1:9" ht="15.95" customHeight="1" x14ac:dyDescent="0.15">
      <c r="A26" s="439"/>
      <c r="B26" s="345" t="s">
        <v>203</v>
      </c>
      <c r="C26" s="346"/>
      <c r="D26" s="346"/>
      <c r="E26" s="346"/>
      <c r="F26" s="357"/>
      <c r="G26" s="357"/>
      <c r="H26" s="297">
        <f t="shared" si="0"/>
        <v>0</v>
      </c>
      <c r="I26" s="354"/>
    </row>
    <row r="27" spans="1:9" ht="15.95" customHeight="1" x14ac:dyDescent="0.15">
      <c r="A27" s="439"/>
      <c r="B27" s="345"/>
      <c r="C27" s="346"/>
      <c r="D27" s="346"/>
      <c r="E27" s="346"/>
      <c r="F27" s="357"/>
      <c r="G27" s="357"/>
      <c r="H27" s="297">
        <f t="shared" si="0"/>
        <v>0</v>
      </c>
      <c r="I27" s="354"/>
    </row>
    <row r="28" spans="1:9" ht="15.95" customHeight="1" x14ac:dyDescent="0.15">
      <c r="A28" s="439"/>
      <c r="B28" s="345"/>
      <c r="C28" s="346"/>
      <c r="D28" s="346"/>
      <c r="E28" s="346"/>
      <c r="F28" s="357"/>
      <c r="G28" s="357"/>
      <c r="H28" s="297">
        <f t="shared" si="0"/>
        <v>0</v>
      </c>
      <c r="I28" s="354"/>
    </row>
    <row r="29" spans="1:9" ht="15.95" customHeight="1" x14ac:dyDescent="0.15">
      <c r="A29" s="439"/>
      <c r="B29" s="345"/>
      <c r="C29" s="358" t="s">
        <v>142</v>
      </c>
      <c r="D29" s="358"/>
      <c r="E29" s="358"/>
      <c r="F29" s="361"/>
      <c r="G29" s="361"/>
      <c r="H29" s="297">
        <f t="shared" si="0"/>
        <v>0</v>
      </c>
      <c r="I29" s="362"/>
    </row>
    <row r="30" spans="1:9" ht="15.95" customHeight="1" x14ac:dyDescent="0.15">
      <c r="A30" s="439"/>
      <c r="B30" s="363"/>
      <c r="C30" s="364"/>
      <c r="D30" s="365"/>
      <c r="E30" s="365"/>
      <c r="F30" s="460"/>
      <c r="G30" s="367"/>
      <c r="H30" s="368">
        <f>SUM(H25:H29)</f>
        <v>0</v>
      </c>
      <c r="I30" s="369"/>
    </row>
    <row r="31" spans="1:9" ht="15.95" customHeight="1" x14ac:dyDescent="0.15">
      <c r="A31" s="439"/>
      <c r="B31" s="391" t="s">
        <v>204</v>
      </c>
      <c r="C31" s="371"/>
      <c r="D31" s="371"/>
      <c r="E31" s="371"/>
      <c r="F31" s="374"/>
      <c r="G31" s="374"/>
      <c r="H31" s="375">
        <f t="shared" si="0"/>
        <v>0</v>
      </c>
      <c r="I31" s="376"/>
    </row>
    <row r="32" spans="1:9" ht="15.95" customHeight="1" x14ac:dyDescent="0.15">
      <c r="A32" s="439"/>
      <c r="B32" s="345" t="s">
        <v>207</v>
      </c>
      <c r="C32" s="346"/>
      <c r="D32" s="346"/>
      <c r="E32" s="346"/>
      <c r="F32" s="357"/>
      <c r="G32" s="357"/>
      <c r="H32" s="297">
        <f t="shared" si="0"/>
        <v>0</v>
      </c>
      <c r="I32" s="354"/>
    </row>
    <row r="33" spans="1:9" ht="15.95" customHeight="1" x14ac:dyDescent="0.15">
      <c r="A33" s="439"/>
      <c r="B33" s="345"/>
      <c r="C33" s="346"/>
      <c r="D33" s="346"/>
      <c r="E33" s="346"/>
      <c r="F33" s="357"/>
      <c r="G33" s="357"/>
      <c r="H33" s="297">
        <f t="shared" si="0"/>
        <v>0</v>
      </c>
      <c r="I33" s="354"/>
    </row>
    <row r="34" spans="1:9" ht="15.95" customHeight="1" x14ac:dyDescent="0.15">
      <c r="A34" s="439"/>
      <c r="B34" s="345"/>
      <c r="C34" s="346"/>
      <c r="D34" s="346"/>
      <c r="E34" s="346"/>
      <c r="F34" s="357"/>
      <c r="G34" s="357"/>
      <c r="H34" s="297">
        <f t="shared" si="0"/>
        <v>0</v>
      </c>
      <c r="I34" s="354"/>
    </row>
    <row r="35" spans="1:9" ht="15.95" customHeight="1" x14ac:dyDescent="0.15">
      <c r="A35" s="439"/>
      <c r="B35" s="345"/>
      <c r="C35" s="346"/>
      <c r="D35" s="346"/>
      <c r="E35" s="346"/>
      <c r="F35" s="357"/>
      <c r="G35" s="357"/>
      <c r="H35" s="297">
        <f t="shared" si="0"/>
        <v>0</v>
      </c>
      <c r="I35" s="354"/>
    </row>
    <row r="36" spans="1:9" ht="15.95" customHeight="1" x14ac:dyDescent="0.15">
      <c r="A36" s="439"/>
      <c r="B36" s="345"/>
      <c r="C36" s="346"/>
      <c r="D36" s="346"/>
      <c r="E36" s="346"/>
      <c r="F36" s="357"/>
      <c r="G36" s="357"/>
      <c r="H36" s="297">
        <f t="shared" si="0"/>
        <v>0</v>
      </c>
      <c r="I36" s="354"/>
    </row>
    <row r="37" spans="1:9" ht="15.95" customHeight="1" x14ac:dyDescent="0.15">
      <c r="A37" s="439"/>
      <c r="B37" s="345"/>
      <c r="C37" s="346"/>
      <c r="D37" s="346"/>
      <c r="E37" s="346"/>
      <c r="F37" s="357"/>
      <c r="G37" s="357"/>
      <c r="H37" s="297">
        <f t="shared" si="0"/>
        <v>0</v>
      </c>
      <c r="I37" s="354"/>
    </row>
    <row r="38" spans="1:9" ht="15.95" customHeight="1" x14ac:dyDescent="0.15">
      <c r="A38" s="439"/>
      <c r="B38" s="345"/>
      <c r="C38" s="346"/>
      <c r="D38" s="346"/>
      <c r="E38" s="346"/>
      <c r="F38" s="357"/>
      <c r="G38" s="357"/>
      <c r="H38" s="297">
        <f t="shared" si="0"/>
        <v>0</v>
      </c>
      <c r="I38" s="354"/>
    </row>
    <row r="39" spans="1:9" ht="15.95" customHeight="1" x14ac:dyDescent="0.15">
      <c r="A39" s="439"/>
      <c r="B39" s="345"/>
      <c r="C39" s="346"/>
      <c r="D39" s="346"/>
      <c r="E39" s="346"/>
      <c r="F39" s="357"/>
      <c r="G39" s="357"/>
      <c r="H39" s="297">
        <f t="shared" si="0"/>
        <v>0</v>
      </c>
      <c r="I39" s="354"/>
    </row>
    <row r="40" spans="1:9" ht="15.95" customHeight="1" x14ac:dyDescent="0.15">
      <c r="A40" s="439"/>
      <c r="B40" s="345"/>
      <c r="C40" s="346"/>
      <c r="D40" s="346"/>
      <c r="E40" s="346"/>
      <c r="F40" s="357"/>
      <c r="G40" s="357"/>
      <c r="H40" s="297">
        <f t="shared" si="0"/>
        <v>0</v>
      </c>
      <c r="I40" s="354"/>
    </row>
    <row r="41" spans="1:9" ht="15.95" customHeight="1" x14ac:dyDescent="0.15">
      <c r="A41" s="439"/>
      <c r="B41" s="345"/>
      <c r="C41" s="346"/>
      <c r="D41" s="346"/>
      <c r="E41" s="346"/>
      <c r="F41" s="357"/>
      <c r="G41" s="357"/>
      <c r="H41" s="297">
        <f t="shared" si="0"/>
        <v>0</v>
      </c>
      <c r="I41" s="354"/>
    </row>
    <row r="42" spans="1:9" ht="15.95" customHeight="1" x14ac:dyDescent="0.15">
      <c r="A42" s="439"/>
      <c r="B42" s="345"/>
      <c r="C42" s="346"/>
      <c r="D42" s="346"/>
      <c r="E42" s="346"/>
      <c r="F42" s="357"/>
      <c r="G42" s="357"/>
      <c r="H42" s="297">
        <f t="shared" si="0"/>
        <v>0</v>
      </c>
      <c r="I42" s="354"/>
    </row>
    <row r="43" spans="1:9" ht="15.95" customHeight="1" x14ac:dyDescent="0.15">
      <c r="A43" s="439"/>
      <c r="B43" s="345"/>
      <c r="C43" s="346"/>
      <c r="D43" s="346"/>
      <c r="E43" s="346"/>
      <c r="F43" s="357"/>
      <c r="G43" s="357"/>
      <c r="H43" s="297">
        <f t="shared" si="0"/>
        <v>0</v>
      </c>
      <c r="I43" s="354"/>
    </row>
    <row r="44" spans="1:9" ht="15.95" customHeight="1" x14ac:dyDescent="0.15">
      <c r="A44" s="439"/>
      <c r="B44" s="345"/>
      <c r="C44" s="346"/>
      <c r="D44" s="346"/>
      <c r="E44" s="346"/>
      <c r="F44" s="357"/>
      <c r="G44" s="357"/>
      <c r="H44" s="297">
        <f t="shared" si="0"/>
        <v>0</v>
      </c>
      <c r="I44" s="354"/>
    </row>
    <row r="45" spans="1:9" ht="15.95" customHeight="1" x14ac:dyDescent="0.15">
      <c r="A45" s="439"/>
      <c r="B45" s="345"/>
      <c r="C45" s="346"/>
      <c r="D45" s="346"/>
      <c r="E45" s="346"/>
      <c r="F45" s="357"/>
      <c r="G45" s="357"/>
      <c r="H45" s="297">
        <f t="shared" si="0"/>
        <v>0</v>
      </c>
      <c r="I45" s="354"/>
    </row>
    <row r="46" spans="1:9" ht="15.95" customHeight="1" x14ac:dyDescent="0.15">
      <c r="A46" s="439"/>
      <c r="B46" s="345"/>
      <c r="C46" s="358" t="s">
        <v>142</v>
      </c>
      <c r="D46" s="358"/>
      <c r="E46" s="358"/>
      <c r="F46" s="361"/>
      <c r="G46" s="361"/>
      <c r="H46" s="307">
        <f t="shared" si="0"/>
        <v>0</v>
      </c>
      <c r="I46" s="362"/>
    </row>
    <row r="47" spans="1:9" ht="15.95" customHeight="1" x14ac:dyDescent="0.15">
      <c r="A47" s="439"/>
      <c r="B47" s="363"/>
      <c r="C47" s="364"/>
      <c r="D47" s="365"/>
      <c r="E47" s="365"/>
      <c r="F47" s="367"/>
      <c r="G47" s="367"/>
      <c r="H47" s="368">
        <f>SUM(H31:H46)</f>
        <v>0</v>
      </c>
      <c r="I47" s="369"/>
    </row>
    <row r="48" spans="1:9" ht="15.95" customHeight="1" x14ac:dyDescent="0.15">
      <c r="A48" s="439"/>
      <c r="B48" s="391" t="s">
        <v>63</v>
      </c>
      <c r="C48" s="371"/>
      <c r="D48" s="371"/>
      <c r="E48" s="371"/>
      <c r="F48" s="374"/>
      <c r="G48" s="374"/>
      <c r="H48" s="375">
        <f t="shared" si="0"/>
        <v>0</v>
      </c>
      <c r="I48" s="376"/>
    </row>
    <row r="49" spans="1:9" ht="15.95" customHeight="1" x14ac:dyDescent="0.15">
      <c r="A49" s="439"/>
      <c r="B49" s="345"/>
      <c r="C49" s="346"/>
      <c r="D49" s="346"/>
      <c r="E49" s="346"/>
      <c r="F49" s="357"/>
      <c r="G49" s="357"/>
      <c r="H49" s="297">
        <f t="shared" si="0"/>
        <v>0</v>
      </c>
      <c r="I49" s="354"/>
    </row>
    <row r="50" spans="1:9" ht="15.95" customHeight="1" x14ac:dyDescent="0.15">
      <c r="A50" s="439"/>
      <c r="B50" s="345"/>
      <c r="C50" s="346"/>
      <c r="D50" s="346"/>
      <c r="E50" s="346"/>
      <c r="F50" s="357"/>
      <c r="G50" s="357"/>
      <c r="H50" s="297">
        <f t="shared" si="0"/>
        <v>0</v>
      </c>
      <c r="I50" s="354"/>
    </row>
    <row r="51" spans="1:9" ht="15.95" customHeight="1" x14ac:dyDescent="0.15">
      <c r="A51" s="439"/>
      <c r="B51" s="345"/>
      <c r="C51" s="346"/>
      <c r="D51" s="346"/>
      <c r="E51" s="346"/>
      <c r="F51" s="357"/>
      <c r="G51" s="357"/>
      <c r="H51" s="297">
        <f t="shared" si="0"/>
        <v>0</v>
      </c>
      <c r="I51" s="354"/>
    </row>
    <row r="52" spans="1:9" ht="15.95" customHeight="1" x14ac:dyDescent="0.15">
      <c r="A52" s="439"/>
      <c r="B52" s="345"/>
      <c r="C52" s="346"/>
      <c r="D52" s="346"/>
      <c r="E52" s="346"/>
      <c r="F52" s="357"/>
      <c r="G52" s="357"/>
      <c r="H52" s="297">
        <f t="shared" si="0"/>
        <v>0</v>
      </c>
      <c r="I52" s="354"/>
    </row>
    <row r="53" spans="1:9" ht="15.95" customHeight="1" x14ac:dyDescent="0.15">
      <c r="A53" s="439"/>
      <c r="B53" s="345"/>
      <c r="C53" s="346"/>
      <c r="D53" s="346"/>
      <c r="E53" s="346"/>
      <c r="F53" s="357"/>
      <c r="G53" s="357"/>
      <c r="H53" s="297">
        <f t="shared" si="0"/>
        <v>0</v>
      </c>
      <c r="I53" s="354"/>
    </row>
    <row r="54" spans="1:9" ht="15.95" customHeight="1" x14ac:dyDescent="0.15">
      <c r="A54" s="439"/>
      <c r="B54" s="345"/>
      <c r="C54" s="358" t="s">
        <v>142</v>
      </c>
      <c r="D54" s="358"/>
      <c r="E54" s="358"/>
      <c r="F54" s="361"/>
      <c r="G54" s="361"/>
      <c r="H54" s="307">
        <f t="shared" si="0"/>
        <v>0</v>
      </c>
      <c r="I54" s="362"/>
    </row>
    <row r="55" spans="1:9" ht="15.95" customHeight="1" x14ac:dyDescent="0.15">
      <c r="A55" s="439"/>
      <c r="B55" s="363"/>
      <c r="C55" s="364"/>
      <c r="D55" s="365"/>
      <c r="E55" s="365"/>
      <c r="F55" s="367"/>
      <c r="G55" s="367"/>
      <c r="H55" s="368">
        <f>SUM(H48:H54)</f>
        <v>0</v>
      </c>
      <c r="I55" s="369"/>
    </row>
    <row r="56" spans="1:9" ht="15.95" customHeight="1" x14ac:dyDescent="0.15">
      <c r="A56" s="409"/>
      <c r="B56" s="410" t="s">
        <v>180</v>
      </c>
      <c r="C56" s="411"/>
      <c r="D56" s="369"/>
      <c r="E56" s="369"/>
      <c r="F56" s="413"/>
      <c r="G56" s="413"/>
      <c r="H56" s="368">
        <f>SUM(H55,H47,H30,H24)</f>
        <v>0</v>
      </c>
      <c r="I56" s="369"/>
    </row>
    <row r="57" spans="1:9" ht="15.95" customHeight="1" x14ac:dyDescent="0.15">
      <c r="A57" s="448" t="s">
        <v>181</v>
      </c>
      <c r="B57" s="415" t="s">
        <v>69</v>
      </c>
      <c r="C57" s="411"/>
      <c r="D57" s="369"/>
      <c r="E57" s="415" t="s">
        <v>70</v>
      </c>
      <c r="F57" s="418"/>
      <c r="G57" s="418"/>
      <c r="H57" s="419">
        <f>F57*G57</f>
        <v>0</v>
      </c>
      <c r="I57" s="369"/>
    </row>
    <row r="58" spans="1:9" ht="15.95" customHeight="1" x14ac:dyDescent="0.15">
      <c r="A58" s="439"/>
      <c r="B58" s="421" t="s">
        <v>253</v>
      </c>
      <c r="C58" s="422"/>
      <c r="D58" s="376"/>
      <c r="E58" s="421" t="s">
        <v>185</v>
      </c>
      <c r="F58" s="374"/>
      <c r="G58" s="374"/>
      <c r="H58" s="375">
        <f t="shared" ref="H58:H64" si="1">F58*G58</f>
        <v>0</v>
      </c>
      <c r="I58" s="376"/>
    </row>
    <row r="59" spans="1:9" ht="15.95" customHeight="1" x14ac:dyDescent="0.15">
      <c r="A59" s="439"/>
      <c r="B59" s="449" t="s">
        <v>254</v>
      </c>
      <c r="C59" s="425"/>
      <c r="D59" s="354"/>
      <c r="E59" s="424" t="s">
        <v>185</v>
      </c>
      <c r="F59" s="357"/>
      <c r="G59" s="357"/>
      <c r="H59" s="297">
        <f t="shared" si="1"/>
        <v>0</v>
      </c>
      <c r="I59" s="354"/>
    </row>
    <row r="60" spans="1:9" ht="15.95" customHeight="1" x14ac:dyDescent="0.15">
      <c r="A60" s="439"/>
      <c r="B60" s="424" t="s">
        <v>255</v>
      </c>
      <c r="C60" s="425"/>
      <c r="D60" s="354"/>
      <c r="E60" s="424" t="s">
        <v>185</v>
      </c>
      <c r="F60" s="357"/>
      <c r="G60" s="357"/>
      <c r="H60" s="297">
        <f t="shared" si="1"/>
        <v>0</v>
      </c>
      <c r="I60" s="354"/>
    </row>
    <row r="61" spans="1:9" ht="15.95" customHeight="1" x14ac:dyDescent="0.15">
      <c r="A61" s="439"/>
      <c r="B61" s="424" t="s">
        <v>256</v>
      </c>
      <c r="C61" s="425"/>
      <c r="D61" s="354"/>
      <c r="E61" s="424" t="s">
        <v>185</v>
      </c>
      <c r="F61" s="357"/>
      <c r="G61" s="357"/>
      <c r="H61" s="297">
        <f t="shared" si="1"/>
        <v>0</v>
      </c>
      <c r="I61" s="354"/>
    </row>
    <row r="62" spans="1:9" ht="15.95" customHeight="1" x14ac:dyDescent="0.15">
      <c r="A62" s="439"/>
      <c r="B62" s="424" t="s">
        <v>257</v>
      </c>
      <c r="C62" s="425"/>
      <c r="D62" s="354"/>
      <c r="E62" s="424" t="s">
        <v>185</v>
      </c>
      <c r="F62" s="357"/>
      <c r="G62" s="357"/>
      <c r="H62" s="297">
        <f t="shared" si="1"/>
        <v>0</v>
      </c>
      <c r="I62" s="354"/>
    </row>
    <row r="63" spans="1:9" ht="15.95" customHeight="1" x14ac:dyDescent="0.15">
      <c r="A63" s="439"/>
      <c r="B63" s="424" t="s">
        <v>258</v>
      </c>
      <c r="C63" s="425"/>
      <c r="D63" s="354"/>
      <c r="E63" s="424" t="s">
        <v>185</v>
      </c>
      <c r="F63" s="357"/>
      <c r="G63" s="357"/>
      <c r="H63" s="297">
        <f t="shared" si="1"/>
        <v>0</v>
      </c>
      <c r="I63" s="354"/>
    </row>
    <row r="64" spans="1:9" ht="15.95" customHeight="1" x14ac:dyDescent="0.15">
      <c r="A64" s="439"/>
      <c r="B64" s="426" t="s">
        <v>259</v>
      </c>
      <c r="C64" s="427"/>
      <c r="D64" s="362"/>
      <c r="E64" s="426" t="s">
        <v>185</v>
      </c>
      <c r="F64" s="361"/>
      <c r="G64" s="361"/>
      <c r="H64" s="307">
        <f t="shared" si="1"/>
        <v>0</v>
      </c>
      <c r="I64" s="362"/>
    </row>
    <row r="65" spans="1:9" ht="15.95" customHeight="1" x14ac:dyDescent="0.15">
      <c r="A65" s="409"/>
      <c r="B65" s="429" t="s">
        <v>189</v>
      </c>
      <c r="C65" s="411"/>
      <c r="D65" s="369"/>
      <c r="E65" s="369"/>
      <c r="F65" s="367"/>
      <c r="G65" s="367"/>
      <c r="H65" s="367">
        <f>SUM(H57:H64)</f>
        <v>0</v>
      </c>
      <c r="I65" s="365"/>
    </row>
    <row r="66" spans="1:9" ht="15.95" customHeight="1" x14ac:dyDescent="0.15">
      <c r="A66" s="430"/>
      <c r="B66" s="429" t="s">
        <v>260</v>
      </c>
      <c r="C66" s="411"/>
      <c r="D66" s="369"/>
      <c r="E66" s="369"/>
      <c r="F66" s="368"/>
      <c r="G66" s="368"/>
      <c r="H66" s="413">
        <f>'단위공사별(집계)'!L14+'단위공사별(집계)'!I14</f>
        <v>0</v>
      </c>
      <c r="I66" s="369"/>
    </row>
    <row r="67" spans="1:9" ht="15.95" customHeight="1" x14ac:dyDescent="0.15">
      <c r="A67" s="430"/>
      <c r="B67" s="429" t="s">
        <v>95</v>
      </c>
      <c r="C67" s="411"/>
      <c r="D67" s="369"/>
      <c r="E67" s="369"/>
      <c r="F67" s="368"/>
      <c r="G67" s="433"/>
      <c r="H67" s="418"/>
      <c r="I67" s="411"/>
    </row>
    <row r="68" spans="1:9" ht="15.95" customHeight="1" x14ac:dyDescent="0.15">
      <c r="A68" s="430"/>
      <c r="B68" s="429" t="s">
        <v>192</v>
      </c>
      <c r="C68" s="411"/>
      <c r="D68" s="369"/>
      <c r="E68" s="369"/>
      <c r="F68" s="368"/>
      <c r="G68" s="433"/>
      <c r="H68" s="418"/>
      <c r="I68" s="411"/>
    </row>
    <row r="69" spans="1:9" ht="15.95" customHeight="1" x14ac:dyDescent="0.15">
      <c r="A69" s="430"/>
      <c r="B69" s="429" t="s">
        <v>193</v>
      </c>
      <c r="C69" s="411"/>
      <c r="D69" s="369"/>
      <c r="E69" s="369"/>
      <c r="F69" s="368"/>
      <c r="G69" s="368"/>
      <c r="H69" s="367">
        <f>H56+H65+H66+H67+H68</f>
        <v>0</v>
      </c>
      <c r="I69" s="369"/>
    </row>
    <row r="70" spans="1:9" x14ac:dyDescent="0.15">
      <c r="A70" s="258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2026-08-11T09:00:59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7C34-EFB7-4DB5-83CA-F97FAE5FE652}">
  <sheetPr>
    <pageSetUpPr fitToPage="1"/>
  </sheetPr>
  <dimension ref="A1:D36"/>
  <sheetViews>
    <sheetView zoomScale="85" workbookViewId="0">
      <selection sqref="A1:XFD1048576"/>
    </sheetView>
  </sheetViews>
  <sheetFormatPr defaultRowHeight="17.25" customHeight="1" x14ac:dyDescent="0.15"/>
  <cols>
    <col min="1" max="1" width="16.5" style="249" customWidth="1"/>
    <col min="2" max="3" width="27.625" style="249" customWidth="1"/>
    <col min="4" max="4" width="11.5" style="249" customWidth="1"/>
    <col min="5" max="16384" width="9" style="249"/>
  </cols>
  <sheetData>
    <row r="1" spans="1:4" ht="17.25" customHeight="1" x14ac:dyDescent="0.15">
      <c r="A1" s="249" t="s">
        <v>287</v>
      </c>
    </row>
    <row r="2" spans="1:4" ht="17.25" customHeight="1" x14ac:dyDescent="0.15">
      <c r="D2" s="258" t="s">
        <v>130</v>
      </c>
    </row>
    <row r="3" spans="1:4" ht="24.75" customHeight="1" x14ac:dyDescent="0.15">
      <c r="A3" s="461" t="s">
        <v>288</v>
      </c>
    </row>
    <row r="4" spans="1:4" ht="11.25" customHeight="1" x14ac:dyDescent="0.15"/>
    <row r="5" spans="1:4" s="463" customFormat="1" ht="21" customHeight="1" thickBot="1" x14ac:dyDescent="0.2">
      <c r="A5" s="462" t="s">
        <v>289</v>
      </c>
      <c r="B5" s="462" t="s">
        <v>290</v>
      </c>
      <c r="C5" s="462" t="s">
        <v>291</v>
      </c>
      <c r="D5" s="462" t="s">
        <v>30</v>
      </c>
    </row>
    <row r="6" spans="1:4" ht="17.25" customHeight="1" thickTop="1" x14ac:dyDescent="0.15">
      <c r="A6" s="464"/>
      <c r="B6" s="464"/>
      <c r="C6" s="464"/>
      <c r="D6" s="464"/>
    </row>
    <row r="7" spans="1:4" ht="17.25" customHeight="1" x14ac:dyDescent="0.15">
      <c r="A7" s="464"/>
      <c r="B7" s="464"/>
      <c r="C7" s="464"/>
      <c r="D7" s="464"/>
    </row>
    <row r="8" spans="1:4" ht="17.25" customHeight="1" x14ac:dyDescent="0.15">
      <c r="A8" s="464"/>
      <c r="B8" s="464"/>
      <c r="C8" s="464"/>
      <c r="D8" s="464"/>
    </row>
    <row r="9" spans="1:4" ht="17.25" customHeight="1" x14ac:dyDescent="0.15">
      <c r="A9" s="464"/>
      <c r="B9" s="464"/>
      <c r="C9" s="464"/>
      <c r="D9" s="464"/>
    </row>
    <row r="10" spans="1:4" ht="17.25" customHeight="1" x14ac:dyDescent="0.15">
      <c r="A10" s="464"/>
      <c r="B10" s="464"/>
      <c r="C10" s="464"/>
      <c r="D10" s="464"/>
    </row>
    <row r="11" spans="1:4" ht="17.25" customHeight="1" x14ac:dyDescent="0.15">
      <c r="A11" s="464"/>
      <c r="B11" s="464"/>
      <c r="C11" s="464"/>
      <c r="D11" s="464"/>
    </row>
    <row r="12" spans="1:4" ht="17.25" customHeight="1" x14ac:dyDescent="0.15">
      <c r="A12" s="464"/>
      <c r="B12" s="464"/>
      <c r="C12" s="464"/>
      <c r="D12" s="464"/>
    </row>
    <row r="13" spans="1:4" ht="17.25" customHeight="1" x14ac:dyDescent="0.15">
      <c r="A13" s="464"/>
      <c r="B13" s="464"/>
      <c r="C13" s="464"/>
      <c r="D13" s="464"/>
    </row>
    <row r="14" spans="1:4" ht="17.25" customHeight="1" x14ac:dyDescent="0.15">
      <c r="A14" s="464"/>
      <c r="B14" s="464"/>
      <c r="C14" s="464"/>
      <c r="D14" s="464"/>
    </row>
    <row r="15" spans="1:4" ht="17.25" customHeight="1" x14ac:dyDescent="0.15">
      <c r="A15" s="464"/>
      <c r="B15" s="464"/>
      <c r="C15" s="464"/>
      <c r="D15" s="464"/>
    </row>
    <row r="16" spans="1:4" ht="17.25" customHeight="1" x14ac:dyDescent="0.15">
      <c r="A16" s="464"/>
      <c r="B16" s="464"/>
      <c r="C16" s="464"/>
      <c r="D16" s="464"/>
    </row>
    <row r="17" spans="1:4" ht="17.25" customHeight="1" x14ac:dyDescent="0.15">
      <c r="A17" s="464"/>
      <c r="B17" s="464"/>
      <c r="C17" s="464"/>
      <c r="D17" s="464"/>
    </row>
    <row r="18" spans="1:4" ht="17.25" customHeight="1" x14ac:dyDescent="0.15">
      <c r="A18" s="464"/>
      <c r="B18" s="464"/>
      <c r="C18" s="464"/>
      <c r="D18" s="464"/>
    </row>
    <row r="19" spans="1:4" ht="17.25" customHeight="1" x14ac:dyDescent="0.15">
      <c r="A19" s="464"/>
      <c r="B19" s="464"/>
      <c r="C19" s="464"/>
      <c r="D19" s="464"/>
    </row>
    <row r="20" spans="1:4" ht="17.25" customHeight="1" x14ac:dyDescent="0.15">
      <c r="A20" s="464"/>
      <c r="B20" s="464"/>
      <c r="C20" s="464"/>
      <c r="D20" s="464"/>
    </row>
    <row r="21" spans="1:4" ht="17.25" customHeight="1" x14ac:dyDescent="0.15">
      <c r="A21" s="464"/>
      <c r="B21" s="464"/>
      <c r="C21" s="464"/>
      <c r="D21" s="464"/>
    </row>
    <row r="22" spans="1:4" ht="17.25" customHeight="1" x14ac:dyDescent="0.15">
      <c r="A22" s="464"/>
      <c r="B22" s="464"/>
      <c r="C22" s="464"/>
      <c r="D22" s="464"/>
    </row>
    <row r="23" spans="1:4" ht="17.25" customHeight="1" x14ac:dyDescent="0.15">
      <c r="A23" s="464"/>
      <c r="B23" s="464"/>
      <c r="C23" s="464"/>
      <c r="D23" s="464"/>
    </row>
    <row r="24" spans="1:4" ht="17.25" customHeight="1" x14ac:dyDescent="0.15">
      <c r="A24" s="464"/>
      <c r="B24" s="464"/>
      <c r="C24" s="464"/>
      <c r="D24" s="464"/>
    </row>
    <row r="25" spans="1:4" ht="17.25" customHeight="1" x14ac:dyDescent="0.15">
      <c r="A25" s="464"/>
      <c r="B25" s="464"/>
      <c r="C25" s="464"/>
      <c r="D25" s="464"/>
    </row>
    <row r="26" spans="1:4" ht="17.25" customHeight="1" x14ac:dyDescent="0.15">
      <c r="A26" s="464"/>
      <c r="B26" s="464"/>
      <c r="C26" s="464"/>
      <c r="D26" s="464"/>
    </row>
    <row r="27" spans="1:4" ht="17.25" customHeight="1" x14ac:dyDescent="0.15">
      <c r="A27" s="464"/>
      <c r="B27" s="464"/>
      <c r="C27" s="464"/>
      <c r="D27" s="464"/>
    </row>
    <row r="28" spans="1:4" ht="17.25" customHeight="1" x14ac:dyDescent="0.15">
      <c r="A28" s="464"/>
      <c r="B28" s="464"/>
      <c r="C28" s="464"/>
      <c r="D28" s="464"/>
    </row>
    <row r="29" spans="1:4" ht="17.25" customHeight="1" x14ac:dyDescent="0.15">
      <c r="A29" s="464"/>
      <c r="B29" s="464"/>
      <c r="C29" s="464"/>
      <c r="D29" s="464"/>
    </row>
    <row r="30" spans="1:4" ht="17.25" customHeight="1" x14ac:dyDescent="0.15">
      <c r="A30" s="464"/>
      <c r="B30" s="464"/>
      <c r="C30" s="464"/>
      <c r="D30" s="464"/>
    </row>
    <row r="31" spans="1:4" ht="17.25" customHeight="1" x14ac:dyDescent="0.15">
      <c r="A31" s="464"/>
      <c r="B31" s="464"/>
      <c r="C31" s="464"/>
      <c r="D31" s="464"/>
    </row>
    <row r="32" spans="1:4" ht="17.25" customHeight="1" x14ac:dyDescent="0.15">
      <c r="A32" s="464"/>
      <c r="B32" s="464"/>
      <c r="C32" s="464"/>
      <c r="D32" s="464"/>
    </row>
    <row r="33" spans="1:4" ht="17.25" customHeight="1" x14ac:dyDescent="0.15">
      <c r="A33" s="464"/>
      <c r="B33" s="464"/>
      <c r="C33" s="464"/>
      <c r="D33" s="464"/>
    </row>
    <row r="34" spans="1:4" ht="17.25" customHeight="1" x14ac:dyDescent="0.15">
      <c r="A34" s="464"/>
      <c r="B34" s="464"/>
      <c r="C34" s="464"/>
      <c r="D34" s="464"/>
    </row>
    <row r="35" spans="1:4" ht="17.25" customHeight="1" x14ac:dyDescent="0.15">
      <c r="A35" s="464"/>
      <c r="B35" s="464"/>
      <c r="C35" s="464"/>
      <c r="D35" s="464"/>
    </row>
    <row r="36" spans="1:4" ht="17.25" customHeight="1" x14ac:dyDescent="0.15">
      <c r="A36" s="365"/>
      <c r="B36" s="365"/>
      <c r="C36" s="365"/>
      <c r="D36" s="365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>
    <oddHeader>&amp;C&amp;G</oddHeader>
    <oddFooter>&amp;L_x000D_&amp;1#&amp;"Malgun Gothic"&amp;6&amp;K000000 외부 전송용(No Protection) 김상우 매니저 열관리부품구매팀 swoo@hyundai-wia.com 2026-08-11T09:00:59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6</vt:i4>
      </vt:variant>
    </vt:vector>
  </HeadingPairs>
  <TitlesOfParts>
    <vt:vector size="21" baseType="lpstr">
      <vt:lpstr>갑지</vt:lpstr>
      <vt:lpstr>원가항목별(집계)</vt:lpstr>
      <vt:lpstr>단위공사별(집계)</vt:lpstr>
      <vt:lpstr>전기</vt:lpstr>
      <vt:lpstr>단위장비1</vt:lpstr>
      <vt:lpstr>단위장비2</vt:lpstr>
      <vt:lpstr>단위장비3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김상우 매니저 열관리부품구매팀</dc:creator>
  <cp:lastModifiedBy>김상우 매니저 열관리부품구매팀</cp:lastModifiedBy>
  <dcterms:created xsi:type="dcterms:W3CDTF">2026-08-11T00:00:35Z</dcterms:created>
  <dcterms:modified xsi:type="dcterms:W3CDTF">2026-08-11T00:01:21Z</dcterms:modified>
</cp:coreProperties>
</file>