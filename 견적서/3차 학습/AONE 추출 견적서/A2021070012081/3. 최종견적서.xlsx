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780" yWindow="870" windowWidth="21555" windowHeight="10530" tabRatio="747"/>
  </bookViews>
  <sheets>
    <sheet name="갑지" sheetId="1" r:id="rId1"/>
    <sheet name="원가항목별(집계)" sheetId="2" r:id="rId2"/>
    <sheet name="단위공사별(집계)" sheetId="3" r:id="rId3"/>
    <sheet name="전기" sheetId="4" r:id="rId4"/>
    <sheet name="단위장비1" sheetId="5" r:id="rId5"/>
    <sheet name="단위장비2" sheetId="6" r:id="rId6"/>
    <sheet name="단위장비3" sheetId="7" state="hidden" r:id="rId7"/>
    <sheet name="단위장비4" sheetId="8" state="hidden" r:id="rId8"/>
    <sheet name="단위장비5" sheetId="9" state="hidden" r:id="rId9"/>
    <sheet name="단위장비6" sheetId="10" state="hidden" r:id="rId10"/>
    <sheet name="단위장비7" sheetId="11" state="hidden" r:id="rId11"/>
    <sheet name="단위장비8" sheetId="12" state="hidden" r:id="rId12"/>
    <sheet name="단위장비9" sheetId="13" state="hidden" r:id="rId13"/>
    <sheet name="단위장비10" sheetId="14" state="hidden" r:id="rId14"/>
    <sheet name="첨부(견적조건차이내역)" sheetId="15" r:id="rId15"/>
  </sheets>
  <externalReferences>
    <externalReference r:id="rId16"/>
  </externalReferences>
  <definedNames>
    <definedName name="_xlnm._FilterDatabase" localSheetId="4" hidden="1">단위장비1!$A$2:$I$69</definedName>
    <definedName name="_xlnm._FilterDatabase" localSheetId="5" hidden="1">단위장비2!$A$2:$I$69</definedName>
    <definedName name="_xlnm._FilterDatabase" localSheetId="6" hidden="1">단위장비3!$J$2:$J$69</definedName>
    <definedName name="_xlnm._FilterDatabase" localSheetId="7" hidden="1">단위장비4!$J$2:$J$69</definedName>
    <definedName name="_xlnm._FilterDatabase" localSheetId="8" hidden="1">단위장비5!$J$2:$J$69</definedName>
    <definedName name="_xlnm._FilterDatabase" localSheetId="9" hidden="1">단위장비6!$J$2:$J$69</definedName>
    <definedName name="_xlnm._FilterDatabase" localSheetId="10" hidden="1">단위장비7!$J$2:$J$69</definedName>
    <definedName name="_xlnm._FilterDatabase" localSheetId="11" hidden="1">단위장비8!$J$2:$J$69</definedName>
    <definedName name="_xlnm._FilterDatabase" localSheetId="3" hidden="1">전기!$A$2:$I$67</definedName>
    <definedName name="_xlnm.Print_Area" localSheetId="0">갑지!$B:$I</definedName>
    <definedName name="_xlnm.Print_Area" localSheetId="2">'단위공사별(집계)'!$A$1:$O$20</definedName>
    <definedName name="_xlnm.Print_Area" localSheetId="1">'원가항목별(집계)'!$A$1:$J$44</definedName>
    <definedName name="_xlnm.Print_Area" localSheetId="3">전기!$A:$I</definedName>
    <definedName name="_xlnm.Print_Area" localSheetId="14">'첨부(견적조건차이내역)'!$A$1:$D$36</definedName>
    <definedName name="_xlnm.Print_Titles" localSheetId="3">전기!$1:$2</definedName>
  </definedNames>
  <calcPr calcId="145621"/>
</workbook>
</file>

<file path=xl/calcChain.xml><?xml version="1.0" encoding="utf-8"?>
<calcChain xmlns="http://schemas.openxmlformats.org/spreadsheetml/2006/main">
  <c r="H6" i="6" l="1"/>
  <c r="H64" i="14" l="1"/>
  <c r="H63" i="14"/>
  <c r="H16" i="3" s="1"/>
  <c r="H62" i="14"/>
  <c r="H61" i="14"/>
  <c r="H60" i="14"/>
  <c r="H59" i="14"/>
  <c r="H58" i="14"/>
  <c r="H57" i="14"/>
  <c r="E16" i="3" s="1"/>
  <c r="H54" i="14"/>
  <c r="H53" i="14"/>
  <c r="H52" i="14"/>
  <c r="H51" i="14"/>
  <c r="H50" i="14"/>
  <c r="H49" i="14"/>
  <c r="H48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29" i="14"/>
  <c r="H28" i="14"/>
  <c r="H27" i="14"/>
  <c r="H26" i="14"/>
  <c r="H25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64" i="13"/>
  <c r="H63" i="13"/>
  <c r="H15" i="3" s="1"/>
  <c r="H62" i="13"/>
  <c r="H61" i="13"/>
  <c r="H60" i="13"/>
  <c r="H59" i="13"/>
  <c r="H58" i="13"/>
  <c r="H57" i="13"/>
  <c r="E15" i="3" s="1"/>
  <c r="H54" i="13"/>
  <c r="H53" i="13"/>
  <c r="H52" i="13"/>
  <c r="H51" i="13"/>
  <c r="H50" i="13"/>
  <c r="H49" i="13"/>
  <c r="H48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29" i="13"/>
  <c r="H28" i="13"/>
  <c r="H27" i="13"/>
  <c r="H26" i="13"/>
  <c r="H25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64" i="12"/>
  <c r="H63" i="12"/>
  <c r="H14" i="3" s="1"/>
  <c r="H62" i="12"/>
  <c r="H61" i="12"/>
  <c r="H60" i="12"/>
  <c r="H59" i="12"/>
  <c r="H58" i="12"/>
  <c r="H57" i="12"/>
  <c r="H54" i="12"/>
  <c r="H53" i="12"/>
  <c r="H52" i="12"/>
  <c r="H51" i="12"/>
  <c r="H50" i="12"/>
  <c r="H49" i="12"/>
  <c r="H48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29" i="12"/>
  <c r="H28" i="12"/>
  <c r="H27" i="12"/>
  <c r="H26" i="12"/>
  <c r="H25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64" i="11"/>
  <c r="H63" i="11"/>
  <c r="H13" i="3" s="1"/>
  <c r="H62" i="11"/>
  <c r="H61" i="11"/>
  <c r="H60" i="11"/>
  <c r="H59" i="11"/>
  <c r="H58" i="11"/>
  <c r="H57" i="11"/>
  <c r="H54" i="11"/>
  <c r="H53" i="11"/>
  <c r="H52" i="11"/>
  <c r="H51" i="11"/>
  <c r="H50" i="11"/>
  <c r="H49" i="11"/>
  <c r="H48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29" i="11"/>
  <c r="H28" i="11"/>
  <c r="H27" i="11"/>
  <c r="H26" i="11"/>
  <c r="H25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64" i="10"/>
  <c r="H63" i="10"/>
  <c r="H62" i="10"/>
  <c r="H61" i="10"/>
  <c r="H60" i="10"/>
  <c r="H59" i="10"/>
  <c r="H58" i="10"/>
  <c r="H57" i="10"/>
  <c r="E12" i="3" s="1"/>
  <c r="H54" i="10"/>
  <c r="H53" i="10"/>
  <c r="H52" i="10"/>
  <c r="H51" i="10"/>
  <c r="H50" i="10"/>
  <c r="H49" i="10"/>
  <c r="H48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29" i="10"/>
  <c r="H28" i="10"/>
  <c r="H27" i="10"/>
  <c r="H26" i="10"/>
  <c r="H25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64" i="9"/>
  <c r="H63" i="9"/>
  <c r="H11" i="3" s="1"/>
  <c r="H62" i="9"/>
  <c r="H61" i="9"/>
  <c r="H60" i="9"/>
  <c r="H59" i="9"/>
  <c r="H58" i="9"/>
  <c r="H57" i="9"/>
  <c r="H54" i="9"/>
  <c r="H53" i="9"/>
  <c r="H52" i="9"/>
  <c r="H51" i="9"/>
  <c r="H50" i="9"/>
  <c r="H49" i="9"/>
  <c r="H48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29" i="9"/>
  <c r="H28" i="9"/>
  <c r="H27" i="9"/>
  <c r="H26" i="9"/>
  <c r="H25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64" i="8"/>
  <c r="H63" i="8"/>
  <c r="H62" i="8"/>
  <c r="H61" i="8"/>
  <c r="H60" i="8"/>
  <c r="H59" i="8"/>
  <c r="H58" i="8"/>
  <c r="H57" i="8"/>
  <c r="H54" i="8"/>
  <c r="H53" i="8"/>
  <c r="H52" i="8"/>
  <c r="H51" i="8"/>
  <c r="H50" i="8"/>
  <c r="H49" i="8"/>
  <c r="H48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29" i="8"/>
  <c r="H28" i="8"/>
  <c r="H27" i="8"/>
  <c r="H26" i="8"/>
  <c r="H25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64" i="7"/>
  <c r="H63" i="7"/>
  <c r="H9" i="3" s="1"/>
  <c r="H62" i="7"/>
  <c r="H61" i="7"/>
  <c r="H60" i="7"/>
  <c r="H59" i="7"/>
  <c r="H58" i="7"/>
  <c r="H57" i="7"/>
  <c r="H54" i="7"/>
  <c r="H53" i="7"/>
  <c r="H52" i="7"/>
  <c r="H51" i="7"/>
  <c r="H50" i="7"/>
  <c r="H49" i="7"/>
  <c r="H48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29" i="7"/>
  <c r="H28" i="7"/>
  <c r="H27" i="7"/>
  <c r="H26" i="7"/>
  <c r="H25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64" i="6"/>
  <c r="H63" i="6"/>
  <c r="H8" i="3" s="1"/>
  <c r="H62" i="6"/>
  <c r="H61" i="6"/>
  <c r="H60" i="6"/>
  <c r="H59" i="6"/>
  <c r="H58" i="6"/>
  <c r="H57" i="6"/>
  <c r="E8" i="3" s="1"/>
  <c r="H54" i="6"/>
  <c r="H53" i="6"/>
  <c r="H52" i="6"/>
  <c r="H51" i="6"/>
  <c r="H50" i="6"/>
  <c r="H49" i="6"/>
  <c r="H48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29" i="6"/>
  <c r="H28" i="6"/>
  <c r="H27" i="6"/>
  <c r="H26" i="6"/>
  <c r="H25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5" i="6"/>
  <c r="H4" i="6"/>
  <c r="H3" i="6"/>
  <c r="H64" i="5"/>
  <c r="H63" i="5"/>
  <c r="H62" i="5"/>
  <c r="H61" i="5"/>
  <c r="H60" i="5"/>
  <c r="H59" i="5"/>
  <c r="H58" i="5"/>
  <c r="H57" i="5"/>
  <c r="E7" i="3" s="1"/>
  <c r="H54" i="5"/>
  <c r="H53" i="5"/>
  <c r="H52" i="5"/>
  <c r="H51" i="5"/>
  <c r="H50" i="5"/>
  <c r="H49" i="5"/>
  <c r="H48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29" i="5"/>
  <c r="H28" i="5"/>
  <c r="H27" i="5"/>
  <c r="H26" i="5"/>
  <c r="H25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62" i="4"/>
  <c r="I31" i="2" s="1"/>
  <c r="H61" i="4"/>
  <c r="H60" i="4"/>
  <c r="H59" i="4"/>
  <c r="I28" i="2" s="1"/>
  <c r="H58" i="4"/>
  <c r="I27" i="2" s="1"/>
  <c r="H57" i="4"/>
  <c r="H56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5" i="4"/>
  <c r="H14" i="4"/>
  <c r="H13" i="4"/>
  <c r="H12" i="4"/>
  <c r="H11" i="4"/>
  <c r="H10" i="4"/>
  <c r="H8" i="4"/>
  <c r="H7" i="4"/>
  <c r="H6" i="4"/>
  <c r="H5" i="4"/>
  <c r="H4" i="4"/>
  <c r="H3" i="4"/>
  <c r="B16" i="3"/>
  <c r="B15" i="3"/>
  <c r="B14" i="3"/>
  <c r="B13" i="3"/>
  <c r="H12" i="3"/>
  <c r="B12" i="3"/>
  <c r="B11" i="3"/>
  <c r="C22" i="1" s="1"/>
  <c r="H10" i="3"/>
  <c r="E10" i="3"/>
  <c r="B10" i="3"/>
  <c r="C21" i="1" s="1"/>
  <c r="B9" i="3"/>
  <c r="C20" i="1" s="1"/>
  <c r="B8" i="3"/>
  <c r="B7" i="3"/>
  <c r="A7" i="3" s="1"/>
  <c r="H31" i="2"/>
  <c r="G31" i="2"/>
  <c r="I30" i="2"/>
  <c r="H30" i="2"/>
  <c r="G30" i="2"/>
  <c r="I29" i="2"/>
  <c r="H29" i="2"/>
  <c r="G29" i="2"/>
  <c r="H28" i="2"/>
  <c r="G28" i="2"/>
  <c r="H27" i="2"/>
  <c r="G27" i="2"/>
  <c r="I26" i="2"/>
  <c r="H26" i="2"/>
  <c r="G26" i="2"/>
  <c r="I25" i="2"/>
  <c r="H25" i="2"/>
  <c r="G25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G7" i="2"/>
  <c r="H30" i="8" l="1"/>
  <c r="F14" i="3"/>
  <c r="H55" i="13"/>
  <c r="F15" i="3"/>
  <c r="G16" i="3"/>
  <c r="F16" i="3"/>
  <c r="G15" i="3"/>
  <c r="H24" i="11"/>
  <c r="F13" i="3"/>
  <c r="G13" i="3"/>
  <c r="C27" i="1"/>
  <c r="C26" i="1"/>
  <c r="C24" i="1"/>
  <c r="H30" i="12"/>
  <c r="H30" i="10"/>
  <c r="G12" i="3"/>
  <c r="G7" i="3"/>
  <c r="G11" i="3"/>
  <c r="I18" i="2"/>
  <c r="F12" i="3"/>
  <c r="H65" i="12"/>
  <c r="E14" i="3"/>
  <c r="H65" i="9"/>
  <c r="H47" i="9"/>
  <c r="H47" i="11"/>
  <c r="H24" i="13"/>
  <c r="H65" i="13"/>
  <c r="H30" i="14"/>
  <c r="H55" i="6"/>
  <c r="H55" i="8"/>
  <c r="H30" i="9"/>
  <c r="H55" i="9"/>
  <c r="F11" i="3"/>
  <c r="H24" i="10"/>
  <c r="H55" i="10"/>
  <c r="H30" i="11"/>
  <c r="H24" i="12"/>
  <c r="H55" i="12"/>
  <c r="G14" i="3"/>
  <c r="H47" i="13"/>
  <c r="E11" i="3"/>
  <c r="H9" i="4"/>
  <c r="H24" i="6"/>
  <c r="H30" i="13"/>
  <c r="H56" i="13" s="1"/>
  <c r="D15" i="3" s="1"/>
  <c r="H24" i="14"/>
  <c r="H56" i="14" s="1"/>
  <c r="D16" i="3" s="1"/>
  <c r="H55" i="14"/>
  <c r="H7" i="3"/>
  <c r="H47" i="6"/>
  <c r="I19" i="2"/>
  <c r="H47" i="8"/>
  <c r="H47" i="10"/>
  <c r="H47" i="12"/>
  <c r="H65" i="14"/>
  <c r="C25" i="1"/>
  <c r="H30" i="6"/>
  <c r="H24" i="9"/>
  <c r="H55" i="11"/>
  <c r="H47" i="14"/>
  <c r="C18" i="1"/>
  <c r="H54" i="4"/>
  <c r="F9" i="3"/>
  <c r="H55" i="7"/>
  <c r="H47" i="7"/>
  <c r="H30" i="7"/>
  <c r="G8" i="3"/>
  <c r="F8" i="3"/>
  <c r="H65" i="5"/>
  <c r="H55" i="5"/>
  <c r="H47" i="5"/>
  <c r="H24" i="5"/>
  <c r="A8" i="3"/>
  <c r="C19" i="1"/>
  <c r="C23" i="1"/>
  <c r="H30" i="5"/>
  <c r="F7" i="3"/>
  <c r="I14" i="2"/>
  <c r="E9" i="3"/>
  <c r="I12" i="2"/>
  <c r="G9" i="3"/>
  <c r="I16" i="2"/>
  <c r="H65" i="7"/>
  <c r="H65" i="8"/>
  <c r="I13" i="2"/>
  <c r="F10" i="3"/>
  <c r="G10" i="3"/>
  <c r="I17" i="2"/>
  <c r="I15" i="2"/>
  <c r="H63" i="4"/>
  <c r="H65" i="6"/>
  <c r="H24" i="8"/>
  <c r="I32" i="2"/>
  <c r="H16" i="4"/>
  <c r="I24" i="2" s="1"/>
  <c r="H24" i="7"/>
  <c r="H65" i="11"/>
  <c r="E13" i="3"/>
  <c r="H65" i="10"/>
  <c r="H55" i="4" l="1"/>
  <c r="H56" i="10"/>
  <c r="H67" i="10" s="1"/>
  <c r="H56" i="12"/>
  <c r="D14" i="3" s="1"/>
  <c r="H56" i="11"/>
  <c r="H67" i="11" s="1"/>
  <c r="H17" i="3"/>
  <c r="H68" i="14"/>
  <c r="H67" i="14"/>
  <c r="H68" i="13"/>
  <c r="H67" i="13"/>
  <c r="L15" i="3" s="1"/>
  <c r="H56" i="7"/>
  <c r="D9" i="3" s="1"/>
  <c r="H56" i="6"/>
  <c r="H68" i="6" s="1"/>
  <c r="H56" i="9"/>
  <c r="H68" i="9" s="1"/>
  <c r="A9" i="3"/>
  <c r="A10" i="3" s="1"/>
  <c r="A11" i="3" s="1"/>
  <c r="A12" i="3" s="1"/>
  <c r="A13" i="3" s="1"/>
  <c r="A14" i="3" s="1"/>
  <c r="H68" i="11"/>
  <c r="I10" i="2"/>
  <c r="J48" i="2" s="1"/>
  <c r="I48" i="2" s="1"/>
  <c r="H56" i="8"/>
  <c r="H67" i="8" s="1"/>
  <c r="H66" i="4"/>
  <c r="I8" i="2"/>
  <c r="G17" i="3"/>
  <c r="E17" i="3"/>
  <c r="I9" i="2"/>
  <c r="H56" i="5"/>
  <c r="H68" i="5" s="1"/>
  <c r="I7" i="2"/>
  <c r="D10" i="3"/>
  <c r="D13" i="3"/>
  <c r="I23" i="2"/>
  <c r="I20" i="2"/>
  <c r="I36" i="2" s="1"/>
  <c r="H65" i="4"/>
  <c r="D12" i="3" l="1"/>
  <c r="H68" i="10"/>
  <c r="L12" i="3" s="1"/>
  <c r="L16" i="3"/>
  <c r="H68" i="12"/>
  <c r="H67" i="12"/>
  <c r="H67" i="7"/>
  <c r="H68" i="7"/>
  <c r="H67" i="9"/>
  <c r="D11" i="3"/>
  <c r="H67" i="6"/>
  <c r="L8" i="3" s="1"/>
  <c r="D8" i="3"/>
  <c r="H68" i="8"/>
  <c r="L10" i="3" s="1"/>
  <c r="P10" i="3" s="1"/>
  <c r="L13" i="3"/>
  <c r="P13" i="3" s="1"/>
  <c r="L11" i="3"/>
  <c r="H67" i="5"/>
  <c r="J39" i="2"/>
  <c r="D7" i="3"/>
  <c r="I11" i="2"/>
  <c r="I35" i="2" s="1"/>
  <c r="I37" i="2" s="1"/>
  <c r="H67" i="4"/>
  <c r="M17" i="3" s="1"/>
  <c r="J47" i="2"/>
  <c r="I47" i="2" s="1"/>
  <c r="I39" i="2" s="1"/>
  <c r="I33" i="2"/>
  <c r="I34" i="2" s="1"/>
  <c r="L14" i="3" l="1"/>
  <c r="P12" i="3"/>
  <c r="D17" i="3"/>
  <c r="I40" i="2"/>
  <c r="L9" i="3"/>
  <c r="P11" i="3"/>
  <c r="P8" i="3"/>
  <c r="I41" i="2"/>
  <c r="I21" i="2"/>
  <c r="I22" i="2" s="1"/>
  <c r="I42" i="2" s="1"/>
  <c r="L7" i="3"/>
  <c r="P7" i="3" s="1"/>
  <c r="C34" i="1"/>
  <c r="F18" i="1"/>
  <c r="F28" i="1" s="1"/>
  <c r="P9" i="3"/>
  <c r="M18" i="3" l="1"/>
  <c r="P14" i="3" l="1"/>
  <c r="L17" i="3"/>
  <c r="P15" i="3"/>
  <c r="E18" i="3" l="1"/>
  <c r="H18" i="3"/>
  <c r="F17" i="3"/>
  <c r="P16" i="3"/>
  <c r="P17" i="3"/>
  <c r="K11" i="3" l="1"/>
  <c r="G22" i="1" s="1"/>
  <c r="I8" i="3"/>
  <c r="J8" i="3" s="1"/>
  <c r="I12" i="3"/>
  <c r="J12" i="3" s="1"/>
  <c r="K15" i="3"/>
  <c r="K10" i="3"/>
  <c r="I10" i="3"/>
  <c r="J10" i="3" s="1"/>
  <c r="K8" i="3"/>
  <c r="K12" i="3"/>
  <c r="I11" i="3"/>
  <c r="I9" i="3"/>
  <c r="J9" i="3" s="1"/>
  <c r="I7" i="3"/>
  <c r="K7" i="3"/>
  <c r="K9" i="3"/>
  <c r="I16" i="3"/>
  <c r="J16" i="3" s="1"/>
  <c r="K14" i="3"/>
  <c r="K13" i="3"/>
  <c r="I15" i="3"/>
  <c r="J15" i="3" s="1"/>
  <c r="K16" i="3"/>
  <c r="I14" i="3"/>
  <c r="J14" i="3" s="1"/>
  <c r="I13" i="3"/>
  <c r="J13" i="3" s="1"/>
  <c r="N13" i="3" l="1"/>
  <c r="E24" i="1"/>
  <c r="G27" i="1"/>
  <c r="H66" i="14"/>
  <c r="H69" i="14" s="1"/>
  <c r="N15" i="3"/>
  <c r="E26" i="1"/>
  <c r="G25" i="1"/>
  <c r="H66" i="12"/>
  <c r="H69" i="12" s="1"/>
  <c r="H66" i="7"/>
  <c r="H69" i="7" s="1"/>
  <c r="G20" i="1"/>
  <c r="H66" i="5"/>
  <c r="H69" i="5" s="1"/>
  <c r="I17" i="3"/>
  <c r="J7" i="3"/>
  <c r="H66" i="9"/>
  <c r="H69" i="9" s="1"/>
  <c r="J11" i="3"/>
  <c r="H66" i="6"/>
  <c r="H69" i="6" s="1"/>
  <c r="G19" i="1"/>
  <c r="G21" i="1"/>
  <c r="H66" i="8"/>
  <c r="H69" i="8" s="1"/>
  <c r="N12" i="3"/>
  <c r="E23" i="1"/>
  <c r="N14" i="3"/>
  <c r="E25" i="1"/>
  <c r="H25" i="1" s="1"/>
  <c r="H66" i="11"/>
  <c r="H69" i="11" s="1"/>
  <c r="G24" i="1"/>
  <c r="N16" i="3"/>
  <c r="E27" i="1"/>
  <c r="H27" i="1" s="1"/>
  <c r="G18" i="1"/>
  <c r="K17" i="3"/>
  <c r="E20" i="1"/>
  <c r="H20" i="1" s="1"/>
  <c r="N9" i="3"/>
  <c r="G23" i="1"/>
  <c r="H66" i="10"/>
  <c r="H69" i="10" s="1"/>
  <c r="E21" i="1"/>
  <c r="H21" i="1" s="1"/>
  <c r="N10" i="3"/>
  <c r="G26" i="1"/>
  <c r="H66" i="13"/>
  <c r="H69" i="13" s="1"/>
  <c r="N8" i="3"/>
  <c r="E19" i="1"/>
  <c r="H19" i="1" s="1"/>
  <c r="H23" i="1" l="1"/>
  <c r="E22" i="1"/>
  <c r="H22" i="1" s="1"/>
  <c r="N11" i="3"/>
  <c r="E18" i="1"/>
  <c r="N7" i="3"/>
  <c r="G28" i="1"/>
  <c r="I18" i="3"/>
  <c r="J17" i="3"/>
  <c r="H26" i="1"/>
  <c r="H24" i="1"/>
  <c r="N17" i="3" l="1"/>
  <c r="J18" i="3" s="1"/>
  <c r="E28" i="1"/>
  <c r="H28" i="1" s="1"/>
  <c r="H29" i="1" s="1"/>
  <c r="B14" i="1" s="1"/>
  <c r="H18" i="1"/>
  <c r="D18" i="3" l="1"/>
  <c r="L18" i="3"/>
  <c r="N18" i="3"/>
  <c r="G18" i="3"/>
  <c r="N20" i="3"/>
  <c r="F18" i="3"/>
  <c r="K18" i="3"/>
</calcChain>
</file>

<file path=xl/sharedStrings.xml><?xml version="1.0" encoding="utf-8"?>
<sst xmlns="http://schemas.openxmlformats.org/spreadsheetml/2006/main" count="698" uniqueCount="316">
  <si>
    <t>(현대/기아차 설비협력업체 견적통일양식)</t>
    <phoneticPr fontId="2" type="noConversion"/>
  </si>
  <si>
    <t xml:space="preserve">見  積  書   </t>
    <phoneticPr fontId="2" type="noConversion"/>
  </si>
  <si>
    <t>견적일자</t>
    <phoneticPr fontId="2" type="noConversion"/>
  </si>
  <si>
    <t>견적번호</t>
    <phoneticPr fontId="2" type="noConversion"/>
  </si>
  <si>
    <t>납기</t>
    <phoneticPr fontId="2" type="noConversion"/>
  </si>
  <si>
    <t>입하</t>
    <phoneticPr fontId="2" type="noConversion"/>
  </si>
  <si>
    <t>최종검수</t>
    <phoneticPr fontId="2" type="noConversion"/>
  </si>
  <si>
    <t>견적유효기간</t>
    <phoneticPr fontId="2" type="noConversion"/>
  </si>
  <si>
    <t>인도장소</t>
    <phoneticPr fontId="2" type="noConversion"/>
  </si>
  <si>
    <t>지불조건</t>
    <phoneticPr fontId="2" type="noConversion"/>
  </si>
  <si>
    <t>번호</t>
    <phoneticPr fontId="2" type="noConversion"/>
  </si>
  <si>
    <t>상세품목내역</t>
    <phoneticPr fontId="2" type="noConversion"/>
  </si>
  <si>
    <r>
      <t xml:space="preserve">견적금액 </t>
    </r>
    <r>
      <rPr>
        <sz val="11"/>
        <rFont val="굴림"/>
        <family val="3"/>
        <charset val="129"/>
      </rPr>
      <t>(원)</t>
    </r>
    <phoneticPr fontId="2" type="noConversion"/>
  </si>
  <si>
    <t>비  고</t>
    <phoneticPr fontId="2" type="noConversion"/>
  </si>
  <si>
    <t>기계</t>
    <phoneticPr fontId="2" type="noConversion"/>
  </si>
  <si>
    <t>전기(공통)</t>
    <phoneticPr fontId="2" type="noConversion"/>
  </si>
  <si>
    <t>관리비/이윤</t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</si>
  <si>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</si>
  <si>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</si>
  <si>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</si>
  <si>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특기사항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</si>
  <si>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</si>
  <si>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</si>
  <si>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</si>
  <si>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</si>
  <si>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</si>
  <si>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</si>
  <si>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</si>
  <si>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순번</t>
    <phoneticPr fontId="2" type="noConversion"/>
  </si>
  <si>
    <t>원가구분</t>
    <phoneticPr fontId="2" type="noConversion"/>
  </si>
  <si>
    <t>단위</t>
    <phoneticPr fontId="2" type="noConversion"/>
  </si>
  <si>
    <t>수량</t>
    <phoneticPr fontId="2" type="noConversion"/>
  </si>
  <si>
    <t>단가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</si>
  <si>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</si>
  <si>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</si>
  <si>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
부문</t>
    <phoneticPr fontId="2" type="noConversion"/>
  </si>
  <si>
    <t>자재비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</si>
  <si>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</si>
  <si>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kg</t>
    <phoneticPr fontId="2" type="noConversion"/>
  </si>
  <si>
    <t>加工必要資材</t>
    <phoneticPr fontId="2" type="noConversion"/>
  </si>
  <si>
    <t>일반구매품</t>
    <phoneticPr fontId="2" type="noConversion"/>
  </si>
  <si>
    <t>식</t>
    <phoneticPr fontId="2" type="noConversion"/>
  </si>
  <si>
    <t>加工不要資材</t>
    <phoneticPr fontId="2" type="noConversion"/>
  </si>
  <si>
    <t>외주제작품</t>
    <phoneticPr fontId="2" type="noConversion"/>
  </si>
  <si>
    <r>
      <t>旣加工S</t>
    </r>
    <r>
      <rPr>
        <sz val="11"/>
        <rFont val="굴림"/>
        <family val="3"/>
        <charset val="129"/>
      </rPr>
      <t>UB</t>
    </r>
    <r>
      <rPr>
        <sz val="11"/>
        <rFont val="굴림"/>
        <family val="3"/>
        <charset val="129"/>
      </rPr>
      <t>資材</t>
    </r>
    <phoneticPr fontId="2" type="noConversion"/>
  </si>
  <si>
    <t>설치/해체 공사 자재</t>
    <phoneticPr fontId="2" type="noConversion"/>
  </si>
  <si>
    <t>시운전 자재 포함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</si>
  <si>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</si>
  <si>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노무비</t>
    <phoneticPr fontId="2" type="noConversion"/>
  </si>
  <si>
    <t>기존설비 철거</t>
    <phoneticPr fontId="2" type="noConversion"/>
  </si>
  <si>
    <t>M/D</t>
    <phoneticPr fontId="2" type="noConversion"/>
  </si>
  <si>
    <t>개조공사時</t>
    <phoneticPr fontId="2" type="noConversion"/>
  </si>
  <si>
    <t>설계</t>
    <phoneticPr fontId="2" type="noConversion"/>
  </si>
  <si>
    <t>제작(제관,가공)</t>
    <phoneticPr fontId="2" type="noConversion"/>
  </si>
  <si>
    <t>조립</t>
    <phoneticPr fontId="2" type="noConversion"/>
  </si>
  <si>
    <t>정도검사포함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</si>
  <si>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</si>
  <si>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</si>
  <si>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</si>
  <si>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도장</t>
    <phoneticPr fontId="2" type="noConversion"/>
  </si>
  <si>
    <t>일반관리 및 이윤</t>
    <phoneticPr fontId="2" type="noConversion"/>
  </si>
  <si>
    <t>기계 소계</t>
    <phoneticPr fontId="2" type="noConversion"/>
  </si>
  <si>
    <t>전기
부문</t>
    <phoneticPr fontId="2" type="noConversion"/>
  </si>
  <si>
    <t>기계/전기자재</t>
    <phoneticPr fontId="2" type="noConversion"/>
  </si>
  <si>
    <t>철거(개조시)</t>
    <phoneticPr fontId="2" type="noConversion"/>
  </si>
  <si>
    <t>설계,프로그램</t>
    <phoneticPr fontId="2" type="noConversion"/>
  </si>
  <si>
    <t>제작</t>
    <phoneticPr fontId="2" type="noConversion"/>
  </si>
  <si>
    <t>소계</t>
    <phoneticPr fontId="2" type="noConversion"/>
  </si>
  <si>
    <t>전기 소계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</si>
  <si>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</si>
  <si>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</si>
  <si>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</si>
  <si>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포장,운송 및 중장비 사용료</t>
    <phoneticPr fontId="2" type="noConversion"/>
  </si>
  <si>
    <t>표준안전관리비</t>
  </si>
  <si>
    <t>설치/철거/수리금액 기준</t>
    <phoneticPr fontId="2" type="noConversion"/>
  </si>
  <si>
    <t>일반관리비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</si>
  <si>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</si>
  <si>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</si>
  <si>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3~7항 합계</t>
    <phoneticPr fontId="2" type="noConversion"/>
  </si>
  <si>
    <r>
      <t>주</t>
    </r>
    <r>
      <rPr>
        <sz val="11"/>
        <rFont val="굴림"/>
        <family val="3"/>
        <charset val="129"/>
      </rPr>
      <t xml:space="preserve">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 ⓐ2.66%,ⓑ1.95%+기초액,ⓒ2.02%(50억 이상일경우)</t>
    </r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</si>
  <si>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</si>
  <si>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산업안전관리비
[일반건설공사(을)]</t>
    <phoneticPr fontId="2" type="noConversion"/>
  </si>
  <si>
    <t>기준</t>
    <phoneticPr fontId="2" type="noConversion"/>
  </si>
  <si>
    <t>안전관리비</t>
    <phoneticPr fontId="2" type="noConversion"/>
  </si>
  <si>
    <t>대상액</t>
    <phoneticPr fontId="2" type="noConversion"/>
  </si>
  <si>
    <t>비고</t>
    <phoneticPr fontId="2" type="noConversion"/>
  </si>
  <si>
    <t>계상기준1</t>
    <phoneticPr fontId="2" type="noConversion"/>
  </si>
  <si>
    <t>제작/설치 전체</t>
    <phoneticPr fontId="2" type="noConversion"/>
  </si>
  <si>
    <t>계상기준2</t>
    <phoneticPr fontId="2" type="noConversion"/>
  </si>
  <si>
    <t>당사내 설치비限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</si>
  <si>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</si>
  <si>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</si>
  <si>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단위:원</t>
    <phoneticPr fontId="2" type="noConversion"/>
  </si>
  <si>
    <r>
      <t xml:space="preserve">전기소계
</t>
    </r>
    <r>
      <rPr>
        <sz val="8"/>
        <rFont val="굴림"/>
        <family val="3"/>
        <charset val="129"/>
      </rPr>
      <t>(공통,관리비,이윤포함)</t>
    </r>
    <phoneticPr fontId="2" type="noConversion"/>
  </si>
  <si>
    <t>합  계</t>
    <phoneticPr fontId="2" type="noConversion"/>
  </si>
  <si>
    <t>포장/운송</t>
    <phoneticPr fontId="2" type="noConversion"/>
  </si>
  <si>
    <t>표준안전</t>
    <phoneticPr fontId="2" type="noConversion"/>
  </si>
  <si>
    <t>일반관리비 및</t>
    <phoneticPr fontId="2" type="noConversion"/>
  </si>
  <si>
    <t>단위장비명</t>
    <phoneticPr fontId="2" type="noConversion"/>
  </si>
  <si>
    <t>수량</t>
    <phoneticPr fontId="2" type="noConversion"/>
  </si>
  <si>
    <t>철거</t>
    <phoneticPr fontId="2" type="noConversion"/>
  </si>
  <si>
    <t>설치/시운전</t>
    <phoneticPr fontId="2" type="noConversion"/>
  </si>
  <si>
    <t>중장비사용</t>
    <phoneticPr fontId="2" type="noConversion"/>
  </si>
  <si>
    <t>기계소계</t>
    <phoneticPr fontId="2" type="noConversion"/>
  </si>
  <si>
    <t>관리비</t>
    <phoneticPr fontId="2" type="noConversion"/>
  </si>
  <si>
    <t>이윤</t>
    <phoneticPr fontId="2" type="noConversion"/>
  </si>
  <si>
    <t>1식</t>
    <phoneticPr fontId="2" type="noConversion"/>
  </si>
  <si>
    <t>1식</t>
  </si>
  <si>
    <t>합   계</t>
    <phoneticPr fontId="2" type="noConversion"/>
  </si>
  <si>
    <t>전기소계포함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</si>
  <si>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</si>
  <si>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□ 전기부문:</t>
    <phoneticPr fontId="2" type="noConversion"/>
  </si>
  <si>
    <t>전기부문(공통)</t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</si>
  <si>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</si>
  <si>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</si>
  <si>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</si>
  <si>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</si>
  <si>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</si>
  <si>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</si>
  <si>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</si>
  <si>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</si>
  <si>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</si>
  <si>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</si>
  <si>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설치/해체/</t>
    <phoneticPr fontId="2" type="noConversion"/>
  </si>
  <si>
    <t>시운전 공사</t>
    <phoneticPr fontId="2" type="noConversion"/>
  </si>
  <si>
    <t>자재</t>
    <phoneticPr fontId="2" type="noConversion"/>
  </si>
  <si>
    <t>전기자재</t>
    <phoneticPr fontId="2" type="noConversion"/>
  </si>
  <si>
    <t>자재비 소계</t>
    <phoneticPr fontId="2" type="noConversion"/>
  </si>
  <si>
    <t>노
무
비</t>
    <phoneticPr fontId="2" type="noConversion"/>
  </si>
  <si>
    <t>전기 설계/프로그램</t>
    <phoneticPr fontId="2" type="noConversion"/>
  </si>
  <si>
    <t>M/D</t>
  </si>
  <si>
    <t>전기 제작</t>
    <phoneticPr fontId="2" type="noConversion"/>
  </si>
  <si>
    <t>전기 조립</t>
    <phoneticPr fontId="2" type="noConversion"/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</si>
  <si>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</si>
  <si>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</si>
  <si>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</si>
  <si>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노무비 소계</t>
    <phoneticPr fontId="2" type="noConversion"/>
  </si>
  <si>
    <t>운반및중장비사용,표준안전관리비</t>
    <phoneticPr fontId="2" type="noConversion"/>
  </si>
  <si>
    <t>* 기계부문에 포함시킴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</si>
  <si>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</si>
  <si>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</si>
  <si>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(전기제외):</t>
    </r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</si>
  <si>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</si>
  <si>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</si>
  <si>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</si>
  <si>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</si>
  <si>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</si>
  <si>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</si>
  <si>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</si>
  <si>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</si>
  <si>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</si>
  <si>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설치/해체/시운전</t>
    <phoneticPr fontId="2" type="noConversion"/>
  </si>
  <si>
    <t>공사 관련 자재</t>
    <phoneticPr fontId="2" type="noConversion"/>
  </si>
  <si>
    <t>구매품</t>
    <phoneticPr fontId="2" type="noConversion"/>
  </si>
  <si>
    <t>(유공압품외)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</si>
  <si>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</si>
  <si>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</si>
  <si>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</si>
  <si>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</si>
  <si>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</si>
  <si>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</si>
  <si>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</si>
  <si>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운반및중장비사용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</si>
  <si>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</si>
  <si>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외주제작품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</si>
  <si>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</si>
  <si>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</si>
  <si>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</si>
  <si>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</si>
  <si>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</si>
  <si>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</si>
  <si>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</si>
  <si>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</si>
  <si>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</si>
  <si>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</si>
  <si>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</si>
  <si>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</si>
  <si>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</si>
  <si>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</si>
  <si>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</si>
  <si>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</si>
  <si>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</si>
  <si>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</si>
  <si>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</si>
  <si>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</si>
  <si>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</si>
  <si>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</si>
  <si>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</si>
  <si>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</si>
  <si>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</si>
  <si>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</si>
  <si>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</si>
  <si>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외주제작품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</si>
  <si>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</si>
  <si>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</si>
  <si>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</si>
  <si>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</si>
  <si>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</si>
  <si>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</si>
  <si>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</si>
  <si>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</si>
  <si>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</si>
  <si>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</si>
  <si>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</si>
  <si>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</si>
  <si>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</si>
  <si>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</si>
  <si>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</si>
  <si>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</si>
  <si>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</si>
  <si>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</si>
  <si>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</si>
  <si>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</si>
  <si>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</si>
  <si>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</si>
  <si>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</si>
  <si>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</si>
  <si>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</si>
  <si>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</si>
  <si>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</si>
  <si>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외주제작품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</si>
  <si>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</si>
  <si>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</si>
  <si>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</si>
  <si>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설치/해체/시운전</t>
    <phoneticPr fontId="2" type="noConversion"/>
  </si>
  <si>
    <t>공사 관련 자재</t>
    <phoneticPr fontId="2" type="noConversion"/>
  </si>
  <si>
    <t>구매품</t>
    <phoneticPr fontId="2" type="noConversion"/>
  </si>
  <si>
    <t>(유공압품외)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</si>
  <si>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</si>
  <si>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</si>
  <si>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</si>
  <si>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</si>
  <si>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</si>
  <si>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</si>
  <si>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</si>
  <si>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</si>
  <si>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</si>
  <si>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</si>
  <si>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</si>
  <si>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</si>
  <si>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t>※ 현대/기아차의 요구사양과 업체견적사양이 다른경우만 작성</t>
    <phoneticPr fontId="2" type="noConversion"/>
  </si>
  <si>
    <t>(첨부)</t>
    <phoneticPr fontId="2" type="noConversion"/>
  </si>
  <si>
    <t>현대/기아차 요구사양대비 견적조건 상이내역</t>
    <phoneticPr fontId="2" type="noConversion"/>
  </si>
  <si>
    <t>항   목</t>
    <phoneticPr fontId="2" type="noConversion"/>
  </si>
  <si>
    <t>현대/기아차 요구사양</t>
    <phoneticPr fontId="2" type="noConversion"/>
  </si>
  <si>
    <t>업체 견적기준 사양</t>
    <phoneticPr fontId="2" type="noConversion"/>
  </si>
  <si>
    <t>견적일로부터 1개월</t>
    <phoneticPr fontId="2" type="noConversion"/>
  </si>
  <si>
    <t>1. VAT 제외</t>
    <phoneticPr fontId="2" type="noConversion"/>
  </si>
  <si>
    <t>2. 기본 유틸리티공사 제외</t>
    <phoneticPr fontId="2" type="noConversion"/>
  </si>
  <si>
    <t>4. 천원단위 절사</t>
    <phoneticPr fontId="2" type="noConversion"/>
  </si>
  <si>
    <t>현대위아 貴下</t>
    <phoneticPr fontId="2" type="noConversion"/>
  </si>
  <si>
    <t>현대위아 지정장소</t>
    <phoneticPr fontId="2" type="noConversion"/>
  </si>
  <si>
    <t>현대위아 사규의거</t>
    <phoneticPr fontId="2" type="noConversion"/>
  </si>
  <si>
    <t>현대리바트</t>
  </si>
  <si>
    <t>대표 : 윤  기  철</t>
  </si>
  <si>
    <t>주소 : 경기도 용인시 처인구 남사면</t>
  </si>
  <si>
    <t xml:space="preserve">         경기동로 316</t>
  </si>
  <si>
    <t>전화 : 055-280-9806</t>
  </si>
  <si>
    <t>메일 : 77158@hyundai-wia.com</t>
  </si>
  <si>
    <t>견적담당 : 김관희과장</t>
  </si>
  <si>
    <t>연 락 처 : 010-3231-5709</t>
  </si>
  <si>
    <t>40x40x2.4T</t>
  </si>
  <si>
    <t>STEEL PLATE</t>
    <phoneticPr fontId="2" type="noConversion"/>
  </si>
  <si>
    <t>1219x2438x1.6T</t>
    <phoneticPr fontId="2" type="noConversion"/>
  </si>
  <si>
    <t>SET</t>
    <phoneticPr fontId="2" type="noConversion"/>
  </si>
  <si>
    <t>1219x2438x3.2T</t>
    <phoneticPr fontId="2" type="noConversion"/>
  </si>
  <si>
    <t>SQ PIPE</t>
    <phoneticPr fontId="2" type="noConversion"/>
  </si>
  <si>
    <t>ROUND PIPE</t>
    <phoneticPr fontId="2" type="noConversion"/>
  </si>
  <si>
    <t>25A,KS,BLACK</t>
    <phoneticPr fontId="2" type="noConversion"/>
  </si>
  <si>
    <t>FLAT BAR</t>
    <phoneticPr fontId="2" type="noConversion"/>
  </si>
  <si>
    <t>50x3.0T</t>
    <phoneticPr fontId="2" type="noConversion"/>
  </si>
  <si>
    <t>EX-METAL</t>
    <phoneticPr fontId="2" type="noConversion"/>
  </si>
  <si>
    <t>SS-133</t>
    <phoneticPr fontId="2" type="noConversion"/>
  </si>
  <si>
    <t>A/L PROFILE</t>
    <phoneticPr fontId="2" type="noConversion"/>
  </si>
  <si>
    <t>DNF4040</t>
    <phoneticPr fontId="2" type="noConversion"/>
  </si>
  <si>
    <t>기타</t>
    <phoneticPr fontId="2" type="noConversion"/>
  </si>
  <si>
    <t>보강자재</t>
    <phoneticPr fontId="2" type="noConversion"/>
  </si>
  <si>
    <t>POLYCARBONATE</t>
    <phoneticPr fontId="2" type="noConversion"/>
  </si>
  <si>
    <t>1219x2438x5.0T,CLEAR</t>
    <phoneticPr fontId="2" type="noConversion"/>
  </si>
  <si>
    <t>HARDWARE</t>
    <phoneticPr fontId="2" type="noConversion"/>
  </si>
  <si>
    <t>경첩,손잡이외</t>
    <phoneticPr fontId="2" type="noConversion"/>
  </si>
  <si>
    <t>SUBSIDIARY MATERIALS</t>
    <phoneticPr fontId="2" type="noConversion"/>
  </si>
  <si>
    <t>프로파일용 자재류</t>
    <phoneticPr fontId="2" type="noConversion"/>
  </si>
  <si>
    <t>볼트,너트외</t>
    <phoneticPr fontId="2" type="noConversion"/>
  </si>
  <si>
    <t>LASER</t>
    <phoneticPr fontId="2" type="noConversion"/>
  </si>
  <si>
    <t>PAINTING</t>
    <phoneticPr fontId="2" type="noConversion"/>
  </si>
  <si>
    <t>M/D</t>
    <phoneticPr fontId="2" type="noConversion"/>
  </si>
  <si>
    <t>2021년07월26일</t>
    <phoneticPr fontId="2" type="noConversion"/>
  </si>
  <si>
    <t>Q2021070012553</t>
  </si>
  <si>
    <t>공 사 명 : 21년 대한산업안전협회 안전개선(등속공장)-CM861202107220012</t>
    <phoneticPr fontId="2" type="noConversion"/>
  </si>
  <si>
    <t>등속 가공라인</t>
    <phoneticPr fontId="2" type="noConversion"/>
  </si>
  <si>
    <t>등속 조립라인</t>
    <phoneticPr fontId="2" type="noConversion"/>
  </si>
  <si>
    <t>STEEL PLATE</t>
  </si>
  <si>
    <t>1219x2438x1.6T</t>
  </si>
  <si>
    <t>SET</t>
  </si>
  <si>
    <t>1219x2438x3.2T</t>
  </si>
  <si>
    <t>SQ PIPE</t>
  </si>
  <si>
    <t>ROUND PIPE</t>
  </si>
  <si>
    <t>25A,KS,BLACK</t>
  </si>
  <si>
    <t>FLAT BAR</t>
  </si>
  <si>
    <t>50x3.0T</t>
  </si>
  <si>
    <t>EX-METAL</t>
  </si>
  <si>
    <t>SS-133</t>
  </si>
  <si>
    <t>A/L PROFILE</t>
  </si>
  <si>
    <t>DNF4040</t>
  </si>
  <si>
    <t>기타</t>
  </si>
  <si>
    <t>보강자재</t>
  </si>
  <si>
    <t>POLYCARBONATE</t>
  </si>
  <si>
    <t>1219x2438x5.0T,CLEAR</t>
  </si>
  <si>
    <t>HARDWARE</t>
  </si>
  <si>
    <t>경첩,손잡이외</t>
  </si>
  <si>
    <t>SUBSIDIARY MATERIALS</t>
  </si>
  <si>
    <t>프로파일용 자재류</t>
  </si>
  <si>
    <t>볼트,너트외</t>
  </si>
  <si>
    <t>LASER</t>
  </si>
  <si>
    <t>PAINTING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</si>
</sst>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,##0_ "/>
    <numFmt numFmtId="177" formatCode="&quot;3. 산업안전관리비&quot;\ #,##0_ &quot;원 포함&quot;"/>
    <numFmt numFmtId="178" formatCode="&quot;3.산업안전관리비&quot;\ #,##0_ &quot;원 포함&quot;"/>
    <numFmt numFmtId="179" formatCode="#,##0_);[Red]\(#,##0\)"/>
    <numFmt numFmtId="180" formatCode="General&quot;상세견적&quot;"/>
    <numFmt numFmtId="181" formatCode="0.0\K\G"/>
  </numFmts>
  <fonts count="48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i/>
      <sz val="11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12"/>
      <name val="HY헤드라인M"/>
      <family val="1"/>
      <charset val="129"/>
    </font>
    <font>
      <sz val="14"/>
      <name val="HY헤드라인M"/>
      <family val="1"/>
      <charset val="129"/>
    </font>
    <font>
      <sz val="11"/>
      <color theme="0"/>
      <name val="굴림"/>
      <family val="3"/>
      <charset val="129"/>
    </font>
    <font>
      <sz val="10"/>
      <name val="Arial"/>
      <family val="2"/>
    </font>
    <font>
      <sz val="12"/>
      <name val="¹UAAA¼"/>
      <family val="3"/>
      <charset val="129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4"/>
      <name val="뼻뮝"/>
      <family val="1"/>
      <charset val="129"/>
    </font>
    <font>
      <sz val="12"/>
      <name val="뼻뮝"/>
      <family val="1"/>
      <charset val="129"/>
    </font>
    <font>
      <sz val="12"/>
      <name val="ⓒoUAAA¨u"/>
      <family val="1"/>
      <charset val="129"/>
    </font>
    <font>
      <sz val="11"/>
      <name val="±¼¸²A¼"/>
      <family val="3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¹ÙÅÁÃ¼"/>
      <family val="3"/>
      <charset val="129"/>
    </font>
    <font>
      <sz val="10"/>
      <name val="±¼¸²A¼"/>
      <family val="3"/>
      <charset val="129"/>
    </font>
    <font>
      <sz val="12"/>
      <name val="돋움체"/>
      <family val="3"/>
      <charset val="129"/>
    </font>
    <font>
      <sz val="12"/>
      <name val="System"/>
      <family val="2"/>
      <charset val="129"/>
    </font>
    <font>
      <sz val="10"/>
      <name val="¹ÙÅÁÃ¼"/>
      <family val="3"/>
      <charset val="129"/>
    </font>
    <font>
      <sz val="10"/>
      <name val="¹UAAA¼"/>
      <family val="3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8"/>
      <name val="¹UAAA¼"/>
      <family val="3"/>
      <charset val="129"/>
    </font>
    <font>
      <sz val="10"/>
      <name val="µ¸¿ò"/>
      <family val="3"/>
      <charset val="129"/>
    </font>
    <font>
      <b/>
      <sz val="11"/>
      <color rgb="FFFF0000"/>
      <name val="굴림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114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6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0" fontId="25" fillId="0" borderId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42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9" fillId="0" borderId="0" applyFont="0" applyFill="0" applyBorder="0" applyAlignment="0" applyProtection="0"/>
    <xf numFmtId="44" fontId="33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41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9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1" fillId="0" borderId="0"/>
    <xf numFmtId="0" fontId="35" fillId="0" borderId="0"/>
    <xf numFmtId="0" fontId="37" fillId="0" borderId="0"/>
    <xf numFmtId="0" fontId="34" fillId="0" borderId="0"/>
    <xf numFmtId="0" fontId="33" fillId="0" borderId="0"/>
    <xf numFmtId="0" fontId="40" fillId="0" borderId="0"/>
    <xf numFmtId="0" fontId="37" fillId="0" borderId="0"/>
    <xf numFmtId="0" fontId="26" fillId="0" borderId="0"/>
    <xf numFmtId="0" fontId="41" fillId="0" borderId="0"/>
    <xf numFmtId="0" fontId="42" fillId="0" borderId="0"/>
    <xf numFmtId="0" fontId="41" fillId="0" borderId="0"/>
    <xf numFmtId="0" fontId="34" fillId="0" borderId="0"/>
    <xf numFmtId="0" fontId="33" fillId="0" borderId="0"/>
    <xf numFmtId="0" fontId="34" fillId="0" borderId="0"/>
    <xf numFmtId="0" fontId="33" fillId="0" borderId="0"/>
    <xf numFmtId="0" fontId="34" fillId="0" borderId="0"/>
    <xf numFmtId="0" fontId="33" fillId="0" borderId="0"/>
    <xf numFmtId="0" fontId="34" fillId="0" borderId="0"/>
    <xf numFmtId="0" fontId="33" fillId="0" borderId="0"/>
    <xf numFmtId="0" fontId="35" fillId="0" borderId="0"/>
    <xf numFmtId="0" fontId="36" fillId="0" borderId="0"/>
    <xf numFmtId="0" fontId="26" fillId="0" borderId="0"/>
    <xf numFmtId="0" fontId="37" fillId="0" borderId="0"/>
    <xf numFmtId="0" fontId="26" fillId="0" borderId="0"/>
    <xf numFmtId="0" fontId="37" fillId="0" borderId="0"/>
    <xf numFmtId="0" fontId="34" fillId="0" borderId="0"/>
    <xf numFmtId="0" fontId="33" fillId="0" borderId="0"/>
    <xf numFmtId="0" fontId="26" fillId="0" borderId="0"/>
    <xf numFmtId="0" fontId="37" fillId="0" borderId="0"/>
    <xf numFmtId="0" fontId="26" fillId="0" borderId="0"/>
    <xf numFmtId="0" fontId="37" fillId="0" borderId="0"/>
    <xf numFmtId="0" fontId="43" fillId="0" borderId="0"/>
    <xf numFmtId="0" fontId="44" fillId="0" borderId="0"/>
    <xf numFmtId="0" fontId="26" fillId="0" borderId="0"/>
    <xf numFmtId="0" fontId="37" fillId="0" borderId="0"/>
    <xf numFmtId="0" fontId="35" fillId="0" borderId="0"/>
    <xf numFmtId="0" fontId="36" fillId="0" borderId="0"/>
    <xf numFmtId="0" fontId="45" fillId="0" borderId="0"/>
    <xf numFmtId="0" fontId="46" fillId="0" borderId="0"/>
    <xf numFmtId="0" fontId="26" fillId="0" borderId="0"/>
    <xf numFmtId="0" fontId="37" fillId="0" borderId="0"/>
    <xf numFmtId="0" fontId="26" fillId="0" borderId="0"/>
    <xf numFmtId="0" fontId="37" fillId="0" borderId="0"/>
    <xf numFmtId="0" fontId="34" fillId="0" borderId="0"/>
    <xf numFmtId="0" fontId="33" fillId="0" borderId="0"/>
    <xf numFmtId="0" fontId="25" fillId="0" borderId="0"/>
    <xf numFmtId="0" fontId="25" fillId="0" borderId="0"/>
    <xf numFmtId="0" fontId="34" fillId="0" borderId="0"/>
    <xf numFmtId="0" fontId="33" fillId="0" borderId="0"/>
    <xf numFmtId="0" fontId="26" fillId="0" borderId="0"/>
    <xf numFmtId="0" fontId="37" fillId="0" borderId="0"/>
    <xf numFmtId="0" fontId="40" fillId="0" borderId="0"/>
    <xf numFmtId="0" fontId="40" fillId="0" borderId="0"/>
    <xf numFmtId="0" fontId="34" fillId="0" borderId="0"/>
    <xf numFmtId="0" fontId="33" fillId="0" borderId="0"/>
    <xf numFmtId="0" fontId="34" fillId="0" borderId="0"/>
    <xf numFmtId="0" fontId="33" fillId="0" borderId="0"/>
    <xf numFmtId="0" fontId="26" fillId="0" borderId="0"/>
    <xf numFmtId="0" fontId="37" fillId="0" borderId="0"/>
    <xf numFmtId="0" fontId="26" fillId="0" borderId="0"/>
    <xf numFmtId="0" fontId="44" fillId="0" borderId="0"/>
    <xf numFmtId="0" fontId="34" fillId="0" borderId="0"/>
    <xf numFmtId="0" fontId="37" fillId="0" borderId="0"/>
    <xf numFmtId="0" fontId="26" fillId="0" borderId="0" applyBorder="0"/>
    <xf numFmtId="0" fontId="37" fillId="0" borderId="0" applyBorder="0"/>
    <xf numFmtId="0" fontId="34" fillId="0" borderId="0"/>
    <xf numFmtId="0" fontId="33" fillId="0" borderId="0"/>
    <xf numFmtId="0" fontId="26" fillId="0" borderId="0"/>
    <xf numFmtId="0" fontId="37" fillId="0" borderId="0"/>
    <xf numFmtId="0" fontId="26" fillId="0" borderId="0"/>
    <xf numFmtId="38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8" fillId="0" borderId="0"/>
    <xf numFmtId="0" fontId="25" fillId="0" borderId="0"/>
    <xf numFmtId="0" fontId="26" fillId="0" borderId="0"/>
    <xf numFmtId="0" fontId="28" fillId="0" borderId="0" applyFont="0" applyFill="0" applyBorder="0" applyAlignment="0" applyProtection="0"/>
    <xf numFmtId="40" fontId="29" fillId="0" borderId="0" applyFont="0" applyFill="0" applyBorder="0" applyAlignment="0" applyProtection="0"/>
    <xf numFmtId="38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/>
    <xf numFmtId="0" fontId="25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</cellStyleXfs>
  <cellXfs count="521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2" borderId="3" xfId="0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1" fillId="0" borderId="13" xfId="0" applyFont="1" applyFill="1" applyBorder="1" applyAlignment="1">
      <alignment horizontal="center" vertical="center"/>
    </xf>
    <xf numFmtId="176" fontId="1" fillId="0" borderId="16" xfId="0" applyNumberFormat="1" applyFont="1" applyFill="1" applyBorder="1" applyAlignment="1">
      <alignment horizontal="right" vertical="center"/>
    </xf>
    <xf numFmtId="176" fontId="0" fillId="0" borderId="17" xfId="0" applyNumberFormat="1" applyFont="1" applyFill="1" applyBorder="1" applyAlignment="1">
      <alignment vertical="center"/>
    </xf>
    <xf numFmtId="176" fontId="1" fillId="0" borderId="17" xfId="0" applyNumberFormat="1" applyFont="1" applyFill="1" applyBorder="1" applyAlignment="1">
      <alignment horizontal="right" vertical="center"/>
    </xf>
    <xf numFmtId="176" fontId="1" fillId="0" borderId="18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vertical="center"/>
    </xf>
    <xf numFmtId="0" fontId="1" fillId="0" borderId="19" xfId="0" applyFont="1" applyFill="1" applyBorder="1" applyAlignment="1">
      <alignment horizontal="center" vertical="center"/>
    </xf>
    <xf numFmtId="176" fontId="1" fillId="0" borderId="22" xfId="0" applyNumberFormat="1" applyFont="1" applyFill="1" applyBorder="1" applyAlignment="1">
      <alignment horizontal="right" vertical="center"/>
    </xf>
    <xf numFmtId="176" fontId="0" fillId="0" borderId="23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right" vertical="center"/>
    </xf>
    <xf numFmtId="176" fontId="1" fillId="0" borderId="24" xfId="0" applyNumberFormat="1" applyFont="1" applyFill="1" applyBorder="1" applyAlignment="1">
      <alignment horizontal="right" vertical="center"/>
    </xf>
    <xf numFmtId="0" fontId="1" fillId="0" borderId="19" xfId="0" applyFont="1" applyFill="1" applyBorder="1" applyAlignment="1">
      <alignment vertical="center"/>
    </xf>
    <xf numFmtId="176" fontId="0" fillId="0" borderId="23" xfId="0" applyNumberFormat="1" applyFont="1" applyFill="1" applyBorder="1" applyAlignment="1">
      <alignment vertical="center"/>
    </xf>
    <xf numFmtId="176" fontId="1" fillId="0" borderId="21" xfId="0" applyNumberFormat="1" applyFont="1" applyFill="1" applyBorder="1" applyAlignment="1">
      <alignment horizontal="right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176" fontId="1" fillId="0" borderId="27" xfId="0" applyNumberFormat="1" applyFont="1" applyFill="1" applyBorder="1" applyAlignment="1">
      <alignment horizontal="right" vertical="center"/>
    </xf>
    <xf numFmtId="176" fontId="0" fillId="0" borderId="28" xfId="0" applyNumberFormat="1" applyFont="1" applyFill="1" applyBorder="1" applyAlignment="1">
      <alignment vertical="center"/>
    </xf>
    <xf numFmtId="176" fontId="1" fillId="0" borderId="29" xfId="0" applyNumberFormat="1" applyFont="1" applyFill="1" applyBorder="1" applyAlignment="1">
      <alignment horizontal="right" vertical="center"/>
    </xf>
    <xf numFmtId="176" fontId="1" fillId="0" borderId="26" xfId="0" applyNumberFormat="1" applyFont="1" applyFill="1" applyBorder="1" applyAlignment="1">
      <alignment horizontal="right" vertical="center"/>
    </xf>
    <xf numFmtId="0" fontId="1" fillId="0" borderId="30" xfId="0" applyFont="1" applyFill="1" applyBorder="1" applyAlignment="1">
      <alignment vertical="center"/>
    </xf>
    <xf numFmtId="176" fontId="1" fillId="0" borderId="34" xfId="0" applyNumberFormat="1" applyFont="1" applyBorder="1" applyAlignment="1">
      <alignment horizontal="right" vertical="center"/>
    </xf>
    <xf numFmtId="176" fontId="1" fillId="0" borderId="35" xfId="0" applyNumberFormat="1" applyFont="1" applyBorder="1" applyAlignment="1">
      <alignment vertical="center"/>
    </xf>
    <xf numFmtId="176" fontId="10" fillId="3" borderId="33" xfId="0" applyNumberFormat="1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vertical="center"/>
    </xf>
    <xf numFmtId="176" fontId="1" fillId="0" borderId="36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vertical="center"/>
    </xf>
    <xf numFmtId="176" fontId="1" fillId="0" borderId="4" xfId="0" applyNumberFormat="1" applyFont="1" applyBorder="1" applyAlignment="1">
      <alignment vertical="center"/>
    </xf>
    <xf numFmtId="0" fontId="1" fillId="0" borderId="4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3" fontId="12" fillId="0" borderId="0" xfId="0" applyNumberFormat="1" applyFont="1" applyFill="1" applyAlignment="1">
      <alignment vertical="center"/>
    </xf>
    <xf numFmtId="3" fontId="13" fillId="0" borderId="0" xfId="0" applyNumberFormat="1" applyFont="1" applyFill="1" applyAlignment="1">
      <alignment vertical="center"/>
    </xf>
    <xf numFmtId="3" fontId="15" fillId="0" borderId="0" xfId="0" applyNumberFormat="1" applyFont="1" applyFill="1" applyAlignment="1">
      <alignment vertical="center"/>
    </xf>
    <xf numFmtId="3" fontId="15" fillId="0" borderId="0" xfId="0" applyNumberFormat="1" applyFont="1" applyFill="1" applyAlignment="1">
      <alignment horizontal="center" vertical="center"/>
    </xf>
    <xf numFmtId="179" fontId="15" fillId="0" borderId="0" xfId="0" applyNumberFormat="1" applyFont="1" applyFill="1" applyAlignment="1">
      <alignment horizontal="center" vertical="center"/>
    </xf>
    <xf numFmtId="179" fontId="15" fillId="0" borderId="0" xfId="0" applyNumberFormat="1" applyFont="1" applyFill="1" applyAlignment="1">
      <alignment vertical="center"/>
    </xf>
    <xf numFmtId="4" fontId="16" fillId="0" borderId="0" xfId="0" applyNumberFormat="1" applyFont="1" applyFill="1" applyAlignment="1">
      <alignment vertical="center"/>
    </xf>
    <xf numFmtId="3" fontId="16" fillId="0" borderId="0" xfId="0" applyNumberFormat="1" applyFont="1" applyFill="1" applyAlignment="1">
      <alignment vertical="center"/>
    </xf>
    <xf numFmtId="3" fontId="8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vertical="center"/>
    </xf>
    <xf numFmtId="3" fontId="5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vertical="center"/>
    </xf>
    <xf numFmtId="4" fontId="1" fillId="0" borderId="0" xfId="0" applyNumberFormat="1" applyFont="1" applyFill="1" applyAlignment="1">
      <alignment vertical="center"/>
    </xf>
    <xf numFmtId="3" fontId="1" fillId="0" borderId="50" xfId="0" applyNumberFormat="1" applyFont="1" applyFill="1" applyBorder="1" applyAlignment="1">
      <alignment horizontal="center" vertical="center"/>
    </xf>
    <xf numFmtId="3" fontId="1" fillId="0" borderId="53" xfId="0" applyNumberFormat="1" applyFont="1" applyFill="1" applyBorder="1" applyAlignment="1">
      <alignment horizontal="center" vertical="center"/>
    </xf>
    <xf numFmtId="179" fontId="1" fillId="0" borderId="53" xfId="0" applyNumberFormat="1" applyFont="1" applyFill="1" applyBorder="1" applyAlignment="1">
      <alignment horizontal="center" vertical="center"/>
    </xf>
    <xf numFmtId="3" fontId="1" fillId="0" borderId="54" xfId="0" applyNumberFormat="1" applyFont="1" applyFill="1" applyBorder="1" applyAlignment="1">
      <alignment horizontal="center" vertical="center"/>
    </xf>
    <xf numFmtId="4" fontId="1" fillId="0" borderId="0" xfId="0" applyNumberFormat="1" applyFont="1" applyFill="1" applyAlignment="1">
      <alignment horizontal="center" vertical="center"/>
    </xf>
    <xf numFmtId="3" fontId="1" fillId="0" borderId="55" xfId="0" applyNumberFormat="1" applyFont="1" applyFill="1" applyBorder="1" applyAlignment="1">
      <alignment horizontal="center" vertical="center"/>
    </xf>
    <xf numFmtId="3" fontId="1" fillId="0" borderId="59" xfId="0" applyNumberFormat="1" applyFont="1" applyFill="1" applyBorder="1" applyAlignment="1">
      <alignment horizontal="center" vertical="center"/>
    </xf>
    <xf numFmtId="179" fontId="1" fillId="0" borderId="59" xfId="0" applyNumberFormat="1" applyFont="1" applyFill="1" applyBorder="1" applyAlignment="1">
      <alignment horizontal="center" vertical="center"/>
    </xf>
    <xf numFmtId="3" fontId="1" fillId="0" borderId="60" xfId="0" applyNumberFormat="1" applyFont="1" applyFill="1" applyBorder="1" applyAlignment="1">
      <alignment horizontal="center" vertical="center"/>
    </xf>
    <xf numFmtId="3" fontId="1" fillId="0" borderId="63" xfId="0" applyNumberFormat="1" applyFont="1" applyFill="1" applyBorder="1" applyAlignment="1">
      <alignment horizontal="center" vertical="center"/>
    </xf>
    <xf numFmtId="3" fontId="11" fillId="0" borderId="63" xfId="0" applyNumberFormat="1" applyFont="1" applyFill="1" applyBorder="1" applyAlignment="1">
      <alignment horizontal="center" vertical="center"/>
    </xf>
    <xf numFmtId="179" fontId="1" fillId="0" borderId="63" xfId="0" applyNumberFormat="1" applyFont="1" applyFill="1" applyBorder="1" applyAlignment="1">
      <alignment horizontal="right" vertical="center"/>
    </xf>
    <xf numFmtId="179" fontId="1" fillId="0" borderId="63" xfId="0" applyNumberFormat="1" applyFont="1" applyFill="1" applyBorder="1" applyAlignment="1">
      <alignment vertical="center"/>
    </xf>
    <xf numFmtId="3" fontId="1" fillId="0" borderId="64" xfId="0" applyNumberFormat="1" applyFont="1" applyFill="1" applyBorder="1" applyAlignment="1">
      <alignment vertical="center"/>
    </xf>
    <xf numFmtId="3" fontId="1" fillId="0" borderId="3" xfId="0" applyNumberFormat="1" applyFont="1" applyFill="1" applyBorder="1" applyAlignment="1">
      <alignment horizontal="center" vertical="center"/>
    </xf>
    <xf numFmtId="3" fontId="11" fillId="0" borderId="3" xfId="0" applyNumberFormat="1" applyFont="1" applyFill="1" applyBorder="1" applyAlignment="1">
      <alignment horizontal="center" vertical="center"/>
    </xf>
    <xf numFmtId="179" fontId="1" fillId="0" borderId="3" xfId="2" applyNumberFormat="1" applyFont="1" applyFill="1" applyBorder="1" applyAlignment="1">
      <alignment horizontal="right" vertical="center"/>
    </xf>
    <xf numFmtId="179" fontId="1" fillId="0" borderId="3" xfId="0" applyNumberFormat="1" applyFont="1" applyFill="1" applyBorder="1" applyAlignment="1">
      <alignment vertical="center"/>
    </xf>
    <xf numFmtId="3" fontId="1" fillId="0" borderId="65" xfId="0" applyNumberFormat="1" applyFont="1" applyFill="1" applyBorder="1" applyAlignment="1">
      <alignment vertical="center"/>
    </xf>
    <xf numFmtId="179" fontId="1" fillId="0" borderId="3" xfId="0" applyNumberFormat="1" applyFont="1" applyFill="1" applyBorder="1" applyAlignment="1">
      <alignment horizontal="right" vertical="center"/>
    </xf>
    <xf numFmtId="3" fontId="0" fillId="4" borderId="3" xfId="0" applyNumberFormat="1" applyFill="1" applyBorder="1" applyAlignment="1">
      <alignment horizontal="center" vertical="center"/>
    </xf>
    <xf numFmtId="3" fontId="11" fillId="4" borderId="3" xfId="0" applyNumberFormat="1" applyFont="1" applyFill="1" applyBorder="1" applyAlignment="1">
      <alignment horizontal="center" vertical="center"/>
    </xf>
    <xf numFmtId="179" fontId="1" fillId="4" borderId="3" xfId="0" applyNumberFormat="1" applyFont="1" applyFill="1" applyBorder="1" applyAlignment="1">
      <alignment horizontal="right" vertical="center"/>
    </xf>
    <xf numFmtId="179" fontId="1" fillId="4" borderId="3" xfId="0" applyNumberFormat="1" applyFont="1" applyFill="1" applyBorder="1" applyAlignment="1">
      <alignment vertical="center"/>
    </xf>
    <xf numFmtId="3" fontId="0" fillId="0" borderId="65" xfId="0" applyNumberFormat="1" applyFill="1" applyBorder="1" applyAlignment="1">
      <alignment vertical="center"/>
    </xf>
    <xf numFmtId="3" fontId="1" fillId="0" borderId="67" xfId="0" applyNumberFormat="1" applyFont="1" applyFill="1" applyBorder="1" applyAlignment="1">
      <alignment horizontal="center" vertical="center"/>
    </xf>
    <xf numFmtId="179" fontId="5" fillId="0" borderId="3" xfId="0" applyNumberFormat="1" applyFont="1" applyFill="1" applyBorder="1" applyAlignment="1">
      <alignment vertical="center"/>
    </xf>
    <xf numFmtId="3" fontId="1" fillId="4" borderId="3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left" vertical="center"/>
    </xf>
    <xf numFmtId="3" fontId="1" fillId="0" borderId="69" xfId="0" applyNumberFormat="1" applyFont="1" applyFill="1" applyBorder="1" applyAlignment="1">
      <alignment horizontal="center" vertical="center"/>
    </xf>
    <xf numFmtId="179" fontId="5" fillId="0" borderId="70" xfId="0" applyNumberFormat="1" applyFont="1" applyFill="1" applyBorder="1" applyAlignment="1">
      <alignment vertical="center"/>
    </xf>
    <xf numFmtId="3" fontId="1" fillId="0" borderId="71" xfId="0" applyNumberFormat="1" applyFont="1" applyFill="1" applyBorder="1" applyAlignment="1">
      <alignment vertical="center"/>
    </xf>
    <xf numFmtId="3" fontId="1" fillId="0" borderId="49" xfId="0" applyNumberFormat="1" applyFont="1" applyFill="1" applyBorder="1" applyAlignment="1">
      <alignment horizontal="center" vertical="center"/>
    </xf>
    <xf numFmtId="3" fontId="1" fillId="0" borderId="74" xfId="0" applyNumberFormat="1" applyFont="1" applyFill="1" applyBorder="1" applyAlignment="1">
      <alignment horizontal="center" vertical="center"/>
    </xf>
    <xf numFmtId="179" fontId="5" fillId="0" borderId="29" xfId="0" applyNumberFormat="1" applyFont="1" applyFill="1" applyBorder="1" applyAlignment="1">
      <alignment vertical="center"/>
    </xf>
    <xf numFmtId="3" fontId="1" fillId="0" borderId="75" xfId="0" applyNumberFormat="1" applyFont="1" applyFill="1" applyBorder="1" applyAlignment="1">
      <alignment vertical="center"/>
    </xf>
    <xf numFmtId="3" fontId="1" fillId="0" borderId="76" xfId="0" applyNumberFormat="1" applyFont="1" applyFill="1" applyBorder="1" applyAlignment="1">
      <alignment horizontal="center" vertical="center"/>
    </xf>
    <xf numFmtId="3" fontId="11" fillId="0" borderId="76" xfId="0" applyNumberFormat="1" applyFont="1" applyFill="1" applyBorder="1" applyAlignment="1">
      <alignment horizontal="center" vertical="center"/>
    </xf>
    <xf numFmtId="179" fontId="1" fillId="0" borderId="76" xfId="0" applyNumberFormat="1" applyFont="1" applyFill="1" applyBorder="1" applyAlignment="1">
      <alignment vertical="center"/>
    </xf>
    <xf numFmtId="3" fontId="1" fillId="0" borderId="77" xfId="0" applyNumberFormat="1" applyFont="1" applyFill="1" applyBorder="1" applyAlignment="1">
      <alignment vertical="center"/>
    </xf>
    <xf numFmtId="3" fontId="11" fillId="4" borderId="63" xfId="0" applyNumberFormat="1" applyFont="1" applyFill="1" applyBorder="1" applyAlignment="1">
      <alignment horizontal="center" vertical="center"/>
    </xf>
    <xf numFmtId="179" fontId="1" fillId="4" borderId="63" xfId="0" applyNumberFormat="1" applyFont="1" applyFill="1" applyBorder="1" applyAlignment="1">
      <alignment vertical="center"/>
    </xf>
    <xf numFmtId="179" fontId="5" fillId="0" borderId="76" xfId="0" applyNumberFormat="1" applyFont="1" applyFill="1" applyBorder="1" applyAlignment="1">
      <alignment vertical="center"/>
    </xf>
    <xf numFmtId="179" fontId="5" fillId="0" borderId="12" xfId="0" applyNumberFormat="1" applyFont="1" applyFill="1" applyBorder="1" applyAlignment="1">
      <alignment vertical="center"/>
    </xf>
    <xf numFmtId="3" fontId="1" fillId="0" borderId="82" xfId="0" applyNumberFormat="1" applyFont="1" applyFill="1" applyBorder="1" applyAlignment="1">
      <alignment vertical="center"/>
    </xf>
    <xf numFmtId="3" fontId="1" fillId="0" borderId="83" xfId="0" applyNumberFormat="1" applyFont="1" applyFill="1" applyBorder="1" applyAlignment="1">
      <alignment horizontal="center" vertical="center"/>
    </xf>
    <xf numFmtId="179" fontId="5" fillId="3" borderId="88" xfId="0" applyNumberFormat="1" applyFont="1" applyFill="1" applyBorder="1" applyAlignment="1">
      <alignment vertical="center"/>
    </xf>
    <xf numFmtId="3" fontId="1" fillId="0" borderId="24" xfId="0" applyNumberFormat="1" applyFont="1" applyFill="1" applyBorder="1" applyAlignment="1">
      <alignment vertical="center"/>
    </xf>
    <xf numFmtId="3" fontId="1" fillId="0" borderId="22" xfId="0" applyNumberFormat="1" applyFont="1" applyFill="1" applyBorder="1" applyAlignment="1">
      <alignment horizontal="center" vertical="center"/>
    </xf>
    <xf numFmtId="179" fontId="5" fillId="0" borderId="63" xfId="0" applyNumberFormat="1" applyFont="1" applyFill="1" applyBorder="1" applyAlignment="1">
      <alignment vertical="center"/>
    </xf>
    <xf numFmtId="3" fontId="11" fillId="4" borderId="65" xfId="0" applyNumberFormat="1" applyFont="1" applyFill="1" applyBorder="1" applyAlignment="1">
      <alignment vertical="center" wrapText="1"/>
    </xf>
    <xf numFmtId="10" fontId="1" fillId="0" borderId="0" xfId="2" applyNumberFormat="1" applyFont="1" applyFill="1" applyAlignment="1">
      <alignment vertical="center"/>
    </xf>
    <xf numFmtId="3" fontId="1" fillId="0" borderId="89" xfId="0" applyNumberFormat="1" applyFont="1" applyFill="1" applyBorder="1" applyAlignment="1">
      <alignment horizontal="center" vertical="center"/>
    </xf>
    <xf numFmtId="3" fontId="1" fillId="0" borderId="90" xfId="0" applyNumberFormat="1" applyFont="1" applyFill="1" applyBorder="1" applyAlignment="1">
      <alignment horizontal="left" vertical="center"/>
    </xf>
    <xf numFmtId="179" fontId="5" fillId="0" borderId="92" xfId="0" applyNumberFormat="1" applyFont="1" applyFill="1" applyBorder="1" applyAlignment="1">
      <alignment vertical="center"/>
    </xf>
    <xf numFmtId="3" fontId="1" fillId="0" borderId="94" xfId="0" applyNumberFormat="1" applyFont="1" applyFill="1" applyBorder="1" applyAlignment="1">
      <alignment vertical="center"/>
    </xf>
    <xf numFmtId="3" fontId="0" fillId="0" borderId="0" xfId="0" applyNumberFormat="1" applyFill="1" applyAlignment="1">
      <alignment vertical="center"/>
    </xf>
    <xf numFmtId="179" fontId="0" fillId="0" borderId="3" xfId="0" applyNumberFormat="1" applyFont="1" applyFill="1" applyBorder="1" applyAlignment="1">
      <alignment horizontal="center" vertical="center"/>
    </xf>
    <xf numFmtId="3" fontId="0" fillId="0" borderId="3" xfId="0" applyNumberFormat="1" applyFont="1" applyFill="1" applyBorder="1" applyAlignment="1">
      <alignment horizontal="center" vertical="center"/>
    </xf>
    <xf numFmtId="4" fontId="0" fillId="0" borderId="3" xfId="0" applyNumberFormat="1" applyFont="1" applyFill="1" applyBorder="1" applyAlignment="1">
      <alignment horizontal="center" vertical="center"/>
    </xf>
    <xf numFmtId="3" fontId="0" fillId="0" borderId="3" xfId="0" applyNumberFormat="1" applyFont="1" applyFill="1" applyBorder="1" applyAlignment="1">
      <alignment vertical="center"/>
    </xf>
    <xf numFmtId="3" fontId="0" fillId="4" borderId="3" xfId="0" applyNumberFormat="1" applyFont="1" applyFill="1" applyBorder="1" applyAlignment="1">
      <alignment vertical="center"/>
    </xf>
    <xf numFmtId="179" fontId="0" fillId="0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0" borderId="54" xfId="0" applyFont="1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18" fillId="0" borderId="55" xfId="0" applyFont="1" applyBorder="1" applyAlignment="1">
      <alignment horizontal="center" vertical="center"/>
    </xf>
    <xf numFmtId="0" fontId="18" fillId="0" borderId="59" xfId="0" applyFont="1" applyBorder="1" applyAlignment="1">
      <alignment horizontal="center" vertical="center"/>
    </xf>
    <xf numFmtId="0" fontId="18" fillId="0" borderId="60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176" fontId="0" fillId="0" borderId="97" xfId="0" applyNumberFormat="1" applyBorder="1" applyAlignment="1">
      <alignment horizontal="center" vertical="center"/>
    </xf>
    <xf numFmtId="176" fontId="0" fillId="0" borderId="97" xfId="0" applyNumberFormat="1" applyFill="1" applyBorder="1" applyAlignment="1">
      <alignment horizontal="left" vertical="center"/>
    </xf>
    <xf numFmtId="176" fontId="0" fillId="0" borderId="97" xfId="0" applyNumberFormat="1" applyFill="1" applyBorder="1" applyAlignment="1">
      <alignment horizontal="center" vertical="center"/>
    </xf>
    <xf numFmtId="176" fontId="18" fillId="0" borderId="98" xfId="0" applyNumberFormat="1" applyFont="1" applyFill="1" applyBorder="1" applyAlignment="1">
      <alignment vertical="center"/>
    </xf>
    <xf numFmtId="176" fontId="18" fillId="0" borderId="99" xfId="0" applyNumberFormat="1" applyFont="1" applyFill="1" applyBorder="1" applyAlignment="1">
      <alignment vertical="center"/>
    </xf>
    <xf numFmtId="176" fontId="18" fillId="0" borderId="100" xfId="0" applyNumberFormat="1" applyFont="1" applyFill="1" applyBorder="1" applyAlignment="1">
      <alignment vertical="center"/>
    </xf>
    <xf numFmtId="176" fontId="1" fillId="0" borderId="101" xfId="0" applyNumberFormat="1" applyFont="1" applyFill="1" applyBorder="1" applyAlignment="1">
      <alignment vertical="center"/>
    </xf>
    <xf numFmtId="176" fontId="1" fillId="0" borderId="99" xfId="0" applyNumberFormat="1" applyFont="1" applyFill="1" applyBorder="1" applyAlignment="1">
      <alignment vertical="center"/>
    </xf>
    <xf numFmtId="176" fontId="0" fillId="0" borderId="102" xfId="0" applyNumberFormat="1" applyFill="1" applyBorder="1" applyAlignment="1">
      <alignment vertical="center"/>
    </xf>
    <xf numFmtId="176" fontId="0" fillId="0" borderId="4" xfId="0" applyNumberFormat="1" applyBorder="1" applyAlignment="1">
      <alignment vertical="center"/>
    </xf>
    <xf numFmtId="176" fontId="0" fillId="0" borderId="103" xfId="0" applyNumberFormat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19" xfId="0" applyNumberFormat="1" applyBorder="1" applyAlignment="1">
      <alignment horizontal="center" vertical="center"/>
    </xf>
    <xf numFmtId="176" fontId="0" fillId="0" borderId="19" xfId="0" applyNumberFormat="1" applyFill="1" applyBorder="1" applyAlignment="1">
      <alignment horizontal="left" vertical="center"/>
    </xf>
    <xf numFmtId="176" fontId="0" fillId="0" borderId="19" xfId="0" applyNumberFormat="1" applyFill="1" applyBorder="1" applyAlignment="1">
      <alignment horizontal="center" vertical="center"/>
    </xf>
    <xf numFmtId="176" fontId="18" fillId="0" borderId="22" xfId="0" applyNumberFormat="1" applyFont="1" applyFill="1" applyBorder="1" applyAlignment="1">
      <alignment vertical="center"/>
    </xf>
    <xf numFmtId="176" fontId="18" fillId="0" borderId="3" xfId="0" applyNumberFormat="1" applyFont="1" applyFill="1" applyBorder="1" applyAlignment="1">
      <alignment vertical="center"/>
    </xf>
    <xf numFmtId="176" fontId="18" fillId="0" borderId="65" xfId="0" applyNumberFormat="1" applyFont="1" applyFill="1" applyBorder="1" applyAlignment="1">
      <alignment vertical="center"/>
    </xf>
    <xf numFmtId="176" fontId="1" fillId="0" borderId="67" xfId="0" applyNumberFormat="1" applyFont="1" applyFill="1" applyBorder="1" applyAlignment="1">
      <alignment vertical="center"/>
    </xf>
    <xf numFmtId="176" fontId="1" fillId="0" borderId="3" xfId="0" applyNumberFormat="1" applyFont="1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176" fontId="0" fillId="0" borderId="21" xfId="0" applyNumberFormat="1" applyBorder="1" applyAlignment="1">
      <alignment vertical="center"/>
    </xf>
    <xf numFmtId="176" fontId="0" fillId="0" borderId="21" xfId="0" applyNumberFormat="1" applyFill="1" applyBorder="1" applyAlignme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30" xfId="0" applyNumberFormat="1" applyFill="1" applyBorder="1" applyAlignment="1">
      <alignment horizontal="center" vertical="center"/>
    </xf>
    <xf numFmtId="176" fontId="0" fillId="0" borderId="30" xfId="0" applyNumberFormat="1" applyFill="1" applyBorder="1" applyAlignment="1">
      <alignment horizontal="left" vertical="center"/>
    </xf>
    <xf numFmtId="176" fontId="18" fillId="0" borderId="27" xfId="0" applyNumberFormat="1" applyFont="1" applyFill="1" applyBorder="1" applyAlignment="1">
      <alignment vertical="center"/>
    </xf>
    <xf numFmtId="176" fontId="18" fillId="0" borderId="29" xfId="0" applyNumberFormat="1" applyFont="1" applyFill="1" applyBorder="1" applyAlignment="1">
      <alignment vertical="center"/>
    </xf>
    <xf numFmtId="176" fontId="18" fillId="0" borderId="75" xfId="0" applyNumberFormat="1" applyFont="1" applyFill="1" applyBorder="1" applyAlignment="1">
      <alignment vertical="center"/>
    </xf>
    <xf numFmtId="176" fontId="1" fillId="0" borderId="74" xfId="0" applyNumberFormat="1" applyFont="1" applyFill="1" applyBorder="1" applyAlignment="1">
      <alignment vertical="center"/>
    </xf>
    <xf numFmtId="176" fontId="0" fillId="0" borderId="26" xfId="0" applyNumberFormat="1" applyFill="1" applyBorder="1" applyAlignment="1">
      <alignment vertical="center"/>
    </xf>
    <xf numFmtId="176" fontId="18" fillId="0" borderId="34" xfId="0" applyNumberFormat="1" applyFont="1" applyBorder="1" applyAlignment="1">
      <alignment vertical="center"/>
    </xf>
    <xf numFmtId="176" fontId="18" fillId="0" borderId="35" xfId="0" applyNumberFormat="1" applyFont="1" applyBorder="1" applyAlignment="1">
      <alignment vertical="center"/>
    </xf>
    <xf numFmtId="176" fontId="18" fillId="0" borderId="104" xfId="0" applyNumberFormat="1" applyFont="1" applyBorder="1" applyAlignment="1">
      <alignment vertical="center"/>
    </xf>
    <xf numFmtId="176" fontId="5" fillId="0" borderId="105" xfId="0" applyNumberFormat="1" applyFont="1" applyBorder="1" applyAlignment="1">
      <alignment vertical="center"/>
    </xf>
    <xf numFmtId="176" fontId="5" fillId="0" borderId="35" xfId="0" applyNumberFormat="1" applyFont="1" applyBorder="1" applyAlignment="1">
      <alignment vertical="center"/>
    </xf>
    <xf numFmtId="176" fontId="5" fillId="0" borderId="106" xfId="0" applyNumberFormat="1" applyFont="1" applyBorder="1" applyAlignment="1">
      <alignment vertical="center"/>
    </xf>
    <xf numFmtId="176" fontId="5" fillId="0" borderId="4" xfId="0" applyNumberFormat="1" applyFont="1" applyFill="1" applyBorder="1" applyAlignment="1">
      <alignment vertical="center"/>
    </xf>
    <xf numFmtId="176" fontId="5" fillId="0" borderId="4" xfId="0" applyNumberFormat="1" applyFont="1" applyBorder="1" applyAlignment="1">
      <alignment vertical="center"/>
    </xf>
    <xf numFmtId="176" fontId="0" fillId="0" borderId="33" xfId="0" applyNumberFormat="1" applyBorder="1" applyAlignment="1">
      <alignment vertical="center"/>
    </xf>
    <xf numFmtId="176" fontId="11" fillId="0" borderId="45" xfId="0" applyNumberFormat="1" applyFont="1" applyBorder="1" applyAlignment="1">
      <alignment horizontal="center" vertical="center"/>
    </xf>
    <xf numFmtId="176" fontId="11" fillId="0" borderId="46" xfId="0" applyNumberFormat="1" applyFont="1" applyBorder="1" applyAlignment="1">
      <alignment horizontal="center" vertical="center"/>
    </xf>
    <xf numFmtId="176" fontId="11" fillId="0" borderId="47" xfId="0" applyNumberFormat="1" applyFont="1" applyBorder="1" applyAlignment="1">
      <alignment horizontal="center" vertical="center"/>
    </xf>
    <xf numFmtId="9" fontId="19" fillId="0" borderId="72" xfId="2" applyFont="1" applyBorder="1" applyAlignment="1">
      <alignment vertical="center"/>
    </xf>
    <xf numFmtId="9" fontId="19" fillId="0" borderId="28" xfId="2" applyFont="1" applyBorder="1" applyAlignment="1">
      <alignment vertical="center"/>
    </xf>
    <xf numFmtId="9" fontId="19" fillId="0" borderId="107" xfId="2" applyFont="1" applyBorder="1" applyAlignment="1">
      <alignment vertical="center"/>
    </xf>
    <xf numFmtId="9" fontId="11" fillId="0" borderId="108" xfId="2" applyFont="1" applyBorder="1" applyAlignment="1">
      <alignment vertical="center"/>
    </xf>
    <xf numFmtId="9" fontId="11" fillId="0" borderId="28" xfId="2" applyFont="1" applyBorder="1" applyAlignment="1">
      <alignment vertical="center"/>
    </xf>
    <xf numFmtId="9" fontId="11" fillId="0" borderId="73" xfId="2" applyFont="1" applyBorder="1" applyAlignment="1">
      <alignment vertical="center"/>
    </xf>
    <xf numFmtId="9" fontId="11" fillId="0" borderId="44" xfId="2" applyFont="1" applyFill="1" applyBorder="1" applyAlignment="1">
      <alignment vertical="center"/>
    </xf>
    <xf numFmtId="9" fontId="11" fillId="0" borderId="44" xfId="2" applyFont="1" applyBorder="1" applyAlignment="1">
      <alignment vertical="center"/>
    </xf>
    <xf numFmtId="176" fontId="11" fillId="0" borderId="47" xfId="0" applyNumberFormat="1" applyFont="1" applyBorder="1" applyAlignment="1">
      <alignment vertical="center"/>
    </xf>
    <xf numFmtId="176" fontId="11" fillId="0" borderId="0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vertical="center"/>
    </xf>
    <xf numFmtId="0" fontId="20" fillId="0" borderId="0" xfId="0" applyFont="1" applyAlignment="1">
      <alignment vertical="center"/>
    </xf>
    <xf numFmtId="41" fontId="20" fillId="0" borderId="0" xfId="1" applyFont="1" applyAlignment="1">
      <alignment vertical="center"/>
    </xf>
    <xf numFmtId="179" fontId="21" fillId="0" borderId="0" xfId="0" applyNumberFormat="1" applyFont="1" applyAlignment="1">
      <alignment vertical="center"/>
    </xf>
    <xf numFmtId="0" fontId="8" fillId="0" borderId="0" xfId="0" applyFont="1" applyAlignment="1">
      <alignment horizontal="right" vertical="center"/>
    </xf>
    <xf numFmtId="180" fontId="22" fillId="0" borderId="46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76" fontId="21" fillId="0" borderId="0" xfId="0" applyNumberFormat="1" applyFont="1" applyFill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38" xfId="0" applyBorder="1" applyAlignment="1">
      <alignment vertical="center"/>
    </xf>
    <xf numFmtId="0" fontId="0" fillId="2" borderId="109" xfId="0" applyFill="1" applyBorder="1" applyAlignment="1">
      <alignment vertical="center"/>
    </xf>
    <xf numFmtId="0" fontId="0" fillId="2" borderId="109" xfId="0" applyFill="1" applyBorder="1" applyAlignment="1">
      <alignment horizontal="center" vertical="center"/>
    </xf>
    <xf numFmtId="176" fontId="0" fillId="2" borderId="109" xfId="0" applyNumberFormat="1" applyFill="1" applyBorder="1" applyAlignment="1">
      <alignment horizontal="center" vertical="center"/>
    </xf>
    <xf numFmtId="176" fontId="0" fillId="2" borderId="109" xfId="0" applyNumberFormat="1" applyFill="1" applyBorder="1" applyAlignment="1">
      <alignment vertical="center"/>
    </xf>
    <xf numFmtId="176" fontId="0" fillId="0" borderId="24" xfId="0" applyNumberFormat="1" applyBorder="1" applyAlignment="1">
      <alignment vertical="center"/>
    </xf>
    <xf numFmtId="0" fontId="0" fillId="0" borderId="109" xfId="0" applyBorder="1" applyAlignment="1">
      <alignment vertical="center"/>
    </xf>
    <xf numFmtId="0" fontId="0" fillId="2" borderId="19" xfId="0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2" borderId="19" xfId="0" applyFill="1" applyBorder="1" applyAlignment="1">
      <alignment horizontal="center" vertical="center"/>
    </xf>
    <xf numFmtId="176" fontId="0" fillId="2" borderId="19" xfId="0" applyNumberFormat="1" applyFill="1" applyBorder="1" applyAlignment="1">
      <alignment horizontal="center" vertical="center"/>
    </xf>
    <xf numFmtId="176" fontId="0" fillId="2" borderId="19" xfId="0" applyNumberFormat="1" applyFill="1" applyBorder="1" applyAlignment="1">
      <alignment vertical="center"/>
    </xf>
    <xf numFmtId="0" fontId="0" fillId="2" borderId="30" xfId="0" applyFill="1" applyBorder="1" applyAlignment="1">
      <alignment vertical="center"/>
    </xf>
    <xf numFmtId="0" fontId="0" fillId="2" borderId="30" xfId="0" applyFill="1" applyBorder="1" applyAlignment="1">
      <alignment horizontal="center" vertical="center"/>
    </xf>
    <xf numFmtId="176" fontId="0" fillId="2" borderId="30" xfId="0" applyNumberFormat="1" applyFill="1" applyBorder="1" applyAlignment="1">
      <alignment horizontal="center" vertical="center"/>
    </xf>
    <xf numFmtId="176" fontId="0" fillId="2" borderId="30" xfId="0" applyNumberFormat="1" applyFill="1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44" xfId="0" applyBorder="1" applyAlignment="1">
      <alignment vertical="center"/>
    </xf>
    <xf numFmtId="176" fontId="0" fillId="0" borderId="44" xfId="0" applyNumberFormat="1" applyBorder="1" applyAlignment="1">
      <alignment horizontal="center" vertical="center"/>
    </xf>
    <xf numFmtId="176" fontId="0" fillId="0" borderId="44" xfId="0" applyNumberFormat="1" applyBorder="1" applyAlignment="1">
      <alignment vertical="center"/>
    </xf>
    <xf numFmtId="0" fontId="0" fillId="0" borderId="4" xfId="0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2" borderId="110" xfId="0" applyFill="1" applyBorder="1" applyAlignment="1">
      <alignment vertical="center"/>
    </xf>
    <xf numFmtId="0" fontId="0" fillId="2" borderId="110" xfId="0" applyFill="1" applyBorder="1" applyAlignment="1">
      <alignment horizontal="center" vertical="center"/>
    </xf>
    <xf numFmtId="176" fontId="0" fillId="2" borderId="110" xfId="0" applyNumberFormat="1" applyFill="1" applyBorder="1" applyAlignment="1">
      <alignment horizontal="center" vertical="center"/>
    </xf>
    <xf numFmtId="176" fontId="0" fillId="2" borderId="110" xfId="0" applyNumberFormat="1" applyFill="1" applyBorder="1" applyAlignment="1">
      <alignment vertical="center"/>
    </xf>
    <xf numFmtId="176" fontId="0" fillId="0" borderId="43" xfId="0" applyNumberFormat="1" applyBorder="1" applyAlignment="1">
      <alignment vertical="center"/>
    </xf>
    <xf numFmtId="0" fontId="0" fillId="0" borderId="110" xfId="0" applyBorder="1" applyAlignment="1">
      <alignment vertical="center"/>
    </xf>
    <xf numFmtId="0" fontId="0" fillId="5" borderId="38" xfId="0" applyFill="1" applyBorder="1" applyAlignment="1">
      <alignment vertical="center"/>
    </xf>
    <xf numFmtId="0" fontId="0" fillId="2" borderId="111" xfId="0" applyFill="1" applyBorder="1" applyAlignment="1">
      <alignment vertical="center"/>
    </xf>
    <xf numFmtId="176" fontId="0" fillId="2" borderId="111" xfId="0" applyNumberFormat="1" applyFill="1" applyBorder="1" applyAlignment="1">
      <alignment horizontal="center" vertical="center"/>
    </xf>
    <xf numFmtId="176" fontId="0" fillId="2" borderId="111" xfId="0" applyNumberFormat="1" applyFill="1" applyBorder="1" applyAlignment="1">
      <alignment vertical="center"/>
    </xf>
    <xf numFmtId="176" fontId="0" fillId="0" borderId="112" xfId="0" applyNumberFormat="1" applyBorder="1" applyAlignment="1">
      <alignment vertical="center"/>
    </xf>
    <xf numFmtId="0" fontId="0" fillId="0" borderId="111" xfId="0" applyBorder="1" applyAlignment="1">
      <alignment vertical="center"/>
    </xf>
    <xf numFmtId="0" fontId="0" fillId="6" borderId="33" xfId="0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0" fillId="6" borderId="4" xfId="0" applyFill="1" applyBorder="1" applyAlignment="1">
      <alignment horizontal="center" vertical="center"/>
    </xf>
    <xf numFmtId="176" fontId="0" fillId="6" borderId="4" xfId="0" applyNumberFormat="1" applyFill="1" applyBorder="1" applyAlignment="1">
      <alignment horizontal="center" vertical="center"/>
    </xf>
    <xf numFmtId="176" fontId="0" fillId="6" borderId="4" xfId="0" applyNumberFormat="1" applyFill="1" applyBorder="1" applyAlignment="1">
      <alignment vertical="center"/>
    </xf>
    <xf numFmtId="176" fontId="0" fillId="6" borderId="33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26" xfId="0" applyNumberFormat="1" applyBorder="1" applyAlignment="1">
      <alignment vertical="center"/>
    </xf>
    <xf numFmtId="0" fontId="0" fillId="0" borderId="45" xfId="0" applyBorder="1" applyAlignment="1">
      <alignment horizontal="center" vertic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vertical="center"/>
    </xf>
    <xf numFmtId="176" fontId="0" fillId="0" borderId="7" xfId="0" applyNumberFormat="1" applyBorder="1" applyAlignment="1">
      <alignment horizontal="center" vertical="center"/>
    </xf>
    <xf numFmtId="176" fontId="0" fillId="0" borderId="7" xfId="0" applyNumberFormat="1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31" xfId="0" applyFill="1" applyBorder="1" applyAlignment="1">
      <alignment horizontal="center" vertical="center"/>
    </xf>
    <xf numFmtId="176" fontId="0" fillId="2" borderId="7" xfId="0" applyNumberFormat="1" applyFill="1" applyBorder="1" applyAlignment="1">
      <alignment horizontal="center" vertical="center"/>
    </xf>
    <xf numFmtId="176" fontId="0" fillId="2" borderId="7" xfId="0" applyNumberFormat="1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110" xfId="0" applyFill="1" applyBorder="1" applyAlignment="1">
      <alignment vertical="center"/>
    </xf>
    <xf numFmtId="0" fontId="0" fillId="0" borderId="40" xfId="0" applyFill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20" xfId="0" applyFill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30" xfId="0" applyFill="1" applyBorder="1" applyAlignment="1">
      <alignment vertical="center"/>
    </xf>
    <xf numFmtId="0" fontId="0" fillId="0" borderId="25" xfId="0" applyFill="1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0" fillId="0" borderId="31" xfId="0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176" fontId="0" fillId="0" borderId="31" xfId="0" applyNumberFormat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0" borderId="0" xfId="0" applyNumberFormat="1" applyAlignment="1">
      <alignment horizontal="center" vertical="center"/>
    </xf>
    <xf numFmtId="180" fontId="8" fillId="2" borderId="46" xfId="0" applyNumberFormat="1" applyFont="1" applyFill="1" applyBorder="1" applyAlignment="1">
      <alignment vertical="center"/>
    </xf>
    <xf numFmtId="176" fontId="21" fillId="0" borderId="0" xfId="0" applyNumberFormat="1" applyFont="1" applyFill="1" applyAlignment="1">
      <alignment vertical="center"/>
    </xf>
    <xf numFmtId="180" fontId="0" fillId="0" borderId="0" xfId="0" applyNumberFormat="1" applyAlignment="1">
      <alignment vertical="center"/>
    </xf>
    <xf numFmtId="181" fontId="0" fillId="0" borderId="44" xfId="0" applyNumberForma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5" fillId="0" borderId="1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37" xfId="0" applyBorder="1" applyAlignment="1">
      <alignment vertical="center"/>
    </xf>
    <xf numFmtId="14" fontId="0" fillId="2" borderId="3" xfId="0" applyNumberForma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11" fillId="0" borderId="13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left" vertical="center"/>
    </xf>
    <xf numFmtId="0" fontId="0" fillId="2" borderId="111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0" fillId="2" borderId="109" xfId="0" applyFill="1" applyBorder="1" applyAlignment="1">
      <alignment horizontal="left" vertical="center"/>
    </xf>
    <xf numFmtId="0" fontId="0" fillId="2" borderId="30" xfId="0" applyFill="1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0" borderId="82" xfId="0" applyFont="1" applyBorder="1" applyAlignment="1">
      <alignment horizontal="center" vertical="center"/>
    </xf>
    <xf numFmtId="0" fontId="0" fillId="2" borderId="19" xfId="0" applyFill="1" applyBorder="1" applyAlignment="1">
      <alignment vertical="center"/>
    </xf>
    <xf numFmtId="0" fontId="0" fillId="2" borderId="110" xfId="0" applyFill="1" applyBorder="1" applyAlignment="1">
      <alignment vertical="center"/>
    </xf>
    <xf numFmtId="0" fontId="0" fillId="2" borderId="110" xfId="0" applyFill="1" applyBorder="1" applyAlignment="1">
      <alignment horizontal="center" vertical="center"/>
    </xf>
    <xf numFmtId="176" fontId="0" fillId="2" borderId="110" xfId="0" applyNumberFormat="1" applyFill="1" applyBorder="1" applyAlignment="1">
      <alignment vertical="center"/>
    </xf>
    <xf numFmtId="0" fontId="0" fillId="2" borderId="19" xfId="0" applyFill="1" applyBorder="1" applyAlignment="1">
      <alignment horizontal="center" vertical="center"/>
    </xf>
    <xf numFmtId="176" fontId="0" fillId="2" borderId="19" xfId="0" applyNumberFormat="1" applyFill="1" applyBorder="1" applyAlignment="1">
      <alignment vertical="center"/>
    </xf>
    <xf numFmtId="176" fontId="24" fillId="0" borderId="0" xfId="0" applyNumberFormat="1" applyFont="1" applyBorder="1" applyAlignment="1">
      <alignment vertical="center"/>
    </xf>
    <xf numFmtId="0" fontId="0" fillId="2" borderId="3" xfId="0" applyFill="1" applyBorder="1" applyAlignment="1">
      <alignment horizontal="left" vertical="center"/>
    </xf>
    <xf numFmtId="0" fontId="0" fillId="7" borderId="19" xfId="0" applyFill="1" applyBorder="1" applyAlignment="1">
      <alignment vertical="center"/>
    </xf>
    <xf numFmtId="0" fontId="0" fillId="7" borderId="19" xfId="0" applyFill="1" applyBorder="1" applyAlignment="1">
      <alignment horizontal="left" vertical="center"/>
    </xf>
    <xf numFmtId="0" fontId="0" fillId="7" borderId="19" xfId="0" applyFill="1" applyBorder="1" applyAlignment="1">
      <alignment horizontal="center" vertical="center"/>
    </xf>
    <xf numFmtId="176" fontId="0" fillId="7" borderId="19" xfId="0" applyNumberFormat="1" applyFill="1" applyBorder="1" applyAlignment="1">
      <alignment vertical="center"/>
    </xf>
    <xf numFmtId="0" fontId="0" fillId="2" borderId="111" xfId="0" applyFill="1" applyBorder="1" applyAlignment="1">
      <alignment horizontal="center" vertical="center"/>
    </xf>
    <xf numFmtId="41" fontId="1" fillId="0" borderId="0" xfId="1" applyFont="1" applyAlignment="1">
      <alignment vertical="center"/>
    </xf>
    <xf numFmtId="41" fontId="5" fillId="0" borderId="0" xfId="1" applyFont="1" applyAlignment="1">
      <alignment vertical="center"/>
    </xf>
    <xf numFmtId="41" fontId="8" fillId="0" borderId="0" xfId="1" applyFont="1" applyAlignment="1">
      <alignment vertical="center"/>
    </xf>
    <xf numFmtId="41" fontId="8" fillId="0" borderId="0" xfId="1" applyFont="1" applyBorder="1" applyAlignment="1">
      <alignment vertical="center"/>
    </xf>
    <xf numFmtId="41" fontId="1" fillId="0" borderId="0" xfId="1" applyFont="1" applyAlignment="1">
      <alignment horizontal="center" vertical="center"/>
    </xf>
    <xf numFmtId="41" fontId="47" fillId="0" borderId="0" xfId="1" applyFont="1" applyFill="1" applyAlignment="1">
      <alignment vertical="center"/>
    </xf>
    <xf numFmtId="41" fontId="1" fillId="0" borderId="0" xfId="1" applyFont="1" applyFill="1" applyAlignment="1">
      <alignment vertical="center"/>
    </xf>
    <xf numFmtId="176" fontId="0" fillId="0" borderId="4" xfId="0" applyNumberFormat="1" applyBorder="1" applyAlignment="1">
      <alignment vertical="center"/>
    </xf>
    <xf numFmtId="0" fontId="0" fillId="2" borderId="109" xfId="0" applyFill="1" applyBorder="1" applyAlignment="1">
      <alignment vertical="center"/>
    </xf>
    <xf numFmtId="176" fontId="0" fillId="2" borderId="109" xfId="0" applyNumberFormat="1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0" fontId="0" fillId="2" borderId="19" xfId="0" applyFill="1" applyBorder="1" applyAlignment="1">
      <alignment horizontal="center" vertical="center"/>
    </xf>
    <xf numFmtId="176" fontId="0" fillId="2" borderId="19" xfId="0" applyNumberFormat="1" applyFill="1" applyBorder="1" applyAlignment="1">
      <alignment vertical="center"/>
    </xf>
    <xf numFmtId="0" fontId="0" fillId="2" borderId="30" xfId="0" applyFill="1" applyBorder="1" applyAlignment="1">
      <alignment vertical="center"/>
    </xf>
    <xf numFmtId="0" fontId="0" fillId="2" borderId="30" xfId="0" applyFill="1" applyBorder="1" applyAlignment="1">
      <alignment horizontal="center" vertical="center"/>
    </xf>
    <xf numFmtId="176" fontId="0" fillId="2" borderId="30" xfId="0" applyNumberFormat="1" applyFill="1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44" xfId="0" applyBorder="1" applyAlignment="1">
      <alignment vertical="center"/>
    </xf>
    <xf numFmtId="176" fontId="0" fillId="0" borderId="44" xfId="0" applyNumberFormat="1" applyBorder="1" applyAlignment="1">
      <alignment vertical="center"/>
    </xf>
    <xf numFmtId="0" fontId="0" fillId="0" borderId="4" xfId="0" applyBorder="1" applyAlignment="1">
      <alignment vertical="center"/>
    </xf>
    <xf numFmtId="0" fontId="0" fillId="2" borderId="110" xfId="0" applyFill="1" applyBorder="1" applyAlignment="1">
      <alignment vertical="center"/>
    </xf>
    <xf numFmtId="0" fontId="0" fillId="2" borderId="110" xfId="0" applyFill="1" applyBorder="1" applyAlignment="1">
      <alignment horizontal="center" vertical="center"/>
    </xf>
    <xf numFmtId="176" fontId="0" fillId="2" borderId="110" xfId="0" applyNumberFormat="1" applyFill="1" applyBorder="1" applyAlignment="1">
      <alignment vertical="center"/>
    </xf>
    <xf numFmtId="0" fontId="0" fillId="2" borderId="111" xfId="0" applyFill="1" applyBorder="1" applyAlignment="1">
      <alignment vertical="center"/>
    </xf>
    <xf numFmtId="176" fontId="0" fillId="2" borderId="111" xfId="0" applyNumberFormat="1" applyFill="1" applyBorder="1" applyAlignment="1">
      <alignment vertical="center"/>
    </xf>
    <xf numFmtId="176" fontId="0" fillId="6" borderId="4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0" borderId="33" xfId="0" applyBorder="1" applyAlignment="1">
      <alignment vertical="center"/>
    </xf>
    <xf numFmtId="176" fontId="0" fillId="0" borderId="7" xfId="0" applyNumberFormat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31" xfId="0" applyFill="1" applyBorder="1" applyAlignment="1">
      <alignment horizontal="center" vertical="center"/>
    </xf>
    <xf numFmtId="176" fontId="0" fillId="2" borderId="7" xfId="0" applyNumberFormat="1" applyFill="1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110" xfId="0" applyFill="1" applyBorder="1" applyAlignment="1">
      <alignment vertical="center"/>
    </xf>
    <xf numFmtId="0" fontId="0" fillId="0" borderId="40" xfId="0" applyFill="1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20" xfId="0" applyFill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30" xfId="0" applyFill="1" applyBorder="1" applyAlignment="1">
      <alignment vertical="center"/>
    </xf>
    <xf numFmtId="0" fontId="0" fillId="0" borderId="25" xfId="0" applyFill="1" applyBorder="1" applyAlignment="1">
      <alignment horizontal="center" vertical="center"/>
    </xf>
    <xf numFmtId="176" fontId="0" fillId="0" borderId="31" xfId="0" applyNumberFormat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81" fontId="0" fillId="0" borderId="44" xfId="0" applyNumberFormat="1" applyBorder="1" applyAlignment="1">
      <alignment vertical="center"/>
    </xf>
    <xf numFmtId="0" fontId="0" fillId="2" borderId="19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0" fillId="2" borderId="109" xfId="0" applyFill="1" applyBorder="1" applyAlignment="1">
      <alignment horizontal="left" vertical="center"/>
    </xf>
    <xf numFmtId="0" fontId="0" fillId="2" borderId="30" xfId="0" applyFill="1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7" borderId="19" xfId="0" applyFill="1" applyBorder="1" applyAlignment="1">
      <alignment vertical="center"/>
    </xf>
    <xf numFmtId="0" fontId="0" fillId="7" borderId="19" xfId="0" applyFill="1" applyBorder="1" applyAlignment="1">
      <alignment horizontal="left" vertical="center"/>
    </xf>
    <xf numFmtId="0" fontId="0" fillId="7" borderId="19" xfId="0" applyFill="1" applyBorder="1" applyAlignment="1">
      <alignment horizontal="center" vertical="center"/>
    </xf>
    <xf numFmtId="176" fontId="0" fillId="7" borderId="19" xfId="0" applyNumberFormat="1" applyFill="1" applyBorder="1" applyAlignment="1">
      <alignment vertical="center"/>
    </xf>
    <xf numFmtId="0" fontId="0" fillId="2" borderId="111" xfId="0" applyFill="1" applyBorder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0" fontId="0" fillId="0" borderId="0" xfId="0" applyFont="1" applyAlignment="1">
      <alignment vertical="center"/>
    </xf>
    <xf numFmtId="0" fontId="1" fillId="2" borderId="48" xfId="0" applyFont="1" applyFill="1" applyBorder="1" applyAlignment="1">
      <alignment vertical="center"/>
    </xf>
    <xf numFmtId="0" fontId="1" fillId="2" borderId="49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 textRotation="255"/>
    </xf>
    <xf numFmtId="0" fontId="1" fillId="0" borderId="37" xfId="0" applyFont="1" applyBorder="1" applyAlignment="1">
      <alignment horizontal="center" vertical="center" textRotation="255"/>
    </xf>
    <xf numFmtId="0" fontId="1" fillId="0" borderId="44" xfId="0" applyFont="1" applyBorder="1" applyAlignment="1">
      <alignment horizontal="center" vertical="center" textRotation="255"/>
    </xf>
    <xf numFmtId="0" fontId="0" fillId="2" borderId="5" xfId="0" applyFont="1" applyFill="1" applyBorder="1" applyAlignment="1">
      <alignment vertical="center"/>
    </xf>
    <xf numFmtId="0" fontId="1" fillId="2" borderId="36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0" fillId="0" borderId="31" xfId="0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0" fillId="2" borderId="38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39" xfId="0" applyFont="1" applyFill="1" applyBorder="1" applyAlignment="1">
      <alignment vertical="center"/>
    </xf>
    <xf numFmtId="0" fontId="1" fillId="2" borderId="41" xfId="0" applyFont="1" applyFill="1" applyBorder="1" applyAlignment="1">
      <alignment vertical="center"/>
    </xf>
    <xf numFmtId="0" fontId="1" fillId="2" borderId="42" xfId="0" applyFont="1" applyFill="1" applyBorder="1" applyAlignment="1">
      <alignment vertical="center"/>
    </xf>
    <xf numFmtId="0" fontId="1" fillId="2" borderId="43" xfId="0" applyFont="1" applyFill="1" applyBorder="1" applyAlignment="1">
      <alignment vertical="center"/>
    </xf>
    <xf numFmtId="177" fontId="1" fillId="2" borderId="38" xfId="0" applyNumberFormat="1" applyFont="1" applyFill="1" applyBorder="1" applyAlignment="1">
      <alignment horizontal="left" vertical="center"/>
    </xf>
    <xf numFmtId="177" fontId="1" fillId="2" borderId="0" xfId="0" applyNumberFormat="1" applyFont="1" applyFill="1" applyBorder="1" applyAlignment="1">
      <alignment horizontal="left" vertical="center"/>
    </xf>
    <xf numFmtId="177" fontId="1" fillId="2" borderId="39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178" fontId="0" fillId="2" borderId="38" xfId="0" applyNumberFormat="1" applyFont="1" applyFill="1" applyBorder="1" applyAlignment="1">
      <alignment vertical="center"/>
    </xf>
    <xf numFmtId="178" fontId="1" fillId="2" borderId="0" xfId="0" applyNumberFormat="1" applyFont="1" applyFill="1" applyBorder="1" applyAlignment="1">
      <alignment vertical="center"/>
    </xf>
    <xf numFmtId="178" fontId="1" fillId="2" borderId="39" xfId="0" applyNumberFormat="1" applyFont="1" applyFill="1" applyBorder="1" applyAlignment="1">
      <alignment vertical="center"/>
    </xf>
    <xf numFmtId="0" fontId="1" fillId="2" borderId="45" xfId="0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76" fontId="1" fillId="0" borderId="31" xfId="0" applyNumberFormat="1" applyFont="1" applyBorder="1" applyAlignment="1">
      <alignment horizontal="center" vertical="center" wrapText="1"/>
    </xf>
    <xf numFmtId="176" fontId="1" fillId="0" borderId="33" xfId="0" applyNumberFormat="1" applyFont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left" vertical="center"/>
    </xf>
    <xf numFmtId="0" fontId="1" fillId="0" borderId="15" xfId="0" applyFont="1" applyFill="1" applyBorder="1" applyAlignment="1">
      <alignment horizontal="left" vertical="center"/>
    </xf>
    <xf numFmtId="0" fontId="1" fillId="0" borderId="20" xfId="0" applyFont="1" applyFill="1" applyBorder="1" applyAlignment="1">
      <alignment horizontal="left" vertical="center"/>
    </xf>
    <xf numFmtId="0" fontId="1" fillId="0" borderId="21" xfId="0" applyFont="1" applyFill="1" applyBorder="1" applyAlignment="1">
      <alignment horizontal="left" vertical="center"/>
    </xf>
    <xf numFmtId="0" fontId="1" fillId="0" borderId="25" xfId="0" applyFont="1" applyFill="1" applyBorder="1" applyAlignment="1">
      <alignment horizontal="left" vertical="center"/>
    </xf>
    <xf numFmtId="0" fontId="1" fillId="0" borderId="26" xfId="0" applyFont="1" applyFill="1" applyBorder="1" applyAlignment="1">
      <alignment horizontal="left" vertical="center"/>
    </xf>
    <xf numFmtId="176" fontId="1" fillId="0" borderId="31" xfId="0" applyNumberFormat="1" applyFont="1" applyBorder="1" applyAlignment="1">
      <alignment horizontal="center" vertical="center"/>
    </xf>
    <xf numFmtId="176" fontId="1" fillId="0" borderId="32" xfId="0" applyNumberFormat="1" applyFont="1" applyBorder="1" applyAlignment="1">
      <alignment horizontal="center" vertical="center"/>
    </xf>
    <xf numFmtId="176" fontId="1" fillId="0" borderId="3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255"/>
    </xf>
    <xf numFmtId="0" fontId="6" fillId="2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3" fontId="1" fillId="0" borderId="48" xfId="0" applyNumberFormat="1" applyFont="1" applyFill="1" applyBorder="1" applyAlignment="1">
      <alignment horizontal="center" vertical="center"/>
    </xf>
    <xf numFmtId="3" fontId="1" fillId="0" borderId="49" xfId="0" applyNumberFormat="1" applyFont="1" applyFill="1" applyBorder="1" applyAlignment="1">
      <alignment horizontal="center" vertical="center"/>
    </xf>
    <xf numFmtId="3" fontId="1" fillId="0" borderId="74" xfId="0" applyNumberFormat="1" applyFont="1" applyFill="1" applyBorder="1" applyAlignment="1">
      <alignment horizontal="center" vertical="center"/>
    </xf>
    <xf numFmtId="3" fontId="0" fillId="0" borderId="48" xfId="0" quotePrefix="1" applyNumberFormat="1" applyFill="1" applyBorder="1" applyAlignment="1">
      <alignment horizontal="left" vertical="center"/>
    </xf>
    <xf numFmtId="3" fontId="0" fillId="0" borderId="49" xfId="0" quotePrefix="1" applyNumberFormat="1" applyFill="1" applyBorder="1" applyAlignment="1">
      <alignment horizontal="left" vertical="center"/>
    </xf>
    <xf numFmtId="3" fontId="0" fillId="0" borderId="74" xfId="0" quotePrefix="1" applyNumberFormat="1" applyFill="1" applyBorder="1" applyAlignment="1">
      <alignment horizontal="left" vertical="center"/>
    </xf>
    <xf numFmtId="3" fontId="1" fillId="0" borderId="91" xfId="0" applyNumberFormat="1" applyFont="1" applyFill="1" applyBorder="1" applyAlignment="1">
      <alignment horizontal="center" vertical="center"/>
    </xf>
    <xf numFmtId="3" fontId="11" fillId="0" borderId="92" xfId="0" quotePrefix="1" applyNumberFormat="1" applyFont="1" applyFill="1" applyBorder="1" applyAlignment="1">
      <alignment horizontal="left" vertical="center"/>
    </xf>
    <xf numFmtId="3" fontId="11" fillId="0" borderId="91" xfId="0" quotePrefix="1" applyNumberFormat="1" applyFont="1" applyFill="1" applyBorder="1" applyAlignment="1">
      <alignment horizontal="left" vertical="center"/>
    </xf>
    <xf numFmtId="3" fontId="11" fillId="0" borderId="93" xfId="0" quotePrefix="1" applyNumberFormat="1" applyFont="1" applyFill="1" applyBorder="1" applyAlignment="1">
      <alignment horizontal="left" vertical="center"/>
    </xf>
    <xf numFmtId="3" fontId="0" fillId="0" borderId="70" xfId="0" applyNumberFormat="1" applyFont="1" applyFill="1" applyBorder="1" applyAlignment="1">
      <alignment horizontal="center" vertical="center" wrapText="1"/>
    </xf>
    <xf numFmtId="3" fontId="0" fillId="0" borderId="23" xfId="0" applyNumberFormat="1" applyFont="1" applyFill="1" applyBorder="1" applyAlignment="1">
      <alignment horizontal="center" vertical="center"/>
    </xf>
    <xf numFmtId="3" fontId="0" fillId="0" borderId="63" xfId="0" applyNumberFormat="1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179" fontId="0" fillId="0" borderId="2" xfId="0" applyNumberFormat="1" applyFont="1" applyFill="1" applyBorder="1" applyAlignment="1">
      <alignment horizontal="center" vertical="center"/>
    </xf>
    <xf numFmtId="179" fontId="0" fillId="0" borderId="67" xfId="0" applyNumberFormat="1" applyFont="1" applyFill="1" applyBorder="1" applyAlignment="1">
      <alignment horizontal="center" vertical="center"/>
    </xf>
    <xf numFmtId="3" fontId="0" fillId="0" borderId="3" xfId="0" applyNumberFormat="1" applyFont="1" applyFill="1" applyBorder="1" applyAlignment="1">
      <alignment horizontal="center" vertical="center"/>
    </xf>
    <xf numFmtId="3" fontId="1" fillId="0" borderId="3" xfId="0" applyNumberFormat="1" applyFont="1" applyFill="1" applyBorder="1" applyAlignment="1">
      <alignment horizontal="center" vertical="center"/>
    </xf>
    <xf numFmtId="3" fontId="1" fillId="0" borderId="66" xfId="0" applyNumberFormat="1" applyFont="1" applyFill="1" applyBorder="1" applyAlignment="1">
      <alignment horizontal="center" vertical="center"/>
    </xf>
    <xf numFmtId="3" fontId="1" fillId="0" borderId="84" xfId="0" applyNumberFormat="1" applyFont="1" applyFill="1" applyBorder="1" applyAlignment="1">
      <alignment horizontal="center" vertical="center"/>
    </xf>
    <xf numFmtId="3" fontId="1" fillId="0" borderId="85" xfId="0" applyNumberFormat="1" applyFont="1" applyFill="1" applyBorder="1" applyAlignment="1">
      <alignment horizontal="center" vertical="center"/>
    </xf>
    <xf numFmtId="3" fontId="1" fillId="0" borderId="86" xfId="0" applyNumberFormat="1" applyFont="1" applyFill="1" applyBorder="1" applyAlignment="1">
      <alignment horizontal="center" vertical="center"/>
    </xf>
    <xf numFmtId="3" fontId="1" fillId="0" borderId="87" xfId="0" applyNumberFormat="1" applyFont="1" applyFill="1" applyBorder="1" applyAlignment="1">
      <alignment horizontal="center" vertical="center"/>
    </xf>
    <xf numFmtId="3" fontId="1" fillId="0" borderId="15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3" fontId="1" fillId="0" borderId="2" xfId="0" applyNumberFormat="1" applyFont="1" applyFill="1" applyBorder="1" applyAlignment="1">
      <alignment horizontal="center" vertical="center"/>
    </xf>
    <xf numFmtId="3" fontId="1" fillId="0" borderId="67" xfId="0" applyNumberFormat="1" applyFont="1" applyFill="1" applyBorder="1" applyAlignment="1">
      <alignment horizontal="center" vertical="center"/>
    </xf>
    <xf numFmtId="3" fontId="11" fillId="4" borderId="1" xfId="0" applyNumberFormat="1" applyFont="1" applyFill="1" applyBorder="1" applyAlignment="1">
      <alignment horizontal="left" vertical="center"/>
    </xf>
    <xf numFmtId="3" fontId="11" fillId="4" borderId="2" xfId="0" applyNumberFormat="1" applyFont="1" applyFill="1" applyBorder="1" applyAlignment="1">
      <alignment horizontal="left" vertical="center"/>
    </xf>
    <xf numFmtId="3" fontId="11" fillId="4" borderId="67" xfId="0" applyNumberFormat="1" applyFont="1" applyFill="1" applyBorder="1" applyAlignment="1">
      <alignment horizontal="left" vertical="center"/>
    </xf>
    <xf numFmtId="3" fontId="11" fillId="0" borderId="1" xfId="0" applyNumberFormat="1" applyFont="1" applyFill="1" applyBorder="1" applyAlignment="1">
      <alignment horizontal="left" vertical="center"/>
    </xf>
    <xf numFmtId="3" fontId="11" fillId="0" borderId="2" xfId="0" applyNumberFormat="1" applyFont="1" applyFill="1" applyBorder="1" applyAlignment="1">
      <alignment horizontal="left" vertical="center"/>
    </xf>
    <xf numFmtId="3" fontId="11" fillId="0" borderId="67" xfId="0" applyNumberFormat="1" applyFont="1" applyFill="1" applyBorder="1" applyAlignment="1">
      <alignment horizontal="left" vertical="center"/>
    </xf>
    <xf numFmtId="3" fontId="1" fillId="0" borderId="5" xfId="0" applyNumberFormat="1" applyFont="1" applyFill="1" applyBorder="1" applyAlignment="1">
      <alignment horizontal="center" vertical="center"/>
    </xf>
    <xf numFmtId="3" fontId="1" fillId="0" borderId="38" xfId="0" applyNumberFormat="1" applyFont="1" applyFill="1" applyBorder="1" applyAlignment="1">
      <alignment horizontal="center" vertical="center"/>
    </xf>
    <xf numFmtId="3" fontId="1" fillId="0" borderId="9" xfId="0" applyNumberFormat="1" applyFont="1" applyFill="1" applyBorder="1" applyAlignment="1">
      <alignment horizontal="center" vertical="center"/>
    </xf>
    <xf numFmtId="3" fontId="1" fillId="0" borderId="41" xfId="0" applyNumberFormat="1" applyFont="1" applyFill="1" applyBorder="1" applyAlignment="1">
      <alignment horizontal="center" vertical="center"/>
    </xf>
    <xf numFmtId="3" fontId="1" fillId="0" borderId="42" xfId="0" applyNumberFormat="1" applyFont="1" applyFill="1" applyBorder="1" applyAlignment="1">
      <alignment horizontal="center" vertical="center"/>
    </xf>
    <xf numFmtId="3" fontId="1" fillId="0" borderId="78" xfId="0" applyNumberFormat="1" applyFont="1" applyFill="1" applyBorder="1" applyAlignment="1">
      <alignment horizontal="center" vertical="center"/>
    </xf>
    <xf numFmtId="3" fontId="1" fillId="0" borderId="79" xfId="0" applyNumberFormat="1" applyFont="1" applyFill="1" applyBorder="1" applyAlignment="1">
      <alignment horizontal="center" vertical="center"/>
    </xf>
    <xf numFmtId="3" fontId="1" fillId="0" borderId="80" xfId="0" applyNumberFormat="1" applyFont="1" applyFill="1" applyBorder="1" applyAlignment="1">
      <alignment horizontal="center" vertical="center"/>
    </xf>
    <xf numFmtId="3" fontId="1" fillId="0" borderId="81" xfId="0" applyNumberFormat="1" applyFont="1" applyFill="1" applyBorder="1" applyAlignment="1">
      <alignment horizontal="center" vertical="center"/>
    </xf>
    <xf numFmtId="3" fontId="1" fillId="0" borderId="50" xfId="0" applyNumberFormat="1" applyFont="1" applyFill="1" applyBorder="1" applyAlignment="1">
      <alignment horizontal="center" vertical="center"/>
    </xf>
    <xf numFmtId="3" fontId="1" fillId="0" borderId="61" xfId="0" applyNumberFormat="1" applyFont="1" applyFill="1" applyBorder="1" applyAlignment="1">
      <alignment horizontal="center" vertical="center"/>
    </xf>
    <xf numFmtId="3" fontId="1" fillId="0" borderId="72" xfId="0" applyNumberFormat="1" applyFont="1" applyFill="1" applyBorder="1" applyAlignment="1">
      <alignment horizontal="center" vertical="center"/>
    </xf>
    <xf numFmtId="3" fontId="1" fillId="0" borderId="53" xfId="0" applyNumberFormat="1" applyFont="1" applyFill="1" applyBorder="1" applyAlignment="1">
      <alignment horizontal="center" vertical="center" wrapText="1"/>
    </xf>
    <xf numFmtId="3" fontId="1" fillId="0" borderId="23" xfId="0" applyNumberFormat="1" applyFont="1" applyFill="1" applyBorder="1" applyAlignment="1">
      <alignment horizontal="center" vertical="center" wrapText="1"/>
    </xf>
    <xf numFmtId="3" fontId="1" fillId="0" borderId="23" xfId="0" applyNumberFormat="1" applyFont="1" applyFill="1" applyBorder="1" applyAlignment="1">
      <alignment horizontal="center" vertical="center"/>
    </xf>
    <xf numFmtId="3" fontId="1" fillId="0" borderId="62" xfId="0" applyNumberFormat="1" applyFont="1" applyFill="1" applyBorder="1" applyAlignment="1">
      <alignment horizontal="center" vertical="center"/>
    </xf>
    <xf numFmtId="3" fontId="1" fillId="0" borderId="73" xfId="0" applyNumberFormat="1" applyFont="1" applyFill="1" applyBorder="1" applyAlignment="1">
      <alignment horizontal="center" vertical="center"/>
    </xf>
    <xf numFmtId="3" fontId="1" fillId="0" borderId="53" xfId="0" applyNumberFormat="1" applyFont="1" applyFill="1" applyBorder="1" applyAlignment="1">
      <alignment horizontal="center" vertical="center"/>
    </xf>
    <xf numFmtId="3" fontId="1" fillId="0" borderId="63" xfId="0" applyNumberFormat="1" applyFont="1" applyFill="1" applyBorder="1" applyAlignment="1">
      <alignment horizontal="center" vertical="center"/>
    </xf>
    <xf numFmtId="3" fontId="1" fillId="0" borderId="68" xfId="0" applyNumberFormat="1" applyFont="1" applyFill="1" applyBorder="1" applyAlignment="1">
      <alignment horizontal="center" vertical="center"/>
    </xf>
    <xf numFmtId="3" fontId="1" fillId="0" borderId="51" xfId="0" applyNumberFormat="1" applyFont="1" applyFill="1" applyBorder="1" applyAlignment="1">
      <alignment horizontal="center" vertical="center"/>
    </xf>
    <xf numFmtId="3" fontId="1" fillId="0" borderId="36" xfId="0" applyNumberFormat="1" applyFont="1" applyFill="1" applyBorder="1" applyAlignment="1">
      <alignment horizontal="center" vertical="center"/>
    </xf>
    <xf numFmtId="3" fontId="1" fillId="0" borderId="52" xfId="0" applyNumberFormat="1" applyFont="1" applyFill="1" applyBorder="1" applyAlignment="1">
      <alignment horizontal="center" vertical="center"/>
    </xf>
    <xf numFmtId="3" fontId="1" fillId="0" borderId="56" xfId="0" applyNumberFormat="1" applyFont="1" applyFill="1" applyBorder="1" applyAlignment="1">
      <alignment horizontal="center" vertical="center"/>
    </xf>
    <xf numFmtId="3" fontId="1" fillId="0" borderId="57" xfId="0" applyNumberFormat="1" applyFont="1" applyFill="1" applyBorder="1" applyAlignment="1">
      <alignment horizontal="center" vertical="center"/>
    </xf>
    <xf numFmtId="3" fontId="1" fillId="0" borderId="58" xfId="0" applyNumberFormat="1" applyFont="1" applyFill="1" applyBorder="1" applyAlignment="1">
      <alignment horizontal="center" vertical="center"/>
    </xf>
    <xf numFmtId="3" fontId="1" fillId="0" borderId="62" xfId="0" applyNumberFormat="1" applyFont="1" applyFill="1" applyBorder="1" applyAlignment="1">
      <alignment horizontal="center" vertical="center" wrapText="1"/>
    </xf>
    <xf numFmtId="176" fontId="0" fillId="0" borderId="31" xfId="0" applyNumberFormat="1" applyBorder="1" applyAlignment="1">
      <alignment horizontal="center" vertical="center"/>
    </xf>
    <xf numFmtId="176" fontId="0" fillId="0" borderId="32" xfId="0" applyNumberFormat="1" applyBorder="1" applyAlignment="1">
      <alignment horizontal="center" vertical="center"/>
    </xf>
    <xf numFmtId="176" fontId="0" fillId="0" borderId="33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 wrapText="1"/>
    </xf>
    <xf numFmtId="0" fontId="0" fillId="0" borderId="37" xfId="0" applyFont="1" applyFill="1" applyBorder="1" applyAlignment="1">
      <alignment horizontal="center" vertical="center" wrapText="1"/>
    </xf>
    <xf numFmtId="0" fontId="0" fillId="0" borderId="44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7" xfId="0" applyBorder="1" applyAlignment="1">
      <alignment horizontal="center" vertical="top" wrapText="1" shrinkToFit="1"/>
    </xf>
    <xf numFmtId="0" fontId="0" fillId="0" borderId="37" xfId="0" applyBorder="1" applyAlignment="1">
      <alignment horizontal="center" vertical="top" wrapText="1" shrinkToFit="1"/>
    </xf>
    <xf numFmtId="0" fontId="1" fillId="0" borderId="7" xfId="0" applyFont="1" applyBorder="1" applyAlignment="1">
      <alignment horizontal="center" vertical="center" wrapText="1"/>
    </xf>
  </cellXfs>
  <cellStyles count="264">
    <cellStyle name="??&amp;O?&amp;H?_x0008__x000f__x0007_?_x0007__x0001__x0001_" xfId="3"/>
    <cellStyle name="0뾍R_x0005_?뾍b_x0005_" xfId="4"/>
    <cellStyle name="A¨­￠￢￠O [0]_6-3¡Æⓒ¡Ai¡¤A " xfId="5"/>
    <cellStyle name="A¨­￠￢￠O_6-3¡Æⓒ¡Ai¡¤A " xfId="6"/>
    <cellStyle name="AeE­ [0]_¡U¾EU￢ A¾COºn±³ " xfId="7"/>
    <cellStyle name="ÅëÈ­ [0]_¡Ú¾ÈÜ¬ Á¾ÇÕºñ±³ " xfId="8"/>
    <cellStyle name="AeE­ [0]_¿i¿μ¾E " xfId="9"/>
    <cellStyle name="ÅëÈ­ [0]_±â¾È " xfId="10"/>
    <cellStyle name="AeE­ [0]_¼­½AA¼01_AoAO°eE¹ " xfId="11"/>
    <cellStyle name="ÅëÈ­ [0]_¼­½ÄÃ¼01_ÅõÀÔ°èÈ¹ " xfId="12"/>
    <cellStyle name="AeE­ [0]_¼­½AAI¶÷_AoAO°eE¹ " xfId="13"/>
    <cellStyle name="ÅëÈ­ [0]_¼­½ÄÀÏ¶÷_ÅõÀÔ°èÈ¹ " xfId="14"/>
    <cellStyle name="AeE­ [0]_½CAuCoE² " xfId="15"/>
    <cellStyle name="ÅëÈ­ [0]_1.ÆÇ¸Å½ÇÀû " xfId="16"/>
    <cellStyle name="AeE­ [0]_1.SUMMARY " xfId="17"/>
    <cellStyle name="ÅëÈ­ [0]_1.SUMMARY " xfId="18"/>
    <cellStyle name="AeE­ [0]_2.CONCEPT " xfId="19"/>
    <cellStyle name="ÅëÈ­ [0]_2.CONCEPT " xfId="20"/>
    <cellStyle name="AeE­ [0]_3.MSCHEDULE¿μ¹R " xfId="21"/>
    <cellStyle name="ÅëÈ­ [0]_3PJTR°èÈ¹ " xfId="22"/>
    <cellStyle name="AeE­ [0]_4 " xfId="23"/>
    <cellStyle name="ÅëÈ­ [0]_4 " xfId="24"/>
    <cellStyle name="AeE­ [0]_5-3-3-1-1.≫y≫e±¸A¶ºÐ¼R-MAT'L¡­ " xfId="25"/>
    <cellStyle name="ÅëÈ­ [0]_6-3°æÀï·Â " xfId="26"/>
    <cellStyle name="AeE­ [0]_7.MASTER SCHEDULE " xfId="27"/>
    <cellStyle name="ÅëÈ­ [0]_7.MASTER SCHEDULE " xfId="28"/>
    <cellStyle name="AeE­ [0]_AI¿ø°eE¹ " xfId="29"/>
    <cellStyle name="ÅëÈ­ [0]_ÀÎ¿ø°èÈ¹ " xfId="30"/>
    <cellStyle name="AeE­ [0]_AOA¾AIA¤ " xfId="31"/>
    <cellStyle name="ÅëÈ­ [0]_ÃÖÁ¾ÀÏÁ¤ " xfId="32"/>
    <cellStyle name="AeE­ [0]_INQUIRY ¿μ¾÷AßAø " xfId="33"/>
    <cellStyle name="ÅëÈ­ [0]_lx-taxi " xfId="34"/>
    <cellStyle name="AeE­ [0]_M105CDT " xfId="35"/>
    <cellStyle name="ÅëÈ­ [0]_MKN-M1.1 " xfId="36"/>
    <cellStyle name="AeE­ [0]_ºÐ·u±a01_AoAO°eE¹ " xfId="37"/>
    <cellStyle name="ÅëÈ­ [0]_ºÐ·ù±â01_ÅõÀÔ°èÈ¹ " xfId="38"/>
    <cellStyle name="AeE­ [0]_ºÐ·u±a02_AoAO°eE¹ " xfId="39"/>
    <cellStyle name="ÅëÈ­ [0]_ºÐ·ù±â02_ÅõÀÔ°èÈ¹ " xfId="40"/>
    <cellStyle name="AeE­ [0]_ºÐ·u±a03_AoAO°eE¹ " xfId="41"/>
    <cellStyle name="ÅëÈ­ [0]_ºÐ·ù±â03_ÅõÀÔ°èÈ¹ " xfId="42"/>
    <cellStyle name="AeE­ [0]_ºÐ·u±aAØ_AoAO°eE¹ " xfId="43"/>
    <cellStyle name="ÅëÈ­ [0]_ºÐ·ù±âÁØ_ÅõÀÔ°èÈ¹ " xfId="44"/>
    <cellStyle name="AeE­ [0]_ºÐ·u±aE￡_AoAO°eE¹ " xfId="45"/>
    <cellStyle name="ÅëÈ­ [0]_ºÐ·ù±âÈ£_ÅõÀÔ°èÈ¹ " xfId="46"/>
    <cellStyle name="AeE­ [0]_SAMPLE " xfId="47"/>
    <cellStyle name="ÅëÈ­ [0]_SAMPLE " xfId="48"/>
    <cellStyle name="AeE­ [0]_Sheet1 (2)_1.SUMMARY " xfId="49"/>
    <cellStyle name="ÅëÈ­ [0]_Sheet1 (2)_1.SUMMARY " xfId="50"/>
    <cellStyle name="AeE­ [0]_Sheet1 (2)_3.MSCHEDULE¿μ¹R " xfId="51"/>
    <cellStyle name="ÅëÈ­ [0]_Sheet1_1.SUMMARY " xfId="52"/>
    <cellStyle name="AeE­ [0]_Sheet1_3.MSCHEDULE¿μ¹R " xfId="53"/>
    <cellStyle name="ÅëÈ­ [0]_Sheet1_ÃÖÁ¾ÀÏÁ¤ " xfId="54"/>
    <cellStyle name="AeE­ [0]_Sheet1_XD AOA¾AIA¤ " xfId="55"/>
    <cellStyle name="ÅëÈ­ [0]_Sheet1_XD ÃÖÁ¾ÀÏÁ¤ " xfId="56"/>
    <cellStyle name="AeE­_¡U¾EU￢ A¾COºn±³ " xfId="57"/>
    <cellStyle name="ÅëÈ­_¡Ú¾ÈÜ¬ Á¾ÇÕºñ±³ " xfId="58"/>
    <cellStyle name="AeE­_¿i¿μ¾E " xfId="59"/>
    <cellStyle name="ÅëÈ­_±â¾È " xfId="60"/>
    <cellStyle name="AeE­_¼­½AA¼01_AoAO°eE¹ " xfId="61"/>
    <cellStyle name="ÅëÈ­_¼­½ÄÃ¼01_ÅõÀÔ°èÈ¹ " xfId="62"/>
    <cellStyle name="AeE­_¼­½AAI¶÷_AoAO°eE¹ " xfId="63"/>
    <cellStyle name="ÅëÈ­_¼­½ÄÀÏ¶÷_ÅõÀÔ°èÈ¹ " xfId="64"/>
    <cellStyle name="AeE­_½CAuCoE² " xfId="65"/>
    <cellStyle name="ÅëÈ­_1.ÆÇ¸Å½ÇÀû " xfId="66"/>
    <cellStyle name="AeE­_1.SUMMARY " xfId="67"/>
    <cellStyle name="ÅëÈ­_1.SUMMARY " xfId="68"/>
    <cellStyle name="AeE­_2.CONCEPT " xfId="69"/>
    <cellStyle name="ÅëÈ­_2.CONCEPT " xfId="70"/>
    <cellStyle name="AeE­_3.MSCHEDULE¿μ¹R " xfId="71"/>
    <cellStyle name="ÅëÈ­_3PJTR°èÈ¹ " xfId="72"/>
    <cellStyle name="AeE­_4 " xfId="73"/>
    <cellStyle name="ÅëÈ­_4 " xfId="74"/>
    <cellStyle name="AeE­_5-3-3-1-1.≫y≫e±¸A¶ºÐ¼R-MAT'L¡­ " xfId="75"/>
    <cellStyle name="ÅëÈ­_6-3°æÀï·Â " xfId="76"/>
    <cellStyle name="AeE­_7.MASTER SCHEDULE " xfId="77"/>
    <cellStyle name="ÅëÈ­_7.MASTER SCHEDULE " xfId="78"/>
    <cellStyle name="AeE­_AI¿ø°eE¹ " xfId="79"/>
    <cellStyle name="ÅëÈ­_ÀÎ¿ø°èÈ¹ " xfId="80"/>
    <cellStyle name="AeE­_AOA¾AIA¤ " xfId="81"/>
    <cellStyle name="ÅëÈ­_ÃÖÁ¾ÀÏÁ¤ " xfId="82"/>
    <cellStyle name="AeE­_INQUIRY ¿μ¾÷AßAø " xfId="83"/>
    <cellStyle name="ÅëÈ­_lx-taxi " xfId="84"/>
    <cellStyle name="AeE­_M105CDT " xfId="85"/>
    <cellStyle name="ÅëÈ­_MKN-M1.1 " xfId="86"/>
    <cellStyle name="AeE­_ºÐ·u±a01_AoAO°eE¹ " xfId="87"/>
    <cellStyle name="ÅëÈ­_ºÐ·ù±â01_ÅõÀÔ°èÈ¹ " xfId="88"/>
    <cellStyle name="AeE­_ºÐ·u±a02_AoAO°eE¹ " xfId="89"/>
    <cellStyle name="ÅëÈ­_ºÐ·ù±â02_ÅõÀÔ°èÈ¹ " xfId="90"/>
    <cellStyle name="AeE­_ºÐ·u±a03_AoAO°eE¹ " xfId="91"/>
    <cellStyle name="ÅëÈ­_ºÐ·ù±â03_ÅõÀÔ°èÈ¹ " xfId="92"/>
    <cellStyle name="AeE­_ºÐ·u±aAØ_AoAO°eE¹ " xfId="93"/>
    <cellStyle name="ÅëÈ­_ºÐ·ù±âÁØ_ÅõÀÔ°èÈ¹ " xfId="94"/>
    <cellStyle name="AeE­_ºÐ·u±aE￡_AoAO°eE¹ " xfId="95"/>
    <cellStyle name="ÅëÈ­_ºÐ·ù±âÈ£_ÅõÀÔ°èÈ¹ " xfId="96"/>
    <cellStyle name="AeE­_SAMPLE " xfId="97"/>
    <cellStyle name="ÅëÈ­_SAMPLE " xfId="98"/>
    <cellStyle name="AeE­_Sheet1 (2)_1.SUMMARY " xfId="99"/>
    <cellStyle name="ÅëÈ­_Sheet1 (2)_1.SUMMARY " xfId="100"/>
    <cellStyle name="AeE­_Sheet1 (2)_3.MSCHEDULE¿μ¹R " xfId="101"/>
    <cellStyle name="ÅëÈ­_Sheet1_1.SUMMARY " xfId="102"/>
    <cellStyle name="AeE­_Sheet1_3.MSCHEDULE¿μ¹R " xfId="103"/>
    <cellStyle name="ÅëÈ­_Sheet1_ÃÖÁ¾ÀÏÁ¤ " xfId="104"/>
    <cellStyle name="AeE­_Sheet1_XD AOA¾AIA¤ " xfId="105"/>
    <cellStyle name="ÅëÈ­_Sheet1_XD ÃÖÁ¾ÀÏÁ¤ " xfId="106"/>
    <cellStyle name="AeE¡ⓒ [0]_6-3¡Æⓒ¡Ai¡¤A " xfId="107"/>
    <cellStyle name="AeE¡ⓒ_6-3¡Æⓒ¡Ai¡¤A " xfId="108"/>
    <cellStyle name="AÞ¸¶ [0]_¡U¾EU￢ A¾COºn±³ " xfId="109"/>
    <cellStyle name="ÄÞ¸¶ [0]_¡Ú¾ÈÜ¬ Á¾ÇÕºñ±³ " xfId="110"/>
    <cellStyle name="AÞ¸¶ [0]_¿i¿μ¾E " xfId="111"/>
    <cellStyle name="ÄÞ¸¶ [0]_±â¾È " xfId="112"/>
    <cellStyle name="AÞ¸¶ [0]_1.SUMMARY " xfId="113"/>
    <cellStyle name="ÄÞ¸¶ [0]_1.SUMMARY " xfId="114"/>
    <cellStyle name="AÞ¸¶ [0]_2.CONCEPT " xfId="115"/>
    <cellStyle name="ÄÞ¸¶ [0]_2.CONCEPT " xfId="116"/>
    <cellStyle name="AÞ¸¶ [0]_3.MSCHEDULE¿μ¹R " xfId="117"/>
    <cellStyle name="ÄÞ¸¶ [0]_3PJTR°èÈ¹ " xfId="118"/>
    <cellStyle name="AÞ¸¶ [0]_4 " xfId="119"/>
    <cellStyle name="ÄÞ¸¶ [0]_4 " xfId="120"/>
    <cellStyle name="AÞ¸¶ [0]_6-3°æAi·A " xfId="121"/>
    <cellStyle name="ÄÞ¸¶ [0]_6-3°æÀï·Â " xfId="122"/>
    <cellStyle name="AÞ¸¶ [0]_7.MASTER SCHEDULE " xfId="123"/>
    <cellStyle name="ÄÞ¸¶ [0]_7.MASTER SCHEDULE " xfId="124"/>
    <cellStyle name="AÞ¸¶ [0]_AI¿ø°eE¹ " xfId="125"/>
    <cellStyle name="ÄÞ¸¶ [0]_ÀÎ¿ø°èÈ¹ " xfId="126"/>
    <cellStyle name="AÞ¸¶ [0]_AOA¾AIA¤ " xfId="127"/>
    <cellStyle name="ÄÞ¸¶ [0]_ÃÖÁ¾ÀÏÁ¤ " xfId="128"/>
    <cellStyle name="AÞ¸¶ [0]_INQUIRY ¿μ¾÷AßAø " xfId="129"/>
    <cellStyle name="ÄÞ¸¶ [0]_lx-taxi " xfId="130"/>
    <cellStyle name="AÞ¸¶ [0]_M105CDT " xfId="131"/>
    <cellStyle name="ÄÞ¸¶ [0]_MKN-M1.1 " xfId="132"/>
    <cellStyle name="AÞ¸¶ [0]_SAMPLE " xfId="133"/>
    <cellStyle name="ÄÞ¸¶ [0]_SAMPLE " xfId="134"/>
    <cellStyle name="AÞ¸¶ [0]_Sheet1 (2)_1.SUMMARY " xfId="135"/>
    <cellStyle name="ÄÞ¸¶ [0]_Sheet1 (2)_1.SUMMARY " xfId="136"/>
    <cellStyle name="AÞ¸¶ [0]_Sheet1 (2)_3.MSCHEDULE¿μ¹R " xfId="137"/>
    <cellStyle name="ÄÞ¸¶ [0]_Sheet1_1.SUMMARY " xfId="138"/>
    <cellStyle name="AÞ¸¶ [0]_Sheet1_3.MSCHEDULE¿μ¹R " xfId="139"/>
    <cellStyle name="ÄÞ¸¶ [0]_Sheet1_ÃÖÁ¾ÀÏÁ¤ " xfId="140"/>
    <cellStyle name="AÞ¸¶ [0]_Sheet1_XD AOA¾AIA¤ " xfId="141"/>
    <cellStyle name="ÄÞ¸¶ [0]_Sheet1_XD ÃÖÁ¾ÀÏÁ¤ " xfId="142"/>
    <cellStyle name="AÞ¸¶_¡U¾EU￢ A¾COºn±³ " xfId="143"/>
    <cellStyle name="ÄÞ¸¶_¡Ú¾ÈÜ¬ Á¾ÇÕºñ±³ " xfId="144"/>
    <cellStyle name="AÞ¸¶_¿i¿μ¾E " xfId="145"/>
    <cellStyle name="ÄÞ¸¶_±â¾È " xfId="146"/>
    <cellStyle name="AÞ¸¶_1.SUMMARY " xfId="147"/>
    <cellStyle name="ÄÞ¸¶_1.SUMMARY " xfId="148"/>
    <cellStyle name="AÞ¸¶_2.CONCEPT " xfId="149"/>
    <cellStyle name="ÄÞ¸¶_2.CONCEPT " xfId="150"/>
    <cellStyle name="AÞ¸¶_3.MSCHEDULE¿μ¹R " xfId="151"/>
    <cellStyle name="ÄÞ¸¶_3PJTR°èÈ¹ " xfId="152"/>
    <cellStyle name="AÞ¸¶_4 " xfId="153"/>
    <cellStyle name="ÄÞ¸¶_4 " xfId="154"/>
    <cellStyle name="AÞ¸¶_6-3°æAi·A " xfId="155"/>
    <cellStyle name="ÄÞ¸¶_6-3°æÀï·Â " xfId="156"/>
    <cellStyle name="AÞ¸¶_7.MASTER SCHEDULE " xfId="157"/>
    <cellStyle name="ÄÞ¸¶_7.MASTER SCHEDULE " xfId="158"/>
    <cellStyle name="AÞ¸¶_AI¿ø°eE¹ " xfId="159"/>
    <cellStyle name="ÄÞ¸¶_ÀÎ¿ø°èÈ¹ " xfId="160"/>
    <cellStyle name="AÞ¸¶_AOA¾AIA¤ " xfId="161"/>
    <cellStyle name="ÄÞ¸¶_ÃÖÁ¾ÀÏÁ¤ " xfId="162"/>
    <cellStyle name="AÞ¸¶_INQUIRY ¿μ¾÷AßAø " xfId="163"/>
    <cellStyle name="ÄÞ¸¶_lx-taxi " xfId="164"/>
    <cellStyle name="AÞ¸¶_M105CDT " xfId="165"/>
    <cellStyle name="ÄÞ¸¶_MKN-M1.1 " xfId="166"/>
    <cellStyle name="AÞ¸¶_SAMPLE " xfId="167"/>
    <cellStyle name="ÄÞ¸¶_SAMPLE " xfId="168"/>
    <cellStyle name="AÞ¸¶_Sheet1 (2)_1.SUMMARY " xfId="169"/>
    <cellStyle name="ÄÞ¸¶_Sheet1 (2)_1.SUMMARY " xfId="170"/>
    <cellStyle name="AÞ¸¶_Sheet1 (2)_3.MSCHEDULE¿μ¹R " xfId="171"/>
    <cellStyle name="ÄÞ¸¶_Sheet1_1.SUMMARY " xfId="172"/>
    <cellStyle name="AÞ¸¶_Sheet1_3.MSCHEDULE¿μ¹R " xfId="173"/>
    <cellStyle name="ÄÞ¸¶_Sheet1_ÃÖÁ¾ÀÏÁ¤ " xfId="174"/>
    <cellStyle name="AÞ¸¶_Sheet1_XD AOA¾AIA¤ " xfId="175"/>
    <cellStyle name="ÄÞ¸¶_Sheet1_XD ÃÖÁ¾ÀÏÁ¤ " xfId="176"/>
    <cellStyle name="C¡IA¨ª_¡Æ￠R¨uO￠￢¡ÆAIA￠´_￥iⓒ￡A¨IAIA￠´ " xfId="177"/>
    <cellStyle name="C￥AØ_(2)_°øAa°³¼± " xfId="178"/>
    <cellStyle name="Ç¥ÁØ_¡ßFO ÅõÀÚºñºñ±³ " xfId="179"/>
    <cellStyle name="C￥AØ_¿i¿μ¾E " xfId="180"/>
    <cellStyle name="Ç¥ÁØ_±â¾È " xfId="181"/>
    <cellStyle name="C￥AØ_≫c¾÷ºIº° AN°e " xfId="182"/>
    <cellStyle name="Ç¥ÁØ_°¡¼Ö¸°ÀÏÁ¤_µðÁ©ÀÏÁ¤ " xfId="183"/>
    <cellStyle name="C￥AØ_°¡¼O¸°AIA¤_μðAⓒAIA¤ " xfId="184"/>
    <cellStyle name="Ç¥ÁØ_°³¹ßÀÏÁ¤ " xfId="185"/>
    <cellStyle name="C￥AØ_°³¹ßAIA¤  (2)_°³¹ßAIA¤ " xfId="186"/>
    <cellStyle name="Ç¥ÁØ_°³¹ßÀÏÁ¤  (2)_°³¹ßÀÏÁ¤ " xfId="187"/>
    <cellStyle name="C￥AØ_1.ÆC¸A½CAu " xfId="188"/>
    <cellStyle name="Ç¥ÁØ_1.ÆÇ¸Å½ÇÀû " xfId="189"/>
    <cellStyle name="C￥AØ_1.SUMMARY " xfId="190"/>
    <cellStyle name="Ç¥ÁØ_1.SUMMARY " xfId="191"/>
    <cellStyle name="C￥AØ_2.CONCEPT " xfId="192"/>
    <cellStyle name="Ç¥ÁØ_2.CONCEPT " xfId="193"/>
    <cellStyle name="C￥AØ_3.MSCHEDULE¿μ¹R " xfId="194"/>
    <cellStyle name="Ç¥ÁØ_3PJTR°èÈ¹ " xfId="195"/>
    <cellStyle name="C￥AØ_4 " xfId="196"/>
    <cellStyle name="Ç¥ÁØ_4 " xfId="197"/>
    <cellStyle name="C￥AØ_5-1±¤°i " xfId="198"/>
    <cellStyle name="Ç¥ÁØ_5-1±¤°í " xfId="199"/>
    <cellStyle name="C￥AØ_5-3-3-1-1.≫y≫e±¸A¶ºÐ¼R-MAT'L¡­ " xfId="200"/>
    <cellStyle name="Ç¥ÁØ_6-3°æÀï·Â " xfId="201"/>
    <cellStyle name="C￥AØ_7.MASTER SCHEDULE " xfId="202"/>
    <cellStyle name="Ç¥ÁØ_7.MASTER SCHEDULE " xfId="203"/>
    <cellStyle name="C￥AØ_96AI¿ø°e2 " xfId="204"/>
    <cellStyle name="Ç¥ÁØ_96ÀÎ¿ø°è2 " xfId="205"/>
    <cellStyle name="C￥AØ_96AI¿ø°O 3 " xfId="206"/>
    <cellStyle name="Ç¥ÁØ_96ÀÎ¿ø°Ô 3 " xfId="207"/>
    <cellStyle name="C￥AØ_A·ºI2 " xfId="208"/>
    <cellStyle name="Ç¥ÁØ_Ã·ºÎ2 " xfId="209"/>
    <cellStyle name="C￥AØ_AI¿øCoE² " xfId="210"/>
    <cellStyle name="Ç¥ÁØ_ÃÖÁ¾ÀÏÁ¤ " xfId="211"/>
    <cellStyle name="C￥AØ_AoAUºn(ºI¼­º°,°eA¤º°) " xfId="212"/>
    <cellStyle name="Ç¥ÁØ_ÅõÀÚºñ(ºÎ¼­º°,°èÁ¤º°) " xfId="213"/>
    <cellStyle name="C￥AØ_Aß±a≫y≫e°eE¹ " xfId="214"/>
    <cellStyle name="Ç¥ÁØ_CSÁ¾ÇÕ " xfId="215"/>
    <cellStyle name="C￥AØ_laroux_°³¹ßAIA¤ " xfId="216"/>
    <cellStyle name="Ç¥ÁØ_laroux_°³¹ßÀÏÁ¤ " xfId="217"/>
    <cellStyle name="C￥AØ_laroux_°³¹ßAIA¤  (2)_°³¹ßAIA¤ " xfId="218"/>
    <cellStyle name="Ç¥ÁØ_laroux_°³¹ßÀÏÁ¤  (2)_°³¹ßÀÏÁ¤ " xfId="219"/>
    <cellStyle name="C￥AØ_laroux_1_°³¹ßAIA¤ " xfId="220"/>
    <cellStyle name="Ç¥ÁØ_laroux_1_°³¹ßÀÏÁ¤ " xfId="221"/>
    <cellStyle name="C￥AØ_laroux_2_°³¹ßAIA¤ " xfId="222"/>
    <cellStyle name="Ç¥ÁØ_laroux_2_°³¹ßÀÏÁ¤ " xfId="223"/>
    <cellStyle name="C￥AØ_lx-taxi " xfId="224"/>
    <cellStyle name="Ç¥ÁØ_lx-taxi " xfId="225"/>
    <cellStyle name="C￥AØ_M105CDT " xfId="226"/>
    <cellStyle name="Ç¥ÁØ_MKN-M1.1 " xfId="227"/>
    <cellStyle name="C￥AØ_RDTR99ML " xfId="228"/>
    <cellStyle name="Ç¥ÁØ_RDTR99ML " xfId="229"/>
    <cellStyle name="C￥AØ_Sheet1 (2)_1.SUMMARY " xfId="230"/>
    <cellStyle name="Ç¥ÁØ_Sheet1 (2)_1.SUMMARY " xfId="231"/>
    <cellStyle name="C￥AØ_Sheet1 (2)_3.MSCHEDULE¿μ¹R " xfId="232"/>
    <cellStyle name="Ç¥ÁØ_Sheet1_1.SUMMARY " xfId="233"/>
    <cellStyle name="C￥AØ_Sheet1_1_1.SUMMARY " xfId="234"/>
    <cellStyle name="Ç¥ÁØ_Sheet1_1_1.SUMMARY " xfId="235"/>
    <cellStyle name="C￥AØ_Sheet1_1_3.MSCHEDULE¿μ¹R " xfId="236"/>
    <cellStyle name="Ç¥ÁØ_Sheet1_1_XD ÃÖÁ¾ÀÏÁ¤ " xfId="237"/>
    <cellStyle name="C￥AØ_Sheet1_3.MSCHEDULE¿μ¹R " xfId="238"/>
    <cellStyle name="Ç¥ÁØ_Sheet1_XD ÃÖÁ¾ÀÏÁ¤ " xfId="239"/>
    <cellStyle name="C￥AØ_SMG-CKD-d1.1 " xfId="240"/>
    <cellStyle name="Ç¥ÁØ_SMG-CKD-d1.1 " xfId="241"/>
    <cellStyle name="C￥AØ_WIPER " xfId="242"/>
    <cellStyle name="Ç¥ÁØ_WIPER " xfId="243"/>
    <cellStyle name="C￥AØ_XD AOA¾AIA¤ " xfId="244"/>
    <cellStyle name="Ç¥ÁØ_XD ÃÖÁ¾ÀÏÁ¤ " xfId="245"/>
    <cellStyle name="C￥AØ_μðAⓒAIA¤ " xfId="246"/>
    <cellStyle name="Comma [0]" xfId="247"/>
    <cellStyle name="Comma_ SG&amp;A Bridge " xfId="248"/>
    <cellStyle name="Currency [0]" xfId="249"/>
    <cellStyle name="Currency_ SG&amp;A Bridge " xfId="250"/>
    <cellStyle name="Currency1" xfId="251"/>
    <cellStyle name="Normal_ SG&amp;A Bridge " xfId="252"/>
    <cellStyle name="þ_x001d_ð'&amp;Oy?Hy9_x0008__x000f__x0007_æ_x0007__x0007__x0001__x0001_" xfId="253"/>
    <cellStyle name="똿떓죶Ø괻_PRODUCT DETAIL Q3 (2)_ßæß§ºÐ´aaÐ " xfId="254"/>
    <cellStyle name="똿뗦먛귟 [0.00]_PRODUCT DETAIL Q1" xfId="255"/>
    <cellStyle name="똿뗦먛귟_PRODUCT DETAIL Q1" xfId="256"/>
    <cellStyle name="믅됞 [0.00]_PRODUCT DETAIL Q1" xfId="257"/>
    <cellStyle name="믅됞_PRODUCT DETAIL Q1" xfId="258"/>
    <cellStyle name="백분율" xfId="2" builtinId="5"/>
    <cellStyle name="뷭?_BOOKSHIP" xfId="259"/>
    <cellStyle name="쉼표 [0]" xfId="1" builtinId="6"/>
    <cellStyle name="스타일 1" xfId="260"/>
    <cellStyle name="콤마 [0]_ " xfId="261"/>
    <cellStyle name="콤마_ " xfId="262"/>
    <cellStyle name="팒" xfId="26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15</xdr:row>
      <xdr:rowOff>28575</xdr:rowOff>
    </xdr:from>
    <xdr:to>
      <xdr:col>14</xdr:col>
      <xdr:colOff>9525</xdr:colOff>
      <xdr:row>16</xdr:row>
      <xdr:rowOff>0</xdr:rowOff>
    </xdr:to>
    <xdr:sp macro="" textlink="">
      <xdr:nvSpPr>
        <xdr:cNvPr id="2" name="AutoShape 5"/>
        <xdr:cNvSpPr>
          <a:spLocks/>
        </xdr:cNvSpPr>
      </xdr:nvSpPr>
      <xdr:spPr bwMode="auto">
        <a:xfrm>
          <a:off x="7705725" y="3857625"/>
          <a:ext cx="3009900" cy="21907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266700</xdr:colOff>
      <xdr:row>11</xdr:row>
      <xdr:rowOff>9525</xdr:rowOff>
    </xdr:from>
    <xdr:to>
      <xdr:col>14</xdr:col>
      <xdr:colOff>28575</xdr:colOff>
      <xdr:row>12</xdr:row>
      <xdr:rowOff>0</xdr:rowOff>
    </xdr:to>
    <xdr:sp macro="" textlink="">
      <xdr:nvSpPr>
        <xdr:cNvPr id="3" name="AutoShape 6"/>
        <xdr:cNvSpPr>
          <a:spLocks/>
        </xdr:cNvSpPr>
      </xdr:nvSpPr>
      <xdr:spPr bwMode="auto">
        <a:xfrm>
          <a:off x="7724775" y="2847975"/>
          <a:ext cx="3009900" cy="238125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266700</xdr:colOff>
      <xdr:row>17</xdr:row>
      <xdr:rowOff>9525</xdr:rowOff>
    </xdr:from>
    <xdr:to>
      <xdr:col>14</xdr:col>
      <xdr:colOff>28575</xdr:colOff>
      <xdr:row>18</xdr:row>
      <xdr:rowOff>0</xdr:rowOff>
    </xdr:to>
    <xdr:sp macro="" textlink="">
      <xdr:nvSpPr>
        <xdr:cNvPr id="4" name="AutoShape 7"/>
        <xdr:cNvSpPr>
          <a:spLocks/>
        </xdr:cNvSpPr>
      </xdr:nvSpPr>
      <xdr:spPr bwMode="auto">
        <a:xfrm>
          <a:off x="7724775" y="4333875"/>
          <a:ext cx="3009900" cy="238125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276225</xdr:colOff>
      <xdr:row>7</xdr:row>
      <xdr:rowOff>147640</xdr:rowOff>
    </xdr:from>
    <xdr:to>
      <xdr:col>14</xdr:col>
      <xdr:colOff>38100</xdr:colOff>
      <xdr:row>8</xdr:row>
      <xdr:rowOff>190501</xdr:rowOff>
    </xdr:to>
    <xdr:sp macro="" textlink="">
      <xdr:nvSpPr>
        <xdr:cNvPr id="5" name="AutoShape 9"/>
        <xdr:cNvSpPr>
          <a:spLocks/>
        </xdr:cNvSpPr>
      </xdr:nvSpPr>
      <xdr:spPr bwMode="auto">
        <a:xfrm>
          <a:off x="7734300" y="1995490"/>
          <a:ext cx="3009900" cy="290511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250026</xdr:colOff>
      <xdr:row>14</xdr:row>
      <xdr:rowOff>0</xdr:rowOff>
    </xdr:from>
    <xdr:to>
      <xdr:col>14</xdr:col>
      <xdr:colOff>11901</xdr:colOff>
      <xdr:row>14</xdr:row>
      <xdr:rowOff>221456</xdr:rowOff>
    </xdr:to>
    <xdr:sp macro="" textlink="">
      <xdr:nvSpPr>
        <xdr:cNvPr id="6" name="AutoShape 5"/>
        <xdr:cNvSpPr>
          <a:spLocks/>
        </xdr:cNvSpPr>
      </xdr:nvSpPr>
      <xdr:spPr bwMode="auto">
        <a:xfrm>
          <a:off x="7708101" y="3581400"/>
          <a:ext cx="3009900" cy="221456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261932</xdr:colOff>
      <xdr:row>8</xdr:row>
      <xdr:rowOff>226218</xdr:rowOff>
    </xdr:from>
    <xdr:to>
      <xdr:col>14</xdr:col>
      <xdr:colOff>23807</xdr:colOff>
      <xdr:row>10</xdr:row>
      <xdr:rowOff>190500</xdr:rowOff>
    </xdr:to>
    <xdr:sp macro="" textlink="">
      <xdr:nvSpPr>
        <xdr:cNvPr id="7" name="AutoShape 9"/>
        <xdr:cNvSpPr>
          <a:spLocks/>
        </xdr:cNvSpPr>
      </xdr:nvSpPr>
      <xdr:spPr bwMode="auto">
        <a:xfrm>
          <a:off x="7720007" y="2321718"/>
          <a:ext cx="3009900" cy="459582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113277</xdr:colOff>
      <xdr:row>0</xdr:row>
      <xdr:rowOff>0</xdr:rowOff>
    </xdr:from>
    <xdr:to>
      <xdr:col>8</xdr:col>
      <xdr:colOff>1008627</xdr:colOff>
      <xdr:row>1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6773664" y="0"/>
          <a:ext cx="1980469" cy="28998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부만 기재하세요</a:t>
          </a:r>
        </a:p>
      </xdr:txBody>
    </xdr:sp>
    <xdr:clientData fPrintsWithSheet="0"/>
  </xdr:twoCellAnchor>
  <xdr:twoCellAnchor>
    <xdr:from>
      <xdr:col>3</xdr:col>
      <xdr:colOff>901610</xdr:colOff>
      <xdr:row>0</xdr:row>
      <xdr:rowOff>0</xdr:rowOff>
    </xdr:from>
    <xdr:to>
      <xdr:col>7</xdr:col>
      <xdr:colOff>52058</xdr:colOff>
      <xdr:row>0</xdr:row>
      <xdr:rowOff>257175</xdr:rowOff>
    </xdr:to>
    <xdr:sp macro="[1]!값이있는행만출력하시오" textlink="">
      <xdr:nvSpPr>
        <xdr:cNvPr id="3" name="AutoShape 22"/>
        <xdr:cNvSpPr>
          <a:spLocks noChangeArrowheads="1"/>
        </xdr:cNvSpPr>
      </xdr:nvSpPr>
      <xdr:spPr bwMode="auto">
        <a:xfrm>
          <a:off x="4222449" y="0"/>
          <a:ext cx="2489996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103923</xdr:colOff>
      <xdr:row>0</xdr:row>
      <xdr:rowOff>0</xdr:rowOff>
    </xdr:from>
    <xdr:to>
      <xdr:col>8</xdr:col>
      <xdr:colOff>1008798</xdr:colOff>
      <xdr:row>1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669836" y="0"/>
          <a:ext cx="3655091" cy="28998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882902</xdr:colOff>
      <xdr:row>0</xdr:row>
      <xdr:rowOff>9696</xdr:rowOff>
    </xdr:from>
    <xdr:to>
      <xdr:col>5</xdr:col>
      <xdr:colOff>50062</xdr:colOff>
      <xdr:row>0</xdr:row>
      <xdr:rowOff>266871</xdr:rowOff>
    </xdr:to>
    <xdr:sp macro="[1]!값이있는행만출력하시오" textlink="">
      <xdr:nvSpPr>
        <xdr:cNvPr id="3" name="AutoShape 5"/>
        <xdr:cNvSpPr>
          <a:spLocks noChangeArrowheads="1"/>
        </xdr:cNvSpPr>
      </xdr:nvSpPr>
      <xdr:spPr bwMode="auto">
        <a:xfrm>
          <a:off x="4587275" y="9696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836129</xdr:colOff>
      <xdr:row>0</xdr:row>
      <xdr:rowOff>9354</xdr:rowOff>
    </xdr:from>
    <xdr:to>
      <xdr:col>5</xdr:col>
      <xdr:colOff>41389</xdr:colOff>
      <xdr:row>0</xdr:row>
      <xdr:rowOff>266529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4540502" y="9354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5</xdr:col>
      <xdr:colOff>97296</xdr:colOff>
      <xdr:row>0</xdr:row>
      <xdr:rowOff>0</xdr:rowOff>
    </xdr:from>
    <xdr:to>
      <xdr:col>9</xdr:col>
      <xdr:colOff>3435</xdr:colOff>
      <xdr:row>1</xdr:row>
      <xdr:rowOff>0</xdr:rowOff>
    </xdr:to>
    <xdr:sp macro="" textlink="">
      <xdr:nvSpPr>
        <xdr:cNvPr id="3" name="Rectangle 15"/>
        <xdr:cNvSpPr>
          <a:spLocks noChangeArrowheads="1"/>
        </xdr:cNvSpPr>
      </xdr:nvSpPr>
      <xdr:spPr bwMode="auto">
        <a:xfrm>
          <a:off x="5663209" y="0"/>
          <a:ext cx="3666638" cy="28998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836130</xdr:colOff>
      <xdr:row>0</xdr:row>
      <xdr:rowOff>18709</xdr:rowOff>
    </xdr:from>
    <xdr:to>
      <xdr:col>5</xdr:col>
      <xdr:colOff>60440</xdr:colOff>
      <xdr:row>0</xdr:row>
      <xdr:rowOff>275884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4540503" y="18709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5</xdr:col>
      <xdr:colOff>89477</xdr:colOff>
      <xdr:row>0</xdr:row>
      <xdr:rowOff>0</xdr:rowOff>
    </xdr:from>
    <xdr:to>
      <xdr:col>8</xdr:col>
      <xdr:colOff>1005899</xdr:colOff>
      <xdr:row>1</xdr:row>
      <xdr:rowOff>0</xdr:rowOff>
    </xdr:to>
    <xdr:sp macro="" textlink="">
      <xdr:nvSpPr>
        <xdr:cNvPr id="3" name="Rectangle 7"/>
        <xdr:cNvSpPr>
          <a:spLocks noChangeArrowheads="1"/>
        </xdr:cNvSpPr>
      </xdr:nvSpPr>
      <xdr:spPr bwMode="auto">
        <a:xfrm>
          <a:off x="5655390" y="0"/>
          <a:ext cx="3666638" cy="28998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901611</xdr:colOff>
      <xdr:row>0</xdr:row>
      <xdr:rowOff>28404</xdr:rowOff>
    </xdr:from>
    <xdr:to>
      <xdr:col>5</xdr:col>
      <xdr:colOff>40196</xdr:colOff>
      <xdr:row>0</xdr:row>
      <xdr:rowOff>285579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4605984" y="28404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5</xdr:col>
      <xdr:colOff>96785</xdr:colOff>
      <xdr:row>0</xdr:row>
      <xdr:rowOff>0</xdr:rowOff>
    </xdr:from>
    <xdr:to>
      <xdr:col>9</xdr:col>
      <xdr:colOff>2924</xdr:colOff>
      <xdr:row>1</xdr:row>
      <xdr:rowOff>0</xdr:rowOff>
    </xdr:to>
    <xdr:sp macro="" textlink="">
      <xdr:nvSpPr>
        <xdr:cNvPr id="3" name="Rectangle 7"/>
        <xdr:cNvSpPr>
          <a:spLocks noChangeArrowheads="1"/>
        </xdr:cNvSpPr>
      </xdr:nvSpPr>
      <xdr:spPr bwMode="auto">
        <a:xfrm>
          <a:off x="5662698" y="0"/>
          <a:ext cx="3666638" cy="28998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882902</xdr:colOff>
      <xdr:row>0</xdr:row>
      <xdr:rowOff>19050</xdr:rowOff>
    </xdr:from>
    <xdr:to>
      <xdr:col>5</xdr:col>
      <xdr:colOff>2437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458727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5</xdr:col>
      <xdr:colOff>95079</xdr:colOff>
      <xdr:row>0</xdr:row>
      <xdr:rowOff>0</xdr:rowOff>
    </xdr:from>
    <xdr:to>
      <xdr:col>9</xdr:col>
      <xdr:colOff>1218</xdr:colOff>
      <xdr:row>1</xdr:row>
      <xdr:rowOff>0</xdr:rowOff>
    </xdr:to>
    <xdr:sp macro="" textlink="">
      <xdr:nvSpPr>
        <xdr:cNvPr id="3" name="Rectangle 7"/>
        <xdr:cNvSpPr>
          <a:spLocks noChangeArrowheads="1"/>
        </xdr:cNvSpPr>
      </xdr:nvSpPr>
      <xdr:spPr bwMode="auto">
        <a:xfrm>
          <a:off x="5660992" y="0"/>
          <a:ext cx="3666638" cy="28998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854839</xdr:colOff>
      <xdr:row>0</xdr:row>
      <xdr:rowOff>19050</xdr:rowOff>
    </xdr:from>
    <xdr:to>
      <xdr:col>5</xdr:col>
      <xdr:colOff>41049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4559212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5</xdr:col>
      <xdr:colOff>89476</xdr:colOff>
      <xdr:row>0</xdr:row>
      <xdr:rowOff>0</xdr:rowOff>
    </xdr:from>
    <xdr:to>
      <xdr:col>8</xdr:col>
      <xdr:colOff>1005898</xdr:colOff>
      <xdr:row>1</xdr:row>
      <xdr:rowOff>0</xdr:rowOff>
    </xdr:to>
    <xdr:sp macro="" textlink="">
      <xdr:nvSpPr>
        <xdr:cNvPr id="3" name="Rectangle 7"/>
        <xdr:cNvSpPr>
          <a:spLocks noChangeArrowheads="1"/>
        </xdr:cNvSpPr>
      </xdr:nvSpPr>
      <xdr:spPr bwMode="auto">
        <a:xfrm>
          <a:off x="5655389" y="0"/>
          <a:ext cx="3666638" cy="28998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920320</xdr:colOff>
      <xdr:row>0</xdr:row>
      <xdr:rowOff>19050</xdr:rowOff>
    </xdr:from>
    <xdr:to>
      <xdr:col>5</xdr:col>
      <xdr:colOff>39855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4624693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5</xdr:col>
      <xdr:colOff>96614</xdr:colOff>
      <xdr:row>0</xdr:row>
      <xdr:rowOff>0</xdr:rowOff>
    </xdr:from>
    <xdr:to>
      <xdr:col>9</xdr:col>
      <xdr:colOff>2753</xdr:colOff>
      <xdr:row>1</xdr:row>
      <xdr:rowOff>0</xdr:rowOff>
    </xdr:to>
    <xdr:sp macro="" textlink="">
      <xdr:nvSpPr>
        <xdr:cNvPr id="3" name="Rectangle 7"/>
        <xdr:cNvSpPr>
          <a:spLocks noChangeArrowheads="1"/>
        </xdr:cNvSpPr>
      </xdr:nvSpPr>
      <xdr:spPr bwMode="auto">
        <a:xfrm>
          <a:off x="5662527" y="0"/>
          <a:ext cx="3666638" cy="28998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948383</xdr:colOff>
      <xdr:row>0</xdr:row>
      <xdr:rowOff>28404</xdr:rowOff>
    </xdr:from>
    <xdr:to>
      <xdr:col>5</xdr:col>
      <xdr:colOff>48868</xdr:colOff>
      <xdr:row>0</xdr:row>
      <xdr:rowOff>285579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4652756" y="28404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3" name="Rectangle 6"/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5</xdr:col>
      <xdr:colOff>93715</xdr:colOff>
      <xdr:row>0</xdr:row>
      <xdr:rowOff>0</xdr:rowOff>
    </xdr:from>
    <xdr:to>
      <xdr:col>8</xdr:col>
      <xdr:colOff>1010137</xdr:colOff>
      <xdr:row>1</xdr:row>
      <xdr:rowOff>0</xdr:rowOff>
    </xdr:to>
    <xdr:sp macro="" textlink="">
      <xdr:nvSpPr>
        <xdr:cNvPr id="4" name="Rectangle 7"/>
        <xdr:cNvSpPr>
          <a:spLocks noChangeArrowheads="1"/>
        </xdr:cNvSpPr>
      </xdr:nvSpPr>
      <xdr:spPr bwMode="auto">
        <a:xfrm>
          <a:off x="5659628" y="0"/>
          <a:ext cx="3666638" cy="28998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901611</xdr:colOff>
      <xdr:row>0</xdr:row>
      <xdr:rowOff>28404</xdr:rowOff>
    </xdr:from>
    <xdr:to>
      <xdr:col>5</xdr:col>
      <xdr:colOff>2096</xdr:colOff>
      <xdr:row>0</xdr:row>
      <xdr:rowOff>285579</xdr:rowOff>
    </xdr:to>
    <xdr:sp macro="[1]!값이있는행만출력하시오" textlink="">
      <xdr:nvSpPr>
        <xdr:cNvPr id="2" name="AutoShape 2"/>
        <xdr:cNvSpPr>
          <a:spLocks noChangeArrowheads="1"/>
        </xdr:cNvSpPr>
      </xdr:nvSpPr>
      <xdr:spPr bwMode="auto">
        <a:xfrm>
          <a:off x="4605984" y="28404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3" name="Rectangle 3"/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5</xdr:col>
      <xdr:colOff>33910</xdr:colOff>
      <xdr:row>0</xdr:row>
      <xdr:rowOff>0</xdr:rowOff>
    </xdr:from>
    <xdr:to>
      <xdr:col>8</xdr:col>
      <xdr:colOff>1009625</xdr:colOff>
      <xdr:row>1</xdr:row>
      <xdr:rowOff>0</xdr:rowOff>
    </xdr:to>
    <xdr:sp macro="" textlink="">
      <xdr:nvSpPr>
        <xdr:cNvPr id="4" name="Rectangle 4"/>
        <xdr:cNvSpPr>
          <a:spLocks noChangeArrowheads="1"/>
        </xdr:cNvSpPr>
      </xdr:nvSpPr>
      <xdr:spPr bwMode="auto">
        <a:xfrm>
          <a:off x="5599823" y="0"/>
          <a:ext cx="3725931" cy="28998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892257</xdr:colOff>
      <xdr:row>0</xdr:row>
      <xdr:rowOff>28404</xdr:rowOff>
    </xdr:from>
    <xdr:to>
      <xdr:col>4</xdr:col>
      <xdr:colOff>404339</xdr:colOff>
      <xdr:row>0</xdr:row>
      <xdr:rowOff>285579</xdr:rowOff>
    </xdr:to>
    <xdr:sp macro="[1]!값이있는행만출력하시오" textlink="">
      <xdr:nvSpPr>
        <xdr:cNvPr id="2" name="AutoShape 2"/>
        <xdr:cNvSpPr>
          <a:spLocks noChangeArrowheads="1"/>
        </xdr:cNvSpPr>
      </xdr:nvSpPr>
      <xdr:spPr bwMode="auto">
        <a:xfrm>
          <a:off x="4596630" y="28404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3" name="Rectangle 3"/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5</xdr:col>
      <xdr:colOff>33399</xdr:colOff>
      <xdr:row>0</xdr:row>
      <xdr:rowOff>0</xdr:rowOff>
    </xdr:from>
    <xdr:to>
      <xdr:col>8</xdr:col>
      <xdr:colOff>1009114</xdr:colOff>
      <xdr:row>1</xdr:row>
      <xdr:rowOff>0</xdr:rowOff>
    </xdr:to>
    <xdr:sp macro="" textlink="">
      <xdr:nvSpPr>
        <xdr:cNvPr id="4" name="Rectangle 4"/>
        <xdr:cNvSpPr>
          <a:spLocks noChangeArrowheads="1"/>
        </xdr:cNvSpPr>
      </xdr:nvSpPr>
      <xdr:spPr bwMode="auto">
        <a:xfrm>
          <a:off x="5599312" y="0"/>
          <a:ext cx="3725931" cy="28998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6\Users\JUN_KANGSU\AppData\Local\Microsoft\Windows\INetCache\IE\157PG6D2\3.%20&#50577;&#49885;\&#53685;&#54633;&#44204;&#51201;&#49436;(&#49328;&#50629;&#50504;&#51204;&#44288;&#47532;&#48708;%20&#51088;&#46041;&#44228;&#49328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원가항목별(집계)"/>
      <sheetName val="단위공사별(집계)"/>
      <sheetName val="전기"/>
      <sheetName val="단위장비1"/>
      <sheetName val="단위장비2"/>
      <sheetName val="단위장비3"/>
      <sheetName val="단위장비4"/>
      <sheetName val="단위장비5"/>
      <sheetName val="단위장비6"/>
      <sheetName val="단위장비7"/>
      <sheetName val="단위장비8"/>
      <sheetName val="단위장비9"/>
      <sheetName val="단위장비10"/>
      <sheetName val="첨부(견적조건차이내역)"/>
      <sheetName val="통합견적서(산업안전관리비 자동계산)"/>
    </sheetNames>
    <definedNames>
      <definedName name="값이있는행만출력하시오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6"/>
  <sheetViews>
    <sheetView showGridLines="0" tabSelected="1" zoomScale="80" zoomScaleNormal="80" workbookViewId="0">
      <selection activeCell="L23" sqref="L23"/>
    </sheetView>
  </sheetViews>
  <sheetFormatPr defaultColWidth="9" defaultRowHeight="13.5"/>
  <cols>
    <col min="1" max="1" width="2" style="1" customWidth="1"/>
    <col min="2" max="2" width="4.875" style="1" customWidth="1"/>
    <col min="3" max="3" width="8.5" style="1" customWidth="1"/>
    <col min="4" max="4" width="19.375" style="1" customWidth="1"/>
    <col min="5" max="5" width="12.625" style="1" bestFit="1" customWidth="1"/>
    <col min="6" max="6" width="11.125" style="1" customWidth="1"/>
    <col min="7" max="7" width="12.625" style="1" bestFit="1" customWidth="1"/>
    <col min="8" max="8" width="14" style="1" customWidth="1"/>
    <col min="9" max="9" width="8.5" style="1" customWidth="1"/>
    <col min="10" max="10" width="1.375" style="1" customWidth="1"/>
    <col min="11" max="11" width="11.125" style="321" customWidth="1"/>
    <col min="12" max="12" width="33.25" style="1" customWidth="1"/>
    <col min="13" max="16384" width="9" style="1"/>
  </cols>
  <sheetData>
    <row r="1" spans="2:11">
      <c r="B1" s="1" t="s">
        <v>0</v>
      </c>
    </row>
    <row r="2" spans="2:11" ht="38.25">
      <c r="B2" s="427" t="s">
        <v>1</v>
      </c>
      <c r="C2" s="427"/>
      <c r="D2" s="427"/>
      <c r="E2" s="427"/>
      <c r="F2" s="427"/>
      <c r="G2" s="427"/>
      <c r="H2" s="427"/>
      <c r="I2" s="427"/>
    </row>
    <row r="4" spans="2:11" s="3" customFormat="1" ht="24" customHeight="1">
      <c r="B4" s="428" t="s">
        <v>250</v>
      </c>
      <c r="C4" s="428"/>
      <c r="D4" s="428"/>
      <c r="E4" s="2"/>
      <c r="F4" s="2"/>
      <c r="G4" s="434" t="s">
        <v>253</v>
      </c>
      <c r="H4" s="435"/>
      <c r="I4" s="435"/>
      <c r="K4" s="322"/>
    </row>
    <row r="5" spans="2:11" s="3" customFormat="1" ht="21.75" customHeight="1">
      <c r="B5" s="429" t="s">
        <v>2</v>
      </c>
      <c r="C5" s="430"/>
      <c r="D5" s="296" t="s">
        <v>287</v>
      </c>
      <c r="E5" s="5"/>
      <c r="F5" s="2"/>
      <c r="G5" s="437" t="s">
        <v>254</v>
      </c>
      <c r="H5" s="438"/>
      <c r="I5" s="438"/>
      <c r="K5" s="322"/>
    </row>
    <row r="6" spans="2:11" s="3" customFormat="1" ht="21.75" customHeight="1">
      <c r="B6" s="429" t="s">
        <v>3</v>
      </c>
      <c r="C6" s="430"/>
      <c r="D6" s="315" t="s">
        <v>288</v>
      </c>
      <c r="E6" s="5"/>
      <c r="F6" s="2"/>
      <c r="G6" s="436" t="s">
        <v>255</v>
      </c>
      <c r="H6" s="433"/>
      <c r="I6" s="433"/>
      <c r="J6" s="1"/>
      <c r="K6" s="322"/>
    </row>
    <row r="7" spans="2:11" s="3" customFormat="1" ht="21.75" customHeight="1">
      <c r="B7" s="431" t="s">
        <v>4</v>
      </c>
      <c r="C7" s="6" t="s">
        <v>5</v>
      </c>
      <c r="D7" s="4"/>
      <c r="E7" s="5"/>
      <c r="F7" s="2"/>
      <c r="G7" s="439" t="s">
        <v>256</v>
      </c>
      <c r="H7" s="440"/>
      <c r="I7" s="440"/>
      <c r="J7" s="1"/>
      <c r="K7" s="322"/>
    </row>
    <row r="8" spans="2:11" s="3" customFormat="1" ht="21.75" customHeight="1">
      <c r="B8" s="431"/>
      <c r="C8" s="6" t="s">
        <v>6</v>
      </c>
      <c r="D8" s="7"/>
      <c r="E8" s="5"/>
      <c r="F8" s="2"/>
      <c r="G8" s="439" t="s">
        <v>257</v>
      </c>
      <c r="H8" s="440"/>
      <c r="I8" s="440"/>
      <c r="J8" s="1"/>
      <c r="K8" s="322"/>
    </row>
    <row r="9" spans="2:11" s="3" customFormat="1" ht="21.75" customHeight="1">
      <c r="B9" s="429" t="s">
        <v>7</v>
      </c>
      <c r="C9" s="430"/>
      <c r="D9" s="4" t="s">
        <v>246</v>
      </c>
      <c r="E9" s="5"/>
      <c r="F9" s="2"/>
      <c r="G9" s="436" t="s">
        <v>258</v>
      </c>
      <c r="H9" s="433"/>
      <c r="I9" s="433"/>
      <c r="J9" s="1"/>
      <c r="K9" s="322"/>
    </row>
    <row r="10" spans="2:11" s="3" customFormat="1" ht="21.75" customHeight="1">
      <c r="B10" s="429" t="s">
        <v>8</v>
      </c>
      <c r="C10" s="430"/>
      <c r="D10" s="4" t="s">
        <v>251</v>
      </c>
      <c r="E10" s="5"/>
      <c r="G10" s="432" t="s">
        <v>259</v>
      </c>
      <c r="H10" s="433"/>
      <c r="I10" s="433"/>
      <c r="K10" s="322"/>
    </row>
    <row r="11" spans="2:11" s="3" customFormat="1" ht="21.75" customHeight="1">
      <c r="B11" s="429" t="s">
        <v>9</v>
      </c>
      <c r="C11" s="430"/>
      <c r="D11" s="297" t="s">
        <v>252</v>
      </c>
      <c r="E11" s="5"/>
      <c r="G11" s="432" t="s">
        <v>260</v>
      </c>
      <c r="H11" s="433"/>
      <c r="I11" s="433"/>
      <c r="K11" s="322"/>
    </row>
    <row r="12" spans="2:11" s="9" customFormat="1" ht="10.5" customHeight="1">
      <c r="B12" s="8"/>
      <c r="I12" s="10"/>
      <c r="K12" s="323"/>
    </row>
    <row r="13" spans="2:11" s="9" customFormat="1" ht="23.85" customHeight="1">
      <c r="B13" s="376" t="s">
        <v>289</v>
      </c>
      <c r="C13" s="377"/>
      <c r="D13" s="377"/>
      <c r="E13" s="377"/>
      <c r="F13" s="377"/>
      <c r="G13" s="377"/>
      <c r="H13" s="377"/>
      <c r="I13" s="377"/>
      <c r="K13" s="323"/>
    </row>
    <row r="14" spans="2:11" s="11" customFormat="1" ht="23.85" customHeight="1">
      <c r="B14" s="376" t="str">
        <f>"견적금액 :  一金 "&amp;  NUMBERSTRING(H29,1)&amp; " 원整 ("&amp;DOLLAR(H29,0)&amp;")"</f>
        <v>견적금액 :  一金 일억삼천팔백칠십오만 원整 (₩138,750,000)</v>
      </c>
      <c r="C14" s="377"/>
      <c r="D14" s="377"/>
      <c r="E14" s="377"/>
      <c r="F14" s="377"/>
      <c r="G14" s="377"/>
      <c r="H14" s="377"/>
      <c r="I14" s="377"/>
      <c r="K14" s="324"/>
    </row>
    <row r="15" spans="2:11" s="3" customFormat="1" ht="8.25" customHeight="1">
      <c r="K15" s="322"/>
    </row>
    <row r="16" spans="2:11" s="12" customFormat="1" ht="24.95" customHeight="1">
      <c r="B16" s="408" t="s">
        <v>10</v>
      </c>
      <c r="C16" s="410" t="s">
        <v>11</v>
      </c>
      <c r="D16" s="411"/>
      <c r="E16" s="414" t="s">
        <v>12</v>
      </c>
      <c r="F16" s="415"/>
      <c r="G16" s="415"/>
      <c r="H16" s="415"/>
      <c r="I16" s="408" t="s">
        <v>13</v>
      </c>
      <c r="K16" s="325"/>
    </row>
    <row r="17" spans="1:13" s="12" customFormat="1" ht="29.25" customHeight="1" thickBot="1">
      <c r="B17" s="409"/>
      <c r="C17" s="412"/>
      <c r="D17" s="413"/>
      <c r="E17" s="13" t="s">
        <v>14</v>
      </c>
      <c r="F17" s="14" t="s">
        <v>15</v>
      </c>
      <c r="G17" s="14" t="s">
        <v>16</v>
      </c>
      <c r="H17" s="307" t="s">
        <v>17</v>
      </c>
      <c r="I17" s="409"/>
      <c r="K17" s="325"/>
    </row>
    <row r="18" spans="1:13" s="15" customFormat="1" ht="24.95" customHeight="1">
      <c r="B18" s="16">
        <v>1</v>
      </c>
      <c r="C18" s="418" t="str">
        <f>'단위공사별(집계)'!B7</f>
        <v>등속 가공라인</v>
      </c>
      <c r="D18" s="419"/>
      <c r="E18" s="17">
        <f>'단위공사별(집계)'!J7</f>
        <v>84600000</v>
      </c>
      <c r="F18" s="18">
        <f>'단위공사별(집계)'!M17</f>
        <v>0</v>
      </c>
      <c r="G18" s="19">
        <f>'단위공사별(집계)'!K7+'단위공사별(집계)'!L7</f>
        <v>9162071.8849840257</v>
      </c>
      <c r="H18" s="20">
        <f>E18+F18+G18</f>
        <v>93762071.884984031</v>
      </c>
      <c r="I18" s="298"/>
      <c r="K18" s="326"/>
      <c r="M18" s="21"/>
    </row>
    <row r="19" spans="1:13" s="15" customFormat="1" ht="24.95" customHeight="1">
      <c r="B19" s="22">
        <v>2</v>
      </c>
      <c r="C19" s="420" t="str">
        <f>'단위공사별(집계)'!B8</f>
        <v>등속 조립라인</v>
      </c>
      <c r="D19" s="421"/>
      <c r="E19" s="23">
        <f>'단위공사별(집계)'!J8</f>
        <v>40600000</v>
      </c>
      <c r="F19" s="24"/>
      <c r="G19" s="25">
        <f>'단위공사별(집계)'!K8+'단위공사별(집계)'!L8</f>
        <v>4396928.1150159743</v>
      </c>
      <c r="H19" s="26">
        <f t="shared" ref="H19:H27" si="0">E19+G19</f>
        <v>44996928.115015976</v>
      </c>
      <c r="I19" s="299"/>
      <c r="K19" s="327"/>
    </row>
    <row r="20" spans="1:13" s="15" customFormat="1" ht="24.95" customHeight="1">
      <c r="B20" s="22">
        <v>3</v>
      </c>
      <c r="C20" s="420">
        <f>'단위공사별(집계)'!B9</f>
        <v>0</v>
      </c>
      <c r="D20" s="421"/>
      <c r="E20" s="23">
        <f>'단위공사별(집계)'!J9</f>
        <v>0</v>
      </c>
      <c r="F20" s="28"/>
      <c r="G20" s="25">
        <f>'단위공사별(집계)'!K9+'단위공사별(집계)'!L9</f>
        <v>0</v>
      </c>
      <c r="H20" s="26">
        <f t="shared" si="0"/>
        <v>0</v>
      </c>
      <c r="I20" s="299"/>
      <c r="K20" s="327"/>
    </row>
    <row r="21" spans="1:13" s="15" customFormat="1" ht="24.95" customHeight="1">
      <c r="B21" s="22">
        <v>4</v>
      </c>
      <c r="C21" s="420">
        <f>'단위공사별(집계)'!B10</f>
        <v>0</v>
      </c>
      <c r="D21" s="421"/>
      <c r="E21" s="23">
        <f>'단위공사별(집계)'!J10</f>
        <v>0</v>
      </c>
      <c r="F21" s="28"/>
      <c r="G21" s="25">
        <f>'단위공사별(집계)'!K10+'단위공사별(집계)'!L10</f>
        <v>0</v>
      </c>
      <c r="H21" s="29">
        <f t="shared" si="0"/>
        <v>0</v>
      </c>
      <c r="I21" s="299"/>
      <c r="K21" s="327"/>
    </row>
    <row r="22" spans="1:13" s="15" customFormat="1" ht="24.95" customHeight="1">
      <c r="B22" s="22">
        <v>5</v>
      </c>
      <c r="C22" s="420">
        <f>'단위공사별(집계)'!B11</f>
        <v>0</v>
      </c>
      <c r="D22" s="421"/>
      <c r="E22" s="23">
        <f>'단위공사별(집계)'!J11</f>
        <v>0</v>
      </c>
      <c r="F22" s="28"/>
      <c r="G22" s="25">
        <f>'단위공사별(집계)'!K11+'단위공사별(집계)'!L11</f>
        <v>0</v>
      </c>
      <c r="H22" s="29">
        <f t="shared" si="0"/>
        <v>0</v>
      </c>
      <c r="I22" s="299"/>
      <c r="K22" s="327"/>
    </row>
    <row r="23" spans="1:13" s="15" customFormat="1" ht="24.95" customHeight="1">
      <c r="B23" s="22">
        <v>6</v>
      </c>
      <c r="C23" s="420">
        <f>'단위공사별(집계)'!B12</f>
        <v>0</v>
      </c>
      <c r="D23" s="421"/>
      <c r="E23" s="23">
        <f>'단위공사별(집계)'!J12</f>
        <v>0</v>
      </c>
      <c r="F23" s="28"/>
      <c r="G23" s="25">
        <f>'단위공사별(집계)'!K12+'단위공사별(집계)'!L12</f>
        <v>0</v>
      </c>
      <c r="H23" s="29">
        <f t="shared" si="0"/>
        <v>0</v>
      </c>
      <c r="I23" s="299"/>
      <c r="K23" s="327"/>
    </row>
    <row r="24" spans="1:13" s="15" customFormat="1" ht="24.95" customHeight="1">
      <c r="B24" s="22">
        <v>7</v>
      </c>
      <c r="C24" s="420">
        <f>'단위공사별(집계)'!B13</f>
        <v>0</v>
      </c>
      <c r="D24" s="421"/>
      <c r="E24" s="23">
        <f>'단위공사별(집계)'!J13</f>
        <v>0</v>
      </c>
      <c r="F24" s="28"/>
      <c r="G24" s="25">
        <f>'단위공사별(집계)'!K13+'단위공사별(집계)'!L13</f>
        <v>0</v>
      </c>
      <c r="H24" s="29">
        <f t="shared" si="0"/>
        <v>0</v>
      </c>
      <c r="I24" s="299"/>
      <c r="K24" s="327"/>
    </row>
    <row r="25" spans="1:13" s="15" customFormat="1" ht="24.95" customHeight="1">
      <c r="B25" s="30">
        <v>8</v>
      </c>
      <c r="C25" s="420">
        <f>'단위공사별(집계)'!B14</f>
        <v>0</v>
      </c>
      <c r="D25" s="421"/>
      <c r="E25" s="23">
        <f>'단위공사별(집계)'!J14</f>
        <v>0</v>
      </c>
      <c r="F25" s="28"/>
      <c r="G25" s="25">
        <f>'단위공사별(집계)'!K14+'단위공사별(집계)'!L14</f>
        <v>0</v>
      </c>
      <c r="H25" s="29">
        <f>E25+G25</f>
        <v>0</v>
      </c>
      <c r="I25" s="27"/>
      <c r="K25" s="327"/>
    </row>
    <row r="26" spans="1:13" s="15" customFormat="1" ht="24.95" customHeight="1">
      <c r="B26" s="30">
        <v>9</v>
      </c>
      <c r="C26" s="420">
        <f>'단위공사별(집계)'!B15</f>
        <v>0</v>
      </c>
      <c r="D26" s="421"/>
      <c r="E26" s="23">
        <f>'단위공사별(집계)'!J15</f>
        <v>0</v>
      </c>
      <c r="F26" s="28"/>
      <c r="G26" s="25">
        <f>'단위공사별(집계)'!K15+'단위공사별(집계)'!L15</f>
        <v>0</v>
      </c>
      <c r="H26" s="29">
        <f t="shared" si="0"/>
        <v>0</v>
      </c>
      <c r="I26" s="27"/>
      <c r="K26" s="327"/>
    </row>
    <row r="27" spans="1:13" s="15" customFormat="1" ht="24.95" customHeight="1">
      <c r="B27" s="31">
        <v>10</v>
      </c>
      <c r="C27" s="422">
        <f>'단위공사별(집계)'!B16</f>
        <v>0</v>
      </c>
      <c r="D27" s="423"/>
      <c r="E27" s="32">
        <f>'단위공사별(집계)'!J16</f>
        <v>0</v>
      </c>
      <c r="F27" s="33"/>
      <c r="G27" s="34">
        <f>'단위공사별(집계)'!K16+'단위공사별(집계)'!L16</f>
        <v>0</v>
      </c>
      <c r="H27" s="35">
        <f t="shared" si="0"/>
        <v>0</v>
      </c>
      <c r="I27" s="36"/>
      <c r="K27" s="327"/>
    </row>
    <row r="28" spans="1:13" ht="24.95" customHeight="1">
      <c r="B28" s="424" t="s">
        <v>18</v>
      </c>
      <c r="C28" s="425"/>
      <c r="D28" s="426"/>
      <c r="E28" s="37">
        <f>SUM(E18:E27)</f>
        <v>125200000</v>
      </c>
      <c r="F28" s="38">
        <f>F18</f>
        <v>0</v>
      </c>
      <c r="G28" s="38">
        <f>SUM(G18:G27)</f>
        <v>13559000</v>
      </c>
      <c r="H28" s="39">
        <f>E28+F28+G28</f>
        <v>138759000</v>
      </c>
      <c r="I28" s="40"/>
      <c r="J28" s="41"/>
    </row>
    <row r="29" spans="1:13" ht="4.5" customHeight="1">
      <c r="A29" s="42"/>
      <c r="B29" s="43"/>
      <c r="C29" s="44"/>
      <c r="D29" s="44"/>
      <c r="E29" s="45"/>
      <c r="F29" s="45"/>
      <c r="G29" s="45"/>
      <c r="H29" s="314">
        <f>ROUNDDOWN(H28,-4)</f>
        <v>138750000</v>
      </c>
      <c r="I29" s="42"/>
    </row>
    <row r="30" spans="1:13" ht="24" customHeight="1">
      <c r="A30" s="42"/>
      <c r="B30" s="44"/>
      <c r="C30" s="44"/>
      <c r="D30" s="44"/>
      <c r="E30" s="45"/>
      <c r="F30" s="416" t="s">
        <v>19</v>
      </c>
      <c r="G30" s="417"/>
      <c r="H30" s="46"/>
      <c r="I30" s="42"/>
    </row>
    <row r="31" spans="1:13" ht="15" customHeight="1">
      <c r="A31" s="42"/>
      <c r="B31" s="44"/>
      <c r="C31" s="44"/>
      <c r="D31" s="44"/>
      <c r="E31" s="45"/>
      <c r="F31" s="45"/>
      <c r="G31" s="45"/>
      <c r="H31" s="45"/>
      <c r="I31" s="42"/>
    </row>
    <row r="32" spans="1:13" ht="22.5" customHeight="1">
      <c r="B32" s="381" t="s">
        <v>20</v>
      </c>
      <c r="C32" s="384" t="s">
        <v>247</v>
      </c>
      <c r="D32" s="385"/>
      <c r="E32" s="386"/>
      <c r="F32" s="387" t="s">
        <v>21</v>
      </c>
      <c r="G32" s="388"/>
      <c r="H32" s="388"/>
      <c r="I32" s="389"/>
    </row>
    <row r="33" spans="2:9" ht="22.5" customHeight="1">
      <c r="B33" s="382"/>
      <c r="C33" s="390" t="s">
        <v>248</v>
      </c>
      <c r="D33" s="391"/>
      <c r="E33" s="392"/>
      <c r="F33" s="47" t="s">
        <v>22</v>
      </c>
      <c r="G33" s="393"/>
      <c r="H33" s="394"/>
      <c r="I33" s="395"/>
    </row>
    <row r="34" spans="2:9" ht="22.5" customHeight="1">
      <c r="B34" s="382"/>
      <c r="C34" s="396">
        <f>'원가항목별(집계)'!I39</f>
        <v>1039000</v>
      </c>
      <c r="D34" s="397"/>
      <c r="E34" s="398"/>
      <c r="F34" s="48" t="s">
        <v>23</v>
      </c>
      <c r="G34" s="399"/>
      <c r="H34" s="400"/>
      <c r="I34" s="401"/>
    </row>
    <row r="35" spans="2:9" ht="22.5" customHeight="1">
      <c r="B35" s="382"/>
      <c r="C35" s="402" t="s">
        <v>249</v>
      </c>
      <c r="D35" s="403"/>
      <c r="E35" s="404"/>
      <c r="F35" s="48" t="s">
        <v>24</v>
      </c>
      <c r="G35" s="399"/>
      <c r="H35" s="400"/>
      <c r="I35" s="401"/>
    </row>
    <row r="36" spans="2:9" ht="22.5" customHeight="1">
      <c r="B36" s="383"/>
      <c r="C36" s="405"/>
      <c r="D36" s="406"/>
      <c r="E36" s="407"/>
      <c r="F36" s="49" t="s">
        <v>25</v>
      </c>
      <c r="G36" s="378"/>
      <c r="H36" s="379"/>
      <c r="I36" s="380"/>
    </row>
  </sheetData>
  <mergeCells count="45">
    <mergeCell ref="G10:I10"/>
    <mergeCell ref="G11:I11"/>
    <mergeCell ref="B10:C10"/>
    <mergeCell ref="B9:C9"/>
    <mergeCell ref="G4:I4"/>
    <mergeCell ref="G6:I6"/>
    <mergeCell ref="G5:I5"/>
    <mergeCell ref="G7:I7"/>
    <mergeCell ref="G8:I8"/>
    <mergeCell ref="G9:I9"/>
    <mergeCell ref="B11:C11"/>
    <mergeCell ref="B2:I2"/>
    <mergeCell ref="B4:D4"/>
    <mergeCell ref="B5:C5"/>
    <mergeCell ref="B6:C6"/>
    <mergeCell ref="B7:B8"/>
    <mergeCell ref="E16:H16"/>
    <mergeCell ref="F30:G30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B28:D28"/>
    <mergeCell ref="B14:I14"/>
    <mergeCell ref="B13:I13"/>
    <mergeCell ref="G36:I36"/>
    <mergeCell ref="B32:B36"/>
    <mergeCell ref="C32:E32"/>
    <mergeCell ref="F32:I32"/>
    <mergeCell ref="C33:E33"/>
    <mergeCell ref="G33:I33"/>
    <mergeCell ref="C34:E34"/>
    <mergeCell ref="G34:I34"/>
    <mergeCell ref="C35:E35"/>
    <mergeCell ref="G35:I35"/>
    <mergeCell ref="C36:E36"/>
    <mergeCell ref="I16:I17"/>
    <mergeCell ref="B16:B17"/>
    <mergeCell ref="C16:D17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49"/>
  <sheetViews>
    <sheetView showGridLines="0" zoomScale="80" workbookViewId="0">
      <pane ySplit="6" topLeftCell="A19" activePane="bottomLeft" state="frozen"/>
      <selection activeCell="F18" sqref="F18"/>
      <selection pane="bottomLeft" activeCell="B2" sqref="B2"/>
    </sheetView>
  </sheetViews>
  <sheetFormatPr defaultColWidth="9" defaultRowHeight="19.7" customHeight="1"/>
  <cols>
    <col min="1" max="1" width="0.5" style="59" customWidth="1"/>
    <col min="2" max="2" width="5.25" style="59" bestFit="1" customWidth="1"/>
    <col min="3" max="3" width="7.375" style="59" customWidth="1"/>
    <col min="4" max="4" width="8.875" style="59" customWidth="1"/>
    <col min="5" max="5" width="17.75" style="59" customWidth="1"/>
    <col min="6" max="6" width="6.375" style="61" customWidth="1"/>
    <col min="7" max="7" width="8.875" style="62" customWidth="1"/>
    <col min="8" max="8" width="9.75" style="63" customWidth="1"/>
    <col min="9" max="9" width="17.5" style="63" bestFit="1" customWidth="1"/>
    <col min="10" max="10" width="15.625" style="59" customWidth="1"/>
    <col min="11" max="11" width="13.75" style="64" bestFit="1" customWidth="1"/>
    <col min="12" max="12" width="10.875" style="59" bestFit="1" customWidth="1"/>
    <col min="13" max="16384" width="9" style="59"/>
  </cols>
  <sheetData>
    <row r="2" spans="2:11" s="57" customFormat="1" ht="26.25" customHeight="1">
      <c r="B2" s="50"/>
      <c r="C2" s="51" t="s">
        <v>26</v>
      </c>
      <c r="D2" s="52"/>
      <c r="E2" s="52"/>
      <c r="F2" s="53"/>
      <c r="G2" s="54"/>
      <c r="H2" s="55"/>
      <c r="I2" s="55"/>
      <c r="J2" s="52"/>
      <c r="K2" s="56"/>
    </row>
    <row r="3" spans="2:11" s="57" customFormat="1" ht="19.7" customHeight="1">
      <c r="B3" s="50"/>
      <c r="C3" s="51"/>
      <c r="D3" s="52"/>
      <c r="E3" s="52"/>
      <c r="F3" s="53"/>
      <c r="G3" s="54"/>
      <c r="H3" s="55"/>
      <c r="I3" s="55"/>
      <c r="J3" s="52"/>
      <c r="K3" s="56"/>
    </row>
    <row r="4" spans="2:11" ht="30" customHeight="1">
      <c r="B4" s="58" t="s">
        <v>27</v>
      </c>
      <c r="D4" s="60"/>
      <c r="J4" s="61"/>
    </row>
    <row r="5" spans="2:11" s="61" customFormat="1" ht="8.25" customHeight="1">
      <c r="B5" s="65"/>
      <c r="C5" s="494"/>
      <c r="D5" s="495"/>
      <c r="E5" s="496"/>
      <c r="F5" s="66"/>
      <c r="G5" s="67"/>
      <c r="H5" s="67"/>
      <c r="I5" s="67"/>
      <c r="J5" s="68"/>
      <c r="K5" s="69"/>
    </row>
    <row r="6" spans="2:11" s="61" customFormat="1" ht="22.5" customHeight="1" thickBot="1">
      <c r="B6" s="70" t="s">
        <v>28</v>
      </c>
      <c r="C6" s="497" t="s">
        <v>29</v>
      </c>
      <c r="D6" s="498"/>
      <c r="E6" s="499"/>
      <c r="F6" s="71" t="s">
        <v>30</v>
      </c>
      <c r="G6" s="72" t="s">
        <v>31</v>
      </c>
      <c r="H6" s="72" t="s">
        <v>32</v>
      </c>
      <c r="I6" s="72" t="s">
        <v>33</v>
      </c>
      <c r="J6" s="73" t="s">
        <v>34</v>
      </c>
      <c r="K6" s="69"/>
    </row>
    <row r="7" spans="2:11" ht="19.7" customHeight="1" thickTop="1">
      <c r="B7" s="484">
        <v>1</v>
      </c>
      <c r="C7" s="500" t="s">
        <v>35</v>
      </c>
      <c r="D7" s="489" t="s">
        <v>36</v>
      </c>
      <c r="E7" s="74" t="s">
        <v>37</v>
      </c>
      <c r="F7" s="75" t="s">
        <v>38</v>
      </c>
      <c r="G7" s="76">
        <f>단위장비1!F30+단위장비2!F30+단위장비3!F30+단위장비4!F30+단위장비5!F30+단위장비6!F30+단위장비7!F30+단위장비8!F30+단위장비9!F30+단위장비10!F30</f>
        <v>0</v>
      </c>
      <c r="H7" s="77"/>
      <c r="I7" s="77">
        <f>단위장비1!H24+단위장비2!H24+단위장비3!H24+단위장비4!H24+단위장비5!H24+단위장비6!H24+단위장비7!H24+단위장비8!H24+단위장비9!H24+단위장비10!H24</f>
        <v>26400000</v>
      </c>
      <c r="J7" s="78" t="s">
        <v>39</v>
      </c>
    </row>
    <row r="8" spans="2:11" ht="19.7" customHeight="1">
      <c r="B8" s="484"/>
      <c r="C8" s="489"/>
      <c r="D8" s="489"/>
      <c r="E8" s="79" t="s">
        <v>40</v>
      </c>
      <c r="F8" s="80" t="s">
        <v>41</v>
      </c>
      <c r="G8" s="81">
        <v>1</v>
      </c>
      <c r="H8" s="82"/>
      <c r="I8" s="82">
        <f>단위장비1!H47+단위장비2!H47+단위장비3!H47+단위장비4!H47+단위장비5!H47+단위장비6!H47+단위장비7!H47+단위장비8!H47+단위장비9!H47+단위장비10!H47</f>
        <v>21000000</v>
      </c>
      <c r="J8" s="83" t="s">
        <v>42</v>
      </c>
    </row>
    <row r="9" spans="2:11" ht="19.7" customHeight="1">
      <c r="B9" s="484"/>
      <c r="C9" s="489"/>
      <c r="D9" s="489"/>
      <c r="E9" s="79" t="s">
        <v>43</v>
      </c>
      <c r="F9" s="80" t="s">
        <v>41</v>
      </c>
      <c r="G9" s="84">
        <v>1</v>
      </c>
      <c r="H9" s="82"/>
      <c r="I9" s="82">
        <f>단위장비1!H55+단위장비2!H55+단위장비3!H55+단위장비4!H55+단위장비5!H55+단위장비6!H55+단위장비7!H55+단위장비8!H55+단위장비9!H55+단위장비10!H55</f>
        <v>18000000</v>
      </c>
      <c r="J9" s="83" t="s">
        <v>44</v>
      </c>
    </row>
    <row r="10" spans="2:11" ht="19.7" customHeight="1">
      <c r="B10" s="484"/>
      <c r="C10" s="489"/>
      <c r="D10" s="489"/>
      <c r="E10" s="85" t="s">
        <v>45</v>
      </c>
      <c r="F10" s="86" t="s">
        <v>41</v>
      </c>
      <c r="G10" s="87">
        <v>1</v>
      </c>
      <c r="H10" s="88"/>
      <c r="I10" s="88">
        <f>단위장비1!H30+단위장비2!H30+단위장비3!H30+단위장비4!H30+단위장비5!H30+단위장비6!H30+단위장비7!H30+단위장비8!H30+단위장비9!H30+단위장비10!H30</f>
        <v>0</v>
      </c>
      <c r="J10" s="89" t="s">
        <v>46</v>
      </c>
    </row>
    <row r="11" spans="2:11" ht="19.7" customHeight="1">
      <c r="B11" s="484"/>
      <c r="C11" s="489"/>
      <c r="D11" s="459"/>
      <c r="E11" s="90" t="s">
        <v>47</v>
      </c>
      <c r="F11" s="465"/>
      <c r="G11" s="466"/>
      <c r="H11" s="467"/>
      <c r="I11" s="91">
        <f>SUM(I7:I10)</f>
        <v>65400000</v>
      </c>
      <c r="J11" s="83"/>
    </row>
    <row r="12" spans="2:11" ht="19.7" customHeight="1">
      <c r="B12" s="484"/>
      <c r="C12" s="489"/>
      <c r="D12" s="493" t="s">
        <v>48</v>
      </c>
      <c r="E12" s="92" t="s">
        <v>49</v>
      </c>
      <c r="F12" s="86" t="s">
        <v>50</v>
      </c>
      <c r="G12" s="88">
        <f>단위장비1!F57+단위장비2!F57+단위장비3!F57+단위장비4!F57+단위장비5!F57+단위장비6!F57+단위장비7!F57+단위장비8!F57+단위장비9!F57+단위장비10!F57</f>
        <v>0</v>
      </c>
      <c r="H12" s="88">
        <f>IF(단위장비1!G57&gt;0,단위장비1!G57,"")</f>
        <v>200000</v>
      </c>
      <c r="I12" s="88">
        <f>단위장비1!H57+단위장비2!H57+단위장비3!H57+단위장비4!H57+단위장비5!H57+단위장비6!H57+단위장비7!H57+단위장비8!H57+단위장비9!H57+단위장비10!H57</f>
        <v>0</v>
      </c>
      <c r="J12" s="83" t="s">
        <v>51</v>
      </c>
    </row>
    <row r="13" spans="2:11" ht="19.7" customHeight="1">
      <c r="B13" s="484"/>
      <c r="C13" s="489"/>
      <c r="D13" s="489"/>
      <c r="E13" s="79" t="s">
        <v>52</v>
      </c>
      <c r="F13" s="80" t="s">
        <v>50</v>
      </c>
      <c r="G13" s="82">
        <f>단위장비1!F58+단위장비2!F58+단위장비3!F58+단위장비4!F58+단위장비5!F58+단위장비6!F58+단위장비7!F58+단위장비8!F58+단위장비9!F58+단위장비10!F58</f>
        <v>39</v>
      </c>
      <c r="H13" s="82">
        <f>IF(단위장비1!G58&gt;0,단위장비1!G58,"")</f>
        <v>200000</v>
      </c>
      <c r="I13" s="82">
        <f>단위장비1!H58+단위장비2!H58+단위장비3!H58+단위장비4!H58+단위장비5!H58+단위장비6!H58+단위장비7!H58+단위장비8!H58+단위장비9!H58+단위장비10!H58</f>
        <v>7800000</v>
      </c>
      <c r="J13" s="83"/>
    </row>
    <row r="14" spans="2:11" ht="19.7" customHeight="1">
      <c r="B14" s="484"/>
      <c r="C14" s="489"/>
      <c r="D14" s="489"/>
      <c r="E14" s="79" t="s">
        <v>53</v>
      </c>
      <c r="F14" s="80" t="s">
        <v>50</v>
      </c>
      <c r="G14" s="82">
        <f>단위장비1!F59+단위장비2!F59+단위장비3!F59+단위장비4!F59+단위장비5!F59+단위장비6!F59+단위장비7!F59+단위장비8!F59+단위장비9!F59+단위장비10!F59</f>
        <v>60</v>
      </c>
      <c r="H14" s="82">
        <f>IF(단위장비1!G59&gt;0,단위장비1!G59,"")</f>
        <v>200000</v>
      </c>
      <c r="I14" s="82">
        <f>단위장비1!H59+단위장비2!H59+단위장비3!H59+단위장비4!H59+단위장비5!H59+단위장비6!H59+단위장비7!H59+단위장비8!H59+단위장비9!H59+단위장비10!H59</f>
        <v>12000000</v>
      </c>
      <c r="J14" s="83"/>
    </row>
    <row r="15" spans="2:11" ht="19.7" customHeight="1">
      <c r="B15" s="484"/>
      <c r="C15" s="489"/>
      <c r="D15" s="489"/>
      <c r="E15" s="79" t="s">
        <v>54</v>
      </c>
      <c r="F15" s="80" t="s">
        <v>50</v>
      </c>
      <c r="G15" s="82">
        <f>단위장비1!F60+단위장비2!F60+단위장비3!F60+단위장비4!F60+단위장비5!F60+단위장비6!F60+단위장비7!F60+단위장비8!F60+단위장비9!F60+단위장비10!F60</f>
        <v>60</v>
      </c>
      <c r="H15" s="82">
        <f>IF(단위장비1!G60&gt;0,단위장비1!G60,"")</f>
        <v>200000</v>
      </c>
      <c r="I15" s="82">
        <f>단위장비1!H60+단위장비2!H60+단위장비3!H60+단위장비4!H60+단위장비5!H60+단위장비6!H60+단위장비7!H60+단위장비8!H60+단위장비9!H60+단위장비10!H60</f>
        <v>12000000</v>
      </c>
      <c r="J15" s="83" t="s">
        <v>55</v>
      </c>
    </row>
    <row r="16" spans="2:11" ht="19.7" customHeight="1">
      <c r="B16" s="484"/>
      <c r="C16" s="489"/>
      <c r="D16" s="489"/>
      <c r="E16" s="92" t="s">
        <v>56</v>
      </c>
      <c r="F16" s="86" t="s">
        <v>50</v>
      </c>
      <c r="G16" s="88">
        <f>단위장비1!F61+단위장비2!F61+단위장비3!F61+단위장비4!F61+단위장비5!F61+단위장비6!F61+단위장비7!F61+단위장비8!F61+단위장비9!F61+단위장비10!F61</f>
        <v>140</v>
      </c>
      <c r="H16" s="88">
        <f>IF(단위장비1!G61&gt;0,단위장비1!G61,"")</f>
        <v>200000</v>
      </c>
      <c r="I16" s="88">
        <f>단위장비1!H61+단위장비2!H61+단위장비3!H61+단위장비4!H61+단위장비5!H61+단위장비6!H61+단위장비7!H61+단위장비8!H61+단위장비9!H61+단위장비10!H61</f>
        <v>28000000</v>
      </c>
      <c r="J16" s="83"/>
    </row>
    <row r="17" spans="2:10" ht="19.7" customHeight="1">
      <c r="B17" s="484"/>
      <c r="C17" s="489"/>
      <c r="D17" s="489"/>
      <c r="E17" s="92" t="s">
        <v>57</v>
      </c>
      <c r="F17" s="86" t="s">
        <v>50</v>
      </c>
      <c r="G17" s="88">
        <f>단위장비1!F62+단위장비2!F62+단위장비3!F62+단위장비4!F62+단위장비5!F62+단위장비6!F62+단위장비7!F62+단위장비8!F62+단위장비9!F62+단위장비10!F62</f>
        <v>0</v>
      </c>
      <c r="H17" s="88">
        <f>IF(단위장비1!G62&gt;0,단위장비1!G62,"")</f>
        <v>200000</v>
      </c>
      <c r="I17" s="88">
        <f>단위장비1!H62+단위장비2!H62+단위장비3!H62+단위장비4!H62+단위장비5!H62+단위장비6!H62+단위장비7!H62+단위장비8!H62+단위장비9!H62+단위장비10!H62</f>
        <v>0</v>
      </c>
      <c r="J17" s="83"/>
    </row>
    <row r="18" spans="2:10" ht="19.7" customHeight="1">
      <c r="B18" s="484"/>
      <c r="C18" s="489"/>
      <c r="D18" s="489"/>
      <c r="E18" s="79" t="s">
        <v>58</v>
      </c>
      <c r="F18" s="80" t="s">
        <v>50</v>
      </c>
      <c r="G18" s="82">
        <f>단위장비1!F63+단위장비2!F63+단위장비3!F63+단위장비4!F63+단위장비5!F63+단위장비6!F63+단위장비7!F63+단위장비8!F63+단위장비9!F63+단위장비10!F63</f>
        <v>0</v>
      </c>
      <c r="H18" s="82">
        <f>IF(단위장비1!G63&gt;0,단위장비1!G63,"")</f>
        <v>200000</v>
      </c>
      <c r="I18" s="82">
        <f>단위장비1!H63+단위장비2!H63+단위장비3!H63+단위장비4!H63+단위장비5!H63+단위장비6!H63+단위장비7!H63+단위장비8!H63+단위장비9!H63+단위장비10!H63</f>
        <v>0</v>
      </c>
      <c r="J18" s="83"/>
    </row>
    <row r="19" spans="2:10" ht="19.7" customHeight="1">
      <c r="B19" s="484"/>
      <c r="C19" s="489"/>
      <c r="D19" s="489"/>
      <c r="E19" s="79" t="s">
        <v>59</v>
      </c>
      <c r="F19" s="80" t="s">
        <v>50</v>
      </c>
      <c r="G19" s="82">
        <f>단위장비1!F64+단위장비2!F64+단위장비3!F64+단위장비4!F64+단위장비5!F64+단위장비6!F64+단위장비7!F64+단위장비8!F64+단위장비9!F64+단위장비10!F64</f>
        <v>0</v>
      </c>
      <c r="H19" s="82">
        <f>IF(단위장비1!G64&gt;0,단위장비1!G64,"")</f>
        <v>200000</v>
      </c>
      <c r="I19" s="82">
        <f>단위장비1!H64+단위장비2!H64+단위장비3!H64+단위장비4!H64+단위장비5!H64+단위장비6!H64+단위장비7!H64+단위장비8!H64+단위장비9!H64+단위장비10!H64</f>
        <v>0</v>
      </c>
      <c r="J19" s="83"/>
    </row>
    <row r="20" spans="2:10" ht="19.7" customHeight="1">
      <c r="B20" s="484"/>
      <c r="C20" s="489"/>
      <c r="D20" s="459"/>
      <c r="E20" s="90" t="s">
        <v>47</v>
      </c>
      <c r="F20" s="465"/>
      <c r="G20" s="466"/>
      <c r="H20" s="467"/>
      <c r="I20" s="91">
        <f>SUM(I12:I19)</f>
        <v>59800000</v>
      </c>
      <c r="J20" s="83"/>
    </row>
    <row r="21" spans="2:10" ht="19.7" customHeight="1">
      <c r="B21" s="484"/>
      <c r="C21" s="489"/>
      <c r="D21" s="93" t="s">
        <v>60</v>
      </c>
      <c r="E21" s="94"/>
      <c r="F21" s="465"/>
      <c r="G21" s="466"/>
      <c r="H21" s="467"/>
      <c r="I21" s="95">
        <f>단위장비1!H67+단위장비1!H68+단위장비2!H67+단위장비2!H68+단위장비3!H67+단위장비3!H68+단위장비4!H67+단위장비4!H68+단위장비5!H67+단위장비5!H68+단위장비6!H67+단위장비6!H68+단위장비7!H67+단위장비7!H68+단위장비8!H67+단위장비8!H68+단위장비9!H67+단위장비9!H68+단위장비10!H67+단위장비10!H68</f>
        <v>12520000</v>
      </c>
      <c r="J21" s="96"/>
    </row>
    <row r="22" spans="2:10" ht="19.7" customHeight="1">
      <c r="B22" s="485"/>
      <c r="C22" s="490"/>
      <c r="D22" s="97"/>
      <c r="E22" s="98" t="s">
        <v>61</v>
      </c>
      <c r="F22" s="441"/>
      <c r="G22" s="442"/>
      <c r="H22" s="443"/>
      <c r="I22" s="99">
        <f>I20+I11+I21</f>
        <v>137720000</v>
      </c>
      <c r="J22" s="100"/>
    </row>
    <row r="23" spans="2:10" ht="19.7" customHeight="1">
      <c r="B23" s="483">
        <v>2</v>
      </c>
      <c r="C23" s="486" t="s">
        <v>62</v>
      </c>
      <c r="D23" s="491" t="s">
        <v>36</v>
      </c>
      <c r="E23" s="101" t="s">
        <v>63</v>
      </c>
      <c r="F23" s="102" t="s">
        <v>41</v>
      </c>
      <c r="G23" s="103">
        <v>1</v>
      </c>
      <c r="H23" s="103"/>
      <c r="I23" s="103">
        <f>전기!H55-I24</f>
        <v>0</v>
      </c>
      <c r="J23" s="104"/>
    </row>
    <row r="24" spans="2:10" ht="19.7" customHeight="1">
      <c r="B24" s="484"/>
      <c r="C24" s="487"/>
      <c r="D24" s="492"/>
      <c r="E24" s="85" t="s">
        <v>45</v>
      </c>
      <c r="F24" s="105" t="s">
        <v>41</v>
      </c>
      <c r="G24" s="106">
        <v>1</v>
      </c>
      <c r="H24" s="106"/>
      <c r="I24" s="106">
        <f>전기!H16</f>
        <v>0</v>
      </c>
      <c r="J24" s="89" t="s">
        <v>46</v>
      </c>
    </row>
    <row r="25" spans="2:10" ht="19.7" customHeight="1">
      <c r="B25" s="484"/>
      <c r="C25" s="488"/>
      <c r="D25" s="493" t="s">
        <v>48</v>
      </c>
      <c r="E25" s="92" t="s">
        <v>64</v>
      </c>
      <c r="F25" s="86" t="s">
        <v>50</v>
      </c>
      <c r="G25" s="88">
        <f>전기!F56</f>
        <v>0</v>
      </c>
      <c r="H25" s="88">
        <f>IF(전기!G56&gt;0,전기!G56,"")</f>
        <v>250000</v>
      </c>
      <c r="I25" s="88">
        <f>전기!H56</f>
        <v>0</v>
      </c>
      <c r="J25" s="83"/>
    </row>
    <row r="26" spans="2:10" ht="19.7" customHeight="1">
      <c r="B26" s="484"/>
      <c r="C26" s="488"/>
      <c r="D26" s="489"/>
      <c r="E26" s="79" t="s">
        <v>65</v>
      </c>
      <c r="F26" s="80" t="s">
        <v>50</v>
      </c>
      <c r="G26" s="82">
        <f>전기!F57</f>
        <v>0</v>
      </c>
      <c r="H26" s="82">
        <f>IF(전기!G57&gt;0,전기!G57,"")</f>
        <v>250000</v>
      </c>
      <c r="I26" s="82">
        <f>전기!H57</f>
        <v>0</v>
      </c>
      <c r="J26" s="83"/>
    </row>
    <row r="27" spans="2:10" ht="19.7" customHeight="1">
      <c r="B27" s="484"/>
      <c r="C27" s="488"/>
      <c r="D27" s="489"/>
      <c r="E27" s="79" t="s">
        <v>66</v>
      </c>
      <c r="F27" s="80" t="s">
        <v>50</v>
      </c>
      <c r="G27" s="82">
        <f>전기!F58</f>
        <v>0</v>
      </c>
      <c r="H27" s="82">
        <f>IF(전기!G58&gt;0,전기!G58,"")</f>
        <v>250000</v>
      </c>
      <c r="I27" s="82">
        <f>전기!H58</f>
        <v>0</v>
      </c>
      <c r="J27" s="83"/>
    </row>
    <row r="28" spans="2:10" ht="19.7" customHeight="1">
      <c r="B28" s="484"/>
      <c r="C28" s="488"/>
      <c r="D28" s="489"/>
      <c r="E28" s="79" t="s">
        <v>54</v>
      </c>
      <c r="F28" s="80" t="s">
        <v>50</v>
      </c>
      <c r="G28" s="82">
        <f>전기!F59</f>
        <v>0</v>
      </c>
      <c r="H28" s="82">
        <f>IF(전기!G59&gt;0,전기!G59,"")</f>
        <v>250000</v>
      </c>
      <c r="I28" s="82">
        <f>전기!H59</f>
        <v>0</v>
      </c>
      <c r="J28" s="83"/>
    </row>
    <row r="29" spans="2:10" ht="19.7" customHeight="1">
      <c r="B29" s="484"/>
      <c r="C29" s="488"/>
      <c r="D29" s="489"/>
      <c r="E29" s="92" t="s">
        <v>56</v>
      </c>
      <c r="F29" s="86" t="s">
        <v>50</v>
      </c>
      <c r="G29" s="88">
        <f>전기!F60</f>
        <v>0</v>
      </c>
      <c r="H29" s="88">
        <f>IF(전기!G60&gt;0,전기!G60,"")</f>
        <v>250000</v>
      </c>
      <c r="I29" s="88">
        <f>전기!H60</f>
        <v>0</v>
      </c>
      <c r="J29" s="83"/>
    </row>
    <row r="30" spans="2:10" ht="19.7" customHeight="1">
      <c r="B30" s="484"/>
      <c r="C30" s="488"/>
      <c r="D30" s="489"/>
      <c r="E30" s="92" t="s">
        <v>57</v>
      </c>
      <c r="F30" s="86" t="s">
        <v>50</v>
      </c>
      <c r="G30" s="88">
        <f>전기!F61</f>
        <v>0</v>
      </c>
      <c r="H30" s="88">
        <f>IF(전기!G61&gt;0,전기!G61,"")</f>
        <v>250000</v>
      </c>
      <c r="I30" s="88">
        <f>전기!H61</f>
        <v>0</v>
      </c>
      <c r="J30" s="83"/>
    </row>
    <row r="31" spans="2:10" ht="19.7" customHeight="1">
      <c r="B31" s="484"/>
      <c r="C31" s="488"/>
      <c r="D31" s="489"/>
      <c r="E31" s="79" t="s">
        <v>58</v>
      </c>
      <c r="F31" s="80" t="s">
        <v>50</v>
      </c>
      <c r="G31" s="82">
        <f>전기!F62</f>
        <v>0</v>
      </c>
      <c r="H31" s="82">
        <f>IF(전기!G62&gt;0,전기!G62,"")</f>
        <v>250000</v>
      </c>
      <c r="I31" s="82">
        <f>전기!H62</f>
        <v>0</v>
      </c>
      <c r="J31" s="83"/>
    </row>
    <row r="32" spans="2:10" ht="19.7" customHeight="1">
      <c r="B32" s="484"/>
      <c r="C32" s="488"/>
      <c r="D32" s="459"/>
      <c r="E32" s="90" t="s">
        <v>67</v>
      </c>
      <c r="F32" s="465"/>
      <c r="G32" s="466"/>
      <c r="H32" s="467"/>
      <c r="I32" s="91">
        <f>SUM(I25:I31)</f>
        <v>0</v>
      </c>
      <c r="J32" s="83"/>
    </row>
    <row r="33" spans="2:13" ht="19.7" customHeight="1">
      <c r="B33" s="484"/>
      <c r="C33" s="489"/>
      <c r="D33" s="93" t="s">
        <v>60</v>
      </c>
      <c r="E33" s="94"/>
      <c r="F33" s="465"/>
      <c r="G33" s="466"/>
      <c r="H33" s="467"/>
      <c r="I33" s="95">
        <f>전기!H65+전기!H66</f>
        <v>0</v>
      </c>
      <c r="J33" s="96"/>
    </row>
    <row r="34" spans="2:13" ht="19.7" customHeight="1">
      <c r="B34" s="485"/>
      <c r="C34" s="490"/>
      <c r="D34" s="97"/>
      <c r="E34" s="98" t="s">
        <v>68</v>
      </c>
      <c r="F34" s="441"/>
      <c r="G34" s="442"/>
      <c r="H34" s="443"/>
      <c r="I34" s="99">
        <f>I32+I23+I33+I24</f>
        <v>0</v>
      </c>
      <c r="J34" s="100"/>
    </row>
    <row r="35" spans="2:13" ht="19.7" customHeight="1">
      <c r="B35" s="474">
        <v>3</v>
      </c>
      <c r="C35" s="477" t="s">
        <v>69</v>
      </c>
      <c r="D35" s="478"/>
      <c r="E35" s="479"/>
      <c r="F35" s="477"/>
      <c r="G35" s="478"/>
      <c r="H35" s="479"/>
      <c r="I35" s="107">
        <f>I23+I11+I24</f>
        <v>65400000</v>
      </c>
      <c r="J35" s="104"/>
    </row>
    <row r="36" spans="2:13" ht="19.7" customHeight="1">
      <c r="B36" s="475"/>
      <c r="C36" s="465" t="s">
        <v>70</v>
      </c>
      <c r="D36" s="466"/>
      <c r="E36" s="467"/>
      <c r="F36" s="465"/>
      <c r="G36" s="466"/>
      <c r="H36" s="467"/>
      <c r="I36" s="91">
        <f>I32+I20</f>
        <v>59800000</v>
      </c>
      <c r="J36" s="83"/>
    </row>
    <row r="37" spans="2:13" ht="19.7" customHeight="1" thickBot="1">
      <c r="B37" s="476"/>
      <c r="C37" s="480" t="s">
        <v>71</v>
      </c>
      <c r="D37" s="480"/>
      <c r="E37" s="481"/>
      <c r="F37" s="482"/>
      <c r="G37" s="480"/>
      <c r="H37" s="481"/>
      <c r="I37" s="108">
        <f>I36+I35</f>
        <v>125200000</v>
      </c>
      <c r="J37" s="109"/>
    </row>
    <row r="38" spans="2:13" ht="20.25" customHeight="1">
      <c r="B38" s="110">
        <v>4</v>
      </c>
      <c r="C38" s="459" t="s">
        <v>72</v>
      </c>
      <c r="D38" s="460"/>
      <c r="E38" s="461"/>
      <c r="F38" s="462"/>
      <c r="G38" s="463"/>
      <c r="H38" s="464"/>
      <c r="I38" s="111"/>
      <c r="J38" s="112"/>
    </row>
    <row r="39" spans="2:13" ht="22.5" customHeight="1">
      <c r="B39" s="113">
        <v>5</v>
      </c>
      <c r="C39" s="465" t="s">
        <v>73</v>
      </c>
      <c r="D39" s="466"/>
      <c r="E39" s="467"/>
      <c r="F39" s="468" t="s">
        <v>74</v>
      </c>
      <c r="G39" s="469"/>
      <c r="H39" s="470"/>
      <c r="I39" s="114">
        <f>CEILING(MIN(I47:I48),1000)</f>
        <v>1039000</v>
      </c>
      <c r="J39" s="115">
        <f>I30+I29+I25+I24+I17+I16+I12+I10</f>
        <v>28000000</v>
      </c>
      <c r="K39" s="116"/>
      <c r="M39" s="116"/>
    </row>
    <row r="40" spans="2:13" ht="20.25" customHeight="1">
      <c r="B40" s="113">
        <v>6</v>
      </c>
      <c r="C40" s="465" t="s">
        <v>75</v>
      </c>
      <c r="D40" s="466"/>
      <c r="E40" s="467"/>
      <c r="F40" s="471"/>
      <c r="G40" s="472"/>
      <c r="H40" s="473"/>
      <c r="I40" s="91">
        <f>전기!H65+단위장비1!H67+단위장비2!H67+단위장비3!H67+단위장비4!H67+단위장비5!H67+단위장비6!H67+단위장비7!H67+단위장비8!H67+단위장비9!H67+단위장비10!H67</f>
        <v>6260000</v>
      </c>
      <c r="J40" s="83"/>
    </row>
    <row r="41" spans="2:13" ht="20.25" customHeight="1">
      <c r="B41" s="117">
        <v>7</v>
      </c>
      <c r="C41" s="441" t="s">
        <v>76</v>
      </c>
      <c r="D41" s="442"/>
      <c r="E41" s="443"/>
      <c r="F41" s="444"/>
      <c r="G41" s="445"/>
      <c r="H41" s="446"/>
      <c r="I41" s="95">
        <f>전기!H66+단위장비1!H68+단위장비2!H68+단위장비3!H68+단위장비4!H68+단위장비5!H68+단위장비6!H68+단위장비7!H68+단위장비8!H68+단위장비9!H68+단위장비10!H68</f>
        <v>6260000</v>
      </c>
      <c r="J41" s="96"/>
      <c r="K41" s="59"/>
    </row>
    <row r="42" spans="2:13" ht="28.5" customHeight="1" thickBot="1">
      <c r="B42" s="118"/>
      <c r="C42" s="447" t="s">
        <v>77</v>
      </c>
      <c r="D42" s="447"/>
      <c r="E42" s="447"/>
      <c r="F42" s="448" t="s">
        <v>78</v>
      </c>
      <c r="G42" s="449"/>
      <c r="H42" s="450"/>
      <c r="I42" s="119">
        <f>I22+I34+I38+I39</f>
        <v>138759000</v>
      </c>
      <c r="J42" s="120"/>
      <c r="K42" s="59"/>
    </row>
    <row r="43" spans="2:13" ht="19.7" customHeight="1">
      <c r="B43" s="121" t="s">
        <v>79</v>
      </c>
      <c r="C43" s="61"/>
      <c r="D43" s="61"/>
      <c r="E43" s="61"/>
    </row>
    <row r="44" spans="2:13" ht="19.7" customHeight="1">
      <c r="B44" s="59" t="s">
        <v>80</v>
      </c>
      <c r="C44" s="61"/>
      <c r="D44" s="61"/>
      <c r="E44" s="61"/>
    </row>
    <row r="45" spans="2:13" ht="19.7" customHeight="1">
      <c r="C45" s="61"/>
      <c r="D45" s="61"/>
      <c r="E45" s="61"/>
    </row>
    <row r="46" spans="2:13" ht="19.7" customHeight="1">
      <c r="C46" s="61"/>
      <c r="D46" s="61"/>
      <c r="E46" s="451" t="s">
        <v>81</v>
      </c>
      <c r="F46" s="454" t="s">
        <v>82</v>
      </c>
      <c r="G46" s="455"/>
      <c r="H46" s="456"/>
      <c r="I46" s="122" t="s">
        <v>83</v>
      </c>
      <c r="J46" s="123" t="s">
        <v>84</v>
      </c>
      <c r="K46" s="124" t="s">
        <v>85</v>
      </c>
    </row>
    <row r="47" spans="2:13" ht="19.7" customHeight="1">
      <c r="C47" s="61"/>
      <c r="D47" s="61"/>
      <c r="E47" s="452"/>
      <c r="F47" s="457" t="s">
        <v>86</v>
      </c>
      <c r="G47" s="458"/>
      <c r="H47" s="458"/>
      <c r="I47" s="91">
        <f>IF(J47&lt;500000000,J47*0.0309,1)+IF(J47&gt;500000000,J47*0.0199+5499000)*IF(J47&gt;5000000000,0,1)+IF(J47&gt;5000000000,J47*0.021,0)</f>
        <v>3868680</v>
      </c>
      <c r="J47" s="125">
        <f>SUM(I7:I10,I12:I19,I23:I31,I38)</f>
        <v>125200000</v>
      </c>
      <c r="K47" s="125" t="s">
        <v>87</v>
      </c>
    </row>
    <row r="48" spans="2:13" ht="19.7" customHeight="1">
      <c r="E48" s="453"/>
      <c r="F48" s="457" t="s">
        <v>88</v>
      </c>
      <c r="G48" s="458"/>
      <c r="H48" s="458"/>
      <c r="I48" s="91">
        <f>(IF(J48&lt;500000000,J48*0.0309,1)+IF(J48&gt;500000000,J48*0.0199+5499000)*IF(J48&gt;5000000000,0,1)+IF(J48&gt;5000000000,J48*0.021,0))*1.2</f>
        <v>1038240</v>
      </c>
      <c r="J48" s="126">
        <f>SUM(I10,I24,I12,I16:I17,I25,I29:I30)</f>
        <v>28000000</v>
      </c>
      <c r="K48" s="125" t="s">
        <v>89</v>
      </c>
    </row>
    <row r="49" spans="7:7" ht="19.7" customHeight="1">
      <c r="G49" s="127" t="s">
        <v>90</v>
      </c>
    </row>
  </sheetData>
  <mergeCells count="38">
    <mergeCell ref="F11:H11"/>
    <mergeCell ref="D12:D20"/>
    <mergeCell ref="F20:H20"/>
    <mergeCell ref="F21:H21"/>
    <mergeCell ref="F22:H22"/>
    <mergeCell ref="C5:E5"/>
    <mergeCell ref="C6:E6"/>
    <mergeCell ref="B7:B22"/>
    <mergeCell ref="C7:C22"/>
    <mergeCell ref="D7:D11"/>
    <mergeCell ref="B23:B34"/>
    <mergeCell ref="C23:C34"/>
    <mergeCell ref="D23:D24"/>
    <mergeCell ref="D25:D32"/>
    <mergeCell ref="F32:H32"/>
    <mergeCell ref="F33:H33"/>
    <mergeCell ref="F34:H34"/>
    <mergeCell ref="B35:B37"/>
    <mergeCell ref="C35:E35"/>
    <mergeCell ref="F35:H35"/>
    <mergeCell ref="C36:E36"/>
    <mergeCell ref="F36:H36"/>
    <mergeCell ref="C37:E37"/>
    <mergeCell ref="F37:H37"/>
    <mergeCell ref="C38:E38"/>
    <mergeCell ref="F38:H38"/>
    <mergeCell ref="C39:E39"/>
    <mergeCell ref="F39:H39"/>
    <mergeCell ref="C40:E40"/>
    <mergeCell ref="F40:H40"/>
    <mergeCell ref="C41:E41"/>
    <mergeCell ref="F41:H41"/>
    <mergeCell ref="C42:E42"/>
    <mergeCell ref="F42:H42"/>
    <mergeCell ref="E46:E48"/>
    <mergeCell ref="F46:H46"/>
    <mergeCell ref="F47:H47"/>
    <mergeCell ref="F48:H48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7" orientation="portrait" horizontalDpi="4294967292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P22"/>
  <sheetViews>
    <sheetView zoomScale="74" zoomScaleNormal="74" workbookViewId="0">
      <selection activeCell="T11" sqref="T11"/>
    </sheetView>
  </sheetViews>
  <sheetFormatPr defaultColWidth="9" defaultRowHeight="17.25" customHeight="1"/>
  <cols>
    <col min="1" max="1" width="5" style="128" customWidth="1"/>
    <col min="2" max="2" width="20.125" style="128" customWidth="1"/>
    <col min="3" max="3" width="6.25" style="128" customWidth="1"/>
    <col min="4" max="8" width="11.875" style="128" customWidth="1"/>
    <col min="9" max="9" width="13" style="128" customWidth="1"/>
    <col min="10" max="10" width="13.875" style="128" customWidth="1"/>
    <col min="11" max="11" width="12.5" style="128" bestFit="1" customWidth="1"/>
    <col min="12" max="12" width="15" style="128" bestFit="1" customWidth="1"/>
    <col min="13" max="13" width="16.125" style="128" customWidth="1"/>
    <col min="14" max="14" width="13.875" style="128" customWidth="1"/>
    <col min="15" max="15" width="9.625" style="128" customWidth="1"/>
    <col min="16" max="16" width="12.625" style="128" hidden="1" customWidth="1"/>
    <col min="17" max="17" width="10" style="128" customWidth="1"/>
    <col min="18" max="16384" width="9" style="128"/>
  </cols>
  <sheetData>
    <row r="2" spans="1:16" ht="31.5" customHeight="1">
      <c r="A2" s="51" t="s">
        <v>91</v>
      </c>
    </row>
    <row r="3" spans="1:16" ht="17.25" customHeight="1">
      <c r="N3" s="128" t="s">
        <v>92</v>
      </c>
    </row>
    <row r="4" spans="1:16" s="132" customFormat="1" ht="8.25" customHeight="1">
      <c r="A4" s="129"/>
      <c r="B4" s="129"/>
      <c r="C4" s="129"/>
      <c r="D4" s="504"/>
      <c r="E4" s="505"/>
      <c r="F4" s="505"/>
      <c r="G4" s="505"/>
      <c r="H4" s="505"/>
      <c r="I4" s="505"/>
      <c r="J4" s="506"/>
      <c r="K4" s="130"/>
      <c r="L4" s="131"/>
      <c r="M4" s="507" t="s">
        <v>93</v>
      </c>
      <c r="N4" s="510" t="s">
        <v>94</v>
      </c>
      <c r="O4" s="510" t="s">
        <v>13</v>
      </c>
    </row>
    <row r="5" spans="1:16" s="140" customFormat="1" ht="25.5" customHeight="1">
      <c r="A5" s="133"/>
      <c r="B5" s="133"/>
      <c r="C5" s="133"/>
      <c r="D5" s="134"/>
      <c r="E5" s="135"/>
      <c r="F5" s="135"/>
      <c r="G5" s="135"/>
      <c r="H5" s="135"/>
      <c r="I5" s="136" t="s">
        <v>95</v>
      </c>
      <c r="J5" s="137"/>
      <c r="K5" s="138" t="s">
        <v>96</v>
      </c>
      <c r="L5" s="139" t="s">
        <v>97</v>
      </c>
      <c r="M5" s="508"/>
      <c r="N5" s="511"/>
      <c r="O5" s="511"/>
    </row>
    <row r="6" spans="1:16" s="140" customFormat="1" ht="25.5" customHeight="1" thickBot="1">
      <c r="A6" s="141" t="s">
        <v>28</v>
      </c>
      <c r="B6" s="141" t="s">
        <v>98</v>
      </c>
      <c r="C6" s="141" t="s">
        <v>99</v>
      </c>
      <c r="D6" s="142" t="s">
        <v>36</v>
      </c>
      <c r="E6" s="143" t="s">
        <v>100</v>
      </c>
      <c r="F6" s="143" t="s">
        <v>66</v>
      </c>
      <c r="G6" s="143" t="s">
        <v>101</v>
      </c>
      <c r="H6" s="143" t="s">
        <v>58</v>
      </c>
      <c r="I6" s="144" t="s">
        <v>102</v>
      </c>
      <c r="J6" s="145" t="s">
        <v>103</v>
      </c>
      <c r="K6" s="146" t="s">
        <v>104</v>
      </c>
      <c r="L6" s="147" t="s">
        <v>105</v>
      </c>
      <c r="M6" s="509"/>
      <c r="N6" s="512"/>
      <c r="O6" s="513"/>
    </row>
    <row r="7" spans="1:16" s="159" customFormat="1" ht="25.5" customHeight="1" thickTop="1">
      <c r="A7" s="148">
        <f>IF(B7&gt;0,1,"")</f>
        <v>1</v>
      </c>
      <c r="B7" s="149" t="str">
        <f>단위장비1!C$1</f>
        <v>등속 가공라인</v>
      </c>
      <c r="C7" s="150" t="s">
        <v>106</v>
      </c>
      <c r="D7" s="151">
        <f>단위장비1!H56</f>
        <v>43600000</v>
      </c>
      <c r="E7" s="152">
        <f>단위장비1!H57</f>
        <v>0</v>
      </c>
      <c r="F7" s="152">
        <f>단위장비1!H58+단위장비1!H59+단위장비1!H60+단위장비1!H64</f>
        <v>21000000</v>
      </c>
      <c r="G7" s="152">
        <f>단위장비1!H61+단위장비1!H62</f>
        <v>20000000</v>
      </c>
      <c r="H7" s="152">
        <f>단위장비1!H63</f>
        <v>0</v>
      </c>
      <c r="I7" s="153">
        <f>IF($B7&gt;0,'원가항목별(집계)'!I$38*$P7/$P$17,0)</f>
        <v>0</v>
      </c>
      <c r="J7" s="154">
        <f>SUM(D7:I7)</f>
        <v>84600000</v>
      </c>
      <c r="K7" s="155">
        <f>IF($B7&gt;0,'원가항목별(집계)'!I$39*$P7/$P$17,0)</f>
        <v>702071.88498402562</v>
      </c>
      <c r="L7" s="156">
        <f>단위장비1!H67+단위장비1!H68</f>
        <v>8460000</v>
      </c>
      <c r="M7" s="514"/>
      <c r="N7" s="157">
        <f>SUM(J7:L7)</f>
        <v>93762071.884984031</v>
      </c>
      <c r="O7" s="158"/>
      <c r="P7" s="159">
        <f t="shared" ref="P7:P16" si="0">D7+E7+F7+G7+H7+L7</f>
        <v>93060000</v>
      </c>
    </row>
    <row r="8" spans="1:16" s="159" customFormat="1" ht="25.5" customHeight="1">
      <c r="A8" s="160">
        <f t="shared" ref="A8:A14" si="1">IF(B8&gt;0,A7+1,"")</f>
        <v>2</v>
      </c>
      <c r="B8" s="161" t="str">
        <f>단위장비2!C$1</f>
        <v>등속 조립라인</v>
      </c>
      <c r="C8" s="162" t="s">
        <v>106</v>
      </c>
      <c r="D8" s="163">
        <f>단위장비2!H56</f>
        <v>21800000</v>
      </c>
      <c r="E8" s="164">
        <f>단위장비2!H57</f>
        <v>0</v>
      </c>
      <c r="F8" s="164">
        <f>단위장비2!H58+단위장비2!H59+단위장비2!H60+단위장비2!H64</f>
        <v>10800000</v>
      </c>
      <c r="G8" s="164">
        <f>단위장비2!H61+단위장비2!H62</f>
        <v>8000000</v>
      </c>
      <c r="H8" s="164">
        <f>단위장비2!H63</f>
        <v>0</v>
      </c>
      <c r="I8" s="165">
        <f>IF($B8&gt;0,'원가항목별(집계)'!I$38*$P8/$P$17,0)</f>
        <v>0</v>
      </c>
      <c r="J8" s="166">
        <f>SUM(D8:I8)</f>
        <v>40600000</v>
      </c>
      <c r="K8" s="167">
        <f>IF($B8&gt;0,'원가항목별(집계)'!I$39*$P8/$P$17,0)</f>
        <v>336928.11501597444</v>
      </c>
      <c r="L8" s="168">
        <f>단위장비2!H67+단위장비2!H68</f>
        <v>4060000</v>
      </c>
      <c r="M8" s="514"/>
      <c r="N8" s="157">
        <f t="shared" ref="N8:N16" si="2">SUM(J8:L8)</f>
        <v>44996928.115015976</v>
      </c>
      <c r="O8" s="169"/>
      <c r="P8" s="159">
        <f t="shared" si="0"/>
        <v>44660000</v>
      </c>
    </row>
    <row r="9" spans="1:16" s="159" customFormat="1" ht="25.5" customHeight="1">
      <c r="A9" s="160" t="str">
        <f t="shared" si="1"/>
        <v/>
      </c>
      <c r="B9" s="161">
        <f>단위장비3!C$1</f>
        <v>0</v>
      </c>
      <c r="C9" s="162" t="s">
        <v>107</v>
      </c>
      <c r="D9" s="163">
        <f>단위장비3!H56</f>
        <v>0</v>
      </c>
      <c r="E9" s="164">
        <f>단위장비3!H57</f>
        <v>0</v>
      </c>
      <c r="F9" s="164">
        <f>단위장비3!H58+단위장비3!H59+단위장비3!H60+단위장비3!H64</f>
        <v>0</v>
      </c>
      <c r="G9" s="164">
        <f>단위장비3!H61+단위장비3!H62</f>
        <v>0</v>
      </c>
      <c r="H9" s="164">
        <f>단위장비3!H63</f>
        <v>0</v>
      </c>
      <c r="I9" s="165">
        <f>IF($B9&gt;0,'원가항목별(집계)'!I$38*$P9/$P$17,0)</f>
        <v>0</v>
      </c>
      <c r="J9" s="166">
        <f t="shared" ref="J9:J17" si="3">SUM(D9:I9)</f>
        <v>0</v>
      </c>
      <c r="K9" s="167">
        <f>IF($B9&gt;0,'원가항목별(집계)'!I$39*$P9/$P$17,0)</f>
        <v>0</v>
      </c>
      <c r="L9" s="168">
        <f>단위장비3!H67+단위장비3!H68</f>
        <v>0</v>
      </c>
      <c r="M9" s="514"/>
      <c r="N9" s="157">
        <f t="shared" si="2"/>
        <v>0</v>
      </c>
      <c r="O9" s="169"/>
      <c r="P9" s="159">
        <f t="shared" si="0"/>
        <v>0</v>
      </c>
    </row>
    <row r="10" spans="1:16" s="159" customFormat="1" ht="25.5" customHeight="1">
      <c r="A10" s="160" t="str">
        <f t="shared" si="1"/>
        <v/>
      </c>
      <c r="B10" s="161">
        <f>단위장비4!C$1</f>
        <v>0</v>
      </c>
      <c r="C10" s="162" t="s">
        <v>107</v>
      </c>
      <c r="D10" s="163">
        <f>단위장비4!H56</f>
        <v>0</v>
      </c>
      <c r="E10" s="164">
        <f>단위장비4!H57</f>
        <v>0</v>
      </c>
      <c r="F10" s="164">
        <f>단위장비4!H58+단위장비4!H59+단위장비4!H60+단위장비4!H64</f>
        <v>0</v>
      </c>
      <c r="G10" s="164">
        <f>단위장비4!H61+단위장비4!H62</f>
        <v>0</v>
      </c>
      <c r="H10" s="164">
        <f>단위장비4!H63</f>
        <v>0</v>
      </c>
      <c r="I10" s="165">
        <f>IF($B10&gt;0,'원가항목별(집계)'!I$38*$P10/$P$17,0)</f>
        <v>0</v>
      </c>
      <c r="J10" s="166">
        <f t="shared" si="3"/>
        <v>0</v>
      </c>
      <c r="K10" s="167">
        <f>IF($B10&gt;0,'원가항목별(집계)'!I$39*$P10/$P$17,0)</f>
        <v>0</v>
      </c>
      <c r="L10" s="168">
        <f>단위장비4!H67+단위장비4!H68</f>
        <v>0</v>
      </c>
      <c r="M10" s="514"/>
      <c r="N10" s="157">
        <f t="shared" si="2"/>
        <v>0</v>
      </c>
      <c r="O10" s="169"/>
      <c r="P10" s="159">
        <f t="shared" si="0"/>
        <v>0</v>
      </c>
    </row>
    <row r="11" spans="1:16" s="159" customFormat="1" ht="25.5" customHeight="1">
      <c r="A11" s="160" t="str">
        <f t="shared" si="1"/>
        <v/>
      </c>
      <c r="B11" s="161">
        <f>단위장비5!C$1</f>
        <v>0</v>
      </c>
      <c r="C11" s="162" t="s">
        <v>107</v>
      </c>
      <c r="D11" s="163">
        <f>단위장비5!H56</f>
        <v>0</v>
      </c>
      <c r="E11" s="164">
        <f>단위장비5!H57</f>
        <v>0</v>
      </c>
      <c r="F11" s="164">
        <f>단위장비5!H58+단위장비5!H59+단위장비5!H60+단위장비5!H64</f>
        <v>0</v>
      </c>
      <c r="G11" s="164">
        <f>단위장비5!H61+단위장비5!H62</f>
        <v>0</v>
      </c>
      <c r="H11" s="164">
        <f>단위장비5!H63</f>
        <v>0</v>
      </c>
      <c r="I11" s="165">
        <f>IF($B11&gt;0,'원가항목별(집계)'!I$38*$P11/$P$17,0)</f>
        <v>0</v>
      </c>
      <c r="J11" s="166">
        <f t="shared" si="3"/>
        <v>0</v>
      </c>
      <c r="K11" s="167">
        <f>IF($B11&gt;0,'원가항목별(집계)'!I$39*$P11/$P$17,0)</f>
        <v>0</v>
      </c>
      <c r="L11" s="168">
        <f>단위장비5!H67+단위장비5!H68</f>
        <v>0</v>
      </c>
      <c r="M11" s="514"/>
      <c r="N11" s="157">
        <f t="shared" si="2"/>
        <v>0</v>
      </c>
      <c r="O11" s="169"/>
      <c r="P11" s="159">
        <f t="shared" si="0"/>
        <v>0</v>
      </c>
    </row>
    <row r="12" spans="1:16" s="159" customFormat="1" ht="25.5" customHeight="1">
      <c r="A12" s="160" t="str">
        <f t="shared" si="1"/>
        <v/>
      </c>
      <c r="B12" s="161">
        <f>단위장비6!C$1</f>
        <v>0</v>
      </c>
      <c r="C12" s="162" t="s">
        <v>107</v>
      </c>
      <c r="D12" s="163">
        <f>단위장비6!H56</f>
        <v>0</v>
      </c>
      <c r="E12" s="164">
        <f>단위장비6!H57</f>
        <v>0</v>
      </c>
      <c r="F12" s="164">
        <f>단위장비6!H58+단위장비6!H59+단위장비6!H60+단위장비6!H64</f>
        <v>0</v>
      </c>
      <c r="G12" s="164">
        <f>단위장비6!H61+단위장비6!H62</f>
        <v>0</v>
      </c>
      <c r="H12" s="164">
        <f>단위장비6!H63</f>
        <v>0</v>
      </c>
      <c r="I12" s="165">
        <f>IF($B12&gt;0,'원가항목별(집계)'!I$38*$P12/$P$17,0)</f>
        <v>0</v>
      </c>
      <c r="J12" s="166">
        <f t="shared" si="3"/>
        <v>0</v>
      </c>
      <c r="K12" s="167">
        <f>IF($B12&gt;0,'원가항목별(집계)'!I$39*$P12/$P$17,0)</f>
        <v>0</v>
      </c>
      <c r="L12" s="168">
        <f>단위장비6!H67+단위장비6!H68</f>
        <v>0</v>
      </c>
      <c r="M12" s="514"/>
      <c r="N12" s="157">
        <f t="shared" si="2"/>
        <v>0</v>
      </c>
      <c r="O12" s="169"/>
      <c r="P12" s="159">
        <f t="shared" si="0"/>
        <v>0</v>
      </c>
    </row>
    <row r="13" spans="1:16" s="159" customFormat="1" ht="25.5" customHeight="1">
      <c r="A13" s="160" t="str">
        <f t="shared" si="1"/>
        <v/>
      </c>
      <c r="B13" s="161">
        <f>단위장비7!C$1</f>
        <v>0</v>
      </c>
      <c r="C13" s="162" t="s">
        <v>107</v>
      </c>
      <c r="D13" s="163">
        <f>단위장비7!H56</f>
        <v>0</v>
      </c>
      <c r="E13" s="164">
        <f>단위장비7!H57</f>
        <v>0</v>
      </c>
      <c r="F13" s="164">
        <f>단위장비7!H58+단위장비7!H59+단위장비7!H60+단위장비7!H64</f>
        <v>0</v>
      </c>
      <c r="G13" s="164">
        <f>단위장비7!H61+단위장비7!H62</f>
        <v>0</v>
      </c>
      <c r="H13" s="164">
        <f>단위장비7!H63</f>
        <v>0</v>
      </c>
      <c r="I13" s="165">
        <f>IF($B13&gt;0,'원가항목별(집계)'!I$38*$P13/$P$17,0)</f>
        <v>0</v>
      </c>
      <c r="J13" s="166">
        <f t="shared" si="3"/>
        <v>0</v>
      </c>
      <c r="K13" s="167">
        <f>IF($B13&gt;0,'원가항목별(집계)'!I$39*$P13/$P$17,0)</f>
        <v>0</v>
      </c>
      <c r="L13" s="168">
        <f>단위장비7!H67+단위장비7!H68</f>
        <v>0</v>
      </c>
      <c r="M13" s="514"/>
      <c r="N13" s="157">
        <f t="shared" si="2"/>
        <v>0</v>
      </c>
      <c r="O13" s="169"/>
      <c r="P13" s="159">
        <f t="shared" si="0"/>
        <v>0</v>
      </c>
    </row>
    <row r="14" spans="1:16" s="159" customFormat="1" ht="25.5" customHeight="1">
      <c r="A14" s="160" t="str">
        <f t="shared" si="1"/>
        <v/>
      </c>
      <c r="B14" s="161">
        <f>단위장비8!C$1</f>
        <v>0</v>
      </c>
      <c r="C14" s="162" t="s">
        <v>107</v>
      </c>
      <c r="D14" s="163">
        <f>단위장비8!H56</f>
        <v>0</v>
      </c>
      <c r="E14" s="164">
        <f>단위장비8!H57</f>
        <v>0</v>
      </c>
      <c r="F14" s="164">
        <f>단위장비8!H58+단위장비8!H59+단위장비8!H60+단위장비8!H64</f>
        <v>0</v>
      </c>
      <c r="G14" s="164">
        <f>단위장비8!H61+단위장비8!H62</f>
        <v>0</v>
      </c>
      <c r="H14" s="164">
        <f>단위장비8!H63</f>
        <v>0</v>
      </c>
      <c r="I14" s="165">
        <f>IF($B14&gt;0,'원가항목별(집계)'!I$38*$P14/$P$17,0)</f>
        <v>0</v>
      </c>
      <c r="J14" s="166">
        <f t="shared" si="3"/>
        <v>0</v>
      </c>
      <c r="K14" s="167">
        <f>IF($B14&gt;0,'원가항목별(집계)'!I$39*$P14/$P$17,0)</f>
        <v>0</v>
      </c>
      <c r="L14" s="168">
        <f>단위장비8!H67+단위장비8!H68</f>
        <v>0</v>
      </c>
      <c r="M14" s="514"/>
      <c r="N14" s="157">
        <f t="shared" si="2"/>
        <v>0</v>
      </c>
      <c r="O14" s="169"/>
      <c r="P14" s="159">
        <f t="shared" si="0"/>
        <v>0</v>
      </c>
    </row>
    <row r="15" spans="1:16" s="171" customFormat="1" ht="25.5" customHeight="1">
      <c r="A15" s="162">
        <v>9</v>
      </c>
      <c r="B15" s="161">
        <f>단위장비9!C$1</f>
        <v>0</v>
      </c>
      <c r="C15" s="162" t="s">
        <v>107</v>
      </c>
      <c r="D15" s="163">
        <f>단위장비9!H56</f>
        <v>0</v>
      </c>
      <c r="E15" s="164">
        <f>단위장비9!H57</f>
        <v>0</v>
      </c>
      <c r="F15" s="164">
        <f>단위장비9!H58+단위장비9!H59+단위장비9!H60+단위장비9!H64</f>
        <v>0</v>
      </c>
      <c r="G15" s="164">
        <f>단위장비9!H61+단위장비9!H62</f>
        <v>0</v>
      </c>
      <c r="H15" s="164">
        <f>단위장비9!H63</f>
        <v>0</v>
      </c>
      <c r="I15" s="165">
        <f>IF($B15&gt;0,'원가항목별(집계)'!I$38*$P15/$P$17,0)</f>
        <v>0</v>
      </c>
      <c r="J15" s="166">
        <f t="shared" si="3"/>
        <v>0</v>
      </c>
      <c r="K15" s="167">
        <f>IF($B15&gt;0,'원가항목별(집계)'!I$39*$P15/$P$17,0)</f>
        <v>0</v>
      </c>
      <c r="L15" s="168">
        <f>단위장비9!H67+단위장비9!H68</f>
        <v>0</v>
      </c>
      <c r="M15" s="514"/>
      <c r="N15" s="157">
        <f t="shared" si="2"/>
        <v>0</v>
      </c>
      <c r="O15" s="170"/>
      <c r="P15" s="171">
        <f t="shared" si="0"/>
        <v>0</v>
      </c>
    </row>
    <row r="16" spans="1:16" s="171" customFormat="1" ht="25.5" customHeight="1">
      <c r="A16" s="172">
        <v>10</v>
      </c>
      <c r="B16" s="173">
        <f>단위장비10!C$1</f>
        <v>0</v>
      </c>
      <c r="C16" s="172" t="s">
        <v>107</v>
      </c>
      <c r="D16" s="174">
        <f>단위장비10!H56</f>
        <v>0</v>
      </c>
      <c r="E16" s="175">
        <f>단위장비10!H57</f>
        <v>0</v>
      </c>
      <c r="F16" s="175">
        <f>단위장비10!H58+단위장비10!H59+단위장비10!H60+단위장비10!H64</f>
        <v>0</v>
      </c>
      <c r="G16" s="175">
        <f>단위장비10!H61+단위장비10!H62</f>
        <v>0</v>
      </c>
      <c r="H16" s="175">
        <f>단위장비10!H63</f>
        <v>0</v>
      </c>
      <c r="I16" s="176">
        <f>IF($B16&gt;0,'원가항목별(집계)'!I$38*$P16/$P$17,0)</f>
        <v>0</v>
      </c>
      <c r="J16" s="177">
        <f t="shared" si="3"/>
        <v>0</v>
      </c>
      <c r="K16" s="167">
        <f>IF($B16&gt;0,'원가항목별(집계)'!I$39*$P16/$P$17,0)</f>
        <v>0</v>
      </c>
      <c r="L16" s="168">
        <f>단위장비10!H67+단위장비10!H68</f>
        <v>0</v>
      </c>
      <c r="M16" s="514"/>
      <c r="N16" s="157">
        <f t="shared" si="2"/>
        <v>0</v>
      </c>
      <c r="O16" s="178"/>
      <c r="P16" s="171">
        <f t="shared" si="0"/>
        <v>0</v>
      </c>
    </row>
    <row r="17" spans="1:16" s="159" customFormat="1" ht="33" customHeight="1">
      <c r="A17" s="501" t="s">
        <v>108</v>
      </c>
      <c r="B17" s="502"/>
      <c r="C17" s="503"/>
      <c r="D17" s="179">
        <f t="shared" ref="D17:K17" si="4">SUM(D7:D16)</f>
        <v>65400000</v>
      </c>
      <c r="E17" s="180">
        <f t="shared" si="4"/>
        <v>0</v>
      </c>
      <c r="F17" s="180">
        <f t="shared" si="4"/>
        <v>31800000</v>
      </c>
      <c r="G17" s="180">
        <f t="shared" si="4"/>
        <v>28000000</v>
      </c>
      <c r="H17" s="180">
        <f t="shared" si="4"/>
        <v>0</v>
      </c>
      <c r="I17" s="181">
        <f t="shared" si="4"/>
        <v>0</v>
      </c>
      <c r="J17" s="182">
        <f t="shared" si="3"/>
        <v>125200000</v>
      </c>
      <c r="K17" s="183">
        <f t="shared" si="4"/>
        <v>1039000</v>
      </c>
      <c r="L17" s="184">
        <f>SUM(L7:L16)</f>
        <v>12520000</v>
      </c>
      <c r="M17" s="185">
        <f>전기!H67</f>
        <v>0</v>
      </c>
      <c r="N17" s="186">
        <f>J17+K17+L17+M17</f>
        <v>138759000</v>
      </c>
      <c r="O17" s="187" t="s">
        <v>109</v>
      </c>
      <c r="P17" s="159">
        <f>SUM(P7:P16)</f>
        <v>137720000</v>
      </c>
    </row>
    <row r="18" spans="1:16" s="200" customFormat="1" ht="18.75" hidden="1" customHeight="1">
      <c r="A18" s="188"/>
      <c r="B18" s="189"/>
      <c r="C18" s="190"/>
      <c r="D18" s="191">
        <f t="shared" ref="D18:N18" si="5">IF(D17=0,"",D17/$N17)</f>
        <v>0.47132077919270099</v>
      </c>
      <c r="E18" s="192" t="str">
        <f t="shared" si="5"/>
        <v/>
      </c>
      <c r="F18" s="192">
        <f t="shared" si="5"/>
        <v>0.22917432382764361</v>
      </c>
      <c r="G18" s="192">
        <f t="shared" si="5"/>
        <v>0.20178871280421451</v>
      </c>
      <c r="H18" s="192" t="str">
        <f t="shared" si="5"/>
        <v/>
      </c>
      <c r="I18" s="193" t="str">
        <f t="shared" si="5"/>
        <v/>
      </c>
      <c r="J18" s="194">
        <f t="shared" si="5"/>
        <v>0.90228381582455908</v>
      </c>
      <c r="K18" s="195">
        <f t="shared" si="5"/>
        <v>7.4878025929849597E-3</v>
      </c>
      <c r="L18" s="196">
        <f t="shared" si="5"/>
        <v>9.0228381582455913E-2</v>
      </c>
      <c r="M18" s="197" t="str">
        <f t="shared" si="5"/>
        <v/>
      </c>
      <c r="N18" s="198">
        <f t="shared" si="5"/>
        <v>1</v>
      </c>
      <c r="O18" s="199"/>
    </row>
    <row r="19" spans="1:16" ht="28.5" customHeight="1">
      <c r="A19" s="128" t="s">
        <v>110</v>
      </c>
      <c r="H19" s="201"/>
      <c r="I19" s="201"/>
      <c r="J19" s="201"/>
      <c r="K19" s="201"/>
      <c r="M19" s="201"/>
    </row>
    <row r="20" spans="1:16" ht="17.25" customHeight="1">
      <c r="H20" s="202"/>
      <c r="I20" s="202"/>
      <c r="J20" s="202"/>
      <c r="K20" s="202"/>
      <c r="L20" s="203"/>
      <c r="M20" s="202"/>
      <c r="N20" s="204" t="str">
        <f>IF('원가항목별(집계)'!I42='단위공사별(집계)'!N17,"","DATA오류입니다!")</f>
        <v/>
      </c>
    </row>
    <row r="21" spans="1:16" ht="17.25" customHeight="1">
      <c r="H21" s="205"/>
      <c r="I21" s="205"/>
      <c r="J21" s="205"/>
      <c r="K21" s="205"/>
      <c r="M21" s="205"/>
      <c r="N21" s="205"/>
    </row>
    <row r="22" spans="1:16" ht="17.25" customHeight="1">
      <c r="H22" s="159"/>
      <c r="I22" s="159"/>
      <c r="J22" s="159"/>
      <c r="K22" s="159"/>
    </row>
  </sheetData>
  <mergeCells count="6">
    <mergeCell ref="A17:C17"/>
    <mergeCell ref="D4:J4"/>
    <mergeCell ref="M4:M6"/>
    <mergeCell ref="N4:N6"/>
    <mergeCell ref="O4:O6"/>
    <mergeCell ref="M7:M16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horizontalDpi="4294967292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8"/>
  <sheetViews>
    <sheetView zoomScale="85" workbookViewId="0">
      <pane xSplit="3" ySplit="2" topLeftCell="D3" activePane="bottomRight" state="frozen"/>
      <selection activeCell="F18" sqref="F18"/>
      <selection pane="topRight" activeCell="F18" sqref="F18"/>
      <selection pane="bottomLeft" activeCell="F18" sqref="F18"/>
      <selection pane="bottomRight" activeCell="C1" sqref="C1"/>
    </sheetView>
  </sheetViews>
  <sheetFormatPr defaultColWidth="9" defaultRowHeight="13.5"/>
  <cols>
    <col min="1" max="1" width="5" style="128" customWidth="1"/>
    <col min="2" max="2" width="13" style="128" customWidth="1"/>
    <col min="3" max="3" width="23.625" style="128" customWidth="1"/>
    <col min="4" max="4" width="18.25" style="128" customWidth="1"/>
    <col min="5" max="5" width="5.25" style="140" bestFit="1" customWidth="1"/>
    <col min="6" max="6" width="6.75" style="286" customWidth="1"/>
    <col min="7" max="7" width="11.875" style="159" customWidth="1"/>
    <col min="8" max="8" width="13.625" style="159" customWidth="1"/>
    <col min="9" max="9" width="12.75" style="128" customWidth="1"/>
    <col min="10" max="10" width="9.25" style="128" customWidth="1"/>
    <col min="11" max="11" width="11.5" style="128" bestFit="1" customWidth="1"/>
    <col min="12" max="16384" width="9" style="128"/>
  </cols>
  <sheetData>
    <row r="1" spans="1:9" ht="22.5" customHeight="1">
      <c r="B1" s="206" t="s">
        <v>111</v>
      </c>
      <c r="C1" s="207" t="s">
        <v>112</v>
      </c>
      <c r="D1" s="208"/>
      <c r="E1" s="209"/>
      <c r="F1" s="210"/>
      <c r="G1" s="171"/>
      <c r="I1" s="128" t="s">
        <v>113</v>
      </c>
    </row>
    <row r="2" spans="1:9" s="140" customFormat="1" ht="16.5" customHeight="1">
      <c r="A2" s="387" t="s">
        <v>114</v>
      </c>
      <c r="B2" s="515"/>
      <c r="C2" s="211" t="s">
        <v>115</v>
      </c>
      <c r="D2" s="212" t="s">
        <v>116</v>
      </c>
      <c r="E2" s="212" t="s">
        <v>117</v>
      </c>
      <c r="F2" s="213" t="s">
        <v>99</v>
      </c>
      <c r="G2" s="213" t="s">
        <v>118</v>
      </c>
      <c r="H2" s="213" t="s">
        <v>119</v>
      </c>
      <c r="I2" s="212" t="s">
        <v>120</v>
      </c>
    </row>
    <row r="3" spans="1:9" ht="15.95" customHeight="1">
      <c r="A3" s="516" t="s">
        <v>121</v>
      </c>
      <c r="B3" s="214" t="s">
        <v>122</v>
      </c>
      <c r="C3" s="215"/>
      <c r="D3" s="215"/>
      <c r="E3" s="216"/>
      <c r="F3" s="217"/>
      <c r="G3" s="218"/>
      <c r="H3" s="219">
        <f t="shared" ref="H3:H8" si="0">IF(F3=0,G3,G3*F3)</f>
        <v>0</v>
      </c>
      <c r="I3" s="220"/>
    </row>
    <row r="4" spans="1:9" ht="15.95" customHeight="1">
      <c r="A4" s="517"/>
      <c r="B4" s="214"/>
      <c r="C4" s="221"/>
      <c r="D4" s="215"/>
      <c r="E4" s="216"/>
      <c r="F4" s="217"/>
      <c r="G4" s="218"/>
      <c r="H4" s="169">
        <f t="shared" si="0"/>
        <v>0</v>
      </c>
      <c r="I4" s="222"/>
    </row>
    <row r="5" spans="1:9" ht="15.95" customHeight="1">
      <c r="A5" s="517"/>
      <c r="B5" s="214"/>
      <c r="C5" s="221"/>
      <c r="D5" s="215"/>
      <c r="E5" s="216"/>
      <c r="F5" s="217"/>
      <c r="G5" s="218"/>
      <c r="H5" s="169">
        <f t="shared" si="0"/>
        <v>0</v>
      </c>
      <c r="I5" s="222"/>
    </row>
    <row r="6" spans="1:9" ht="15.95" customHeight="1">
      <c r="A6" s="517"/>
      <c r="B6" s="214"/>
      <c r="C6" s="221"/>
      <c r="D6" s="215"/>
      <c r="E6" s="216"/>
      <c r="F6" s="217"/>
      <c r="G6" s="218"/>
      <c r="H6" s="169">
        <f t="shared" si="0"/>
        <v>0</v>
      </c>
      <c r="I6" s="222"/>
    </row>
    <row r="7" spans="1:9" ht="15.95" customHeight="1">
      <c r="A7" s="517"/>
      <c r="B7" s="214"/>
      <c r="C7" s="221"/>
      <c r="D7" s="221"/>
      <c r="E7" s="223"/>
      <c r="F7" s="224"/>
      <c r="G7" s="225"/>
      <c r="H7" s="169">
        <f t="shared" si="0"/>
        <v>0</v>
      </c>
      <c r="I7" s="222"/>
    </row>
    <row r="8" spans="1:9" ht="15.95" customHeight="1">
      <c r="A8" s="517"/>
      <c r="B8" s="214"/>
      <c r="C8" s="226"/>
      <c r="D8" s="226"/>
      <c r="E8" s="227"/>
      <c r="F8" s="228"/>
      <c r="G8" s="229"/>
      <c r="H8" s="169">
        <f t="shared" si="0"/>
        <v>0</v>
      </c>
      <c r="I8" s="230"/>
    </row>
    <row r="9" spans="1:9" ht="15.95" customHeight="1">
      <c r="A9" s="517"/>
      <c r="B9" s="231"/>
      <c r="C9" s="232"/>
      <c r="D9" s="233"/>
      <c r="E9" s="211"/>
      <c r="F9" s="234"/>
      <c r="G9" s="235"/>
      <c r="H9" s="157">
        <f>SUM(H3:H8)</f>
        <v>0</v>
      </c>
      <c r="I9" s="236"/>
    </row>
    <row r="10" spans="1:9" ht="15.95" customHeight="1">
      <c r="A10" s="517"/>
      <c r="B10" s="237" t="s">
        <v>123</v>
      </c>
      <c r="C10" s="238"/>
      <c r="D10" s="238"/>
      <c r="E10" s="239"/>
      <c r="F10" s="240"/>
      <c r="G10" s="241"/>
      <c r="H10" s="242">
        <f t="shared" ref="H10:H53" si="1">IF(F10=0,G10,G10*F10)</f>
        <v>0</v>
      </c>
      <c r="I10" s="243"/>
    </row>
    <row r="11" spans="1:9" ht="15.95" customHeight="1">
      <c r="A11" s="517"/>
      <c r="B11" s="244" t="s">
        <v>124</v>
      </c>
      <c r="C11" s="221"/>
      <c r="D11" s="221"/>
      <c r="E11" s="223"/>
      <c r="F11" s="224"/>
      <c r="G11" s="225"/>
      <c r="H11" s="169">
        <f t="shared" si="1"/>
        <v>0</v>
      </c>
      <c r="I11" s="222"/>
    </row>
    <row r="12" spans="1:9" ht="15.95" customHeight="1">
      <c r="A12" s="517"/>
      <c r="B12" s="244" t="s">
        <v>125</v>
      </c>
      <c r="C12" s="221"/>
      <c r="D12" s="221"/>
      <c r="E12" s="223"/>
      <c r="F12" s="224"/>
      <c r="G12" s="225"/>
      <c r="H12" s="169">
        <f t="shared" si="1"/>
        <v>0</v>
      </c>
      <c r="I12" s="222"/>
    </row>
    <row r="13" spans="1:9" ht="15.95" customHeight="1">
      <c r="A13" s="517"/>
      <c r="B13" s="214"/>
      <c r="C13" s="221"/>
      <c r="D13" s="221"/>
      <c r="E13" s="223"/>
      <c r="F13" s="224"/>
      <c r="G13" s="225"/>
      <c r="H13" s="169">
        <f t="shared" si="1"/>
        <v>0</v>
      </c>
      <c r="I13" s="222"/>
    </row>
    <row r="14" spans="1:9" ht="15.95" customHeight="1">
      <c r="A14" s="517"/>
      <c r="B14" s="214"/>
      <c r="C14" s="221"/>
      <c r="D14" s="221"/>
      <c r="E14" s="223"/>
      <c r="F14" s="224"/>
      <c r="G14" s="225"/>
      <c r="H14" s="169">
        <f t="shared" si="1"/>
        <v>0</v>
      </c>
      <c r="I14" s="222"/>
    </row>
    <row r="15" spans="1:9" ht="15.95" customHeight="1">
      <c r="A15" s="517"/>
      <c r="B15" s="214"/>
      <c r="C15" s="226"/>
      <c r="D15" s="245"/>
      <c r="E15" s="227"/>
      <c r="F15" s="246"/>
      <c r="G15" s="247"/>
      <c r="H15" s="248">
        <f t="shared" si="1"/>
        <v>0</v>
      </c>
      <c r="I15" s="249"/>
    </row>
    <row r="16" spans="1:9" ht="15.95" customHeight="1">
      <c r="A16" s="517"/>
      <c r="B16" s="214"/>
      <c r="C16" s="250"/>
      <c r="D16" s="251"/>
      <c r="E16" s="252"/>
      <c r="F16" s="253"/>
      <c r="G16" s="254"/>
      <c r="H16" s="255">
        <f>SUM(H10:H15)</f>
        <v>0</v>
      </c>
      <c r="I16" s="256"/>
    </row>
    <row r="17" spans="1:9" ht="15.95" customHeight="1">
      <c r="A17" s="517"/>
      <c r="B17" s="257" t="s">
        <v>126</v>
      </c>
      <c r="C17" s="221"/>
      <c r="D17" s="221"/>
      <c r="E17" s="223"/>
      <c r="F17" s="224"/>
      <c r="G17" s="225"/>
      <c r="H17" s="242">
        <f>IF(F17=0,G17,G17*F17)</f>
        <v>0</v>
      </c>
      <c r="I17" s="243"/>
    </row>
    <row r="18" spans="1:9" ht="15.95" customHeight="1">
      <c r="A18" s="517"/>
      <c r="B18" s="214"/>
      <c r="C18" s="221"/>
      <c r="D18" s="221"/>
      <c r="E18" s="223"/>
      <c r="F18" s="224"/>
      <c r="G18" s="225"/>
      <c r="H18" s="169">
        <f t="shared" si="1"/>
        <v>0</v>
      </c>
      <c r="I18" s="222"/>
    </row>
    <row r="19" spans="1:9" ht="15.95" customHeight="1">
      <c r="A19" s="517"/>
      <c r="B19" s="214"/>
      <c r="C19" s="221"/>
      <c r="D19" s="221"/>
      <c r="E19" s="223"/>
      <c r="F19" s="224"/>
      <c r="G19" s="225"/>
      <c r="H19" s="169">
        <f t="shared" si="1"/>
        <v>0</v>
      </c>
      <c r="I19" s="222"/>
    </row>
    <row r="20" spans="1:9" ht="15.95" customHeight="1">
      <c r="A20" s="517"/>
      <c r="B20" s="214"/>
      <c r="C20" s="221"/>
      <c r="D20" s="221"/>
      <c r="E20" s="223"/>
      <c r="F20" s="224"/>
      <c r="G20" s="225"/>
      <c r="H20" s="169">
        <f t="shared" si="1"/>
        <v>0</v>
      </c>
      <c r="I20" s="222"/>
    </row>
    <row r="21" spans="1:9" ht="15.95" customHeight="1">
      <c r="A21" s="517"/>
      <c r="B21" s="214"/>
      <c r="C21" s="221"/>
      <c r="D21" s="221"/>
      <c r="E21" s="223"/>
      <c r="F21" s="224"/>
      <c r="G21" s="225"/>
      <c r="H21" s="169">
        <f t="shared" si="1"/>
        <v>0</v>
      </c>
      <c r="I21" s="222"/>
    </row>
    <row r="22" spans="1:9" ht="15.95" customHeight="1">
      <c r="A22" s="517"/>
      <c r="B22" s="214"/>
      <c r="C22" s="221"/>
      <c r="D22" s="221"/>
      <c r="E22" s="223"/>
      <c r="F22" s="224"/>
      <c r="G22" s="225"/>
      <c r="H22" s="169">
        <f t="shared" si="1"/>
        <v>0</v>
      </c>
      <c r="I22" s="222"/>
    </row>
    <row r="23" spans="1:9" ht="15.95" customHeight="1">
      <c r="A23" s="517"/>
      <c r="B23" s="214"/>
      <c r="C23" s="221"/>
      <c r="D23" s="221"/>
      <c r="E23" s="223"/>
      <c r="F23" s="224"/>
      <c r="G23" s="225"/>
      <c r="H23" s="169">
        <f t="shared" si="1"/>
        <v>0</v>
      </c>
      <c r="I23" s="222"/>
    </row>
    <row r="24" spans="1:9" ht="15.95" customHeight="1">
      <c r="A24" s="517"/>
      <c r="B24" s="214"/>
      <c r="C24" s="221"/>
      <c r="D24" s="221"/>
      <c r="E24" s="223"/>
      <c r="F24" s="224"/>
      <c r="G24" s="225"/>
      <c r="H24" s="169">
        <f t="shared" si="1"/>
        <v>0</v>
      </c>
      <c r="I24" s="222"/>
    </row>
    <row r="25" spans="1:9" ht="15.95" customHeight="1">
      <c r="A25" s="517"/>
      <c r="B25" s="214"/>
      <c r="C25" s="221"/>
      <c r="D25" s="221"/>
      <c r="E25" s="223"/>
      <c r="F25" s="224"/>
      <c r="G25" s="225"/>
      <c r="H25" s="169">
        <f t="shared" si="1"/>
        <v>0</v>
      </c>
      <c r="I25" s="222"/>
    </row>
    <row r="26" spans="1:9" ht="15.95" customHeight="1">
      <c r="A26" s="517"/>
      <c r="B26" s="214"/>
      <c r="C26" s="221"/>
      <c r="D26" s="221"/>
      <c r="E26" s="223"/>
      <c r="F26" s="224"/>
      <c r="G26" s="225"/>
      <c r="H26" s="169">
        <f t="shared" si="1"/>
        <v>0</v>
      </c>
      <c r="I26" s="222"/>
    </row>
    <row r="27" spans="1:9" ht="15.95" customHeight="1">
      <c r="A27" s="517"/>
      <c r="B27" s="214"/>
      <c r="C27" s="221"/>
      <c r="D27" s="221"/>
      <c r="E27" s="223"/>
      <c r="F27" s="224"/>
      <c r="G27" s="225"/>
      <c r="H27" s="169">
        <f t="shared" si="1"/>
        <v>0</v>
      </c>
      <c r="I27" s="222"/>
    </row>
    <row r="28" spans="1:9" ht="15.95" customHeight="1">
      <c r="A28" s="517"/>
      <c r="B28" s="214"/>
      <c r="C28" s="221"/>
      <c r="D28" s="221"/>
      <c r="E28" s="223"/>
      <c r="F28" s="224"/>
      <c r="G28" s="225"/>
      <c r="H28" s="169">
        <f t="shared" si="1"/>
        <v>0</v>
      </c>
      <c r="I28" s="222"/>
    </row>
    <row r="29" spans="1:9" ht="15.95" customHeight="1">
      <c r="A29" s="517"/>
      <c r="B29" s="214"/>
      <c r="C29" s="221"/>
      <c r="D29" s="221"/>
      <c r="E29" s="223"/>
      <c r="F29" s="224"/>
      <c r="G29" s="225"/>
      <c r="H29" s="169">
        <f t="shared" si="1"/>
        <v>0</v>
      </c>
      <c r="I29" s="222"/>
    </row>
    <row r="30" spans="1:9" ht="15.95" customHeight="1">
      <c r="A30" s="517"/>
      <c r="B30" s="214"/>
      <c r="C30" s="221"/>
      <c r="D30" s="221"/>
      <c r="E30" s="223"/>
      <c r="F30" s="224"/>
      <c r="G30" s="225"/>
      <c r="H30" s="169">
        <f t="shared" si="1"/>
        <v>0</v>
      </c>
      <c r="I30" s="222"/>
    </row>
    <row r="31" spans="1:9" ht="15.95" customHeight="1">
      <c r="A31" s="517"/>
      <c r="B31" s="214"/>
      <c r="C31" s="221"/>
      <c r="D31" s="221"/>
      <c r="E31" s="223"/>
      <c r="F31" s="224"/>
      <c r="G31" s="225"/>
      <c r="H31" s="169">
        <f t="shared" si="1"/>
        <v>0</v>
      </c>
      <c r="I31" s="222"/>
    </row>
    <row r="32" spans="1:9" ht="15.95" customHeight="1">
      <c r="A32" s="517"/>
      <c r="B32" s="214"/>
      <c r="C32" s="221"/>
      <c r="D32" s="221"/>
      <c r="E32" s="223"/>
      <c r="F32" s="224"/>
      <c r="G32" s="225"/>
      <c r="H32" s="169">
        <f t="shared" si="1"/>
        <v>0</v>
      </c>
      <c r="I32" s="222"/>
    </row>
    <row r="33" spans="1:9" ht="15.95" customHeight="1">
      <c r="A33" s="517"/>
      <c r="B33" s="214"/>
      <c r="C33" s="221"/>
      <c r="D33" s="221"/>
      <c r="E33" s="223"/>
      <c r="F33" s="224"/>
      <c r="G33" s="225"/>
      <c r="H33" s="169">
        <f t="shared" si="1"/>
        <v>0</v>
      </c>
      <c r="I33" s="222"/>
    </row>
    <row r="34" spans="1:9" ht="15.95" customHeight="1">
      <c r="A34" s="517"/>
      <c r="B34" s="214"/>
      <c r="C34" s="221"/>
      <c r="D34" s="221"/>
      <c r="E34" s="223"/>
      <c r="F34" s="224"/>
      <c r="G34" s="225"/>
      <c r="H34" s="169">
        <f t="shared" si="1"/>
        <v>0</v>
      </c>
      <c r="I34" s="222"/>
    </row>
    <row r="35" spans="1:9" ht="15.95" customHeight="1">
      <c r="A35" s="517"/>
      <c r="B35" s="214"/>
      <c r="C35" s="221"/>
      <c r="D35" s="221"/>
      <c r="E35" s="223"/>
      <c r="F35" s="224"/>
      <c r="G35" s="225"/>
      <c r="H35" s="169">
        <f t="shared" si="1"/>
        <v>0</v>
      </c>
      <c r="I35" s="222"/>
    </row>
    <row r="36" spans="1:9" ht="15.95" customHeight="1">
      <c r="A36" s="517"/>
      <c r="B36" s="214"/>
      <c r="C36" s="221"/>
      <c r="D36" s="221"/>
      <c r="E36" s="223"/>
      <c r="F36" s="224"/>
      <c r="G36" s="225"/>
      <c r="H36" s="169">
        <f t="shared" si="1"/>
        <v>0</v>
      </c>
      <c r="I36" s="222"/>
    </row>
    <row r="37" spans="1:9" ht="15.95" customHeight="1">
      <c r="A37" s="517"/>
      <c r="B37" s="214"/>
      <c r="C37" s="221"/>
      <c r="D37" s="221"/>
      <c r="E37" s="223"/>
      <c r="F37" s="224"/>
      <c r="G37" s="225"/>
      <c r="H37" s="169">
        <f t="shared" si="1"/>
        <v>0</v>
      </c>
      <c r="I37" s="222"/>
    </row>
    <row r="38" spans="1:9" ht="15.95" customHeight="1">
      <c r="A38" s="517"/>
      <c r="B38" s="214"/>
      <c r="C38" s="221"/>
      <c r="D38" s="221"/>
      <c r="E38" s="223"/>
      <c r="F38" s="224"/>
      <c r="G38" s="225"/>
      <c r="H38" s="169">
        <f t="shared" si="1"/>
        <v>0</v>
      </c>
      <c r="I38" s="222"/>
    </row>
    <row r="39" spans="1:9" ht="15.95" customHeight="1">
      <c r="A39" s="517"/>
      <c r="B39" s="214"/>
      <c r="C39" s="221"/>
      <c r="D39" s="221"/>
      <c r="E39" s="223"/>
      <c r="F39" s="224"/>
      <c r="G39" s="225"/>
      <c r="H39" s="169">
        <f t="shared" si="1"/>
        <v>0</v>
      </c>
      <c r="I39" s="222"/>
    </row>
    <row r="40" spans="1:9" ht="15.95" customHeight="1">
      <c r="A40" s="517"/>
      <c r="B40" s="214"/>
      <c r="C40" s="221"/>
      <c r="D40" s="221"/>
      <c r="E40" s="223"/>
      <c r="F40" s="224"/>
      <c r="G40" s="225"/>
      <c r="H40" s="169">
        <f t="shared" si="1"/>
        <v>0</v>
      </c>
      <c r="I40" s="222"/>
    </row>
    <row r="41" spans="1:9" ht="15.95" customHeight="1">
      <c r="A41" s="517"/>
      <c r="B41" s="214"/>
      <c r="C41" s="221"/>
      <c r="D41" s="221"/>
      <c r="E41" s="223"/>
      <c r="F41" s="224"/>
      <c r="G41" s="225"/>
      <c r="H41" s="169">
        <f t="shared" si="1"/>
        <v>0</v>
      </c>
      <c r="I41" s="222"/>
    </row>
    <row r="42" spans="1:9" ht="15.95" customHeight="1">
      <c r="A42" s="517"/>
      <c r="B42" s="214"/>
      <c r="C42" s="221"/>
      <c r="D42" s="221"/>
      <c r="E42" s="223"/>
      <c r="F42" s="224"/>
      <c r="G42" s="225"/>
      <c r="H42" s="169">
        <f t="shared" si="1"/>
        <v>0</v>
      </c>
      <c r="I42" s="222"/>
    </row>
    <row r="43" spans="1:9" ht="15.95" customHeight="1">
      <c r="A43" s="517"/>
      <c r="B43" s="214"/>
      <c r="C43" s="221"/>
      <c r="D43" s="221"/>
      <c r="E43" s="223"/>
      <c r="F43" s="224"/>
      <c r="G43" s="225"/>
      <c r="H43" s="169">
        <f t="shared" si="1"/>
        <v>0</v>
      </c>
      <c r="I43" s="222"/>
    </row>
    <row r="44" spans="1:9" ht="15.95" customHeight="1">
      <c r="A44" s="517"/>
      <c r="B44" s="214"/>
      <c r="C44" s="221"/>
      <c r="D44" s="221"/>
      <c r="E44" s="223"/>
      <c r="F44" s="224"/>
      <c r="G44" s="225"/>
      <c r="H44" s="169">
        <f t="shared" si="1"/>
        <v>0</v>
      </c>
      <c r="I44" s="222"/>
    </row>
    <row r="45" spans="1:9" ht="15.95" customHeight="1">
      <c r="A45" s="517"/>
      <c r="B45" s="214"/>
      <c r="C45" s="221"/>
      <c r="D45" s="221"/>
      <c r="E45" s="223"/>
      <c r="F45" s="224"/>
      <c r="G45" s="225"/>
      <c r="H45" s="169">
        <f t="shared" si="1"/>
        <v>0</v>
      </c>
      <c r="I45" s="222"/>
    </row>
    <row r="46" spans="1:9" ht="15.95" customHeight="1">
      <c r="A46" s="517"/>
      <c r="B46" s="214"/>
      <c r="C46" s="221"/>
      <c r="D46" s="221"/>
      <c r="E46" s="223"/>
      <c r="F46" s="224"/>
      <c r="G46" s="225"/>
      <c r="H46" s="169">
        <f t="shared" si="1"/>
        <v>0</v>
      </c>
      <c r="I46" s="222"/>
    </row>
    <row r="47" spans="1:9" ht="15.95" customHeight="1">
      <c r="A47" s="517"/>
      <c r="B47" s="214"/>
      <c r="C47" s="221"/>
      <c r="D47" s="221"/>
      <c r="E47" s="223"/>
      <c r="F47" s="224"/>
      <c r="G47" s="225"/>
      <c r="H47" s="169">
        <f t="shared" si="1"/>
        <v>0</v>
      </c>
      <c r="I47" s="222"/>
    </row>
    <row r="48" spans="1:9" ht="15.95" customHeight="1">
      <c r="A48" s="517"/>
      <c r="B48" s="214"/>
      <c r="C48" s="221"/>
      <c r="D48" s="221"/>
      <c r="E48" s="223"/>
      <c r="F48" s="224"/>
      <c r="G48" s="225"/>
      <c r="H48" s="169">
        <f t="shared" si="1"/>
        <v>0</v>
      </c>
      <c r="I48" s="222"/>
    </row>
    <row r="49" spans="1:9" ht="15.95" customHeight="1">
      <c r="A49" s="517"/>
      <c r="B49" s="214"/>
      <c r="C49" s="221"/>
      <c r="D49" s="221"/>
      <c r="E49" s="223"/>
      <c r="F49" s="224"/>
      <c r="G49" s="225"/>
      <c r="H49" s="169">
        <f t="shared" si="1"/>
        <v>0</v>
      </c>
      <c r="I49" s="222"/>
    </row>
    <row r="50" spans="1:9" ht="15.95" customHeight="1">
      <c r="A50" s="517"/>
      <c r="B50" s="214"/>
      <c r="C50" s="221"/>
      <c r="D50" s="221"/>
      <c r="E50" s="223"/>
      <c r="F50" s="224"/>
      <c r="G50" s="225"/>
      <c r="H50" s="169">
        <f t="shared" si="1"/>
        <v>0</v>
      </c>
      <c r="I50" s="222"/>
    </row>
    <row r="51" spans="1:9" ht="15.95" customHeight="1">
      <c r="A51" s="517"/>
      <c r="B51" s="214"/>
      <c r="C51" s="221"/>
      <c r="D51" s="221"/>
      <c r="E51" s="223"/>
      <c r="F51" s="224"/>
      <c r="G51" s="225"/>
      <c r="H51" s="169">
        <f t="shared" si="1"/>
        <v>0</v>
      </c>
      <c r="I51" s="222"/>
    </row>
    <row r="52" spans="1:9" ht="15.95" customHeight="1">
      <c r="A52" s="517"/>
      <c r="B52" s="214"/>
      <c r="C52" s="221"/>
      <c r="D52" s="221"/>
      <c r="E52" s="223"/>
      <c r="F52" s="224"/>
      <c r="G52" s="225"/>
      <c r="H52" s="169">
        <f t="shared" si="1"/>
        <v>0</v>
      </c>
      <c r="I52" s="222"/>
    </row>
    <row r="53" spans="1:9" ht="15.95" customHeight="1">
      <c r="A53" s="517"/>
      <c r="B53" s="214"/>
      <c r="C53" s="226"/>
      <c r="D53" s="226"/>
      <c r="E53" s="227"/>
      <c r="F53" s="228"/>
      <c r="G53" s="229"/>
      <c r="H53" s="258">
        <f t="shared" si="1"/>
        <v>0</v>
      </c>
      <c r="I53" s="230"/>
    </row>
    <row r="54" spans="1:9" ht="15.95" customHeight="1">
      <c r="A54" s="517"/>
      <c r="B54" s="231"/>
      <c r="C54" s="232"/>
      <c r="D54" s="233"/>
      <c r="E54" s="211"/>
      <c r="F54" s="234"/>
      <c r="G54" s="235"/>
      <c r="H54" s="157">
        <f>SUM(H17:H53)</f>
        <v>0</v>
      </c>
      <c r="I54" s="236"/>
    </row>
    <row r="55" spans="1:9" ht="15.95" customHeight="1">
      <c r="A55" s="259"/>
      <c r="B55" s="260" t="s">
        <v>127</v>
      </c>
      <c r="C55" s="261"/>
      <c r="D55" s="236"/>
      <c r="E55" s="212"/>
      <c r="F55" s="262"/>
      <c r="G55" s="263"/>
      <c r="H55" s="157">
        <f>SUM(H54,H9,H16)</f>
        <v>0</v>
      </c>
      <c r="I55" s="236"/>
    </row>
    <row r="56" spans="1:9" ht="15.95" customHeight="1">
      <c r="A56" s="518" t="s">
        <v>128</v>
      </c>
      <c r="B56" s="264" t="s">
        <v>49</v>
      </c>
      <c r="C56" s="261"/>
      <c r="D56" s="265"/>
      <c r="E56" s="266" t="s">
        <v>50</v>
      </c>
      <c r="F56" s="267"/>
      <c r="G56" s="268">
        <v>250000</v>
      </c>
      <c r="H56" s="187">
        <f t="shared" ref="H56:H62" si="2">F56*G56</f>
        <v>0</v>
      </c>
      <c r="I56" s="236"/>
    </row>
    <row r="57" spans="1:9" ht="15.95" customHeight="1">
      <c r="A57" s="519"/>
      <c r="B57" s="269" t="s">
        <v>129</v>
      </c>
      <c r="C57" s="270"/>
      <c r="D57" s="271"/>
      <c r="E57" s="272" t="s">
        <v>130</v>
      </c>
      <c r="F57" s="239"/>
      <c r="G57" s="241">
        <v>250000</v>
      </c>
      <c r="H57" s="242">
        <f t="shared" si="2"/>
        <v>0</v>
      </c>
      <c r="I57" s="243"/>
    </row>
    <row r="58" spans="1:9" ht="15.95" customHeight="1">
      <c r="A58" s="519"/>
      <c r="B58" s="273" t="s">
        <v>131</v>
      </c>
      <c r="C58" s="274"/>
      <c r="D58" s="275"/>
      <c r="E58" s="276" t="s">
        <v>130</v>
      </c>
      <c r="F58" s="217"/>
      <c r="G58" s="225">
        <v>250000</v>
      </c>
      <c r="H58" s="169">
        <f t="shared" si="2"/>
        <v>0</v>
      </c>
      <c r="I58" s="222"/>
    </row>
    <row r="59" spans="1:9" ht="15.95" customHeight="1">
      <c r="A59" s="519"/>
      <c r="B59" s="273" t="s">
        <v>132</v>
      </c>
      <c r="C59" s="274"/>
      <c r="D59" s="275"/>
      <c r="E59" s="276" t="s">
        <v>130</v>
      </c>
      <c r="F59" s="224"/>
      <c r="G59" s="225">
        <v>250000</v>
      </c>
      <c r="H59" s="169">
        <f>F59*G59</f>
        <v>0</v>
      </c>
      <c r="I59" s="222"/>
    </row>
    <row r="60" spans="1:9" ht="15.95" customHeight="1">
      <c r="A60" s="519"/>
      <c r="B60" s="273" t="s">
        <v>133</v>
      </c>
      <c r="C60" s="274"/>
      <c r="D60" s="275"/>
      <c r="E60" s="276" t="s">
        <v>130</v>
      </c>
      <c r="F60" s="224"/>
      <c r="G60" s="225">
        <v>250000</v>
      </c>
      <c r="H60" s="169">
        <f t="shared" si="2"/>
        <v>0</v>
      </c>
      <c r="I60" s="222"/>
    </row>
    <row r="61" spans="1:9" ht="15.95" customHeight="1">
      <c r="A61" s="519"/>
      <c r="B61" s="273" t="s">
        <v>134</v>
      </c>
      <c r="C61" s="274"/>
      <c r="D61" s="275"/>
      <c r="E61" s="276" t="s">
        <v>130</v>
      </c>
      <c r="F61" s="246"/>
      <c r="G61" s="247">
        <v>250000</v>
      </c>
      <c r="H61" s="169">
        <f t="shared" si="2"/>
        <v>0</v>
      </c>
      <c r="I61" s="222"/>
    </row>
    <row r="62" spans="1:9" ht="15.95" customHeight="1">
      <c r="A62" s="519"/>
      <c r="B62" s="277" t="s">
        <v>135</v>
      </c>
      <c r="C62" s="278"/>
      <c r="D62" s="279"/>
      <c r="E62" s="280" t="s">
        <v>130</v>
      </c>
      <c r="F62" s="228"/>
      <c r="G62" s="229">
        <v>250000</v>
      </c>
      <c r="H62" s="258">
        <f t="shared" si="2"/>
        <v>0</v>
      </c>
      <c r="I62" s="230"/>
    </row>
    <row r="63" spans="1:9" ht="15.95" customHeight="1">
      <c r="A63" s="259"/>
      <c r="B63" s="281" t="s">
        <v>136</v>
      </c>
      <c r="C63" s="261"/>
      <c r="D63" s="236"/>
      <c r="E63" s="212"/>
      <c r="F63" s="234"/>
      <c r="G63" s="235"/>
      <c r="H63" s="157">
        <f>SUM(H56:H62)</f>
        <v>0</v>
      </c>
      <c r="I63" s="236"/>
    </row>
    <row r="64" spans="1:9" ht="15.95" customHeight="1">
      <c r="A64" s="282"/>
      <c r="B64" s="281" t="s">
        <v>137</v>
      </c>
      <c r="C64" s="261"/>
      <c r="D64" s="236"/>
      <c r="E64" s="212"/>
      <c r="F64" s="213"/>
      <c r="G64" s="283" t="s">
        <v>138</v>
      </c>
      <c r="H64" s="263">
        <v>0</v>
      </c>
      <c r="I64" s="236"/>
    </row>
    <row r="65" spans="1:11" ht="15.95" customHeight="1">
      <c r="A65" s="282"/>
      <c r="B65" s="281" t="s">
        <v>75</v>
      </c>
      <c r="C65" s="261"/>
      <c r="D65" s="236"/>
      <c r="E65" s="212"/>
      <c r="F65" s="213"/>
      <c r="G65" s="284"/>
      <c r="H65" s="285">
        <f>(H63+H55)*0.05</f>
        <v>0</v>
      </c>
      <c r="I65" s="261"/>
    </row>
    <row r="66" spans="1:11" ht="15.95" customHeight="1">
      <c r="A66" s="282"/>
      <c r="B66" s="281" t="s">
        <v>139</v>
      </c>
      <c r="C66" s="261"/>
      <c r="D66" s="236"/>
      <c r="E66" s="212"/>
      <c r="F66" s="213"/>
      <c r="G66" s="284"/>
      <c r="H66" s="285">
        <f>(H63+H55)*0</f>
        <v>0</v>
      </c>
      <c r="I66" s="261"/>
    </row>
    <row r="67" spans="1:11" ht="15.95" customHeight="1">
      <c r="A67" s="282"/>
      <c r="B67" s="281" t="s">
        <v>140</v>
      </c>
      <c r="C67" s="261"/>
      <c r="D67" s="236"/>
      <c r="E67" s="212"/>
      <c r="F67" s="213"/>
      <c r="G67" s="157"/>
      <c r="H67" s="235">
        <f>H55+H63+H64+H65+H66</f>
        <v>0</v>
      </c>
      <c r="I67" s="236"/>
      <c r="K67" s="159"/>
    </row>
    <row r="68" spans="1:11">
      <c r="A68" s="140"/>
    </row>
  </sheetData>
  <mergeCells count="3">
    <mergeCell ref="A2:B2"/>
    <mergeCell ref="A3:A54"/>
    <mergeCell ref="A56:A62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69" orientation="portrait" horizontalDpi="4294967292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70"/>
  <sheetViews>
    <sheetView zoomScale="85" workbookViewId="0">
      <pane xSplit="2" ySplit="2" topLeftCell="C3" activePane="bottomRight" state="frozen"/>
      <selection activeCell="F18" sqref="F18"/>
      <selection pane="topRight" activeCell="F18" sqref="F18"/>
      <selection pane="bottomLeft" activeCell="F18" sqref="F18"/>
      <selection pane="bottomRight" activeCell="C1" sqref="C1"/>
    </sheetView>
  </sheetViews>
  <sheetFormatPr defaultColWidth="8.75" defaultRowHeight="13.5"/>
  <cols>
    <col min="1" max="1" width="5" style="128" customWidth="1"/>
    <col min="2" max="2" width="17.875" style="128" bestFit="1" customWidth="1"/>
    <col min="3" max="3" width="23.625" style="128" customWidth="1"/>
    <col min="4" max="4" width="18.25" style="128" customWidth="1"/>
    <col min="5" max="5" width="5.25" style="128" bestFit="1" customWidth="1"/>
    <col min="6" max="6" width="9" style="159"/>
    <col min="7" max="7" width="11.875" style="159" customWidth="1"/>
    <col min="8" max="8" width="13.625" style="159" customWidth="1"/>
    <col min="9" max="9" width="12.75" style="128" customWidth="1"/>
    <col min="10" max="10" width="9" style="128"/>
    <col min="11" max="11" width="10" style="128" bestFit="1" customWidth="1"/>
    <col min="12" max="16384" width="8.75" style="128"/>
  </cols>
  <sheetData>
    <row r="1" spans="1:11" ht="22.5" customHeight="1">
      <c r="B1" s="206" t="s">
        <v>141</v>
      </c>
      <c r="C1" s="287" t="s">
        <v>290</v>
      </c>
      <c r="D1" s="208"/>
      <c r="E1" s="208"/>
      <c r="F1" s="288"/>
      <c r="G1" s="171"/>
      <c r="I1" s="128" t="s">
        <v>142</v>
      </c>
      <c r="K1" s="289"/>
    </row>
    <row r="2" spans="1:11" s="140" customFormat="1" ht="16.5" customHeight="1">
      <c r="A2" s="387" t="s">
        <v>143</v>
      </c>
      <c r="B2" s="515"/>
      <c r="C2" s="133" t="s">
        <v>144</v>
      </c>
      <c r="D2" s="129" t="s">
        <v>145</v>
      </c>
      <c r="E2" s="129" t="s">
        <v>30</v>
      </c>
      <c r="F2" s="262" t="s">
        <v>31</v>
      </c>
      <c r="G2" s="262" t="s">
        <v>146</v>
      </c>
      <c r="H2" s="262" t="s">
        <v>147</v>
      </c>
      <c r="I2" s="129" t="s">
        <v>148</v>
      </c>
    </row>
    <row r="3" spans="1:11" ht="15.95" customHeight="1">
      <c r="A3" s="516" t="s">
        <v>149</v>
      </c>
      <c r="B3" s="214" t="s">
        <v>150</v>
      </c>
      <c r="C3" s="316" t="s">
        <v>262</v>
      </c>
      <c r="D3" s="317" t="s">
        <v>263</v>
      </c>
      <c r="E3" s="318" t="s">
        <v>264</v>
      </c>
      <c r="F3" s="319">
        <v>1</v>
      </c>
      <c r="G3" s="319">
        <v>4000000</v>
      </c>
      <c r="H3" s="242">
        <f>IF(F3=0,G3,G3*F3)</f>
        <v>4000000</v>
      </c>
      <c r="I3" s="243"/>
    </row>
    <row r="4" spans="1:11" ht="15.95" customHeight="1">
      <c r="A4" s="511"/>
      <c r="B4" s="214"/>
      <c r="C4" s="316" t="s">
        <v>262</v>
      </c>
      <c r="D4" s="317" t="s">
        <v>265</v>
      </c>
      <c r="E4" s="318" t="s">
        <v>264</v>
      </c>
      <c r="F4" s="319">
        <v>1</v>
      </c>
      <c r="G4" s="319">
        <v>1000000</v>
      </c>
      <c r="H4" s="169">
        <f>IF(F4=0,G4,G4*F4)</f>
        <v>1000000</v>
      </c>
      <c r="I4" s="222"/>
    </row>
    <row r="5" spans="1:11" ht="15.95" customHeight="1">
      <c r="A5" s="511"/>
      <c r="B5" s="214"/>
      <c r="C5" s="316" t="s">
        <v>266</v>
      </c>
      <c r="D5" s="317" t="s">
        <v>261</v>
      </c>
      <c r="E5" s="318" t="s">
        <v>264</v>
      </c>
      <c r="F5" s="319">
        <v>1</v>
      </c>
      <c r="G5" s="319">
        <v>1600000</v>
      </c>
      <c r="H5" s="169">
        <f t="shared" ref="H5:H54" si="0">IF(F5=0,G5,G5*F5)</f>
        <v>1600000</v>
      </c>
      <c r="I5" s="222"/>
    </row>
    <row r="6" spans="1:11" ht="15.95" customHeight="1">
      <c r="A6" s="511"/>
      <c r="B6" s="214"/>
      <c r="C6" s="316" t="s">
        <v>267</v>
      </c>
      <c r="D6" s="317" t="s">
        <v>268</v>
      </c>
      <c r="E6" s="318" t="s">
        <v>264</v>
      </c>
      <c r="F6" s="319">
        <v>1</v>
      </c>
      <c r="G6" s="319">
        <v>1000000</v>
      </c>
      <c r="H6" s="169">
        <f t="shared" si="0"/>
        <v>1000000</v>
      </c>
      <c r="I6" s="222"/>
    </row>
    <row r="7" spans="1:11" ht="15.95" customHeight="1">
      <c r="A7" s="511"/>
      <c r="B7" s="214"/>
      <c r="C7" s="316" t="s">
        <v>269</v>
      </c>
      <c r="D7" s="317" t="s">
        <v>270</v>
      </c>
      <c r="E7" s="318" t="s">
        <v>264</v>
      </c>
      <c r="F7" s="319">
        <v>1</v>
      </c>
      <c r="G7" s="319">
        <v>400000</v>
      </c>
      <c r="H7" s="169">
        <f t="shared" si="0"/>
        <v>400000</v>
      </c>
      <c r="I7" s="222"/>
    </row>
    <row r="8" spans="1:11" ht="15.95" customHeight="1">
      <c r="A8" s="511"/>
      <c r="B8" s="214"/>
      <c r="C8" s="316" t="s">
        <v>271</v>
      </c>
      <c r="D8" s="316" t="s">
        <v>272</v>
      </c>
      <c r="E8" s="318" t="s">
        <v>264</v>
      </c>
      <c r="F8" s="319">
        <v>1</v>
      </c>
      <c r="G8" s="319">
        <v>2000000</v>
      </c>
      <c r="H8" s="169">
        <f t="shared" si="0"/>
        <v>2000000</v>
      </c>
      <c r="I8" s="222"/>
    </row>
    <row r="9" spans="1:11" ht="15.95" customHeight="1">
      <c r="A9" s="511"/>
      <c r="B9" s="214"/>
      <c r="C9" s="316" t="s">
        <v>273</v>
      </c>
      <c r="D9" s="316" t="s">
        <v>274</v>
      </c>
      <c r="E9" s="318" t="s">
        <v>264</v>
      </c>
      <c r="F9" s="319">
        <v>1</v>
      </c>
      <c r="G9" s="319">
        <v>6000000</v>
      </c>
      <c r="H9" s="169">
        <f t="shared" si="0"/>
        <v>6000000</v>
      </c>
      <c r="I9" s="222"/>
    </row>
    <row r="10" spans="1:11" ht="15.95" customHeight="1">
      <c r="A10" s="511"/>
      <c r="B10" s="214"/>
      <c r="C10" s="308"/>
      <c r="D10" s="308"/>
      <c r="E10" s="318"/>
      <c r="F10" s="313"/>
      <c r="G10" s="313"/>
      <c r="H10" s="169">
        <f t="shared" si="0"/>
        <v>0</v>
      </c>
      <c r="I10" s="222"/>
    </row>
    <row r="11" spans="1:11" ht="15.95" customHeight="1">
      <c r="A11" s="511"/>
      <c r="B11" s="214"/>
      <c r="C11" s="308"/>
      <c r="D11" s="308"/>
      <c r="E11" s="318"/>
      <c r="F11" s="313"/>
      <c r="G11" s="313"/>
      <c r="H11" s="169">
        <f t="shared" si="0"/>
        <v>0</v>
      </c>
      <c r="I11" s="222"/>
    </row>
    <row r="12" spans="1:11" ht="15.95" customHeight="1">
      <c r="A12" s="511"/>
      <c r="B12" s="214"/>
      <c r="C12" s="308"/>
      <c r="D12" s="308"/>
      <c r="E12" s="312"/>
      <c r="F12" s="313"/>
      <c r="G12" s="313"/>
      <c r="H12" s="169">
        <f t="shared" si="0"/>
        <v>0</v>
      </c>
      <c r="I12" s="222"/>
    </row>
    <row r="13" spans="1:11" ht="15.95" customHeight="1">
      <c r="A13" s="511"/>
      <c r="B13" s="214"/>
      <c r="C13" s="308"/>
      <c r="D13" s="308"/>
      <c r="E13" s="312"/>
      <c r="F13" s="313"/>
      <c r="G13" s="313"/>
      <c r="H13" s="169">
        <f t="shared" si="0"/>
        <v>0</v>
      </c>
      <c r="I13" s="222"/>
    </row>
    <row r="14" spans="1:11" ht="15.95" customHeight="1">
      <c r="A14" s="511"/>
      <c r="B14" s="214"/>
      <c r="C14" s="308"/>
      <c r="D14" s="308"/>
      <c r="E14" s="312"/>
      <c r="F14" s="313"/>
      <c r="G14" s="313"/>
      <c r="H14" s="169">
        <f t="shared" si="0"/>
        <v>0</v>
      </c>
      <c r="I14" s="222"/>
    </row>
    <row r="15" spans="1:11" ht="15.95" customHeight="1">
      <c r="A15" s="511"/>
      <c r="B15" s="214"/>
      <c r="C15" s="308"/>
      <c r="D15" s="308"/>
      <c r="E15" s="312"/>
      <c r="F15" s="313"/>
      <c r="G15" s="313"/>
      <c r="H15" s="169">
        <f t="shared" si="0"/>
        <v>0</v>
      </c>
      <c r="I15" s="222"/>
    </row>
    <row r="16" spans="1:11" ht="15.95" customHeight="1">
      <c r="A16" s="511"/>
      <c r="B16" s="214"/>
      <c r="C16" s="308"/>
      <c r="D16" s="308"/>
      <c r="E16" s="312"/>
      <c r="F16" s="313"/>
      <c r="G16" s="313"/>
      <c r="H16" s="169">
        <f t="shared" si="0"/>
        <v>0</v>
      </c>
      <c r="I16" s="222"/>
    </row>
    <row r="17" spans="1:9" ht="15.95" customHeight="1">
      <c r="A17" s="511"/>
      <c r="B17" s="214"/>
      <c r="C17" s="308"/>
      <c r="D17" s="308"/>
      <c r="E17" s="312"/>
      <c r="F17" s="313"/>
      <c r="G17" s="313"/>
      <c r="H17" s="169">
        <f t="shared" si="0"/>
        <v>0</v>
      </c>
      <c r="I17" s="222"/>
    </row>
    <row r="18" spans="1:9" ht="15.95" customHeight="1">
      <c r="A18" s="511"/>
      <c r="B18" s="214"/>
      <c r="C18" s="308"/>
      <c r="D18" s="308"/>
      <c r="E18" s="312"/>
      <c r="F18" s="313"/>
      <c r="G18" s="313"/>
      <c r="H18" s="169">
        <f t="shared" si="0"/>
        <v>0</v>
      </c>
      <c r="I18" s="222"/>
    </row>
    <row r="19" spans="1:9" ht="15.95" customHeight="1">
      <c r="A19" s="511"/>
      <c r="B19" s="214"/>
      <c r="C19" s="308"/>
      <c r="D19" s="308"/>
      <c r="E19" s="312"/>
      <c r="F19" s="313"/>
      <c r="G19" s="313"/>
      <c r="H19" s="169">
        <f t="shared" si="0"/>
        <v>0</v>
      </c>
      <c r="I19" s="222"/>
    </row>
    <row r="20" spans="1:9" ht="15.95" customHeight="1">
      <c r="A20" s="511"/>
      <c r="B20" s="214"/>
      <c r="C20" s="308"/>
      <c r="D20" s="308"/>
      <c r="E20" s="312"/>
      <c r="F20" s="313"/>
      <c r="G20" s="313"/>
      <c r="H20" s="169">
        <f t="shared" si="0"/>
        <v>0</v>
      </c>
      <c r="I20" s="222"/>
    </row>
    <row r="21" spans="1:9" ht="15.95" customHeight="1">
      <c r="A21" s="511"/>
      <c r="B21" s="214"/>
      <c r="C21" s="308"/>
      <c r="D21" s="308"/>
      <c r="E21" s="312"/>
      <c r="F21" s="313"/>
      <c r="G21" s="313"/>
      <c r="H21" s="169">
        <f t="shared" si="0"/>
        <v>0</v>
      </c>
      <c r="I21" s="222"/>
    </row>
    <row r="22" spans="1:9" ht="15.95" customHeight="1">
      <c r="A22" s="511"/>
      <c r="B22" s="214"/>
      <c r="C22" s="308"/>
      <c r="D22" s="308"/>
      <c r="E22" s="312"/>
      <c r="F22" s="313"/>
      <c r="G22" s="313"/>
      <c r="H22" s="169">
        <f t="shared" si="0"/>
        <v>0</v>
      </c>
      <c r="I22" s="222"/>
    </row>
    <row r="23" spans="1:9" ht="15.95" customHeight="1">
      <c r="A23" s="511"/>
      <c r="B23" s="214"/>
      <c r="C23" s="226" t="s">
        <v>275</v>
      </c>
      <c r="D23" s="245" t="s">
        <v>276</v>
      </c>
      <c r="E23" s="320" t="s">
        <v>264</v>
      </c>
      <c r="F23" s="247">
        <v>1</v>
      </c>
      <c r="G23" s="247">
        <v>1600000</v>
      </c>
      <c r="H23" s="248">
        <f t="shared" si="0"/>
        <v>1600000</v>
      </c>
      <c r="I23" s="249"/>
    </row>
    <row r="24" spans="1:9" ht="15.95" customHeight="1">
      <c r="A24" s="511"/>
      <c r="B24" s="231"/>
      <c r="C24" s="256"/>
      <c r="D24" s="256"/>
      <c r="E24" s="302"/>
      <c r="F24" s="254"/>
      <c r="G24" s="254"/>
      <c r="H24" s="255">
        <f>SUM(H3:H23)</f>
        <v>17600000</v>
      </c>
      <c r="I24" s="256"/>
    </row>
    <row r="25" spans="1:9" ht="15.95" customHeight="1">
      <c r="A25" s="511"/>
      <c r="B25" s="214" t="s">
        <v>151</v>
      </c>
      <c r="C25" s="215"/>
      <c r="D25" s="215"/>
      <c r="E25" s="303"/>
      <c r="F25" s="218"/>
      <c r="G25" s="218"/>
      <c r="H25" s="219">
        <f t="shared" si="0"/>
        <v>0</v>
      </c>
      <c r="I25" s="220"/>
    </row>
    <row r="26" spans="1:9" ht="15.95" customHeight="1">
      <c r="A26" s="511"/>
      <c r="B26" s="214" t="s">
        <v>152</v>
      </c>
      <c r="C26" s="308"/>
      <c r="D26" s="308"/>
      <c r="E26" s="300"/>
      <c r="F26" s="313"/>
      <c r="G26" s="313"/>
      <c r="H26" s="169">
        <f t="shared" si="0"/>
        <v>0</v>
      </c>
      <c r="I26" s="222"/>
    </row>
    <row r="27" spans="1:9" ht="15.95" customHeight="1">
      <c r="A27" s="511"/>
      <c r="B27" s="214"/>
      <c r="C27" s="308"/>
      <c r="D27" s="308"/>
      <c r="E27" s="300"/>
      <c r="F27" s="313"/>
      <c r="G27" s="313"/>
      <c r="H27" s="169">
        <f t="shared" si="0"/>
        <v>0</v>
      </c>
      <c r="I27" s="222"/>
    </row>
    <row r="28" spans="1:9" ht="15.95" customHeight="1">
      <c r="A28" s="511"/>
      <c r="B28" s="214"/>
      <c r="C28" s="308"/>
      <c r="D28" s="308"/>
      <c r="E28" s="300"/>
      <c r="F28" s="313"/>
      <c r="G28" s="313"/>
      <c r="H28" s="169">
        <f t="shared" si="0"/>
        <v>0</v>
      </c>
      <c r="I28" s="222"/>
    </row>
    <row r="29" spans="1:9" ht="15.95" customHeight="1">
      <c r="A29" s="511"/>
      <c r="B29" s="214"/>
      <c r="C29" s="226"/>
      <c r="D29" s="226"/>
      <c r="E29" s="304"/>
      <c r="F29" s="229"/>
      <c r="G29" s="229"/>
      <c r="H29" s="169">
        <f t="shared" si="0"/>
        <v>0</v>
      </c>
      <c r="I29" s="230"/>
    </row>
    <row r="30" spans="1:9" ht="15.95" customHeight="1">
      <c r="A30" s="511"/>
      <c r="B30" s="231"/>
      <c r="C30" s="232"/>
      <c r="D30" s="233"/>
      <c r="E30" s="305"/>
      <c r="F30" s="290"/>
      <c r="G30" s="235"/>
      <c r="H30" s="157">
        <f>SUM(H25:H29)</f>
        <v>0</v>
      </c>
      <c r="I30" s="236"/>
    </row>
    <row r="31" spans="1:9" ht="15.95" customHeight="1">
      <c r="A31" s="511"/>
      <c r="B31" s="257" t="s">
        <v>153</v>
      </c>
      <c r="C31" s="309" t="s">
        <v>277</v>
      </c>
      <c r="D31" s="309" t="s">
        <v>278</v>
      </c>
      <c r="E31" s="310" t="s">
        <v>264</v>
      </c>
      <c r="F31" s="311">
        <v>1</v>
      </c>
      <c r="G31" s="311">
        <v>8000000</v>
      </c>
      <c r="H31" s="242">
        <f t="shared" si="0"/>
        <v>8000000</v>
      </c>
      <c r="I31" s="243"/>
    </row>
    <row r="32" spans="1:9" ht="15.95" customHeight="1">
      <c r="A32" s="511"/>
      <c r="B32" s="214" t="s">
        <v>154</v>
      </c>
      <c r="C32" s="316" t="s">
        <v>279</v>
      </c>
      <c r="D32" s="316" t="s">
        <v>280</v>
      </c>
      <c r="E32" s="318" t="s">
        <v>264</v>
      </c>
      <c r="F32" s="319">
        <v>1</v>
      </c>
      <c r="G32" s="319">
        <v>2000000</v>
      </c>
      <c r="H32" s="169">
        <f t="shared" si="0"/>
        <v>2000000</v>
      </c>
      <c r="I32" s="222"/>
    </row>
    <row r="33" spans="1:9" ht="15.95" customHeight="1">
      <c r="A33" s="511"/>
      <c r="B33" s="214"/>
      <c r="C33" s="308" t="s">
        <v>281</v>
      </c>
      <c r="D33" s="308" t="s">
        <v>282</v>
      </c>
      <c r="E33" s="318" t="s">
        <v>264</v>
      </c>
      <c r="F33" s="313">
        <v>1</v>
      </c>
      <c r="G33" s="313">
        <v>3000000</v>
      </c>
      <c r="H33" s="169">
        <f t="shared" si="0"/>
        <v>3000000</v>
      </c>
      <c r="I33" s="222"/>
    </row>
    <row r="34" spans="1:9" ht="15.95" customHeight="1">
      <c r="A34" s="511"/>
      <c r="B34" s="214"/>
      <c r="C34" s="308"/>
      <c r="D34" s="308"/>
      <c r="E34" s="312"/>
      <c r="F34" s="313"/>
      <c r="G34" s="313"/>
      <c r="H34" s="169">
        <f t="shared" si="0"/>
        <v>0</v>
      </c>
      <c r="I34" s="222"/>
    </row>
    <row r="35" spans="1:9" ht="15.95" customHeight="1">
      <c r="A35" s="511"/>
      <c r="B35" s="214"/>
      <c r="C35" s="308"/>
      <c r="D35" s="308"/>
      <c r="E35" s="300"/>
      <c r="F35" s="313"/>
      <c r="G35" s="313"/>
      <c r="H35" s="169">
        <f t="shared" si="0"/>
        <v>0</v>
      </c>
      <c r="I35" s="222"/>
    </row>
    <row r="36" spans="1:9" ht="15.95" customHeight="1">
      <c r="A36" s="511"/>
      <c r="B36" s="214"/>
      <c r="C36" s="308"/>
      <c r="D36" s="308"/>
      <c r="E36" s="300"/>
      <c r="F36" s="313"/>
      <c r="G36" s="313"/>
      <c r="H36" s="169">
        <f t="shared" si="0"/>
        <v>0</v>
      </c>
      <c r="I36" s="222"/>
    </row>
    <row r="37" spans="1:9" ht="15.95" customHeight="1">
      <c r="A37" s="511"/>
      <c r="B37" s="214"/>
      <c r="C37" s="308"/>
      <c r="D37" s="308"/>
      <c r="E37" s="300"/>
      <c r="F37" s="313"/>
      <c r="G37" s="313"/>
      <c r="H37" s="169">
        <f t="shared" si="0"/>
        <v>0</v>
      </c>
      <c r="I37" s="222"/>
    </row>
    <row r="38" spans="1:9" ht="15.95" customHeight="1">
      <c r="A38" s="511"/>
      <c r="B38" s="214"/>
      <c r="C38" s="308"/>
      <c r="D38" s="308"/>
      <c r="E38" s="300"/>
      <c r="F38" s="313"/>
      <c r="G38" s="313"/>
      <c r="H38" s="169">
        <f t="shared" si="0"/>
        <v>0</v>
      </c>
      <c r="I38" s="222"/>
    </row>
    <row r="39" spans="1:9" ht="15.95" customHeight="1">
      <c r="A39" s="511"/>
      <c r="B39" s="214"/>
      <c r="C39" s="308"/>
      <c r="D39" s="308"/>
      <c r="E39" s="300"/>
      <c r="F39" s="313"/>
      <c r="G39" s="313"/>
      <c r="H39" s="169">
        <f t="shared" si="0"/>
        <v>0</v>
      </c>
      <c r="I39" s="222"/>
    </row>
    <row r="40" spans="1:9" ht="15.95" customHeight="1">
      <c r="A40" s="511"/>
      <c r="B40" s="214"/>
      <c r="C40" s="308"/>
      <c r="D40" s="308"/>
      <c r="E40" s="300"/>
      <c r="F40" s="313"/>
      <c r="G40" s="313"/>
      <c r="H40" s="169">
        <f t="shared" si="0"/>
        <v>0</v>
      </c>
      <c r="I40" s="222"/>
    </row>
    <row r="41" spans="1:9" ht="15.95" customHeight="1">
      <c r="A41" s="511"/>
      <c r="B41" s="214"/>
      <c r="C41" s="308"/>
      <c r="D41" s="308"/>
      <c r="E41" s="300"/>
      <c r="F41" s="313"/>
      <c r="G41" s="313"/>
      <c r="H41" s="169">
        <f t="shared" si="0"/>
        <v>0</v>
      </c>
      <c r="I41" s="222"/>
    </row>
    <row r="42" spans="1:9" ht="15.95" customHeight="1">
      <c r="A42" s="511"/>
      <c r="B42" s="214"/>
      <c r="C42" s="308"/>
      <c r="D42" s="308"/>
      <c r="E42" s="300"/>
      <c r="F42" s="313"/>
      <c r="G42" s="313"/>
      <c r="H42" s="169">
        <f t="shared" si="0"/>
        <v>0</v>
      </c>
      <c r="I42" s="222"/>
    </row>
    <row r="43" spans="1:9" ht="15.95" customHeight="1">
      <c r="A43" s="511"/>
      <c r="B43" s="214"/>
      <c r="C43" s="308"/>
      <c r="D43" s="308"/>
      <c r="E43" s="300"/>
      <c r="F43" s="313"/>
      <c r="G43" s="313"/>
      <c r="H43" s="169">
        <f t="shared" si="0"/>
        <v>0</v>
      </c>
      <c r="I43" s="222"/>
    </row>
    <row r="44" spans="1:9" ht="15.95" customHeight="1">
      <c r="A44" s="511"/>
      <c r="B44" s="214"/>
      <c r="C44" s="308"/>
      <c r="D44" s="308"/>
      <c r="E44" s="300"/>
      <c r="F44" s="313"/>
      <c r="G44" s="313"/>
      <c r="H44" s="169">
        <f t="shared" si="0"/>
        <v>0</v>
      </c>
      <c r="I44" s="222"/>
    </row>
    <row r="45" spans="1:9" ht="15.95" customHeight="1">
      <c r="A45" s="511"/>
      <c r="B45" s="214"/>
      <c r="C45" s="308"/>
      <c r="D45" s="308"/>
      <c r="E45" s="300"/>
      <c r="F45" s="313"/>
      <c r="G45" s="313"/>
      <c r="H45" s="248">
        <f t="shared" si="0"/>
        <v>0</v>
      </c>
      <c r="I45" s="249"/>
    </row>
    <row r="46" spans="1:9" ht="15.95" customHeight="1">
      <c r="A46" s="511"/>
      <c r="B46" s="214"/>
      <c r="C46" s="226" t="s">
        <v>275</v>
      </c>
      <c r="D46" s="226" t="s">
        <v>283</v>
      </c>
      <c r="E46" s="227" t="s">
        <v>264</v>
      </c>
      <c r="F46" s="229">
        <v>1</v>
      </c>
      <c r="G46" s="229">
        <v>1000000</v>
      </c>
      <c r="H46" s="258">
        <f t="shared" si="0"/>
        <v>1000000</v>
      </c>
      <c r="I46" s="230"/>
    </row>
    <row r="47" spans="1:9" ht="15.95" customHeight="1">
      <c r="A47" s="511"/>
      <c r="B47" s="231"/>
      <c r="C47" s="232"/>
      <c r="D47" s="233"/>
      <c r="E47" s="305"/>
      <c r="F47" s="235"/>
      <c r="G47" s="235"/>
      <c r="H47" s="157">
        <f>SUM(H31:H46)</f>
        <v>14000000</v>
      </c>
      <c r="I47" s="236"/>
    </row>
    <row r="48" spans="1:9" ht="15.95" customHeight="1">
      <c r="A48" s="511"/>
      <c r="B48" s="257" t="s">
        <v>43</v>
      </c>
      <c r="C48" s="316" t="s">
        <v>284</v>
      </c>
      <c r="D48" s="316"/>
      <c r="E48" s="318" t="s">
        <v>264</v>
      </c>
      <c r="F48" s="319">
        <v>1</v>
      </c>
      <c r="G48" s="319">
        <v>6000000</v>
      </c>
      <c r="H48" s="242">
        <f t="shared" si="0"/>
        <v>6000000</v>
      </c>
      <c r="I48" s="243"/>
    </row>
    <row r="49" spans="1:9" ht="15.95" customHeight="1">
      <c r="A49" s="511"/>
      <c r="B49" s="214"/>
      <c r="C49" s="316" t="s">
        <v>285</v>
      </c>
      <c r="D49" s="316"/>
      <c r="E49" s="318" t="s">
        <v>264</v>
      </c>
      <c r="F49" s="319">
        <v>1</v>
      </c>
      <c r="G49" s="319">
        <v>6000000</v>
      </c>
      <c r="H49" s="169">
        <f t="shared" si="0"/>
        <v>6000000</v>
      </c>
      <c r="I49" s="222"/>
    </row>
    <row r="50" spans="1:9" ht="15.95" customHeight="1">
      <c r="A50" s="511"/>
      <c r="B50" s="214"/>
      <c r="C50" s="316"/>
      <c r="D50" s="316"/>
      <c r="E50" s="318"/>
      <c r="F50" s="319"/>
      <c r="G50" s="319"/>
      <c r="H50" s="169">
        <f t="shared" si="0"/>
        <v>0</v>
      </c>
      <c r="I50" s="222"/>
    </row>
    <row r="51" spans="1:9" ht="15.95" customHeight="1">
      <c r="A51" s="511"/>
      <c r="B51" s="214"/>
      <c r="C51" s="316"/>
      <c r="D51" s="316"/>
      <c r="E51" s="317"/>
      <c r="F51" s="319"/>
      <c r="G51" s="319"/>
      <c r="H51" s="169">
        <f t="shared" si="0"/>
        <v>0</v>
      </c>
      <c r="I51" s="222"/>
    </row>
    <row r="52" spans="1:9" ht="15.95" customHeight="1">
      <c r="A52" s="511"/>
      <c r="B52" s="214"/>
      <c r="C52" s="316"/>
      <c r="D52" s="316"/>
      <c r="E52" s="317"/>
      <c r="F52" s="319"/>
      <c r="G52" s="319"/>
      <c r="H52" s="169">
        <f t="shared" si="0"/>
        <v>0</v>
      </c>
      <c r="I52" s="222"/>
    </row>
    <row r="53" spans="1:9" ht="15.95" customHeight="1">
      <c r="A53" s="511"/>
      <c r="B53" s="214"/>
      <c r="C53" s="316"/>
      <c r="D53" s="316"/>
      <c r="E53" s="317"/>
      <c r="F53" s="319"/>
      <c r="G53" s="319"/>
      <c r="H53" s="169">
        <f t="shared" si="0"/>
        <v>0</v>
      </c>
      <c r="I53" s="222"/>
    </row>
    <row r="54" spans="1:9" ht="15.95" customHeight="1">
      <c r="A54" s="511"/>
      <c r="B54" s="214"/>
      <c r="C54" s="226"/>
      <c r="D54" s="226"/>
      <c r="E54" s="304"/>
      <c r="F54" s="229"/>
      <c r="G54" s="229"/>
      <c r="H54" s="258">
        <f t="shared" si="0"/>
        <v>0</v>
      </c>
      <c r="I54" s="230"/>
    </row>
    <row r="55" spans="1:9" ht="15.95" customHeight="1">
      <c r="A55" s="511"/>
      <c r="B55" s="231"/>
      <c r="C55" s="232"/>
      <c r="D55" s="233"/>
      <c r="E55" s="305"/>
      <c r="F55" s="235"/>
      <c r="G55" s="235"/>
      <c r="H55" s="157">
        <f>SUM(H48:H54)</f>
        <v>12000000</v>
      </c>
      <c r="I55" s="236"/>
    </row>
    <row r="56" spans="1:9" ht="15.95" customHeight="1">
      <c r="A56" s="259"/>
      <c r="B56" s="260" t="s">
        <v>127</v>
      </c>
      <c r="C56" s="261"/>
      <c r="D56" s="236"/>
      <c r="E56" s="306"/>
      <c r="F56" s="263"/>
      <c r="G56" s="263"/>
      <c r="H56" s="157">
        <f>SUM(H55,H47,H30,H24)</f>
        <v>43600000</v>
      </c>
      <c r="I56" s="236"/>
    </row>
    <row r="57" spans="1:9" ht="15.95" customHeight="1">
      <c r="A57" s="516" t="s">
        <v>128</v>
      </c>
      <c r="B57" s="264" t="s">
        <v>49</v>
      </c>
      <c r="C57" s="261"/>
      <c r="D57" s="265"/>
      <c r="E57" s="266" t="s">
        <v>286</v>
      </c>
      <c r="F57" s="285"/>
      <c r="G57" s="268">
        <v>200000</v>
      </c>
      <c r="H57" s="187">
        <f>F57*G57</f>
        <v>0</v>
      </c>
      <c r="I57" s="236"/>
    </row>
    <row r="58" spans="1:9" ht="15.95" customHeight="1">
      <c r="A58" s="511"/>
      <c r="B58" s="269" t="s">
        <v>155</v>
      </c>
      <c r="C58" s="270"/>
      <c r="D58" s="271"/>
      <c r="E58" s="272" t="s">
        <v>130</v>
      </c>
      <c r="F58" s="311">
        <v>25</v>
      </c>
      <c r="G58" s="311">
        <v>200000</v>
      </c>
      <c r="H58" s="242">
        <f t="shared" ref="H58:H64" si="1">F58*G58</f>
        <v>5000000</v>
      </c>
      <c r="I58" s="243"/>
    </row>
    <row r="59" spans="1:9" ht="15.95" customHeight="1">
      <c r="A59" s="511"/>
      <c r="B59" s="273" t="s">
        <v>156</v>
      </c>
      <c r="C59" s="274"/>
      <c r="D59" s="275"/>
      <c r="E59" s="276" t="s">
        <v>130</v>
      </c>
      <c r="F59" s="313">
        <v>40</v>
      </c>
      <c r="G59" s="218">
        <v>200000</v>
      </c>
      <c r="H59" s="169">
        <f t="shared" si="1"/>
        <v>8000000</v>
      </c>
      <c r="I59" s="222"/>
    </row>
    <row r="60" spans="1:9" ht="15.95" customHeight="1">
      <c r="A60" s="511"/>
      <c r="B60" s="273" t="s">
        <v>157</v>
      </c>
      <c r="C60" s="274"/>
      <c r="D60" s="275"/>
      <c r="E60" s="276" t="s">
        <v>130</v>
      </c>
      <c r="F60" s="313">
        <v>40</v>
      </c>
      <c r="G60" s="218">
        <v>200000</v>
      </c>
      <c r="H60" s="169">
        <f t="shared" si="1"/>
        <v>8000000</v>
      </c>
      <c r="I60" s="222"/>
    </row>
    <row r="61" spans="1:9" ht="15.95" customHeight="1">
      <c r="A61" s="511"/>
      <c r="B61" s="273" t="s">
        <v>158</v>
      </c>
      <c r="C61" s="274"/>
      <c r="D61" s="275"/>
      <c r="E61" s="276" t="s">
        <v>130</v>
      </c>
      <c r="F61" s="313">
        <v>100</v>
      </c>
      <c r="G61" s="218">
        <v>200000</v>
      </c>
      <c r="H61" s="169">
        <f t="shared" si="1"/>
        <v>20000000</v>
      </c>
      <c r="I61" s="222"/>
    </row>
    <row r="62" spans="1:9" ht="15.95" customHeight="1">
      <c r="A62" s="511"/>
      <c r="B62" s="273" t="s">
        <v>159</v>
      </c>
      <c r="C62" s="274"/>
      <c r="D62" s="275"/>
      <c r="E62" s="276" t="s">
        <v>130</v>
      </c>
      <c r="F62" s="313"/>
      <c r="G62" s="218">
        <v>200000</v>
      </c>
      <c r="H62" s="169">
        <f t="shared" si="1"/>
        <v>0</v>
      </c>
      <c r="I62" s="222"/>
    </row>
    <row r="63" spans="1:9" ht="15.95" customHeight="1">
      <c r="A63" s="511"/>
      <c r="B63" s="273" t="s">
        <v>160</v>
      </c>
      <c r="C63" s="274"/>
      <c r="D63" s="275"/>
      <c r="E63" s="276" t="s">
        <v>130</v>
      </c>
      <c r="F63" s="313"/>
      <c r="G63" s="218">
        <v>200000</v>
      </c>
      <c r="H63" s="169">
        <f t="shared" si="1"/>
        <v>0</v>
      </c>
      <c r="I63" s="222"/>
    </row>
    <row r="64" spans="1:9" ht="15.95" customHeight="1">
      <c r="A64" s="511"/>
      <c r="B64" s="277" t="s">
        <v>161</v>
      </c>
      <c r="C64" s="278"/>
      <c r="D64" s="279"/>
      <c r="E64" s="280" t="s">
        <v>130</v>
      </c>
      <c r="F64" s="229"/>
      <c r="G64" s="229">
        <v>200000</v>
      </c>
      <c r="H64" s="258">
        <f t="shared" si="1"/>
        <v>0</v>
      </c>
      <c r="I64" s="230"/>
    </row>
    <row r="65" spans="1:9" ht="15.95" customHeight="1">
      <c r="A65" s="259"/>
      <c r="B65" s="281" t="s">
        <v>136</v>
      </c>
      <c r="C65" s="261"/>
      <c r="D65" s="236"/>
      <c r="E65" s="306"/>
      <c r="F65" s="235"/>
      <c r="G65" s="235"/>
      <c r="H65" s="235">
        <f>SUM(H57:H64)</f>
        <v>41000000</v>
      </c>
      <c r="I65" s="233"/>
    </row>
    <row r="66" spans="1:9" ht="15.95" customHeight="1">
      <c r="A66" s="282"/>
      <c r="B66" s="281" t="s">
        <v>162</v>
      </c>
      <c r="C66" s="261"/>
      <c r="D66" s="236"/>
      <c r="E66" s="306"/>
      <c r="F66" s="157"/>
      <c r="G66" s="157"/>
      <c r="H66" s="263">
        <f>'단위공사별(집계)'!I7+'단위공사별(집계)'!K7</f>
        <v>702071.88498402562</v>
      </c>
      <c r="I66" s="236"/>
    </row>
    <row r="67" spans="1:9" ht="15.95" customHeight="1">
      <c r="A67" s="282"/>
      <c r="B67" s="281" t="s">
        <v>75</v>
      </c>
      <c r="C67" s="261"/>
      <c r="D67" s="236"/>
      <c r="E67" s="306"/>
      <c r="F67" s="157"/>
      <c r="G67" s="284"/>
      <c r="H67" s="285">
        <f>(H65+H56)*0.05</f>
        <v>4230000</v>
      </c>
      <c r="I67" s="261"/>
    </row>
    <row r="68" spans="1:9" ht="15.95" customHeight="1">
      <c r="A68" s="282"/>
      <c r="B68" s="281" t="s">
        <v>139</v>
      </c>
      <c r="C68" s="261"/>
      <c r="D68" s="236"/>
      <c r="E68" s="306"/>
      <c r="F68" s="157"/>
      <c r="G68" s="284"/>
      <c r="H68" s="285">
        <f>(H65+H56)*0.05</f>
        <v>4230000</v>
      </c>
      <c r="I68" s="261"/>
    </row>
    <row r="69" spans="1:9" ht="15.95" customHeight="1">
      <c r="A69" s="282"/>
      <c r="B69" s="281" t="s">
        <v>140</v>
      </c>
      <c r="C69" s="261"/>
      <c r="D69" s="236"/>
      <c r="E69" s="306"/>
      <c r="F69" s="157"/>
      <c r="G69" s="157"/>
      <c r="H69" s="235">
        <f>H56+H65+H66+H67+H68</f>
        <v>93762071.884984031</v>
      </c>
      <c r="I69" s="236"/>
    </row>
    <row r="70" spans="1:9">
      <c r="A70" s="140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F18" sqref="F18"/>
      <selection pane="topRight" activeCell="F18" sqref="F18"/>
      <selection pane="bottomLeft" activeCell="F18" sqref="F18"/>
      <selection pane="bottomRight" activeCell="C1" sqref="C1"/>
    </sheetView>
  </sheetViews>
  <sheetFormatPr defaultColWidth="8.75" defaultRowHeight="13.5"/>
  <cols>
    <col min="1" max="1" width="5" style="128" customWidth="1"/>
    <col min="2" max="2" width="17.875" style="128" bestFit="1" customWidth="1"/>
    <col min="3" max="3" width="23.625" style="128" customWidth="1"/>
    <col min="4" max="4" width="18.25" style="128" customWidth="1"/>
    <col min="5" max="5" width="5.25" style="128" bestFit="1" customWidth="1"/>
    <col min="6" max="6" width="9" style="159"/>
    <col min="7" max="7" width="11.875" style="159" customWidth="1"/>
    <col min="8" max="8" width="13.625" style="159" customWidth="1"/>
    <col min="9" max="9" width="12.75" style="128" customWidth="1"/>
    <col min="10" max="16384" width="8.75" style="128"/>
  </cols>
  <sheetData>
    <row r="1" spans="1:9" ht="22.5" customHeight="1">
      <c r="B1" s="206" t="s">
        <v>163</v>
      </c>
      <c r="C1" s="287" t="s">
        <v>291</v>
      </c>
      <c r="D1" s="208"/>
      <c r="E1" s="208"/>
      <c r="F1" s="288"/>
      <c r="G1" s="171"/>
      <c r="I1" s="128" t="s">
        <v>142</v>
      </c>
    </row>
    <row r="2" spans="1:9" s="140" customFormat="1" ht="16.5" customHeight="1">
      <c r="A2" s="387" t="s">
        <v>143</v>
      </c>
      <c r="B2" s="515"/>
      <c r="C2" s="133" t="s">
        <v>144</v>
      </c>
      <c r="D2" s="129" t="s">
        <v>145</v>
      </c>
      <c r="E2" s="129" t="s">
        <v>30</v>
      </c>
      <c r="F2" s="262" t="s">
        <v>31</v>
      </c>
      <c r="G2" s="262" t="s">
        <v>146</v>
      </c>
      <c r="H2" s="262" t="s">
        <v>147</v>
      </c>
      <c r="I2" s="129" t="s">
        <v>148</v>
      </c>
    </row>
    <row r="3" spans="1:9" ht="15.95" customHeight="1">
      <c r="A3" s="516" t="s">
        <v>149</v>
      </c>
      <c r="B3" s="214" t="s">
        <v>150</v>
      </c>
      <c r="C3" s="371" t="s">
        <v>292</v>
      </c>
      <c r="D3" s="372" t="s">
        <v>293</v>
      </c>
      <c r="E3" s="373" t="s">
        <v>294</v>
      </c>
      <c r="F3" s="374">
        <v>1</v>
      </c>
      <c r="G3" s="374">
        <v>2000000</v>
      </c>
      <c r="H3" s="242">
        <f>IF(F3=0,G3,G3*F3)</f>
        <v>2000000</v>
      </c>
      <c r="I3" s="243"/>
    </row>
    <row r="4" spans="1:9" ht="15.95" customHeight="1">
      <c r="A4" s="511"/>
      <c r="B4" s="214"/>
      <c r="C4" s="371" t="s">
        <v>292</v>
      </c>
      <c r="D4" s="372" t="s">
        <v>295</v>
      </c>
      <c r="E4" s="373" t="s">
        <v>294</v>
      </c>
      <c r="F4" s="374">
        <v>1</v>
      </c>
      <c r="G4" s="374">
        <v>500000</v>
      </c>
      <c r="H4" s="169">
        <f>IF(F4=0,G4,G4*F4)</f>
        <v>500000</v>
      </c>
      <c r="I4" s="222"/>
    </row>
    <row r="5" spans="1:9" ht="15.95" customHeight="1">
      <c r="A5" s="511"/>
      <c r="B5" s="214"/>
      <c r="C5" s="371" t="s">
        <v>296</v>
      </c>
      <c r="D5" s="372" t="s">
        <v>261</v>
      </c>
      <c r="E5" s="373" t="s">
        <v>294</v>
      </c>
      <c r="F5" s="374">
        <v>1</v>
      </c>
      <c r="G5" s="374">
        <v>800000</v>
      </c>
      <c r="H5" s="169">
        <f t="shared" ref="H5:H54" si="0">IF(F5=0,G5,G5*F5)</f>
        <v>800000</v>
      </c>
      <c r="I5" s="222"/>
    </row>
    <row r="6" spans="1:9" ht="15.95" customHeight="1">
      <c r="A6" s="511"/>
      <c r="B6" s="214"/>
      <c r="C6" s="371" t="s">
        <v>297</v>
      </c>
      <c r="D6" s="372" t="s">
        <v>298</v>
      </c>
      <c r="E6" s="373" t="s">
        <v>294</v>
      </c>
      <c r="F6" s="374">
        <v>1</v>
      </c>
      <c r="G6" s="374">
        <v>500000</v>
      </c>
      <c r="H6" s="169">
        <f t="shared" si="0"/>
        <v>500000</v>
      </c>
      <c r="I6" s="222"/>
    </row>
    <row r="7" spans="1:9" ht="15.95" customHeight="1">
      <c r="A7" s="511"/>
      <c r="B7" s="214"/>
      <c r="C7" s="371" t="s">
        <v>299</v>
      </c>
      <c r="D7" s="372" t="s">
        <v>300</v>
      </c>
      <c r="E7" s="373" t="s">
        <v>294</v>
      </c>
      <c r="F7" s="374">
        <v>1</v>
      </c>
      <c r="G7" s="374">
        <v>200000</v>
      </c>
      <c r="H7" s="169">
        <f t="shared" si="0"/>
        <v>200000</v>
      </c>
      <c r="I7" s="222"/>
    </row>
    <row r="8" spans="1:9" ht="15.95" customHeight="1">
      <c r="A8" s="511"/>
      <c r="B8" s="214"/>
      <c r="C8" s="371" t="s">
        <v>301</v>
      </c>
      <c r="D8" s="371" t="s">
        <v>302</v>
      </c>
      <c r="E8" s="373" t="s">
        <v>294</v>
      </c>
      <c r="F8" s="374">
        <v>1</v>
      </c>
      <c r="G8" s="374">
        <v>1000000</v>
      </c>
      <c r="H8" s="169">
        <f t="shared" si="0"/>
        <v>1000000</v>
      </c>
      <c r="I8" s="222"/>
    </row>
    <row r="9" spans="1:9" ht="15.95" customHeight="1">
      <c r="A9" s="511"/>
      <c r="B9" s="214"/>
      <c r="C9" s="371" t="s">
        <v>303</v>
      </c>
      <c r="D9" s="371" t="s">
        <v>304</v>
      </c>
      <c r="E9" s="373" t="s">
        <v>294</v>
      </c>
      <c r="F9" s="374">
        <v>1</v>
      </c>
      <c r="G9" s="374">
        <v>3000000</v>
      </c>
      <c r="H9" s="169">
        <f t="shared" si="0"/>
        <v>3000000</v>
      </c>
      <c r="I9" s="222"/>
    </row>
    <row r="10" spans="1:9" ht="15.95" customHeight="1">
      <c r="A10" s="511"/>
      <c r="B10" s="214"/>
      <c r="C10" s="331"/>
      <c r="D10" s="331"/>
      <c r="E10" s="373"/>
      <c r="F10" s="333"/>
      <c r="G10" s="333"/>
      <c r="H10" s="169">
        <f t="shared" si="0"/>
        <v>0</v>
      </c>
      <c r="I10" s="222"/>
    </row>
    <row r="11" spans="1:9" ht="15.95" customHeight="1">
      <c r="A11" s="511"/>
      <c r="B11" s="214"/>
      <c r="C11" s="331"/>
      <c r="D11" s="331"/>
      <c r="E11" s="373"/>
      <c r="F11" s="333"/>
      <c r="G11" s="333"/>
      <c r="H11" s="169">
        <f t="shared" si="0"/>
        <v>0</v>
      </c>
      <c r="I11" s="222"/>
    </row>
    <row r="12" spans="1:9" ht="15.95" customHeight="1">
      <c r="A12" s="511"/>
      <c r="B12" s="214"/>
      <c r="C12" s="331"/>
      <c r="D12" s="331"/>
      <c r="E12" s="332"/>
      <c r="F12" s="333"/>
      <c r="G12" s="333"/>
      <c r="H12" s="169">
        <f t="shared" si="0"/>
        <v>0</v>
      </c>
      <c r="I12" s="222"/>
    </row>
    <row r="13" spans="1:9" ht="15.95" customHeight="1">
      <c r="A13" s="511"/>
      <c r="B13" s="214"/>
      <c r="C13" s="331"/>
      <c r="D13" s="331"/>
      <c r="E13" s="332"/>
      <c r="F13" s="333"/>
      <c r="G13" s="333"/>
      <c r="H13" s="169">
        <f t="shared" si="0"/>
        <v>0</v>
      </c>
      <c r="I13" s="222"/>
    </row>
    <row r="14" spans="1:9" ht="15.95" customHeight="1">
      <c r="A14" s="511"/>
      <c r="B14" s="214"/>
      <c r="C14" s="331"/>
      <c r="D14" s="331"/>
      <c r="E14" s="332"/>
      <c r="F14" s="333"/>
      <c r="G14" s="333"/>
      <c r="H14" s="169">
        <f t="shared" si="0"/>
        <v>0</v>
      </c>
      <c r="I14" s="222"/>
    </row>
    <row r="15" spans="1:9" ht="15.95" customHeight="1">
      <c r="A15" s="511"/>
      <c r="B15" s="214"/>
      <c r="C15" s="331"/>
      <c r="D15" s="331"/>
      <c r="E15" s="332"/>
      <c r="F15" s="333"/>
      <c r="G15" s="333"/>
      <c r="H15" s="169">
        <f t="shared" si="0"/>
        <v>0</v>
      </c>
      <c r="I15" s="222"/>
    </row>
    <row r="16" spans="1:9" ht="15.95" customHeight="1">
      <c r="A16" s="511"/>
      <c r="B16" s="214"/>
      <c r="C16" s="331"/>
      <c r="D16" s="331"/>
      <c r="E16" s="332"/>
      <c r="F16" s="333"/>
      <c r="G16" s="333"/>
      <c r="H16" s="169">
        <f t="shared" si="0"/>
        <v>0</v>
      </c>
      <c r="I16" s="222"/>
    </row>
    <row r="17" spans="1:9" ht="15.95" customHeight="1">
      <c r="A17" s="511"/>
      <c r="B17" s="214"/>
      <c r="C17" s="331"/>
      <c r="D17" s="331"/>
      <c r="E17" s="332"/>
      <c r="F17" s="333"/>
      <c r="G17" s="333"/>
      <c r="H17" s="169">
        <f t="shared" si="0"/>
        <v>0</v>
      </c>
      <c r="I17" s="222"/>
    </row>
    <row r="18" spans="1:9" ht="15.95" customHeight="1">
      <c r="A18" s="511"/>
      <c r="B18" s="214"/>
      <c r="C18" s="331"/>
      <c r="D18" s="331"/>
      <c r="E18" s="332"/>
      <c r="F18" s="333"/>
      <c r="G18" s="333"/>
      <c r="H18" s="169">
        <f t="shared" si="0"/>
        <v>0</v>
      </c>
      <c r="I18" s="222"/>
    </row>
    <row r="19" spans="1:9" ht="15.95" customHeight="1">
      <c r="A19" s="511"/>
      <c r="B19" s="214"/>
      <c r="C19" s="331"/>
      <c r="D19" s="331"/>
      <c r="E19" s="332"/>
      <c r="F19" s="333"/>
      <c r="G19" s="333"/>
      <c r="H19" s="169">
        <f t="shared" si="0"/>
        <v>0</v>
      </c>
      <c r="I19" s="222"/>
    </row>
    <row r="20" spans="1:9" ht="15.95" customHeight="1">
      <c r="A20" s="511"/>
      <c r="B20" s="214"/>
      <c r="C20" s="331"/>
      <c r="D20" s="331"/>
      <c r="E20" s="332"/>
      <c r="F20" s="333"/>
      <c r="G20" s="333"/>
      <c r="H20" s="169">
        <f t="shared" si="0"/>
        <v>0</v>
      </c>
      <c r="I20" s="222"/>
    </row>
    <row r="21" spans="1:9" ht="15.95" customHeight="1">
      <c r="A21" s="511"/>
      <c r="B21" s="214"/>
      <c r="C21" s="331"/>
      <c r="D21" s="331"/>
      <c r="E21" s="332"/>
      <c r="F21" s="333"/>
      <c r="G21" s="333"/>
      <c r="H21" s="169">
        <f t="shared" si="0"/>
        <v>0</v>
      </c>
      <c r="I21" s="222"/>
    </row>
    <row r="22" spans="1:9" ht="15.95" customHeight="1">
      <c r="A22" s="511"/>
      <c r="B22" s="214"/>
      <c r="C22" s="331"/>
      <c r="D22" s="331"/>
      <c r="E22" s="332"/>
      <c r="F22" s="333"/>
      <c r="G22" s="333"/>
      <c r="H22" s="169">
        <f t="shared" si="0"/>
        <v>0</v>
      </c>
      <c r="I22" s="222"/>
    </row>
    <row r="23" spans="1:9" ht="15.95" customHeight="1">
      <c r="A23" s="511"/>
      <c r="B23" s="214"/>
      <c r="C23" s="334" t="s">
        <v>305</v>
      </c>
      <c r="D23" s="344" t="s">
        <v>306</v>
      </c>
      <c r="E23" s="375" t="s">
        <v>294</v>
      </c>
      <c r="F23" s="345">
        <v>1</v>
      </c>
      <c r="G23" s="345">
        <v>800000</v>
      </c>
      <c r="H23" s="248">
        <f t="shared" si="0"/>
        <v>800000</v>
      </c>
      <c r="I23" s="249"/>
    </row>
    <row r="24" spans="1:9" ht="15.95" customHeight="1">
      <c r="A24" s="511"/>
      <c r="B24" s="231"/>
      <c r="C24" s="347"/>
      <c r="D24" s="347"/>
      <c r="E24" s="366"/>
      <c r="F24" s="346"/>
      <c r="G24" s="346"/>
      <c r="H24" s="255">
        <f>SUM(H3:H23)</f>
        <v>8800000</v>
      </c>
      <c r="I24" s="256"/>
    </row>
    <row r="25" spans="1:9" ht="15.95" customHeight="1">
      <c r="A25" s="511"/>
      <c r="B25" s="214" t="s">
        <v>151</v>
      </c>
      <c r="C25" s="329"/>
      <c r="D25" s="329"/>
      <c r="E25" s="367"/>
      <c r="F25" s="330"/>
      <c r="G25" s="330"/>
      <c r="H25" s="219">
        <f t="shared" si="0"/>
        <v>0</v>
      </c>
      <c r="I25" s="220"/>
    </row>
    <row r="26" spans="1:9" ht="15.95" customHeight="1">
      <c r="A26" s="511"/>
      <c r="B26" s="214" t="s">
        <v>152</v>
      </c>
      <c r="C26" s="331"/>
      <c r="D26" s="331"/>
      <c r="E26" s="365"/>
      <c r="F26" s="333"/>
      <c r="G26" s="333"/>
      <c r="H26" s="169">
        <f t="shared" si="0"/>
        <v>0</v>
      </c>
      <c r="I26" s="222"/>
    </row>
    <row r="27" spans="1:9" ht="15.95" customHeight="1">
      <c r="A27" s="511"/>
      <c r="B27" s="214"/>
      <c r="C27" s="331"/>
      <c r="D27" s="331"/>
      <c r="E27" s="365"/>
      <c r="F27" s="333"/>
      <c r="G27" s="333"/>
      <c r="H27" s="169">
        <f t="shared" si="0"/>
        <v>0</v>
      </c>
      <c r="I27" s="222"/>
    </row>
    <row r="28" spans="1:9" ht="15.95" customHeight="1">
      <c r="A28" s="511"/>
      <c r="B28" s="214"/>
      <c r="C28" s="331"/>
      <c r="D28" s="331"/>
      <c r="E28" s="365"/>
      <c r="F28" s="333"/>
      <c r="G28" s="333"/>
      <c r="H28" s="169">
        <f t="shared" si="0"/>
        <v>0</v>
      </c>
      <c r="I28" s="222"/>
    </row>
    <row r="29" spans="1:9" ht="15.95" customHeight="1">
      <c r="A29" s="511"/>
      <c r="B29" s="214"/>
      <c r="C29" s="334"/>
      <c r="D29" s="334"/>
      <c r="E29" s="368"/>
      <c r="F29" s="336"/>
      <c r="G29" s="336"/>
      <c r="H29" s="169">
        <f t="shared" si="0"/>
        <v>0</v>
      </c>
      <c r="I29" s="230"/>
    </row>
    <row r="30" spans="1:9" ht="15.95" customHeight="1">
      <c r="A30" s="511"/>
      <c r="B30" s="231"/>
      <c r="C30" s="337"/>
      <c r="D30" s="338"/>
      <c r="E30" s="369"/>
      <c r="F30" s="364"/>
      <c r="G30" s="339"/>
      <c r="H30" s="157">
        <f>SUM(H25:H29)</f>
        <v>0</v>
      </c>
      <c r="I30" s="236"/>
    </row>
    <row r="31" spans="1:9" ht="15.95" customHeight="1">
      <c r="A31" s="511"/>
      <c r="B31" s="257" t="s">
        <v>153</v>
      </c>
      <c r="C31" s="341" t="s">
        <v>307</v>
      </c>
      <c r="D31" s="341" t="s">
        <v>308</v>
      </c>
      <c r="E31" s="342" t="s">
        <v>294</v>
      </c>
      <c r="F31" s="343">
        <v>1</v>
      </c>
      <c r="G31" s="343">
        <v>4000000</v>
      </c>
      <c r="H31" s="242">
        <f>IF(F31=0,G31,G31*F31)</f>
        <v>4000000</v>
      </c>
      <c r="I31" s="243"/>
    </row>
    <row r="32" spans="1:9" ht="15.95" customHeight="1">
      <c r="A32" s="511"/>
      <c r="B32" s="214" t="s">
        <v>154</v>
      </c>
      <c r="C32" s="371" t="s">
        <v>309</v>
      </c>
      <c r="D32" s="371" t="s">
        <v>310</v>
      </c>
      <c r="E32" s="373" t="s">
        <v>294</v>
      </c>
      <c r="F32" s="374">
        <v>1</v>
      </c>
      <c r="G32" s="374">
        <v>1000000</v>
      </c>
      <c r="H32" s="169">
        <f>IF(F32=0,G32,G32*F32)</f>
        <v>1000000</v>
      </c>
      <c r="I32" s="222"/>
    </row>
    <row r="33" spans="1:9" ht="15.95" customHeight="1">
      <c r="A33" s="511"/>
      <c r="B33" s="214"/>
      <c r="C33" s="331" t="s">
        <v>311</v>
      </c>
      <c r="D33" s="331" t="s">
        <v>312</v>
      </c>
      <c r="E33" s="373" t="s">
        <v>294</v>
      </c>
      <c r="F33" s="333">
        <v>1</v>
      </c>
      <c r="G33" s="333">
        <v>1500000</v>
      </c>
      <c r="H33" s="169">
        <f>IF(F33=0,G33,G33*F33)</f>
        <v>1500000</v>
      </c>
      <c r="I33" s="222"/>
    </row>
    <row r="34" spans="1:9" ht="15.95" customHeight="1">
      <c r="A34" s="511"/>
      <c r="B34" s="214"/>
      <c r="C34" s="331"/>
      <c r="D34" s="331"/>
      <c r="E34" s="332"/>
      <c r="F34" s="333"/>
      <c r="G34" s="333"/>
      <c r="H34" s="169">
        <f t="shared" si="0"/>
        <v>0</v>
      </c>
      <c r="I34" s="222"/>
    </row>
    <row r="35" spans="1:9" ht="15.95" customHeight="1">
      <c r="A35" s="511"/>
      <c r="B35" s="214"/>
      <c r="C35" s="331"/>
      <c r="D35" s="331"/>
      <c r="E35" s="365"/>
      <c r="F35" s="333"/>
      <c r="G35" s="333"/>
      <c r="H35" s="169">
        <f t="shared" si="0"/>
        <v>0</v>
      </c>
      <c r="I35" s="222"/>
    </row>
    <row r="36" spans="1:9" ht="15.95" customHeight="1">
      <c r="A36" s="511"/>
      <c r="B36" s="214"/>
      <c r="C36" s="331"/>
      <c r="D36" s="331"/>
      <c r="E36" s="365"/>
      <c r="F36" s="333"/>
      <c r="G36" s="333"/>
      <c r="H36" s="169">
        <f t="shared" si="0"/>
        <v>0</v>
      </c>
      <c r="I36" s="222"/>
    </row>
    <row r="37" spans="1:9" ht="15.95" customHeight="1">
      <c r="A37" s="511"/>
      <c r="B37" s="214"/>
      <c r="C37" s="331"/>
      <c r="D37" s="331"/>
      <c r="E37" s="365"/>
      <c r="F37" s="333"/>
      <c r="G37" s="333"/>
      <c r="H37" s="169">
        <f t="shared" si="0"/>
        <v>0</v>
      </c>
      <c r="I37" s="222"/>
    </row>
    <row r="38" spans="1:9" ht="15.95" customHeight="1">
      <c r="A38" s="511"/>
      <c r="B38" s="214"/>
      <c r="C38" s="331"/>
      <c r="D38" s="331"/>
      <c r="E38" s="365"/>
      <c r="F38" s="333"/>
      <c r="G38" s="333"/>
      <c r="H38" s="169">
        <f t="shared" si="0"/>
        <v>0</v>
      </c>
      <c r="I38" s="222"/>
    </row>
    <row r="39" spans="1:9" ht="15.95" customHeight="1">
      <c r="A39" s="511"/>
      <c r="B39" s="214"/>
      <c r="C39" s="331"/>
      <c r="D39" s="331"/>
      <c r="E39" s="365"/>
      <c r="F39" s="333"/>
      <c r="G39" s="333"/>
      <c r="H39" s="169">
        <f t="shared" si="0"/>
        <v>0</v>
      </c>
      <c r="I39" s="222"/>
    </row>
    <row r="40" spans="1:9" ht="15.95" customHeight="1">
      <c r="A40" s="511"/>
      <c r="B40" s="214"/>
      <c r="C40" s="331"/>
      <c r="D40" s="331"/>
      <c r="E40" s="365"/>
      <c r="F40" s="333"/>
      <c r="G40" s="333"/>
      <c r="H40" s="169">
        <f t="shared" si="0"/>
        <v>0</v>
      </c>
      <c r="I40" s="222"/>
    </row>
    <row r="41" spans="1:9" ht="15.95" customHeight="1">
      <c r="A41" s="511"/>
      <c r="B41" s="214"/>
      <c r="C41" s="331"/>
      <c r="D41" s="331"/>
      <c r="E41" s="365"/>
      <c r="F41" s="333"/>
      <c r="G41" s="333"/>
      <c r="H41" s="169">
        <f t="shared" si="0"/>
        <v>0</v>
      </c>
      <c r="I41" s="222"/>
    </row>
    <row r="42" spans="1:9" ht="15.95" customHeight="1">
      <c r="A42" s="511"/>
      <c r="B42" s="214"/>
      <c r="C42" s="331"/>
      <c r="D42" s="331"/>
      <c r="E42" s="365"/>
      <c r="F42" s="333"/>
      <c r="G42" s="333"/>
      <c r="H42" s="169">
        <f t="shared" si="0"/>
        <v>0</v>
      </c>
      <c r="I42" s="222"/>
    </row>
    <row r="43" spans="1:9" ht="15.95" customHeight="1">
      <c r="A43" s="511"/>
      <c r="B43" s="214"/>
      <c r="C43" s="331"/>
      <c r="D43" s="331"/>
      <c r="E43" s="365"/>
      <c r="F43" s="333"/>
      <c r="G43" s="333"/>
      <c r="H43" s="169">
        <f t="shared" si="0"/>
        <v>0</v>
      </c>
      <c r="I43" s="222"/>
    </row>
    <row r="44" spans="1:9" ht="15.95" customHeight="1">
      <c r="A44" s="511"/>
      <c r="B44" s="214"/>
      <c r="C44" s="331"/>
      <c r="D44" s="331"/>
      <c r="E44" s="365"/>
      <c r="F44" s="333"/>
      <c r="G44" s="333"/>
      <c r="H44" s="169">
        <f t="shared" si="0"/>
        <v>0</v>
      </c>
      <c r="I44" s="222"/>
    </row>
    <row r="45" spans="1:9" ht="15.95" customHeight="1">
      <c r="A45" s="511"/>
      <c r="B45" s="214"/>
      <c r="C45" s="331"/>
      <c r="D45" s="331"/>
      <c r="E45" s="365"/>
      <c r="F45" s="333"/>
      <c r="G45" s="333"/>
      <c r="H45" s="169">
        <f t="shared" si="0"/>
        <v>0</v>
      </c>
      <c r="I45" s="222"/>
    </row>
    <row r="46" spans="1:9" ht="15.95" customHeight="1">
      <c r="A46" s="511"/>
      <c r="B46" s="214"/>
      <c r="C46" s="334" t="s">
        <v>305</v>
      </c>
      <c r="D46" s="334" t="s">
        <v>313</v>
      </c>
      <c r="E46" s="335" t="s">
        <v>294</v>
      </c>
      <c r="F46" s="336">
        <v>1</v>
      </c>
      <c r="G46" s="336">
        <v>500000</v>
      </c>
      <c r="H46" s="258">
        <f t="shared" si="0"/>
        <v>500000</v>
      </c>
      <c r="I46" s="230"/>
    </row>
    <row r="47" spans="1:9" ht="15.95" customHeight="1">
      <c r="A47" s="511"/>
      <c r="B47" s="231"/>
      <c r="C47" s="337"/>
      <c r="D47" s="338"/>
      <c r="E47" s="369"/>
      <c r="F47" s="339"/>
      <c r="G47" s="339"/>
      <c r="H47" s="157">
        <f>SUM(H31:H46)</f>
        <v>7000000</v>
      </c>
      <c r="I47" s="236"/>
    </row>
    <row r="48" spans="1:9" ht="15.95" customHeight="1">
      <c r="A48" s="511"/>
      <c r="B48" s="257" t="s">
        <v>164</v>
      </c>
      <c r="C48" s="371" t="s">
        <v>314</v>
      </c>
      <c r="D48" s="371"/>
      <c r="E48" s="373" t="s">
        <v>294</v>
      </c>
      <c r="F48" s="374">
        <v>1</v>
      </c>
      <c r="G48" s="374">
        <v>3000000</v>
      </c>
      <c r="H48" s="242">
        <f t="shared" si="0"/>
        <v>3000000</v>
      </c>
      <c r="I48" s="243"/>
    </row>
    <row r="49" spans="1:9" ht="15.95" customHeight="1">
      <c r="A49" s="511"/>
      <c r="B49" s="214"/>
      <c r="C49" s="371" t="s">
        <v>315</v>
      </c>
      <c r="D49" s="371"/>
      <c r="E49" s="373" t="s">
        <v>294</v>
      </c>
      <c r="F49" s="374">
        <v>1</v>
      </c>
      <c r="G49" s="374">
        <v>3000000</v>
      </c>
      <c r="H49" s="169">
        <f t="shared" si="0"/>
        <v>3000000</v>
      </c>
      <c r="I49" s="222"/>
    </row>
    <row r="50" spans="1:9" ht="15.95" customHeight="1">
      <c r="A50" s="511"/>
      <c r="B50" s="214"/>
      <c r="C50" s="371"/>
      <c r="D50" s="371"/>
      <c r="E50" s="373"/>
      <c r="F50" s="374"/>
      <c r="G50" s="374"/>
      <c r="H50" s="169">
        <f t="shared" si="0"/>
        <v>0</v>
      </c>
      <c r="I50" s="222"/>
    </row>
    <row r="51" spans="1:9" ht="15.95" customHeight="1">
      <c r="A51" s="511"/>
      <c r="B51" s="214"/>
      <c r="C51" s="371"/>
      <c r="D51" s="371"/>
      <c r="E51" s="372"/>
      <c r="F51" s="374"/>
      <c r="G51" s="374"/>
      <c r="H51" s="169">
        <f t="shared" si="0"/>
        <v>0</v>
      </c>
      <c r="I51" s="222"/>
    </row>
    <row r="52" spans="1:9" ht="15.95" customHeight="1">
      <c r="A52" s="511"/>
      <c r="B52" s="214"/>
      <c r="C52" s="371"/>
      <c r="D52" s="371"/>
      <c r="E52" s="372"/>
      <c r="F52" s="374"/>
      <c r="G52" s="374"/>
      <c r="H52" s="169">
        <f t="shared" si="0"/>
        <v>0</v>
      </c>
      <c r="I52" s="222"/>
    </row>
    <row r="53" spans="1:9" ht="15.95" customHeight="1">
      <c r="A53" s="511"/>
      <c r="B53" s="214"/>
      <c r="C53" s="371"/>
      <c r="D53" s="371"/>
      <c r="E53" s="372"/>
      <c r="F53" s="374"/>
      <c r="G53" s="374"/>
      <c r="H53" s="169">
        <f t="shared" si="0"/>
        <v>0</v>
      </c>
      <c r="I53" s="222"/>
    </row>
    <row r="54" spans="1:9" ht="15.95" customHeight="1">
      <c r="A54" s="511"/>
      <c r="B54" s="214"/>
      <c r="C54" s="334"/>
      <c r="D54" s="334"/>
      <c r="E54" s="368"/>
      <c r="F54" s="336"/>
      <c r="G54" s="336"/>
      <c r="H54" s="258">
        <f t="shared" si="0"/>
        <v>0</v>
      </c>
      <c r="I54" s="230"/>
    </row>
    <row r="55" spans="1:9" ht="15.95" customHeight="1">
      <c r="A55" s="511"/>
      <c r="B55" s="231"/>
      <c r="C55" s="337"/>
      <c r="D55" s="338"/>
      <c r="E55" s="369"/>
      <c r="F55" s="339"/>
      <c r="G55" s="339"/>
      <c r="H55" s="157">
        <f>SUM(H48:H54)</f>
        <v>6000000</v>
      </c>
      <c r="I55" s="236"/>
    </row>
    <row r="56" spans="1:9" ht="15.95" customHeight="1">
      <c r="A56" s="259"/>
      <c r="B56" s="260" t="s">
        <v>165</v>
      </c>
      <c r="C56" s="348"/>
      <c r="D56" s="340"/>
      <c r="E56" s="370"/>
      <c r="F56" s="349"/>
      <c r="G56" s="349"/>
      <c r="H56" s="157">
        <f>SUM(H55,H47,H30,H24)</f>
        <v>21800000</v>
      </c>
      <c r="I56" s="236"/>
    </row>
    <row r="57" spans="1:9" ht="15.95" customHeight="1">
      <c r="A57" s="520" t="s">
        <v>166</v>
      </c>
      <c r="B57" s="264" t="s">
        <v>167</v>
      </c>
      <c r="C57" s="348"/>
      <c r="D57" s="350"/>
      <c r="E57" s="351" t="s">
        <v>130</v>
      </c>
      <c r="F57" s="363"/>
      <c r="G57" s="352">
        <v>200000</v>
      </c>
      <c r="H57" s="187">
        <f>F57*G57</f>
        <v>0</v>
      </c>
      <c r="I57" s="236"/>
    </row>
    <row r="58" spans="1:9" ht="15.95" customHeight="1">
      <c r="A58" s="511"/>
      <c r="B58" s="269" t="s">
        <v>168</v>
      </c>
      <c r="C58" s="353"/>
      <c r="D58" s="354"/>
      <c r="E58" s="355" t="s">
        <v>130</v>
      </c>
      <c r="F58" s="343">
        <v>14</v>
      </c>
      <c r="G58" s="343">
        <v>200000</v>
      </c>
      <c r="H58" s="242">
        <f t="shared" ref="H58:H64" si="1">F58*G58</f>
        <v>2800000</v>
      </c>
      <c r="I58" s="243"/>
    </row>
    <row r="59" spans="1:9" ht="15.95" customHeight="1">
      <c r="A59" s="511"/>
      <c r="B59" s="291" t="s">
        <v>169</v>
      </c>
      <c r="C59" s="356"/>
      <c r="D59" s="357"/>
      <c r="E59" s="358" t="s">
        <v>130</v>
      </c>
      <c r="F59" s="333">
        <v>20</v>
      </c>
      <c r="G59" s="330">
        <v>200000</v>
      </c>
      <c r="H59" s="169">
        <f t="shared" si="1"/>
        <v>4000000</v>
      </c>
      <c r="I59" s="222"/>
    </row>
    <row r="60" spans="1:9" ht="15.95" customHeight="1">
      <c r="A60" s="511"/>
      <c r="B60" s="273" t="s">
        <v>170</v>
      </c>
      <c r="C60" s="356"/>
      <c r="D60" s="357"/>
      <c r="E60" s="358" t="s">
        <v>130</v>
      </c>
      <c r="F60" s="333">
        <v>20</v>
      </c>
      <c r="G60" s="330">
        <v>200000</v>
      </c>
      <c r="H60" s="169">
        <f t="shared" si="1"/>
        <v>4000000</v>
      </c>
      <c r="I60" s="222"/>
    </row>
    <row r="61" spans="1:9" ht="15.95" customHeight="1">
      <c r="A61" s="511"/>
      <c r="B61" s="273" t="s">
        <v>171</v>
      </c>
      <c r="C61" s="356"/>
      <c r="D61" s="357"/>
      <c r="E61" s="358" t="s">
        <v>130</v>
      </c>
      <c r="F61" s="333">
        <v>40</v>
      </c>
      <c r="G61" s="330">
        <v>200000</v>
      </c>
      <c r="H61" s="169">
        <f t="shared" si="1"/>
        <v>8000000</v>
      </c>
      <c r="I61" s="222"/>
    </row>
    <row r="62" spans="1:9" ht="15.95" customHeight="1">
      <c r="A62" s="511"/>
      <c r="B62" s="273" t="s">
        <v>172</v>
      </c>
      <c r="C62" s="356"/>
      <c r="D62" s="357"/>
      <c r="E62" s="358" t="s">
        <v>130</v>
      </c>
      <c r="F62" s="333"/>
      <c r="G62" s="330">
        <v>200000</v>
      </c>
      <c r="H62" s="169">
        <f t="shared" si="1"/>
        <v>0</v>
      </c>
      <c r="I62" s="222"/>
    </row>
    <row r="63" spans="1:9" ht="15.95" customHeight="1">
      <c r="A63" s="511"/>
      <c r="B63" s="273" t="s">
        <v>173</v>
      </c>
      <c r="C63" s="356"/>
      <c r="D63" s="357"/>
      <c r="E63" s="358" t="s">
        <v>130</v>
      </c>
      <c r="F63" s="333"/>
      <c r="G63" s="330">
        <v>200000</v>
      </c>
      <c r="H63" s="169">
        <f t="shared" si="1"/>
        <v>0</v>
      </c>
      <c r="I63" s="222"/>
    </row>
    <row r="64" spans="1:9" ht="15.95" customHeight="1">
      <c r="A64" s="511"/>
      <c r="B64" s="277" t="s">
        <v>174</v>
      </c>
      <c r="C64" s="359"/>
      <c r="D64" s="360"/>
      <c r="E64" s="361" t="s">
        <v>130</v>
      </c>
      <c r="F64" s="336"/>
      <c r="G64" s="336">
        <v>200000</v>
      </c>
      <c r="H64" s="258">
        <f t="shared" si="1"/>
        <v>0</v>
      </c>
      <c r="I64" s="230"/>
    </row>
    <row r="65" spans="1:9" ht="15.95" customHeight="1">
      <c r="A65" s="259"/>
      <c r="B65" s="281" t="s">
        <v>175</v>
      </c>
      <c r="C65" s="348"/>
      <c r="D65" s="340"/>
      <c r="E65" s="370"/>
      <c r="F65" s="339"/>
      <c r="G65" s="339"/>
      <c r="H65" s="235">
        <f>SUM(H57:H64)</f>
        <v>18800000</v>
      </c>
      <c r="I65" s="233"/>
    </row>
    <row r="66" spans="1:9" ht="15.95" customHeight="1">
      <c r="A66" s="282"/>
      <c r="B66" s="281" t="s">
        <v>176</v>
      </c>
      <c r="C66" s="348"/>
      <c r="D66" s="340"/>
      <c r="E66" s="370"/>
      <c r="F66" s="328"/>
      <c r="G66" s="328"/>
      <c r="H66" s="263">
        <f>'단위공사별(집계)'!K8+'단위공사별(집계)'!I8</f>
        <v>336928.11501597444</v>
      </c>
      <c r="I66" s="236"/>
    </row>
    <row r="67" spans="1:9" ht="15.95" customHeight="1">
      <c r="A67" s="282"/>
      <c r="B67" s="281" t="s">
        <v>177</v>
      </c>
      <c r="C67" s="348"/>
      <c r="D67" s="340"/>
      <c r="E67" s="370"/>
      <c r="F67" s="328"/>
      <c r="G67" s="362"/>
      <c r="H67" s="285">
        <f>(H65+H56)*0.05</f>
        <v>2030000</v>
      </c>
      <c r="I67" s="261"/>
    </row>
    <row r="68" spans="1:9" ht="15.95" customHeight="1">
      <c r="A68" s="282"/>
      <c r="B68" s="281" t="s">
        <v>178</v>
      </c>
      <c r="C68" s="348"/>
      <c r="D68" s="340"/>
      <c r="E68" s="370"/>
      <c r="F68" s="328"/>
      <c r="G68" s="362"/>
      <c r="H68" s="285">
        <f>(H65+H56)*0.05</f>
        <v>2030000</v>
      </c>
      <c r="I68" s="261"/>
    </row>
    <row r="69" spans="1:9" ht="15.95" customHeight="1">
      <c r="A69" s="282"/>
      <c r="B69" s="281" t="s">
        <v>179</v>
      </c>
      <c r="C69" s="348"/>
      <c r="D69" s="340"/>
      <c r="E69" s="370"/>
      <c r="F69" s="328"/>
      <c r="G69" s="328"/>
      <c r="H69" s="235">
        <f>H56+H65+H66+H67+H68</f>
        <v>44996928.115015976</v>
      </c>
      <c r="I69" s="236"/>
    </row>
    <row r="70" spans="1:9">
      <c r="A70" s="140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C1" sqref="C1"/>
      <selection pane="topRight" activeCell="C1" sqref="C1"/>
      <selection pane="bottomLeft" activeCell="C1" sqref="C1"/>
      <selection pane="bottomRight" activeCell="C1" sqref="C1"/>
    </sheetView>
  </sheetViews>
  <sheetFormatPr defaultColWidth="9" defaultRowHeight="13.5"/>
  <cols>
    <col min="1" max="1" width="5" style="128" customWidth="1"/>
    <col min="2" max="2" width="17.875" style="128" bestFit="1" customWidth="1"/>
    <col min="3" max="3" width="23.625" style="128" customWidth="1"/>
    <col min="4" max="4" width="18.25" style="128" customWidth="1"/>
    <col min="5" max="5" width="5.25" style="128" bestFit="1" customWidth="1"/>
    <col min="6" max="6" width="9" style="159"/>
    <col min="7" max="7" width="11.875" style="159" customWidth="1"/>
    <col min="8" max="8" width="13.625" style="159" customWidth="1"/>
    <col min="9" max="9" width="12.75" style="128" customWidth="1"/>
    <col min="10" max="16384" width="9" style="128"/>
  </cols>
  <sheetData>
    <row r="1" spans="1:9" ht="22.5" customHeight="1">
      <c r="B1" s="206" t="s">
        <v>180</v>
      </c>
      <c r="C1" s="287"/>
      <c r="D1" s="208"/>
      <c r="E1" s="208"/>
      <c r="F1" s="288"/>
      <c r="G1" s="171"/>
      <c r="I1" s="128" t="s">
        <v>181</v>
      </c>
    </row>
    <row r="2" spans="1:9" s="140" customFormat="1" ht="16.5" customHeight="1">
      <c r="A2" s="387" t="s">
        <v>182</v>
      </c>
      <c r="B2" s="515"/>
      <c r="C2" s="133" t="s">
        <v>183</v>
      </c>
      <c r="D2" s="129" t="s">
        <v>184</v>
      </c>
      <c r="E2" s="129" t="s">
        <v>185</v>
      </c>
      <c r="F2" s="262" t="s">
        <v>186</v>
      </c>
      <c r="G2" s="262" t="s">
        <v>187</v>
      </c>
      <c r="H2" s="262" t="s">
        <v>188</v>
      </c>
      <c r="I2" s="129" t="s">
        <v>189</v>
      </c>
    </row>
    <row r="3" spans="1:9" ht="15.95" customHeight="1">
      <c r="A3" s="516" t="s">
        <v>190</v>
      </c>
      <c r="B3" s="214" t="s">
        <v>191</v>
      </c>
      <c r="C3" s="316"/>
      <c r="D3" s="317"/>
      <c r="E3" s="318"/>
      <c r="F3" s="319"/>
      <c r="G3" s="319"/>
      <c r="H3" s="242">
        <f>IF(F3=0,G3,G3*F3)</f>
        <v>0</v>
      </c>
      <c r="I3" s="243"/>
    </row>
    <row r="4" spans="1:9" ht="15.95" customHeight="1">
      <c r="A4" s="511"/>
      <c r="B4" s="214"/>
      <c r="C4" s="316"/>
      <c r="D4" s="317"/>
      <c r="E4" s="318"/>
      <c r="F4" s="319"/>
      <c r="G4" s="319"/>
      <c r="H4" s="169">
        <f>IF(F4=0,G4,G4*F4)</f>
        <v>0</v>
      </c>
      <c r="I4" s="222"/>
    </row>
    <row r="5" spans="1:9" ht="15.95" customHeight="1">
      <c r="A5" s="511"/>
      <c r="B5" s="214"/>
      <c r="C5" s="316"/>
      <c r="D5" s="317"/>
      <c r="E5" s="318"/>
      <c r="F5" s="319"/>
      <c r="G5" s="319"/>
      <c r="H5" s="169">
        <f t="shared" ref="H5:H54" si="0">IF(F5=0,G5,G5*F5)</f>
        <v>0</v>
      </c>
      <c r="I5" s="222"/>
    </row>
    <row r="6" spans="1:9" ht="15.95" customHeight="1">
      <c r="A6" s="511"/>
      <c r="B6" s="214"/>
      <c r="C6" s="316"/>
      <c r="D6" s="317"/>
      <c r="E6" s="318"/>
      <c r="F6" s="319"/>
      <c r="G6" s="319"/>
      <c r="H6" s="169">
        <f t="shared" si="0"/>
        <v>0</v>
      </c>
      <c r="I6" s="222"/>
    </row>
    <row r="7" spans="1:9" ht="15.95" customHeight="1">
      <c r="A7" s="511"/>
      <c r="B7" s="214"/>
      <c r="C7" s="316"/>
      <c r="D7" s="317"/>
      <c r="E7" s="318"/>
      <c r="F7" s="319"/>
      <c r="G7" s="319"/>
      <c r="H7" s="169">
        <f t="shared" si="0"/>
        <v>0</v>
      </c>
      <c r="I7" s="222"/>
    </row>
    <row r="8" spans="1:9" ht="15.95" customHeight="1">
      <c r="A8" s="511"/>
      <c r="B8" s="214"/>
      <c r="C8" s="316"/>
      <c r="D8" s="316"/>
      <c r="E8" s="318"/>
      <c r="F8" s="319"/>
      <c r="G8" s="319"/>
      <c r="H8" s="169">
        <f t="shared" si="0"/>
        <v>0</v>
      </c>
      <c r="I8" s="222"/>
    </row>
    <row r="9" spans="1:9" ht="15.95" customHeight="1">
      <c r="A9" s="511"/>
      <c r="B9" s="214"/>
      <c r="C9" s="308"/>
      <c r="D9" s="308"/>
      <c r="E9" s="318"/>
      <c r="F9" s="313"/>
      <c r="G9" s="313"/>
      <c r="H9" s="169">
        <f t="shared" si="0"/>
        <v>0</v>
      </c>
      <c r="I9" s="222"/>
    </row>
    <row r="10" spans="1:9" ht="15.95" customHeight="1">
      <c r="A10" s="511"/>
      <c r="B10" s="214"/>
      <c r="C10" s="308"/>
      <c r="D10" s="308"/>
      <c r="E10" s="318"/>
      <c r="F10" s="313"/>
      <c r="G10" s="313"/>
      <c r="H10" s="169">
        <f t="shared" si="0"/>
        <v>0</v>
      </c>
      <c r="I10" s="222"/>
    </row>
    <row r="11" spans="1:9" ht="15.95" customHeight="1">
      <c r="A11" s="511"/>
      <c r="B11" s="214"/>
      <c r="C11" s="308"/>
      <c r="D11" s="308"/>
      <c r="E11" s="318"/>
      <c r="F11" s="313"/>
      <c r="G11" s="313"/>
      <c r="H11" s="169">
        <f t="shared" si="0"/>
        <v>0</v>
      </c>
      <c r="I11" s="222"/>
    </row>
    <row r="12" spans="1:9" ht="15.95" customHeight="1">
      <c r="A12" s="511"/>
      <c r="B12" s="214"/>
      <c r="C12" s="308"/>
      <c r="D12" s="308"/>
      <c r="E12" s="312"/>
      <c r="F12" s="313"/>
      <c r="G12" s="313"/>
      <c r="H12" s="169">
        <f t="shared" si="0"/>
        <v>0</v>
      </c>
      <c r="I12" s="222"/>
    </row>
    <row r="13" spans="1:9" ht="15.95" customHeight="1">
      <c r="A13" s="511"/>
      <c r="B13" s="214"/>
      <c r="C13" s="308"/>
      <c r="D13" s="308"/>
      <c r="E13" s="312"/>
      <c r="F13" s="313"/>
      <c r="G13" s="313"/>
      <c r="H13" s="169">
        <f t="shared" si="0"/>
        <v>0</v>
      </c>
      <c r="I13" s="222"/>
    </row>
    <row r="14" spans="1:9" ht="15.95" customHeight="1">
      <c r="A14" s="511"/>
      <c r="B14" s="214"/>
      <c r="C14" s="308"/>
      <c r="D14" s="308"/>
      <c r="E14" s="312"/>
      <c r="F14" s="313"/>
      <c r="G14" s="313"/>
      <c r="H14" s="169">
        <f t="shared" si="0"/>
        <v>0</v>
      </c>
      <c r="I14" s="222"/>
    </row>
    <row r="15" spans="1:9" ht="15.95" customHeight="1">
      <c r="A15" s="511"/>
      <c r="B15" s="214"/>
      <c r="C15" s="308"/>
      <c r="D15" s="308"/>
      <c r="E15" s="312"/>
      <c r="F15" s="313"/>
      <c r="G15" s="313"/>
      <c r="H15" s="169">
        <f t="shared" si="0"/>
        <v>0</v>
      </c>
      <c r="I15" s="222"/>
    </row>
    <row r="16" spans="1:9" ht="15.95" customHeight="1">
      <c r="A16" s="511"/>
      <c r="B16" s="214"/>
      <c r="C16" s="308"/>
      <c r="D16" s="308"/>
      <c r="E16" s="300"/>
      <c r="F16" s="313"/>
      <c r="G16" s="313"/>
      <c r="H16" s="169">
        <f t="shared" si="0"/>
        <v>0</v>
      </c>
      <c r="I16" s="222"/>
    </row>
    <row r="17" spans="1:9" ht="15.95" customHeight="1">
      <c r="A17" s="511"/>
      <c r="B17" s="214"/>
      <c r="C17" s="308"/>
      <c r="D17" s="308"/>
      <c r="E17" s="300"/>
      <c r="F17" s="313"/>
      <c r="G17" s="313"/>
      <c r="H17" s="169">
        <f t="shared" si="0"/>
        <v>0</v>
      </c>
      <c r="I17" s="222"/>
    </row>
    <row r="18" spans="1:9" ht="15.95" customHeight="1">
      <c r="A18" s="511"/>
      <c r="B18" s="214"/>
      <c r="C18" s="308"/>
      <c r="D18" s="308"/>
      <c r="E18" s="300"/>
      <c r="F18" s="313"/>
      <c r="G18" s="313"/>
      <c r="H18" s="169">
        <f t="shared" si="0"/>
        <v>0</v>
      </c>
      <c r="I18" s="222"/>
    </row>
    <row r="19" spans="1:9" ht="15.95" customHeight="1">
      <c r="A19" s="511"/>
      <c r="B19" s="214"/>
      <c r="C19" s="308"/>
      <c r="D19" s="308"/>
      <c r="E19" s="300"/>
      <c r="F19" s="313"/>
      <c r="G19" s="313"/>
      <c r="H19" s="169">
        <f t="shared" si="0"/>
        <v>0</v>
      </c>
      <c r="I19" s="222"/>
    </row>
    <row r="20" spans="1:9" ht="15.95" customHeight="1">
      <c r="A20" s="511"/>
      <c r="B20" s="214"/>
      <c r="C20" s="308"/>
      <c r="D20" s="308"/>
      <c r="E20" s="300"/>
      <c r="F20" s="313"/>
      <c r="G20" s="313"/>
      <c r="H20" s="169">
        <f t="shared" si="0"/>
        <v>0</v>
      </c>
      <c r="I20" s="222"/>
    </row>
    <row r="21" spans="1:9" ht="15.95" customHeight="1">
      <c r="A21" s="511"/>
      <c r="B21" s="214"/>
      <c r="C21" s="308"/>
      <c r="D21" s="308"/>
      <c r="E21" s="300"/>
      <c r="F21" s="313"/>
      <c r="G21" s="313"/>
      <c r="H21" s="169">
        <f t="shared" si="0"/>
        <v>0</v>
      </c>
      <c r="I21" s="222"/>
    </row>
    <row r="22" spans="1:9" ht="15.95" customHeight="1">
      <c r="A22" s="511"/>
      <c r="B22" s="214"/>
      <c r="C22" s="308"/>
      <c r="D22" s="308"/>
      <c r="E22" s="300"/>
      <c r="F22" s="313"/>
      <c r="G22" s="313"/>
      <c r="H22" s="169">
        <f t="shared" si="0"/>
        <v>0</v>
      </c>
      <c r="I22" s="222"/>
    </row>
    <row r="23" spans="1:9" ht="15.95" customHeight="1">
      <c r="A23" s="511"/>
      <c r="B23" s="214"/>
      <c r="C23" s="226"/>
      <c r="D23" s="245"/>
      <c r="E23" s="320"/>
      <c r="F23" s="247"/>
      <c r="G23" s="247"/>
      <c r="H23" s="248">
        <f t="shared" si="0"/>
        <v>0</v>
      </c>
      <c r="I23" s="249"/>
    </row>
    <row r="24" spans="1:9" ht="15.95" customHeight="1">
      <c r="A24" s="511"/>
      <c r="B24" s="231"/>
      <c r="C24" s="256"/>
      <c r="D24" s="256"/>
      <c r="E24" s="302"/>
      <c r="F24" s="254"/>
      <c r="G24" s="254"/>
      <c r="H24" s="255">
        <f>SUM(H3:H23)</f>
        <v>0</v>
      </c>
      <c r="I24" s="256"/>
    </row>
    <row r="25" spans="1:9" ht="15.95" customHeight="1">
      <c r="A25" s="511"/>
      <c r="B25" s="214" t="s">
        <v>151</v>
      </c>
      <c r="C25" s="215"/>
      <c r="D25" s="215"/>
      <c r="E25" s="303"/>
      <c r="F25" s="218"/>
      <c r="G25" s="218"/>
      <c r="H25" s="219">
        <f t="shared" si="0"/>
        <v>0</v>
      </c>
      <c r="I25" s="220"/>
    </row>
    <row r="26" spans="1:9" ht="15.95" customHeight="1">
      <c r="A26" s="511"/>
      <c r="B26" s="214" t="s">
        <v>152</v>
      </c>
      <c r="C26" s="308"/>
      <c r="D26" s="308"/>
      <c r="E26" s="300"/>
      <c r="F26" s="313"/>
      <c r="G26" s="313"/>
      <c r="H26" s="169">
        <f t="shared" si="0"/>
        <v>0</v>
      </c>
      <c r="I26" s="222"/>
    </row>
    <row r="27" spans="1:9" ht="15.95" customHeight="1">
      <c r="A27" s="511"/>
      <c r="B27" s="214"/>
      <c r="C27" s="308"/>
      <c r="D27" s="308"/>
      <c r="E27" s="300"/>
      <c r="F27" s="313"/>
      <c r="G27" s="313"/>
      <c r="H27" s="169">
        <f t="shared" si="0"/>
        <v>0</v>
      </c>
      <c r="I27" s="222"/>
    </row>
    <row r="28" spans="1:9" ht="15.95" customHeight="1">
      <c r="A28" s="511"/>
      <c r="B28" s="214"/>
      <c r="C28" s="308"/>
      <c r="D28" s="308"/>
      <c r="E28" s="300"/>
      <c r="F28" s="313"/>
      <c r="G28" s="313"/>
      <c r="H28" s="169">
        <f t="shared" si="0"/>
        <v>0</v>
      </c>
      <c r="I28" s="222"/>
    </row>
    <row r="29" spans="1:9" ht="15.95" customHeight="1">
      <c r="A29" s="511"/>
      <c r="B29" s="214"/>
      <c r="C29" s="226"/>
      <c r="D29" s="226"/>
      <c r="E29" s="304"/>
      <c r="F29" s="229"/>
      <c r="G29" s="229"/>
      <c r="H29" s="169">
        <f t="shared" si="0"/>
        <v>0</v>
      </c>
      <c r="I29" s="230"/>
    </row>
    <row r="30" spans="1:9" ht="15.95" customHeight="1">
      <c r="A30" s="511"/>
      <c r="B30" s="231"/>
      <c r="C30" s="232"/>
      <c r="D30" s="233"/>
      <c r="E30" s="305"/>
      <c r="F30" s="290"/>
      <c r="G30" s="235"/>
      <c r="H30" s="157">
        <f>SUM(H25:H29)</f>
        <v>0</v>
      </c>
      <c r="I30" s="236"/>
    </row>
    <row r="31" spans="1:9" ht="15.95" customHeight="1">
      <c r="A31" s="511"/>
      <c r="B31" s="257" t="s">
        <v>153</v>
      </c>
      <c r="C31" s="309"/>
      <c r="D31" s="309"/>
      <c r="E31" s="310"/>
      <c r="F31" s="311"/>
      <c r="G31" s="311"/>
      <c r="H31" s="242">
        <f t="shared" si="0"/>
        <v>0</v>
      </c>
      <c r="I31" s="243"/>
    </row>
    <row r="32" spans="1:9" ht="15.95" customHeight="1">
      <c r="A32" s="511"/>
      <c r="B32" s="214" t="s">
        <v>154</v>
      </c>
      <c r="C32" s="316"/>
      <c r="D32" s="316"/>
      <c r="E32" s="318"/>
      <c r="F32" s="319"/>
      <c r="G32" s="319"/>
      <c r="H32" s="169">
        <f t="shared" si="0"/>
        <v>0</v>
      </c>
      <c r="I32" s="222"/>
    </row>
    <row r="33" spans="1:9" ht="15.95" customHeight="1">
      <c r="A33" s="511"/>
      <c r="B33" s="214"/>
      <c r="C33" s="308"/>
      <c r="D33" s="308"/>
      <c r="E33" s="312"/>
      <c r="F33" s="313"/>
      <c r="G33" s="313"/>
      <c r="H33" s="169">
        <f t="shared" si="0"/>
        <v>0</v>
      </c>
      <c r="I33" s="222"/>
    </row>
    <row r="34" spans="1:9" ht="15.95" customHeight="1">
      <c r="A34" s="511"/>
      <c r="B34" s="214"/>
      <c r="C34" s="308"/>
      <c r="D34" s="308"/>
      <c r="E34" s="312"/>
      <c r="F34" s="313"/>
      <c r="G34" s="313"/>
      <c r="H34" s="169">
        <f t="shared" si="0"/>
        <v>0</v>
      </c>
      <c r="I34" s="222"/>
    </row>
    <row r="35" spans="1:9" ht="15.95" customHeight="1">
      <c r="A35" s="511"/>
      <c r="B35" s="214"/>
      <c r="C35" s="308"/>
      <c r="D35" s="308"/>
      <c r="E35" s="312"/>
      <c r="F35" s="313"/>
      <c r="G35" s="313"/>
      <c r="H35" s="169">
        <f t="shared" si="0"/>
        <v>0</v>
      </c>
      <c r="I35" s="222"/>
    </row>
    <row r="36" spans="1:9" ht="15.95" customHeight="1">
      <c r="A36" s="511"/>
      <c r="B36" s="214"/>
      <c r="C36" s="308"/>
      <c r="D36" s="308"/>
      <c r="E36" s="312"/>
      <c r="F36" s="313"/>
      <c r="G36" s="313"/>
      <c r="H36" s="169">
        <f t="shared" si="0"/>
        <v>0</v>
      </c>
      <c r="I36" s="222"/>
    </row>
    <row r="37" spans="1:9" ht="15.95" customHeight="1">
      <c r="A37" s="511"/>
      <c r="B37" s="214"/>
      <c r="C37" s="308"/>
      <c r="D37" s="308"/>
      <c r="E37" s="312"/>
      <c r="F37" s="313"/>
      <c r="G37" s="313"/>
      <c r="H37" s="169">
        <f t="shared" si="0"/>
        <v>0</v>
      </c>
      <c r="I37" s="222"/>
    </row>
    <row r="38" spans="1:9" ht="15.95" customHeight="1">
      <c r="A38" s="511"/>
      <c r="B38" s="214"/>
      <c r="C38" s="308"/>
      <c r="D38" s="308"/>
      <c r="E38" s="312"/>
      <c r="F38" s="313"/>
      <c r="G38" s="313"/>
      <c r="H38" s="169">
        <f t="shared" si="0"/>
        <v>0</v>
      </c>
      <c r="I38" s="222"/>
    </row>
    <row r="39" spans="1:9" ht="15.95" customHeight="1">
      <c r="A39" s="511"/>
      <c r="B39" s="214"/>
      <c r="C39" s="308"/>
      <c r="D39" s="308"/>
      <c r="E39" s="312"/>
      <c r="F39" s="313"/>
      <c r="G39" s="313"/>
      <c r="H39" s="169">
        <f t="shared" si="0"/>
        <v>0</v>
      </c>
      <c r="I39" s="222"/>
    </row>
    <row r="40" spans="1:9" ht="15.95" customHeight="1">
      <c r="A40" s="511"/>
      <c r="B40" s="214"/>
      <c r="C40" s="308"/>
      <c r="D40" s="308"/>
      <c r="E40" s="312"/>
      <c r="F40" s="313"/>
      <c r="G40" s="313"/>
      <c r="H40" s="169">
        <f t="shared" si="0"/>
        <v>0</v>
      </c>
      <c r="I40" s="222"/>
    </row>
    <row r="41" spans="1:9" ht="15.95" customHeight="1">
      <c r="A41" s="511"/>
      <c r="B41" s="214"/>
      <c r="C41" s="308"/>
      <c r="D41" s="308"/>
      <c r="E41" s="312"/>
      <c r="F41" s="313"/>
      <c r="G41" s="313"/>
      <c r="H41" s="169">
        <f t="shared" si="0"/>
        <v>0</v>
      </c>
      <c r="I41" s="222"/>
    </row>
    <row r="42" spans="1:9" ht="15.95" customHeight="1">
      <c r="A42" s="511"/>
      <c r="B42" s="214"/>
      <c r="C42" s="308"/>
      <c r="D42" s="308"/>
      <c r="E42" s="312"/>
      <c r="F42" s="313"/>
      <c r="G42" s="313"/>
      <c r="H42" s="169">
        <f t="shared" si="0"/>
        <v>0</v>
      </c>
      <c r="I42" s="222"/>
    </row>
    <row r="43" spans="1:9" ht="15.95" customHeight="1">
      <c r="A43" s="511"/>
      <c r="B43" s="214"/>
      <c r="C43" s="308"/>
      <c r="D43" s="308"/>
      <c r="E43" s="312"/>
      <c r="F43" s="313"/>
      <c r="G43" s="313"/>
      <c r="H43" s="169">
        <f t="shared" si="0"/>
        <v>0</v>
      </c>
      <c r="I43" s="222"/>
    </row>
    <row r="44" spans="1:9" ht="15.95" customHeight="1">
      <c r="A44" s="511"/>
      <c r="B44" s="214"/>
      <c r="C44" s="308"/>
      <c r="D44" s="308"/>
      <c r="E44" s="312"/>
      <c r="F44" s="313"/>
      <c r="G44" s="313"/>
      <c r="H44" s="169">
        <f t="shared" si="0"/>
        <v>0</v>
      </c>
      <c r="I44" s="222"/>
    </row>
    <row r="45" spans="1:9" ht="15.95" customHeight="1">
      <c r="A45" s="511"/>
      <c r="B45" s="214"/>
      <c r="C45" s="308"/>
      <c r="D45" s="308"/>
      <c r="E45" s="312"/>
      <c r="F45" s="313"/>
      <c r="G45" s="313"/>
      <c r="H45" s="169">
        <f t="shared" si="0"/>
        <v>0</v>
      </c>
      <c r="I45" s="222"/>
    </row>
    <row r="46" spans="1:9" ht="15.95" customHeight="1">
      <c r="A46" s="511"/>
      <c r="B46" s="214"/>
      <c r="C46" s="226"/>
      <c r="D46" s="226"/>
      <c r="E46" s="227"/>
      <c r="F46" s="229"/>
      <c r="G46" s="229"/>
      <c r="H46" s="258">
        <f t="shared" si="0"/>
        <v>0</v>
      </c>
      <c r="I46" s="230"/>
    </row>
    <row r="47" spans="1:9" ht="15.95" customHeight="1">
      <c r="A47" s="511"/>
      <c r="B47" s="231"/>
      <c r="C47" s="232"/>
      <c r="D47" s="233"/>
      <c r="E47" s="305"/>
      <c r="F47" s="235"/>
      <c r="G47" s="235"/>
      <c r="H47" s="157">
        <f>SUM(H31:H46)</f>
        <v>0</v>
      </c>
      <c r="I47" s="236"/>
    </row>
    <row r="48" spans="1:9" ht="15.95" customHeight="1">
      <c r="A48" s="511"/>
      <c r="B48" s="257" t="s">
        <v>192</v>
      </c>
      <c r="C48" s="316"/>
      <c r="D48" s="316"/>
      <c r="E48" s="318"/>
      <c r="F48" s="319"/>
      <c r="G48" s="319"/>
      <c r="H48" s="242">
        <f t="shared" si="0"/>
        <v>0</v>
      </c>
      <c r="I48" s="243"/>
    </row>
    <row r="49" spans="1:9" ht="15.95" customHeight="1">
      <c r="A49" s="511"/>
      <c r="B49" s="214"/>
      <c r="C49" s="316"/>
      <c r="D49" s="316"/>
      <c r="E49" s="318"/>
      <c r="F49" s="319"/>
      <c r="G49" s="319"/>
      <c r="H49" s="169">
        <f t="shared" si="0"/>
        <v>0</v>
      </c>
      <c r="I49" s="222"/>
    </row>
    <row r="50" spans="1:9" ht="15.95" customHeight="1">
      <c r="A50" s="511"/>
      <c r="B50" s="214"/>
      <c r="C50" s="316"/>
      <c r="D50" s="316"/>
      <c r="E50" s="317"/>
      <c r="F50" s="319"/>
      <c r="G50" s="319"/>
      <c r="H50" s="169">
        <f t="shared" si="0"/>
        <v>0</v>
      </c>
      <c r="I50" s="222"/>
    </row>
    <row r="51" spans="1:9" ht="15.95" customHeight="1">
      <c r="A51" s="511"/>
      <c r="B51" s="214"/>
      <c r="C51" s="316"/>
      <c r="D51" s="316"/>
      <c r="E51" s="317"/>
      <c r="F51" s="319"/>
      <c r="G51" s="319"/>
      <c r="H51" s="169">
        <f t="shared" si="0"/>
        <v>0</v>
      </c>
      <c r="I51" s="222"/>
    </row>
    <row r="52" spans="1:9" ht="15.95" customHeight="1">
      <c r="A52" s="511"/>
      <c r="B52" s="214"/>
      <c r="C52" s="316"/>
      <c r="D52" s="316"/>
      <c r="E52" s="317"/>
      <c r="F52" s="319"/>
      <c r="G52" s="319"/>
      <c r="H52" s="169">
        <f t="shared" si="0"/>
        <v>0</v>
      </c>
      <c r="I52" s="222"/>
    </row>
    <row r="53" spans="1:9" ht="15.95" customHeight="1">
      <c r="A53" s="511"/>
      <c r="B53" s="214"/>
      <c r="C53" s="316"/>
      <c r="D53" s="316"/>
      <c r="E53" s="317"/>
      <c r="F53" s="319"/>
      <c r="G53" s="319"/>
      <c r="H53" s="169">
        <f t="shared" si="0"/>
        <v>0</v>
      </c>
      <c r="I53" s="222"/>
    </row>
    <row r="54" spans="1:9" ht="15.95" customHeight="1">
      <c r="A54" s="511"/>
      <c r="B54" s="214"/>
      <c r="C54" s="226"/>
      <c r="D54" s="226"/>
      <c r="E54" s="304"/>
      <c r="F54" s="229"/>
      <c r="G54" s="229"/>
      <c r="H54" s="258">
        <f t="shared" si="0"/>
        <v>0</v>
      </c>
      <c r="I54" s="230"/>
    </row>
    <row r="55" spans="1:9" ht="15.95" customHeight="1">
      <c r="A55" s="511"/>
      <c r="B55" s="231"/>
      <c r="C55" s="232"/>
      <c r="D55" s="233"/>
      <c r="E55" s="305"/>
      <c r="F55" s="235"/>
      <c r="G55" s="235"/>
      <c r="H55" s="157">
        <f>SUM(H48:H54)</f>
        <v>0</v>
      </c>
      <c r="I55" s="236"/>
    </row>
    <row r="56" spans="1:9" ht="15.95" customHeight="1">
      <c r="A56" s="259"/>
      <c r="B56" s="260" t="s">
        <v>193</v>
      </c>
      <c r="C56" s="261"/>
      <c r="D56" s="236"/>
      <c r="E56" s="306"/>
      <c r="F56" s="263"/>
      <c r="G56" s="263"/>
      <c r="H56" s="157">
        <f>SUM(H55,H47,H30,H24)</f>
        <v>0</v>
      </c>
      <c r="I56" s="236"/>
    </row>
    <row r="57" spans="1:9" ht="15.95" customHeight="1">
      <c r="A57" s="520" t="s">
        <v>194</v>
      </c>
      <c r="B57" s="264" t="s">
        <v>195</v>
      </c>
      <c r="C57" s="261"/>
      <c r="D57" s="265"/>
      <c r="E57" s="266" t="s">
        <v>50</v>
      </c>
      <c r="F57" s="285"/>
      <c r="G57" s="268">
        <v>200000</v>
      </c>
      <c r="H57" s="187">
        <f>F57*G57</f>
        <v>0</v>
      </c>
      <c r="I57" s="236"/>
    </row>
    <row r="58" spans="1:9" ht="15.95" customHeight="1">
      <c r="A58" s="511"/>
      <c r="B58" s="269" t="s">
        <v>196</v>
      </c>
      <c r="C58" s="270"/>
      <c r="D58" s="271"/>
      <c r="E58" s="272" t="s">
        <v>130</v>
      </c>
      <c r="F58" s="311"/>
      <c r="G58" s="311">
        <v>200000</v>
      </c>
      <c r="H58" s="242">
        <f t="shared" ref="H58:H64" si="1">F58*G58</f>
        <v>0</v>
      </c>
      <c r="I58" s="243"/>
    </row>
    <row r="59" spans="1:9" ht="15.95" customHeight="1">
      <c r="A59" s="511"/>
      <c r="B59" s="291" t="s">
        <v>197</v>
      </c>
      <c r="C59" s="274"/>
      <c r="D59" s="275"/>
      <c r="E59" s="276" t="s">
        <v>130</v>
      </c>
      <c r="F59" s="313"/>
      <c r="G59" s="218">
        <v>200000</v>
      </c>
      <c r="H59" s="169">
        <f t="shared" si="1"/>
        <v>0</v>
      </c>
      <c r="I59" s="222"/>
    </row>
    <row r="60" spans="1:9" ht="15.95" customHeight="1">
      <c r="A60" s="511"/>
      <c r="B60" s="273" t="s">
        <v>198</v>
      </c>
      <c r="C60" s="274"/>
      <c r="D60" s="275"/>
      <c r="E60" s="276" t="s">
        <v>130</v>
      </c>
      <c r="F60" s="313"/>
      <c r="G60" s="218">
        <v>200000</v>
      </c>
      <c r="H60" s="169">
        <f t="shared" si="1"/>
        <v>0</v>
      </c>
      <c r="I60" s="222"/>
    </row>
    <row r="61" spans="1:9" ht="15.95" customHeight="1">
      <c r="A61" s="511"/>
      <c r="B61" s="273" t="s">
        <v>199</v>
      </c>
      <c r="C61" s="274"/>
      <c r="D61" s="275"/>
      <c r="E61" s="276" t="s">
        <v>130</v>
      </c>
      <c r="F61" s="313"/>
      <c r="G61" s="218">
        <v>200000</v>
      </c>
      <c r="H61" s="169">
        <f t="shared" si="1"/>
        <v>0</v>
      </c>
      <c r="I61" s="222"/>
    </row>
    <row r="62" spans="1:9" ht="15.95" customHeight="1">
      <c r="A62" s="511"/>
      <c r="B62" s="273" t="s">
        <v>200</v>
      </c>
      <c r="C62" s="274"/>
      <c r="D62" s="275"/>
      <c r="E62" s="276" t="s">
        <v>130</v>
      </c>
      <c r="F62" s="313"/>
      <c r="G62" s="218">
        <v>200000</v>
      </c>
      <c r="H62" s="169">
        <f t="shared" si="1"/>
        <v>0</v>
      </c>
      <c r="I62" s="222"/>
    </row>
    <row r="63" spans="1:9" ht="15.95" customHeight="1">
      <c r="A63" s="511"/>
      <c r="B63" s="273" t="s">
        <v>201</v>
      </c>
      <c r="C63" s="274"/>
      <c r="D63" s="275"/>
      <c r="E63" s="276" t="s">
        <v>130</v>
      </c>
      <c r="F63" s="313"/>
      <c r="G63" s="218">
        <v>200000</v>
      </c>
      <c r="H63" s="169">
        <f t="shared" si="1"/>
        <v>0</v>
      </c>
      <c r="I63" s="222"/>
    </row>
    <row r="64" spans="1:9" ht="15.95" customHeight="1">
      <c r="A64" s="511"/>
      <c r="B64" s="277" t="s">
        <v>202</v>
      </c>
      <c r="C64" s="278"/>
      <c r="D64" s="279"/>
      <c r="E64" s="280" t="s">
        <v>130</v>
      </c>
      <c r="F64" s="229"/>
      <c r="G64" s="229">
        <v>200000</v>
      </c>
      <c r="H64" s="258">
        <f t="shared" si="1"/>
        <v>0</v>
      </c>
      <c r="I64" s="230"/>
    </row>
    <row r="65" spans="1:9" ht="15.95" customHeight="1">
      <c r="A65" s="259"/>
      <c r="B65" s="281" t="s">
        <v>203</v>
      </c>
      <c r="C65" s="261"/>
      <c r="D65" s="236"/>
      <c r="E65" s="306"/>
      <c r="F65" s="235"/>
      <c r="G65" s="235"/>
      <c r="H65" s="235">
        <f>SUM(H57:H64)</f>
        <v>0</v>
      </c>
      <c r="I65" s="233"/>
    </row>
    <row r="66" spans="1:9" ht="15.95" customHeight="1">
      <c r="A66" s="282"/>
      <c r="B66" s="281" t="s">
        <v>204</v>
      </c>
      <c r="C66" s="261"/>
      <c r="D66" s="236"/>
      <c r="E66" s="306"/>
      <c r="F66" s="157"/>
      <c r="G66" s="157"/>
      <c r="H66" s="263">
        <f>'단위공사별(집계)'!K9+'단위공사별(집계)'!I9</f>
        <v>0</v>
      </c>
      <c r="I66" s="236"/>
    </row>
    <row r="67" spans="1:9" ht="15.95" customHeight="1">
      <c r="A67" s="282"/>
      <c r="B67" s="281" t="s">
        <v>205</v>
      </c>
      <c r="C67" s="261"/>
      <c r="D67" s="236"/>
      <c r="E67" s="306"/>
      <c r="F67" s="157"/>
      <c r="G67" s="284"/>
      <c r="H67" s="285">
        <f>(H65+H56)*0.05</f>
        <v>0</v>
      </c>
      <c r="I67" s="261"/>
    </row>
    <row r="68" spans="1:9" ht="15.95" customHeight="1">
      <c r="A68" s="282"/>
      <c r="B68" s="281" t="s">
        <v>206</v>
      </c>
      <c r="C68" s="261"/>
      <c r="D68" s="236"/>
      <c r="E68" s="306"/>
      <c r="F68" s="157"/>
      <c r="G68" s="284"/>
      <c r="H68" s="285">
        <f>(H65+H56)*0.1</f>
        <v>0</v>
      </c>
      <c r="I68" s="261"/>
    </row>
    <row r="69" spans="1:9" ht="15.95" customHeight="1">
      <c r="A69" s="282"/>
      <c r="B69" s="281" t="s">
        <v>207</v>
      </c>
      <c r="C69" s="261"/>
      <c r="D69" s="236"/>
      <c r="E69" s="306"/>
      <c r="F69" s="157"/>
      <c r="G69" s="157"/>
      <c r="H69" s="235">
        <f>H56+H65+H66+H67+H68</f>
        <v>0</v>
      </c>
      <c r="I69" s="236"/>
    </row>
    <row r="70" spans="1:9">
      <c r="A70" s="140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C1" sqref="C1"/>
      <selection pane="topRight" activeCell="C1" sqref="C1"/>
      <selection pane="bottomLeft" activeCell="C1" sqref="C1"/>
      <selection pane="bottomRight" activeCell="C1" sqref="C1"/>
    </sheetView>
  </sheetViews>
  <sheetFormatPr defaultColWidth="9" defaultRowHeight="13.5"/>
  <cols>
    <col min="1" max="1" width="5" style="128" customWidth="1"/>
    <col min="2" max="2" width="17.875" style="128" bestFit="1" customWidth="1"/>
    <col min="3" max="3" width="23.625" style="128" customWidth="1"/>
    <col min="4" max="4" width="18.25" style="128" customWidth="1"/>
    <col min="5" max="5" width="5.25" style="128" bestFit="1" customWidth="1"/>
    <col min="6" max="6" width="9" style="159"/>
    <col min="7" max="7" width="11.875" style="159" customWidth="1"/>
    <col min="8" max="8" width="13.625" style="159" customWidth="1"/>
    <col min="9" max="9" width="12.75" style="128" customWidth="1"/>
    <col min="10" max="16384" width="9" style="128"/>
  </cols>
  <sheetData>
    <row r="1" spans="1:9" ht="22.5" customHeight="1">
      <c r="B1" s="206" t="s">
        <v>163</v>
      </c>
      <c r="C1" s="287"/>
      <c r="D1" s="208"/>
      <c r="E1" s="208"/>
      <c r="F1" s="288"/>
      <c r="G1" s="171"/>
      <c r="I1" s="128" t="s">
        <v>181</v>
      </c>
    </row>
    <row r="2" spans="1:9" s="140" customFormat="1" ht="16.5" customHeight="1">
      <c r="A2" s="387" t="s">
        <v>182</v>
      </c>
      <c r="B2" s="515"/>
      <c r="C2" s="133" t="s">
        <v>183</v>
      </c>
      <c r="D2" s="129" t="s">
        <v>184</v>
      </c>
      <c r="E2" s="129" t="s">
        <v>185</v>
      </c>
      <c r="F2" s="262" t="s">
        <v>186</v>
      </c>
      <c r="G2" s="262" t="s">
        <v>187</v>
      </c>
      <c r="H2" s="262" t="s">
        <v>188</v>
      </c>
      <c r="I2" s="129" t="s">
        <v>189</v>
      </c>
    </row>
    <row r="3" spans="1:9" ht="15.95" customHeight="1">
      <c r="A3" s="516" t="s">
        <v>190</v>
      </c>
      <c r="B3" s="214" t="s">
        <v>191</v>
      </c>
      <c r="C3" s="316"/>
      <c r="D3" s="317"/>
      <c r="E3" s="318"/>
      <c r="F3" s="319"/>
      <c r="G3" s="319"/>
      <c r="H3" s="242">
        <f>IF(F3=0,G3,G3*F3)</f>
        <v>0</v>
      </c>
      <c r="I3" s="243"/>
    </row>
    <row r="4" spans="1:9" ht="15.95" customHeight="1">
      <c r="A4" s="511"/>
      <c r="B4" s="214"/>
      <c r="C4" s="316"/>
      <c r="D4" s="317"/>
      <c r="E4" s="318"/>
      <c r="F4" s="319"/>
      <c r="G4" s="319"/>
      <c r="H4" s="169">
        <f>IF(F4=0,G4,G4*F4)</f>
        <v>0</v>
      </c>
      <c r="I4" s="222"/>
    </row>
    <row r="5" spans="1:9" ht="15.95" customHeight="1">
      <c r="A5" s="511"/>
      <c r="B5" s="214"/>
      <c r="C5" s="316"/>
      <c r="D5" s="317"/>
      <c r="E5" s="318"/>
      <c r="F5" s="319"/>
      <c r="G5" s="319"/>
      <c r="H5" s="169">
        <f t="shared" ref="H5:H54" si="0">IF(F5=0,G5,G5*F5)</f>
        <v>0</v>
      </c>
      <c r="I5" s="222"/>
    </row>
    <row r="6" spans="1:9" ht="15.95" customHeight="1">
      <c r="A6" s="511"/>
      <c r="B6" s="214"/>
      <c r="C6" s="316"/>
      <c r="D6" s="317"/>
      <c r="E6" s="318"/>
      <c r="F6" s="319"/>
      <c r="G6" s="319"/>
      <c r="H6" s="169">
        <f t="shared" si="0"/>
        <v>0</v>
      </c>
      <c r="I6" s="222"/>
    </row>
    <row r="7" spans="1:9" ht="15.95" customHeight="1">
      <c r="A7" s="511"/>
      <c r="B7" s="214"/>
      <c r="C7" s="316"/>
      <c r="D7" s="317"/>
      <c r="E7" s="318"/>
      <c r="F7" s="319"/>
      <c r="G7" s="319"/>
      <c r="H7" s="169">
        <f t="shared" si="0"/>
        <v>0</v>
      </c>
      <c r="I7" s="222"/>
    </row>
    <row r="8" spans="1:9" ht="15.95" customHeight="1">
      <c r="A8" s="511"/>
      <c r="B8" s="214"/>
      <c r="C8" s="316"/>
      <c r="D8" s="316"/>
      <c r="E8" s="318"/>
      <c r="F8" s="319"/>
      <c r="G8" s="319"/>
      <c r="H8" s="169">
        <f t="shared" si="0"/>
        <v>0</v>
      </c>
      <c r="I8" s="222"/>
    </row>
    <row r="9" spans="1:9" ht="15.95" customHeight="1">
      <c r="A9" s="511"/>
      <c r="B9" s="214"/>
      <c r="C9" s="308"/>
      <c r="D9" s="308"/>
      <c r="E9" s="318"/>
      <c r="F9" s="313"/>
      <c r="G9" s="313"/>
      <c r="H9" s="169">
        <f t="shared" si="0"/>
        <v>0</v>
      </c>
      <c r="I9" s="222"/>
    </row>
    <row r="10" spans="1:9" ht="15.95" customHeight="1">
      <c r="A10" s="511"/>
      <c r="B10" s="214"/>
      <c r="C10" s="308"/>
      <c r="D10" s="308"/>
      <c r="E10" s="318"/>
      <c r="F10" s="313"/>
      <c r="G10" s="313"/>
      <c r="H10" s="169">
        <f t="shared" si="0"/>
        <v>0</v>
      </c>
      <c r="I10" s="222"/>
    </row>
    <row r="11" spans="1:9" ht="15.95" customHeight="1">
      <c r="A11" s="511"/>
      <c r="B11" s="214"/>
      <c r="C11" s="308"/>
      <c r="D11" s="308"/>
      <c r="E11" s="318"/>
      <c r="F11" s="313"/>
      <c r="G11" s="313"/>
      <c r="H11" s="169">
        <f t="shared" si="0"/>
        <v>0</v>
      </c>
      <c r="I11" s="222"/>
    </row>
    <row r="12" spans="1:9" ht="15.95" customHeight="1">
      <c r="A12" s="511"/>
      <c r="B12" s="214"/>
      <c r="C12" s="308"/>
      <c r="D12" s="308"/>
      <c r="E12" s="312"/>
      <c r="F12" s="313"/>
      <c r="G12" s="313"/>
      <c r="H12" s="169">
        <f t="shared" si="0"/>
        <v>0</v>
      </c>
      <c r="I12" s="222"/>
    </row>
    <row r="13" spans="1:9" ht="15.95" customHeight="1">
      <c r="A13" s="511"/>
      <c r="B13" s="214"/>
      <c r="C13" s="308"/>
      <c r="D13" s="308"/>
      <c r="E13" s="312"/>
      <c r="F13" s="313"/>
      <c r="G13" s="313"/>
      <c r="H13" s="169">
        <f t="shared" si="0"/>
        <v>0</v>
      </c>
      <c r="I13" s="222"/>
    </row>
    <row r="14" spans="1:9" ht="15.95" customHeight="1">
      <c r="A14" s="511"/>
      <c r="B14" s="214"/>
      <c r="C14" s="308"/>
      <c r="D14" s="308"/>
      <c r="E14" s="312"/>
      <c r="F14" s="313"/>
      <c r="G14" s="313"/>
      <c r="H14" s="169">
        <f t="shared" si="0"/>
        <v>0</v>
      </c>
      <c r="I14" s="222"/>
    </row>
    <row r="15" spans="1:9" ht="15.95" customHeight="1">
      <c r="A15" s="511"/>
      <c r="B15" s="214"/>
      <c r="C15" s="308"/>
      <c r="D15" s="308"/>
      <c r="E15" s="312"/>
      <c r="F15" s="313"/>
      <c r="G15" s="313"/>
      <c r="H15" s="169">
        <f t="shared" si="0"/>
        <v>0</v>
      </c>
      <c r="I15" s="222"/>
    </row>
    <row r="16" spans="1:9" ht="15.95" customHeight="1">
      <c r="A16" s="511"/>
      <c r="B16" s="214"/>
      <c r="C16" s="308"/>
      <c r="D16" s="308"/>
      <c r="E16" s="312"/>
      <c r="F16" s="313"/>
      <c r="G16" s="313"/>
      <c r="H16" s="169">
        <f t="shared" si="0"/>
        <v>0</v>
      </c>
      <c r="I16" s="222"/>
    </row>
    <row r="17" spans="1:9" ht="15.95" customHeight="1">
      <c r="A17" s="511"/>
      <c r="B17" s="214"/>
      <c r="C17" s="308"/>
      <c r="D17" s="308"/>
      <c r="E17" s="312"/>
      <c r="F17" s="313"/>
      <c r="G17" s="313"/>
      <c r="H17" s="169">
        <f t="shared" si="0"/>
        <v>0</v>
      </c>
      <c r="I17" s="222"/>
    </row>
    <row r="18" spans="1:9" ht="15.95" customHeight="1">
      <c r="A18" s="511"/>
      <c r="B18" s="214"/>
      <c r="C18" s="308"/>
      <c r="D18" s="308"/>
      <c r="E18" s="312"/>
      <c r="F18" s="313"/>
      <c r="G18" s="313"/>
      <c r="H18" s="169">
        <f t="shared" si="0"/>
        <v>0</v>
      </c>
      <c r="I18" s="222"/>
    </row>
    <row r="19" spans="1:9" ht="15.95" customHeight="1">
      <c r="A19" s="511"/>
      <c r="B19" s="214"/>
      <c r="C19" s="308"/>
      <c r="D19" s="308"/>
      <c r="E19" s="312"/>
      <c r="F19" s="313"/>
      <c r="G19" s="313"/>
      <c r="H19" s="169">
        <f t="shared" si="0"/>
        <v>0</v>
      </c>
      <c r="I19" s="222"/>
    </row>
    <row r="20" spans="1:9" ht="15.95" customHeight="1">
      <c r="A20" s="511"/>
      <c r="B20" s="214"/>
      <c r="C20" s="308"/>
      <c r="D20" s="308"/>
      <c r="E20" s="312"/>
      <c r="F20" s="313"/>
      <c r="G20" s="313"/>
      <c r="H20" s="169">
        <f t="shared" si="0"/>
        <v>0</v>
      </c>
      <c r="I20" s="222"/>
    </row>
    <row r="21" spans="1:9" ht="15.95" customHeight="1">
      <c r="A21" s="511"/>
      <c r="B21" s="214"/>
      <c r="C21" s="308"/>
      <c r="D21" s="308"/>
      <c r="E21" s="312"/>
      <c r="F21" s="313"/>
      <c r="G21" s="313"/>
      <c r="H21" s="169">
        <f t="shared" si="0"/>
        <v>0</v>
      </c>
      <c r="I21" s="222"/>
    </row>
    <row r="22" spans="1:9" ht="15.95" customHeight="1">
      <c r="A22" s="511"/>
      <c r="B22" s="214"/>
      <c r="C22" s="308"/>
      <c r="D22" s="308"/>
      <c r="E22" s="312"/>
      <c r="F22" s="313"/>
      <c r="G22" s="313"/>
      <c r="H22" s="169">
        <f t="shared" si="0"/>
        <v>0</v>
      </c>
      <c r="I22" s="222"/>
    </row>
    <row r="23" spans="1:9" ht="15.95" customHeight="1">
      <c r="A23" s="511"/>
      <c r="B23" s="214"/>
      <c r="C23" s="226"/>
      <c r="D23" s="245"/>
      <c r="E23" s="320"/>
      <c r="F23" s="247"/>
      <c r="G23" s="247"/>
      <c r="H23" s="248">
        <f t="shared" si="0"/>
        <v>0</v>
      </c>
      <c r="I23" s="249"/>
    </row>
    <row r="24" spans="1:9" ht="15.95" customHeight="1">
      <c r="A24" s="511"/>
      <c r="B24" s="231"/>
      <c r="C24" s="256"/>
      <c r="D24" s="256"/>
      <c r="E24" s="302"/>
      <c r="F24" s="254"/>
      <c r="G24" s="254"/>
      <c r="H24" s="255">
        <f>SUM(H3:H23)</f>
        <v>0</v>
      </c>
      <c r="I24" s="256"/>
    </row>
    <row r="25" spans="1:9" ht="15.95" customHeight="1">
      <c r="A25" s="511"/>
      <c r="B25" s="214" t="s">
        <v>151</v>
      </c>
      <c r="C25" s="215"/>
      <c r="D25" s="215"/>
      <c r="E25" s="303"/>
      <c r="F25" s="218"/>
      <c r="G25" s="218"/>
      <c r="H25" s="219">
        <f t="shared" si="0"/>
        <v>0</v>
      </c>
      <c r="I25" s="220"/>
    </row>
    <row r="26" spans="1:9" ht="15.95" customHeight="1">
      <c r="A26" s="511"/>
      <c r="B26" s="214" t="s">
        <v>152</v>
      </c>
      <c r="C26" s="308"/>
      <c r="D26" s="308"/>
      <c r="E26" s="300"/>
      <c r="F26" s="313"/>
      <c r="G26" s="313"/>
      <c r="H26" s="169">
        <f t="shared" si="0"/>
        <v>0</v>
      </c>
      <c r="I26" s="222"/>
    </row>
    <row r="27" spans="1:9" ht="15.95" customHeight="1">
      <c r="A27" s="511"/>
      <c r="B27" s="214"/>
      <c r="C27" s="308"/>
      <c r="D27" s="308"/>
      <c r="E27" s="300"/>
      <c r="F27" s="313"/>
      <c r="G27" s="313"/>
      <c r="H27" s="169">
        <f t="shared" si="0"/>
        <v>0</v>
      </c>
      <c r="I27" s="222"/>
    </row>
    <row r="28" spans="1:9" ht="15.95" customHeight="1">
      <c r="A28" s="511"/>
      <c r="B28" s="214"/>
      <c r="C28" s="308"/>
      <c r="D28" s="308"/>
      <c r="E28" s="300"/>
      <c r="F28" s="313"/>
      <c r="G28" s="313"/>
      <c r="H28" s="169">
        <f t="shared" si="0"/>
        <v>0</v>
      </c>
      <c r="I28" s="222"/>
    </row>
    <row r="29" spans="1:9" ht="15.95" customHeight="1">
      <c r="A29" s="511"/>
      <c r="B29" s="214"/>
      <c r="C29" s="226"/>
      <c r="D29" s="226"/>
      <c r="E29" s="304"/>
      <c r="F29" s="229"/>
      <c r="G29" s="229"/>
      <c r="H29" s="169">
        <f t="shared" si="0"/>
        <v>0</v>
      </c>
      <c r="I29" s="230"/>
    </row>
    <row r="30" spans="1:9" ht="15.95" customHeight="1">
      <c r="A30" s="511"/>
      <c r="B30" s="231"/>
      <c r="C30" s="232"/>
      <c r="D30" s="233"/>
      <c r="E30" s="305"/>
      <c r="F30" s="290"/>
      <c r="G30" s="235"/>
      <c r="H30" s="157">
        <f>SUM(H25:H29)</f>
        <v>0</v>
      </c>
      <c r="I30" s="236"/>
    </row>
    <row r="31" spans="1:9" ht="15.95" customHeight="1">
      <c r="A31" s="511"/>
      <c r="B31" s="257" t="s">
        <v>153</v>
      </c>
      <c r="C31" s="309"/>
      <c r="D31" s="309"/>
      <c r="E31" s="310"/>
      <c r="F31" s="311"/>
      <c r="G31" s="311"/>
      <c r="H31" s="242">
        <f t="shared" si="0"/>
        <v>0</v>
      </c>
      <c r="I31" s="243"/>
    </row>
    <row r="32" spans="1:9" ht="15.95" customHeight="1">
      <c r="A32" s="511"/>
      <c r="B32" s="214" t="s">
        <v>154</v>
      </c>
      <c r="C32" s="316"/>
      <c r="D32" s="316"/>
      <c r="E32" s="318"/>
      <c r="F32" s="319"/>
      <c r="G32" s="319"/>
      <c r="H32" s="169">
        <f t="shared" si="0"/>
        <v>0</v>
      </c>
      <c r="I32" s="222"/>
    </row>
    <row r="33" spans="1:9" ht="15.95" customHeight="1">
      <c r="A33" s="511"/>
      <c r="B33" s="214"/>
      <c r="C33" s="308"/>
      <c r="D33" s="308"/>
      <c r="E33" s="318"/>
      <c r="F33" s="313"/>
      <c r="G33" s="313"/>
      <c r="H33" s="169">
        <f t="shared" si="0"/>
        <v>0</v>
      </c>
      <c r="I33" s="222"/>
    </row>
    <row r="34" spans="1:9" ht="15.95" customHeight="1">
      <c r="A34" s="511"/>
      <c r="B34" s="214"/>
      <c r="C34" s="308"/>
      <c r="D34" s="308"/>
      <c r="E34" s="312"/>
      <c r="F34" s="313"/>
      <c r="G34" s="313"/>
      <c r="H34" s="169">
        <f t="shared" si="0"/>
        <v>0</v>
      </c>
      <c r="I34" s="222"/>
    </row>
    <row r="35" spans="1:9" ht="15.95" customHeight="1">
      <c r="A35" s="511"/>
      <c r="B35" s="214"/>
      <c r="C35" s="308"/>
      <c r="D35" s="308"/>
      <c r="E35" s="312"/>
      <c r="F35" s="313"/>
      <c r="G35" s="313"/>
      <c r="H35" s="169">
        <f t="shared" si="0"/>
        <v>0</v>
      </c>
      <c r="I35" s="222"/>
    </row>
    <row r="36" spans="1:9" ht="15.95" customHeight="1">
      <c r="A36" s="511"/>
      <c r="B36" s="214"/>
      <c r="C36" s="308"/>
      <c r="D36" s="308"/>
      <c r="E36" s="312"/>
      <c r="F36" s="313"/>
      <c r="G36" s="313"/>
      <c r="H36" s="169">
        <f t="shared" si="0"/>
        <v>0</v>
      </c>
      <c r="I36" s="222"/>
    </row>
    <row r="37" spans="1:9" ht="15.95" customHeight="1">
      <c r="A37" s="511"/>
      <c r="B37" s="214"/>
      <c r="C37" s="308"/>
      <c r="D37" s="308"/>
      <c r="E37" s="312"/>
      <c r="F37" s="313"/>
      <c r="G37" s="313"/>
      <c r="H37" s="169">
        <f t="shared" si="0"/>
        <v>0</v>
      </c>
      <c r="I37" s="222"/>
    </row>
    <row r="38" spans="1:9" ht="15.95" customHeight="1">
      <c r="A38" s="511"/>
      <c r="B38" s="214"/>
      <c r="C38" s="308"/>
      <c r="D38" s="308"/>
      <c r="E38" s="312"/>
      <c r="F38" s="313"/>
      <c r="G38" s="313"/>
      <c r="H38" s="169">
        <f t="shared" si="0"/>
        <v>0</v>
      </c>
      <c r="I38" s="222"/>
    </row>
    <row r="39" spans="1:9" ht="15.95" customHeight="1">
      <c r="A39" s="511"/>
      <c r="B39" s="214"/>
      <c r="C39" s="308"/>
      <c r="D39" s="308"/>
      <c r="E39" s="312"/>
      <c r="F39" s="313"/>
      <c r="G39" s="313"/>
      <c r="H39" s="169">
        <f t="shared" si="0"/>
        <v>0</v>
      </c>
      <c r="I39" s="222"/>
    </row>
    <row r="40" spans="1:9" ht="15.95" customHeight="1">
      <c r="A40" s="511"/>
      <c r="B40" s="214"/>
      <c r="C40" s="308"/>
      <c r="D40" s="308"/>
      <c r="E40" s="312"/>
      <c r="F40" s="313"/>
      <c r="G40" s="313"/>
      <c r="H40" s="169">
        <f t="shared" si="0"/>
        <v>0</v>
      </c>
      <c r="I40" s="222"/>
    </row>
    <row r="41" spans="1:9" ht="15.95" customHeight="1">
      <c r="A41" s="511"/>
      <c r="B41" s="214"/>
      <c r="C41" s="308"/>
      <c r="D41" s="308"/>
      <c r="E41" s="312"/>
      <c r="F41" s="313"/>
      <c r="G41" s="313"/>
      <c r="H41" s="169">
        <f t="shared" si="0"/>
        <v>0</v>
      </c>
      <c r="I41" s="222"/>
    </row>
    <row r="42" spans="1:9" ht="15.95" customHeight="1">
      <c r="A42" s="511"/>
      <c r="B42" s="214"/>
      <c r="C42" s="308"/>
      <c r="D42" s="308"/>
      <c r="E42" s="312"/>
      <c r="F42" s="313"/>
      <c r="G42" s="313"/>
      <c r="H42" s="169">
        <f t="shared" si="0"/>
        <v>0</v>
      </c>
      <c r="I42" s="222"/>
    </row>
    <row r="43" spans="1:9" ht="15.95" customHeight="1">
      <c r="A43" s="511"/>
      <c r="B43" s="214"/>
      <c r="C43" s="308"/>
      <c r="D43" s="308"/>
      <c r="E43" s="312"/>
      <c r="F43" s="313"/>
      <c r="G43" s="313"/>
      <c r="H43" s="169">
        <f t="shared" si="0"/>
        <v>0</v>
      </c>
      <c r="I43" s="222"/>
    </row>
    <row r="44" spans="1:9" ht="15.95" customHeight="1">
      <c r="A44" s="511"/>
      <c r="B44" s="214"/>
      <c r="C44" s="308"/>
      <c r="D44" s="308"/>
      <c r="E44" s="312"/>
      <c r="F44" s="313"/>
      <c r="G44" s="313"/>
      <c r="H44" s="169">
        <f t="shared" si="0"/>
        <v>0</v>
      </c>
      <c r="I44" s="222"/>
    </row>
    <row r="45" spans="1:9" ht="15.95" customHeight="1">
      <c r="A45" s="511"/>
      <c r="B45" s="214"/>
      <c r="C45" s="308"/>
      <c r="D45" s="308"/>
      <c r="E45" s="312"/>
      <c r="F45" s="313"/>
      <c r="G45" s="313"/>
      <c r="H45" s="169">
        <f t="shared" si="0"/>
        <v>0</v>
      </c>
      <c r="I45" s="222"/>
    </row>
    <row r="46" spans="1:9" ht="15.95" customHeight="1">
      <c r="A46" s="511"/>
      <c r="B46" s="214"/>
      <c r="C46" s="226"/>
      <c r="D46" s="226"/>
      <c r="E46" s="227"/>
      <c r="F46" s="229"/>
      <c r="G46" s="229"/>
      <c r="H46" s="258">
        <f t="shared" si="0"/>
        <v>0</v>
      </c>
      <c r="I46" s="230"/>
    </row>
    <row r="47" spans="1:9" ht="15.95" customHeight="1">
      <c r="A47" s="511"/>
      <c r="B47" s="231"/>
      <c r="C47" s="232"/>
      <c r="D47" s="233"/>
      <c r="E47" s="305"/>
      <c r="F47" s="235"/>
      <c r="G47" s="235"/>
      <c r="H47" s="157">
        <f>SUM(H31:H46)</f>
        <v>0</v>
      </c>
      <c r="I47" s="236"/>
    </row>
    <row r="48" spans="1:9" ht="15.95" customHeight="1">
      <c r="A48" s="511"/>
      <c r="B48" s="257" t="s">
        <v>192</v>
      </c>
      <c r="C48" s="316"/>
      <c r="D48" s="316"/>
      <c r="E48" s="318"/>
      <c r="F48" s="319"/>
      <c r="G48" s="319"/>
      <c r="H48" s="242">
        <f t="shared" si="0"/>
        <v>0</v>
      </c>
      <c r="I48" s="243"/>
    </row>
    <row r="49" spans="1:9" ht="15.95" customHeight="1">
      <c r="A49" s="511"/>
      <c r="B49" s="214"/>
      <c r="C49" s="316"/>
      <c r="D49" s="316"/>
      <c r="E49" s="318"/>
      <c r="F49" s="319"/>
      <c r="G49" s="319"/>
      <c r="H49" s="169">
        <f t="shared" si="0"/>
        <v>0</v>
      </c>
      <c r="I49" s="222"/>
    </row>
    <row r="50" spans="1:9" ht="15.95" customHeight="1">
      <c r="A50" s="511"/>
      <c r="B50" s="214"/>
      <c r="C50" s="316"/>
      <c r="D50" s="316"/>
      <c r="E50" s="317"/>
      <c r="F50" s="319"/>
      <c r="G50" s="319"/>
      <c r="H50" s="169">
        <f t="shared" si="0"/>
        <v>0</v>
      </c>
      <c r="I50" s="222"/>
    </row>
    <row r="51" spans="1:9" ht="15.95" customHeight="1">
      <c r="A51" s="511"/>
      <c r="B51" s="214"/>
      <c r="C51" s="316"/>
      <c r="D51" s="316"/>
      <c r="E51" s="317"/>
      <c r="F51" s="319"/>
      <c r="G51" s="319"/>
      <c r="H51" s="169">
        <f t="shared" si="0"/>
        <v>0</v>
      </c>
      <c r="I51" s="222"/>
    </row>
    <row r="52" spans="1:9" ht="15.95" customHeight="1">
      <c r="A52" s="511"/>
      <c r="B52" s="214"/>
      <c r="C52" s="316"/>
      <c r="D52" s="316"/>
      <c r="E52" s="317"/>
      <c r="F52" s="319"/>
      <c r="G52" s="319"/>
      <c r="H52" s="169">
        <f t="shared" si="0"/>
        <v>0</v>
      </c>
      <c r="I52" s="222"/>
    </row>
    <row r="53" spans="1:9" ht="15.95" customHeight="1">
      <c r="A53" s="511"/>
      <c r="B53" s="214"/>
      <c r="C53" s="316"/>
      <c r="D53" s="316"/>
      <c r="E53" s="317"/>
      <c r="F53" s="319"/>
      <c r="G53" s="319"/>
      <c r="H53" s="169">
        <f t="shared" si="0"/>
        <v>0</v>
      </c>
      <c r="I53" s="222"/>
    </row>
    <row r="54" spans="1:9" ht="15.95" customHeight="1">
      <c r="A54" s="511"/>
      <c r="B54" s="214"/>
      <c r="C54" s="226"/>
      <c r="D54" s="226"/>
      <c r="E54" s="304"/>
      <c r="F54" s="229"/>
      <c r="G54" s="229"/>
      <c r="H54" s="258">
        <f t="shared" si="0"/>
        <v>0</v>
      </c>
      <c r="I54" s="230"/>
    </row>
    <row r="55" spans="1:9" ht="15.95" customHeight="1">
      <c r="A55" s="511"/>
      <c r="B55" s="231"/>
      <c r="C55" s="232"/>
      <c r="D55" s="233"/>
      <c r="E55" s="305"/>
      <c r="F55" s="235"/>
      <c r="G55" s="235"/>
      <c r="H55" s="157">
        <f>SUM(H48:H54)</f>
        <v>0</v>
      </c>
      <c r="I55" s="236"/>
    </row>
    <row r="56" spans="1:9" ht="15.95" customHeight="1">
      <c r="A56" s="259"/>
      <c r="B56" s="260" t="s">
        <v>193</v>
      </c>
      <c r="C56" s="261"/>
      <c r="D56" s="236"/>
      <c r="E56" s="306"/>
      <c r="F56" s="263"/>
      <c r="G56" s="263"/>
      <c r="H56" s="157">
        <f>SUM(H55,H47,H30,H24)</f>
        <v>0</v>
      </c>
      <c r="I56" s="236"/>
    </row>
    <row r="57" spans="1:9" ht="15.95" customHeight="1">
      <c r="A57" s="520" t="s">
        <v>194</v>
      </c>
      <c r="B57" s="264" t="s">
        <v>195</v>
      </c>
      <c r="C57" s="261"/>
      <c r="D57" s="265"/>
      <c r="E57" s="266" t="s">
        <v>50</v>
      </c>
      <c r="F57" s="285"/>
      <c r="G57" s="268">
        <v>200000</v>
      </c>
      <c r="H57" s="187">
        <f>F57*G57</f>
        <v>0</v>
      </c>
      <c r="I57" s="236"/>
    </row>
    <row r="58" spans="1:9" ht="15.95" customHeight="1">
      <c r="A58" s="511"/>
      <c r="B58" s="269" t="s">
        <v>196</v>
      </c>
      <c r="C58" s="270"/>
      <c r="D58" s="271"/>
      <c r="E58" s="272" t="s">
        <v>130</v>
      </c>
      <c r="F58" s="311"/>
      <c r="G58" s="311">
        <v>200000</v>
      </c>
      <c r="H58" s="242">
        <f t="shared" ref="H58:H64" si="1">F58*G58</f>
        <v>0</v>
      </c>
      <c r="I58" s="243"/>
    </row>
    <row r="59" spans="1:9" ht="15.95" customHeight="1">
      <c r="A59" s="511"/>
      <c r="B59" s="291" t="s">
        <v>197</v>
      </c>
      <c r="C59" s="274"/>
      <c r="D59" s="275"/>
      <c r="E59" s="276" t="s">
        <v>130</v>
      </c>
      <c r="F59" s="313"/>
      <c r="G59" s="218">
        <v>200000</v>
      </c>
      <c r="H59" s="169">
        <f t="shared" si="1"/>
        <v>0</v>
      </c>
      <c r="I59" s="222"/>
    </row>
    <row r="60" spans="1:9" ht="15.95" customHeight="1">
      <c r="A60" s="511"/>
      <c r="B60" s="273" t="s">
        <v>198</v>
      </c>
      <c r="C60" s="274"/>
      <c r="D60" s="275"/>
      <c r="E60" s="276" t="s">
        <v>130</v>
      </c>
      <c r="F60" s="313"/>
      <c r="G60" s="218">
        <v>200000</v>
      </c>
      <c r="H60" s="169">
        <f t="shared" si="1"/>
        <v>0</v>
      </c>
      <c r="I60" s="222"/>
    </row>
    <row r="61" spans="1:9" ht="15.95" customHeight="1">
      <c r="A61" s="511"/>
      <c r="B61" s="273" t="s">
        <v>199</v>
      </c>
      <c r="C61" s="274"/>
      <c r="D61" s="275"/>
      <c r="E61" s="276" t="s">
        <v>130</v>
      </c>
      <c r="F61" s="313"/>
      <c r="G61" s="218">
        <v>200000</v>
      </c>
      <c r="H61" s="169">
        <f t="shared" si="1"/>
        <v>0</v>
      </c>
      <c r="I61" s="222"/>
    </row>
    <row r="62" spans="1:9" ht="15.95" customHeight="1">
      <c r="A62" s="511"/>
      <c r="B62" s="273" t="s">
        <v>200</v>
      </c>
      <c r="C62" s="274"/>
      <c r="D62" s="275"/>
      <c r="E62" s="276" t="s">
        <v>130</v>
      </c>
      <c r="F62" s="313"/>
      <c r="G62" s="218">
        <v>200000</v>
      </c>
      <c r="H62" s="169">
        <f t="shared" si="1"/>
        <v>0</v>
      </c>
      <c r="I62" s="222"/>
    </row>
    <row r="63" spans="1:9" ht="15.95" customHeight="1">
      <c r="A63" s="511"/>
      <c r="B63" s="273" t="s">
        <v>201</v>
      </c>
      <c r="C63" s="274"/>
      <c r="D63" s="275"/>
      <c r="E63" s="276" t="s">
        <v>130</v>
      </c>
      <c r="F63" s="313"/>
      <c r="G63" s="218">
        <v>200000</v>
      </c>
      <c r="H63" s="169">
        <f t="shared" si="1"/>
        <v>0</v>
      </c>
      <c r="I63" s="222"/>
    </row>
    <row r="64" spans="1:9" ht="15.95" customHeight="1">
      <c r="A64" s="511"/>
      <c r="B64" s="277" t="s">
        <v>202</v>
      </c>
      <c r="C64" s="278"/>
      <c r="D64" s="279"/>
      <c r="E64" s="280" t="s">
        <v>130</v>
      </c>
      <c r="F64" s="229"/>
      <c r="G64" s="229">
        <v>200000</v>
      </c>
      <c r="H64" s="258">
        <f t="shared" si="1"/>
        <v>0</v>
      </c>
      <c r="I64" s="230"/>
    </row>
    <row r="65" spans="1:9" ht="15.95" customHeight="1">
      <c r="A65" s="259"/>
      <c r="B65" s="281" t="s">
        <v>203</v>
      </c>
      <c r="C65" s="261"/>
      <c r="D65" s="236"/>
      <c r="E65" s="306"/>
      <c r="F65" s="235"/>
      <c r="G65" s="235"/>
      <c r="H65" s="235">
        <f>SUM(H57:H64)</f>
        <v>0</v>
      </c>
      <c r="I65" s="233"/>
    </row>
    <row r="66" spans="1:9" ht="15.95" customHeight="1">
      <c r="A66" s="282"/>
      <c r="B66" s="281" t="s">
        <v>204</v>
      </c>
      <c r="C66" s="261"/>
      <c r="D66" s="236"/>
      <c r="E66" s="306"/>
      <c r="F66" s="157"/>
      <c r="G66" s="157"/>
      <c r="H66" s="263">
        <f>'단위공사별(집계)'!K10+'단위공사별(집계)'!I10</f>
        <v>0</v>
      </c>
      <c r="I66" s="236"/>
    </row>
    <row r="67" spans="1:9" ht="15.95" customHeight="1">
      <c r="A67" s="282"/>
      <c r="B67" s="281" t="s">
        <v>205</v>
      </c>
      <c r="C67" s="261"/>
      <c r="D67" s="236"/>
      <c r="E67" s="306"/>
      <c r="F67" s="157"/>
      <c r="G67" s="284"/>
      <c r="H67" s="285">
        <f>(H65+H56)*0.05</f>
        <v>0</v>
      </c>
      <c r="I67" s="261"/>
    </row>
    <row r="68" spans="1:9" ht="15.95" customHeight="1">
      <c r="A68" s="282"/>
      <c r="B68" s="281" t="s">
        <v>206</v>
      </c>
      <c r="C68" s="261"/>
      <c r="D68" s="236"/>
      <c r="E68" s="306"/>
      <c r="F68" s="157"/>
      <c r="G68" s="284"/>
      <c r="H68" s="285">
        <f>(H65+H56)*0.1</f>
        <v>0</v>
      </c>
      <c r="I68" s="261"/>
    </row>
    <row r="69" spans="1:9" ht="15.95" customHeight="1">
      <c r="A69" s="282"/>
      <c r="B69" s="281" t="s">
        <v>207</v>
      </c>
      <c r="C69" s="261"/>
      <c r="D69" s="236"/>
      <c r="E69" s="306"/>
      <c r="F69" s="157"/>
      <c r="G69" s="157"/>
      <c r="H69" s="235">
        <f>H56+H65+H66+H67+H68</f>
        <v>0</v>
      </c>
      <c r="I69" s="236"/>
    </row>
    <row r="70" spans="1:9">
      <c r="A70" s="140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C1" sqref="C1"/>
      <selection pane="topRight" activeCell="C1" sqref="C1"/>
      <selection pane="bottomLeft" activeCell="C1" sqref="C1"/>
      <selection pane="bottomRight" activeCell="C1" sqref="C1"/>
    </sheetView>
  </sheetViews>
  <sheetFormatPr defaultColWidth="9" defaultRowHeight="13.5"/>
  <cols>
    <col min="1" max="1" width="5" style="128" customWidth="1"/>
    <col min="2" max="2" width="17.875" style="128" bestFit="1" customWidth="1"/>
    <col min="3" max="3" width="23.625" style="128" customWidth="1"/>
    <col min="4" max="4" width="18.25" style="128" customWidth="1"/>
    <col min="5" max="5" width="5.25" style="128" bestFit="1" customWidth="1"/>
    <col min="6" max="6" width="9" style="159"/>
    <col min="7" max="7" width="11.875" style="159" customWidth="1"/>
    <col min="8" max="8" width="13.625" style="159" customWidth="1"/>
    <col min="9" max="9" width="12.75" style="128" customWidth="1"/>
    <col min="10" max="16384" width="9" style="128"/>
  </cols>
  <sheetData>
    <row r="1" spans="1:9" ht="22.5" customHeight="1">
      <c r="B1" s="206" t="s">
        <v>180</v>
      </c>
      <c r="C1" s="287"/>
      <c r="D1" s="208"/>
      <c r="E1" s="208"/>
      <c r="F1" s="288"/>
      <c r="G1" s="171"/>
      <c r="I1" s="128" t="s">
        <v>181</v>
      </c>
    </row>
    <row r="2" spans="1:9" s="140" customFormat="1" ht="16.5" customHeight="1">
      <c r="A2" s="387" t="s">
        <v>182</v>
      </c>
      <c r="B2" s="515"/>
      <c r="C2" s="133" t="s">
        <v>183</v>
      </c>
      <c r="D2" s="129" t="s">
        <v>184</v>
      </c>
      <c r="E2" s="129" t="s">
        <v>185</v>
      </c>
      <c r="F2" s="262" t="s">
        <v>186</v>
      </c>
      <c r="G2" s="262" t="s">
        <v>187</v>
      </c>
      <c r="H2" s="262" t="s">
        <v>188</v>
      </c>
      <c r="I2" s="129" t="s">
        <v>189</v>
      </c>
    </row>
    <row r="3" spans="1:9" ht="15.95" customHeight="1">
      <c r="A3" s="516" t="s">
        <v>190</v>
      </c>
      <c r="B3" s="214" t="s">
        <v>191</v>
      </c>
      <c r="C3" s="316"/>
      <c r="D3" s="317"/>
      <c r="E3" s="318"/>
      <c r="F3" s="319"/>
      <c r="G3" s="319"/>
      <c r="H3" s="242">
        <f>IF(F3=0,G3,G3*F3)</f>
        <v>0</v>
      </c>
      <c r="I3" s="243"/>
    </row>
    <row r="4" spans="1:9" ht="15.95" customHeight="1">
      <c r="A4" s="511"/>
      <c r="B4" s="214"/>
      <c r="C4" s="316"/>
      <c r="D4" s="317"/>
      <c r="E4" s="318"/>
      <c r="F4" s="319"/>
      <c r="G4" s="319"/>
      <c r="H4" s="169">
        <f>IF(F4=0,G4,G4*F4)</f>
        <v>0</v>
      </c>
      <c r="I4" s="222"/>
    </row>
    <row r="5" spans="1:9" ht="15.95" customHeight="1">
      <c r="A5" s="511"/>
      <c r="B5" s="214"/>
      <c r="C5" s="316"/>
      <c r="D5" s="317"/>
      <c r="E5" s="318"/>
      <c r="F5" s="319"/>
      <c r="G5" s="319"/>
      <c r="H5" s="169">
        <f t="shared" ref="H5:H54" si="0">IF(F5=0,G5,G5*F5)</f>
        <v>0</v>
      </c>
      <c r="I5" s="222"/>
    </row>
    <row r="6" spans="1:9" ht="15.95" customHeight="1">
      <c r="A6" s="511"/>
      <c r="B6" s="214"/>
      <c r="C6" s="316"/>
      <c r="D6" s="317"/>
      <c r="E6" s="318"/>
      <c r="F6" s="319"/>
      <c r="G6" s="319"/>
      <c r="H6" s="169">
        <f t="shared" si="0"/>
        <v>0</v>
      </c>
      <c r="I6" s="222"/>
    </row>
    <row r="7" spans="1:9" ht="15.95" customHeight="1">
      <c r="A7" s="511"/>
      <c r="B7" s="214"/>
      <c r="C7" s="316"/>
      <c r="D7" s="317"/>
      <c r="E7" s="318"/>
      <c r="F7" s="319"/>
      <c r="G7" s="319"/>
      <c r="H7" s="169">
        <f t="shared" si="0"/>
        <v>0</v>
      </c>
      <c r="I7" s="222"/>
    </row>
    <row r="8" spans="1:9" ht="15.95" customHeight="1">
      <c r="A8" s="511"/>
      <c r="B8" s="214"/>
      <c r="C8" s="316"/>
      <c r="D8" s="316"/>
      <c r="E8" s="318"/>
      <c r="F8" s="319"/>
      <c r="G8" s="319"/>
      <c r="H8" s="169">
        <f t="shared" si="0"/>
        <v>0</v>
      </c>
      <c r="I8" s="222"/>
    </row>
    <row r="9" spans="1:9" ht="15.95" customHeight="1">
      <c r="A9" s="511"/>
      <c r="B9" s="214"/>
      <c r="C9" s="308"/>
      <c r="D9" s="308"/>
      <c r="E9" s="318"/>
      <c r="F9" s="313"/>
      <c r="G9" s="313"/>
      <c r="H9" s="169">
        <f t="shared" si="0"/>
        <v>0</v>
      </c>
      <c r="I9" s="222"/>
    </row>
    <row r="10" spans="1:9" ht="15.95" customHeight="1">
      <c r="A10" s="511"/>
      <c r="B10" s="214"/>
      <c r="C10" s="308"/>
      <c r="D10" s="308"/>
      <c r="E10" s="318"/>
      <c r="F10" s="313"/>
      <c r="G10" s="313"/>
      <c r="H10" s="169">
        <f t="shared" si="0"/>
        <v>0</v>
      </c>
      <c r="I10" s="222"/>
    </row>
    <row r="11" spans="1:9" ht="15.95" customHeight="1">
      <c r="A11" s="511"/>
      <c r="B11" s="214"/>
      <c r="C11" s="308"/>
      <c r="D11" s="308"/>
      <c r="E11" s="318"/>
      <c r="F11" s="313"/>
      <c r="G11" s="313"/>
      <c r="H11" s="169">
        <f t="shared" si="0"/>
        <v>0</v>
      </c>
      <c r="I11" s="222"/>
    </row>
    <row r="12" spans="1:9" ht="15.95" customHeight="1">
      <c r="A12" s="511"/>
      <c r="B12" s="214"/>
      <c r="C12" s="308"/>
      <c r="D12" s="308"/>
      <c r="E12" s="312"/>
      <c r="F12" s="313"/>
      <c r="G12" s="313"/>
      <c r="H12" s="169">
        <f t="shared" si="0"/>
        <v>0</v>
      </c>
      <c r="I12" s="222"/>
    </row>
    <row r="13" spans="1:9" ht="15.95" customHeight="1">
      <c r="A13" s="511"/>
      <c r="B13" s="214"/>
      <c r="C13" s="308"/>
      <c r="D13" s="308"/>
      <c r="E13" s="312"/>
      <c r="F13" s="313"/>
      <c r="G13" s="313"/>
      <c r="H13" s="169">
        <f t="shared" si="0"/>
        <v>0</v>
      </c>
      <c r="I13" s="222"/>
    </row>
    <row r="14" spans="1:9" ht="15.95" customHeight="1">
      <c r="A14" s="511"/>
      <c r="B14" s="214"/>
      <c r="C14" s="308"/>
      <c r="D14" s="308"/>
      <c r="E14" s="312"/>
      <c r="F14" s="313"/>
      <c r="G14" s="313"/>
      <c r="H14" s="169">
        <f t="shared" si="0"/>
        <v>0</v>
      </c>
      <c r="I14" s="222"/>
    </row>
    <row r="15" spans="1:9" ht="15.95" customHeight="1">
      <c r="A15" s="511"/>
      <c r="B15" s="214"/>
      <c r="C15" s="308"/>
      <c r="D15" s="308"/>
      <c r="E15" s="312"/>
      <c r="F15" s="313"/>
      <c r="G15" s="313"/>
      <c r="H15" s="169">
        <f t="shared" si="0"/>
        <v>0</v>
      </c>
      <c r="I15" s="222"/>
    </row>
    <row r="16" spans="1:9" ht="15.95" customHeight="1">
      <c r="A16" s="511"/>
      <c r="B16" s="214"/>
      <c r="C16" s="308"/>
      <c r="D16" s="308"/>
      <c r="E16" s="300"/>
      <c r="F16" s="313"/>
      <c r="G16" s="313"/>
      <c r="H16" s="169">
        <f t="shared" si="0"/>
        <v>0</v>
      </c>
      <c r="I16" s="222"/>
    </row>
    <row r="17" spans="1:9" ht="15.95" customHeight="1">
      <c r="A17" s="511"/>
      <c r="B17" s="214"/>
      <c r="C17" s="308"/>
      <c r="D17" s="308"/>
      <c r="E17" s="300"/>
      <c r="F17" s="313"/>
      <c r="G17" s="313"/>
      <c r="H17" s="169">
        <f t="shared" si="0"/>
        <v>0</v>
      </c>
      <c r="I17" s="222"/>
    </row>
    <row r="18" spans="1:9" ht="15.95" customHeight="1">
      <c r="A18" s="511"/>
      <c r="B18" s="214"/>
      <c r="C18" s="308"/>
      <c r="D18" s="308"/>
      <c r="E18" s="300"/>
      <c r="F18" s="313"/>
      <c r="G18" s="313"/>
      <c r="H18" s="169">
        <f t="shared" si="0"/>
        <v>0</v>
      </c>
      <c r="I18" s="222"/>
    </row>
    <row r="19" spans="1:9" ht="15.95" customHeight="1">
      <c r="A19" s="511"/>
      <c r="B19" s="214"/>
      <c r="C19" s="308"/>
      <c r="D19" s="308"/>
      <c r="E19" s="300"/>
      <c r="F19" s="313"/>
      <c r="G19" s="313"/>
      <c r="H19" s="169">
        <f t="shared" si="0"/>
        <v>0</v>
      </c>
      <c r="I19" s="222"/>
    </row>
    <row r="20" spans="1:9" ht="15.95" customHeight="1">
      <c r="A20" s="511"/>
      <c r="B20" s="214"/>
      <c r="C20" s="308"/>
      <c r="D20" s="308"/>
      <c r="E20" s="300"/>
      <c r="F20" s="313"/>
      <c r="G20" s="313"/>
      <c r="H20" s="169">
        <f t="shared" si="0"/>
        <v>0</v>
      </c>
      <c r="I20" s="222"/>
    </row>
    <row r="21" spans="1:9" ht="15.95" customHeight="1">
      <c r="A21" s="511"/>
      <c r="B21" s="214"/>
      <c r="C21" s="308"/>
      <c r="D21" s="308"/>
      <c r="E21" s="300"/>
      <c r="F21" s="313"/>
      <c r="G21" s="313"/>
      <c r="H21" s="169">
        <f t="shared" si="0"/>
        <v>0</v>
      </c>
      <c r="I21" s="222"/>
    </row>
    <row r="22" spans="1:9" ht="15.95" customHeight="1">
      <c r="A22" s="511"/>
      <c r="B22" s="214"/>
      <c r="C22" s="308"/>
      <c r="D22" s="308"/>
      <c r="E22" s="300"/>
      <c r="F22" s="313"/>
      <c r="G22" s="313"/>
      <c r="H22" s="169">
        <f t="shared" si="0"/>
        <v>0</v>
      </c>
      <c r="I22" s="222"/>
    </row>
    <row r="23" spans="1:9" ht="15.95" customHeight="1">
      <c r="A23" s="511"/>
      <c r="B23" s="214"/>
      <c r="C23" s="226"/>
      <c r="D23" s="245"/>
      <c r="E23" s="301"/>
      <c r="F23" s="247"/>
      <c r="G23" s="247"/>
      <c r="H23" s="248">
        <f t="shared" si="0"/>
        <v>0</v>
      </c>
      <c r="I23" s="249"/>
    </row>
    <row r="24" spans="1:9" ht="15.95" customHeight="1">
      <c r="A24" s="511"/>
      <c r="B24" s="231"/>
      <c r="C24" s="256"/>
      <c r="D24" s="256"/>
      <c r="E24" s="302"/>
      <c r="F24" s="254"/>
      <c r="G24" s="254"/>
      <c r="H24" s="255">
        <f>SUM(H3:H23)</f>
        <v>0</v>
      </c>
      <c r="I24" s="256"/>
    </row>
    <row r="25" spans="1:9" ht="15.95" customHeight="1">
      <c r="A25" s="511"/>
      <c r="B25" s="214" t="s">
        <v>151</v>
      </c>
      <c r="C25" s="215"/>
      <c r="D25" s="215"/>
      <c r="E25" s="303"/>
      <c r="F25" s="218"/>
      <c r="G25" s="218"/>
      <c r="H25" s="219">
        <f t="shared" si="0"/>
        <v>0</v>
      </c>
      <c r="I25" s="220"/>
    </row>
    <row r="26" spans="1:9" ht="15.95" customHeight="1">
      <c r="A26" s="511"/>
      <c r="B26" s="214" t="s">
        <v>152</v>
      </c>
      <c r="C26" s="308"/>
      <c r="D26" s="308"/>
      <c r="E26" s="300"/>
      <c r="F26" s="313"/>
      <c r="G26" s="313"/>
      <c r="H26" s="169">
        <f t="shared" si="0"/>
        <v>0</v>
      </c>
      <c r="I26" s="222"/>
    </row>
    <row r="27" spans="1:9" ht="15.95" customHeight="1">
      <c r="A27" s="511"/>
      <c r="B27" s="214"/>
      <c r="C27" s="308"/>
      <c r="D27" s="308"/>
      <c r="E27" s="300"/>
      <c r="F27" s="313"/>
      <c r="G27" s="313"/>
      <c r="H27" s="169">
        <f t="shared" si="0"/>
        <v>0</v>
      </c>
      <c r="I27" s="222"/>
    </row>
    <row r="28" spans="1:9" ht="15.95" customHeight="1">
      <c r="A28" s="511"/>
      <c r="B28" s="214"/>
      <c r="C28" s="308"/>
      <c r="D28" s="308"/>
      <c r="E28" s="300"/>
      <c r="F28" s="313"/>
      <c r="G28" s="313"/>
      <c r="H28" s="169">
        <f t="shared" si="0"/>
        <v>0</v>
      </c>
      <c r="I28" s="222"/>
    </row>
    <row r="29" spans="1:9" ht="15.95" customHeight="1">
      <c r="A29" s="511"/>
      <c r="B29" s="214"/>
      <c r="C29" s="226"/>
      <c r="D29" s="226"/>
      <c r="E29" s="304"/>
      <c r="F29" s="229"/>
      <c r="G29" s="229"/>
      <c r="H29" s="169">
        <f t="shared" si="0"/>
        <v>0</v>
      </c>
      <c r="I29" s="230"/>
    </row>
    <row r="30" spans="1:9" ht="15.95" customHeight="1">
      <c r="A30" s="511"/>
      <c r="B30" s="231"/>
      <c r="C30" s="232"/>
      <c r="D30" s="233"/>
      <c r="E30" s="305"/>
      <c r="F30" s="290"/>
      <c r="G30" s="235"/>
      <c r="H30" s="157">
        <f>SUM(H25:H29)</f>
        <v>0</v>
      </c>
      <c r="I30" s="236"/>
    </row>
    <row r="31" spans="1:9" ht="15.95" customHeight="1">
      <c r="A31" s="511"/>
      <c r="B31" s="257" t="s">
        <v>153</v>
      </c>
      <c r="C31" s="309"/>
      <c r="D31" s="309"/>
      <c r="E31" s="310"/>
      <c r="F31" s="311"/>
      <c r="G31" s="311"/>
      <c r="H31" s="242">
        <f t="shared" si="0"/>
        <v>0</v>
      </c>
      <c r="I31" s="243"/>
    </row>
    <row r="32" spans="1:9" ht="15.95" customHeight="1">
      <c r="A32" s="511"/>
      <c r="B32" s="214" t="s">
        <v>154</v>
      </c>
      <c r="C32" s="316"/>
      <c r="D32" s="316"/>
      <c r="E32" s="318"/>
      <c r="F32" s="319"/>
      <c r="G32" s="319"/>
      <c r="H32" s="169">
        <f t="shared" si="0"/>
        <v>0</v>
      </c>
      <c r="I32" s="222"/>
    </row>
    <row r="33" spans="1:9" ht="15.95" customHeight="1">
      <c r="A33" s="511"/>
      <c r="B33" s="214"/>
      <c r="C33" s="308"/>
      <c r="D33" s="308"/>
      <c r="E33" s="312"/>
      <c r="F33" s="313"/>
      <c r="G33" s="313"/>
      <c r="H33" s="169">
        <f t="shared" si="0"/>
        <v>0</v>
      </c>
      <c r="I33" s="222"/>
    </row>
    <row r="34" spans="1:9" ht="15.95" customHeight="1">
      <c r="A34" s="511"/>
      <c r="B34" s="214"/>
      <c r="C34" s="308"/>
      <c r="D34" s="308"/>
      <c r="E34" s="312"/>
      <c r="F34" s="313"/>
      <c r="G34" s="313"/>
      <c r="H34" s="169">
        <f t="shared" si="0"/>
        <v>0</v>
      </c>
      <c r="I34" s="222"/>
    </row>
    <row r="35" spans="1:9" ht="15.95" customHeight="1">
      <c r="A35" s="511"/>
      <c r="B35" s="214"/>
      <c r="C35" s="308"/>
      <c r="D35" s="308"/>
      <c r="E35" s="300"/>
      <c r="F35" s="313"/>
      <c r="G35" s="313"/>
      <c r="H35" s="169">
        <f t="shared" si="0"/>
        <v>0</v>
      </c>
      <c r="I35" s="222"/>
    </row>
    <row r="36" spans="1:9" ht="15.95" customHeight="1">
      <c r="A36" s="511"/>
      <c r="B36" s="214"/>
      <c r="C36" s="308"/>
      <c r="D36" s="308"/>
      <c r="E36" s="300"/>
      <c r="F36" s="313"/>
      <c r="G36" s="313"/>
      <c r="H36" s="169">
        <f t="shared" si="0"/>
        <v>0</v>
      </c>
      <c r="I36" s="222"/>
    </row>
    <row r="37" spans="1:9" ht="15.95" customHeight="1">
      <c r="A37" s="511"/>
      <c r="B37" s="214"/>
      <c r="C37" s="308"/>
      <c r="D37" s="308"/>
      <c r="E37" s="300"/>
      <c r="F37" s="313"/>
      <c r="G37" s="313"/>
      <c r="H37" s="169">
        <f t="shared" si="0"/>
        <v>0</v>
      </c>
      <c r="I37" s="222"/>
    </row>
    <row r="38" spans="1:9" ht="15.95" customHeight="1">
      <c r="A38" s="511"/>
      <c r="B38" s="214"/>
      <c r="C38" s="308"/>
      <c r="D38" s="308"/>
      <c r="E38" s="300"/>
      <c r="F38" s="313"/>
      <c r="G38" s="313"/>
      <c r="H38" s="169">
        <f t="shared" si="0"/>
        <v>0</v>
      </c>
      <c r="I38" s="222"/>
    </row>
    <row r="39" spans="1:9" ht="15.95" customHeight="1">
      <c r="A39" s="511"/>
      <c r="B39" s="214"/>
      <c r="C39" s="308"/>
      <c r="D39" s="308"/>
      <c r="E39" s="300"/>
      <c r="F39" s="313"/>
      <c r="G39" s="313"/>
      <c r="H39" s="169">
        <f t="shared" si="0"/>
        <v>0</v>
      </c>
      <c r="I39" s="222"/>
    </row>
    <row r="40" spans="1:9" ht="15.95" customHeight="1">
      <c r="A40" s="511"/>
      <c r="B40" s="214"/>
      <c r="C40" s="308"/>
      <c r="D40" s="308"/>
      <c r="E40" s="300"/>
      <c r="F40" s="313"/>
      <c r="G40" s="313"/>
      <c r="H40" s="169">
        <f t="shared" si="0"/>
        <v>0</v>
      </c>
      <c r="I40" s="222"/>
    </row>
    <row r="41" spans="1:9" ht="15.95" customHeight="1">
      <c r="A41" s="511"/>
      <c r="B41" s="214"/>
      <c r="C41" s="308"/>
      <c r="D41" s="308"/>
      <c r="E41" s="300"/>
      <c r="F41" s="313"/>
      <c r="G41" s="313"/>
      <c r="H41" s="169">
        <f t="shared" si="0"/>
        <v>0</v>
      </c>
      <c r="I41" s="222"/>
    </row>
    <row r="42" spans="1:9" ht="15.95" customHeight="1">
      <c r="A42" s="511"/>
      <c r="B42" s="214"/>
      <c r="C42" s="308"/>
      <c r="D42" s="308"/>
      <c r="E42" s="300"/>
      <c r="F42" s="313"/>
      <c r="G42" s="313"/>
      <c r="H42" s="169">
        <f t="shared" si="0"/>
        <v>0</v>
      </c>
      <c r="I42" s="222"/>
    </row>
    <row r="43" spans="1:9" ht="15.95" customHeight="1">
      <c r="A43" s="511"/>
      <c r="B43" s="214"/>
      <c r="C43" s="308"/>
      <c r="D43" s="308"/>
      <c r="E43" s="300"/>
      <c r="F43" s="313"/>
      <c r="G43" s="313"/>
      <c r="H43" s="169">
        <f t="shared" si="0"/>
        <v>0</v>
      </c>
      <c r="I43" s="222"/>
    </row>
    <row r="44" spans="1:9" ht="15.95" customHeight="1">
      <c r="A44" s="511"/>
      <c r="B44" s="214"/>
      <c r="C44" s="308"/>
      <c r="D44" s="308"/>
      <c r="E44" s="300"/>
      <c r="F44" s="313"/>
      <c r="G44" s="313"/>
      <c r="H44" s="169">
        <f t="shared" si="0"/>
        <v>0</v>
      </c>
      <c r="I44" s="222"/>
    </row>
    <row r="45" spans="1:9" ht="15.95" customHeight="1">
      <c r="A45" s="511"/>
      <c r="B45" s="214"/>
      <c r="C45" s="308"/>
      <c r="D45" s="308"/>
      <c r="E45" s="300"/>
      <c r="F45" s="313"/>
      <c r="G45" s="313"/>
      <c r="H45" s="169">
        <f t="shared" si="0"/>
        <v>0</v>
      </c>
      <c r="I45" s="222"/>
    </row>
    <row r="46" spans="1:9" ht="15.95" customHeight="1">
      <c r="A46" s="511"/>
      <c r="B46" s="214"/>
      <c r="C46" s="226"/>
      <c r="D46" s="226"/>
      <c r="E46" s="304"/>
      <c r="F46" s="229"/>
      <c r="G46" s="229"/>
      <c r="H46" s="258">
        <f t="shared" si="0"/>
        <v>0</v>
      </c>
      <c r="I46" s="230"/>
    </row>
    <row r="47" spans="1:9" ht="15.95" customHeight="1">
      <c r="A47" s="511"/>
      <c r="B47" s="231"/>
      <c r="C47" s="232"/>
      <c r="D47" s="233"/>
      <c r="E47" s="305"/>
      <c r="F47" s="235"/>
      <c r="G47" s="235"/>
      <c r="H47" s="157">
        <f>SUM(H31:H46)</f>
        <v>0</v>
      </c>
      <c r="I47" s="236"/>
    </row>
    <row r="48" spans="1:9" ht="15.95" customHeight="1">
      <c r="A48" s="511"/>
      <c r="B48" s="257" t="s">
        <v>192</v>
      </c>
      <c r="C48" s="316"/>
      <c r="D48" s="316"/>
      <c r="E48" s="318"/>
      <c r="F48" s="319"/>
      <c r="G48" s="319"/>
      <c r="H48" s="242">
        <f t="shared" si="0"/>
        <v>0</v>
      </c>
      <c r="I48" s="243"/>
    </row>
    <row r="49" spans="1:9" ht="15.95" customHeight="1">
      <c r="A49" s="511"/>
      <c r="B49" s="214"/>
      <c r="C49" s="316"/>
      <c r="D49" s="316"/>
      <c r="E49" s="318"/>
      <c r="F49" s="319"/>
      <c r="G49" s="319"/>
      <c r="H49" s="169">
        <f t="shared" si="0"/>
        <v>0</v>
      </c>
      <c r="I49" s="222"/>
    </row>
    <row r="50" spans="1:9" ht="15.95" customHeight="1">
      <c r="A50" s="511"/>
      <c r="B50" s="214"/>
      <c r="C50" s="316"/>
      <c r="D50" s="316"/>
      <c r="E50" s="317"/>
      <c r="F50" s="319"/>
      <c r="G50" s="319"/>
      <c r="H50" s="169">
        <f t="shared" si="0"/>
        <v>0</v>
      </c>
      <c r="I50" s="222"/>
    </row>
    <row r="51" spans="1:9" ht="15.95" customHeight="1">
      <c r="A51" s="511"/>
      <c r="B51" s="214"/>
      <c r="C51" s="316"/>
      <c r="D51" s="316"/>
      <c r="E51" s="317"/>
      <c r="F51" s="319"/>
      <c r="G51" s="319"/>
      <c r="H51" s="169">
        <f t="shared" si="0"/>
        <v>0</v>
      </c>
      <c r="I51" s="222"/>
    </row>
    <row r="52" spans="1:9" ht="15.95" customHeight="1">
      <c r="A52" s="511"/>
      <c r="B52" s="214"/>
      <c r="C52" s="316"/>
      <c r="D52" s="316"/>
      <c r="E52" s="317"/>
      <c r="F52" s="319"/>
      <c r="G52" s="319"/>
      <c r="H52" s="169">
        <f t="shared" si="0"/>
        <v>0</v>
      </c>
      <c r="I52" s="222"/>
    </row>
    <row r="53" spans="1:9" ht="15.95" customHeight="1">
      <c r="A53" s="511"/>
      <c r="B53" s="214"/>
      <c r="C53" s="316"/>
      <c r="D53" s="316"/>
      <c r="E53" s="317"/>
      <c r="F53" s="319"/>
      <c r="G53" s="319"/>
      <c r="H53" s="169">
        <f t="shared" si="0"/>
        <v>0</v>
      </c>
      <c r="I53" s="222"/>
    </row>
    <row r="54" spans="1:9" ht="15.95" customHeight="1">
      <c r="A54" s="511"/>
      <c r="B54" s="214"/>
      <c r="C54" s="226"/>
      <c r="D54" s="226"/>
      <c r="E54" s="304"/>
      <c r="F54" s="229"/>
      <c r="G54" s="229"/>
      <c r="H54" s="258">
        <f t="shared" si="0"/>
        <v>0</v>
      </c>
      <c r="I54" s="230"/>
    </row>
    <row r="55" spans="1:9" ht="15.95" customHeight="1">
      <c r="A55" s="511"/>
      <c r="B55" s="231"/>
      <c r="C55" s="232"/>
      <c r="D55" s="233"/>
      <c r="E55" s="305"/>
      <c r="F55" s="235"/>
      <c r="G55" s="235"/>
      <c r="H55" s="157">
        <f>SUM(H48:H54)</f>
        <v>0</v>
      </c>
      <c r="I55" s="236"/>
    </row>
    <row r="56" spans="1:9" ht="15.95" customHeight="1">
      <c r="A56" s="259"/>
      <c r="B56" s="260" t="s">
        <v>193</v>
      </c>
      <c r="C56" s="261"/>
      <c r="D56" s="236"/>
      <c r="E56" s="306"/>
      <c r="F56" s="263"/>
      <c r="G56" s="263"/>
      <c r="H56" s="157">
        <f>SUM(H55,H47,H30,H24)</f>
        <v>0</v>
      </c>
      <c r="I56" s="236"/>
    </row>
    <row r="57" spans="1:9" ht="15.95" customHeight="1">
      <c r="A57" s="520" t="s">
        <v>194</v>
      </c>
      <c r="B57" s="264" t="s">
        <v>195</v>
      </c>
      <c r="C57" s="261"/>
      <c r="D57" s="265"/>
      <c r="E57" s="266" t="s">
        <v>50</v>
      </c>
      <c r="F57" s="285"/>
      <c r="G57" s="268">
        <v>200000</v>
      </c>
      <c r="H57" s="187">
        <f>F57*G57</f>
        <v>0</v>
      </c>
      <c r="I57" s="236"/>
    </row>
    <row r="58" spans="1:9" ht="15.95" customHeight="1">
      <c r="A58" s="511"/>
      <c r="B58" s="269" t="s">
        <v>196</v>
      </c>
      <c r="C58" s="270"/>
      <c r="D58" s="271"/>
      <c r="E58" s="272" t="s">
        <v>130</v>
      </c>
      <c r="F58" s="311"/>
      <c r="G58" s="311">
        <v>200000</v>
      </c>
      <c r="H58" s="242">
        <f t="shared" ref="H58:H64" si="1">F58*G58</f>
        <v>0</v>
      </c>
      <c r="I58" s="243"/>
    </row>
    <row r="59" spans="1:9" ht="15.95" customHeight="1">
      <c r="A59" s="511"/>
      <c r="B59" s="291" t="s">
        <v>197</v>
      </c>
      <c r="C59" s="274"/>
      <c r="D59" s="275"/>
      <c r="E59" s="276" t="s">
        <v>130</v>
      </c>
      <c r="F59" s="313"/>
      <c r="G59" s="218">
        <v>200000</v>
      </c>
      <c r="H59" s="169">
        <f t="shared" si="1"/>
        <v>0</v>
      </c>
      <c r="I59" s="222"/>
    </row>
    <row r="60" spans="1:9" ht="15.95" customHeight="1">
      <c r="A60" s="511"/>
      <c r="B60" s="273" t="s">
        <v>198</v>
      </c>
      <c r="C60" s="274"/>
      <c r="D60" s="275"/>
      <c r="E60" s="276" t="s">
        <v>130</v>
      </c>
      <c r="F60" s="313"/>
      <c r="G60" s="218">
        <v>200000</v>
      </c>
      <c r="H60" s="169">
        <f t="shared" si="1"/>
        <v>0</v>
      </c>
      <c r="I60" s="222"/>
    </row>
    <row r="61" spans="1:9" ht="15.95" customHeight="1">
      <c r="A61" s="511"/>
      <c r="B61" s="273" t="s">
        <v>199</v>
      </c>
      <c r="C61" s="274"/>
      <c r="D61" s="275"/>
      <c r="E61" s="276" t="s">
        <v>130</v>
      </c>
      <c r="F61" s="313"/>
      <c r="G61" s="218">
        <v>200000</v>
      </c>
      <c r="H61" s="169">
        <f t="shared" si="1"/>
        <v>0</v>
      </c>
      <c r="I61" s="222"/>
    </row>
    <row r="62" spans="1:9" ht="15.95" customHeight="1">
      <c r="A62" s="511"/>
      <c r="B62" s="273" t="s">
        <v>200</v>
      </c>
      <c r="C62" s="274"/>
      <c r="D62" s="275"/>
      <c r="E62" s="276" t="s">
        <v>130</v>
      </c>
      <c r="F62" s="313"/>
      <c r="G62" s="218">
        <v>200000</v>
      </c>
      <c r="H62" s="169">
        <f t="shared" si="1"/>
        <v>0</v>
      </c>
      <c r="I62" s="222"/>
    </row>
    <row r="63" spans="1:9" ht="15.95" customHeight="1">
      <c r="A63" s="511"/>
      <c r="B63" s="273" t="s">
        <v>201</v>
      </c>
      <c r="C63" s="274"/>
      <c r="D63" s="275"/>
      <c r="E63" s="276" t="s">
        <v>130</v>
      </c>
      <c r="F63" s="313"/>
      <c r="G63" s="218">
        <v>200000</v>
      </c>
      <c r="H63" s="169">
        <f t="shared" si="1"/>
        <v>0</v>
      </c>
      <c r="I63" s="222"/>
    </row>
    <row r="64" spans="1:9" ht="15.95" customHeight="1">
      <c r="A64" s="511"/>
      <c r="B64" s="277" t="s">
        <v>202</v>
      </c>
      <c r="C64" s="278"/>
      <c r="D64" s="279"/>
      <c r="E64" s="280" t="s">
        <v>130</v>
      </c>
      <c r="F64" s="229"/>
      <c r="G64" s="229">
        <v>200000</v>
      </c>
      <c r="H64" s="258">
        <f t="shared" si="1"/>
        <v>0</v>
      </c>
      <c r="I64" s="230"/>
    </row>
    <row r="65" spans="1:9" ht="15.95" customHeight="1">
      <c r="A65" s="259"/>
      <c r="B65" s="281" t="s">
        <v>203</v>
      </c>
      <c r="C65" s="261"/>
      <c r="D65" s="236"/>
      <c r="E65" s="306"/>
      <c r="F65" s="235"/>
      <c r="G65" s="235"/>
      <c r="H65" s="235">
        <f>SUM(H57:H64)</f>
        <v>0</v>
      </c>
      <c r="I65" s="233"/>
    </row>
    <row r="66" spans="1:9" ht="15.95" customHeight="1">
      <c r="A66" s="282"/>
      <c r="B66" s="281" t="s">
        <v>204</v>
      </c>
      <c r="C66" s="261"/>
      <c r="D66" s="236"/>
      <c r="E66" s="306"/>
      <c r="F66" s="157"/>
      <c r="G66" s="157"/>
      <c r="H66" s="263">
        <f>'단위공사별(집계)'!I11+'단위공사별(집계)'!K11</f>
        <v>0</v>
      </c>
      <c r="I66" s="236"/>
    </row>
    <row r="67" spans="1:9" ht="15.95" customHeight="1">
      <c r="A67" s="282"/>
      <c r="B67" s="281" t="s">
        <v>205</v>
      </c>
      <c r="C67" s="261"/>
      <c r="D67" s="236"/>
      <c r="E67" s="306"/>
      <c r="F67" s="157"/>
      <c r="G67" s="284"/>
      <c r="H67" s="285">
        <f>(H65+H56)*0.05</f>
        <v>0</v>
      </c>
      <c r="I67" s="261"/>
    </row>
    <row r="68" spans="1:9" ht="15.95" customHeight="1">
      <c r="A68" s="282"/>
      <c r="B68" s="281" t="s">
        <v>206</v>
      </c>
      <c r="C68" s="261"/>
      <c r="D68" s="236"/>
      <c r="E68" s="306"/>
      <c r="F68" s="157"/>
      <c r="G68" s="284"/>
      <c r="H68" s="285">
        <f>(H65+H56)*0.1</f>
        <v>0</v>
      </c>
      <c r="I68" s="261"/>
    </row>
    <row r="69" spans="1:9" ht="15.95" customHeight="1">
      <c r="A69" s="282"/>
      <c r="B69" s="281" t="s">
        <v>207</v>
      </c>
      <c r="C69" s="261"/>
      <c r="D69" s="236"/>
      <c r="E69" s="306"/>
      <c r="F69" s="157"/>
      <c r="G69" s="157"/>
      <c r="H69" s="235">
        <f>H56+H65+H66+H67+H68</f>
        <v>0</v>
      </c>
      <c r="I69" s="236"/>
    </row>
    <row r="70" spans="1:9">
      <c r="A70" s="140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C1" sqref="C1"/>
      <selection pane="topRight" activeCell="C1" sqref="C1"/>
      <selection pane="bottomLeft" activeCell="C1" sqref="C1"/>
      <selection pane="bottomRight" activeCell="C1" sqref="C1"/>
    </sheetView>
  </sheetViews>
  <sheetFormatPr defaultColWidth="9" defaultRowHeight="13.5"/>
  <cols>
    <col min="1" max="1" width="5" style="128" customWidth="1"/>
    <col min="2" max="2" width="17.875" style="128" bestFit="1" customWidth="1"/>
    <col min="3" max="3" width="23.625" style="128" customWidth="1"/>
    <col min="4" max="4" width="18.25" style="128" customWidth="1"/>
    <col min="5" max="5" width="5.25" style="128" bestFit="1" customWidth="1"/>
    <col min="6" max="6" width="9" style="159"/>
    <col min="7" max="7" width="11.875" style="159" customWidth="1"/>
    <col min="8" max="8" width="13.625" style="159" customWidth="1"/>
    <col min="9" max="9" width="12.75" style="128" customWidth="1"/>
    <col min="10" max="16384" width="9" style="128"/>
  </cols>
  <sheetData>
    <row r="1" spans="1:9" ht="22.5" customHeight="1">
      <c r="B1" s="206" t="s">
        <v>208</v>
      </c>
      <c r="C1" s="287"/>
      <c r="D1" s="208"/>
      <c r="E1" s="208"/>
      <c r="F1" s="288"/>
      <c r="G1" s="171"/>
      <c r="I1" s="128" t="s">
        <v>209</v>
      </c>
    </row>
    <row r="2" spans="1:9" s="140" customFormat="1" ht="16.5" customHeight="1">
      <c r="A2" s="387" t="s">
        <v>210</v>
      </c>
      <c r="B2" s="515"/>
      <c r="C2" s="133" t="s">
        <v>211</v>
      </c>
      <c r="D2" s="129" t="s">
        <v>212</v>
      </c>
      <c r="E2" s="129" t="s">
        <v>213</v>
      </c>
      <c r="F2" s="262" t="s">
        <v>214</v>
      </c>
      <c r="G2" s="262" t="s">
        <v>215</v>
      </c>
      <c r="H2" s="262" t="s">
        <v>216</v>
      </c>
      <c r="I2" s="129" t="s">
        <v>217</v>
      </c>
    </row>
    <row r="3" spans="1:9" ht="15.95" customHeight="1">
      <c r="A3" s="516" t="s">
        <v>218</v>
      </c>
      <c r="B3" s="214" t="s">
        <v>219</v>
      </c>
      <c r="C3" s="316"/>
      <c r="D3" s="317"/>
      <c r="E3" s="318"/>
      <c r="F3" s="319"/>
      <c r="G3" s="319"/>
      <c r="H3" s="242">
        <f>IF(F3=0,G3,G3*F3)</f>
        <v>0</v>
      </c>
      <c r="I3" s="243"/>
    </row>
    <row r="4" spans="1:9" ht="15.95" customHeight="1">
      <c r="A4" s="511"/>
      <c r="B4" s="214"/>
      <c r="C4" s="316"/>
      <c r="D4" s="317"/>
      <c r="E4" s="318"/>
      <c r="F4" s="319"/>
      <c r="G4" s="319"/>
      <c r="H4" s="169">
        <f>IF(F4=0,G4,G4*F4)</f>
        <v>0</v>
      </c>
      <c r="I4" s="222"/>
    </row>
    <row r="5" spans="1:9" ht="15.95" customHeight="1">
      <c r="A5" s="511"/>
      <c r="B5" s="214"/>
      <c r="C5" s="316"/>
      <c r="D5" s="317"/>
      <c r="E5" s="318"/>
      <c r="F5" s="319"/>
      <c r="G5" s="319"/>
      <c r="H5" s="169">
        <f t="shared" ref="H5:H54" si="0">IF(F5=0,G5,G5*F5)</f>
        <v>0</v>
      </c>
      <c r="I5" s="222"/>
    </row>
    <row r="6" spans="1:9" ht="15.95" customHeight="1">
      <c r="A6" s="511"/>
      <c r="B6" s="214"/>
      <c r="C6" s="316"/>
      <c r="D6" s="317"/>
      <c r="E6" s="318"/>
      <c r="F6" s="319"/>
      <c r="G6" s="319"/>
      <c r="H6" s="169">
        <f t="shared" si="0"/>
        <v>0</v>
      </c>
      <c r="I6" s="222"/>
    </row>
    <row r="7" spans="1:9" ht="15.95" customHeight="1">
      <c r="A7" s="511"/>
      <c r="B7" s="214"/>
      <c r="C7" s="316"/>
      <c r="D7" s="317"/>
      <c r="E7" s="318"/>
      <c r="F7" s="319"/>
      <c r="G7" s="319"/>
      <c r="H7" s="169">
        <f t="shared" si="0"/>
        <v>0</v>
      </c>
      <c r="I7" s="222"/>
    </row>
    <row r="8" spans="1:9" ht="15.95" customHeight="1">
      <c r="A8" s="511"/>
      <c r="B8" s="214"/>
      <c r="C8" s="316"/>
      <c r="D8" s="316"/>
      <c r="E8" s="318"/>
      <c r="F8" s="319"/>
      <c r="G8" s="319"/>
      <c r="H8" s="169">
        <f t="shared" si="0"/>
        <v>0</v>
      </c>
      <c r="I8" s="222"/>
    </row>
    <row r="9" spans="1:9" ht="15.95" customHeight="1">
      <c r="A9" s="511"/>
      <c r="B9" s="214"/>
      <c r="C9" s="308"/>
      <c r="D9" s="308"/>
      <c r="E9" s="318"/>
      <c r="F9" s="313"/>
      <c r="G9" s="313"/>
      <c r="H9" s="169">
        <f t="shared" si="0"/>
        <v>0</v>
      </c>
      <c r="I9" s="222"/>
    </row>
    <row r="10" spans="1:9" ht="15.95" customHeight="1">
      <c r="A10" s="511"/>
      <c r="B10" s="214"/>
      <c r="C10" s="308"/>
      <c r="D10" s="308"/>
      <c r="E10" s="318"/>
      <c r="F10" s="313"/>
      <c r="G10" s="313"/>
      <c r="H10" s="169">
        <f t="shared" si="0"/>
        <v>0</v>
      </c>
      <c r="I10" s="222"/>
    </row>
    <row r="11" spans="1:9" ht="15.95" customHeight="1">
      <c r="A11" s="511"/>
      <c r="B11" s="214"/>
      <c r="C11" s="308"/>
      <c r="D11" s="308"/>
      <c r="E11" s="318"/>
      <c r="F11" s="313"/>
      <c r="G11" s="313"/>
      <c r="H11" s="169">
        <f t="shared" si="0"/>
        <v>0</v>
      </c>
      <c r="I11" s="222"/>
    </row>
    <row r="12" spans="1:9" ht="15.95" customHeight="1">
      <c r="A12" s="511"/>
      <c r="B12" s="214"/>
      <c r="C12" s="308"/>
      <c r="D12" s="308"/>
      <c r="E12" s="312"/>
      <c r="F12" s="313"/>
      <c r="G12" s="313"/>
      <c r="H12" s="169">
        <f t="shared" si="0"/>
        <v>0</v>
      </c>
      <c r="I12" s="222"/>
    </row>
    <row r="13" spans="1:9" ht="15.95" customHeight="1">
      <c r="A13" s="511"/>
      <c r="B13" s="214"/>
      <c r="C13" s="308"/>
      <c r="D13" s="308"/>
      <c r="E13" s="312"/>
      <c r="F13" s="313"/>
      <c r="G13" s="313"/>
      <c r="H13" s="169">
        <f t="shared" si="0"/>
        <v>0</v>
      </c>
      <c r="I13" s="222"/>
    </row>
    <row r="14" spans="1:9" ht="15.95" customHeight="1">
      <c r="A14" s="511"/>
      <c r="B14" s="214"/>
      <c r="C14" s="308"/>
      <c r="D14" s="308"/>
      <c r="E14" s="312"/>
      <c r="F14" s="313"/>
      <c r="G14" s="313"/>
      <c r="H14" s="169">
        <f t="shared" si="0"/>
        <v>0</v>
      </c>
      <c r="I14" s="222"/>
    </row>
    <row r="15" spans="1:9" ht="15.95" customHeight="1">
      <c r="A15" s="511"/>
      <c r="B15" s="214"/>
      <c r="C15" s="308"/>
      <c r="D15" s="308"/>
      <c r="E15" s="312"/>
      <c r="F15" s="313"/>
      <c r="G15" s="313"/>
      <c r="H15" s="169">
        <f t="shared" si="0"/>
        <v>0</v>
      </c>
      <c r="I15" s="222"/>
    </row>
    <row r="16" spans="1:9" ht="15.95" customHeight="1">
      <c r="A16" s="511"/>
      <c r="B16" s="214"/>
      <c r="C16" s="308"/>
      <c r="D16" s="308"/>
      <c r="E16" s="312"/>
      <c r="F16" s="313"/>
      <c r="G16" s="313"/>
      <c r="H16" s="169">
        <f t="shared" si="0"/>
        <v>0</v>
      </c>
      <c r="I16" s="222"/>
    </row>
    <row r="17" spans="1:9" ht="15.95" customHeight="1">
      <c r="A17" s="511"/>
      <c r="B17" s="214"/>
      <c r="C17" s="308"/>
      <c r="D17" s="308"/>
      <c r="E17" s="312"/>
      <c r="F17" s="313"/>
      <c r="G17" s="313"/>
      <c r="H17" s="169">
        <f t="shared" si="0"/>
        <v>0</v>
      </c>
      <c r="I17" s="222"/>
    </row>
    <row r="18" spans="1:9" ht="15.95" customHeight="1">
      <c r="A18" s="511"/>
      <c r="B18" s="214"/>
      <c r="C18" s="308"/>
      <c r="D18" s="308"/>
      <c r="E18" s="312"/>
      <c r="F18" s="313"/>
      <c r="G18" s="313"/>
      <c r="H18" s="169">
        <f t="shared" si="0"/>
        <v>0</v>
      </c>
      <c r="I18" s="222"/>
    </row>
    <row r="19" spans="1:9" ht="15.95" customHeight="1">
      <c r="A19" s="511"/>
      <c r="B19" s="214"/>
      <c r="C19" s="308"/>
      <c r="D19" s="308"/>
      <c r="E19" s="312"/>
      <c r="F19" s="313"/>
      <c r="G19" s="313"/>
      <c r="H19" s="169">
        <f t="shared" si="0"/>
        <v>0</v>
      </c>
      <c r="I19" s="222"/>
    </row>
    <row r="20" spans="1:9" ht="15.95" customHeight="1">
      <c r="A20" s="511"/>
      <c r="B20" s="214"/>
      <c r="C20" s="308"/>
      <c r="D20" s="308"/>
      <c r="E20" s="312"/>
      <c r="F20" s="313"/>
      <c r="G20" s="313"/>
      <c r="H20" s="169">
        <f t="shared" si="0"/>
        <v>0</v>
      </c>
      <c r="I20" s="222"/>
    </row>
    <row r="21" spans="1:9" ht="15.95" customHeight="1">
      <c r="A21" s="511"/>
      <c r="B21" s="214"/>
      <c r="C21" s="308"/>
      <c r="D21" s="308"/>
      <c r="E21" s="312"/>
      <c r="F21" s="313"/>
      <c r="G21" s="313"/>
      <c r="H21" s="169">
        <f t="shared" si="0"/>
        <v>0</v>
      </c>
      <c r="I21" s="222"/>
    </row>
    <row r="22" spans="1:9" ht="15.95" customHeight="1">
      <c r="A22" s="511"/>
      <c r="B22" s="214"/>
      <c r="C22" s="308"/>
      <c r="D22" s="308"/>
      <c r="E22" s="312"/>
      <c r="F22" s="313"/>
      <c r="G22" s="313"/>
      <c r="H22" s="169">
        <f t="shared" si="0"/>
        <v>0</v>
      </c>
      <c r="I22" s="222"/>
    </row>
    <row r="23" spans="1:9" ht="15.95" customHeight="1">
      <c r="A23" s="511"/>
      <c r="B23" s="214"/>
      <c r="C23" s="226"/>
      <c r="D23" s="245"/>
      <c r="E23" s="320"/>
      <c r="F23" s="247"/>
      <c r="G23" s="247"/>
      <c r="H23" s="248">
        <f t="shared" si="0"/>
        <v>0</v>
      </c>
      <c r="I23" s="249"/>
    </row>
    <row r="24" spans="1:9" ht="15.95" customHeight="1">
      <c r="A24" s="511"/>
      <c r="B24" s="231"/>
      <c r="C24" s="256"/>
      <c r="D24" s="256"/>
      <c r="E24" s="302"/>
      <c r="F24" s="254"/>
      <c r="G24" s="254"/>
      <c r="H24" s="255">
        <f>SUM(H3:H23)</f>
        <v>0</v>
      </c>
      <c r="I24" s="256"/>
    </row>
    <row r="25" spans="1:9" ht="15.95" customHeight="1">
      <c r="A25" s="511"/>
      <c r="B25" s="214" t="s">
        <v>151</v>
      </c>
      <c r="C25" s="215"/>
      <c r="D25" s="215"/>
      <c r="E25" s="303"/>
      <c r="F25" s="218"/>
      <c r="G25" s="218"/>
      <c r="H25" s="219">
        <f t="shared" si="0"/>
        <v>0</v>
      </c>
      <c r="I25" s="220"/>
    </row>
    <row r="26" spans="1:9" ht="15.95" customHeight="1">
      <c r="A26" s="511"/>
      <c r="B26" s="214" t="s">
        <v>152</v>
      </c>
      <c r="C26" s="308"/>
      <c r="D26" s="308"/>
      <c r="E26" s="300"/>
      <c r="F26" s="313"/>
      <c r="G26" s="313"/>
      <c r="H26" s="169">
        <f t="shared" si="0"/>
        <v>0</v>
      </c>
      <c r="I26" s="222"/>
    </row>
    <row r="27" spans="1:9" ht="15.95" customHeight="1">
      <c r="A27" s="511"/>
      <c r="B27" s="214"/>
      <c r="C27" s="308"/>
      <c r="D27" s="308"/>
      <c r="E27" s="300"/>
      <c r="F27" s="313"/>
      <c r="G27" s="313"/>
      <c r="H27" s="169">
        <f t="shared" si="0"/>
        <v>0</v>
      </c>
      <c r="I27" s="222"/>
    </row>
    <row r="28" spans="1:9" ht="15.95" customHeight="1">
      <c r="A28" s="511"/>
      <c r="B28" s="214"/>
      <c r="C28" s="308"/>
      <c r="D28" s="308"/>
      <c r="E28" s="300"/>
      <c r="F28" s="313"/>
      <c r="G28" s="313"/>
      <c r="H28" s="169">
        <f t="shared" si="0"/>
        <v>0</v>
      </c>
      <c r="I28" s="222"/>
    </row>
    <row r="29" spans="1:9" ht="15.95" customHeight="1">
      <c r="A29" s="511"/>
      <c r="B29" s="214"/>
      <c r="C29" s="226"/>
      <c r="D29" s="226"/>
      <c r="E29" s="304"/>
      <c r="F29" s="229"/>
      <c r="G29" s="229"/>
      <c r="H29" s="169">
        <f t="shared" si="0"/>
        <v>0</v>
      </c>
      <c r="I29" s="230"/>
    </row>
    <row r="30" spans="1:9" ht="15.95" customHeight="1">
      <c r="A30" s="511"/>
      <c r="B30" s="231"/>
      <c r="C30" s="232"/>
      <c r="D30" s="233"/>
      <c r="E30" s="305"/>
      <c r="F30" s="290"/>
      <c r="G30" s="235"/>
      <c r="H30" s="157">
        <f>SUM(H25:H29)</f>
        <v>0</v>
      </c>
      <c r="I30" s="236"/>
    </row>
    <row r="31" spans="1:9" ht="15.95" customHeight="1">
      <c r="A31" s="511"/>
      <c r="B31" s="257" t="s">
        <v>153</v>
      </c>
      <c r="C31" s="309"/>
      <c r="D31" s="309"/>
      <c r="E31" s="310"/>
      <c r="F31" s="311"/>
      <c r="G31" s="311"/>
      <c r="H31" s="242">
        <f t="shared" si="0"/>
        <v>0</v>
      </c>
      <c r="I31" s="243"/>
    </row>
    <row r="32" spans="1:9" ht="15.95" customHeight="1">
      <c r="A32" s="511"/>
      <c r="B32" s="214" t="s">
        <v>154</v>
      </c>
      <c r="C32" s="316"/>
      <c r="D32" s="316"/>
      <c r="E32" s="318"/>
      <c r="F32" s="319"/>
      <c r="G32" s="319"/>
      <c r="H32" s="169">
        <f t="shared" si="0"/>
        <v>0</v>
      </c>
      <c r="I32" s="222"/>
    </row>
    <row r="33" spans="1:9" ht="15.95" customHeight="1">
      <c r="A33" s="511"/>
      <c r="B33" s="214"/>
      <c r="C33" s="308"/>
      <c r="D33" s="308"/>
      <c r="E33" s="312"/>
      <c r="F33" s="313"/>
      <c r="G33" s="313"/>
      <c r="H33" s="169">
        <f t="shared" si="0"/>
        <v>0</v>
      </c>
      <c r="I33" s="222"/>
    </row>
    <row r="34" spans="1:9" ht="15.95" customHeight="1">
      <c r="A34" s="511"/>
      <c r="B34" s="214"/>
      <c r="C34" s="308"/>
      <c r="D34" s="308"/>
      <c r="E34" s="312"/>
      <c r="F34" s="313"/>
      <c r="G34" s="313"/>
      <c r="H34" s="169">
        <f t="shared" si="0"/>
        <v>0</v>
      </c>
      <c r="I34" s="222"/>
    </row>
    <row r="35" spans="1:9" ht="15.95" customHeight="1">
      <c r="A35" s="511"/>
      <c r="B35" s="214"/>
      <c r="C35" s="308"/>
      <c r="D35" s="308"/>
      <c r="E35" s="312"/>
      <c r="F35" s="313"/>
      <c r="G35" s="313"/>
      <c r="H35" s="169">
        <f t="shared" si="0"/>
        <v>0</v>
      </c>
      <c r="I35" s="222"/>
    </row>
    <row r="36" spans="1:9" ht="15.95" customHeight="1">
      <c r="A36" s="511"/>
      <c r="B36" s="214"/>
      <c r="C36" s="308"/>
      <c r="D36" s="308"/>
      <c r="E36" s="312"/>
      <c r="F36" s="313"/>
      <c r="G36" s="313"/>
      <c r="H36" s="169">
        <f t="shared" si="0"/>
        <v>0</v>
      </c>
      <c r="I36" s="222"/>
    </row>
    <row r="37" spans="1:9" ht="15.95" customHeight="1">
      <c r="A37" s="511"/>
      <c r="B37" s="214"/>
      <c r="C37" s="308"/>
      <c r="D37" s="308"/>
      <c r="E37" s="312"/>
      <c r="F37" s="313"/>
      <c r="G37" s="313"/>
      <c r="H37" s="169">
        <f t="shared" si="0"/>
        <v>0</v>
      </c>
      <c r="I37" s="222"/>
    </row>
    <row r="38" spans="1:9" ht="15.95" customHeight="1">
      <c r="A38" s="511"/>
      <c r="B38" s="214"/>
      <c r="C38" s="308"/>
      <c r="D38" s="308"/>
      <c r="E38" s="312"/>
      <c r="F38" s="313"/>
      <c r="G38" s="313"/>
      <c r="H38" s="169">
        <f t="shared" si="0"/>
        <v>0</v>
      </c>
      <c r="I38" s="222"/>
    </row>
    <row r="39" spans="1:9" ht="15.95" customHeight="1">
      <c r="A39" s="511"/>
      <c r="B39" s="214"/>
      <c r="C39" s="308"/>
      <c r="D39" s="308"/>
      <c r="E39" s="312"/>
      <c r="F39" s="313"/>
      <c r="G39" s="313"/>
      <c r="H39" s="169">
        <f t="shared" si="0"/>
        <v>0</v>
      </c>
      <c r="I39" s="222"/>
    </row>
    <row r="40" spans="1:9" ht="15.95" customHeight="1">
      <c r="A40" s="511"/>
      <c r="B40" s="214"/>
      <c r="C40" s="308"/>
      <c r="D40" s="308"/>
      <c r="E40" s="312"/>
      <c r="F40" s="313"/>
      <c r="G40" s="313"/>
      <c r="H40" s="169">
        <f t="shared" si="0"/>
        <v>0</v>
      </c>
      <c r="I40" s="222"/>
    </row>
    <row r="41" spans="1:9" ht="15.95" customHeight="1">
      <c r="A41" s="511"/>
      <c r="B41" s="214"/>
      <c r="C41" s="308"/>
      <c r="D41" s="308"/>
      <c r="E41" s="312"/>
      <c r="F41" s="313"/>
      <c r="G41" s="313"/>
      <c r="H41" s="169">
        <f t="shared" si="0"/>
        <v>0</v>
      </c>
      <c r="I41" s="222"/>
    </row>
    <row r="42" spans="1:9" ht="15.95" customHeight="1">
      <c r="A42" s="511"/>
      <c r="B42" s="214"/>
      <c r="C42" s="308"/>
      <c r="D42" s="308"/>
      <c r="E42" s="312"/>
      <c r="F42" s="313"/>
      <c r="G42" s="313"/>
      <c r="H42" s="169">
        <f t="shared" si="0"/>
        <v>0</v>
      </c>
      <c r="I42" s="222"/>
    </row>
    <row r="43" spans="1:9" ht="15.95" customHeight="1">
      <c r="A43" s="511"/>
      <c r="B43" s="214"/>
      <c r="C43" s="308"/>
      <c r="D43" s="308"/>
      <c r="E43" s="312"/>
      <c r="F43" s="313"/>
      <c r="G43" s="313"/>
      <c r="H43" s="169">
        <f t="shared" si="0"/>
        <v>0</v>
      </c>
      <c r="I43" s="222"/>
    </row>
    <row r="44" spans="1:9" ht="15.95" customHeight="1">
      <c r="A44" s="511"/>
      <c r="B44" s="214"/>
      <c r="C44" s="308"/>
      <c r="D44" s="308"/>
      <c r="E44" s="312"/>
      <c r="F44" s="313"/>
      <c r="G44" s="313"/>
      <c r="H44" s="169">
        <f t="shared" si="0"/>
        <v>0</v>
      </c>
      <c r="I44" s="222"/>
    </row>
    <row r="45" spans="1:9" ht="15.95" customHeight="1">
      <c r="A45" s="511"/>
      <c r="B45" s="214"/>
      <c r="C45" s="308"/>
      <c r="D45" s="308"/>
      <c r="E45" s="312"/>
      <c r="F45" s="313"/>
      <c r="G45" s="313"/>
      <c r="H45" s="169">
        <f t="shared" si="0"/>
        <v>0</v>
      </c>
      <c r="I45" s="222"/>
    </row>
    <row r="46" spans="1:9" ht="15.95" customHeight="1">
      <c r="A46" s="511"/>
      <c r="B46" s="214"/>
      <c r="C46" s="226"/>
      <c r="D46" s="226"/>
      <c r="E46" s="227"/>
      <c r="F46" s="229"/>
      <c r="G46" s="229"/>
      <c r="H46" s="258">
        <f t="shared" si="0"/>
        <v>0</v>
      </c>
      <c r="I46" s="230"/>
    </row>
    <row r="47" spans="1:9" ht="15.95" customHeight="1">
      <c r="A47" s="511"/>
      <c r="B47" s="231"/>
      <c r="C47" s="232"/>
      <c r="D47" s="233"/>
      <c r="E47" s="305"/>
      <c r="F47" s="235"/>
      <c r="G47" s="235"/>
      <c r="H47" s="157">
        <f>SUM(H31:H46)</f>
        <v>0</v>
      </c>
      <c r="I47" s="236"/>
    </row>
    <row r="48" spans="1:9" ht="15.95" customHeight="1">
      <c r="A48" s="511"/>
      <c r="B48" s="257" t="s">
        <v>220</v>
      </c>
      <c r="C48" s="316"/>
      <c r="D48" s="316"/>
      <c r="E48" s="318"/>
      <c r="F48" s="319"/>
      <c r="G48" s="319"/>
      <c r="H48" s="242">
        <f t="shared" si="0"/>
        <v>0</v>
      </c>
      <c r="I48" s="243"/>
    </row>
    <row r="49" spans="1:9" ht="15.95" customHeight="1">
      <c r="A49" s="511"/>
      <c r="B49" s="214"/>
      <c r="C49" s="316"/>
      <c r="D49" s="316"/>
      <c r="E49" s="318"/>
      <c r="F49" s="319"/>
      <c r="G49" s="319"/>
      <c r="H49" s="169">
        <f t="shared" si="0"/>
        <v>0</v>
      </c>
      <c r="I49" s="222"/>
    </row>
    <row r="50" spans="1:9" ht="15.95" customHeight="1">
      <c r="A50" s="511"/>
      <c r="B50" s="214"/>
      <c r="C50" s="316"/>
      <c r="D50" s="316"/>
      <c r="E50" s="317"/>
      <c r="F50" s="319"/>
      <c r="G50" s="319"/>
      <c r="H50" s="169">
        <f t="shared" si="0"/>
        <v>0</v>
      </c>
      <c r="I50" s="222"/>
    </row>
    <row r="51" spans="1:9" ht="15.95" customHeight="1">
      <c r="A51" s="511"/>
      <c r="B51" s="214"/>
      <c r="C51" s="316"/>
      <c r="D51" s="316"/>
      <c r="E51" s="317"/>
      <c r="F51" s="319"/>
      <c r="G51" s="319"/>
      <c r="H51" s="169">
        <f t="shared" si="0"/>
        <v>0</v>
      </c>
      <c r="I51" s="222"/>
    </row>
    <row r="52" spans="1:9" ht="15.95" customHeight="1">
      <c r="A52" s="511"/>
      <c r="B52" s="214"/>
      <c r="C52" s="316"/>
      <c r="D52" s="316"/>
      <c r="E52" s="317"/>
      <c r="F52" s="319"/>
      <c r="G52" s="319"/>
      <c r="H52" s="169">
        <f t="shared" si="0"/>
        <v>0</v>
      </c>
      <c r="I52" s="222"/>
    </row>
    <row r="53" spans="1:9" ht="15.95" customHeight="1">
      <c r="A53" s="511"/>
      <c r="B53" s="214"/>
      <c r="C53" s="316"/>
      <c r="D53" s="316"/>
      <c r="E53" s="317"/>
      <c r="F53" s="319"/>
      <c r="G53" s="319"/>
      <c r="H53" s="169">
        <f t="shared" si="0"/>
        <v>0</v>
      </c>
      <c r="I53" s="222"/>
    </row>
    <row r="54" spans="1:9" ht="15.95" customHeight="1">
      <c r="A54" s="511"/>
      <c r="B54" s="214"/>
      <c r="C54" s="226"/>
      <c r="D54" s="226"/>
      <c r="E54" s="304"/>
      <c r="F54" s="229"/>
      <c r="G54" s="229"/>
      <c r="H54" s="258">
        <f t="shared" si="0"/>
        <v>0</v>
      </c>
      <c r="I54" s="230"/>
    </row>
    <row r="55" spans="1:9" ht="15.95" customHeight="1">
      <c r="A55" s="511"/>
      <c r="B55" s="231"/>
      <c r="C55" s="232"/>
      <c r="D55" s="233"/>
      <c r="E55" s="305"/>
      <c r="F55" s="235"/>
      <c r="G55" s="235"/>
      <c r="H55" s="157">
        <f>SUM(H48:H54)</f>
        <v>0</v>
      </c>
      <c r="I55" s="236"/>
    </row>
    <row r="56" spans="1:9" ht="15.95" customHeight="1">
      <c r="A56" s="259"/>
      <c r="B56" s="260" t="s">
        <v>221</v>
      </c>
      <c r="C56" s="261"/>
      <c r="D56" s="236"/>
      <c r="E56" s="306"/>
      <c r="F56" s="263"/>
      <c r="G56" s="263"/>
      <c r="H56" s="157">
        <f>SUM(H55,H47,H30,H24)</f>
        <v>0</v>
      </c>
      <c r="I56" s="236"/>
    </row>
    <row r="57" spans="1:9" ht="15.95" customHeight="1">
      <c r="A57" s="520" t="s">
        <v>222</v>
      </c>
      <c r="B57" s="264" t="s">
        <v>223</v>
      </c>
      <c r="C57" s="261"/>
      <c r="D57" s="265"/>
      <c r="E57" s="266" t="s">
        <v>50</v>
      </c>
      <c r="F57" s="285"/>
      <c r="G57" s="268">
        <v>200000</v>
      </c>
      <c r="H57" s="187">
        <f>F57*G57</f>
        <v>0</v>
      </c>
      <c r="I57" s="236"/>
    </row>
    <row r="58" spans="1:9" ht="15.95" customHeight="1">
      <c r="A58" s="511"/>
      <c r="B58" s="269" t="s">
        <v>155</v>
      </c>
      <c r="C58" s="270"/>
      <c r="D58" s="271"/>
      <c r="E58" s="272" t="s">
        <v>130</v>
      </c>
      <c r="F58" s="311"/>
      <c r="G58" s="311">
        <v>200000</v>
      </c>
      <c r="H58" s="242">
        <f t="shared" ref="H58:H64" si="1">F58*G58</f>
        <v>0</v>
      </c>
      <c r="I58" s="243"/>
    </row>
    <row r="59" spans="1:9" ht="15.95" customHeight="1">
      <c r="A59" s="511"/>
      <c r="B59" s="291" t="s">
        <v>156</v>
      </c>
      <c r="C59" s="274"/>
      <c r="D59" s="275"/>
      <c r="E59" s="276" t="s">
        <v>130</v>
      </c>
      <c r="F59" s="313"/>
      <c r="G59" s="218">
        <v>200000</v>
      </c>
      <c r="H59" s="169">
        <f t="shared" si="1"/>
        <v>0</v>
      </c>
      <c r="I59" s="222"/>
    </row>
    <row r="60" spans="1:9" ht="15.95" customHeight="1">
      <c r="A60" s="511"/>
      <c r="B60" s="273" t="s">
        <v>157</v>
      </c>
      <c r="C60" s="274"/>
      <c r="D60" s="275"/>
      <c r="E60" s="276" t="s">
        <v>130</v>
      </c>
      <c r="F60" s="313"/>
      <c r="G60" s="218">
        <v>200000</v>
      </c>
      <c r="H60" s="169">
        <f t="shared" si="1"/>
        <v>0</v>
      </c>
      <c r="I60" s="222"/>
    </row>
    <row r="61" spans="1:9" ht="15.95" customHeight="1">
      <c r="A61" s="511"/>
      <c r="B61" s="273" t="s">
        <v>158</v>
      </c>
      <c r="C61" s="274"/>
      <c r="D61" s="275"/>
      <c r="E61" s="276" t="s">
        <v>130</v>
      </c>
      <c r="F61" s="313"/>
      <c r="G61" s="218">
        <v>200000</v>
      </c>
      <c r="H61" s="169">
        <f t="shared" si="1"/>
        <v>0</v>
      </c>
      <c r="I61" s="222"/>
    </row>
    <row r="62" spans="1:9" ht="15.95" customHeight="1">
      <c r="A62" s="511"/>
      <c r="B62" s="273" t="s">
        <v>159</v>
      </c>
      <c r="C62" s="274"/>
      <c r="D62" s="275"/>
      <c r="E62" s="276" t="s">
        <v>130</v>
      </c>
      <c r="F62" s="313"/>
      <c r="G62" s="218">
        <v>200000</v>
      </c>
      <c r="H62" s="169">
        <f t="shared" si="1"/>
        <v>0</v>
      </c>
      <c r="I62" s="222"/>
    </row>
    <row r="63" spans="1:9" ht="15.95" customHeight="1">
      <c r="A63" s="511"/>
      <c r="B63" s="273" t="s">
        <v>160</v>
      </c>
      <c r="C63" s="274"/>
      <c r="D63" s="275"/>
      <c r="E63" s="276" t="s">
        <v>130</v>
      </c>
      <c r="F63" s="313"/>
      <c r="G63" s="218">
        <v>200000</v>
      </c>
      <c r="H63" s="169">
        <f t="shared" si="1"/>
        <v>0</v>
      </c>
      <c r="I63" s="222"/>
    </row>
    <row r="64" spans="1:9" ht="15.95" customHeight="1">
      <c r="A64" s="511"/>
      <c r="B64" s="277" t="s">
        <v>161</v>
      </c>
      <c r="C64" s="278"/>
      <c r="D64" s="279"/>
      <c r="E64" s="280" t="s">
        <v>130</v>
      </c>
      <c r="F64" s="229"/>
      <c r="G64" s="229">
        <v>200000</v>
      </c>
      <c r="H64" s="258">
        <f t="shared" si="1"/>
        <v>0</v>
      </c>
      <c r="I64" s="230"/>
    </row>
    <row r="65" spans="1:9" ht="15.95" customHeight="1">
      <c r="A65" s="259"/>
      <c r="B65" s="281" t="s">
        <v>136</v>
      </c>
      <c r="C65" s="261"/>
      <c r="D65" s="236"/>
      <c r="E65" s="306"/>
      <c r="F65" s="235"/>
      <c r="G65" s="235"/>
      <c r="H65" s="235">
        <f>SUM(H57:H64)</f>
        <v>0</v>
      </c>
      <c r="I65" s="233"/>
    </row>
    <row r="66" spans="1:9" ht="15.95" customHeight="1">
      <c r="A66" s="282"/>
      <c r="B66" s="281" t="s">
        <v>162</v>
      </c>
      <c r="C66" s="261"/>
      <c r="D66" s="236"/>
      <c r="E66" s="306"/>
      <c r="F66" s="157"/>
      <c r="G66" s="157"/>
      <c r="H66" s="263">
        <f>'단위공사별(집계)'!K12+'단위공사별(집계)'!I12</f>
        <v>0</v>
      </c>
      <c r="I66" s="236"/>
    </row>
    <row r="67" spans="1:9" ht="15.95" customHeight="1">
      <c r="A67" s="282"/>
      <c r="B67" s="281" t="s">
        <v>75</v>
      </c>
      <c r="C67" s="261"/>
      <c r="D67" s="236"/>
      <c r="E67" s="306"/>
      <c r="F67" s="157"/>
      <c r="G67" s="284"/>
      <c r="H67" s="285">
        <f>(H65+H56)*0.05</f>
        <v>0</v>
      </c>
      <c r="I67" s="261"/>
    </row>
    <row r="68" spans="1:9" ht="15.95" customHeight="1">
      <c r="A68" s="282"/>
      <c r="B68" s="281" t="s">
        <v>139</v>
      </c>
      <c r="C68" s="261"/>
      <c r="D68" s="236"/>
      <c r="E68" s="306"/>
      <c r="F68" s="157"/>
      <c r="G68" s="284"/>
      <c r="H68" s="285">
        <f>(H65+H56)*0.1</f>
        <v>0</v>
      </c>
      <c r="I68" s="261"/>
    </row>
    <row r="69" spans="1:9" ht="15.95" customHeight="1">
      <c r="A69" s="282"/>
      <c r="B69" s="281" t="s">
        <v>140</v>
      </c>
      <c r="C69" s="261"/>
      <c r="D69" s="236"/>
      <c r="E69" s="306"/>
      <c r="F69" s="157"/>
      <c r="G69" s="157"/>
      <c r="H69" s="235">
        <f>H56+H65+H66+H67+H68</f>
        <v>0</v>
      </c>
      <c r="I69" s="236"/>
    </row>
    <row r="70" spans="1:9">
      <c r="A70" s="140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C1" sqref="C1"/>
      <selection pane="topRight" activeCell="C1" sqref="C1"/>
      <selection pane="bottomLeft" activeCell="C1" sqref="C1"/>
      <selection pane="bottomRight" activeCell="C1" sqref="C1"/>
    </sheetView>
  </sheetViews>
  <sheetFormatPr defaultColWidth="9" defaultRowHeight="13.5"/>
  <cols>
    <col min="1" max="1" width="5" style="128" customWidth="1"/>
    <col min="2" max="2" width="17.875" style="128" bestFit="1" customWidth="1"/>
    <col min="3" max="3" width="23.625" style="128" customWidth="1"/>
    <col min="4" max="4" width="18.25" style="128" customWidth="1"/>
    <col min="5" max="5" width="5.25" style="128" bestFit="1" customWidth="1"/>
    <col min="6" max="6" width="9" style="159"/>
    <col min="7" max="7" width="11.875" style="159" customWidth="1"/>
    <col min="8" max="8" width="13.625" style="159" customWidth="1"/>
    <col min="9" max="9" width="12.75" style="128" customWidth="1"/>
    <col min="10" max="16384" width="9" style="128"/>
  </cols>
  <sheetData>
    <row r="1" spans="1:9" ht="22.5" customHeight="1">
      <c r="B1" s="206" t="s">
        <v>208</v>
      </c>
      <c r="C1" s="287"/>
      <c r="D1" s="208"/>
      <c r="E1" s="208"/>
      <c r="F1" s="288"/>
      <c r="G1" s="171"/>
      <c r="I1" s="128" t="s">
        <v>209</v>
      </c>
    </row>
    <row r="2" spans="1:9" s="140" customFormat="1" ht="16.5" customHeight="1">
      <c r="A2" s="387" t="s">
        <v>210</v>
      </c>
      <c r="B2" s="515"/>
      <c r="C2" s="133" t="s">
        <v>211</v>
      </c>
      <c r="D2" s="129" t="s">
        <v>212</v>
      </c>
      <c r="E2" s="129" t="s">
        <v>213</v>
      </c>
      <c r="F2" s="262" t="s">
        <v>214</v>
      </c>
      <c r="G2" s="262" t="s">
        <v>215</v>
      </c>
      <c r="H2" s="262" t="s">
        <v>216</v>
      </c>
      <c r="I2" s="129" t="s">
        <v>217</v>
      </c>
    </row>
    <row r="3" spans="1:9" ht="15.95" customHeight="1">
      <c r="A3" s="516" t="s">
        <v>218</v>
      </c>
      <c r="B3" s="214" t="s">
        <v>219</v>
      </c>
      <c r="C3" s="316"/>
      <c r="D3" s="317"/>
      <c r="E3" s="318"/>
      <c r="F3" s="319"/>
      <c r="G3" s="319"/>
      <c r="H3" s="242">
        <f>IF(F3=0,G3,G3*F3)</f>
        <v>0</v>
      </c>
      <c r="I3" s="243"/>
    </row>
    <row r="4" spans="1:9" ht="15.95" customHeight="1">
      <c r="A4" s="511"/>
      <c r="B4" s="214"/>
      <c r="C4" s="316"/>
      <c r="D4" s="317"/>
      <c r="E4" s="318"/>
      <c r="F4" s="319"/>
      <c r="G4" s="319"/>
      <c r="H4" s="169">
        <f>IF(F4=0,G4,G4*F4)</f>
        <v>0</v>
      </c>
      <c r="I4" s="222"/>
    </row>
    <row r="5" spans="1:9" ht="15.95" customHeight="1">
      <c r="A5" s="511"/>
      <c r="B5" s="214"/>
      <c r="C5" s="316"/>
      <c r="D5" s="317"/>
      <c r="E5" s="318"/>
      <c r="F5" s="319"/>
      <c r="G5" s="319"/>
      <c r="H5" s="169">
        <f t="shared" ref="H5:H54" si="0">IF(F5=0,G5,G5*F5)</f>
        <v>0</v>
      </c>
      <c r="I5" s="222"/>
    </row>
    <row r="6" spans="1:9" ht="15.95" customHeight="1">
      <c r="A6" s="511"/>
      <c r="B6" s="214"/>
      <c r="C6" s="316"/>
      <c r="D6" s="317"/>
      <c r="E6" s="318"/>
      <c r="F6" s="319"/>
      <c r="G6" s="319"/>
      <c r="H6" s="169">
        <f t="shared" si="0"/>
        <v>0</v>
      </c>
      <c r="I6" s="222"/>
    </row>
    <row r="7" spans="1:9" ht="15.95" customHeight="1">
      <c r="A7" s="511"/>
      <c r="B7" s="214"/>
      <c r="C7" s="316"/>
      <c r="D7" s="317"/>
      <c r="E7" s="318"/>
      <c r="F7" s="319"/>
      <c r="G7" s="319"/>
      <c r="H7" s="169">
        <f t="shared" si="0"/>
        <v>0</v>
      </c>
      <c r="I7" s="222"/>
    </row>
    <row r="8" spans="1:9" ht="15.95" customHeight="1">
      <c r="A8" s="511"/>
      <c r="B8" s="214"/>
      <c r="C8" s="316"/>
      <c r="D8" s="316"/>
      <c r="E8" s="318"/>
      <c r="F8" s="319"/>
      <c r="G8" s="319"/>
      <c r="H8" s="169">
        <f t="shared" si="0"/>
        <v>0</v>
      </c>
      <c r="I8" s="222"/>
    </row>
    <row r="9" spans="1:9" ht="15.95" customHeight="1">
      <c r="A9" s="511"/>
      <c r="B9" s="214"/>
      <c r="C9" s="308"/>
      <c r="D9" s="308"/>
      <c r="E9" s="318"/>
      <c r="F9" s="313"/>
      <c r="G9" s="313"/>
      <c r="H9" s="169">
        <f t="shared" si="0"/>
        <v>0</v>
      </c>
      <c r="I9" s="222"/>
    </row>
    <row r="10" spans="1:9" ht="15.95" customHeight="1">
      <c r="A10" s="511"/>
      <c r="B10" s="214"/>
      <c r="C10" s="308"/>
      <c r="D10" s="308"/>
      <c r="E10" s="318"/>
      <c r="F10" s="313"/>
      <c r="G10" s="313"/>
      <c r="H10" s="169">
        <f t="shared" si="0"/>
        <v>0</v>
      </c>
      <c r="I10" s="222"/>
    </row>
    <row r="11" spans="1:9" ht="15.95" customHeight="1">
      <c r="A11" s="511"/>
      <c r="B11" s="214"/>
      <c r="C11" s="308"/>
      <c r="D11" s="308"/>
      <c r="E11" s="318"/>
      <c r="F11" s="313"/>
      <c r="G11" s="313"/>
      <c r="H11" s="169">
        <f t="shared" si="0"/>
        <v>0</v>
      </c>
      <c r="I11" s="222"/>
    </row>
    <row r="12" spans="1:9" ht="15.95" customHeight="1">
      <c r="A12" s="511"/>
      <c r="B12" s="214"/>
      <c r="C12" s="308"/>
      <c r="D12" s="308"/>
      <c r="E12" s="312"/>
      <c r="F12" s="313"/>
      <c r="G12" s="313"/>
      <c r="H12" s="169">
        <f t="shared" si="0"/>
        <v>0</v>
      </c>
      <c r="I12" s="222"/>
    </row>
    <row r="13" spans="1:9" ht="15.95" customHeight="1">
      <c r="A13" s="511"/>
      <c r="B13" s="214"/>
      <c r="C13" s="308"/>
      <c r="D13" s="308"/>
      <c r="E13" s="312"/>
      <c r="F13" s="313"/>
      <c r="G13" s="313"/>
      <c r="H13" s="169">
        <f t="shared" si="0"/>
        <v>0</v>
      </c>
      <c r="I13" s="222"/>
    </row>
    <row r="14" spans="1:9" ht="15.95" customHeight="1">
      <c r="A14" s="511"/>
      <c r="B14" s="214"/>
      <c r="C14" s="308"/>
      <c r="D14" s="308"/>
      <c r="E14" s="312"/>
      <c r="F14" s="313"/>
      <c r="G14" s="313"/>
      <c r="H14" s="169">
        <f t="shared" si="0"/>
        <v>0</v>
      </c>
      <c r="I14" s="222"/>
    </row>
    <row r="15" spans="1:9" ht="15.95" customHeight="1">
      <c r="A15" s="511"/>
      <c r="B15" s="214"/>
      <c r="C15" s="308"/>
      <c r="D15" s="308"/>
      <c r="E15" s="312"/>
      <c r="F15" s="313"/>
      <c r="G15" s="313"/>
      <c r="H15" s="169">
        <f t="shared" si="0"/>
        <v>0</v>
      </c>
      <c r="I15" s="222"/>
    </row>
    <row r="16" spans="1:9" ht="15.95" customHeight="1">
      <c r="A16" s="511"/>
      <c r="B16" s="214"/>
      <c r="C16" s="308"/>
      <c r="D16" s="308"/>
      <c r="E16" s="300"/>
      <c r="F16" s="313"/>
      <c r="G16" s="313"/>
      <c r="H16" s="169">
        <f t="shared" si="0"/>
        <v>0</v>
      </c>
      <c r="I16" s="222"/>
    </row>
    <row r="17" spans="1:9" ht="15.95" customHeight="1">
      <c r="A17" s="511"/>
      <c r="B17" s="214"/>
      <c r="C17" s="308"/>
      <c r="D17" s="308"/>
      <c r="E17" s="300"/>
      <c r="F17" s="313"/>
      <c r="G17" s="313"/>
      <c r="H17" s="169">
        <f t="shared" si="0"/>
        <v>0</v>
      </c>
      <c r="I17" s="222"/>
    </row>
    <row r="18" spans="1:9" ht="15.95" customHeight="1">
      <c r="A18" s="511"/>
      <c r="B18" s="214"/>
      <c r="C18" s="308"/>
      <c r="D18" s="308"/>
      <c r="E18" s="300"/>
      <c r="F18" s="313"/>
      <c r="G18" s="313"/>
      <c r="H18" s="169">
        <f t="shared" si="0"/>
        <v>0</v>
      </c>
      <c r="I18" s="222"/>
    </row>
    <row r="19" spans="1:9" ht="15.95" customHeight="1">
      <c r="A19" s="511"/>
      <c r="B19" s="214"/>
      <c r="C19" s="308"/>
      <c r="D19" s="308"/>
      <c r="E19" s="300"/>
      <c r="F19" s="313"/>
      <c r="G19" s="313"/>
      <c r="H19" s="169">
        <f t="shared" si="0"/>
        <v>0</v>
      </c>
      <c r="I19" s="222"/>
    </row>
    <row r="20" spans="1:9" ht="15.95" customHeight="1">
      <c r="A20" s="511"/>
      <c r="B20" s="214"/>
      <c r="C20" s="308"/>
      <c r="D20" s="308"/>
      <c r="E20" s="300"/>
      <c r="F20" s="313"/>
      <c r="G20" s="313"/>
      <c r="H20" s="169">
        <f t="shared" si="0"/>
        <v>0</v>
      </c>
      <c r="I20" s="222"/>
    </row>
    <row r="21" spans="1:9" ht="15.95" customHeight="1">
      <c r="A21" s="511"/>
      <c r="B21" s="214"/>
      <c r="C21" s="308"/>
      <c r="D21" s="308"/>
      <c r="E21" s="300"/>
      <c r="F21" s="313"/>
      <c r="G21" s="313"/>
      <c r="H21" s="169">
        <f t="shared" si="0"/>
        <v>0</v>
      </c>
      <c r="I21" s="222"/>
    </row>
    <row r="22" spans="1:9" ht="15.95" customHeight="1">
      <c r="A22" s="511"/>
      <c r="B22" s="214"/>
      <c r="C22" s="308"/>
      <c r="D22" s="308"/>
      <c r="E22" s="300"/>
      <c r="F22" s="313"/>
      <c r="G22" s="313"/>
      <c r="H22" s="169">
        <f t="shared" si="0"/>
        <v>0</v>
      </c>
      <c r="I22" s="222"/>
    </row>
    <row r="23" spans="1:9" ht="15.95" customHeight="1">
      <c r="A23" s="511"/>
      <c r="B23" s="214"/>
      <c r="C23" s="226"/>
      <c r="D23" s="245"/>
      <c r="E23" s="301"/>
      <c r="F23" s="247"/>
      <c r="G23" s="247"/>
      <c r="H23" s="248">
        <f t="shared" si="0"/>
        <v>0</v>
      </c>
      <c r="I23" s="249"/>
    </row>
    <row r="24" spans="1:9" ht="15.95" customHeight="1">
      <c r="A24" s="511"/>
      <c r="B24" s="231"/>
      <c r="C24" s="256"/>
      <c r="D24" s="256"/>
      <c r="E24" s="302"/>
      <c r="F24" s="254"/>
      <c r="G24" s="254"/>
      <c r="H24" s="255">
        <f>SUM(H3:H23)</f>
        <v>0</v>
      </c>
      <c r="I24" s="256"/>
    </row>
    <row r="25" spans="1:9" ht="15.95" customHeight="1">
      <c r="A25" s="511"/>
      <c r="B25" s="214" t="s">
        <v>151</v>
      </c>
      <c r="C25" s="215"/>
      <c r="D25" s="215"/>
      <c r="E25" s="303"/>
      <c r="F25" s="218"/>
      <c r="G25" s="218"/>
      <c r="H25" s="219">
        <f t="shared" si="0"/>
        <v>0</v>
      </c>
      <c r="I25" s="220"/>
    </row>
    <row r="26" spans="1:9" ht="15.95" customHeight="1">
      <c r="A26" s="511"/>
      <c r="B26" s="214" t="s">
        <v>152</v>
      </c>
      <c r="C26" s="308"/>
      <c r="D26" s="308"/>
      <c r="E26" s="300"/>
      <c r="F26" s="313"/>
      <c r="G26" s="313"/>
      <c r="H26" s="169">
        <f t="shared" si="0"/>
        <v>0</v>
      </c>
      <c r="I26" s="222"/>
    </row>
    <row r="27" spans="1:9" ht="15.95" customHeight="1">
      <c r="A27" s="511"/>
      <c r="B27" s="214"/>
      <c r="C27" s="308"/>
      <c r="D27" s="308"/>
      <c r="E27" s="300"/>
      <c r="F27" s="313"/>
      <c r="G27" s="313"/>
      <c r="H27" s="169">
        <f t="shared" si="0"/>
        <v>0</v>
      </c>
      <c r="I27" s="222"/>
    </row>
    <row r="28" spans="1:9" ht="15.95" customHeight="1">
      <c r="A28" s="511"/>
      <c r="B28" s="214"/>
      <c r="C28" s="308"/>
      <c r="D28" s="308"/>
      <c r="E28" s="300"/>
      <c r="F28" s="313"/>
      <c r="G28" s="313"/>
      <c r="H28" s="169">
        <f t="shared" si="0"/>
        <v>0</v>
      </c>
      <c r="I28" s="222"/>
    </row>
    <row r="29" spans="1:9" ht="15.95" customHeight="1">
      <c r="A29" s="511"/>
      <c r="B29" s="214"/>
      <c r="C29" s="226"/>
      <c r="D29" s="226"/>
      <c r="E29" s="304"/>
      <c r="F29" s="229"/>
      <c r="G29" s="229"/>
      <c r="H29" s="169">
        <f t="shared" si="0"/>
        <v>0</v>
      </c>
      <c r="I29" s="230"/>
    </row>
    <row r="30" spans="1:9" ht="15.95" customHeight="1">
      <c r="A30" s="511"/>
      <c r="B30" s="231"/>
      <c r="C30" s="232"/>
      <c r="D30" s="233"/>
      <c r="E30" s="305"/>
      <c r="F30" s="290"/>
      <c r="G30" s="235"/>
      <c r="H30" s="157">
        <f>SUM(H25:H29)</f>
        <v>0</v>
      </c>
      <c r="I30" s="236"/>
    </row>
    <row r="31" spans="1:9" ht="15.95" customHeight="1">
      <c r="A31" s="511"/>
      <c r="B31" s="257" t="s">
        <v>153</v>
      </c>
      <c r="C31" s="309"/>
      <c r="D31" s="309"/>
      <c r="E31" s="310"/>
      <c r="F31" s="311"/>
      <c r="G31" s="311"/>
      <c r="H31" s="242">
        <f t="shared" si="0"/>
        <v>0</v>
      </c>
      <c r="I31" s="243"/>
    </row>
    <row r="32" spans="1:9" ht="15.95" customHeight="1">
      <c r="A32" s="511"/>
      <c r="B32" s="214" t="s">
        <v>154</v>
      </c>
      <c r="C32" s="316"/>
      <c r="D32" s="316"/>
      <c r="E32" s="318"/>
      <c r="F32" s="319"/>
      <c r="G32" s="319"/>
      <c r="H32" s="169">
        <f t="shared" si="0"/>
        <v>0</v>
      </c>
      <c r="I32" s="222"/>
    </row>
    <row r="33" spans="1:9" ht="15.95" customHeight="1">
      <c r="A33" s="511"/>
      <c r="B33" s="214"/>
      <c r="C33" s="308"/>
      <c r="D33" s="308"/>
      <c r="E33" s="312"/>
      <c r="F33" s="313"/>
      <c r="G33" s="313"/>
      <c r="H33" s="169">
        <f t="shared" si="0"/>
        <v>0</v>
      </c>
      <c r="I33" s="222"/>
    </row>
    <row r="34" spans="1:9" ht="15.95" customHeight="1">
      <c r="A34" s="511"/>
      <c r="B34" s="214"/>
      <c r="C34" s="308"/>
      <c r="D34" s="308"/>
      <c r="E34" s="312"/>
      <c r="F34" s="313"/>
      <c r="G34" s="313"/>
      <c r="H34" s="169">
        <f t="shared" si="0"/>
        <v>0</v>
      </c>
      <c r="I34" s="222"/>
    </row>
    <row r="35" spans="1:9" ht="15.95" customHeight="1">
      <c r="A35" s="511"/>
      <c r="B35" s="214"/>
      <c r="C35" s="308"/>
      <c r="D35" s="308"/>
      <c r="E35" s="300"/>
      <c r="F35" s="313"/>
      <c r="G35" s="313"/>
      <c r="H35" s="169">
        <f t="shared" si="0"/>
        <v>0</v>
      </c>
      <c r="I35" s="222"/>
    </row>
    <row r="36" spans="1:9" ht="15.95" customHeight="1">
      <c r="A36" s="511"/>
      <c r="B36" s="214"/>
      <c r="C36" s="308"/>
      <c r="D36" s="308"/>
      <c r="E36" s="300"/>
      <c r="F36" s="313"/>
      <c r="G36" s="313"/>
      <c r="H36" s="169">
        <f t="shared" si="0"/>
        <v>0</v>
      </c>
      <c r="I36" s="222"/>
    </row>
    <row r="37" spans="1:9" ht="15.95" customHeight="1">
      <c r="A37" s="511"/>
      <c r="B37" s="214"/>
      <c r="C37" s="308"/>
      <c r="D37" s="308"/>
      <c r="E37" s="300"/>
      <c r="F37" s="313"/>
      <c r="G37" s="313"/>
      <c r="H37" s="169">
        <f t="shared" si="0"/>
        <v>0</v>
      </c>
      <c r="I37" s="222"/>
    </row>
    <row r="38" spans="1:9" ht="15.95" customHeight="1">
      <c r="A38" s="511"/>
      <c r="B38" s="214"/>
      <c r="C38" s="308"/>
      <c r="D38" s="308"/>
      <c r="E38" s="300"/>
      <c r="F38" s="313"/>
      <c r="G38" s="313"/>
      <c r="H38" s="169">
        <f t="shared" si="0"/>
        <v>0</v>
      </c>
      <c r="I38" s="222"/>
    </row>
    <row r="39" spans="1:9" ht="15.95" customHeight="1">
      <c r="A39" s="511"/>
      <c r="B39" s="214"/>
      <c r="C39" s="308"/>
      <c r="D39" s="308"/>
      <c r="E39" s="300"/>
      <c r="F39" s="313"/>
      <c r="G39" s="313"/>
      <c r="H39" s="169">
        <f t="shared" si="0"/>
        <v>0</v>
      </c>
      <c r="I39" s="222"/>
    </row>
    <row r="40" spans="1:9" ht="15.95" customHeight="1">
      <c r="A40" s="511"/>
      <c r="B40" s="214"/>
      <c r="C40" s="308"/>
      <c r="D40" s="308"/>
      <c r="E40" s="300"/>
      <c r="F40" s="313"/>
      <c r="G40" s="313"/>
      <c r="H40" s="169">
        <f t="shared" si="0"/>
        <v>0</v>
      </c>
      <c r="I40" s="222"/>
    </row>
    <row r="41" spans="1:9" ht="15.95" customHeight="1">
      <c r="A41" s="511"/>
      <c r="B41" s="214"/>
      <c r="C41" s="308"/>
      <c r="D41" s="308"/>
      <c r="E41" s="300"/>
      <c r="F41" s="313"/>
      <c r="G41" s="313"/>
      <c r="H41" s="169">
        <f t="shared" si="0"/>
        <v>0</v>
      </c>
      <c r="I41" s="222"/>
    </row>
    <row r="42" spans="1:9" ht="15.95" customHeight="1">
      <c r="A42" s="511"/>
      <c r="B42" s="214"/>
      <c r="C42" s="308"/>
      <c r="D42" s="308"/>
      <c r="E42" s="300"/>
      <c r="F42" s="313"/>
      <c r="G42" s="313"/>
      <c r="H42" s="169">
        <f t="shared" si="0"/>
        <v>0</v>
      </c>
      <c r="I42" s="222"/>
    </row>
    <row r="43" spans="1:9" ht="15.95" customHeight="1">
      <c r="A43" s="511"/>
      <c r="B43" s="214"/>
      <c r="C43" s="308"/>
      <c r="D43" s="308"/>
      <c r="E43" s="300"/>
      <c r="F43" s="313"/>
      <c r="G43" s="313"/>
      <c r="H43" s="169">
        <f t="shared" si="0"/>
        <v>0</v>
      </c>
      <c r="I43" s="222"/>
    </row>
    <row r="44" spans="1:9" ht="15.95" customHeight="1">
      <c r="A44" s="511"/>
      <c r="B44" s="214"/>
      <c r="C44" s="308"/>
      <c r="D44" s="308"/>
      <c r="E44" s="300"/>
      <c r="F44" s="313"/>
      <c r="G44" s="313"/>
      <c r="H44" s="169">
        <f t="shared" si="0"/>
        <v>0</v>
      </c>
      <c r="I44" s="222"/>
    </row>
    <row r="45" spans="1:9" ht="15.95" customHeight="1">
      <c r="A45" s="511"/>
      <c r="B45" s="214"/>
      <c r="C45" s="308"/>
      <c r="D45" s="308"/>
      <c r="E45" s="300"/>
      <c r="F45" s="313"/>
      <c r="G45" s="313"/>
      <c r="H45" s="169">
        <f t="shared" si="0"/>
        <v>0</v>
      </c>
      <c r="I45" s="222"/>
    </row>
    <row r="46" spans="1:9" ht="15.95" customHeight="1">
      <c r="A46" s="511"/>
      <c r="B46" s="214"/>
      <c r="C46" s="226"/>
      <c r="D46" s="226"/>
      <c r="E46" s="304"/>
      <c r="F46" s="229"/>
      <c r="G46" s="229"/>
      <c r="H46" s="258">
        <f t="shared" si="0"/>
        <v>0</v>
      </c>
      <c r="I46" s="230"/>
    </row>
    <row r="47" spans="1:9" ht="15.95" customHeight="1">
      <c r="A47" s="511"/>
      <c r="B47" s="231"/>
      <c r="C47" s="232"/>
      <c r="D47" s="233"/>
      <c r="E47" s="305"/>
      <c r="F47" s="235"/>
      <c r="G47" s="235"/>
      <c r="H47" s="157">
        <f>SUM(H31:H46)</f>
        <v>0</v>
      </c>
      <c r="I47" s="236"/>
    </row>
    <row r="48" spans="1:9" ht="15.95" customHeight="1">
      <c r="A48" s="511"/>
      <c r="B48" s="257" t="s">
        <v>220</v>
      </c>
      <c r="C48" s="316"/>
      <c r="D48" s="316"/>
      <c r="E48" s="318"/>
      <c r="F48" s="319"/>
      <c r="G48" s="319"/>
      <c r="H48" s="242">
        <f t="shared" si="0"/>
        <v>0</v>
      </c>
      <c r="I48" s="243"/>
    </row>
    <row r="49" spans="1:9" ht="15.95" customHeight="1">
      <c r="A49" s="511"/>
      <c r="B49" s="214"/>
      <c r="C49" s="316"/>
      <c r="D49" s="316"/>
      <c r="E49" s="318"/>
      <c r="F49" s="319"/>
      <c r="G49" s="319"/>
      <c r="H49" s="169">
        <f t="shared" si="0"/>
        <v>0</v>
      </c>
      <c r="I49" s="222"/>
    </row>
    <row r="50" spans="1:9" ht="15.95" customHeight="1">
      <c r="A50" s="511"/>
      <c r="B50" s="214"/>
      <c r="C50" s="316"/>
      <c r="D50" s="316"/>
      <c r="E50" s="317"/>
      <c r="F50" s="319"/>
      <c r="G50" s="319"/>
      <c r="H50" s="169">
        <f t="shared" si="0"/>
        <v>0</v>
      </c>
      <c r="I50" s="222"/>
    </row>
    <row r="51" spans="1:9" ht="15.95" customHeight="1">
      <c r="A51" s="511"/>
      <c r="B51" s="214"/>
      <c r="C51" s="316"/>
      <c r="D51" s="316"/>
      <c r="E51" s="317"/>
      <c r="F51" s="319"/>
      <c r="G51" s="319"/>
      <c r="H51" s="169">
        <f t="shared" si="0"/>
        <v>0</v>
      </c>
      <c r="I51" s="222"/>
    </row>
    <row r="52" spans="1:9" ht="15.95" customHeight="1">
      <c r="A52" s="511"/>
      <c r="B52" s="214"/>
      <c r="C52" s="316"/>
      <c r="D52" s="316"/>
      <c r="E52" s="317"/>
      <c r="F52" s="319"/>
      <c r="G52" s="319"/>
      <c r="H52" s="169">
        <f t="shared" si="0"/>
        <v>0</v>
      </c>
      <c r="I52" s="222"/>
    </row>
    <row r="53" spans="1:9" ht="15.95" customHeight="1">
      <c r="A53" s="511"/>
      <c r="B53" s="214"/>
      <c r="C53" s="316"/>
      <c r="D53" s="316"/>
      <c r="E53" s="317"/>
      <c r="F53" s="319"/>
      <c r="G53" s="319"/>
      <c r="H53" s="169">
        <f t="shared" si="0"/>
        <v>0</v>
      </c>
      <c r="I53" s="222"/>
    </row>
    <row r="54" spans="1:9" ht="15.95" customHeight="1">
      <c r="A54" s="511"/>
      <c r="B54" s="214"/>
      <c r="C54" s="226"/>
      <c r="D54" s="226"/>
      <c r="E54" s="304"/>
      <c r="F54" s="229"/>
      <c r="G54" s="229"/>
      <c r="H54" s="258">
        <f t="shared" si="0"/>
        <v>0</v>
      </c>
      <c r="I54" s="230"/>
    </row>
    <row r="55" spans="1:9" ht="15.95" customHeight="1">
      <c r="A55" s="511"/>
      <c r="B55" s="231"/>
      <c r="C55" s="232"/>
      <c r="D55" s="233"/>
      <c r="E55" s="305"/>
      <c r="F55" s="235"/>
      <c r="G55" s="235"/>
      <c r="H55" s="157">
        <f>SUM(H48:H54)</f>
        <v>0</v>
      </c>
      <c r="I55" s="236"/>
    </row>
    <row r="56" spans="1:9" ht="15.95" customHeight="1">
      <c r="A56" s="259"/>
      <c r="B56" s="260" t="s">
        <v>221</v>
      </c>
      <c r="C56" s="261"/>
      <c r="D56" s="236"/>
      <c r="E56" s="306"/>
      <c r="F56" s="263"/>
      <c r="G56" s="263"/>
      <c r="H56" s="157">
        <f>SUM(H55,H47,H30,H24)</f>
        <v>0</v>
      </c>
      <c r="I56" s="236"/>
    </row>
    <row r="57" spans="1:9" ht="15.95" customHeight="1">
      <c r="A57" s="520" t="s">
        <v>222</v>
      </c>
      <c r="B57" s="264" t="s">
        <v>223</v>
      </c>
      <c r="C57" s="261"/>
      <c r="D57" s="265"/>
      <c r="E57" s="266" t="s">
        <v>50</v>
      </c>
      <c r="F57" s="285"/>
      <c r="G57" s="268">
        <v>200000</v>
      </c>
      <c r="H57" s="187">
        <f>F57*G57</f>
        <v>0</v>
      </c>
      <c r="I57" s="236"/>
    </row>
    <row r="58" spans="1:9" ht="15.95" customHeight="1">
      <c r="A58" s="511"/>
      <c r="B58" s="269" t="s">
        <v>155</v>
      </c>
      <c r="C58" s="270"/>
      <c r="D58" s="271"/>
      <c r="E58" s="272" t="s">
        <v>130</v>
      </c>
      <c r="F58" s="311"/>
      <c r="G58" s="311">
        <v>200000</v>
      </c>
      <c r="H58" s="242">
        <f t="shared" ref="H58:H64" si="1">F58*G58</f>
        <v>0</v>
      </c>
      <c r="I58" s="243"/>
    </row>
    <row r="59" spans="1:9" ht="15.95" customHeight="1">
      <c r="A59" s="511"/>
      <c r="B59" s="291" t="s">
        <v>156</v>
      </c>
      <c r="C59" s="274"/>
      <c r="D59" s="275"/>
      <c r="E59" s="276" t="s">
        <v>130</v>
      </c>
      <c r="F59" s="313"/>
      <c r="G59" s="218">
        <v>200000</v>
      </c>
      <c r="H59" s="169">
        <f t="shared" si="1"/>
        <v>0</v>
      </c>
      <c r="I59" s="222"/>
    </row>
    <row r="60" spans="1:9" ht="15.95" customHeight="1">
      <c r="A60" s="511"/>
      <c r="B60" s="273" t="s">
        <v>157</v>
      </c>
      <c r="C60" s="274"/>
      <c r="D60" s="275"/>
      <c r="E60" s="276" t="s">
        <v>130</v>
      </c>
      <c r="F60" s="313"/>
      <c r="G60" s="218">
        <v>200000</v>
      </c>
      <c r="H60" s="169">
        <f t="shared" si="1"/>
        <v>0</v>
      </c>
      <c r="I60" s="222"/>
    </row>
    <row r="61" spans="1:9" ht="15.95" customHeight="1">
      <c r="A61" s="511"/>
      <c r="B61" s="273" t="s">
        <v>158</v>
      </c>
      <c r="C61" s="274"/>
      <c r="D61" s="275"/>
      <c r="E61" s="276" t="s">
        <v>130</v>
      </c>
      <c r="F61" s="313"/>
      <c r="G61" s="218">
        <v>200000</v>
      </c>
      <c r="H61" s="169">
        <f t="shared" si="1"/>
        <v>0</v>
      </c>
      <c r="I61" s="222"/>
    </row>
    <row r="62" spans="1:9" ht="15.95" customHeight="1">
      <c r="A62" s="511"/>
      <c r="B62" s="273" t="s">
        <v>159</v>
      </c>
      <c r="C62" s="274"/>
      <c r="D62" s="275"/>
      <c r="E62" s="276" t="s">
        <v>130</v>
      </c>
      <c r="F62" s="313"/>
      <c r="G62" s="218">
        <v>200000</v>
      </c>
      <c r="H62" s="169">
        <f t="shared" si="1"/>
        <v>0</v>
      </c>
      <c r="I62" s="222"/>
    </row>
    <row r="63" spans="1:9" ht="15.95" customHeight="1">
      <c r="A63" s="511"/>
      <c r="B63" s="273" t="s">
        <v>160</v>
      </c>
      <c r="C63" s="274"/>
      <c r="D63" s="275"/>
      <c r="E63" s="276" t="s">
        <v>130</v>
      </c>
      <c r="F63" s="313"/>
      <c r="G63" s="218">
        <v>200000</v>
      </c>
      <c r="H63" s="169">
        <f t="shared" si="1"/>
        <v>0</v>
      </c>
      <c r="I63" s="222"/>
    </row>
    <row r="64" spans="1:9" ht="15.95" customHeight="1">
      <c r="A64" s="511"/>
      <c r="B64" s="277" t="s">
        <v>161</v>
      </c>
      <c r="C64" s="278"/>
      <c r="D64" s="279"/>
      <c r="E64" s="280" t="s">
        <v>130</v>
      </c>
      <c r="F64" s="229"/>
      <c r="G64" s="229">
        <v>200000</v>
      </c>
      <c r="H64" s="258">
        <f t="shared" si="1"/>
        <v>0</v>
      </c>
      <c r="I64" s="230"/>
    </row>
    <row r="65" spans="1:9" ht="15.95" customHeight="1">
      <c r="A65" s="259"/>
      <c r="B65" s="281" t="s">
        <v>136</v>
      </c>
      <c r="C65" s="261"/>
      <c r="D65" s="236"/>
      <c r="E65" s="306"/>
      <c r="F65" s="235"/>
      <c r="G65" s="235"/>
      <c r="H65" s="235">
        <f>SUM(H57:H64)</f>
        <v>0</v>
      </c>
      <c r="I65" s="233"/>
    </row>
    <row r="66" spans="1:9" ht="15.95" customHeight="1">
      <c r="A66" s="282"/>
      <c r="B66" s="281" t="s">
        <v>162</v>
      </c>
      <c r="C66" s="261"/>
      <c r="D66" s="236"/>
      <c r="E66" s="306"/>
      <c r="F66" s="157"/>
      <c r="G66" s="157"/>
      <c r="H66" s="263">
        <f>'단위공사별(집계)'!K13+'단위공사별(집계)'!I13</f>
        <v>0</v>
      </c>
      <c r="I66" s="236"/>
    </row>
    <row r="67" spans="1:9" ht="15.95" customHeight="1">
      <c r="A67" s="282"/>
      <c r="B67" s="281" t="s">
        <v>75</v>
      </c>
      <c r="C67" s="261"/>
      <c r="D67" s="236"/>
      <c r="E67" s="306"/>
      <c r="F67" s="157"/>
      <c r="G67" s="284"/>
      <c r="H67" s="285">
        <f>(H65+H56)*0.05</f>
        <v>0</v>
      </c>
      <c r="I67" s="261"/>
    </row>
    <row r="68" spans="1:9" ht="15.95" customHeight="1">
      <c r="A68" s="282"/>
      <c r="B68" s="281" t="s">
        <v>139</v>
      </c>
      <c r="C68" s="261"/>
      <c r="D68" s="236"/>
      <c r="E68" s="306"/>
      <c r="F68" s="157"/>
      <c r="G68" s="284"/>
      <c r="H68" s="285">
        <f>(H65+H56)*0.1</f>
        <v>0</v>
      </c>
      <c r="I68" s="261"/>
    </row>
    <row r="69" spans="1:9" ht="15.95" customHeight="1">
      <c r="A69" s="282"/>
      <c r="B69" s="281" t="s">
        <v>140</v>
      </c>
      <c r="C69" s="261"/>
      <c r="D69" s="236"/>
      <c r="E69" s="306"/>
      <c r="F69" s="157"/>
      <c r="G69" s="157"/>
      <c r="H69" s="235">
        <f>H56+H65+H66+H67+H68</f>
        <v>0</v>
      </c>
      <c r="I69" s="236"/>
    </row>
    <row r="70" spans="1:9">
      <c r="A70" s="140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C1" sqref="C1"/>
      <selection pane="topRight" activeCell="C1" sqref="C1"/>
      <selection pane="bottomLeft" activeCell="C1" sqref="C1"/>
      <selection pane="bottomRight" activeCell="C1" sqref="C1"/>
    </sheetView>
  </sheetViews>
  <sheetFormatPr defaultColWidth="9" defaultRowHeight="13.5"/>
  <cols>
    <col min="1" max="1" width="5" style="128" customWidth="1"/>
    <col min="2" max="2" width="17.875" style="128" bestFit="1" customWidth="1"/>
    <col min="3" max="3" width="23.625" style="128" customWidth="1"/>
    <col min="4" max="4" width="18.25" style="128" customWidth="1"/>
    <col min="5" max="5" width="5.25" style="128" bestFit="1" customWidth="1"/>
    <col min="6" max="6" width="9" style="159"/>
    <col min="7" max="7" width="11.875" style="159" customWidth="1"/>
    <col min="8" max="8" width="13.625" style="159" customWidth="1"/>
    <col min="9" max="9" width="12.75" style="128" customWidth="1"/>
    <col min="10" max="16384" width="9" style="128"/>
  </cols>
  <sheetData>
    <row r="1" spans="1:9" ht="22.5" customHeight="1">
      <c r="B1" s="206" t="s">
        <v>208</v>
      </c>
      <c r="C1" s="287"/>
      <c r="D1" s="208"/>
      <c r="E1" s="208"/>
      <c r="F1" s="288"/>
      <c r="G1" s="171"/>
      <c r="I1" s="128" t="s">
        <v>209</v>
      </c>
    </row>
    <row r="2" spans="1:9" s="140" customFormat="1" ht="16.5" customHeight="1">
      <c r="A2" s="387" t="s">
        <v>210</v>
      </c>
      <c r="B2" s="515"/>
      <c r="C2" s="133" t="s">
        <v>211</v>
      </c>
      <c r="D2" s="129" t="s">
        <v>212</v>
      </c>
      <c r="E2" s="129" t="s">
        <v>213</v>
      </c>
      <c r="F2" s="262" t="s">
        <v>214</v>
      </c>
      <c r="G2" s="262" t="s">
        <v>215</v>
      </c>
      <c r="H2" s="262" t="s">
        <v>216</v>
      </c>
      <c r="I2" s="129" t="s">
        <v>217</v>
      </c>
    </row>
    <row r="3" spans="1:9" ht="15.95" customHeight="1">
      <c r="A3" s="516" t="s">
        <v>218</v>
      </c>
      <c r="B3" s="214" t="s">
        <v>219</v>
      </c>
      <c r="C3" s="316"/>
      <c r="D3" s="317"/>
      <c r="E3" s="318"/>
      <c r="F3" s="319"/>
      <c r="G3" s="319"/>
      <c r="H3" s="242">
        <f>IF(F3=0,G3,G3*F3)</f>
        <v>0</v>
      </c>
      <c r="I3" s="243"/>
    </row>
    <row r="4" spans="1:9" ht="15.95" customHeight="1">
      <c r="A4" s="511"/>
      <c r="B4" s="214"/>
      <c r="C4" s="316"/>
      <c r="D4" s="317"/>
      <c r="E4" s="318"/>
      <c r="F4" s="319"/>
      <c r="G4" s="319"/>
      <c r="H4" s="169">
        <f>IF(F4=0,G4,G4*F4)</f>
        <v>0</v>
      </c>
      <c r="I4" s="222"/>
    </row>
    <row r="5" spans="1:9" ht="15.95" customHeight="1">
      <c r="A5" s="511"/>
      <c r="B5" s="214"/>
      <c r="C5" s="316"/>
      <c r="D5" s="317"/>
      <c r="E5" s="318"/>
      <c r="F5" s="319"/>
      <c r="G5" s="319"/>
      <c r="H5" s="169">
        <f t="shared" ref="H5:H54" si="0">IF(F5=0,G5,G5*F5)</f>
        <v>0</v>
      </c>
      <c r="I5" s="222"/>
    </row>
    <row r="6" spans="1:9" ht="15.95" customHeight="1">
      <c r="A6" s="511"/>
      <c r="B6" s="214"/>
      <c r="C6" s="316"/>
      <c r="D6" s="317"/>
      <c r="E6" s="318"/>
      <c r="F6" s="319"/>
      <c r="G6" s="319"/>
      <c r="H6" s="169">
        <f t="shared" si="0"/>
        <v>0</v>
      </c>
      <c r="I6" s="222"/>
    </row>
    <row r="7" spans="1:9" ht="15.95" customHeight="1">
      <c r="A7" s="511"/>
      <c r="B7" s="214"/>
      <c r="C7" s="316"/>
      <c r="D7" s="317"/>
      <c r="E7" s="318"/>
      <c r="F7" s="319"/>
      <c r="G7" s="319"/>
      <c r="H7" s="169">
        <f t="shared" si="0"/>
        <v>0</v>
      </c>
      <c r="I7" s="222"/>
    </row>
    <row r="8" spans="1:9" ht="15.95" customHeight="1">
      <c r="A8" s="511"/>
      <c r="B8" s="214"/>
      <c r="C8" s="316"/>
      <c r="D8" s="316"/>
      <c r="E8" s="318"/>
      <c r="F8" s="319"/>
      <c r="G8" s="319"/>
      <c r="H8" s="169">
        <f t="shared" si="0"/>
        <v>0</v>
      </c>
      <c r="I8" s="222"/>
    </row>
    <row r="9" spans="1:9" ht="15.95" customHeight="1">
      <c r="A9" s="511"/>
      <c r="B9" s="214"/>
      <c r="C9" s="308"/>
      <c r="D9" s="308"/>
      <c r="E9" s="318"/>
      <c r="F9" s="313"/>
      <c r="G9" s="313"/>
      <c r="H9" s="169">
        <f t="shared" si="0"/>
        <v>0</v>
      </c>
      <c r="I9" s="222"/>
    </row>
    <row r="10" spans="1:9" ht="15.95" customHeight="1">
      <c r="A10" s="511"/>
      <c r="B10" s="214"/>
      <c r="C10" s="308"/>
      <c r="D10" s="308"/>
      <c r="E10" s="318"/>
      <c r="F10" s="313"/>
      <c r="G10" s="313"/>
      <c r="H10" s="169">
        <f t="shared" si="0"/>
        <v>0</v>
      </c>
      <c r="I10" s="222"/>
    </row>
    <row r="11" spans="1:9" ht="15.95" customHeight="1">
      <c r="A11" s="511"/>
      <c r="B11" s="214"/>
      <c r="C11" s="308"/>
      <c r="D11" s="308"/>
      <c r="E11" s="318"/>
      <c r="F11" s="313"/>
      <c r="G11" s="313"/>
      <c r="H11" s="169">
        <f t="shared" si="0"/>
        <v>0</v>
      </c>
      <c r="I11" s="222"/>
    </row>
    <row r="12" spans="1:9" ht="15.95" customHeight="1">
      <c r="A12" s="511"/>
      <c r="B12" s="214"/>
      <c r="C12" s="308"/>
      <c r="D12" s="308"/>
      <c r="E12" s="312"/>
      <c r="F12" s="313"/>
      <c r="G12" s="313"/>
      <c r="H12" s="169">
        <f t="shared" si="0"/>
        <v>0</v>
      </c>
      <c r="I12" s="222"/>
    </row>
    <row r="13" spans="1:9" ht="15.95" customHeight="1">
      <c r="A13" s="511"/>
      <c r="B13" s="214"/>
      <c r="C13" s="308"/>
      <c r="D13" s="308"/>
      <c r="E13" s="312"/>
      <c r="F13" s="313"/>
      <c r="G13" s="313"/>
      <c r="H13" s="169">
        <f t="shared" si="0"/>
        <v>0</v>
      </c>
      <c r="I13" s="222"/>
    </row>
    <row r="14" spans="1:9" ht="15.95" customHeight="1">
      <c r="A14" s="511"/>
      <c r="B14" s="214"/>
      <c r="C14" s="308"/>
      <c r="D14" s="308"/>
      <c r="E14" s="312"/>
      <c r="F14" s="313"/>
      <c r="G14" s="313"/>
      <c r="H14" s="169">
        <f t="shared" si="0"/>
        <v>0</v>
      </c>
      <c r="I14" s="222"/>
    </row>
    <row r="15" spans="1:9" ht="15.95" customHeight="1">
      <c r="A15" s="511"/>
      <c r="B15" s="214"/>
      <c r="C15" s="308"/>
      <c r="D15" s="308"/>
      <c r="E15" s="312"/>
      <c r="F15" s="313"/>
      <c r="G15" s="313"/>
      <c r="H15" s="169">
        <f t="shared" si="0"/>
        <v>0</v>
      </c>
      <c r="I15" s="222"/>
    </row>
    <row r="16" spans="1:9" ht="15.95" customHeight="1">
      <c r="A16" s="511"/>
      <c r="B16" s="214"/>
      <c r="C16" s="308"/>
      <c r="D16" s="308"/>
      <c r="E16" s="300"/>
      <c r="F16" s="313"/>
      <c r="G16" s="313"/>
      <c r="H16" s="169">
        <f t="shared" si="0"/>
        <v>0</v>
      </c>
      <c r="I16" s="222"/>
    </row>
    <row r="17" spans="1:9" ht="15.95" customHeight="1">
      <c r="A17" s="511"/>
      <c r="B17" s="214"/>
      <c r="C17" s="308"/>
      <c r="D17" s="308"/>
      <c r="E17" s="300"/>
      <c r="F17" s="313"/>
      <c r="G17" s="313"/>
      <c r="H17" s="169">
        <f t="shared" si="0"/>
        <v>0</v>
      </c>
      <c r="I17" s="222"/>
    </row>
    <row r="18" spans="1:9" ht="15.95" customHeight="1">
      <c r="A18" s="511"/>
      <c r="B18" s="214"/>
      <c r="C18" s="308"/>
      <c r="D18" s="308"/>
      <c r="E18" s="300"/>
      <c r="F18" s="313"/>
      <c r="G18" s="313"/>
      <c r="H18" s="169">
        <f t="shared" si="0"/>
        <v>0</v>
      </c>
      <c r="I18" s="222"/>
    </row>
    <row r="19" spans="1:9" ht="15.95" customHeight="1">
      <c r="A19" s="511"/>
      <c r="B19" s="214"/>
      <c r="C19" s="308"/>
      <c r="D19" s="308"/>
      <c r="E19" s="300"/>
      <c r="F19" s="313"/>
      <c r="G19" s="313"/>
      <c r="H19" s="169">
        <f t="shared" si="0"/>
        <v>0</v>
      </c>
      <c r="I19" s="222"/>
    </row>
    <row r="20" spans="1:9" ht="15.95" customHeight="1">
      <c r="A20" s="511"/>
      <c r="B20" s="214"/>
      <c r="C20" s="308"/>
      <c r="D20" s="308"/>
      <c r="E20" s="300"/>
      <c r="F20" s="313"/>
      <c r="G20" s="313"/>
      <c r="H20" s="169">
        <f t="shared" si="0"/>
        <v>0</v>
      </c>
      <c r="I20" s="222"/>
    </row>
    <row r="21" spans="1:9" ht="15.95" customHeight="1">
      <c r="A21" s="511"/>
      <c r="B21" s="214"/>
      <c r="C21" s="308"/>
      <c r="D21" s="308"/>
      <c r="E21" s="300"/>
      <c r="F21" s="313"/>
      <c r="G21" s="313"/>
      <c r="H21" s="169">
        <f t="shared" si="0"/>
        <v>0</v>
      </c>
      <c r="I21" s="222"/>
    </row>
    <row r="22" spans="1:9" ht="15.95" customHeight="1">
      <c r="A22" s="511"/>
      <c r="B22" s="214"/>
      <c r="C22" s="308"/>
      <c r="D22" s="308"/>
      <c r="E22" s="300"/>
      <c r="F22" s="313"/>
      <c r="G22" s="313"/>
      <c r="H22" s="169">
        <f t="shared" si="0"/>
        <v>0</v>
      </c>
      <c r="I22" s="222"/>
    </row>
    <row r="23" spans="1:9" ht="15.95" customHeight="1">
      <c r="A23" s="511"/>
      <c r="B23" s="214"/>
      <c r="C23" s="226"/>
      <c r="D23" s="245"/>
      <c r="E23" s="301"/>
      <c r="F23" s="247"/>
      <c r="G23" s="247"/>
      <c r="H23" s="248">
        <f t="shared" si="0"/>
        <v>0</v>
      </c>
      <c r="I23" s="249"/>
    </row>
    <row r="24" spans="1:9" ht="15.95" customHeight="1">
      <c r="A24" s="511"/>
      <c r="B24" s="231"/>
      <c r="C24" s="256"/>
      <c r="D24" s="256"/>
      <c r="E24" s="302"/>
      <c r="F24" s="254"/>
      <c r="G24" s="254"/>
      <c r="H24" s="255">
        <f>SUM(H3:H23)</f>
        <v>0</v>
      </c>
      <c r="I24" s="256"/>
    </row>
    <row r="25" spans="1:9" ht="15.95" customHeight="1">
      <c r="A25" s="511"/>
      <c r="B25" s="214" t="s">
        <v>224</v>
      </c>
      <c r="C25" s="215"/>
      <c r="D25" s="215"/>
      <c r="E25" s="303"/>
      <c r="F25" s="218"/>
      <c r="G25" s="218"/>
      <c r="H25" s="219">
        <f t="shared" si="0"/>
        <v>0</v>
      </c>
      <c r="I25" s="220"/>
    </row>
    <row r="26" spans="1:9" ht="15.95" customHeight="1">
      <c r="A26" s="511"/>
      <c r="B26" s="214" t="s">
        <v>225</v>
      </c>
      <c r="C26" s="308"/>
      <c r="D26" s="308"/>
      <c r="E26" s="300"/>
      <c r="F26" s="313"/>
      <c r="G26" s="313"/>
      <c r="H26" s="169">
        <f t="shared" si="0"/>
        <v>0</v>
      </c>
      <c r="I26" s="222"/>
    </row>
    <row r="27" spans="1:9" ht="15.95" customHeight="1">
      <c r="A27" s="511"/>
      <c r="B27" s="214"/>
      <c r="C27" s="308"/>
      <c r="D27" s="308"/>
      <c r="E27" s="300"/>
      <c r="F27" s="313"/>
      <c r="G27" s="313"/>
      <c r="H27" s="169">
        <f t="shared" si="0"/>
        <v>0</v>
      </c>
      <c r="I27" s="222"/>
    </row>
    <row r="28" spans="1:9" ht="15.95" customHeight="1">
      <c r="A28" s="511"/>
      <c r="B28" s="214"/>
      <c r="C28" s="308"/>
      <c r="D28" s="308"/>
      <c r="E28" s="300"/>
      <c r="F28" s="313"/>
      <c r="G28" s="313"/>
      <c r="H28" s="169">
        <f t="shared" si="0"/>
        <v>0</v>
      </c>
      <c r="I28" s="222"/>
    </row>
    <row r="29" spans="1:9" ht="15.95" customHeight="1">
      <c r="A29" s="511"/>
      <c r="B29" s="214"/>
      <c r="C29" s="226"/>
      <c r="D29" s="226"/>
      <c r="E29" s="304"/>
      <c r="F29" s="229"/>
      <c r="G29" s="229"/>
      <c r="H29" s="169">
        <f t="shared" si="0"/>
        <v>0</v>
      </c>
      <c r="I29" s="230"/>
    </row>
    <row r="30" spans="1:9" ht="15.95" customHeight="1">
      <c r="A30" s="511"/>
      <c r="B30" s="231"/>
      <c r="C30" s="232"/>
      <c r="D30" s="233"/>
      <c r="E30" s="305"/>
      <c r="F30" s="290"/>
      <c r="G30" s="235"/>
      <c r="H30" s="157">
        <f>SUM(H25:H29)</f>
        <v>0</v>
      </c>
      <c r="I30" s="236"/>
    </row>
    <row r="31" spans="1:9" ht="15.95" customHeight="1">
      <c r="A31" s="511"/>
      <c r="B31" s="257" t="s">
        <v>226</v>
      </c>
      <c r="C31" s="309"/>
      <c r="D31" s="309"/>
      <c r="E31" s="310"/>
      <c r="F31" s="311"/>
      <c r="G31" s="311"/>
      <c r="H31" s="242">
        <f t="shared" si="0"/>
        <v>0</v>
      </c>
      <c r="I31" s="243"/>
    </row>
    <row r="32" spans="1:9" ht="15.95" customHeight="1">
      <c r="A32" s="511"/>
      <c r="B32" s="214" t="s">
        <v>227</v>
      </c>
      <c r="C32" s="316"/>
      <c r="D32" s="316"/>
      <c r="E32" s="318"/>
      <c r="F32" s="319"/>
      <c r="G32" s="319"/>
      <c r="H32" s="169">
        <f t="shared" si="0"/>
        <v>0</v>
      </c>
      <c r="I32" s="222"/>
    </row>
    <row r="33" spans="1:9" ht="15.95" customHeight="1">
      <c r="A33" s="511"/>
      <c r="B33" s="214"/>
      <c r="C33" s="308"/>
      <c r="D33" s="308"/>
      <c r="E33" s="312"/>
      <c r="F33" s="313"/>
      <c r="G33" s="313"/>
      <c r="H33" s="169">
        <f t="shared" si="0"/>
        <v>0</v>
      </c>
      <c r="I33" s="222"/>
    </row>
    <row r="34" spans="1:9" ht="15.95" customHeight="1">
      <c r="A34" s="511"/>
      <c r="B34" s="214"/>
      <c r="C34" s="308"/>
      <c r="D34" s="308"/>
      <c r="E34" s="312"/>
      <c r="F34" s="313"/>
      <c r="G34" s="313"/>
      <c r="H34" s="169">
        <f t="shared" si="0"/>
        <v>0</v>
      </c>
      <c r="I34" s="222"/>
    </row>
    <row r="35" spans="1:9" ht="15.95" customHeight="1">
      <c r="A35" s="511"/>
      <c r="B35" s="214"/>
      <c r="C35" s="308"/>
      <c r="D35" s="308"/>
      <c r="E35" s="300"/>
      <c r="F35" s="313"/>
      <c r="G35" s="313"/>
      <c r="H35" s="169">
        <f t="shared" si="0"/>
        <v>0</v>
      </c>
      <c r="I35" s="222"/>
    </row>
    <row r="36" spans="1:9" ht="15.95" customHeight="1">
      <c r="A36" s="511"/>
      <c r="B36" s="214"/>
      <c r="C36" s="308"/>
      <c r="D36" s="308"/>
      <c r="E36" s="300"/>
      <c r="F36" s="313"/>
      <c r="G36" s="313"/>
      <c r="H36" s="169">
        <f t="shared" si="0"/>
        <v>0</v>
      </c>
      <c r="I36" s="222"/>
    </row>
    <row r="37" spans="1:9" ht="15.95" customHeight="1">
      <c r="A37" s="511"/>
      <c r="B37" s="214"/>
      <c r="C37" s="308"/>
      <c r="D37" s="308"/>
      <c r="E37" s="300"/>
      <c r="F37" s="313"/>
      <c r="G37" s="313"/>
      <c r="H37" s="169">
        <f t="shared" si="0"/>
        <v>0</v>
      </c>
      <c r="I37" s="222"/>
    </row>
    <row r="38" spans="1:9" ht="15.95" customHeight="1">
      <c r="A38" s="511"/>
      <c r="B38" s="214"/>
      <c r="C38" s="308"/>
      <c r="D38" s="308"/>
      <c r="E38" s="300"/>
      <c r="F38" s="313"/>
      <c r="G38" s="313"/>
      <c r="H38" s="169">
        <f t="shared" si="0"/>
        <v>0</v>
      </c>
      <c r="I38" s="222"/>
    </row>
    <row r="39" spans="1:9" ht="15.95" customHeight="1">
      <c r="A39" s="511"/>
      <c r="B39" s="214"/>
      <c r="C39" s="308"/>
      <c r="D39" s="308"/>
      <c r="E39" s="300"/>
      <c r="F39" s="313"/>
      <c r="G39" s="313"/>
      <c r="H39" s="169">
        <f t="shared" si="0"/>
        <v>0</v>
      </c>
      <c r="I39" s="222"/>
    </row>
    <row r="40" spans="1:9" ht="15.95" customHeight="1">
      <c r="A40" s="511"/>
      <c r="B40" s="214"/>
      <c r="C40" s="308"/>
      <c r="D40" s="308"/>
      <c r="E40" s="300"/>
      <c r="F40" s="313"/>
      <c r="G40" s="313"/>
      <c r="H40" s="169">
        <f t="shared" si="0"/>
        <v>0</v>
      </c>
      <c r="I40" s="222"/>
    </row>
    <row r="41" spans="1:9" ht="15.95" customHeight="1">
      <c r="A41" s="511"/>
      <c r="B41" s="214"/>
      <c r="C41" s="308"/>
      <c r="D41" s="308"/>
      <c r="E41" s="300"/>
      <c r="F41" s="313"/>
      <c r="G41" s="313"/>
      <c r="H41" s="169">
        <f t="shared" si="0"/>
        <v>0</v>
      </c>
      <c r="I41" s="222"/>
    </row>
    <row r="42" spans="1:9" ht="15.95" customHeight="1">
      <c r="A42" s="511"/>
      <c r="B42" s="214"/>
      <c r="C42" s="308"/>
      <c r="D42" s="308"/>
      <c r="E42" s="300"/>
      <c r="F42" s="313"/>
      <c r="G42" s="313"/>
      <c r="H42" s="169">
        <f t="shared" si="0"/>
        <v>0</v>
      </c>
      <c r="I42" s="222"/>
    </row>
    <row r="43" spans="1:9" ht="15.95" customHeight="1">
      <c r="A43" s="511"/>
      <c r="B43" s="214"/>
      <c r="C43" s="308"/>
      <c r="D43" s="308"/>
      <c r="E43" s="300"/>
      <c r="F43" s="313"/>
      <c r="G43" s="313"/>
      <c r="H43" s="169">
        <f t="shared" si="0"/>
        <v>0</v>
      </c>
      <c r="I43" s="222"/>
    </row>
    <row r="44" spans="1:9" ht="15.95" customHeight="1">
      <c r="A44" s="511"/>
      <c r="B44" s="214"/>
      <c r="C44" s="308"/>
      <c r="D44" s="308"/>
      <c r="E44" s="300"/>
      <c r="F44" s="313"/>
      <c r="G44" s="313"/>
      <c r="H44" s="169">
        <f t="shared" si="0"/>
        <v>0</v>
      </c>
      <c r="I44" s="222"/>
    </row>
    <row r="45" spans="1:9" ht="15.95" customHeight="1">
      <c r="A45" s="511"/>
      <c r="B45" s="214"/>
      <c r="C45" s="308"/>
      <c r="D45" s="308"/>
      <c r="E45" s="300"/>
      <c r="F45" s="313"/>
      <c r="G45" s="313"/>
      <c r="H45" s="169">
        <f t="shared" si="0"/>
        <v>0</v>
      </c>
      <c r="I45" s="222"/>
    </row>
    <row r="46" spans="1:9" ht="15.95" customHeight="1">
      <c r="A46" s="511"/>
      <c r="B46" s="214"/>
      <c r="C46" s="226"/>
      <c r="D46" s="226"/>
      <c r="E46" s="304"/>
      <c r="F46" s="229"/>
      <c r="G46" s="229"/>
      <c r="H46" s="258">
        <f t="shared" si="0"/>
        <v>0</v>
      </c>
      <c r="I46" s="230"/>
    </row>
    <row r="47" spans="1:9" ht="15.95" customHeight="1">
      <c r="A47" s="511"/>
      <c r="B47" s="231"/>
      <c r="C47" s="232"/>
      <c r="D47" s="233"/>
      <c r="E47" s="305"/>
      <c r="F47" s="235"/>
      <c r="G47" s="235"/>
      <c r="H47" s="157">
        <f>SUM(H31:H46)</f>
        <v>0</v>
      </c>
      <c r="I47" s="236"/>
    </row>
    <row r="48" spans="1:9" ht="15.95" customHeight="1">
      <c r="A48" s="511"/>
      <c r="B48" s="257" t="s">
        <v>220</v>
      </c>
      <c r="C48" s="316"/>
      <c r="D48" s="316"/>
      <c r="E48" s="318"/>
      <c r="F48" s="319"/>
      <c r="G48" s="319"/>
      <c r="H48" s="242">
        <f t="shared" si="0"/>
        <v>0</v>
      </c>
      <c r="I48" s="243"/>
    </row>
    <row r="49" spans="1:9" ht="15.95" customHeight="1">
      <c r="A49" s="511"/>
      <c r="B49" s="214"/>
      <c r="C49" s="316"/>
      <c r="D49" s="316"/>
      <c r="E49" s="318"/>
      <c r="F49" s="319"/>
      <c r="G49" s="319"/>
      <c r="H49" s="169">
        <f t="shared" si="0"/>
        <v>0</v>
      </c>
      <c r="I49" s="222"/>
    </row>
    <row r="50" spans="1:9" ht="15.95" customHeight="1">
      <c r="A50" s="511"/>
      <c r="B50" s="214"/>
      <c r="C50" s="316"/>
      <c r="D50" s="316"/>
      <c r="E50" s="317"/>
      <c r="F50" s="319"/>
      <c r="G50" s="319"/>
      <c r="H50" s="169">
        <f t="shared" si="0"/>
        <v>0</v>
      </c>
      <c r="I50" s="222"/>
    </row>
    <row r="51" spans="1:9" ht="15.95" customHeight="1">
      <c r="A51" s="511"/>
      <c r="B51" s="214"/>
      <c r="C51" s="316"/>
      <c r="D51" s="316"/>
      <c r="E51" s="317"/>
      <c r="F51" s="319"/>
      <c r="G51" s="319"/>
      <c r="H51" s="169">
        <f t="shared" si="0"/>
        <v>0</v>
      </c>
      <c r="I51" s="222"/>
    </row>
    <row r="52" spans="1:9" ht="15.95" customHeight="1">
      <c r="A52" s="511"/>
      <c r="B52" s="214"/>
      <c r="C52" s="316"/>
      <c r="D52" s="316"/>
      <c r="E52" s="317"/>
      <c r="F52" s="319"/>
      <c r="G52" s="319"/>
      <c r="H52" s="169">
        <f t="shared" si="0"/>
        <v>0</v>
      </c>
      <c r="I52" s="222"/>
    </row>
    <row r="53" spans="1:9" ht="15.95" customHeight="1">
      <c r="A53" s="511"/>
      <c r="B53" s="214"/>
      <c r="C53" s="316"/>
      <c r="D53" s="316"/>
      <c r="E53" s="317"/>
      <c r="F53" s="319"/>
      <c r="G53" s="319"/>
      <c r="H53" s="169">
        <f t="shared" si="0"/>
        <v>0</v>
      </c>
      <c r="I53" s="222"/>
    </row>
    <row r="54" spans="1:9" ht="15.95" customHeight="1">
      <c r="A54" s="511"/>
      <c r="B54" s="214"/>
      <c r="C54" s="226"/>
      <c r="D54" s="226"/>
      <c r="E54" s="304"/>
      <c r="F54" s="229"/>
      <c r="G54" s="229"/>
      <c r="H54" s="258">
        <f t="shared" si="0"/>
        <v>0</v>
      </c>
      <c r="I54" s="230"/>
    </row>
    <row r="55" spans="1:9" ht="15.95" customHeight="1">
      <c r="A55" s="511"/>
      <c r="B55" s="231"/>
      <c r="C55" s="232"/>
      <c r="D55" s="233"/>
      <c r="E55" s="305"/>
      <c r="F55" s="235"/>
      <c r="G55" s="235"/>
      <c r="H55" s="157">
        <f>SUM(H48:H54)</f>
        <v>0</v>
      </c>
      <c r="I55" s="236"/>
    </row>
    <row r="56" spans="1:9" ht="15.95" customHeight="1">
      <c r="A56" s="259"/>
      <c r="B56" s="260" t="s">
        <v>221</v>
      </c>
      <c r="C56" s="261"/>
      <c r="D56" s="236"/>
      <c r="E56" s="306"/>
      <c r="F56" s="263"/>
      <c r="G56" s="263"/>
      <c r="H56" s="157">
        <f>SUM(H55,H47,H30,H24)</f>
        <v>0</v>
      </c>
      <c r="I56" s="236"/>
    </row>
    <row r="57" spans="1:9" ht="15.95" customHeight="1">
      <c r="A57" s="520" t="s">
        <v>222</v>
      </c>
      <c r="B57" s="264" t="s">
        <v>223</v>
      </c>
      <c r="C57" s="261"/>
      <c r="D57" s="265"/>
      <c r="E57" s="266" t="s">
        <v>50</v>
      </c>
      <c r="F57" s="285"/>
      <c r="G57" s="268">
        <v>200000</v>
      </c>
      <c r="H57" s="187">
        <f>F57*G57</f>
        <v>0</v>
      </c>
      <c r="I57" s="236"/>
    </row>
    <row r="58" spans="1:9" ht="15.95" customHeight="1">
      <c r="A58" s="511"/>
      <c r="B58" s="269" t="s">
        <v>228</v>
      </c>
      <c r="C58" s="270"/>
      <c r="D58" s="271"/>
      <c r="E58" s="272" t="s">
        <v>130</v>
      </c>
      <c r="F58" s="311"/>
      <c r="G58" s="311">
        <v>200000</v>
      </c>
      <c r="H58" s="242">
        <f t="shared" ref="H58:H64" si="1">F58*G58</f>
        <v>0</v>
      </c>
      <c r="I58" s="243"/>
    </row>
    <row r="59" spans="1:9" ht="15.95" customHeight="1">
      <c r="A59" s="511"/>
      <c r="B59" s="291" t="s">
        <v>229</v>
      </c>
      <c r="C59" s="274"/>
      <c r="D59" s="275"/>
      <c r="E59" s="276" t="s">
        <v>130</v>
      </c>
      <c r="F59" s="313"/>
      <c r="G59" s="218">
        <v>200000</v>
      </c>
      <c r="H59" s="169">
        <f t="shared" si="1"/>
        <v>0</v>
      </c>
      <c r="I59" s="222"/>
    </row>
    <row r="60" spans="1:9" ht="15.95" customHeight="1">
      <c r="A60" s="511"/>
      <c r="B60" s="273" t="s">
        <v>230</v>
      </c>
      <c r="C60" s="274"/>
      <c r="D60" s="275"/>
      <c r="E60" s="276" t="s">
        <v>130</v>
      </c>
      <c r="F60" s="313"/>
      <c r="G60" s="218">
        <v>200000</v>
      </c>
      <c r="H60" s="169">
        <f t="shared" si="1"/>
        <v>0</v>
      </c>
      <c r="I60" s="222"/>
    </row>
    <row r="61" spans="1:9" ht="15.95" customHeight="1">
      <c r="A61" s="511"/>
      <c r="B61" s="273" t="s">
        <v>231</v>
      </c>
      <c r="C61" s="274"/>
      <c r="D61" s="275"/>
      <c r="E61" s="276" t="s">
        <v>130</v>
      </c>
      <c r="F61" s="313"/>
      <c r="G61" s="218">
        <v>200000</v>
      </c>
      <c r="H61" s="169">
        <f t="shared" si="1"/>
        <v>0</v>
      </c>
      <c r="I61" s="222"/>
    </row>
    <row r="62" spans="1:9" ht="15.95" customHeight="1">
      <c r="A62" s="511"/>
      <c r="B62" s="273" t="s">
        <v>232</v>
      </c>
      <c r="C62" s="274"/>
      <c r="D62" s="275"/>
      <c r="E62" s="276" t="s">
        <v>130</v>
      </c>
      <c r="F62" s="313"/>
      <c r="G62" s="218">
        <v>200000</v>
      </c>
      <c r="H62" s="169">
        <f t="shared" si="1"/>
        <v>0</v>
      </c>
      <c r="I62" s="222"/>
    </row>
    <row r="63" spans="1:9" ht="15.95" customHeight="1">
      <c r="A63" s="511"/>
      <c r="B63" s="273" t="s">
        <v>233</v>
      </c>
      <c r="C63" s="274"/>
      <c r="D63" s="275"/>
      <c r="E63" s="276" t="s">
        <v>130</v>
      </c>
      <c r="F63" s="313"/>
      <c r="G63" s="218">
        <v>200000</v>
      </c>
      <c r="H63" s="169">
        <f t="shared" si="1"/>
        <v>0</v>
      </c>
      <c r="I63" s="222"/>
    </row>
    <row r="64" spans="1:9" ht="15.95" customHeight="1">
      <c r="A64" s="511"/>
      <c r="B64" s="277" t="s">
        <v>234</v>
      </c>
      <c r="C64" s="278"/>
      <c r="D64" s="279"/>
      <c r="E64" s="280" t="s">
        <v>130</v>
      </c>
      <c r="F64" s="229"/>
      <c r="G64" s="229">
        <v>200000</v>
      </c>
      <c r="H64" s="258">
        <f t="shared" si="1"/>
        <v>0</v>
      </c>
      <c r="I64" s="230"/>
    </row>
    <row r="65" spans="1:9" ht="15.95" customHeight="1">
      <c r="A65" s="259"/>
      <c r="B65" s="281" t="s">
        <v>235</v>
      </c>
      <c r="C65" s="261"/>
      <c r="D65" s="236"/>
      <c r="E65" s="306"/>
      <c r="F65" s="235"/>
      <c r="G65" s="235"/>
      <c r="H65" s="235">
        <f>SUM(H57:H64)</f>
        <v>0</v>
      </c>
      <c r="I65" s="233"/>
    </row>
    <row r="66" spans="1:9" ht="15.95" customHeight="1">
      <c r="A66" s="282"/>
      <c r="B66" s="281" t="s">
        <v>236</v>
      </c>
      <c r="C66" s="261"/>
      <c r="D66" s="236"/>
      <c r="E66" s="306"/>
      <c r="F66" s="157"/>
      <c r="G66" s="157"/>
      <c r="H66" s="263">
        <f>'단위공사별(집계)'!K14+'단위공사별(집계)'!I14</f>
        <v>0</v>
      </c>
      <c r="I66" s="236"/>
    </row>
    <row r="67" spans="1:9" ht="15.95" customHeight="1">
      <c r="A67" s="282"/>
      <c r="B67" s="281" t="s">
        <v>237</v>
      </c>
      <c r="C67" s="261"/>
      <c r="D67" s="236"/>
      <c r="E67" s="306"/>
      <c r="F67" s="157"/>
      <c r="G67" s="284"/>
      <c r="H67" s="285">
        <f>(H65+H56)*0.05</f>
        <v>0</v>
      </c>
      <c r="I67" s="261"/>
    </row>
    <row r="68" spans="1:9" ht="15.95" customHeight="1">
      <c r="A68" s="282"/>
      <c r="B68" s="281" t="s">
        <v>238</v>
      </c>
      <c r="C68" s="261"/>
      <c r="D68" s="236"/>
      <c r="E68" s="306"/>
      <c r="F68" s="157"/>
      <c r="G68" s="284"/>
      <c r="H68" s="285">
        <f>(H65+H56)*0.1</f>
        <v>0</v>
      </c>
      <c r="I68" s="261"/>
    </row>
    <row r="69" spans="1:9" ht="15.95" customHeight="1">
      <c r="A69" s="282"/>
      <c r="B69" s="281" t="s">
        <v>239</v>
      </c>
      <c r="C69" s="261"/>
      <c r="D69" s="236"/>
      <c r="E69" s="306"/>
      <c r="F69" s="157"/>
      <c r="G69" s="157"/>
      <c r="H69" s="235">
        <f>H56+H65+H66+H67+H68</f>
        <v>0</v>
      </c>
      <c r="I69" s="236"/>
    </row>
    <row r="70" spans="1:9">
      <c r="A70" s="140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C1" sqref="C1"/>
      <selection pane="topRight" activeCell="C1" sqref="C1"/>
      <selection pane="bottomLeft" activeCell="C1" sqref="C1"/>
      <selection pane="bottomRight" activeCell="C1" sqref="C1"/>
    </sheetView>
  </sheetViews>
  <sheetFormatPr defaultColWidth="9" defaultRowHeight="13.5"/>
  <cols>
    <col min="1" max="1" width="5" style="128" customWidth="1"/>
    <col min="2" max="2" width="17.875" style="128" bestFit="1" customWidth="1"/>
    <col min="3" max="3" width="23.625" style="128" customWidth="1"/>
    <col min="4" max="4" width="18.25" style="128" customWidth="1"/>
    <col min="5" max="5" width="5.25" style="128" bestFit="1" customWidth="1"/>
    <col min="6" max="6" width="9" style="159"/>
    <col min="7" max="7" width="11.875" style="159" customWidth="1"/>
    <col min="8" max="8" width="13.625" style="159" customWidth="1"/>
    <col min="9" max="9" width="12.75" style="128" customWidth="1"/>
    <col min="10" max="16384" width="9" style="128"/>
  </cols>
  <sheetData>
    <row r="1" spans="1:9" ht="22.5" customHeight="1">
      <c r="B1" s="206" t="s">
        <v>208</v>
      </c>
      <c r="C1" s="287"/>
      <c r="D1" s="208"/>
      <c r="E1" s="208"/>
      <c r="F1" s="288"/>
      <c r="G1" s="171"/>
      <c r="I1" s="128" t="s">
        <v>209</v>
      </c>
    </row>
    <row r="2" spans="1:9" s="140" customFormat="1" ht="16.5" customHeight="1">
      <c r="A2" s="387" t="s">
        <v>210</v>
      </c>
      <c r="B2" s="515"/>
      <c r="C2" s="133" t="s">
        <v>211</v>
      </c>
      <c r="D2" s="129" t="s">
        <v>212</v>
      </c>
      <c r="E2" s="129" t="s">
        <v>213</v>
      </c>
      <c r="F2" s="262" t="s">
        <v>214</v>
      </c>
      <c r="G2" s="262" t="s">
        <v>215</v>
      </c>
      <c r="H2" s="262" t="s">
        <v>216</v>
      </c>
      <c r="I2" s="129" t="s">
        <v>217</v>
      </c>
    </row>
    <row r="3" spans="1:9" ht="15.95" customHeight="1">
      <c r="A3" s="516" t="s">
        <v>218</v>
      </c>
      <c r="B3" s="214" t="s">
        <v>219</v>
      </c>
      <c r="C3" s="316"/>
      <c r="D3" s="317"/>
      <c r="E3" s="318"/>
      <c r="F3" s="319"/>
      <c r="G3" s="319"/>
      <c r="H3" s="242">
        <f>IF(F3=0,G3,G3*F3)</f>
        <v>0</v>
      </c>
      <c r="I3" s="243"/>
    </row>
    <row r="4" spans="1:9" ht="15.95" customHeight="1">
      <c r="A4" s="511"/>
      <c r="B4" s="214"/>
      <c r="C4" s="316"/>
      <c r="D4" s="317"/>
      <c r="E4" s="318"/>
      <c r="F4" s="319"/>
      <c r="G4" s="319"/>
      <c r="H4" s="169">
        <f>IF(F4=0,G4,G4*F4)</f>
        <v>0</v>
      </c>
      <c r="I4" s="222"/>
    </row>
    <row r="5" spans="1:9" ht="15.95" customHeight="1">
      <c r="A5" s="511"/>
      <c r="B5" s="214"/>
      <c r="C5" s="316"/>
      <c r="D5" s="317"/>
      <c r="E5" s="318"/>
      <c r="F5" s="319"/>
      <c r="G5" s="319"/>
      <c r="H5" s="169">
        <f t="shared" ref="H5:H54" si="0">IF(F5=0,G5,G5*F5)</f>
        <v>0</v>
      </c>
      <c r="I5" s="222"/>
    </row>
    <row r="6" spans="1:9" ht="15.95" customHeight="1">
      <c r="A6" s="511"/>
      <c r="B6" s="214"/>
      <c r="C6" s="316"/>
      <c r="D6" s="317"/>
      <c r="E6" s="318"/>
      <c r="F6" s="319"/>
      <c r="G6" s="319"/>
      <c r="H6" s="169">
        <f t="shared" si="0"/>
        <v>0</v>
      </c>
      <c r="I6" s="222"/>
    </row>
    <row r="7" spans="1:9" ht="15.95" customHeight="1">
      <c r="A7" s="511"/>
      <c r="B7" s="214"/>
      <c r="C7" s="316"/>
      <c r="D7" s="317"/>
      <c r="E7" s="318"/>
      <c r="F7" s="319"/>
      <c r="G7" s="319"/>
      <c r="H7" s="169">
        <f t="shared" si="0"/>
        <v>0</v>
      </c>
      <c r="I7" s="222"/>
    </row>
    <row r="8" spans="1:9" ht="15.95" customHeight="1">
      <c r="A8" s="511"/>
      <c r="B8" s="214"/>
      <c r="C8" s="316"/>
      <c r="D8" s="316"/>
      <c r="E8" s="318"/>
      <c r="F8" s="319"/>
      <c r="G8" s="319"/>
      <c r="H8" s="169">
        <f t="shared" si="0"/>
        <v>0</v>
      </c>
      <c r="I8" s="222"/>
    </row>
    <row r="9" spans="1:9" ht="15.95" customHeight="1">
      <c r="A9" s="511"/>
      <c r="B9" s="214"/>
      <c r="C9" s="308"/>
      <c r="D9" s="308"/>
      <c r="E9" s="318"/>
      <c r="F9" s="313"/>
      <c r="G9" s="313"/>
      <c r="H9" s="169">
        <f t="shared" si="0"/>
        <v>0</v>
      </c>
      <c r="I9" s="222"/>
    </row>
    <row r="10" spans="1:9" ht="15.95" customHeight="1">
      <c r="A10" s="511"/>
      <c r="B10" s="214"/>
      <c r="C10" s="308"/>
      <c r="D10" s="308"/>
      <c r="E10" s="318"/>
      <c r="F10" s="313"/>
      <c r="G10" s="313"/>
      <c r="H10" s="169">
        <f t="shared" si="0"/>
        <v>0</v>
      </c>
      <c r="I10" s="222"/>
    </row>
    <row r="11" spans="1:9" ht="15.95" customHeight="1">
      <c r="A11" s="511"/>
      <c r="B11" s="214"/>
      <c r="C11" s="308"/>
      <c r="D11" s="308"/>
      <c r="E11" s="318"/>
      <c r="F11" s="313"/>
      <c r="G11" s="313"/>
      <c r="H11" s="169">
        <f t="shared" si="0"/>
        <v>0</v>
      </c>
      <c r="I11" s="222"/>
    </row>
    <row r="12" spans="1:9" ht="15.95" customHeight="1">
      <c r="A12" s="511"/>
      <c r="B12" s="214"/>
      <c r="C12" s="308"/>
      <c r="D12" s="308"/>
      <c r="E12" s="312"/>
      <c r="F12" s="313"/>
      <c r="G12" s="313"/>
      <c r="H12" s="169">
        <f t="shared" si="0"/>
        <v>0</v>
      </c>
      <c r="I12" s="222"/>
    </row>
    <row r="13" spans="1:9" ht="15.95" customHeight="1">
      <c r="A13" s="511"/>
      <c r="B13" s="214"/>
      <c r="C13" s="308"/>
      <c r="D13" s="308"/>
      <c r="E13" s="312"/>
      <c r="F13" s="313"/>
      <c r="G13" s="313"/>
      <c r="H13" s="169">
        <f t="shared" si="0"/>
        <v>0</v>
      </c>
      <c r="I13" s="222"/>
    </row>
    <row r="14" spans="1:9" ht="15.95" customHeight="1">
      <c r="A14" s="511"/>
      <c r="B14" s="214"/>
      <c r="C14" s="308"/>
      <c r="D14" s="308"/>
      <c r="E14" s="312"/>
      <c r="F14" s="313"/>
      <c r="G14" s="313"/>
      <c r="H14" s="169">
        <f t="shared" si="0"/>
        <v>0</v>
      </c>
      <c r="I14" s="222"/>
    </row>
    <row r="15" spans="1:9" ht="15.95" customHeight="1">
      <c r="A15" s="511"/>
      <c r="B15" s="214"/>
      <c r="C15" s="308"/>
      <c r="D15" s="308"/>
      <c r="E15" s="312"/>
      <c r="F15" s="313"/>
      <c r="G15" s="313"/>
      <c r="H15" s="169">
        <f t="shared" si="0"/>
        <v>0</v>
      </c>
      <c r="I15" s="222"/>
    </row>
    <row r="16" spans="1:9" ht="15.95" customHeight="1">
      <c r="A16" s="511"/>
      <c r="B16" s="214"/>
      <c r="C16" s="308"/>
      <c r="D16" s="308"/>
      <c r="E16" s="300"/>
      <c r="F16" s="313"/>
      <c r="G16" s="313"/>
      <c r="H16" s="169">
        <f t="shared" si="0"/>
        <v>0</v>
      </c>
      <c r="I16" s="222"/>
    </row>
    <row r="17" spans="1:9" ht="15.95" customHeight="1">
      <c r="A17" s="511"/>
      <c r="B17" s="214"/>
      <c r="C17" s="308"/>
      <c r="D17" s="308"/>
      <c r="E17" s="300"/>
      <c r="F17" s="313"/>
      <c r="G17" s="313"/>
      <c r="H17" s="169">
        <f t="shared" si="0"/>
        <v>0</v>
      </c>
      <c r="I17" s="222"/>
    </row>
    <row r="18" spans="1:9" ht="15.95" customHeight="1">
      <c r="A18" s="511"/>
      <c r="B18" s="214"/>
      <c r="C18" s="308"/>
      <c r="D18" s="308"/>
      <c r="E18" s="300"/>
      <c r="F18" s="313"/>
      <c r="G18" s="313"/>
      <c r="H18" s="169">
        <f t="shared" si="0"/>
        <v>0</v>
      </c>
      <c r="I18" s="222"/>
    </row>
    <row r="19" spans="1:9" ht="15.95" customHeight="1">
      <c r="A19" s="511"/>
      <c r="B19" s="214"/>
      <c r="C19" s="308"/>
      <c r="D19" s="308"/>
      <c r="E19" s="300"/>
      <c r="F19" s="313"/>
      <c r="G19" s="313"/>
      <c r="H19" s="169">
        <f t="shared" si="0"/>
        <v>0</v>
      </c>
      <c r="I19" s="222"/>
    </row>
    <row r="20" spans="1:9" ht="15.95" customHeight="1">
      <c r="A20" s="511"/>
      <c r="B20" s="214"/>
      <c r="C20" s="308"/>
      <c r="D20" s="308"/>
      <c r="E20" s="300"/>
      <c r="F20" s="313"/>
      <c r="G20" s="313"/>
      <c r="H20" s="169">
        <f t="shared" si="0"/>
        <v>0</v>
      </c>
      <c r="I20" s="222"/>
    </row>
    <row r="21" spans="1:9" ht="15.95" customHeight="1">
      <c r="A21" s="511"/>
      <c r="B21" s="214"/>
      <c r="C21" s="308"/>
      <c r="D21" s="308"/>
      <c r="E21" s="300"/>
      <c r="F21" s="313"/>
      <c r="G21" s="313"/>
      <c r="H21" s="169">
        <f t="shared" si="0"/>
        <v>0</v>
      </c>
      <c r="I21" s="222"/>
    </row>
    <row r="22" spans="1:9" ht="15.95" customHeight="1">
      <c r="A22" s="511"/>
      <c r="B22" s="214"/>
      <c r="C22" s="308"/>
      <c r="D22" s="308"/>
      <c r="E22" s="300"/>
      <c r="F22" s="313"/>
      <c r="G22" s="313"/>
      <c r="H22" s="169">
        <f t="shared" si="0"/>
        <v>0</v>
      </c>
      <c r="I22" s="222"/>
    </row>
    <row r="23" spans="1:9" ht="15.95" customHeight="1">
      <c r="A23" s="511"/>
      <c r="B23" s="214"/>
      <c r="C23" s="226"/>
      <c r="D23" s="245"/>
      <c r="E23" s="301"/>
      <c r="F23" s="247"/>
      <c r="G23" s="247"/>
      <c r="H23" s="248">
        <f t="shared" si="0"/>
        <v>0</v>
      </c>
      <c r="I23" s="249"/>
    </row>
    <row r="24" spans="1:9" ht="15.95" customHeight="1">
      <c r="A24" s="511"/>
      <c r="B24" s="231"/>
      <c r="C24" s="256"/>
      <c r="D24" s="256"/>
      <c r="E24" s="302"/>
      <c r="F24" s="254"/>
      <c r="G24" s="254"/>
      <c r="H24" s="255">
        <f>SUM(H3:H23)</f>
        <v>0</v>
      </c>
      <c r="I24" s="256"/>
    </row>
    <row r="25" spans="1:9" ht="15.95" customHeight="1">
      <c r="A25" s="511"/>
      <c r="B25" s="214" t="s">
        <v>224</v>
      </c>
      <c r="C25" s="215"/>
      <c r="D25" s="215"/>
      <c r="E25" s="303"/>
      <c r="F25" s="218"/>
      <c r="G25" s="218"/>
      <c r="H25" s="219">
        <f t="shared" si="0"/>
        <v>0</v>
      </c>
      <c r="I25" s="220"/>
    </row>
    <row r="26" spans="1:9" ht="15.95" customHeight="1">
      <c r="A26" s="511"/>
      <c r="B26" s="214" t="s">
        <v>225</v>
      </c>
      <c r="C26" s="308"/>
      <c r="D26" s="308"/>
      <c r="E26" s="300"/>
      <c r="F26" s="313"/>
      <c r="G26" s="313"/>
      <c r="H26" s="169">
        <f t="shared" si="0"/>
        <v>0</v>
      </c>
      <c r="I26" s="222"/>
    </row>
    <row r="27" spans="1:9" ht="15.95" customHeight="1">
      <c r="A27" s="511"/>
      <c r="B27" s="214"/>
      <c r="C27" s="308"/>
      <c r="D27" s="308"/>
      <c r="E27" s="300"/>
      <c r="F27" s="313"/>
      <c r="G27" s="313"/>
      <c r="H27" s="169">
        <f t="shared" si="0"/>
        <v>0</v>
      </c>
      <c r="I27" s="222"/>
    </row>
    <row r="28" spans="1:9" ht="15.95" customHeight="1">
      <c r="A28" s="511"/>
      <c r="B28" s="214"/>
      <c r="C28" s="308"/>
      <c r="D28" s="308"/>
      <c r="E28" s="300"/>
      <c r="F28" s="313"/>
      <c r="G28" s="313"/>
      <c r="H28" s="169">
        <f t="shared" si="0"/>
        <v>0</v>
      </c>
      <c r="I28" s="222"/>
    </row>
    <row r="29" spans="1:9" ht="15.95" customHeight="1">
      <c r="A29" s="511"/>
      <c r="B29" s="214"/>
      <c r="C29" s="226"/>
      <c r="D29" s="226"/>
      <c r="E29" s="304"/>
      <c r="F29" s="229"/>
      <c r="G29" s="229"/>
      <c r="H29" s="169">
        <f t="shared" si="0"/>
        <v>0</v>
      </c>
      <c r="I29" s="230"/>
    </row>
    <row r="30" spans="1:9" ht="15.95" customHeight="1">
      <c r="A30" s="511"/>
      <c r="B30" s="231"/>
      <c r="C30" s="232"/>
      <c r="D30" s="233"/>
      <c r="E30" s="305"/>
      <c r="F30" s="290"/>
      <c r="G30" s="235"/>
      <c r="H30" s="157">
        <f>SUM(H25:H29)</f>
        <v>0</v>
      </c>
      <c r="I30" s="236"/>
    </row>
    <row r="31" spans="1:9" ht="15.95" customHeight="1">
      <c r="A31" s="511"/>
      <c r="B31" s="257" t="s">
        <v>226</v>
      </c>
      <c r="C31" s="309"/>
      <c r="D31" s="309"/>
      <c r="E31" s="310"/>
      <c r="F31" s="311"/>
      <c r="G31" s="311"/>
      <c r="H31" s="242">
        <f t="shared" si="0"/>
        <v>0</v>
      </c>
      <c r="I31" s="243"/>
    </row>
    <row r="32" spans="1:9" ht="15.95" customHeight="1">
      <c r="A32" s="511"/>
      <c r="B32" s="214" t="s">
        <v>227</v>
      </c>
      <c r="C32" s="316"/>
      <c r="D32" s="316"/>
      <c r="E32" s="318"/>
      <c r="F32" s="319"/>
      <c r="G32" s="319"/>
      <c r="H32" s="169">
        <f t="shared" si="0"/>
        <v>0</v>
      </c>
      <c r="I32" s="222"/>
    </row>
    <row r="33" spans="1:9" ht="15.95" customHeight="1">
      <c r="A33" s="511"/>
      <c r="B33" s="214"/>
      <c r="C33" s="308"/>
      <c r="D33" s="308"/>
      <c r="E33" s="312"/>
      <c r="F33" s="313"/>
      <c r="G33" s="313"/>
      <c r="H33" s="169">
        <f t="shared" si="0"/>
        <v>0</v>
      </c>
      <c r="I33" s="222"/>
    </row>
    <row r="34" spans="1:9" ht="15.95" customHeight="1">
      <c r="A34" s="511"/>
      <c r="B34" s="214"/>
      <c r="C34" s="308"/>
      <c r="D34" s="308"/>
      <c r="E34" s="312"/>
      <c r="F34" s="313"/>
      <c r="G34" s="313"/>
      <c r="H34" s="169">
        <f t="shared" si="0"/>
        <v>0</v>
      </c>
      <c r="I34" s="222"/>
    </row>
    <row r="35" spans="1:9" ht="15.95" customHeight="1">
      <c r="A35" s="511"/>
      <c r="B35" s="214"/>
      <c r="C35" s="308"/>
      <c r="D35" s="308"/>
      <c r="E35" s="300"/>
      <c r="F35" s="313"/>
      <c r="G35" s="313"/>
      <c r="H35" s="169">
        <f t="shared" si="0"/>
        <v>0</v>
      </c>
      <c r="I35" s="222"/>
    </row>
    <row r="36" spans="1:9" ht="15.95" customHeight="1">
      <c r="A36" s="511"/>
      <c r="B36" s="214"/>
      <c r="C36" s="308"/>
      <c r="D36" s="308"/>
      <c r="E36" s="300"/>
      <c r="F36" s="313"/>
      <c r="G36" s="313"/>
      <c r="H36" s="169">
        <f t="shared" si="0"/>
        <v>0</v>
      </c>
      <c r="I36" s="222"/>
    </row>
    <row r="37" spans="1:9" ht="15.95" customHeight="1">
      <c r="A37" s="511"/>
      <c r="B37" s="214"/>
      <c r="C37" s="308"/>
      <c r="D37" s="308"/>
      <c r="E37" s="300"/>
      <c r="F37" s="313"/>
      <c r="G37" s="313"/>
      <c r="H37" s="169">
        <f t="shared" si="0"/>
        <v>0</v>
      </c>
      <c r="I37" s="222"/>
    </row>
    <row r="38" spans="1:9" ht="15.95" customHeight="1">
      <c r="A38" s="511"/>
      <c r="B38" s="214"/>
      <c r="C38" s="308"/>
      <c r="D38" s="308"/>
      <c r="E38" s="300"/>
      <c r="F38" s="313"/>
      <c r="G38" s="313"/>
      <c r="H38" s="169">
        <f t="shared" si="0"/>
        <v>0</v>
      </c>
      <c r="I38" s="222"/>
    </row>
    <row r="39" spans="1:9" ht="15.95" customHeight="1">
      <c r="A39" s="511"/>
      <c r="B39" s="214"/>
      <c r="C39" s="308"/>
      <c r="D39" s="308"/>
      <c r="E39" s="300"/>
      <c r="F39" s="313"/>
      <c r="G39" s="313"/>
      <c r="H39" s="169">
        <f t="shared" si="0"/>
        <v>0</v>
      </c>
      <c r="I39" s="222"/>
    </row>
    <row r="40" spans="1:9" ht="15.95" customHeight="1">
      <c r="A40" s="511"/>
      <c r="B40" s="214"/>
      <c r="C40" s="308"/>
      <c r="D40" s="308"/>
      <c r="E40" s="300"/>
      <c r="F40" s="313"/>
      <c r="G40" s="313"/>
      <c r="H40" s="169">
        <f t="shared" si="0"/>
        <v>0</v>
      </c>
      <c r="I40" s="222"/>
    </row>
    <row r="41" spans="1:9" ht="15.95" customHeight="1">
      <c r="A41" s="511"/>
      <c r="B41" s="214"/>
      <c r="C41" s="308"/>
      <c r="D41" s="308"/>
      <c r="E41" s="300"/>
      <c r="F41" s="313"/>
      <c r="G41" s="313"/>
      <c r="H41" s="169">
        <f t="shared" si="0"/>
        <v>0</v>
      </c>
      <c r="I41" s="222"/>
    </row>
    <row r="42" spans="1:9" ht="15.95" customHeight="1">
      <c r="A42" s="511"/>
      <c r="B42" s="214"/>
      <c r="C42" s="308"/>
      <c r="D42" s="308"/>
      <c r="E42" s="300"/>
      <c r="F42" s="313"/>
      <c r="G42" s="313"/>
      <c r="H42" s="169">
        <f t="shared" si="0"/>
        <v>0</v>
      </c>
      <c r="I42" s="222"/>
    </row>
    <row r="43" spans="1:9" ht="15.95" customHeight="1">
      <c r="A43" s="511"/>
      <c r="B43" s="214"/>
      <c r="C43" s="308"/>
      <c r="D43" s="308"/>
      <c r="E43" s="300"/>
      <c r="F43" s="313"/>
      <c r="G43" s="313"/>
      <c r="H43" s="169">
        <f t="shared" si="0"/>
        <v>0</v>
      </c>
      <c r="I43" s="222"/>
    </row>
    <row r="44" spans="1:9" ht="15.95" customHeight="1">
      <c r="A44" s="511"/>
      <c r="B44" s="214"/>
      <c r="C44" s="308"/>
      <c r="D44" s="308"/>
      <c r="E44" s="300"/>
      <c r="F44" s="313"/>
      <c r="G44" s="313"/>
      <c r="H44" s="169">
        <f t="shared" si="0"/>
        <v>0</v>
      </c>
      <c r="I44" s="222"/>
    </row>
    <row r="45" spans="1:9" ht="15.95" customHeight="1">
      <c r="A45" s="511"/>
      <c r="B45" s="214"/>
      <c r="C45" s="308"/>
      <c r="D45" s="308"/>
      <c r="E45" s="300"/>
      <c r="F45" s="313"/>
      <c r="G45" s="313"/>
      <c r="H45" s="169">
        <f t="shared" si="0"/>
        <v>0</v>
      </c>
      <c r="I45" s="222"/>
    </row>
    <row r="46" spans="1:9" ht="15.95" customHeight="1">
      <c r="A46" s="511"/>
      <c r="B46" s="214"/>
      <c r="C46" s="226"/>
      <c r="D46" s="226"/>
      <c r="E46" s="304"/>
      <c r="F46" s="229"/>
      <c r="G46" s="229"/>
      <c r="H46" s="258">
        <f t="shared" si="0"/>
        <v>0</v>
      </c>
      <c r="I46" s="230"/>
    </row>
    <row r="47" spans="1:9" ht="15.95" customHeight="1">
      <c r="A47" s="511"/>
      <c r="B47" s="231"/>
      <c r="C47" s="232"/>
      <c r="D47" s="233"/>
      <c r="E47" s="305"/>
      <c r="F47" s="235"/>
      <c r="G47" s="235"/>
      <c r="H47" s="157">
        <f>SUM(H31:H46)</f>
        <v>0</v>
      </c>
      <c r="I47" s="236"/>
    </row>
    <row r="48" spans="1:9" ht="15.95" customHeight="1">
      <c r="A48" s="511"/>
      <c r="B48" s="257" t="s">
        <v>220</v>
      </c>
      <c r="C48" s="316"/>
      <c r="D48" s="316"/>
      <c r="E48" s="318"/>
      <c r="F48" s="319"/>
      <c r="G48" s="319"/>
      <c r="H48" s="242">
        <f t="shared" si="0"/>
        <v>0</v>
      </c>
      <c r="I48" s="243"/>
    </row>
    <row r="49" spans="1:9" ht="15.95" customHeight="1">
      <c r="A49" s="511"/>
      <c r="B49" s="214"/>
      <c r="C49" s="316"/>
      <c r="D49" s="316"/>
      <c r="E49" s="318"/>
      <c r="F49" s="319"/>
      <c r="G49" s="319"/>
      <c r="H49" s="169">
        <f t="shared" si="0"/>
        <v>0</v>
      </c>
      <c r="I49" s="222"/>
    </row>
    <row r="50" spans="1:9" ht="15.95" customHeight="1">
      <c r="A50" s="511"/>
      <c r="B50" s="214"/>
      <c r="C50" s="316"/>
      <c r="D50" s="316"/>
      <c r="E50" s="317"/>
      <c r="F50" s="319"/>
      <c r="G50" s="319"/>
      <c r="H50" s="169">
        <f t="shared" si="0"/>
        <v>0</v>
      </c>
      <c r="I50" s="222"/>
    </row>
    <row r="51" spans="1:9" ht="15.95" customHeight="1">
      <c r="A51" s="511"/>
      <c r="B51" s="214"/>
      <c r="C51" s="316"/>
      <c r="D51" s="316"/>
      <c r="E51" s="317"/>
      <c r="F51" s="319"/>
      <c r="G51" s="319"/>
      <c r="H51" s="169">
        <f t="shared" si="0"/>
        <v>0</v>
      </c>
      <c r="I51" s="222"/>
    </row>
    <row r="52" spans="1:9" ht="15.95" customHeight="1">
      <c r="A52" s="511"/>
      <c r="B52" s="214"/>
      <c r="C52" s="316"/>
      <c r="D52" s="316"/>
      <c r="E52" s="317"/>
      <c r="F52" s="319"/>
      <c r="G52" s="319"/>
      <c r="H52" s="169">
        <f t="shared" si="0"/>
        <v>0</v>
      </c>
      <c r="I52" s="222"/>
    </row>
    <row r="53" spans="1:9" ht="15.95" customHeight="1">
      <c r="A53" s="511"/>
      <c r="B53" s="214"/>
      <c r="C53" s="316"/>
      <c r="D53" s="316"/>
      <c r="E53" s="317"/>
      <c r="F53" s="319"/>
      <c r="G53" s="319"/>
      <c r="H53" s="169">
        <f t="shared" si="0"/>
        <v>0</v>
      </c>
      <c r="I53" s="222"/>
    </row>
    <row r="54" spans="1:9" ht="15.95" customHeight="1">
      <c r="A54" s="511"/>
      <c r="B54" s="214"/>
      <c r="C54" s="226"/>
      <c r="D54" s="226"/>
      <c r="E54" s="304"/>
      <c r="F54" s="229"/>
      <c r="G54" s="229"/>
      <c r="H54" s="258">
        <f t="shared" si="0"/>
        <v>0</v>
      </c>
      <c r="I54" s="230"/>
    </row>
    <row r="55" spans="1:9" ht="15.95" customHeight="1">
      <c r="A55" s="511"/>
      <c r="B55" s="231"/>
      <c r="C55" s="232"/>
      <c r="D55" s="233"/>
      <c r="E55" s="305"/>
      <c r="F55" s="235"/>
      <c r="G55" s="235"/>
      <c r="H55" s="157">
        <f>SUM(H48:H54)</f>
        <v>0</v>
      </c>
      <c r="I55" s="236"/>
    </row>
    <row r="56" spans="1:9" ht="15.95" customHeight="1">
      <c r="A56" s="259"/>
      <c r="B56" s="260" t="s">
        <v>221</v>
      </c>
      <c r="C56" s="261"/>
      <c r="D56" s="236"/>
      <c r="E56" s="306"/>
      <c r="F56" s="263"/>
      <c r="G56" s="263"/>
      <c r="H56" s="157">
        <f>SUM(H55,H47,H30,H24)</f>
        <v>0</v>
      </c>
      <c r="I56" s="236"/>
    </row>
    <row r="57" spans="1:9" ht="15.95" customHeight="1">
      <c r="A57" s="520" t="s">
        <v>222</v>
      </c>
      <c r="B57" s="264" t="s">
        <v>223</v>
      </c>
      <c r="C57" s="261"/>
      <c r="D57" s="265"/>
      <c r="E57" s="266" t="s">
        <v>50</v>
      </c>
      <c r="F57" s="285"/>
      <c r="G57" s="268">
        <v>200000</v>
      </c>
      <c r="H57" s="187">
        <f>F57*G57</f>
        <v>0</v>
      </c>
      <c r="I57" s="236"/>
    </row>
    <row r="58" spans="1:9" ht="15.95" customHeight="1">
      <c r="A58" s="511"/>
      <c r="B58" s="269" t="s">
        <v>228</v>
      </c>
      <c r="C58" s="270"/>
      <c r="D58" s="271"/>
      <c r="E58" s="272" t="s">
        <v>130</v>
      </c>
      <c r="F58" s="311"/>
      <c r="G58" s="311">
        <v>200000</v>
      </c>
      <c r="H58" s="242">
        <f t="shared" ref="H58:H64" si="1">F58*G58</f>
        <v>0</v>
      </c>
      <c r="I58" s="243"/>
    </row>
    <row r="59" spans="1:9" ht="15.95" customHeight="1">
      <c r="A59" s="511"/>
      <c r="B59" s="291" t="s">
        <v>229</v>
      </c>
      <c r="C59" s="274"/>
      <c r="D59" s="275"/>
      <c r="E59" s="276" t="s">
        <v>130</v>
      </c>
      <c r="F59" s="313"/>
      <c r="G59" s="218">
        <v>200000</v>
      </c>
      <c r="H59" s="169">
        <f t="shared" si="1"/>
        <v>0</v>
      </c>
      <c r="I59" s="222"/>
    </row>
    <row r="60" spans="1:9" ht="15.95" customHeight="1">
      <c r="A60" s="511"/>
      <c r="B60" s="273" t="s">
        <v>230</v>
      </c>
      <c r="C60" s="274"/>
      <c r="D60" s="275"/>
      <c r="E60" s="276" t="s">
        <v>130</v>
      </c>
      <c r="F60" s="313"/>
      <c r="G60" s="218">
        <v>200000</v>
      </c>
      <c r="H60" s="169">
        <f t="shared" si="1"/>
        <v>0</v>
      </c>
      <c r="I60" s="222"/>
    </row>
    <row r="61" spans="1:9" ht="15.95" customHeight="1">
      <c r="A61" s="511"/>
      <c r="B61" s="273" t="s">
        <v>231</v>
      </c>
      <c r="C61" s="274"/>
      <c r="D61" s="275"/>
      <c r="E61" s="276" t="s">
        <v>130</v>
      </c>
      <c r="F61" s="313"/>
      <c r="G61" s="218">
        <v>200000</v>
      </c>
      <c r="H61" s="169">
        <f t="shared" si="1"/>
        <v>0</v>
      </c>
      <c r="I61" s="222"/>
    </row>
    <row r="62" spans="1:9" ht="15.95" customHeight="1">
      <c r="A62" s="511"/>
      <c r="B62" s="273" t="s">
        <v>232</v>
      </c>
      <c r="C62" s="274"/>
      <c r="D62" s="275"/>
      <c r="E62" s="276" t="s">
        <v>130</v>
      </c>
      <c r="F62" s="313"/>
      <c r="G62" s="218">
        <v>200000</v>
      </c>
      <c r="H62" s="169">
        <f t="shared" si="1"/>
        <v>0</v>
      </c>
      <c r="I62" s="222"/>
    </row>
    <row r="63" spans="1:9" ht="15.95" customHeight="1">
      <c r="A63" s="511"/>
      <c r="B63" s="273" t="s">
        <v>233</v>
      </c>
      <c r="C63" s="274"/>
      <c r="D63" s="275"/>
      <c r="E63" s="276" t="s">
        <v>130</v>
      </c>
      <c r="F63" s="313"/>
      <c r="G63" s="218">
        <v>200000</v>
      </c>
      <c r="H63" s="169">
        <f t="shared" si="1"/>
        <v>0</v>
      </c>
      <c r="I63" s="222"/>
    </row>
    <row r="64" spans="1:9" ht="15.95" customHeight="1">
      <c r="A64" s="511"/>
      <c r="B64" s="277" t="s">
        <v>234</v>
      </c>
      <c r="C64" s="278"/>
      <c r="D64" s="279"/>
      <c r="E64" s="280" t="s">
        <v>130</v>
      </c>
      <c r="F64" s="229"/>
      <c r="G64" s="229">
        <v>200000</v>
      </c>
      <c r="H64" s="258">
        <f t="shared" si="1"/>
        <v>0</v>
      </c>
      <c r="I64" s="230"/>
    </row>
    <row r="65" spans="1:9" ht="15.95" customHeight="1">
      <c r="A65" s="259"/>
      <c r="B65" s="281" t="s">
        <v>235</v>
      </c>
      <c r="C65" s="261"/>
      <c r="D65" s="236"/>
      <c r="E65" s="306"/>
      <c r="F65" s="235"/>
      <c r="G65" s="235"/>
      <c r="H65" s="235">
        <f>SUM(H57:H64)</f>
        <v>0</v>
      </c>
      <c r="I65" s="233"/>
    </row>
    <row r="66" spans="1:9" ht="15.95" customHeight="1">
      <c r="A66" s="282"/>
      <c r="B66" s="281" t="s">
        <v>236</v>
      </c>
      <c r="C66" s="261"/>
      <c r="D66" s="236"/>
      <c r="E66" s="306"/>
      <c r="F66" s="157"/>
      <c r="G66" s="157"/>
      <c r="H66" s="263">
        <f>'단위공사별(집계)'!K15+'단위공사별(집계)'!I15</f>
        <v>0</v>
      </c>
      <c r="I66" s="236"/>
    </row>
    <row r="67" spans="1:9" ht="15.95" customHeight="1">
      <c r="A67" s="282"/>
      <c r="B67" s="281" t="s">
        <v>237</v>
      </c>
      <c r="C67" s="261"/>
      <c r="D67" s="236"/>
      <c r="E67" s="306"/>
      <c r="F67" s="157"/>
      <c r="G67" s="284"/>
      <c r="H67" s="285">
        <f>(H65+H56)*0.05</f>
        <v>0</v>
      </c>
      <c r="I67" s="261"/>
    </row>
    <row r="68" spans="1:9" ht="15.95" customHeight="1">
      <c r="A68" s="282"/>
      <c r="B68" s="281" t="s">
        <v>238</v>
      </c>
      <c r="C68" s="261"/>
      <c r="D68" s="236"/>
      <c r="E68" s="306"/>
      <c r="F68" s="157"/>
      <c r="G68" s="284"/>
      <c r="H68" s="285">
        <f>(H65+H56)*0.1</f>
        <v>0</v>
      </c>
      <c r="I68" s="261"/>
    </row>
    <row r="69" spans="1:9" ht="15.95" customHeight="1">
      <c r="A69" s="282"/>
      <c r="B69" s="281" t="s">
        <v>239</v>
      </c>
      <c r="C69" s="261"/>
      <c r="D69" s="236"/>
      <c r="E69" s="306"/>
      <c r="F69" s="157"/>
      <c r="G69" s="157"/>
      <c r="H69" s="235">
        <f>H56+H65+H66+H67+H68</f>
        <v>0</v>
      </c>
      <c r="I69" s="236"/>
    </row>
    <row r="70" spans="1:9">
      <c r="A70" s="140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C1" sqref="C1"/>
      <selection pane="topRight" activeCell="C1" sqref="C1"/>
      <selection pane="bottomLeft" activeCell="C1" sqref="C1"/>
      <selection pane="bottomRight" activeCell="C1" sqref="C1"/>
    </sheetView>
  </sheetViews>
  <sheetFormatPr defaultColWidth="9" defaultRowHeight="13.5"/>
  <cols>
    <col min="1" max="1" width="5" style="128" customWidth="1"/>
    <col min="2" max="2" width="17.875" style="128" bestFit="1" customWidth="1"/>
    <col min="3" max="3" width="23.625" style="128" customWidth="1"/>
    <col min="4" max="4" width="18.25" style="128" customWidth="1"/>
    <col min="5" max="5" width="5.25" style="128" bestFit="1" customWidth="1"/>
    <col min="6" max="6" width="9" style="159"/>
    <col min="7" max="7" width="11.875" style="159" customWidth="1"/>
    <col min="8" max="8" width="13.625" style="159" customWidth="1"/>
    <col min="9" max="9" width="12.75" style="128" customWidth="1"/>
    <col min="10" max="16384" width="9" style="128"/>
  </cols>
  <sheetData>
    <row r="1" spans="1:9" ht="22.5" customHeight="1">
      <c r="B1" s="206" t="s">
        <v>208</v>
      </c>
      <c r="C1" s="287"/>
      <c r="D1" s="208"/>
      <c r="E1" s="208"/>
      <c r="F1" s="288"/>
      <c r="G1" s="171"/>
      <c r="I1" s="128" t="s">
        <v>209</v>
      </c>
    </row>
    <row r="2" spans="1:9" s="140" customFormat="1" ht="16.5" customHeight="1">
      <c r="A2" s="387" t="s">
        <v>210</v>
      </c>
      <c r="B2" s="515"/>
      <c r="C2" s="133" t="s">
        <v>211</v>
      </c>
      <c r="D2" s="129" t="s">
        <v>212</v>
      </c>
      <c r="E2" s="129" t="s">
        <v>213</v>
      </c>
      <c r="F2" s="262" t="s">
        <v>214</v>
      </c>
      <c r="G2" s="262" t="s">
        <v>215</v>
      </c>
      <c r="H2" s="262" t="s">
        <v>216</v>
      </c>
      <c r="I2" s="129" t="s">
        <v>217</v>
      </c>
    </row>
    <row r="3" spans="1:9" ht="15.95" customHeight="1">
      <c r="A3" s="516" t="s">
        <v>218</v>
      </c>
      <c r="B3" s="214" t="s">
        <v>219</v>
      </c>
      <c r="C3" s="316"/>
      <c r="D3" s="317"/>
      <c r="E3" s="318"/>
      <c r="F3" s="319"/>
      <c r="G3" s="319"/>
      <c r="H3" s="242">
        <f>IF(F3=0,G3,G3*F3)</f>
        <v>0</v>
      </c>
      <c r="I3" s="243"/>
    </row>
    <row r="4" spans="1:9" ht="15.95" customHeight="1">
      <c r="A4" s="511"/>
      <c r="B4" s="214"/>
      <c r="C4" s="316"/>
      <c r="D4" s="317"/>
      <c r="E4" s="318"/>
      <c r="F4" s="319"/>
      <c r="G4" s="319"/>
      <c r="H4" s="169">
        <f>IF(F4=0,G4,G4*F4)</f>
        <v>0</v>
      </c>
      <c r="I4" s="222"/>
    </row>
    <row r="5" spans="1:9" ht="15.95" customHeight="1">
      <c r="A5" s="511"/>
      <c r="B5" s="214"/>
      <c r="C5" s="316"/>
      <c r="D5" s="317"/>
      <c r="E5" s="318"/>
      <c r="F5" s="319"/>
      <c r="G5" s="319"/>
      <c r="H5" s="169">
        <f t="shared" ref="H5:H54" si="0">IF(F5=0,G5,G5*F5)</f>
        <v>0</v>
      </c>
      <c r="I5" s="222"/>
    </row>
    <row r="6" spans="1:9" ht="15.95" customHeight="1">
      <c r="A6" s="511"/>
      <c r="B6" s="214"/>
      <c r="C6" s="316"/>
      <c r="D6" s="317"/>
      <c r="E6" s="318"/>
      <c r="F6" s="319"/>
      <c r="G6" s="319"/>
      <c r="H6" s="169">
        <f t="shared" si="0"/>
        <v>0</v>
      </c>
      <c r="I6" s="222"/>
    </row>
    <row r="7" spans="1:9" ht="15.95" customHeight="1">
      <c r="A7" s="511"/>
      <c r="B7" s="214"/>
      <c r="C7" s="316"/>
      <c r="D7" s="317"/>
      <c r="E7" s="318"/>
      <c r="F7" s="319"/>
      <c r="G7" s="319"/>
      <c r="H7" s="169">
        <f t="shared" si="0"/>
        <v>0</v>
      </c>
      <c r="I7" s="222"/>
    </row>
    <row r="8" spans="1:9" ht="15.95" customHeight="1">
      <c r="A8" s="511"/>
      <c r="B8" s="214"/>
      <c r="C8" s="316"/>
      <c r="D8" s="316"/>
      <c r="E8" s="318"/>
      <c r="F8" s="319"/>
      <c r="G8" s="319"/>
      <c r="H8" s="169">
        <f t="shared" si="0"/>
        <v>0</v>
      </c>
      <c r="I8" s="222"/>
    </row>
    <row r="9" spans="1:9" ht="15.95" customHeight="1">
      <c r="A9" s="511"/>
      <c r="B9" s="214"/>
      <c r="C9" s="308"/>
      <c r="D9" s="308"/>
      <c r="E9" s="318"/>
      <c r="F9" s="313"/>
      <c r="G9" s="313"/>
      <c r="H9" s="169">
        <f t="shared" si="0"/>
        <v>0</v>
      </c>
      <c r="I9" s="222"/>
    </row>
    <row r="10" spans="1:9" ht="15.95" customHeight="1">
      <c r="A10" s="511"/>
      <c r="B10" s="214"/>
      <c r="C10" s="308"/>
      <c r="D10" s="308"/>
      <c r="E10" s="318"/>
      <c r="F10" s="313"/>
      <c r="G10" s="313"/>
      <c r="H10" s="169">
        <f t="shared" si="0"/>
        <v>0</v>
      </c>
      <c r="I10" s="222"/>
    </row>
    <row r="11" spans="1:9" ht="15.95" customHeight="1">
      <c r="A11" s="511"/>
      <c r="B11" s="214"/>
      <c r="C11" s="308"/>
      <c r="D11" s="308"/>
      <c r="E11" s="318"/>
      <c r="F11" s="313"/>
      <c r="G11" s="313"/>
      <c r="H11" s="169">
        <f t="shared" si="0"/>
        <v>0</v>
      </c>
      <c r="I11" s="222"/>
    </row>
    <row r="12" spans="1:9" ht="15.95" customHeight="1">
      <c r="A12" s="511"/>
      <c r="B12" s="214"/>
      <c r="C12" s="308"/>
      <c r="D12" s="308"/>
      <c r="E12" s="312"/>
      <c r="F12" s="313"/>
      <c r="G12" s="313"/>
      <c r="H12" s="169">
        <f t="shared" si="0"/>
        <v>0</v>
      </c>
      <c r="I12" s="222"/>
    </row>
    <row r="13" spans="1:9" ht="15.95" customHeight="1">
      <c r="A13" s="511"/>
      <c r="B13" s="214"/>
      <c r="C13" s="308"/>
      <c r="D13" s="308"/>
      <c r="E13" s="312"/>
      <c r="F13" s="313"/>
      <c r="G13" s="313"/>
      <c r="H13" s="169">
        <f t="shared" si="0"/>
        <v>0</v>
      </c>
      <c r="I13" s="222"/>
    </row>
    <row r="14" spans="1:9" ht="15.95" customHeight="1">
      <c r="A14" s="511"/>
      <c r="B14" s="214"/>
      <c r="C14" s="308"/>
      <c r="D14" s="308"/>
      <c r="E14" s="312"/>
      <c r="F14" s="313"/>
      <c r="G14" s="313"/>
      <c r="H14" s="169">
        <f t="shared" si="0"/>
        <v>0</v>
      </c>
      <c r="I14" s="222"/>
    </row>
    <row r="15" spans="1:9" ht="15.95" customHeight="1">
      <c r="A15" s="511"/>
      <c r="B15" s="214"/>
      <c r="C15" s="308"/>
      <c r="D15" s="308"/>
      <c r="E15" s="312"/>
      <c r="F15" s="313"/>
      <c r="G15" s="313"/>
      <c r="H15" s="169">
        <f t="shared" si="0"/>
        <v>0</v>
      </c>
      <c r="I15" s="222"/>
    </row>
    <row r="16" spans="1:9" ht="15.95" customHeight="1">
      <c r="A16" s="511"/>
      <c r="B16" s="214"/>
      <c r="C16" s="308"/>
      <c r="D16" s="308"/>
      <c r="E16" s="300"/>
      <c r="F16" s="313"/>
      <c r="G16" s="313"/>
      <c r="H16" s="169">
        <f t="shared" si="0"/>
        <v>0</v>
      </c>
      <c r="I16" s="222"/>
    </row>
    <row r="17" spans="1:9" ht="15.95" customHeight="1">
      <c r="A17" s="511"/>
      <c r="B17" s="214"/>
      <c r="C17" s="308"/>
      <c r="D17" s="308"/>
      <c r="E17" s="300"/>
      <c r="F17" s="313"/>
      <c r="G17" s="313"/>
      <c r="H17" s="169">
        <f t="shared" si="0"/>
        <v>0</v>
      </c>
      <c r="I17" s="222"/>
    </row>
    <row r="18" spans="1:9" ht="15.95" customHeight="1">
      <c r="A18" s="511"/>
      <c r="B18" s="214"/>
      <c r="C18" s="308"/>
      <c r="D18" s="308"/>
      <c r="E18" s="300"/>
      <c r="F18" s="313"/>
      <c r="G18" s="313"/>
      <c r="H18" s="169">
        <f t="shared" si="0"/>
        <v>0</v>
      </c>
      <c r="I18" s="222"/>
    </row>
    <row r="19" spans="1:9" ht="15.95" customHeight="1">
      <c r="A19" s="511"/>
      <c r="B19" s="214"/>
      <c r="C19" s="308"/>
      <c r="D19" s="308"/>
      <c r="E19" s="300"/>
      <c r="F19" s="313"/>
      <c r="G19" s="313"/>
      <c r="H19" s="169">
        <f t="shared" si="0"/>
        <v>0</v>
      </c>
      <c r="I19" s="222"/>
    </row>
    <row r="20" spans="1:9" ht="15.95" customHeight="1">
      <c r="A20" s="511"/>
      <c r="B20" s="214"/>
      <c r="C20" s="308"/>
      <c r="D20" s="308"/>
      <c r="E20" s="300"/>
      <c r="F20" s="313"/>
      <c r="G20" s="313"/>
      <c r="H20" s="169">
        <f t="shared" si="0"/>
        <v>0</v>
      </c>
      <c r="I20" s="222"/>
    </row>
    <row r="21" spans="1:9" ht="15.95" customHeight="1">
      <c r="A21" s="511"/>
      <c r="B21" s="214"/>
      <c r="C21" s="308"/>
      <c r="D21" s="308"/>
      <c r="E21" s="300"/>
      <c r="F21" s="313"/>
      <c r="G21" s="313"/>
      <c r="H21" s="169">
        <f t="shared" si="0"/>
        <v>0</v>
      </c>
      <c r="I21" s="222"/>
    </row>
    <row r="22" spans="1:9" ht="15.95" customHeight="1">
      <c r="A22" s="511"/>
      <c r="B22" s="214"/>
      <c r="C22" s="308"/>
      <c r="D22" s="308"/>
      <c r="E22" s="300"/>
      <c r="F22" s="313"/>
      <c r="G22" s="313"/>
      <c r="H22" s="169">
        <f t="shared" si="0"/>
        <v>0</v>
      </c>
      <c r="I22" s="222"/>
    </row>
    <row r="23" spans="1:9" ht="15.95" customHeight="1">
      <c r="A23" s="511"/>
      <c r="B23" s="214"/>
      <c r="C23" s="226"/>
      <c r="D23" s="245"/>
      <c r="E23" s="301"/>
      <c r="F23" s="247"/>
      <c r="G23" s="247"/>
      <c r="H23" s="248">
        <f t="shared" si="0"/>
        <v>0</v>
      </c>
      <c r="I23" s="249"/>
    </row>
    <row r="24" spans="1:9" ht="15.95" customHeight="1">
      <c r="A24" s="511"/>
      <c r="B24" s="231"/>
      <c r="C24" s="256"/>
      <c r="D24" s="256"/>
      <c r="E24" s="302"/>
      <c r="F24" s="254"/>
      <c r="G24" s="254"/>
      <c r="H24" s="255">
        <f>SUM(H3:H23)</f>
        <v>0</v>
      </c>
      <c r="I24" s="256"/>
    </row>
    <row r="25" spans="1:9" ht="15.95" customHeight="1">
      <c r="A25" s="511"/>
      <c r="B25" s="214" t="s">
        <v>224</v>
      </c>
      <c r="C25" s="215"/>
      <c r="D25" s="215"/>
      <c r="E25" s="303"/>
      <c r="F25" s="218"/>
      <c r="G25" s="218"/>
      <c r="H25" s="219">
        <f t="shared" si="0"/>
        <v>0</v>
      </c>
      <c r="I25" s="220"/>
    </row>
    <row r="26" spans="1:9" ht="15.95" customHeight="1">
      <c r="A26" s="511"/>
      <c r="B26" s="214" t="s">
        <v>225</v>
      </c>
      <c r="C26" s="308"/>
      <c r="D26" s="308"/>
      <c r="E26" s="300"/>
      <c r="F26" s="313"/>
      <c r="G26" s="313"/>
      <c r="H26" s="169">
        <f t="shared" si="0"/>
        <v>0</v>
      </c>
      <c r="I26" s="222"/>
    </row>
    <row r="27" spans="1:9" ht="15.95" customHeight="1">
      <c r="A27" s="511"/>
      <c r="B27" s="214"/>
      <c r="C27" s="308"/>
      <c r="D27" s="308"/>
      <c r="E27" s="300"/>
      <c r="F27" s="313"/>
      <c r="G27" s="313"/>
      <c r="H27" s="169">
        <f t="shared" si="0"/>
        <v>0</v>
      </c>
      <c r="I27" s="222"/>
    </row>
    <row r="28" spans="1:9" ht="15.95" customHeight="1">
      <c r="A28" s="511"/>
      <c r="B28" s="214"/>
      <c r="C28" s="308"/>
      <c r="D28" s="308"/>
      <c r="E28" s="300"/>
      <c r="F28" s="313"/>
      <c r="G28" s="313"/>
      <c r="H28" s="169">
        <f t="shared" si="0"/>
        <v>0</v>
      </c>
      <c r="I28" s="222"/>
    </row>
    <row r="29" spans="1:9" ht="15.95" customHeight="1">
      <c r="A29" s="511"/>
      <c r="B29" s="214"/>
      <c r="C29" s="226"/>
      <c r="D29" s="226"/>
      <c r="E29" s="304"/>
      <c r="F29" s="229"/>
      <c r="G29" s="229"/>
      <c r="H29" s="169">
        <f t="shared" si="0"/>
        <v>0</v>
      </c>
      <c r="I29" s="230"/>
    </row>
    <row r="30" spans="1:9" ht="15.95" customHeight="1">
      <c r="A30" s="511"/>
      <c r="B30" s="231"/>
      <c r="C30" s="232"/>
      <c r="D30" s="233"/>
      <c r="E30" s="305"/>
      <c r="F30" s="290"/>
      <c r="G30" s="235"/>
      <c r="H30" s="157">
        <f>SUM(H25:H29)</f>
        <v>0</v>
      </c>
      <c r="I30" s="236"/>
    </row>
    <row r="31" spans="1:9" ht="15.95" customHeight="1">
      <c r="A31" s="511"/>
      <c r="B31" s="257" t="s">
        <v>226</v>
      </c>
      <c r="C31" s="309"/>
      <c r="D31" s="309"/>
      <c r="E31" s="310"/>
      <c r="F31" s="311"/>
      <c r="G31" s="311"/>
      <c r="H31" s="242">
        <f t="shared" si="0"/>
        <v>0</v>
      </c>
      <c r="I31" s="243"/>
    </row>
    <row r="32" spans="1:9" ht="15.95" customHeight="1">
      <c r="A32" s="511"/>
      <c r="B32" s="214" t="s">
        <v>227</v>
      </c>
      <c r="C32" s="316"/>
      <c r="D32" s="316"/>
      <c r="E32" s="318"/>
      <c r="F32" s="319"/>
      <c r="G32" s="319"/>
      <c r="H32" s="169">
        <f t="shared" si="0"/>
        <v>0</v>
      </c>
      <c r="I32" s="222"/>
    </row>
    <row r="33" spans="1:9" ht="15.95" customHeight="1">
      <c r="A33" s="511"/>
      <c r="B33" s="214"/>
      <c r="C33" s="308"/>
      <c r="D33" s="308"/>
      <c r="E33" s="312"/>
      <c r="F33" s="313"/>
      <c r="G33" s="313"/>
      <c r="H33" s="169">
        <f t="shared" si="0"/>
        <v>0</v>
      </c>
      <c r="I33" s="222"/>
    </row>
    <row r="34" spans="1:9" ht="15.95" customHeight="1">
      <c r="A34" s="511"/>
      <c r="B34" s="214"/>
      <c r="C34" s="308"/>
      <c r="D34" s="308"/>
      <c r="E34" s="312"/>
      <c r="F34" s="313"/>
      <c r="G34" s="313"/>
      <c r="H34" s="169">
        <f t="shared" si="0"/>
        <v>0</v>
      </c>
      <c r="I34" s="222"/>
    </row>
    <row r="35" spans="1:9" ht="15.95" customHeight="1">
      <c r="A35" s="511"/>
      <c r="B35" s="214"/>
      <c r="C35" s="308"/>
      <c r="D35" s="308"/>
      <c r="E35" s="300"/>
      <c r="F35" s="313"/>
      <c r="G35" s="313"/>
      <c r="H35" s="169">
        <f t="shared" si="0"/>
        <v>0</v>
      </c>
      <c r="I35" s="222"/>
    </row>
    <row r="36" spans="1:9" ht="15.95" customHeight="1">
      <c r="A36" s="511"/>
      <c r="B36" s="214"/>
      <c r="C36" s="308"/>
      <c r="D36" s="308"/>
      <c r="E36" s="300"/>
      <c r="F36" s="313"/>
      <c r="G36" s="313"/>
      <c r="H36" s="169">
        <f t="shared" si="0"/>
        <v>0</v>
      </c>
      <c r="I36" s="222"/>
    </row>
    <row r="37" spans="1:9" ht="15.95" customHeight="1">
      <c r="A37" s="511"/>
      <c r="B37" s="214"/>
      <c r="C37" s="308"/>
      <c r="D37" s="308"/>
      <c r="E37" s="300"/>
      <c r="F37" s="313"/>
      <c r="G37" s="313"/>
      <c r="H37" s="169">
        <f t="shared" si="0"/>
        <v>0</v>
      </c>
      <c r="I37" s="222"/>
    </row>
    <row r="38" spans="1:9" ht="15.95" customHeight="1">
      <c r="A38" s="511"/>
      <c r="B38" s="214"/>
      <c r="C38" s="308"/>
      <c r="D38" s="308"/>
      <c r="E38" s="300"/>
      <c r="F38" s="313"/>
      <c r="G38" s="313"/>
      <c r="H38" s="169">
        <f t="shared" si="0"/>
        <v>0</v>
      </c>
      <c r="I38" s="222"/>
    </row>
    <row r="39" spans="1:9" ht="15.95" customHeight="1">
      <c r="A39" s="511"/>
      <c r="B39" s="214"/>
      <c r="C39" s="308"/>
      <c r="D39" s="308"/>
      <c r="E39" s="300"/>
      <c r="F39" s="313"/>
      <c r="G39" s="313"/>
      <c r="H39" s="169">
        <f t="shared" si="0"/>
        <v>0</v>
      </c>
      <c r="I39" s="222"/>
    </row>
    <row r="40" spans="1:9" ht="15.95" customHeight="1">
      <c r="A40" s="511"/>
      <c r="B40" s="214"/>
      <c r="C40" s="308"/>
      <c r="D40" s="308"/>
      <c r="E40" s="300"/>
      <c r="F40" s="313"/>
      <c r="G40" s="313"/>
      <c r="H40" s="169">
        <f t="shared" si="0"/>
        <v>0</v>
      </c>
      <c r="I40" s="222"/>
    </row>
    <row r="41" spans="1:9" ht="15.95" customHeight="1">
      <c r="A41" s="511"/>
      <c r="B41" s="214"/>
      <c r="C41" s="308"/>
      <c r="D41" s="308"/>
      <c r="E41" s="300"/>
      <c r="F41" s="313"/>
      <c r="G41" s="313"/>
      <c r="H41" s="169">
        <f t="shared" si="0"/>
        <v>0</v>
      </c>
      <c r="I41" s="222"/>
    </row>
    <row r="42" spans="1:9" ht="15.95" customHeight="1">
      <c r="A42" s="511"/>
      <c r="B42" s="214"/>
      <c r="C42" s="308"/>
      <c r="D42" s="308"/>
      <c r="E42" s="300"/>
      <c r="F42" s="313"/>
      <c r="G42" s="313"/>
      <c r="H42" s="169">
        <f t="shared" si="0"/>
        <v>0</v>
      </c>
      <c r="I42" s="222"/>
    </row>
    <row r="43" spans="1:9" ht="15.95" customHeight="1">
      <c r="A43" s="511"/>
      <c r="B43" s="214"/>
      <c r="C43" s="308"/>
      <c r="D43" s="308"/>
      <c r="E43" s="300"/>
      <c r="F43" s="313"/>
      <c r="G43" s="313"/>
      <c r="H43" s="169">
        <f t="shared" si="0"/>
        <v>0</v>
      </c>
      <c r="I43" s="222"/>
    </row>
    <row r="44" spans="1:9" ht="15.95" customHeight="1">
      <c r="A44" s="511"/>
      <c r="B44" s="214"/>
      <c r="C44" s="308"/>
      <c r="D44" s="308"/>
      <c r="E44" s="300"/>
      <c r="F44" s="313"/>
      <c r="G44" s="313"/>
      <c r="H44" s="169">
        <f t="shared" si="0"/>
        <v>0</v>
      </c>
      <c r="I44" s="222"/>
    </row>
    <row r="45" spans="1:9" ht="15.95" customHeight="1">
      <c r="A45" s="511"/>
      <c r="B45" s="214"/>
      <c r="C45" s="308"/>
      <c r="D45" s="308"/>
      <c r="E45" s="300"/>
      <c r="F45" s="313"/>
      <c r="G45" s="313"/>
      <c r="H45" s="169">
        <f t="shared" si="0"/>
        <v>0</v>
      </c>
      <c r="I45" s="222"/>
    </row>
    <row r="46" spans="1:9" ht="15.95" customHeight="1">
      <c r="A46" s="511"/>
      <c r="B46" s="214"/>
      <c r="C46" s="226"/>
      <c r="D46" s="226"/>
      <c r="E46" s="304"/>
      <c r="F46" s="229"/>
      <c r="G46" s="229"/>
      <c r="H46" s="258">
        <f t="shared" si="0"/>
        <v>0</v>
      </c>
      <c r="I46" s="230"/>
    </row>
    <row r="47" spans="1:9" ht="15.95" customHeight="1">
      <c r="A47" s="511"/>
      <c r="B47" s="231"/>
      <c r="C47" s="232"/>
      <c r="D47" s="233"/>
      <c r="E47" s="305"/>
      <c r="F47" s="235"/>
      <c r="G47" s="235"/>
      <c r="H47" s="157">
        <f>SUM(H31:H46)</f>
        <v>0</v>
      </c>
      <c r="I47" s="236"/>
    </row>
    <row r="48" spans="1:9" ht="15.95" customHeight="1">
      <c r="A48" s="511"/>
      <c r="B48" s="257" t="s">
        <v>220</v>
      </c>
      <c r="C48" s="316"/>
      <c r="D48" s="316"/>
      <c r="E48" s="318"/>
      <c r="F48" s="319"/>
      <c r="G48" s="319"/>
      <c r="H48" s="242">
        <f t="shared" si="0"/>
        <v>0</v>
      </c>
      <c r="I48" s="243"/>
    </row>
    <row r="49" spans="1:9" ht="15.95" customHeight="1">
      <c r="A49" s="511"/>
      <c r="B49" s="214"/>
      <c r="C49" s="316"/>
      <c r="D49" s="316"/>
      <c r="E49" s="318"/>
      <c r="F49" s="319"/>
      <c r="G49" s="319"/>
      <c r="H49" s="169">
        <f t="shared" si="0"/>
        <v>0</v>
      </c>
      <c r="I49" s="222"/>
    </row>
    <row r="50" spans="1:9" ht="15.95" customHeight="1">
      <c r="A50" s="511"/>
      <c r="B50" s="214"/>
      <c r="C50" s="316"/>
      <c r="D50" s="316"/>
      <c r="E50" s="317"/>
      <c r="F50" s="319"/>
      <c r="G50" s="319"/>
      <c r="H50" s="169">
        <f t="shared" si="0"/>
        <v>0</v>
      </c>
      <c r="I50" s="222"/>
    </row>
    <row r="51" spans="1:9" ht="15.95" customHeight="1">
      <c r="A51" s="511"/>
      <c r="B51" s="214"/>
      <c r="C51" s="316"/>
      <c r="D51" s="316"/>
      <c r="E51" s="317"/>
      <c r="F51" s="319"/>
      <c r="G51" s="319"/>
      <c r="H51" s="169">
        <f t="shared" si="0"/>
        <v>0</v>
      </c>
      <c r="I51" s="222"/>
    </row>
    <row r="52" spans="1:9" ht="15.95" customHeight="1">
      <c r="A52" s="511"/>
      <c r="B52" s="214"/>
      <c r="C52" s="316"/>
      <c r="D52" s="316"/>
      <c r="E52" s="317"/>
      <c r="F52" s="319"/>
      <c r="G52" s="319"/>
      <c r="H52" s="169">
        <f t="shared" si="0"/>
        <v>0</v>
      </c>
      <c r="I52" s="222"/>
    </row>
    <row r="53" spans="1:9" ht="15.95" customHeight="1">
      <c r="A53" s="511"/>
      <c r="B53" s="214"/>
      <c r="C53" s="316"/>
      <c r="D53" s="316"/>
      <c r="E53" s="317"/>
      <c r="F53" s="319"/>
      <c r="G53" s="319"/>
      <c r="H53" s="169">
        <f t="shared" si="0"/>
        <v>0</v>
      </c>
      <c r="I53" s="222"/>
    </row>
    <row r="54" spans="1:9" ht="15.95" customHeight="1">
      <c r="A54" s="511"/>
      <c r="B54" s="214"/>
      <c r="C54" s="226"/>
      <c r="D54" s="226"/>
      <c r="E54" s="304"/>
      <c r="F54" s="229"/>
      <c r="G54" s="229"/>
      <c r="H54" s="258">
        <f t="shared" si="0"/>
        <v>0</v>
      </c>
      <c r="I54" s="230"/>
    </row>
    <row r="55" spans="1:9" ht="15.95" customHeight="1">
      <c r="A55" s="511"/>
      <c r="B55" s="231"/>
      <c r="C55" s="232"/>
      <c r="D55" s="233"/>
      <c r="E55" s="305"/>
      <c r="F55" s="235"/>
      <c r="G55" s="235"/>
      <c r="H55" s="157">
        <f>SUM(H48:H54)</f>
        <v>0</v>
      </c>
      <c r="I55" s="236"/>
    </row>
    <row r="56" spans="1:9" ht="15.95" customHeight="1">
      <c r="A56" s="259"/>
      <c r="B56" s="260" t="s">
        <v>221</v>
      </c>
      <c r="C56" s="261"/>
      <c r="D56" s="236"/>
      <c r="E56" s="306"/>
      <c r="F56" s="263"/>
      <c r="G56" s="263"/>
      <c r="H56" s="157">
        <f>SUM(H55,H47,H30,H24)</f>
        <v>0</v>
      </c>
      <c r="I56" s="236"/>
    </row>
    <row r="57" spans="1:9" ht="15.95" customHeight="1">
      <c r="A57" s="520" t="s">
        <v>222</v>
      </c>
      <c r="B57" s="264" t="s">
        <v>223</v>
      </c>
      <c r="C57" s="261"/>
      <c r="D57" s="265"/>
      <c r="E57" s="266" t="s">
        <v>50</v>
      </c>
      <c r="F57" s="285"/>
      <c r="G57" s="268">
        <v>200000</v>
      </c>
      <c r="H57" s="187">
        <f>F57*G57</f>
        <v>0</v>
      </c>
      <c r="I57" s="236"/>
    </row>
    <row r="58" spans="1:9" ht="15.95" customHeight="1">
      <c r="A58" s="511"/>
      <c r="B58" s="269" t="s">
        <v>228</v>
      </c>
      <c r="C58" s="270"/>
      <c r="D58" s="271"/>
      <c r="E58" s="272" t="s">
        <v>130</v>
      </c>
      <c r="F58" s="311"/>
      <c r="G58" s="311">
        <v>200000</v>
      </c>
      <c r="H58" s="242">
        <f t="shared" ref="H58:H64" si="1">F58*G58</f>
        <v>0</v>
      </c>
      <c r="I58" s="243"/>
    </row>
    <row r="59" spans="1:9" ht="15.95" customHeight="1">
      <c r="A59" s="511"/>
      <c r="B59" s="291" t="s">
        <v>229</v>
      </c>
      <c r="C59" s="274"/>
      <c r="D59" s="275"/>
      <c r="E59" s="276" t="s">
        <v>130</v>
      </c>
      <c r="F59" s="313"/>
      <c r="G59" s="218">
        <v>200000</v>
      </c>
      <c r="H59" s="169">
        <f t="shared" si="1"/>
        <v>0</v>
      </c>
      <c r="I59" s="222"/>
    </row>
    <row r="60" spans="1:9" ht="15.95" customHeight="1">
      <c r="A60" s="511"/>
      <c r="B60" s="273" t="s">
        <v>230</v>
      </c>
      <c r="C60" s="274"/>
      <c r="D60" s="275"/>
      <c r="E60" s="276" t="s">
        <v>130</v>
      </c>
      <c r="F60" s="313"/>
      <c r="G60" s="218">
        <v>200000</v>
      </c>
      <c r="H60" s="169">
        <f t="shared" si="1"/>
        <v>0</v>
      </c>
      <c r="I60" s="222"/>
    </row>
    <row r="61" spans="1:9" ht="15.95" customHeight="1">
      <c r="A61" s="511"/>
      <c r="B61" s="273" t="s">
        <v>231</v>
      </c>
      <c r="C61" s="274"/>
      <c r="D61" s="275"/>
      <c r="E61" s="276" t="s">
        <v>130</v>
      </c>
      <c r="F61" s="313"/>
      <c r="G61" s="218">
        <v>200000</v>
      </c>
      <c r="H61" s="169">
        <f t="shared" si="1"/>
        <v>0</v>
      </c>
      <c r="I61" s="222"/>
    </row>
    <row r="62" spans="1:9" ht="15.95" customHeight="1">
      <c r="A62" s="511"/>
      <c r="B62" s="273" t="s">
        <v>232</v>
      </c>
      <c r="C62" s="274"/>
      <c r="D62" s="275"/>
      <c r="E62" s="276" t="s">
        <v>130</v>
      </c>
      <c r="F62" s="313"/>
      <c r="G62" s="218">
        <v>200000</v>
      </c>
      <c r="H62" s="169">
        <f t="shared" si="1"/>
        <v>0</v>
      </c>
      <c r="I62" s="222"/>
    </row>
    <row r="63" spans="1:9" ht="15.95" customHeight="1">
      <c r="A63" s="511"/>
      <c r="B63" s="273" t="s">
        <v>233</v>
      </c>
      <c r="C63" s="274"/>
      <c r="D63" s="275"/>
      <c r="E63" s="276" t="s">
        <v>130</v>
      </c>
      <c r="F63" s="313"/>
      <c r="G63" s="218">
        <v>200000</v>
      </c>
      <c r="H63" s="169">
        <f t="shared" si="1"/>
        <v>0</v>
      </c>
      <c r="I63" s="222"/>
    </row>
    <row r="64" spans="1:9" ht="15.95" customHeight="1">
      <c r="A64" s="511"/>
      <c r="B64" s="277" t="s">
        <v>234</v>
      </c>
      <c r="C64" s="278"/>
      <c r="D64" s="279"/>
      <c r="E64" s="280" t="s">
        <v>130</v>
      </c>
      <c r="F64" s="229"/>
      <c r="G64" s="229">
        <v>200000</v>
      </c>
      <c r="H64" s="258">
        <f t="shared" si="1"/>
        <v>0</v>
      </c>
      <c r="I64" s="230"/>
    </row>
    <row r="65" spans="1:9" ht="15.95" customHeight="1">
      <c r="A65" s="259"/>
      <c r="B65" s="281" t="s">
        <v>235</v>
      </c>
      <c r="C65" s="261"/>
      <c r="D65" s="236"/>
      <c r="E65" s="306"/>
      <c r="F65" s="235"/>
      <c r="G65" s="235"/>
      <c r="H65" s="235">
        <f>SUM(H57:H64)</f>
        <v>0</v>
      </c>
      <c r="I65" s="233"/>
    </row>
    <row r="66" spans="1:9" ht="15.95" customHeight="1">
      <c r="A66" s="282"/>
      <c r="B66" s="281" t="s">
        <v>236</v>
      </c>
      <c r="C66" s="261"/>
      <c r="D66" s="236"/>
      <c r="E66" s="306"/>
      <c r="F66" s="157"/>
      <c r="G66" s="157"/>
      <c r="H66" s="263">
        <f>'단위공사별(집계)'!K16+'단위공사별(집계)'!I16</f>
        <v>0</v>
      </c>
      <c r="I66" s="236"/>
    </row>
    <row r="67" spans="1:9" ht="15.95" customHeight="1">
      <c r="A67" s="282"/>
      <c r="B67" s="281" t="s">
        <v>237</v>
      </c>
      <c r="C67" s="261"/>
      <c r="D67" s="236"/>
      <c r="E67" s="306"/>
      <c r="F67" s="157"/>
      <c r="G67" s="284"/>
      <c r="H67" s="285">
        <f>(H65+H56)*0.05</f>
        <v>0</v>
      </c>
      <c r="I67" s="261"/>
    </row>
    <row r="68" spans="1:9" ht="15.95" customHeight="1">
      <c r="A68" s="282"/>
      <c r="B68" s="281" t="s">
        <v>238</v>
      </c>
      <c r="C68" s="261"/>
      <c r="D68" s="236"/>
      <c r="E68" s="306"/>
      <c r="F68" s="157"/>
      <c r="G68" s="284"/>
      <c r="H68" s="285">
        <f>(H65+H56)*0.1</f>
        <v>0</v>
      </c>
      <c r="I68" s="261"/>
    </row>
    <row r="69" spans="1:9" ht="15.95" customHeight="1">
      <c r="A69" s="282"/>
      <c r="B69" s="281" t="s">
        <v>239</v>
      </c>
      <c r="C69" s="261"/>
      <c r="D69" s="236"/>
      <c r="E69" s="306"/>
      <c r="F69" s="157"/>
      <c r="G69" s="157"/>
      <c r="H69" s="235">
        <f>H56+H65+H66+H67+H68</f>
        <v>0</v>
      </c>
      <c r="I69" s="236"/>
    </row>
    <row r="70" spans="1:9">
      <c r="A70" s="140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6"/>
  <sheetViews>
    <sheetView zoomScale="85" workbookViewId="0">
      <selection activeCell="H28" sqref="H28"/>
    </sheetView>
  </sheetViews>
  <sheetFormatPr defaultColWidth="9" defaultRowHeight="17.25" customHeight="1"/>
  <cols>
    <col min="1" max="1" width="16.5" style="128" customWidth="1"/>
    <col min="2" max="3" width="27.625" style="128" customWidth="1"/>
    <col min="4" max="4" width="11.5" style="128" customWidth="1"/>
    <col min="5" max="16384" width="9" style="128"/>
  </cols>
  <sheetData>
    <row r="1" spans="1:4" ht="17.25" customHeight="1">
      <c r="A1" s="128" t="s">
        <v>240</v>
      </c>
    </row>
    <row r="2" spans="1:4" ht="17.25" customHeight="1">
      <c r="D2" s="140" t="s">
        <v>241</v>
      </c>
    </row>
    <row r="3" spans="1:4" ht="24.75" customHeight="1">
      <c r="A3" s="292" t="s">
        <v>242</v>
      </c>
    </row>
    <row r="4" spans="1:4" ht="11.25" customHeight="1"/>
    <row r="5" spans="1:4" s="294" customFormat="1" ht="21" customHeight="1" thickBot="1">
      <c r="A5" s="293" t="s">
        <v>243</v>
      </c>
      <c r="B5" s="293" t="s">
        <v>244</v>
      </c>
      <c r="C5" s="293" t="s">
        <v>245</v>
      </c>
      <c r="D5" s="293" t="s">
        <v>13</v>
      </c>
    </row>
    <row r="6" spans="1:4" ht="17.25" customHeight="1" thickTop="1">
      <c r="A6" s="295"/>
      <c r="B6" s="295"/>
      <c r="C6" s="295"/>
      <c r="D6" s="295"/>
    </row>
    <row r="7" spans="1:4" ht="17.25" customHeight="1">
      <c r="A7" s="295"/>
      <c r="B7" s="295"/>
      <c r="C7" s="295"/>
      <c r="D7" s="295"/>
    </row>
    <row r="8" spans="1:4" ht="17.25" customHeight="1">
      <c r="A8" s="295"/>
      <c r="B8" s="295"/>
      <c r="C8" s="295"/>
      <c r="D8" s="295"/>
    </row>
    <row r="9" spans="1:4" ht="17.25" customHeight="1">
      <c r="A9" s="295"/>
      <c r="B9" s="295"/>
      <c r="C9" s="295"/>
      <c r="D9" s="295"/>
    </row>
    <row r="10" spans="1:4" ht="17.25" customHeight="1">
      <c r="A10" s="295"/>
      <c r="B10" s="295"/>
      <c r="C10" s="295"/>
      <c r="D10" s="295"/>
    </row>
    <row r="11" spans="1:4" ht="17.25" customHeight="1">
      <c r="A11" s="295"/>
      <c r="B11" s="295"/>
      <c r="C11" s="295"/>
      <c r="D11" s="295"/>
    </row>
    <row r="12" spans="1:4" ht="17.25" customHeight="1">
      <c r="A12" s="295"/>
      <c r="B12" s="295"/>
      <c r="C12" s="295"/>
      <c r="D12" s="295"/>
    </row>
    <row r="13" spans="1:4" ht="17.25" customHeight="1">
      <c r="A13" s="295"/>
      <c r="B13" s="295"/>
      <c r="C13" s="295"/>
      <c r="D13" s="295"/>
    </row>
    <row r="14" spans="1:4" ht="17.25" customHeight="1">
      <c r="A14" s="295"/>
      <c r="B14" s="295"/>
      <c r="C14" s="295"/>
      <c r="D14" s="295"/>
    </row>
    <row r="15" spans="1:4" ht="17.25" customHeight="1">
      <c r="A15" s="295"/>
      <c r="B15" s="295"/>
      <c r="C15" s="295"/>
      <c r="D15" s="295"/>
    </row>
    <row r="16" spans="1:4" ht="17.25" customHeight="1">
      <c r="A16" s="295"/>
      <c r="B16" s="295"/>
      <c r="C16" s="295"/>
      <c r="D16" s="295"/>
    </row>
    <row r="17" spans="1:4" ht="17.25" customHeight="1">
      <c r="A17" s="295"/>
      <c r="B17" s="295"/>
      <c r="C17" s="295"/>
      <c r="D17" s="295"/>
    </row>
    <row r="18" spans="1:4" ht="17.25" customHeight="1">
      <c r="A18" s="295"/>
      <c r="B18" s="295"/>
      <c r="C18" s="295"/>
      <c r="D18" s="295"/>
    </row>
    <row r="19" spans="1:4" ht="17.25" customHeight="1">
      <c r="A19" s="295"/>
      <c r="B19" s="295"/>
      <c r="C19" s="295"/>
      <c r="D19" s="295"/>
    </row>
    <row r="20" spans="1:4" ht="17.25" customHeight="1">
      <c r="A20" s="295"/>
      <c r="B20" s="295"/>
      <c r="C20" s="295"/>
      <c r="D20" s="295"/>
    </row>
    <row r="21" spans="1:4" ht="17.25" customHeight="1">
      <c r="A21" s="295"/>
      <c r="B21" s="295"/>
      <c r="C21" s="295"/>
      <c r="D21" s="295"/>
    </row>
    <row r="22" spans="1:4" ht="17.25" customHeight="1">
      <c r="A22" s="295"/>
      <c r="B22" s="295"/>
      <c r="C22" s="295"/>
      <c r="D22" s="295"/>
    </row>
    <row r="23" spans="1:4" ht="17.25" customHeight="1">
      <c r="A23" s="295"/>
      <c r="B23" s="295"/>
      <c r="C23" s="295"/>
      <c r="D23" s="295"/>
    </row>
    <row r="24" spans="1:4" ht="17.25" customHeight="1">
      <c r="A24" s="295"/>
      <c r="B24" s="295"/>
      <c r="C24" s="295"/>
      <c r="D24" s="295"/>
    </row>
    <row r="25" spans="1:4" ht="17.25" customHeight="1">
      <c r="A25" s="295"/>
      <c r="B25" s="295"/>
      <c r="C25" s="295"/>
      <c r="D25" s="295"/>
    </row>
    <row r="26" spans="1:4" ht="17.25" customHeight="1">
      <c r="A26" s="295"/>
      <c r="B26" s="295"/>
      <c r="C26" s="295"/>
      <c r="D26" s="295"/>
    </row>
    <row r="27" spans="1:4" ht="17.25" customHeight="1">
      <c r="A27" s="295"/>
      <c r="B27" s="295"/>
      <c r="C27" s="295"/>
      <c r="D27" s="295"/>
    </row>
    <row r="28" spans="1:4" ht="17.25" customHeight="1">
      <c r="A28" s="295"/>
      <c r="B28" s="295"/>
      <c r="C28" s="295"/>
      <c r="D28" s="295"/>
    </row>
    <row r="29" spans="1:4" ht="17.25" customHeight="1">
      <c r="A29" s="295"/>
      <c r="B29" s="295"/>
      <c r="C29" s="295"/>
      <c r="D29" s="295"/>
    </row>
    <row r="30" spans="1:4" ht="17.25" customHeight="1">
      <c r="A30" s="295"/>
      <c r="B30" s="295"/>
      <c r="C30" s="295"/>
      <c r="D30" s="295"/>
    </row>
    <row r="31" spans="1:4" ht="17.25" customHeight="1">
      <c r="A31" s="295"/>
      <c r="B31" s="295"/>
      <c r="C31" s="295"/>
      <c r="D31" s="295"/>
    </row>
    <row r="32" spans="1:4" ht="17.25" customHeight="1">
      <c r="A32" s="295"/>
      <c r="B32" s="295"/>
      <c r="C32" s="295"/>
      <c r="D32" s="295"/>
    </row>
    <row r="33" spans="1:4" ht="17.25" customHeight="1">
      <c r="A33" s="295"/>
      <c r="B33" s="295"/>
      <c r="C33" s="295"/>
      <c r="D33" s="295"/>
    </row>
    <row r="34" spans="1:4" ht="17.25" customHeight="1">
      <c r="A34" s="295"/>
      <c r="B34" s="295"/>
      <c r="C34" s="295"/>
      <c r="D34" s="295"/>
    </row>
    <row r="35" spans="1:4" ht="17.25" customHeight="1">
      <c r="A35" s="295"/>
      <c r="B35" s="295"/>
      <c r="C35" s="295"/>
      <c r="D35" s="295"/>
    </row>
    <row r="36" spans="1:4" ht="17.25" customHeight="1">
      <c r="A36" s="233"/>
      <c r="B36" s="233"/>
      <c r="C36" s="233"/>
      <c r="D36" s="233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이름이 지정된 범위</vt:lpstr>
      </vt:variant>
      <vt:variant>
        <vt:i4>6</vt:i4>
      </vt:variant>
    </vt:vector>
  </HeadingPairs>
  <TitlesOfParts>
    <vt:vector size="21" baseType="lpstr">
      <vt:lpstr>갑지</vt:lpstr>
      <vt:lpstr>원가항목별(집계)</vt:lpstr>
      <vt:lpstr>단위공사별(집계)</vt:lpstr>
      <vt:lpstr>전기</vt:lpstr>
      <vt:lpstr>단위장비1</vt:lpstr>
      <vt:lpstr>단위장비2</vt:lpstr>
      <vt:lpstr>단위장비3</vt:lpstr>
      <vt:lpstr>단위장비4</vt:lpstr>
      <vt:lpstr>단위장비5</vt:lpstr>
      <vt:lpstr>단위장비6</vt:lpstr>
      <vt:lpstr>단위장비7</vt:lpstr>
      <vt:lpstr>단위장비8</vt:lpstr>
      <vt:lpstr>단위장비9</vt:lpstr>
      <vt:lpstr>단위장비10</vt:lpstr>
      <vt:lpstr>첨부(견적조건차이내역)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WIA</dc:creator>
  <cp:lastModifiedBy>user</cp:lastModifiedBy>
  <dcterms:created xsi:type="dcterms:W3CDTF">2019-01-11T06:43:17Z</dcterms:created>
  <dcterms:modified xsi:type="dcterms:W3CDTF">2021-07-27T23:52:19Z</dcterms:modified>
</cp:coreProperties>
</file>