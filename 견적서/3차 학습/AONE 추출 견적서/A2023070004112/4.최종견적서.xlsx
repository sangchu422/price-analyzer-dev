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지팩업무용\D드라이버\기계견적서\양식-현대위아 표준견적서\"/>
    </mc:Choice>
  </mc:AlternateContent>
  <xr:revisionPtr revIDLastSave="0" documentId="13_ncr:1_{98184D8E-7A5E-4531-88E7-F9E0463A9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8" r:id="rId8"/>
    <sheet name="단위장비5" sheetId="7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단위장비1!$A$2:$I$68</definedName>
    <definedName name="_xlnm._FilterDatabase" localSheetId="5" hidden="1">단위장비2!$A$2:$I$69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</workbook>
</file>

<file path=xl/calcChain.xml><?xml version="1.0" encoding="utf-8"?>
<calcChain xmlns="http://schemas.openxmlformats.org/spreadsheetml/2006/main">
  <c r="H10" i="3" l="1"/>
  <c r="H29" i="14"/>
  <c r="H28" i="14"/>
  <c r="H27" i="14"/>
  <c r="H26" i="14"/>
  <c r="H25" i="14"/>
  <c r="H23" i="14"/>
  <c r="H22" i="14"/>
  <c r="H29" i="15"/>
  <c r="H28" i="15"/>
  <c r="H27" i="15"/>
  <c r="H26" i="15"/>
  <c r="H25" i="15"/>
  <c r="H23" i="15"/>
  <c r="H21" i="15"/>
  <c r="H22" i="15"/>
  <c r="H29" i="4"/>
  <c r="H28" i="4"/>
  <c r="H27" i="4"/>
  <c r="H26" i="4"/>
  <c r="H25" i="4"/>
  <c r="H23" i="4"/>
  <c r="H22" i="4"/>
  <c r="H29" i="5"/>
  <c r="H28" i="5"/>
  <c r="H27" i="5"/>
  <c r="H26" i="5"/>
  <c r="H25" i="5"/>
  <c r="H23" i="5"/>
  <c r="H22" i="5"/>
  <c r="H29" i="6"/>
  <c r="H28" i="6"/>
  <c r="H27" i="6"/>
  <c r="H26" i="6"/>
  <c r="H25" i="6"/>
  <c r="H23" i="6"/>
  <c r="H22" i="6"/>
  <c r="H29" i="7"/>
  <c r="H28" i="7"/>
  <c r="H27" i="7"/>
  <c r="H26" i="7"/>
  <c r="H25" i="7"/>
  <c r="H23" i="7"/>
  <c r="H22" i="7"/>
  <c r="H29" i="8"/>
  <c r="H28" i="8"/>
  <c r="H27" i="8"/>
  <c r="H26" i="8"/>
  <c r="H25" i="8"/>
  <c r="H23" i="8"/>
  <c r="H22" i="8"/>
  <c r="H29" i="9"/>
  <c r="H28" i="9"/>
  <c r="H27" i="9"/>
  <c r="H26" i="9"/>
  <c r="H25" i="9"/>
  <c r="H23" i="9"/>
  <c r="H20" i="9"/>
  <c r="H21" i="9"/>
  <c r="H22" i="9"/>
  <c r="H29" i="10"/>
  <c r="H28" i="10"/>
  <c r="H27" i="10"/>
  <c r="H26" i="10"/>
  <c r="H25" i="10"/>
  <c r="H30" i="10" s="1"/>
  <c r="H23" i="10"/>
  <c r="H22" i="10"/>
  <c r="H21" i="11"/>
  <c r="H22" i="11"/>
  <c r="H23" i="11"/>
  <c r="H17" i="3"/>
  <c r="B7" i="2"/>
  <c r="A7" i="2" s="1"/>
  <c r="B8" i="2"/>
  <c r="M8" i="2"/>
  <c r="B9" i="2"/>
  <c r="M9" i="2"/>
  <c r="B10" i="2"/>
  <c r="A10" i="2" s="1"/>
  <c r="M10" i="2"/>
  <c r="B11" i="2"/>
  <c r="A11" i="2" s="1"/>
  <c r="M11" i="2"/>
  <c r="B12" i="2"/>
  <c r="A12" i="2" s="1"/>
  <c r="M12" i="2"/>
  <c r="B13" i="2"/>
  <c r="A13" i="2" s="1"/>
  <c r="M13" i="2"/>
  <c r="B14" i="2"/>
  <c r="K14" i="2" s="1"/>
  <c r="M14" i="2"/>
  <c r="B15" i="2"/>
  <c r="A15" i="2" s="1"/>
  <c r="B16" i="2"/>
  <c r="A16" i="2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5" i="11"/>
  <c r="H26" i="11"/>
  <c r="H27" i="11"/>
  <c r="H28" i="11"/>
  <c r="H29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7" i="11"/>
  <c r="H48" i="11"/>
  <c r="H49" i="11"/>
  <c r="H50" i="11"/>
  <c r="H51" i="11"/>
  <c r="H52" i="11"/>
  <c r="H53" i="11"/>
  <c r="H56" i="11"/>
  <c r="E7" i="2"/>
  <c r="H57" i="11"/>
  <c r="H58" i="11"/>
  <c r="H61" i="1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31" i="14"/>
  <c r="H32" i="14"/>
  <c r="H33" i="14"/>
  <c r="H34" i="14"/>
  <c r="H35" i="14"/>
  <c r="H36" i="14"/>
  <c r="H37" i="14"/>
  <c r="H38" i="14"/>
  <c r="H39" i="14"/>
  <c r="H40" i="14"/>
  <c r="H47" i="14" s="1"/>
  <c r="H41" i="14"/>
  <c r="H42" i="14"/>
  <c r="H43" i="14"/>
  <c r="H44" i="14"/>
  <c r="H45" i="14"/>
  <c r="H46" i="14"/>
  <c r="H48" i="14"/>
  <c r="H49" i="14"/>
  <c r="H50" i="14"/>
  <c r="H51" i="14"/>
  <c r="H52" i="14"/>
  <c r="H53" i="14"/>
  <c r="H54" i="14"/>
  <c r="G57" i="14"/>
  <c r="H57" i="14" s="1"/>
  <c r="H58" i="14"/>
  <c r="D16" i="2"/>
  <c r="H59" i="14"/>
  <c r="E16" i="2" s="1"/>
  <c r="H60" i="14"/>
  <c r="H61" i="14"/>
  <c r="H62" i="14"/>
  <c r="H63" i="14"/>
  <c r="H64" i="14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8" i="10"/>
  <c r="H49" i="10"/>
  <c r="H50" i="10"/>
  <c r="H51" i="10"/>
  <c r="H52" i="10"/>
  <c r="H53" i="10"/>
  <c r="H54" i="10"/>
  <c r="H57" i="10"/>
  <c r="E8" i="2" s="1"/>
  <c r="H58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0" i="9"/>
  <c r="H51" i="9"/>
  <c r="H52" i="9"/>
  <c r="H53" i="9"/>
  <c r="H54" i="9"/>
  <c r="H57" i="9"/>
  <c r="E9" i="2" s="1"/>
  <c r="H58" i="9"/>
  <c r="H59" i="9"/>
  <c r="H60" i="9"/>
  <c r="H61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8" i="8"/>
  <c r="H49" i="8"/>
  <c r="H50" i="8"/>
  <c r="H51" i="8"/>
  <c r="H52" i="8"/>
  <c r="H53" i="8"/>
  <c r="H54" i="8"/>
  <c r="H57" i="8"/>
  <c r="H58" i="8"/>
  <c r="H59" i="8"/>
  <c r="H60" i="8"/>
  <c r="H61" i="8"/>
  <c r="H62" i="8"/>
  <c r="H63" i="8"/>
  <c r="H10" i="2" s="1"/>
  <c r="H64" i="8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0" i="7"/>
  <c r="H51" i="7"/>
  <c r="H52" i="7"/>
  <c r="H53" i="7"/>
  <c r="H54" i="7"/>
  <c r="H57" i="7"/>
  <c r="H58" i="7"/>
  <c r="H59" i="7"/>
  <c r="H60" i="7"/>
  <c r="H61" i="7"/>
  <c r="H62" i="7"/>
  <c r="H63" i="7"/>
  <c r="H11" i="2" s="1"/>
  <c r="H64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3" i="6"/>
  <c r="H54" i="6"/>
  <c r="G57" i="6"/>
  <c r="H57" i="6" s="1"/>
  <c r="H58" i="6"/>
  <c r="H59" i="6"/>
  <c r="H60" i="6"/>
  <c r="H61" i="6"/>
  <c r="H62" i="6"/>
  <c r="H63" i="6"/>
  <c r="H12" i="2" s="1"/>
  <c r="H64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G57" i="5"/>
  <c r="H57" i="5" s="1"/>
  <c r="E13" i="2" s="1"/>
  <c r="H58" i="5"/>
  <c r="H59" i="5"/>
  <c r="H60" i="5"/>
  <c r="H61" i="5"/>
  <c r="H62" i="5"/>
  <c r="H63" i="5"/>
  <c r="H13" i="2" s="1"/>
  <c r="H64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G57" i="4"/>
  <c r="H57" i="4" s="1"/>
  <c r="H58" i="4"/>
  <c r="H59" i="4"/>
  <c r="H60" i="4"/>
  <c r="H61" i="4"/>
  <c r="H62" i="4"/>
  <c r="H63" i="4"/>
  <c r="H14" i="2" s="1"/>
  <c r="H64" i="4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G7" i="1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0" i="15"/>
  <c r="H51" i="15"/>
  <c r="H52" i="15"/>
  <c r="H53" i="15"/>
  <c r="H54" i="15"/>
  <c r="G57" i="15"/>
  <c r="H57" i="15" s="1"/>
  <c r="D15" i="2" s="1"/>
  <c r="H58" i="15"/>
  <c r="H59" i="15"/>
  <c r="H60" i="15"/>
  <c r="H61" i="15"/>
  <c r="H62" i="15"/>
  <c r="H63" i="15"/>
  <c r="H64" i="15"/>
  <c r="H15" i="2" s="1"/>
  <c r="G12" i="1"/>
  <c r="H12" i="1"/>
  <c r="G13" i="1"/>
  <c r="H13" i="1"/>
  <c r="G14" i="1"/>
  <c r="H14" i="1"/>
  <c r="G15" i="1"/>
  <c r="G16" i="1"/>
  <c r="G17" i="1"/>
  <c r="G18" i="1"/>
  <c r="G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H3" i="3"/>
  <c r="H4" i="3"/>
  <c r="H5" i="3"/>
  <c r="H6" i="3"/>
  <c r="H7" i="3"/>
  <c r="H8" i="3"/>
  <c r="H15" i="3"/>
  <c r="H16" i="3" s="1"/>
  <c r="I24" i="1" s="1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6" i="3"/>
  <c r="I25" i="1" s="1"/>
  <c r="H57" i="3"/>
  <c r="I26" i="1" s="1"/>
  <c r="H58" i="3"/>
  <c r="I27" i="1" s="1"/>
  <c r="H59" i="3"/>
  <c r="I28" i="1" s="1"/>
  <c r="H60" i="3"/>
  <c r="I29" i="1" s="1"/>
  <c r="H61" i="3"/>
  <c r="I30" i="1" s="1"/>
  <c r="H62" i="3"/>
  <c r="I31" i="1" s="1"/>
  <c r="I12" i="2"/>
  <c r="I11" i="2"/>
  <c r="L13" i="2"/>
  <c r="L11" i="2"/>
  <c r="L16" i="2"/>
  <c r="K15" i="2"/>
  <c r="K11" i="2"/>
  <c r="K10" i="2"/>
  <c r="H62" i="9"/>
  <c r="H63" i="9"/>
  <c r="H9" i="2" s="1"/>
  <c r="H64" i="9"/>
  <c r="H17" i="1"/>
  <c r="H59" i="11"/>
  <c r="H15" i="1"/>
  <c r="A14" i="2"/>
  <c r="H59" i="10"/>
  <c r="H60" i="11"/>
  <c r="H16" i="1"/>
  <c r="H60" i="10"/>
  <c r="H61" i="10"/>
  <c r="H62" i="10"/>
  <c r="H64" i="10"/>
  <c r="H63" i="10"/>
  <c r="H8" i="2" s="1"/>
  <c r="H19" i="1"/>
  <c r="H63" i="11"/>
  <c r="H30" i="8" l="1"/>
  <c r="H24" i="15"/>
  <c r="H24" i="6"/>
  <c r="F7" i="2"/>
  <c r="G15" i="2"/>
  <c r="G11" i="2"/>
  <c r="H30" i="6"/>
  <c r="H55" i="14"/>
  <c r="H24" i="14"/>
  <c r="I13" i="2"/>
  <c r="H66" i="5" s="1"/>
  <c r="H55" i="6"/>
  <c r="H30" i="9"/>
  <c r="H30" i="4"/>
  <c r="H30" i="7"/>
  <c r="K13" i="2"/>
  <c r="H55" i="15"/>
  <c r="G9" i="2"/>
  <c r="H30" i="5"/>
  <c r="H30" i="11"/>
  <c r="H66" i="7"/>
  <c r="H54" i="3"/>
  <c r="I15" i="1"/>
  <c r="G14" i="2"/>
  <c r="G10" i="2"/>
  <c r="H63" i="3"/>
  <c r="L10" i="2"/>
  <c r="K12" i="2"/>
  <c r="I10" i="2"/>
  <c r="I14" i="2"/>
  <c r="I32" i="1"/>
  <c r="F10" i="2"/>
  <c r="G16" i="2"/>
  <c r="H30" i="14"/>
  <c r="H56" i="14" s="1"/>
  <c r="L12" i="2"/>
  <c r="H66" i="6" s="1"/>
  <c r="G13" i="2"/>
  <c r="H47" i="10"/>
  <c r="E14" i="2"/>
  <c r="H65" i="4"/>
  <c r="I12" i="1"/>
  <c r="H9" i="3"/>
  <c r="H55" i="5"/>
  <c r="H24" i="7"/>
  <c r="H47" i="8"/>
  <c r="H24" i="8"/>
  <c r="H55" i="9"/>
  <c r="H47" i="9"/>
  <c r="H24" i="10"/>
  <c r="A8" i="2"/>
  <c r="A9" i="2" s="1"/>
  <c r="F12" i="2"/>
  <c r="H24" i="9"/>
  <c r="H65" i="14"/>
  <c r="H16" i="2" s="1"/>
  <c r="H54" i="11"/>
  <c r="H46" i="11"/>
  <c r="H24" i="11"/>
  <c r="H30" i="15"/>
  <c r="G8" i="2"/>
  <c r="I16" i="1"/>
  <c r="E15" i="2"/>
  <c r="H65" i="15"/>
  <c r="F15" i="2" s="1"/>
  <c r="F14" i="2"/>
  <c r="I14" i="1"/>
  <c r="H55" i="4"/>
  <c r="H47" i="4"/>
  <c r="H24" i="4"/>
  <c r="H47" i="5"/>
  <c r="H24" i="5"/>
  <c r="F11" i="2"/>
  <c r="H55" i="7"/>
  <c r="H47" i="7"/>
  <c r="E10" i="2"/>
  <c r="H65" i="8"/>
  <c r="H55" i="8"/>
  <c r="H65" i="9"/>
  <c r="H65" i="10"/>
  <c r="I13" i="1"/>
  <c r="F8" i="2"/>
  <c r="H55" i="10"/>
  <c r="H65" i="5"/>
  <c r="F9" i="2"/>
  <c r="I19" i="1"/>
  <c r="H47" i="15"/>
  <c r="H56" i="15" s="1"/>
  <c r="F13" i="2"/>
  <c r="G12" i="2"/>
  <c r="E12" i="2"/>
  <c r="H65" i="6"/>
  <c r="H47" i="6"/>
  <c r="E11" i="2"/>
  <c r="H65" i="7"/>
  <c r="I17" i="1"/>
  <c r="G7" i="2"/>
  <c r="L14" i="2"/>
  <c r="I16" i="2"/>
  <c r="K16" i="2"/>
  <c r="L15" i="2"/>
  <c r="I15" i="2"/>
  <c r="H56" i="6" l="1"/>
  <c r="H55" i="3"/>
  <c r="I7" i="1"/>
  <c r="H56" i="5"/>
  <c r="H66" i="8"/>
  <c r="I10" i="1"/>
  <c r="J39" i="1" s="1"/>
  <c r="I39" i="1" s="1"/>
  <c r="H56" i="9"/>
  <c r="D9" i="2" s="1"/>
  <c r="H55" i="11"/>
  <c r="D7" i="2" s="1"/>
  <c r="H56" i="8"/>
  <c r="D10" i="2" s="1"/>
  <c r="J15" i="2"/>
  <c r="D13" i="2"/>
  <c r="H69" i="5"/>
  <c r="H62" i="11"/>
  <c r="H18" i="1"/>
  <c r="I8" i="1"/>
  <c r="D12" i="2"/>
  <c r="H69" i="6"/>
  <c r="H66" i="15"/>
  <c r="H69" i="15" s="1"/>
  <c r="M15" i="2" s="1"/>
  <c r="H66" i="14"/>
  <c r="F16" i="2" s="1"/>
  <c r="H66" i="4"/>
  <c r="G17" i="2"/>
  <c r="I9" i="1"/>
  <c r="H56" i="10"/>
  <c r="P9" i="2"/>
  <c r="E17" i="2"/>
  <c r="H56" i="7"/>
  <c r="H56" i="4"/>
  <c r="I23" i="1" l="1"/>
  <c r="H65" i="3"/>
  <c r="H66" i="3" s="1"/>
  <c r="H69" i="8"/>
  <c r="I11" i="1"/>
  <c r="N15" i="2"/>
  <c r="P15" i="2"/>
  <c r="D11" i="2"/>
  <c r="H69" i="7"/>
  <c r="D8" i="2"/>
  <c r="H69" i="10"/>
  <c r="J16" i="2"/>
  <c r="F17" i="2"/>
  <c r="P13" i="2"/>
  <c r="J13" i="2"/>
  <c r="N13" i="2" s="1"/>
  <c r="D14" i="2"/>
  <c r="H69" i="4"/>
  <c r="J10" i="2"/>
  <c r="N10" i="2" s="1"/>
  <c r="P10" i="2"/>
  <c r="H69" i="14"/>
  <c r="M16" i="2" s="1"/>
  <c r="P16" i="2" s="1"/>
  <c r="P12" i="2"/>
  <c r="J12" i="2"/>
  <c r="N12" i="2" s="1"/>
  <c r="I18" i="1"/>
  <c r="I20" i="1" s="1"/>
  <c r="H64" i="11"/>
  <c r="H66" i="11" s="1"/>
  <c r="H67" i="11" s="1"/>
  <c r="H7" i="2"/>
  <c r="H67" i="3" l="1"/>
  <c r="I35" i="1"/>
  <c r="I33" i="1"/>
  <c r="I34" i="1" s="1"/>
  <c r="N16" i="2"/>
  <c r="C26" i="16" s="1"/>
  <c r="C20" i="16"/>
  <c r="G20" i="16"/>
  <c r="H20" i="16"/>
  <c r="E20" i="16"/>
  <c r="G23" i="16"/>
  <c r="H23" i="16"/>
  <c r="C23" i="16"/>
  <c r="E23" i="16"/>
  <c r="H17" i="2"/>
  <c r="I36" i="1"/>
  <c r="I37" i="1" s="1"/>
  <c r="G22" i="16"/>
  <c r="H22" i="16"/>
  <c r="C22" i="16"/>
  <c r="E22" i="16"/>
  <c r="P14" i="2"/>
  <c r="J14" i="2"/>
  <c r="N14" i="2" s="1"/>
  <c r="P8" i="2"/>
  <c r="D17" i="2"/>
  <c r="P11" i="2"/>
  <c r="J11" i="2"/>
  <c r="N11" i="2" s="1"/>
  <c r="G25" i="16"/>
  <c r="H25" i="16"/>
  <c r="E25" i="16"/>
  <c r="C25" i="16"/>
  <c r="H26" i="16" l="1"/>
  <c r="E26" i="16"/>
  <c r="G26" i="16"/>
  <c r="G24" i="16"/>
  <c r="E24" i="16"/>
  <c r="H24" i="16"/>
  <c r="C24" i="16"/>
  <c r="G21" i="16"/>
  <c r="E21" i="16"/>
  <c r="H21" i="16"/>
  <c r="C21" i="16"/>
  <c r="I40" i="1"/>
  <c r="I21" i="1" l="1"/>
  <c r="I22" i="1" s="1"/>
  <c r="I42" i="1" s="1"/>
  <c r="I41" i="1"/>
  <c r="H68" i="11"/>
  <c r="M7" i="2"/>
  <c r="M17" i="2" l="1"/>
  <c r="P7" i="2"/>
  <c r="P17" i="2" l="1"/>
  <c r="I7" i="2" s="1"/>
  <c r="L7" i="2" l="1"/>
  <c r="K7" i="2"/>
  <c r="J7" i="2"/>
  <c r="I9" i="2"/>
  <c r="J9" i="2" s="1"/>
  <c r="L9" i="2"/>
  <c r="K9" i="2"/>
  <c r="I8" i="2"/>
  <c r="J8" i="2" s="1"/>
  <c r="L8" i="2"/>
  <c r="K8" i="2"/>
  <c r="N7" i="2" l="1"/>
  <c r="E17" i="16" s="1"/>
  <c r="L17" i="2"/>
  <c r="K17" i="2"/>
  <c r="N8" i="2"/>
  <c r="I17" i="2"/>
  <c r="N9" i="2"/>
  <c r="G17" i="16" l="1"/>
  <c r="F17" i="16"/>
  <c r="F27" i="16" s="1"/>
  <c r="G19" i="16"/>
  <c r="C19" i="16"/>
  <c r="H19" i="16"/>
  <c r="E19" i="16"/>
  <c r="C18" i="16"/>
  <c r="E18" i="16"/>
  <c r="G18" i="16"/>
  <c r="H18" i="16"/>
  <c r="N17" i="2"/>
  <c r="L18" i="2" s="1"/>
  <c r="J17" i="2"/>
  <c r="G27" i="16" l="1"/>
  <c r="E27" i="16"/>
  <c r="J18" i="2"/>
  <c r="N18" i="2"/>
  <c r="G18" i="2"/>
  <c r="E18" i="2"/>
  <c r="F18" i="2"/>
  <c r="H18" i="2"/>
  <c r="D18" i="2"/>
  <c r="N20" i="2"/>
  <c r="M18" i="2"/>
  <c r="K18" i="2"/>
  <c r="I18" i="2"/>
</calcChain>
</file>

<file path=xl/sharedStrings.xml><?xml version="1.0" encoding="utf-8"?>
<sst xmlns="http://schemas.openxmlformats.org/spreadsheetml/2006/main" count="692" uniqueCount="219">
  <si>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</si>
  <si>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</si>
  <si>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</si>
  <si>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</si>
  <si>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</si>
  <si>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</si>
  <si>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</si>
  <si>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</si>
  <si>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</si>
  <si>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</si>
  <si>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</si>
  <si>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</si>
  <si>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</si>
  <si>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</si>
  <si>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</si>
  <si>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</si>
  <si>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</si>
  <si>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</si>
  <si>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</si>
  <si>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</si>
  <si>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</si>
  <si>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</si>
  <si>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</si>
  <si>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</si>
  <si>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</si>
  <si>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</si>
  <si>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</si>
  <si>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</si>
  <si>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</si>
  <si>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</si>
  <si>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</si>
  <si>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</si>
  <si>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</si>
  <si>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</si>
  <si>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</si>
  <si>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</si>
  <si>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</si>
  <si>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</si>
  <si>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</si>
  <si>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</si>
  <si>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</si>
  <si>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</si>
  <si>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</si>
  <si>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</si>
  <si>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</si>
  <si>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</si>
  <si>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</si>
  <si>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</si>
  <si>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</si>
  <si>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</si>
  <si>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</si>
  <si>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</si>
  <si>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</si>
  <si>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</si>
  <si>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</si>
  <si>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</si>
  <si>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</si>
  <si>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</si>
  <si>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</si>
  <si>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</si>
  <si>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</si>
  <si>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</si>
  <si>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</si>
  <si>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</si>
  <si>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</si>
  <si>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</si>
  <si>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</si>
  <si>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</si>
  <si>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</si>
  <si>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</si>
  <si>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</si>
  <si>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</si>
  <si>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</si>
  <si>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</si>
  <si>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</si>
  <si>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</si>
  <si>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</si>
  <si>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</si>
  <si>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전기부문(공통)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</si>
  <si>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</si>
  <si>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</si>
  <si>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</si>
  <si>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</si>
  <si>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</si>
  <si>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</si>
  <si>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</si>
  <si>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</si>
  <si>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</si>
  <si>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</si>
  <si>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</si>
  <si>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</si>
  <si>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</si>
  <si>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</si>
  <si>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</si>
  <si>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</si>
  <si>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</si>
  <si>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</si>
  <si>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</si>
  <si>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</si>
  <si>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</si>
  <si>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</si>
  <si>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</si>
  <si>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</si>
  <si>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</si>
  <si>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</si>
  <si>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</si>
  <si>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전기 시운전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</si>
  <si>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</si>
  <si>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</si>
  <si>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</si>
  <si>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</si>
  <si>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</si>
  <si>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</si>
  <si>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</si>
  <si>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</si>
  <si>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</si>
  <si>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</si>
  <si>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</si>
  <si>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</si>
  <si>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</si>
  <si>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</si>
  <si>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</si>
  <si>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</si>
  <si>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</si>
  <si>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</si>
  <si>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견적담당:</t>
    <phoneticPr fontId="2" type="noConversion"/>
  </si>
  <si>
    <t>연 락 처 :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</si>
  <si>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</si>
  <si>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</si>
  <si>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</si>
  <si>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</si>
  <si>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</si>
  <si>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</si>
  <si>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</si>
  <si>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</si>
  <si>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</si>
  <si>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</si>
  <si>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</si>
  <si>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</si>
  <si>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</si>
  <si>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</si>
  <si>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</si>
  <si>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</si>
  <si>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</si>
  <si>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</si>
  <si>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</si>
  <si>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</si>
  <si>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</si>
  <si>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</si>
  <si>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</si>
  <si>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</si>
  <si>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</si>
  <si>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</si>
  <si>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</si>
  <si>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</si>
  <si>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</si>
  <si>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</si>
  <si>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</si>
  <si>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</si>
  <si>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</si>
  <si>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</si>
  <si>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</si>
  <si>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</si>
  <si>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</si>
  <si>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</si>
  <si>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설치/철거/수리  0.4억 이상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</si>
  <si>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ⓐ3.09%,ⓑ1.99%+기초액(5,499천원),ⓒ2.10%(50억 이상일경우)</t>
    </r>
    <phoneticPr fontId="2" type="noConversion"/>
  </si>
  <si>
    <t>위아內
설치/시운전</t>
    <phoneticPr fontId="2" type="noConversion"/>
  </si>
  <si>
    <t>현대위아 貴下</t>
    <phoneticPr fontId="2" type="noConversion"/>
  </si>
  <si>
    <t>SET</t>
    <phoneticPr fontId="2" type="noConversion"/>
  </si>
  <si>
    <t>식</t>
    <phoneticPr fontId="2" type="noConversion"/>
  </si>
  <si>
    <t>일회용 작업복</t>
    <phoneticPr fontId="2" type="noConversion"/>
  </si>
  <si>
    <t>EA</t>
    <phoneticPr fontId="2" type="noConversion"/>
  </si>
  <si>
    <t>전기 양산대응(납품시운전 포함)</t>
    <phoneticPr fontId="2" type="noConversion"/>
  </si>
  <si>
    <t>Kg</t>
    <phoneticPr fontId="2" type="noConversion"/>
  </si>
  <si>
    <t xml:space="preserve">흡착 부직포 </t>
    <phoneticPr fontId="2" type="noConversion"/>
  </si>
  <si>
    <t>보루</t>
    <phoneticPr fontId="2" type="noConversion"/>
  </si>
  <si>
    <t>포</t>
    <phoneticPr fontId="2" type="noConversion"/>
  </si>
  <si>
    <t>기계 분해</t>
    <phoneticPr fontId="2" type="noConversion"/>
  </si>
  <si>
    <t>커버 산처리</t>
    <phoneticPr fontId="2" type="noConversion"/>
  </si>
  <si>
    <t>분체도장</t>
    <phoneticPr fontId="2" type="noConversion"/>
  </si>
  <si>
    <t>HB</t>
    <phoneticPr fontId="2" type="noConversion"/>
  </si>
  <si>
    <t>커버 사상작업</t>
    <phoneticPr fontId="2" type="noConversion"/>
  </si>
  <si>
    <t>M/D</t>
    <phoneticPr fontId="2" type="noConversion"/>
  </si>
  <si>
    <t>대표 : 김 회윤</t>
    <phoneticPr fontId="2" type="noConversion"/>
  </si>
  <si>
    <t>㈜ 지  팩</t>
    <phoneticPr fontId="2" type="noConversion"/>
  </si>
  <si>
    <r>
      <t xml:space="preserve">주소 </t>
    </r>
    <r>
      <rPr>
        <sz val="11"/>
        <rFont val="굴림"/>
        <family val="3"/>
        <charset val="129"/>
      </rPr>
      <t>: 경남 김해시 서부로 1701번길 328</t>
    </r>
    <phoneticPr fontId="2" type="noConversion"/>
  </si>
  <si>
    <t xml:space="preserve">        (덕암리)</t>
    <phoneticPr fontId="2" type="noConversion"/>
  </si>
  <si>
    <r>
      <t>전화:</t>
    </r>
    <r>
      <rPr>
        <sz val="11"/>
        <rFont val="굴림"/>
        <family val="3"/>
        <charset val="129"/>
      </rPr>
      <t xml:space="preserve"> 055-343-7848</t>
    </r>
    <phoneticPr fontId="2" type="noConversion"/>
  </si>
  <si>
    <t>Fax: 055-343-7849</t>
    <phoneticPr fontId="2" type="noConversion"/>
  </si>
  <si>
    <t>30일</t>
    <phoneticPr fontId="2" type="noConversion"/>
  </si>
  <si>
    <r>
      <t>D</t>
    </r>
    <r>
      <rPr>
        <sz val="11"/>
        <rFont val="굴림"/>
        <family val="3"/>
        <charset val="129"/>
      </rPr>
      <t>MG</t>
    </r>
    <phoneticPr fontId="2" type="noConversion"/>
  </si>
  <si>
    <t>기존설비 분해</t>
    <phoneticPr fontId="2" type="noConversion"/>
  </si>
  <si>
    <t>전기 설치</t>
    <phoneticPr fontId="2" type="noConversion"/>
  </si>
  <si>
    <t>세척제 외</t>
    <phoneticPr fontId="2" type="noConversion"/>
  </si>
  <si>
    <t>식</t>
    <phoneticPr fontId="2" type="noConversion"/>
  </si>
  <si>
    <t>기계 세척</t>
    <phoneticPr fontId="2" type="noConversion"/>
  </si>
  <si>
    <t>기계 가공</t>
    <phoneticPr fontId="2" type="noConversion"/>
  </si>
  <si>
    <t>DMG</t>
    <phoneticPr fontId="2" type="noConversion"/>
  </si>
  <si>
    <t>김일영</t>
    <phoneticPr fontId="2" type="noConversion"/>
  </si>
  <si>
    <t>010-2555-1869</t>
    <phoneticPr fontId="2" type="noConversion"/>
  </si>
  <si>
    <t>각축LM,B/S,인덱스테이블,펌프</t>
    <phoneticPr fontId="2" type="noConversion"/>
  </si>
  <si>
    <t>오링</t>
    <phoneticPr fontId="2" type="noConversion"/>
  </si>
  <si>
    <t>고압호스</t>
    <phoneticPr fontId="2" type="noConversion"/>
  </si>
  <si>
    <t>식</t>
    <phoneticPr fontId="2" type="noConversion"/>
  </si>
  <si>
    <t>0.75*3C, 0.75*20C 외</t>
    <phoneticPr fontId="2" type="noConversion"/>
  </si>
  <si>
    <t xml:space="preserve"> LAPP CABLE</t>
    <phoneticPr fontId="2" type="noConversion"/>
  </si>
  <si>
    <t>SENSOR CABLE</t>
    <phoneticPr fontId="2" type="noConversion"/>
  </si>
  <si>
    <t>M12-5M</t>
    <phoneticPr fontId="2" type="noConversion"/>
  </si>
  <si>
    <t>WORK LIGHT</t>
    <phoneticPr fontId="2" type="noConversion"/>
  </si>
  <si>
    <t>220V LED</t>
    <phoneticPr fontId="2" type="noConversion"/>
  </si>
  <si>
    <t>각종소모부품</t>
    <phoneticPr fontId="2" type="noConversion"/>
  </si>
  <si>
    <t>마그넷,단자대 외</t>
    <phoneticPr fontId="2" type="noConversion"/>
  </si>
  <si>
    <t>핀,타이 외</t>
    <phoneticPr fontId="2" type="noConversion"/>
  </si>
  <si>
    <t>소모부품 외</t>
    <phoneticPr fontId="2" type="noConversion"/>
  </si>
  <si>
    <t>견적금액 :</t>
    <phoneticPr fontId="2" type="noConversion"/>
  </si>
  <si>
    <t>2023. 06. 10</t>
    <phoneticPr fontId="2" type="noConversion"/>
  </si>
  <si>
    <t>Q2023060003872</t>
    <phoneticPr fontId="2" type="noConversion"/>
  </si>
  <si>
    <t xml:space="preserve"> 一金 일억이천오백만원整(\125,00,000)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</si>
</sst>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mm&quot;월&quot;\ dd&quot;일&quot;"/>
  </numFmts>
  <fonts count="29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u val="double"/>
      <sz val="12"/>
      <name val="굴림"/>
      <family val="3"/>
      <charset val="129"/>
    </font>
    <font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9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3" fontId="5" fillId="0" borderId="10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vertical="center" wrapText="1"/>
    </xf>
    <xf numFmtId="3" fontId="5" fillId="0" borderId="14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19" xfId="0" applyNumberFormat="1" applyFont="1" applyBorder="1" applyAlignment="1">
      <alignment horizontal="center" vertical="center"/>
    </xf>
    <xf numFmtId="177" fontId="5" fillId="0" borderId="17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vertical="center"/>
    </xf>
    <xf numFmtId="177" fontId="4" fillId="0" borderId="2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24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Border="1" applyAlignment="1">
      <alignment vertical="center"/>
    </xf>
    <xf numFmtId="3" fontId="5" fillId="0" borderId="29" xfId="0" applyNumberFormat="1" applyFont="1" applyBorder="1" applyAlignment="1">
      <alignment vertical="center"/>
    </xf>
    <xf numFmtId="3" fontId="5" fillId="0" borderId="30" xfId="0" applyNumberFormat="1" applyFont="1" applyBorder="1" applyAlignment="1">
      <alignment horizontal="left" vertical="center"/>
    </xf>
    <xf numFmtId="177" fontId="4" fillId="0" borderId="31" xfId="0" applyNumberFormat="1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77" fontId="5" fillId="0" borderId="2" xfId="0" applyNumberFormat="1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5" fillId="0" borderId="41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3" fontId="5" fillId="0" borderId="54" xfId="0" applyNumberFormat="1" applyFont="1" applyBorder="1" applyAlignment="1">
      <alignment vertical="center"/>
    </xf>
    <xf numFmtId="177" fontId="4" fillId="0" borderId="17" xfId="0" applyNumberFormat="1" applyFont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Border="1" applyAlignment="1">
      <alignment horizontal="left" vertical="center"/>
    </xf>
    <xf numFmtId="178" fontId="1" fillId="0" borderId="63" xfId="0" applyNumberFormat="1" applyFont="1" applyBorder="1" applyAlignment="1">
      <alignment vertical="center"/>
    </xf>
    <xf numFmtId="178" fontId="0" fillId="0" borderId="64" xfId="0" applyNumberFormat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Border="1" applyAlignment="1">
      <alignment horizontal="left" vertical="center"/>
    </xf>
    <xf numFmtId="178" fontId="1" fillId="0" borderId="4" xfId="0" applyNumberFormat="1" applyFon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Border="1" applyAlignment="1">
      <alignment horizontal="left" vertical="center"/>
    </xf>
    <xf numFmtId="178" fontId="1" fillId="0" borderId="23" xfId="0" applyNumberFormat="1" applyFont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70" xfId="0" applyNumberFormat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178" fontId="1" fillId="0" borderId="72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73" xfId="0" applyFont="1" applyBorder="1" applyAlignment="1">
      <alignment horizontal="center" vertical="center"/>
    </xf>
    <xf numFmtId="178" fontId="1" fillId="0" borderId="74" xfId="0" applyNumberFormat="1" applyFont="1" applyBorder="1" applyAlignment="1">
      <alignment horizontal="right" vertical="center"/>
    </xf>
    <xf numFmtId="0" fontId="1" fillId="0" borderId="73" xfId="0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178" fontId="1" fillId="0" borderId="23" xfId="0" applyNumberFormat="1" applyFont="1" applyBorder="1" applyAlignment="1">
      <alignment horizontal="right" vertical="center"/>
    </xf>
    <xf numFmtId="0" fontId="1" fillId="0" borderId="3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78" fontId="1" fillId="0" borderId="75" xfId="0" applyNumberFormat="1" applyFont="1" applyBorder="1" applyAlignment="1">
      <alignment vertical="center"/>
    </xf>
    <xf numFmtId="178" fontId="1" fillId="0" borderId="76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178" fontId="1" fillId="0" borderId="77" xfId="0" applyNumberFormat="1" applyFont="1" applyBorder="1" applyAlignment="1">
      <alignment horizontal="right" vertical="center"/>
    </xf>
    <xf numFmtId="0" fontId="0" fillId="0" borderId="79" xfId="0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178" fontId="1" fillId="0" borderId="80" xfId="0" applyNumberFormat="1" applyFont="1" applyBorder="1" applyAlignment="1">
      <alignment horizontal="right" vertical="center"/>
    </xf>
    <xf numFmtId="178" fontId="1" fillId="0" borderId="46" xfId="0" applyNumberFormat="1" applyFont="1" applyBorder="1" applyAlignment="1">
      <alignment horizontal="right" vertical="center"/>
    </xf>
    <xf numFmtId="178" fontId="1" fillId="0" borderId="50" xfId="0" applyNumberFormat="1" applyFont="1" applyBorder="1" applyAlignment="1">
      <alignment horizontal="right" vertical="center"/>
    </xf>
    <xf numFmtId="178" fontId="4" fillId="3" borderId="27" xfId="0" applyNumberFormat="1" applyFont="1" applyFill="1" applyBorder="1" applyAlignment="1">
      <alignment vertical="center"/>
    </xf>
    <xf numFmtId="0" fontId="1" fillId="0" borderId="8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178" fontId="1" fillId="0" borderId="82" xfId="0" applyNumberFormat="1" applyFont="1" applyBorder="1" applyAlignment="1">
      <alignment horizontal="right" vertical="center"/>
    </xf>
    <xf numFmtId="178" fontId="1" fillId="0" borderId="13" xfId="0" applyNumberFormat="1" applyFont="1" applyBorder="1" applyAlignment="1">
      <alignment horizontal="right" vertical="center"/>
    </xf>
    <xf numFmtId="178" fontId="1" fillId="0" borderId="83" xfId="0" applyNumberFormat="1" applyFont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178" fontId="1" fillId="0" borderId="89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vertical="center"/>
    </xf>
    <xf numFmtId="178" fontId="1" fillId="0" borderId="8" xfId="0" applyNumberFormat="1" applyFont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79" xfId="1" applyFont="1" applyBorder="1" applyAlignment="1">
      <alignment vertical="center"/>
    </xf>
    <xf numFmtId="9" fontId="3" fillId="0" borderId="90" xfId="1" applyFont="1" applyBorder="1" applyAlignment="1">
      <alignment vertical="center"/>
    </xf>
    <xf numFmtId="9" fontId="3" fillId="0" borderId="79" xfId="1" applyFont="1" applyFill="1" applyBorder="1" applyAlignment="1">
      <alignment vertical="center"/>
    </xf>
    <xf numFmtId="9" fontId="3" fillId="0" borderId="91" xfId="1" applyFont="1" applyBorder="1" applyAlignment="1">
      <alignment vertical="center"/>
    </xf>
    <xf numFmtId="9" fontId="3" fillId="0" borderId="92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178" fontId="27" fillId="0" borderId="93" xfId="0" applyNumberFormat="1" applyFont="1" applyBorder="1" applyAlignment="1">
      <alignment vertical="center"/>
    </xf>
    <xf numFmtId="178" fontId="27" fillId="0" borderId="63" xfId="0" applyNumberFormat="1" applyFont="1" applyBorder="1" applyAlignment="1">
      <alignment vertical="center"/>
    </xf>
    <xf numFmtId="178" fontId="27" fillId="0" borderId="94" xfId="0" applyNumberFormat="1" applyFont="1" applyBorder="1" applyAlignment="1">
      <alignment vertical="center"/>
    </xf>
    <xf numFmtId="178" fontId="27" fillId="0" borderId="13" xfId="0" applyNumberFormat="1" applyFont="1" applyBorder="1" applyAlignment="1">
      <alignment vertical="center"/>
    </xf>
    <xf numFmtId="178" fontId="27" fillId="0" borderId="4" xfId="0" applyNumberFormat="1" applyFont="1" applyBorder="1" applyAlignment="1">
      <alignment vertical="center"/>
    </xf>
    <xf numFmtId="178" fontId="27" fillId="0" borderId="5" xfId="0" applyNumberFormat="1" applyFont="1" applyBorder="1" applyAlignment="1">
      <alignment vertical="center"/>
    </xf>
    <xf numFmtId="178" fontId="27" fillId="0" borderId="83" xfId="0" applyNumberFormat="1" applyFont="1" applyBorder="1" applyAlignment="1">
      <alignment vertical="center"/>
    </xf>
    <xf numFmtId="178" fontId="27" fillId="0" borderId="23" xfId="0" applyNumberFormat="1" applyFont="1" applyBorder="1" applyAlignment="1">
      <alignment vertical="center"/>
    </xf>
    <xf numFmtId="178" fontId="27" fillId="0" borderId="9" xfId="0" applyNumberFormat="1" applyFont="1" applyBorder="1" applyAlignment="1">
      <alignment vertical="center"/>
    </xf>
    <xf numFmtId="178" fontId="27" fillId="0" borderId="1" xfId="0" applyNumberFormat="1" applyFont="1" applyBorder="1" applyAlignment="1">
      <alignment vertical="center"/>
    </xf>
    <xf numFmtId="178" fontId="27" fillId="0" borderId="2" xfId="0" applyNumberFormat="1" applyFont="1" applyBorder="1" applyAlignment="1">
      <alignment vertical="center"/>
    </xf>
    <xf numFmtId="178" fontId="27" fillId="0" borderId="40" xfId="0" applyNumberFormat="1" applyFont="1" applyBorder="1" applyAlignment="1">
      <alignment vertical="center"/>
    </xf>
    <xf numFmtId="9" fontId="28" fillId="0" borderId="95" xfId="1" applyFont="1" applyBorder="1" applyAlignment="1">
      <alignment vertical="center"/>
    </xf>
    <xf numFmtId="9" fontId="28" fillId="0" borderId="79" xfId="1" applyFont="1" applyBorder="1" applyAlignment="1">
      <alignment vertical="center"/>
    </xf>
    <xf numFmtId="9" fontId="28" fillId="0" borderId="96" xfId="1" applyFont="1" applyBorder="1" applyAlignment="1">
      <alignment vertical="center"/>
    </xf>
    <xf numFmtId="178" fontId="4" fillId="0" borderId="97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8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2" borderId="99" xfId="0" applyFill="1" applyBorder="1" applyAlignment="1">
      <alignment vertical="center"/>
    </xf>
    <xf numFmtId="178" fontId="0" fillId="2" borderId="99" xfId="0" applyNumberFormat="1" applyFill="1" applyBorder="1" applyAlignment="1">
      <alignment vertical="center"/>
    </xf>
    <xf numFmtId="178" fontId="0" fillId="0" borderId="100" xfId="0" applyNumberFormat="1" applyBorder="1" applyAlignment="1">
      <alignment vertical="center"/>
    </xf>
    <xf numFmtId="0" fontId="0" fillId="0" borderId="99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Border="1" applyAlignment="1">
      <alignment vertical="center"/>
    </xf>
    <xf numFmtId="177" fontId="5" fillId="7" borderId="4" xfId="0" applyNumberFormat="1" applyFont="1" applyFill="1" applyBorder="1" applyAlignment="1">
      <alignment vertical="center"/>
    </xf>
    <xf numFmtId="177" fontId="5" fillId="7" borderId="17" xfId="0" applyNumberFormat="1" applyFont="1" applyFill="1" applyBorder="1" applyAlignment="1">
      <alignment vertical="center"/>
    </xf>
    <xf numFmtId="177" fontId="1" fillId="7" borderId="4" xfId="0" applyNumberFormat="1" applyFont="1" applyFill="1" applyBorder="1" applyAlignment="1">
      <alignment vertical="center"/>
    </xf>
    <xf numFmtId="180" fontId="0" fillId="2" borderId="36" xfId="0" quotePrefix="1" applyNumberForma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126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36" xfId="0" applyFill="1" applyBorder="1" applyAlignment="1">
      <alignment vertical="center" wrapText="1"/>
    </xf>
    <xf numFmtId="0" fontId="0" fillId="2" borderId="39" xfId="0" applyFill="1" applyBorder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0" fontId="0" fillId="0" borderId="105" xfId="0" applyBorder="1" applyAlignment="1">
      <alignment horizontal="left" vertical="center"/>
    </xf>
    <xf numFmtId="0" fontId="1" fillId="0" borderId="80" xfId="0" applyFont="1" applyBorder="1" applyAlignment="1">
      <alignment horizontal="left" vertical="center"/>
    </xf>
    <xf numFmtId="0" fontId="1" fillId="2" borderId="59" xfId="0" applyFont="1" applyFill="1" applyBorder="1" applyAlignment="1">
      <alignment vertical="center"/>
    </xf>
    <xf numFmtId="0" fontId="1" fillId="2" borderId="101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2" borderId="48" xfId="0" applyFont="1" applyFill="1" applyBorder="1" applyAlignment="1">
      <alignment vertical="center"/>
    </xf>
    <xf numFmtId="0" fontId="1" fillId="2" borderId="72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86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1" fillId="2" borderId="10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0" borderId="53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3" xfId="0" applyFont="1" applyFill="1" applyBorder="1" applyAlignment="1">
      <alignment vertical="center"/>
    </xf>
    <xf numFmtId="0" fontId="1" fillId="2" borderId="104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3" fontId="5" fillId="0" borderId="120" xfId="0" applyNumberFormat="1" applyFont="1" applyBorder="1" applyAlignment="1">
      <alignment horizontal="center" vertical="center"/>
    </xf>
    <xf numFmtId="3" fontId="5" fillId="0" borderId="72" xfId="0" applyNumberFormat="1" applyFont="1" applyBorder="1" applyAlignment="1">
      <alignment horizontal="center" vertical="center"/>
    </xf>
    <xf numFmtId="3" fontId="5" fillId="0" borderId="97" xfId="0" applyNumberFormat="1" applyFont="1" applyBorder="1" applyAlignment="1">
      <alignment horizontal="center" vertical="center"/>
    </xf>
    <xf numFmtId="3" fontId="5" fillId="0" borderId="121" xfId="0" applyNumberFormat="1" applyFont="1" applyBorder="1" applyAlignment="1">
      <alignment horizontal="center" vertical="center"/>
    </xf>
    <xf numFmtId="3" fontId="5" fillId="0" borderId="122" xfId="0" applyNumberFormat="1" applyFont="1" applyBorder="1" applyAlignment="1">
      <alignment horizontal="center" vertical="center"/>
    </xf>
    <xf numFmtId="3" fontId="5" fillId="0" borderId="88" xfId="0" applyNumberFormat="1" applyFont="1" applyBorder="1" applyAlignment="1">
      <alignment horizontal="center" vertic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106" xfId="0" applyNumberFormat="1" applyFont="1" applyBorder="1" applyAlignment="1">
      <alignment horizontal="center" vertical="center"/>
    </xf>
    <xf numFmtId="3" fontId="5" fillId="0" borderId="103" xfId="0" applyNumberFormat="1" applyFont="1" applyBorder="1" applyAlignment="1">
      <alignment horizontal="center" vertical="center"/>
    </xf>
    <xf numFmtId="3" fontId="5" fillId="0" borderId="104" xfId="0" applyNumberFormat="1" applyFont="1" applyBorder="1" applyAlignment="1">
      <alignment horizontal="center" vertical="center"/>
    </xf>
    <xf numFmtId="3" fontId="5" fillId="0" borderId="110" xfId="0" applyNumberFormat="1" applyFont="1" applyBorder="1" applyAlignment="1">
      <alignment horizontal="center" vertical="center"/>
    </xf>
    <xf numFmtId="3" fontId="5" fillId="0" borderId="59" xfId="0" applyNumberFormat="1" applyFont="1" applyBorder="1" applyAlignment="1">
      <alignment horizontal="center" vertical="center"/>
    </xf>
    <xf numFmtId="3" fontId="5" fillId="0" borderId="101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123" xfId="0" applyNumberFormat="1" applyFont="1" applyBorder="1" applyAlignment="1">
      <alignment horizontal="center" vertical="center" wrapText="1"/>
    </xf>
    <xf numFmtId="3" fontId="5" fillId="0" borderId="123" xfId="0" applyNumberFormat="1" applyFont="1" applyBorder="1" applyAlignment="1">
      <alignment horizontal="center" vertical="center"/>
    </xf>
    <xf numFmtId="3" fontId="5" fillId="0" borderId="124" xfId="0" applyNumberFormat="1" applyFont="1" applyBorder="1" applyAlignment="1">
      <alignment horizontal="center" vertical="center"/>
    </xf>
    <xf numFmtId="3" fontId="5" fillId="0" borderId="116" xfId="0" applyNumberFormat="1" applyFont="1" applyBorder="1" applyAlignment="1">
      <alignment horizontal="center" vertical="center"/>
    </xf>
    <xf numFmtId="3" fontId="5" fillId="0" borderId="125" xfId="0" applyNumberFormat="1" applyFont="1" applyBorder="1" applyAlignment="1">
      <alignment horizontal="center" vertical="center"/>
    </xf>
    <xf numFmtId="3" fontId="5" fillId="0" borderId="112" xfId="0" applyNumberFormat="1" applyFont="1" applyBorder="1" applyAlignment="1">
      <alignment horizontal="center" vertical="center"/>
    </xf>
    <xf numFmtId="3" fontId="5" fillId="0" borderId="113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78" xfId="0" applyNumberFormat="1" applyFont="1" applyBorder="1" applyAlignment="1">
      <alignment horizontal="center" vertical="center" wrapText="1"/>
    </xf>
    <xf numFmtId="3" fontId="5" fillId="0" borderId="78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02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08" xfId="0" applyNumberFormat="1" applyFont="1" applyBorder="1" applyAlignment="1">
      <alignment horizontal="center" vertical="center"/>
    </xf>
    <xf numFmtId="3" fontId="5" fillId="0" borderId="117" xfId="0" applyNumberFormat="1" applyFont="1" applyBorder="1" applyAlignment="1">
      <alignment horizontal="center" vertical="center"/>
    </xf>
    <xf numFmtId="3" fontId="5" fillId="0" borderId="118" xfId="0" applyNumberFormat="1" applyFont="1" applyBorder="1" applyAlignment="1">
      <alignment horizontal="center" vertical="center"/>
    </xf>
    <xf numFmtId="3" fontId="5" fillId="0" borderId="119" xfId="0" applyNumberFormat="1" applyFont="1" applyBorder="1" applyAlignment="1">
      <alignment horizontal="center" vertical="center"/>
    </xf>
    <xf numFmtId="3" fontId="5" fillId="0" borderId="95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3" fillId="0" borderId="31" xfId="0" quotePrefix="1" applyNumberFormat="1" applyFont="1" applyBorder="1" applyAlignment="1">
      <alignment horizontal="left" vertical="center"/>
    </xf>
    <xf numFmtId="3" fontId="3" fillId="0" borderId="108" xfId="0" quotePrefix="1" applyNumberFormat="1" applyFont="1" applyBorder="1" applyAlignment="1">
      <alignment horizontal="left" vertical="center"/>
    </xf>
    <xf numFmtId="3" fontId="3" fillId="0" borderId="109" xfId="0" quotePrefix="1" applyNumberFormat="1" applyFont="1" applyBorder="1" applyAlignment="1">
      <alignment horizontal="left" vertical="center"/>
    </xf>
    <xf numFmtId="3" fontId="5" fillId="0" borderId="111" xfId="0" applyNumberFormat="1" applyFont="1" applyBorder="1" applyAlignment="1">
      <alignment horizontal="center" vertical="center"/>
    </xf>
    <xf numFmtId="3" fontId="5" fillId="0" borderId="114" xfId="0" applyNumberFormat="1" applyFont="1" applyBorder="1" applyAlignment="1">
      <alignment horizontal="center" vertical="center"/>
    </xf>
    <xf numFmtId="3" fontId="5" fillId="0" borderId="115" xfId="0" applyNumberFormat="1" applyFont="1" applyBorder="1" applyAlignment="1">
      <alignment horizontal="center" vertical="center"/>
    </xf>
    <xf numFmtId="3" fontId="5" fillId="0" borderId="80" xfId="0" applyNumberFormat="1" applyFont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1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3" fillId="0" borderId="59" xfId="0" applyNumberFormat="1" applyFont="1" applyBorder="1" applyAlignment="1">
      <alignment horizontal="left" vertical="center"/>
    </xf>
    <xf numFmtId="3" fontId="3" fillId="0" borderId="101" xfId="0" applyNumberFormat="1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left" vertical="center"/>
    </xf>
    <xf numFmtId="3" fontId="0" fillId="0" borderId="102" xfId="0" quotePrefix="1" applyNumberFormat="1" applyBorder="1" applyAlignment="1">
      <alignment horizontal="left" vertical="center"/>
    </xf>
    <xf numFmtId="3" fontId="0" fillId="0" borderId="7" xfId="0" quotePrefix="1" applyNumberFormat="1" applyBorder="1" applyAlignment="1">
      <alignment horizontal="left" vertical="center"/>
    </xf>
    <xf numFmtId="3" fontId="0" fillId="0" borderId="8" xfId="0" quotePrefix="1" applyNumberFormat="1" applyBorder="1" applyAlignment="1">
      <alignment horizontal="left" vertical="center"/>
    </xf>
    <xf numFmtId="3" fontId="0" fillId="0" borderId="41" xfId="0" applyNumberForma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3" fontId="6" fillId="0" borderId="101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2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178" fontId="0" fillId="0" borderId="54" xfId="0" applyNumberFormat="1" applyFill="1" applyBorder="1" applyAlignment="1">
      <alignment vertical="center"/>
    </xf>
    <xf numFmtId="178" fontId="0" fillId="0" borderId="46" xfId="0" applyNumberFormat="1" applyFill="1" applyBorder="1" applyAlignment="1">
      <alignment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549088</xdr:colOff>
      <xdr:row>3</xdr:row>
      <xdr:rowOff>44823</xdr:rowOff>
    </xdr:from>
    <xdr:to>
      <xdr:col>8</xdr:col>
      <xdr:colOff>134471</xdr:colOff>
      <xdr:row>4</xdr:row>
      <xdr:rowOff>78441</xdr:rowOff>
    </xdr:to>
    <xdr:pic>
      <xdr:nvPicPr>
        <xdr:cNvPr id="2" name="그림 1" descr="지팩로고.jpg">
          <a:extLst>
            <a:ext uri="{FF2B5EF4-FFF2-40B4-BE49-F238E27FC236}">
              <a16:creationId xmlns:a16="http://schemas.microsoft.com/office/drawing/2014/main" id="{6FA64086-596D-491E-BC97-341D2F58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401235" y="862852"/>
          <a:ext cx="515471" cy="336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247650</xdr:rowOff>
    </xdr:from>
    <xdr:to>
      <xdr:col>7</xdr:col>
      <xdr:colOff>295275</xdr:colOff>
      <xdr:row>14</xdr:row>
      <xdr:rowOff>247650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C3E14FFD-E353-40D0-8D1A-EAB67181A436}"/>
            </a:ext>
          </a:extLst>
        </xdr:cNvPr>
        <xdr:cNvSpPr>
          <a:spLocks noChangeArrowheads="1"/>
        </xdr:cNvSpPr>
      </xdr:nvSpPr>
      <xdr:spPr bwMode="auto">
        <a:xfrm>
          <a:off x="419100" y="4105275"/>
          <a:ext cx="5886450" cy="323850"/>
        </a:xfrm>
        <a:prstGeom prst="wedgeRectCallout">
          <a:avLst>
            <a:gd name="adj1" fmla="val -34468"/>
            <a:gd name="adj2" fmla="val -238236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설비를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Break-Down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하여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단위공사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1~10)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작성하면 자동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DATA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집계됩니다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3073" name="Rectangle 1">
          <a:extLst>
            <a:ext uri="{FF2B5EF4-FFF2-40B4-BE49-F238E27FC236}">
              <a16:creationId xmlns:a16="http://schemas.microsoft.com/office/drawing/2014/main" id="{43EBC32F-23EB-4CE7-A0F6-A141305344D3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49C2EE9B-2B1E-4FD8-9E5B-53B20AD4FF31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D4FEA829-F911-461E-84AC-C148CFECDB54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50FA9313-D2E3-42AC-89D9-0E574AE666C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54</xdr:row>
      <xdr:rowOff>0</xdr:rowOff>
    </xdr:from>
    <xdr:to>
      <xdr:col>9</xdr:col>
      <xdr:colOff>0</xdr:colOff>
      <xdr:row>54</xdr:row>
      <xdr:rowOff>0</xdr:rowOff>
    </xdr:to>
    <xdr:sp macro="" textlink="">
      <xdr:nvSpPr>
        <xdr:cNvPr id="4111" name="Rectangle 15">
          <a:extLst>
            <a:ext uri="{FF2B5EF4-FFF2-40B4-BE49-F238E27FC236}">
              <a16:creationId xmlns:a16="http://schemas.microsoft.com/office/drawing/2014/main" id="{91890394-C156-4EAE-B126-0B04538BE8D8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9C3EA653-B665-4AA9-B18A-C63E92485CB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5126" name="Rectangle 6">
          <a:extLst>
            <a:ext uri="{FF2B5EF4-FFF2-40B4-BE49-F238E27FC236}">
              <a16:creationId xmlns:a16="http://schemas.microsoft.com/office/drawing/2014/main" id="{B2FF65A6-659B-4B58-9B1D-C31201B1CAF6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6F642529-5E2E-49A2-BBFF-98D0A3CF2333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0494270C-17A3-4EB7-82C0-745EA77B0E6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6150" name="Rectangle 6">
          <a:extLst>
            <a:ext uri="{FF2B5EF4-FFF2-40B4-BE49-F238E27FC236}">
              <a16:creationId xmlns:a16="http://schemas.microsoft.com/office/drawing/2014/main" id="{A10F75A9-0C89-4C53-A34A-23F30D8A16D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7F41C5E-4782-46EC-9141-AE32D994307A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DF358A6C-BAD3-435C-9E6C-BDEB4F588DD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7174" name="Rectangle 6">
          <a:extLst>
            <a:ext uri="{FF2B5EF4-FFF2-40B4-BE49-F238E27FC236}">
              <a16:creationId xmlns:a16="http://schemas.microsoft.com/office/drawing/2014/main" id="{A5F079A1-9695-4BD5-B93E-C49C2C801356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92F3E9A1-3695-4D61-8F02-70887E77AF08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2D730E1B-95AF-474A-A907-F34B5BBF23E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8198" name="Rectangle 6">
          <a:extLst>
            <a:ext uri="{FF2B5EF4-FFF2-40B4-BE49-F238E27FC236}">
              <a16:creationId xmlns:a16="http://schemas.microsoft.com/office/drawing/2014/main" id="{6E53BF5A-BD76-4D5D-A9C5-03949B724DB3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F530B139-218A-4407-B907-45BFE42F3BB2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23ED2367-4543-4B39-B175-2B2E0A17CD8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9222" name="Rectangle 6">
          <a:extLst>
            <a:ext uri="{FF2B5EF4-FFF2-40B4-BE49-F238E27FC236}">
              <a16:creationId xmlns:a16="http://schemas.microsoft.com/office/drawing/2014/main" id="{3DD581DF-61B7-40FE-A693-4F803A564F25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D60633AB-553A-4438-89CF-1202B2E98AD3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4442B5D3-0AFA-4AC9-AFED-BEE8668483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0246" name="Rectangle 6">
          <a:extLst>
            <a:ext uri="{FF2B5EF4-FFF2-40B4-BE49-F238E27FC236}">
              <a16:creationId xmlns:a16="http://schemas.microsoft.com/office/drawing/2014/main" id="{587D78CF-9485-4B72-8F94-DF496F4CBDC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C8377107-B97C-4F42-A276-3F57BE0D686E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57461CCF-FEFB-4AF8-9F3D-51DCE5E6501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FF66F191-2886-4BC4-8F67-EBBA7B785564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DE278400-D5A9-4A44-8A7A-13EA6B7D2FC2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B270DFE1-12BE-41AD-995E-928988370F0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3EADFD87-5C7B-4EC3-B98D-2E3AC22F7A0F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FC592637-9222-45BA-BB55-D8F482E06C28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AFFDF900-6D8F-4A71-91D4-5C8E820C8F9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75FA5FEB-B9ED-4D36-8461-07347381BC98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7D1800A9-DC68-4C54-8412-65BCB030AB99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5"/>
  <sheetViews>
    <sheetView tabSelected="1" zoomScale="85" workbookViewId="0">
      <selection activeCell="H18" sqref="H18"/>
    </sheetView>
  </sheetViews>
  <sheetFormatPr defaultRowHeight="13.5" x14ac:dyDescent="0.15"/>
  <cols>
    <col min="1" max="1" width="2" style="167" customWidth="1"/>
    <col min="2" max="2" width="4.875" style="167" customWidth="1"/>
    <col min="3" max="3" width="8.5" style="167" customWidth="1"/>
    <col min="4" max="4" width="14.75" style="167" customWidth="1"/>
    <col min="5" max="7" width="11.125" style="167" customWidth="1"/>
    <col min="8" max="8" width="12.25" style="167" customWidth="1"/>
    <col min="9" max="9" width="8.5" style="167" customWidth="1"/>
    <col min="10" max="10" width="10.375" style="167" bestFit="1" customWidth="1"/>
    <col min="11" max="16384" width="9" style="167"/>
  </cols>
  <sheetData>
    <row r="1" spans="2:10" x14ac:dyDescent="0.15">
      <c r="B1" s="167" t="s">
        <v>146</v>
      </c>
    </row>
    <row r="2" spans="2:10" ht="38.25" x14ac:dyDescent="0.15">
      <c r="B2" s="287" t="s">
        <v>140</v>
      </c>
      <c r="C2" s="287"/>
      <c r="D2" s="287"/>
      <c r="E2" s="287"/>
      <c r="F2" s="287"/>
      <c r="G2" s="287"/>
      <c r="H2" s="287"/>
      <c r="I2" s="287"/>
    </row>
    <row r="4" spans="2:10" s="173" customFormat="1" ht="24" customHeight="1" x14ac:dyDescent="0.15">
      <c r="B4" s="288" t="s">
        <v>168</v>
      </c>
      <c r="C4" s="288"/>
      <c r="D4" s="288"/>
      <c r="G4" s="199" t="s">
        <v>185</v>
      </c>
      <c r="H4" s="200"/>
      <c r="I4" s="201"/>
    </row>
    <row r="5" spans="2:10" s="173" customFormat="1" ht="21.75" customHeight="1" x14ac:dyDescent="0.15">
      <c r="B5" s="292" t="s">
        <v>127</v>
      </c>
      <c r="C5" s="293"/>
      <c r="D5" s="280" t="s">
        <v>216</v>
      </c>
      <c r="E5" s="187"/>
      <c r="G5" s="278" t="s">
        <v>184</v>
      </c>
      <c r="H5" s="203"/>
      <c r="I5" s="203"/>
    </row>
    <row r="6" spans="2:10" s="173" customFormat="1" ht="21.75" customHeight="1" x14ac:dyDescent="0.15">
      <c r="B6" s="294" t="s">
        <v>128</v>
      </c>
      <c r="C6" s="295"/>
      <c r="D6" s="280" t="s">
        <v>217</v>
      </c>
      <c r="E6" s="188"/>
      <c r="G6" s="278" t="s">
        <v>186</v>
      </c>
      <c r="H6" s="202"/>
      <c r="I6" s="202"/>
      <c r="J6" s="190"/>
    </row>
    <row r="7" spans="2:10" s="173" customFormat="1" ht="21.75" customHeight="1" x14ac:dyDescent="0.15">
      <c r="B7" s="296" t="s">
        <v>129</v>
      </c>
      <c r="C7" s="195" t="s">
        <v>144</v>
      </c>
      <c r="D7" s="198"/>
      <c r="E7" s="188"/>
      <c r="G7" s="279" t="s">
        <v>187</v>
      </c>
      <c r="H7" s="202"/>
      <c r="I7" s="202"/>
      <c r="J7" s="190"/>
    </row>
    <row r="8" spans="2:10" s="173" customFormat="1" ht="21.75" customHeight="1" x14ac:dyDescent="0.15">
      <c r="B8" s="296"/>
      <c r="C8" s="195" t="s">
        <v>145</v>
      </c>
      <c r="D8" s="198"/>
      <c r="E8" s="188"/>
      <c r="G8" s="279" t="s">
        <v>188</v>
      </c>
      <c r="H8" s="202"/>
      <c r="I8" s="202"/>
      <c r="J8" s="190"/>
    </row>
    <row r="9" spans="2:10" s="173" customFormat="1" ht="21.75" customHeight="1" x14ac:dyDescent="0.15">
      <c r="B9" s="294" t="s">
        <v>130</v>
      </c>
      <c r="C9" s="295"/>
      <c r="D9" s="280" t="s">
        <v>190</v>
      </c>
      <c r="E9" s="188"/>
      <c r="G9" s="278" t="s">
        <v>189</v>
      </c>
      <c r="H9" s="202"/>
      <c r="I9" s="202"/>
      <c r="J9" s="190"/>
    </row>
    <row r="10" spans="2:10" s="173" customFormat="1" ht="21.75" customHeight="1" x14ac:dyDescent="0.15">
      <c r="B10" s="294" t="s">
        <v>131</v>
      </c>
      <c r="C10" s="295"/>
      <c r="D10" s="198"/>
      <c r="E10" s="188"/>
      <c r="G10" s="284" t="s">
        <v>125</v>
      </c>
      <c r="H10" s="201" t="s">
        <v>199</v>
      </c>
      <c r="I10" s="204"/>
    </row>
    <row r="11" spans="2:10" s="173" customFormat="1" ht="21.75" customHeight="1" x14ac:dyDescent="0.15">
      <c r="B11" s="294" t="s">
        <v>132</v>
      </c>
      <c r="C11" s="295"/>
      <c r="D11" s="198"/>
      <c r="E11" s="188"/>
      <c r="G11" s="284" t="s">
        <v>126</v>
      </c>
      <c r="H11" s="201" t="s">
        <v>200</v>
      </c>
      <c r="I11" s="204"/>
    </row>
    <row r="12" spans="2:10" s="174" customFormat="1" ht="10.5" customHeight="1" x14ac:dyDescent="0.15">
      <c r="B12" s="176"/>
      <c r="I12" s="175"/>
    </row>
    <row r="13" spans="2:10" s="174" customFormat="1" ht="24.95" customHeight="1" x14ac:dyDescent="0.15">
      <c r="B13" s="323" t="s">
        <v>215</v>
      </c>
      <c r="C13" s="323"/>
      <c r="D13" s="205" t="s">
        <v>218</v>
      </c>
      <c r="E13" s="205"/>
      <c r="F13" s="194"/>
      <c r="G13" s="194"/>
      <c r="H13" s="194"/>
    </row>
    <row r="14" spans="2:10" s="173" customFormat="1" ht="8.25" customHeight="1" x14ac:dyDescent="0.15"/>
    <row r="15" spans="2:10" s="168" customFormat="1" ht="24.95" customHeight="1" x14ac:dyDescent="0.15">
      <c r="B15" s="290" t="s">
        <v>120</v>
      </c>
      <c r="C15" s="308" t="s">
        <v>153</v>
      </c>
      <c r="D15" s="309"/>
      <c r="E15" s="289" t="s">
        <v>139</v>
      </c>
      <c r="F15" s="289"/>
      <c r="G15" s="289"/>
      <c r="H15" s="289"/>
      <c r="I15" s="290" t="s">
        <v>27</v>
      </c>
    </row>
    <row r="16" spans="2:10" s="168" customFormat="1" ht="29.25" customHeight="1" thickBot="1" x14ac:dyDescent="0.2">
      <c r="B16" s="291"/>
      <c r="C16" s="310"/>
      <c r="D16" s="311"/>
      <c r="E16" s="210" t="s">
        <v>137</v>
      </c>
      <c r="F16" s="211" t="s">
        <v>138</v>
      </c>
      <c r="G16" s="212" t="s">
        <v>141</v>
      </c>
      <c r="H16" s="165" t="s">
        <v>124</v>
      </c>
      <c r="I16" s="291"/>
    </row>
    <row r="17" spans="2:10" ht="24.95" customHeight="1" x14ac:dyDescent="0.15">
      <c r="B17" s="177">
        <v>1</v>
      </c>
      <c r="C17" s="297" t="s">
        <v>191</v>
      </c>
      <c r="D17" s="298"/>
      <c r="E17" s="213">
        <f>IF('단위공사별(집계)'!N7&gt;1,('단위공사별(집계)'!D7+'단위공사별(집계)'!E7+'단위공사별(집계)'!F7+'단위공사별(집계)'!G7+'단위공사별(집계)'!H7+'단위공사별(집계)'!I7)/1000," ")</f>
        <v>63061.2</v>
      </c>
      <c r="F17" s="196">
        <f>IF('단위공사별(집계)'!N7&gt;0,'단위공사별(집계)'!K17/1000,"")</f>
        <v>39375.599999999999</v>
      </c>
      <c r="G17" s="178">
        <f>IF('단위공사별(집계)'!N7&gt;0,('단위공사별(집계)'!L7+'단위공사별(집계)'!M7)/1000,"")</f>
        <v>22573.379000000001</v>
      </c>
      <c r="H17" s="206">
        <v>125000</v>
      </c>
      <c r="I17" s="179"/>
    </row>
    <row r="18" spans="2:10" ht="24.95" customHeight="1" x14ac:dyDescent="0.15">
      <c r="B18" s="180">
        <v>2</v>
      </c>
      <c r="C18" s="312" t="str">
        <f>IF('단위공사별(집계)'!N8&gt;0,'단위공사별(집계)'!B8,"")</f>
        <v/>
      </c>
      <c r="D18" s="313"/>
      <c r="E18" s="214" t="str">
        <f>IF('단위공사별(집계)'!N8&gt;1,('단위공사별(집계)'!D8+'단위공사별(집계)'!E8+'단위공사별(집계)'!F8+'단위공사별(집계)'!G8+'단위공사별(집계)'!H8+'단위공사별(집계)'!I8)/1000," ")</f>
        <v xml:space="preserve"> </v>
      </c>
      <c r="F18" s="281"/>
      <c r="G18" s="181" t="str">
        <f>IF('단위공사별(집계)'!N8&gt;0,('단위공사별(집계)'!L8+'단위공사별(집계)'!M8)/1000,"")</f>
        <v/>
      </c>
      <c r="H18" s="207" t="str">
        <f>IF('단위공사별(집계)'!N8&gt;0,'단위공사별(집계)'!N8/1000,"")</f>
        <v/>
      </c>
      <c r="I18" s="182"/>
    </row>
    <row r="19" spans="2:10" ht="24.95" customHeight="1" x14ac:dyDescent="0.15">
      <c r="B19" s="180">
        <v>3</v>
      </c>
      <c r="C19" s="312" t="str">
        <f>IF('단위공사별(집계)'!N9&gt;0,'단위공사별(집계)'!B9,"")</f>
        <v/>
      </c>
      <c r="D19" s="313"/>
      <c r="E19" s="214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19" s="281"/>
      <c r="G19" s="181" t="str">
        <f>IF('단위공사별(집계)'!N9&gt;0,('단위공사별(집계)'!L9+'단위공사별(집계)'!M9)/1000,"")</f>
        <v/>
      </c>
      <c r="H19" s="207" t="str">
        <f>IF('단위공사별(집계)'!N9&gt;0,'단위공사별(집계)'!N9/1000,"")</f>
        <v/>
      </c>
      <c r="I19" s="182"/>
    </row>
    <row r="20" spans="2:10" ht="24.95" customHeight="1" x14ac:dyDescent="0.15">
      <c r="B20" s="180">
        <v>4</v>
      </c>
      <c r="C20" s="312" t="str">
        <f>IF('단위공사별(집계)'!N10&gt;0,'단위공사별(집계)'!B10,"")</f>
        <v/>
      </c>
      <c r="D20" s="313"/>
      <c r="E20" s="214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0" s="281"/>
      <c r="G20" s="181" t="str">
        <f>IF('단위공사별(집계)'!N10&gt;0,('단위공사별(집계)'!L10+'단위공사별(집계)'!M10)/1000,"")</f>
        <v/>
      </c>
      <c r="H20" s="207" t="str">
        <f>IF('단위공사별(집계)'!N10&gt;0,'단위공사별(집계)'!N10/1000,"")</f>
        <v/>
      </c>
      <c r="I20" s="182"/>
    </row>
    <row r="21" spans="2:10" ht="24.95" customHeight="1" x14ac:dyDescent="0.15">
      <c r="B21" s="180">
        <v>5</v>
      </c>
      <c r="C21" s="312" t="str">
        <f>IF('단위공사별(집계)'!N11&gt;0,'단위공사별(집계)'!B11,"")</f>
        <v/>
      </c>
      <c r="D21" s="313"/>
      <c r="E21" s="214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1" s="281"/>
      <c r="G21" s="181" t="str">
        <f>IF('단위공사별(집계)'!N11&gt;0,('단위공사별(집계)'!L11+'단위공사별(집계)'!M11)/1000,"")</f>
        <v/>
      </c>
      <c r="H21" s="207" t="str">
        <f>IF('단위공사별(집계)'!N11&gt;0,'단위공사별(집계)'!N11/1000,"")</f>
        <v/>
      </c>
      <c r="I21" s="182"/>
    </row>
    <row r="22" spans="2:10" ht="24.95" customHeight="1" x14ac:dyDescent="0.15">
      <c r="B22" s="180">
        <v>6</v>
      </c>
      <c r="C22" s="312" t="str">
        <f>IF('단위공사별(집계)'!N12&gt;0,'단위공사별(집계)'!B12,"")</f>
        <v/>
      </c>
      <c r="D22" s="313"/>
      <c r="E22" s="214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2" s="281"/>
      <c r="G22" s="181" t="str">
        <f>IF('단위공사별(집계)'!N12&gt;0,('단위공사별(집계)'!L12+'단위공사별(집계)'!M12)/1000,"")</f>
        <v/>
      </c>
      <c r="H22" s="207" t="str">
        <f>IF('단위공사별(집계)'!N12&gt;0,'단위공사별(집계)'!N12/1000,"")</f>
        <v/>
      </c>
      <c r="I22" s="182"/>
    </row>
    <row r="23" spans="2:10" ht="24.95" customHeight="1" x14ac:dyDescent="0.15">
      <c r="B23" s="180">
        <v>7</v>
      </c>
      <c r="C23" s="312" t="str">
        <f>IF('단위공사별(집계)'!N13&gt;0,'단위공사별(집계)'!B13,"")</f>
        <v/>
      </c>
      <c r="D23" s="313"/>
      <c r="E23" s="214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3" s="281"/>
      <c r="G23" s="181" t="str">
        <f>IF('단위공사별(집계)'!N13&gt;0,('단위공사별(집계)'!L13+'단위공사별(집계)'!M13)/1000,"")</f>
        <v/>
      </c>
      <c r="H23" s="207" t="str">
        <f>IF('단위공사별(집계)'!N13&gt;0,'단위공사별(집계)'!N13/1000,"")</f>
        <v/>
      </c>
      <c r="I23" s="182"/>
    </row>
    <row r="24" spans="2:10" ht="24.95" customHeight="1" x14ac:dyDescent="0.15">
      <c r="B24" s="183">
        <v>8</v>
      </c>
      <c r="C24" s="312" t="str">
        <f>IF('단위공사별(집계)'!N14&gt;0,'단위공사별(집계)'!B14,"")</f>
        <v/>
      </c>
      <c r="D24" s="313"/>
      <c r="E24" s="214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4" s="281"/>
      <c r="G24" s="181" t="str">
        <f>IF('단위공사별(집계)'!N14&gt;0,('단위공사별(집계)'!L14+'단위공사별(집계)'!M14)/1000,"")</f>
        <v/>
      </c>
      <c r="H24" s="207" t="str">
        <f>IF('단위공사별(집계)'!N14&gt;0,'단위공사별(집계)'!N14/1000,"")</f>
        <v/>
      </c>
      <c r="I24" s="182"/>
    </row>
    <row r="25" spans="2:10" ht="24.95" customHeight="1" x14ac:dyDescent="0.15">
      <c r="B25" s="183">
        <v>9</v>
      </c>
      <c r="C25" s="312" t="str">
        <f>IF('단위공사별(집계)'!N15&gt;0,'단위공사별(집계)'!B15,"")</f>
        <v/>
      </c>
      <c r="D25" s="313"/>
      <c r="E25" s="214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5" s="281"/>
      <c r="G25" s="181" t="str">
        <f>IF('단위공사별(집계)'!N15&gt;0,('단위공사별(집계)'!L15+'단위공사별(집계)'!M15)/1000,"")</f>
        <v/>
      </c>
      <c r="H25" s="207" t="str">
        <f>IF('단위공사별(집계)'!N15&gt;0,'단위공사별(집계)'!N15/1000,"")</f>
        <v/>
      </c>
      <c r="I25" s="182"/>
    </row>
    <row r="26" spans="2:10" ht="24.95" customHeight="1" x14ac:dyDescent="0.15">
      <c r="B26" s="184">
        <v>10</v>
      </c>
      <c r="C26" s="327" t="str">
        <f>IF('단위공사별(집계)'!N16&gt;0,'단위공사별(집계)'!B16,"")</f>
        <v/>
      </c>
      <c r="D26" s="328"/>
      <c r="E26" s="215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6" s="197"/>
      <c r="G26" s="185" t="str">
        <f>IF('단위공사별(집계)'!N16&gt;0,('단위공사별(집계)'!L16+'단위공사별(집계)'!M16)/1000,"")</f>
        <v/>
      </c>
      <c r="H26" s="208" t="str">
        <f>IF('단위공사별(집계)'!N16&gt;0,'단위공사별(집계)'!N16/1000,"")</f>
        <v/>
      </c>
      <c r="I26" s="186"/>
    </row>
    <row r="27" spans="2:10" ht="24.95" customHeight="1" x14ac:dyDescent="0.15">
      <c r="B27" s="305" t="s">
        <v>142</v>
      </c>
      <c r="C27" s="306"/>
      <c r="D27" s="307"/>
      <c r="E27" s="191">
        <f>SUM(E17:E23)</f>
        <v>63061.2</v>
      </c>
      <c r="F27" s="192">
        <f>SUM(F17:F23)</f>
        <v>39375.599999999999</v>
      </c>
      <c r="G27" s="192">
        <f>SUM(G17:G23)</f>
        <v>22573.379000000001</v>
      </c>
      <c r="H27" s="209">
        <v>125000</v>
      </c>
      <c r="I27" s="193"/>
      <c r="J27" s="172"/>
    </row>
    <row r="28" spans="2:10" ht="4.5" customHeight="1" x14ac:dyDescent="0.15">
      <c r="B28" s="170"/>
      <c r="C28" s="171"/>
      <c r="D28" s="171"/>
      <c r="E28" s="172"/>
      <c r="F28" s="172"/>
      <c r="G28" s="172"/>
      <c r="H28" s="172"/>
    </row>
    <row r="29" spans="2:10" ht="24" customHeight="1" x14ac:dyDescent="0.15">
      <c r="B29" s="171"/>
      <c r="C29" s="171"/>
      <c r="D29" s="171"/>
      <c r="E29" s="172"/>
      <c r="F29" s="329" t="s">
        <v>143</v>
      </c>
      <c r="G29" s="330"/>
      <c r="H29" s="169"/>
    </row>
    <row r="30" spans="2:10" ht="15" customHeight="1" x14ac:dyDescent="0.15">
      <c r="B30" s="171"/>
      <c r="C30" s="171"/>
      <c r="D30" s="171"/>
      <c r="E30" s="172"/>
      <c r="F30" s="172"/>
      <c r="G30" s="172"/>
      <c r="H30" s="172"/>
    </row>
    <row r="31" spans="2:10" ht="22.5" customHeight="1" x14ac:dyDescent="0.15">
      <c r="B31" s="302" t="s">
        <v>123</v>
      </c>
      <c r="C31" s="314" t="s">
        <v>121</v>
      </c>
      <c r="D31" s="315"/>
      <c r="E31" s="316"/>
      <c r="F31" s="331" t="s">
        <v>152</v>
      </c>
      <c r="G31" s="332"/>
      <c r="H31" s="332"/>
      <c r="I31" s="333"/>
    </row>
    <row r="32" spans="2:10" ht="22.5" customHeight="1" x14ac:dyDescent="0.15">
      <c r="B32" s="303"/>
      <c r="C32" s="317" t="s">
        <v>122</v>
      </c>
      <c r="D32" s="318"/>
      <c r="E32" s="319"/>
      <c r="F32" s="189" t="s">
        <v>133</v>
      </c>
      <c r="G32" s="334"/>
      <c r="H32" s="335"/>
      <c r="I32" s="336"/>
    </row>
    <row r="33" spans="2:9" ht="22.5" customHeight="1" x14ac:dyDescent="0.15">
      <c r="B33" s="303"/>
      <c r="C33" s="317"/>
      <c r="D33" s="318"/>
      <c r="E33" s="319"/>
      <c r="F33" s="183" t="s">
        <v>134</v>
      </c>
      <c r="G33" s="299"/>
      <c r="H33" s="300"/>
      <c r="I33" s="301"/>
    </row>
    <row r="34" spans="2:9" ht="22.5" customHeight="1" x14ac:dyDescent="0.15">
      <c r="B34" s="303"/>
      <c r="C34" s="317"/>
      <c r="D34" s="318"/>
      <c r="E34" s="319"/>
      <c r="F34" s="183" t="s">
        <v>135</v>
      </c>
      <c r="G34" s="299"/>
      <c r="H34" s="300"/>
      <c r="I34" s="301"/>
    </row>
    <row r="35" spans="2:9" ht="22.5" customHeight="1" x14ac:dyDescent="0.15">
      <c r="B35" s="304"/>
      <c r="C35" s="320"/>
      <c r="D35" s="321"/>
      <c r="E35" s="322"/>
      <c r="F35" s="184" t="s">
        <v>136</v>
      </c>
      <c r="G35" s="324"/>
      <c r="H35" s="325"/>
      <c r="I35" s="326"/>
    </row>
  </sheetData>
  <mergeCells count="36">
    <mergeCell ref="G33:I33"/>
    <mergeCell ref="C22:D22"/>
    <mergeCell ref="C23:D23"/>
    <mergeCell ref="C24:D24"/>
    <mergeCell ref="C25:D25"/>
    <mergeCell ref="C26:D26"/>
    <mergeCell ref="F29:G29"/>
    <mergeCell ref="F31:I31"/>
    <mergeCell ref="G32:I32"/>
    <mergeCell ref="C33:E33"/>
    <mergeCell ref="C17:D17"/>
    <mergeCell ref="G34:I34"/>
    <mergeCell ref="B31:B35"/>
    <mergeCell ref="B27:D27"/>
    <mergeCell ref="B11:C11"/>
    <mergeCell ref="C15:D16"/>
    <mergeCell ref="C20:D20"/>
    <mergeCell ref="C21:D21"/>
    <mergeCell ref="C18:D18"/>
    <mergeCell ref="C31:E31"/>
    <mergeCell ref="C32:E32"/>
    <mergeCell ref="C34:E34"/>
    <mergeCell ref="C35:E35"/>
    <mergeCell ref="C19:D19"/>
    <mergeCell ref="B13:C13"/>
    <mergeCell ref="G35:I35"/>
    <mergeCell ref="B2:I2"/>
    <mergeCell ref="B4:D4"/>
    <mergeCell ref="E15:H15"/>
    <mergeCell ref="B15:B16"/>
    <mergeCell ref="I15:I16"/>
    <mergeCell ref="B5:C5"/>
    <mergeCell ref="B6:C6"/>
    <mergeCell ref="B9:C9"/>
    <mergeCell ref="B10:C10"/>
    <mergeCell ref="B7:B8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M46"/>
  <sheetViews>
    <sheetView showGridLines="0" zoomScale="80" workbookViewId="0">
      <pane ySplit="6" topLeftCell="A19" activePane="bottomLeft" state="frozen"/>
      <selection activeCell="K15" sqref="K15"/>
      <selection pane="bottomLeft" activeCell="I42" sqref="I42"/>
    </sheetView>
  </sheetViews>
  <sheetFormatPr defaultRowHeight="19.5" customHeight="1" x14ac:dyDescent="0.15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8" customWidth="1"/>
    <col min="8" max="8" width="9.75" style="45" customWidth="1"/>
    <col min="9" max="9" width="17.5" style="45" bestFit="1" customWidth="1"/>
    <col min="10" max="10" width="15.625" style="7" customWidth="1"/>
    <col min="11" max="11" width="13.75" style="81" bestFit="1" customWidth="1"/>
    <col min="12" max="12" width="10.875" style="7" bestFit="1" customWidth="1"/>
    <col min="13" max="16384" width="9" style="7"/>
  </cols>
  <sheetData>
    <row r="1" spans="2:11" s="1" customFormat="1" ht="19.5" customHeight="1" x14ac:dyDescent="0.15">
      <c r="F1" s="2"/>
      <c r="G1" s="26"/>
      <c r="H1" s="43"/>
      <c r="I1" s="43"/>
      <c r="K1" s="78"/>
    </row>
    <row r="2" spans="2:11" s="80" customFormat="1" ht="26.25" customHeight="1" x14ac:dyDescent="0.15">
      <c r="B2" s="3"/>
      <c r="C2" s="4" t="s">
        <v>71</v>
      </c>
      <c r="D2" s="5"/>
      <c r="E2" s="5"/>
      <c r="F2" s="6"/>
      <c r="G2" s="27"/>
      <c r="H2" s="44"/>
      <c r="I2" s="44"/>
      <c r="J2" s="5"/>
      <c r="K2" s="79"/>
    </row>
    <row r="3" spans="2:11" s="80" customFormat="1" ht="19.5" customHeight="1" x14ac:dyDescent="0.15">
      <c r="B3" s="3"/>
      <c r="C3" s="4"/>
      <c r="D3" s="5"/>
      <c r="E3" s="5"/>
      <c r="F3" s="6"/>
      <c r="G3" s="27"/>
      <c r="H3" s="44"/>
      <c r="I3" s="44"/>
      <c r="J3" s="5"/>
      <c r="K3" s="79"/>
    </row>
    <row r="4" spans="2:11" ht="30" customHeight="1" x14ac:dyDescent="0.15">
      <c r="B4" s="161" t="s">
        <v>114</v>
      </c>
      <c r="D4" s="124"/>
      <c r="J4" s="8"/>
    </row>
    <row r="5" spans="2:11" s="8" customFormat="1" ht="8.25" customHeight="1" x14ac:dyDescent="0.15">
      <c r="B5" s="9"/>
      <c r="C5" s="337"/>
      <c r="D5" s="338"/>
      <c r="E5" s="339"/>
      <c r="F5" s="10"/>
      <c r="G5" s="82"/>
      <c r="H5" s="82"/>
      <c r="I5" s="82"/>
      <c r="J5" s="83"/>
      <c r="K5" s="84"/>
    </row>
    <row r="6" spans="2:11" s="8" customFormat="1" ht="22.5" customHeight="1" thickBot="1" x14ac:dyDescent="0.2">
      <c r="B6" s="38" t="s">
        <v>10</v>
      </c>
      <c r="C6" s="340" t="s">
        <v>12</v>
      </c>
      <c r="D6" s="341"/>
      <c r="E6" s="342"/>
      <c r="F6" s="39" t="s">
        <v>11</v>
      </c>
      <c r="G6" s="46" t="s">
        <v>13</v>
      </c>
      <c r="H6" s="46" t="s">
        <v>14</v>
      </c>
      <c r="I6" s="46" t="s">
        <v>96</v>
      </c>
      <c r="J6" s="40" t="s">
        <v>15</v>
      </c>
      <c r="K6" s="84"/>
    </row>
    <row r="7" spans="2:11" ht="19.5" customHeight="1" thickTop="1" x14ac:dyDescent="0.15">
      <c r="B7" s="370">
        <v>1</v>
      </c>
      <c r="C7" s="352" t="s">
        <v>91</v>
      </c>
      <c r="D7" s="353" t="s">
        <v>1</v>
      </c>
      <c r="E7" s="37" t="s">
        <v>89</v>
      </c>
      <c r="F7" s="164" t="s">
        <v>117</v>
      </c>
      <c r="G7" s="93">
        <f>단위장비1!F30+단위장비2!F30+단위장비3!F30+단위장비4!F30+단위장비5!F30+단위장비6!F30+단위장비7!F30+단위장비8!F30+단위장비9!F30+단위장비10!F30</f>
        <v>0</v>
      </c>
      <c r="H7" s="47"/>
      <c r="I7" s="47">
        <f>단위장비1!H24+단위장비2!H24+단위장비3!H24+단위장비4!H24+단위장비5!H24+단위장비6!H24+단위장비7!H24+단위장비8!H24+단위장비9!H24+단위장비10!H24</f>
        <v>1200</v>
      </c>
      <c r="J7" s="22" t="s">
        <v>21</v>
      </c>
    </row>
    <row r="8" spans="2:11" ht="19.5" customHeight="1" x14ac:dyDescent="0.15">
      <c r="B8" s="370"/>
      <c r="C8" s="353"/>
      <c r="D8" s="353"/>
      <c r="E8" s="12" t="s">
        <v>119</v>
      </c>
      <c r="F8" s="162" t="s">
        <v>118</v>
      </c>
      <c r="G8" s="94">
        <v>1</v>
      </c>
      <c r="H8" s="36"/>
      <c r="I8" s="36">
        <f>단위장비1!H46+단위장비2!H47+단위장비3!H47+단위장비4!H47+단위장비5!H47+단위장비6!H47+단위장비7!H47+단위장비8!H47+단위장비9!H47+단위장비10!H47</f>
        <v>750000</v>
      </c>
      <c r="J8" s="13" t="s">
        <v>22</v>
      </c>
    </row>
    <row r="9" spans="2:11" ht="19.5" customHeight="1" x14ac:dyDescent="0.15">
      <c r="B9" s="370"/>
      <c r="C9" s="353"/>
      <c r="D9" s="353"/>
      <c r="E9" s="12" t="s">
        <v>2</v>
      </c>
      <c r="F9" s="162" t="s">
        <v>118</v>
      </c>
      <c r="G9" s="95">
        <v>1</v>
      </c>
      <c r="H9" s="36"/>
      <c r="I9" s="36">
        <f>단위장비1!H54+단위장비2!H55+단위장비3!H55+단위장비4!H55+단위장비5!H55+단위장비6!H55+단위장비7!H55+단위장비8!H55+단위장비9!H55+단위장비10!H55</f>
        <v>0</v>
      </c>
      <c r="J9" s="13" t="s">
        <v>30</v>
      </c>
    </row>
    <row r="10" spans="2:11" ht="19.5" customHeight="1" x14ac:dyDescent="0.15">
      <c r="B10" s="370"/>
      <c r="C10" s="353"/>
      <c r="D10" s="353"/>
      <c r="E10" s="260" t="s">
        <v>161</v>
      </c>
      <c r="F10" s="162" t="s">
        <v>157</v>
      </c>
      <c r="G10" s="95">
        <v>1</v>
      </c>
      <c r="H10" s="36"/>
      <c r="I10" s="274">
        <f>단위장비1!H30+단위장비2!H30+단위장비3!H30+단위장비4!H30+단위장비5!H30+단위장비6!H30+단위장비7!H30+단위장비8!H30+단위장비9!H30+단위장비10!H30</f>
        <v>810000</v>
      </c>
      <c r="J10" s="273" t="s">
        <v>162</v>
      </c>
    </row>
    <row r="11" spans="2:11" ht="19.5" customHeight="1" x14ac:dyDescent="0.15">
      <c r="B11" s="370"/>
      <c r="C11" s="353"/>
      <c r="D11" s="355"/>
      <c r="E11" s="14" t="s">
        <v>67</v>
      </c>
      <c r="F11" s="349"/>
      <c r="G11" s="350"/>
      <c r="H11" s="351"/>
      <c r="I11" s="48">
        <f>SUM(I7:I10)</f>
        <v>1561200</v>
      </c>
      <c r="J11" s="13"/>
    </row>
    <row r="12" spans="2:11" ht="19.5" customHeight="1" x14ac:dyDescent="0.15">
      <c r="B12" s="370"/>
      <c r="C12" s="353"/>
      <c r="D12" s="356" t="s">
        <v>3</v>
      </c>
      <c r="E12" s="15" t="s">
        <v>90</v>
      </c>
      <c r="F12" s="162" t="s">
        <v>115</v>
      </c>
      <c r="G12" s="34">
        <f>단위장비1!F56+단위장비2!F57+단위장비3!F57+단위장비4!F57+단위장비5!F57+단위장비6!F57+단위장비7!F57+단위장비8!F57+단위장비9!F57+단위장비10!F57</f>
        <v>6</v>
      </c>
      <c r="H12" s="34">
        <f>IF(단위장비1!G56&gt;0,단위장비1!G56,"")</f>
        <v>350000</v>
      </c>
      <c r="I12" s="276">
        <f>단위장비1!H56+단위장비2!H57+단위장비3!H57+단위장비4!H57+단위장비5!H57+단위장비6!H57+단위장비7!H57+단위장비8!H57+단위장비9!H57+단위장비10!H57</f>
        <v>2100000</v>
      </c>
      <c r="J12" s="16" t="s">
        <v>66</v>
      </c>
    </row>
    <row r="13" spans="2:11" s="86" customFormat="1" ht="19.5" customHeight="1" x14ac:dyDescent="0.15">
      <c r="B13" s="370"/>
      <c r="C13" s="353"/>
      <c r="D13" s="353"/>
      <c r="E13" s="12" t="s">
        <v>4</v>
      </c>
      <c r="F13" s="162" t="s">
        <v>115</v>
      </c>
      <c r="G13" s="34">
        <f>단위장비1!F57+단위장비2!F58+단위장비3!F58+단위장비4!F58+단위장비5!F58+단위장비6!F58+단위장비7!F58+단위장비8!F58+단위장비9!F58+단위장비10!F58</f>
        <v>25</v>
      </c>
      <c r="H13" s="34">
        <f>IF(단위장비1!G57&gt;0,단위장비1!G57,"")</f>
        <v>350000</v>
      </c>
      <c r="I13" s="34">
        <f>단위장비1!H57+단위장비2!H58+단위장비3!H58+단위장비4!H58+단위장비5!H58+단위장비6!H58+단위장비7!H58+단위장비8!H58+단위장비9!H58+단위장비10!H58</f>
        <v>8750000</v>
      </c>
      <c r="J13" s="16"/>
      <c r="K13" s="85"/>
    </row>
    <row r="14" spans="2:11" s="86" customFormat="1" ht="19.5" customHeight="1" x14ac:dyDescent="0.15">
      <c r="B14" s="370"/>
      <c r="C14" s="353"/>
      <c r="D14" s="353"/>
      <c r="E14" s="15" t="s">
        <v>19</v>
      </c>
      <c r="F14" s="162" t="s">
        <v>115</v>
      </c>
      <c r="G14" s="34">
        <f>단위장비1!F58+단위장비2!F59+단위장비3!F59+단위장비4!F59+단위장비5!F59+단위장비6!F59+단위장비7!F59+단위장비8!F59+단위장비9!F59+단위장비10!F59</f>
        <v>8</v>
      </c>
      <c r="H14" s="34">
        <f>IF(단위장비1!G58&gt;0,단위장비1!G58,"")</f>
        <v>350000</v>
      </c>
      <c r="I14" s="34">
        <f>단위장비1!H58+단위장비2!H59+단위장비3!H59+단위장비4!H59+단위장비5!H59+단위장비6!H59+단위장비7!H59+단위장비8!H59+단위장비9!H59+단위장비10!H59</f>
        <v>2800000</v>
      </c>
      <c r="J14" s="16"/>
      <c r="K14" s="85"/>
    </row>
    <row r="15" spans="2:11" s="86" customFormat="1" ht="19.5" customHeight="1" x14ac:dyDescent="0.15">
      <c r="B15" s="370"/>
      <c r="C15" s="353"/>
      <c r="D15" s="353"/>
      <c r="E15" s="15" t="s">
        <v>6</v>
      </c>
      <c r="F15" s="162" t="s">
        <v>115</v>
      </c>
      <c r="G15" s="34">
        <f>단위장비1!F59+단위장비2!F60+단위장비3!F60+단위장비4!F60+단위장비5!F60+단위장비6!F60+단위장비7!F60+단위장비8!F60+단위장비9!F60+단위장비10!F60</f>
        <v>75</v>
      </c>
      <c r="H15" s="34">
        <f>IF(단위장비1!G59&gt;0,단위장비1!G59,"")</f>
        <v>350000</v>
      </c>
      <c r="I15" s="34">
        <f>단위장비1!H59+단위장비2!H60+단위장비3!H60+단위장비4!H60+단위장비5!H60+단위장비6!H60+단위장비7!H60+단위장비8!H60+단위장비9!H60+단위장비10!H60</f>
        <v>26250000</v>
      </c>
      <c r="J15" s="16" t="s">
        <v>65</v>
      </c>
      <c r="K15" s="85"/>
    </row>
    <row r="16" spans="2:11" s="86" customFormat="1" ht="19.5" customHeight="1" x14ac:dyDescent="0.15">
      <c r="B16" s="370"/>
      <c r="C16" s="353"/>
      <c r="D16" s="353"/>
      <c r="E16" s="15" t="s">
        <v>7</v>
      </c>
      <c r="F16" s="162" t="s">
        <v>115</v>
      </c>
      <c r="G16" s="34">
        <f>단위장비1!F60+단위장비2!F61+단위장비3!F61+단위장비4!F61+단위장비5!F61+단위장비6!F61+단위장비7!F61+단위장비8!F61+단위장비9!F61+단위장비10!F61</f>
        <v>8</v>
      </c>
      <c r="H16" s="34">
        <f>IF(단위장비1!G60&gt;0,단위장비1!G60,"")</f>
        <v>350000</v>
      </c>
      <c r="I16" s="276">
        <f>단위장비1!H60+단위장비2!H61+단위장비3!H61+단위장비4!H61+단위장비5!H61+단위장비6!H61+단위장비7!H61+단위장비8!H61+단위장비9!H61+단위장비10!H61</f>
        <v>2800000</v>
      </c>
      <c r="J16" s="389" t="s">
        <v>167</v>
      </c>
      <c r="K16" s="85"/>
    </row>
    <row r="17" spans="2:10" ht="19.5" customHeight="1" x14ac:dyDescent="0.15">
      <c r="B17" s="370"/>
      <c r="C17" s="353"/>
      <c r="D17" s="353"/>
      <c r="E17" s="15" t="s">
        <v>8</v>
      </c>
      <c r="F17" s="162" t="s">
        <v>115</v>
      </c>
      <c r="G17" s="34">
        <f>단위장비1!F61+단위장비2!F62+단위장비3!F62+단위장비4!F62+단위장비5!F62+단위장비6!F62+단위장비7!F62+단위장비8!F62+단위장비9!F62+단위장비10!F62</f>
        <v>20</v>
      </c>
      <c r="H17" s="34">
        <f>IF(단위장비1!G61&gt;0,단위장비1!G61,"")</f>
        <v>350000</v>
      </c>
      <c r="I17" s="276">
        <f>단위장비1!H61+단위장비2!H62+단위장비3!H62+단위장비4!H62+단위장비5!H62+단위장비6!H62+단위장비7!H62+단위장비8!H62+단위장비9!H62+단위장비10!H62</f>
        <v>7000000</v>
      </c>
      <c r="J17" s="390"/>
    </row>
    <row r="18" spans="2:10" ht="19.5" customHeight="1" x14ac:dyDescent="0.15">
      <c r="B18" s="370"/>
      <c r="C18" s="353"/>
      <c r="D18" s="353"/>
      <c r="E18" s="12" t="s">
        <v>9</v>
      </c>
      <c r="F18" s="162" t="s">
        <v>115</v>
      </c>
      <c r="G18" s="34">
        <f>단위장비1!F62+단위장비2!F63+단위장비3!F63+단위장비4!F63+단위장비5!F63+단위장비6!F63+단위장비7!F63+단위장비8!F63+단위장비9!F63+단위장비10!F63</f>
        <v>15</v>
      </c>
      <c r="H18" s="34">
        <f>IF(단위장비1!G62&gt;0,단위장비1!G62,"")</f>
        <v>350000</v>
      </c>
      <c r="I18" s="34">
        <f>단위장비1!H62+단위장비2!H63+단위장비3!H63+단위장비4!H63+단위장비5!H63+단위장비6!H63+단위장비7!H63+단위장비8!H63+단위장비9!H63+단위장비10!H63</f>
        <v>5250000</v>
      </c>
      <c r="J18" s="13"/>
    </row>
    <row r="19" spans="2:10" ht="19.5" customHeight="1" x14ac:dyDescent="0.15">
      <c r="B19" s="370"/>
      <c r="C19" s="353"/>
      <c r="D19" s="353"/>
      <c r="E19" s="12" t="s">
        <v>20</v>
      </c>
      <c r="F19" s="162" t="s">
        <v>115</v>
      </c>
      <c r="G19" s="34">
        <f>단위장비1!F63+단위장비2!F64+단위장비3!F64+단위장비4!F64+단위장비5!F64+단위장비6!F64+단위장비7!F64+단위장비8!F64+단위장비9!F64+단위장비10!F64</f>
        <v>1</v>
      </c>
      <c r="H19" s="34">
        <f>IF(단위장비1!G63&gt;0,단위장비1!G63,"")</f>
        <v>2550000</v>
      </c>
      <c r="I19" s="34">
        <f>단위장비1!H63+단위장비2!H64+단위장비3!H64+단위장비4!H64+단위장비5!H64+단위장비6!H64+단위장비7!H64+단위장비8!H64+단위장비9!H64+단위장비10!H64</f>
        <v>2550000</v>
      </c>
      <c r="J19" s="13"/>
    </row>
    <row r="20" spans="2:10" ht="19.5" customHeight="1" x14ac:dyDescent="0.15">
      <c r="B20" s="370"/>
      <c r="C20" s="353"/>
      <c r="D20" s="355"/>
      <c r="E20" s="14" t="s">
        <v>67</v>
      </c>
      <c r="F20" s="349"/>
      <c r="G20" s="350"/>
      <c r="H20" s="351"/>
      <c r="I20" s="48">
        <f>SUM(I12:I19)</f>
        <v>57500000</v>
      </c>
      <c r="J20" s="13"/>
    </row>
    <row r="21" spans="2:10" ht="19.5" customHeight="1" x14ac:dyDescent="0.15">
      <c r="B21" s="370"/>
      <c r="C21" s="353"/>
      <c r="D21" s="133" t="s">
        <v>76</v>
      </c>
      <c r="E21" s="126"/>
      <c r="F21" s="349"/>
      <c r="G21" s="350"/>
      <c r="H21" s="351"/>
      <c r="I21" s="51">
        <f>단위장비1!H66+단위장비1!H67+단위장비2!H67+단위장비2!H68+단위장비3!H67+단위장비3!H68+단위장비4!H67+단위장비4!H68+단위장비5!H67+단위장비5!H68+단위장비6!H67+단위장비6!H68+단위장비7!H67+단위장비7!H68+단위장비8!H67+단위장비8!H68+단위장비9!H67+단위장비9!H68+단위장비10!H67+단위장비10!H68</f>
        <v>21869168</v>
      </c>
      <c r="J21" s="87"/>
    </row>
    <row r="22" spans="2:10" ht="19.5" customHeight="1" x14ac:dyDescent="0.15">
      <c r="B22" s="371"/>
      <c r="C22" s="354"/>
      <c r="D22" s="17"/>
      <c r="E22" s="18" t="s">
        <v>49</v>
      </c>
      <c r="F22" s="364"/>
      <c r="G22" s="365"/>
      <c r="H22" s="366"/>
      <c r="I22" s="49">
        <f>I20+I11+I21</f>
        <v>80930368</v>
      </c>
      <c r="J22" s="19"/>
    </row>
    <row r="23" spans="2:10" ht="19.5" customHeight="1" x14ac:dyDescent="0.15">
      <c r="B23" s="372">
        <v>2</v>
      </c>
      <c r="C23" s="359" t="s">
        <v>92</v>
      </c>
      <c r="D23" s="362" t="s">
        <v>1</v>
      </c>
      <c r="E23" s="11" t="s">
        <v>16</v>
      </c>
      <c r="F23" s="163" t="s">
        <v>116</v>
      </c>
      <c r="G23" s="35">
        <v>1</v>
      </c>
      <c r="H23" s="35"/>
      <c r="I23" s="35">
        <f>전기!H55</f>
        <v>6250000</v>
      </c>
      <c r="J23" s="20"/>
    </row>
    <row r="24" spans="2:10" ht="19.5" customHeight="1" x14ac:dyDescent="0.15">
      <c r="B24" s="370"/>
      <c r="C24" s="360"/>
      <c r="D24" s="363"/>
      <c r="E24" s="260" t="s">
        <v>161</v>
      </c>
      <c r="F24" s="164" t="s">
        <v>157</v>
      </c>
      <c r="G24" s="47">
        <v>1</v>
      </c>
      <c r="H24" s="47"/>
      <c r="I24" s="275">
        <f>전기!H16</f>
        <v>80000</v>
      </c>
      <c r="J24" s="273" t="s">
        <v>162</v>
      </c>
    </row>
    <row r="25" spans="2:10" ht="19.5" customHeight="1" x14ac:dyDescent="0.15">
      <c r="B25" s="370"/>
      <c r="C25" s="361"/>
      <c r="D25" s="356" t="s">
        <v>3</v>
      </c>
      <c r="E25" s="15" t="s">
        <v>95</v>
      </c>
      <c r="F25" s="162" t="s">
        <v>115</v>
      </c>
      <c r="G25" s="34">
        <f>전기!F56</f>
        <v>6</v>
      </c>
      <c r="H25" s="36">
        <f>IF(전기!G56&gt;0,전기!G56,"")</f>
        <v>350000</v>
      </c>
      <c r="I25" s="34">
        <f>전기!H56</f>
        <v>2100000</v>
      </c>
      <c r="J25" s="16"/>
    </row>
    <row r="26" spans="2:10" ht="19.5" customHeight="1" x14ac:dyDescent="0.15">
      <c r="B26" s="370"/>
      <c r="C26" s="361"/>
      <c r="D26" s="353"/>
      <c r="E26" s="12" t="s">
        <v>73</v>
      </c>
      <c r="F26" s="162" t="s">
        <v>115</v>
      </c>
      <c r="G26" s="36">
        <f>전기!F57</f>
        <v>10</v>
      </c>
      <c r="H26" s="36">
        <f>IF(전기!G57&gt;0,전기!G57,"")</f>
        <v>500000</v>
      </c>
      <c r="I26" s="36">
        <f>전기!H57</f>
        <v>5000000</v>
      </c>
      <c r="J26" s="13"/>
    </row>
    <row r="27" spans="2:10" ht="19.5" customHeight="1" x14ac:dyDescent="0.15">
      <c r="B27" s="370"/>
      <c r="C27" s="361"/>
      <c r="D27" s="353"/>
      <c r="E27" s="12" t="s">
        <v>5</v>
      </c>
      <c r="F27" s="162" t="s">
        <v>115</v>
      </c>
      <c r="G27" s="36">
        <f>전기!F58</f>
        <v>0</v>
      </c>
      <c r="H27" s="36">
        <f>IF(전기!G58&gt;0,전기!G58,"")</f>
        <v>350000</v>
      </c>
      <c r="I27" s="36">
        <f>전기!H58</f>
        <v>0</v>
      </c>
      <c r="J27" s="13"/>
    </row>
    <row r="28" spans="2:10" ht="19.5" customHeight="1" x14ac:dyDescent="0.15">
      <c r="B28" s="370"/>
      <c r="C28" s="361"/>
      <c r="D28" s="353"/>
      <c r="E28" s="12" t="s">
        <v>101</v>
      </c>
      <c r="F28" s="162" t="s">
        <v>115</v>
      </c>
      <c r="G28" s="36">
        <f>전기!F59</f>
        <v>10</v>
      </c>
      <c r="H28" s="36">
        <f>IF(전기!G59&gt;0,전기!G59,"")</f>
        <v>350000</v>
      </c>
      <c r="I28" s="36">
        <f>전기!H59</f>
        <v>3500000</v>
      </c>
      <c r="J28" s="13"/>
    </row>
    <row r="29" spans="2:10" ht="19.5" customHeight="1" x14ac:dyDescent="0.15">
      <c r="B29" s="370"/>
      <c r="C29" s="361"/>
      <c r="D29" s="353"/>
      <c r="E29" s="12" t="s">
        <v>100</v>
      </c>
      <c r="F29" s="162" t="s">
        <v>115</v>
      </c>
      <c r="G29" s="36">
        <f>전기!F60</f>
        <v>4</v>
      </c>
      <c r="H29" s="36">
        <f>IF(전기!G60&gt;0,전기!G60,"")</f>
        <v>350000</v>
      </c>
      <c r="I29" s="274">
        <f>전기!H60</f>
        <v>1400000</v>
      </c>
      <c r="J29" s="389" t="s">
        <v>167</v>
      </c>
    </row>
    <row r="30" spans="2:10" ht="19.5" customHeight="1" x14ac:dyDescent="0.15">
      <c r="B30" s="370"/>
      <c r="C30" s="361"/>
      <c r="D30" s="353"/>
      <c r="E30" s="12" t="s">
        <v>8</v>
      </c>
      <c r="F30" s="162" t="s">
        <v>115</v>
      </c>
      <c r="G30" s="36">
        <f>전기!F61</f>
        <v>13</v>
      </c>
      <c r="H30" s="36">
        <f>IF(전기!G61&gt;0,전기!G61,"")</f>
        <v>500000</v>
      </c>
      <c r="I30" s="274">
        <f>전기!H61</f>
        <v>6500000</v>
      </c>
      <c r="J30" s="390"/>
    </row>
    <row r="31" spans="2:10" ht="19.5" customHeight="1" x14ac:dyDescent="0.15">
      <c r="B31" s="370"/>
      <c r="C31" s="361"/>
      <c r="D31" s="353"/>
      <c r="E31" s="12" t="s">
        <v>9</v>
      </c>
      <c r="F31" s="162" t="s">
        <v>115</v>
      </c>
      <c r="G31" s="36">
        <f>전기!F62</f>
        <v>10</v>
      </c>
      <c r="H31" s="36">
        <f>IF(전기!G62&gt;0,전기!G62,"")</f>
        <v>500000</v>
      </c>
      <c r="I31" s="36">
        <f>전기!H62</f>
        <v>5000000</v>
      </c>
      <c r="J31" s="13"/>
    </row>
    <row r="32" spans="2:10" ht="19.5" customHeight="1" x14ac:dyDescent="0.15">
      <c r="B32" s="370"/>
      <c r="C32" s="361"/>
      <c r="D32" s="355"/>
      <c r="E32" s="14" t="s">
        <v>68</v>
      </c>
      <c r="F32" s="391"/>
      <c r="G32" s="392"/>
      <c r="H32" s="393"/>
      <c r="I32" s="48">
        <f>SUM(I25:I31)</f>
        <v>23500000</v>
      </c>
      <c r="J32" s="13"/>
    </row>
    <row r="33" spans="2:13" ht="19.5" customHeight="1" x14ac:dyDescent="0.15">
      <c r="B33" s="370"/>
      <c r="C33" s="353"/>
      <c r="D33" s="133" t="s">
        <v>76</v>
      </c>
      <c r="E33" s="126"/>
      <c r="F33" s="349"/>
      <c r="G33" s="350"/>
      <c r="H33" s="351"/>
      <c r="I33" s="51">
        <f>전기!H65+전기!H66</f>
        <v>9545600</v>
      </c>
      <c r="J33" s="87"/>
    </row>
    <row r="34" spans="2:13" ht="19.5" customHeight="1" x14ac:dyDescent="0.15">
      <c r="B34" s="371"/>
      <c r="C34" s="354"/>
      <c r="D34" s="17"/>
      <c r="E34" s="18" t="s">
        <v>69</v>
      </c>
      <c r="F34" s="364"/>
      <c r="G34" s="365"/>
      <c r="H34" s="366"/>
      <c r="I34" s="49">
        <f>I32+I23+I33+I24</f>
        <v>39375600</v>
      </c>
      <c r="J34" s="19"/>
    </row>
    <row r="35" spans="2:13" ht="19.5" customHeight="1" x14ac:dyDescent="0.15">
      <c r="B35" s="343">
        <v>3</v>
      </c>
      <c r="C35" s="346" t="s">
        <v>57</v>
      </c>
      <c r="D35" s="347"/>
      <c r="E35" s="348"/>
      <c r="F35" s="346"/>
      <c r="G35" s="347"/>
      <c r="H35" s="348"/>
      <c r="I35" s="50">
        <f>I23+I11+I24</f>
        <v>7891200</v>
      </c>
      <c r="J35" s="20"/>
    </row>
    <row r="36" spans="2:13" ht="19.5" customHeight="1" x14ac:dyDescent="0.15">
      <c r="B36" s="344"/>
      <c r="C36" s="349" t="s">
        <v>58</v>
      </c>
      <c r="D36" s="350"/>
      <c r="E36" s="351"/>
      <c r="F36" s="349"/>
      <c r="G36" s="350"/>
      <c r="H36" s="351"/>
      <c r="I36" s="48">
        <f>I32+I20</f>
        <v>81000000</v>
      </c>
      <c r="J36" s="13"/>
    </row>
    <row r="37" spans="2:13" ht="19.5" customHeight="1" thickBot="1" x14ac:dyDescent="0.2">
      <c r="B37" s="345"/>
      <c r="C37" s="357" t="s">
        <v>59</v>
      </c>
      <c r="D37" s="357"/>
      <c r="E37" s="358"/>
      <c r="F37" s="376"/>
      <c r="G37" s="357"/>
      <c r="H37" s="358"/>
      <c r="I37" s="58">
        <f>I36+I35</f>
        <v>88891200</v>
      </c>
      <c r="J37" s="59"/>
    </row>
    <row r="38" spans="2:13" ht="20.25" customHeight="1" x14ac:dyDescent="0.15">
      <c r="B38" s="21">
        <v>4</v>
      </c>
      <c r="C38" s="355" t="s">
        <v>88</v>
      </c>
      <c r="D38" s="368"/>
      <c r="E38" s="369"/>
      <c r="F38" s="377"/>
      <c r="G38" s="378"/>
      <c r="H38" s="379"/>
      <c r="I38" s="143">
        <v>4000000</v>
      </c>
      <c r="J38" s="110"/>
    </row>
    <row r="39" spans="2:13" ht="22.5" customHeight="1" x14ac:dyDescent="0.15">
      <c r="B39" s="23">
        <v>5</v>
      </c>
      <c r="C39" s="349" t="s">
        <v>0</v>
      </c>
      <c r="D39" s="350"/>
      <c r="E39" s="351"/>
      <c r="F39" s="380" t="s">
        <v>165</v>
      </c>
      <c r="G39" s="381"/>
      <c r="H39" s="382"/>
      <c r="I39" s="111">
        <f>IF(J39&lt;50000000,J39*0.0309,1)*IF(J39&lt;4000000,0,1)+IF(J39&gt;50000000,J39*0.0199+549900)*IF(J39&lt;4000000,0,1)*IF(J39&gt;500000000,0,1)+IF(J39&gt;500000000,J39*0.021,0)</f>
        <v>704211</v>
      </c>
      <c r="J39" s="24">
        <f>I30+I29+I25+I24+I17+I16+I12+I10</f>
        <v>22790000</v>
      </c>
      <c r="K39" s="166"/>
      <c r="M39" s="166"/>
    </row>
    <row r="40" spans="2:13" ht="20.25" customHeight="1" x14ac:dyDescent="0.15">
      <c r="B40" s="23">
        <v>6</v>
      </c>
      <c r="C40" s="349" t="s">
        <v>25</v>
      </c>
      <c r="D40" s="350"/>
      <c r="E40" s="351"/>
      <c r="F40" s="383"/>
      <c r="G40" s="384"/>
      <c r="H40" s="385"/>
      <c r="I40" s="48">
        <f>전기!H65+단위장비1!H66+단위장비2!H67+단위장비3!H67+단위장비4!H67+단위장비5!H67+단위장비6!H67+단위장비7!H67+단위장비8!H67+단위장비9!H67+단위장비10!H67</f>
        <v>9770240</v>
      </c>
      <c r="J40" s="13"/>
    </row>
    <row r="41" spans="2:13" ht="20.25" customHeight="1" x14ac:dyDescent="0.15">
      <c r="B41" s="25">
        <v>7</v>
      </c>
      <c r="C41" s="364" t="s">
        <v>17</v>
      </c>
      <c r="D41" s="365"/>
      <c r="E41" s="366"/>
      <c r="F41" s="386"/>
      <c r="G41" s="387"/>
      <c r="H41" s="388"/>
      <c r="I41" s="51">
        <f>전기!H66+단위장비1!H67+단위장비2!H68+단위장비3!H68+단위장비4!H68+단위장비5!H68+단위장비6!H68+단위장비7!H68+단위장비8!H68+단위장비9!H68+단위장비10!H68</f>
        <v>21644528</v>
      </c>
      <c r="J41" s="87"/>
      <c r="K41" s="7"/>
    </row>
    <row r="42" spans="2:13" ht="28.5" customHeight="1" thickBot="1" x14ac:dyDescent="0.2">
      <c r="B42" s="60"/>
      <c r="C42" s="367" t="s">
        <v>18</v>
      </c>
      <c r="D42" s="367"/>
      <c r="E42" s="367"/>
      <c r="F42" s="373" t="s">
        <v>63</v>
      </c>
      <c r="G42" s="374"/>
      <c r="H42" s="375"/>
      <c r="I42" s="61">
        <f>I22+I34+I38+I39</f>
        <v>125010179</v>
      </c>
      <c r="J42" s="88"/>
      <c r="K42" s="7"/>
    </row>
    <row r="43" spans="2:13" ht="19.5" customHeight="1" x14ac:dyDescent="0.15">
      <c r="B43" s="261" t="s">
        <v>166</v>
      </c>
      <c r="C43" s="8"/>
      <c r="D43" s="8"/>
      <c r="E43" s="8"/>
      <c r="L43" s="261"/>
    </row>
    <row r="44" spans="2:13" ht="19.5" customHeight="1" x14ac:dyDescent="0.15">
      <c r="B44" s="7" t="s">
        <v>64</v>
      </c>
      <c r="C44" s="8"/>
      <c r="D44" s="8"/>
      <c r="E44" s="8"/>
    </row>
    <row r="45" spans="2:13" ht="19.5" customHeight="1" x14ac:dyDescent="0.15">
      <c r="C45" s="8"/>
      <c r="D45" s="8"/>
      <c r="E45" s="8"/>
    </row>
    <row r="46" spans="2:13" ht="19.5" customHeight="1" x14ac:dyDescent="0.15">
      <c r="C46" s="8"/>
      <c r="D46" s="8"/>
      <c r="E46" s="8"/>
    </row>
  </sheetData>
  <mergeCells count="36">
    <mergeCell ref="J29:J30"/>
    <mergeCell ref="J16:J17"/>
    <mergeCell ref="F11:H11"/>
    <mergeCell ref="F32:H32"/>
    <mergeCell ref="F33:H33"/>
    <mergeCell ref="F34:H34"/>
    <mergeCell ref="F20:H20"/>
    <mergeCell ref="F21:H21"/>
    <mergeCell ref="F22:H22"/>
    <mergeCell ref="F42:H42"/>
    <mergeCell ref="F35:H35"/>
    <mergeCell ref="F36:H36"/>
    <mergeCell ref="F37:H37"/>
    <mergeCell ref="F38:H38"/>
    <mergeCell ref="F39:H39"/>
    <mergeCell ref="F40:H40"/>
    <mergeCell ref="F41:H41"/>
    <mergeCell ref="C41:E41"/>
    <mergeCell ref="C42:E42"/>
    <mergeCell ref="C38:E38"/>
    <mergeCell ref="B7:B22"/>
    <mergeCell ref="B23:B34"/>
    <mergeCell ref="C39:E39"/>
    <mergeCell ref="C40:E40"/>
    <mergeCell ref="C5:E5"/>
    <mergeCell ref="C6:E6"/>
    <mergeCell ref="B35:B37"/>
    <mergeCell ref="C35:E35"/>
    <mergeCell ref="C36:E36"/>
    <mergeCell ref="C7:C22"/>
    <mergeCell ref="D7:D11"/>
    <mergeCell ref="D25:D32"/>
    <mergeCell ref="D12:D20"/>
    <mergeCell ref="C37:E37"/>
    <mergeCell ref="C23:C34"/>
    <mergeCell ref="D23:D24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2:P22"/>
  <sheetViews>
    <sheetView zoomScale="80" workbookViewId="0">
      <selection activeCell="F7" sqref="F7"/>
    </sheetView>
  </sheetViews>
  <sheetFormatPr defaultRowHeight="17.25" customHeight="1" x14ac:dyDescent="0.15"/>
  <cols>
    <col min="1" max="1" width="5" style="29" customWidth="1"/>
    <col min="2" max="2" width="20.125" style="29" customWidth="1"/>
    <col min="3" max="3" width="6.25" style="29" customWidth="1"/>
    <col min="4" max="8" width="11.875" style="29" customWidth="1"/>
    <col min="9" max="9" width="13" style="29" customWidth="1"/>
    <col min="10" max="11" width="13.875" style="29" customWidth="1"/>
    <col min="12" max="12" width="12.5" style="29" bestFit="1" customWidth="1"/>
    <col min="13" max="13" width="15" style="29" bestFit="1" customWidth="1"/>
    <col min="14" max="14" width="13.875" style="29" customWidth="1"/>
    <col min="15" max="15" width="9.625" style="29" customWidth="1"/>
    <col min="16" max="16" width="12.625" style="29" hidden="1" customWidth="1"/>
    <col min="17" max="17" width="10" style="29" customWidth="1"/>
    <col min="18" max="16384" width="9" style="29"/>
  </cols>
  <sheetData>
    <row r="2" spans="1:16" ht="31.5" customHeight="1" x14ac:dyDescent="0.15">
      <c r="A2" s="4" t="s">
        <v>93</v>
      </c>
    </row>
    <row r="3" spans="1:16" ht="17.25" customHeight="1" thickBot="1" x14ac:dyDescent="0.2">
      <c r="N3" s="29" t="s">
        <v>29</v>
      </c>
    </row>
    <row r="4" spans="1:16" s="30" customFormat="1" ht="8.25" customHeight="1" x14ac:dyDescent="0.15">
      <c r="A4" s="33"/>
      <c r="B4" s="33"/>
      <c r="C4" s="33"/>
      <c r="D4" s="397"/>
      <c r="E4" s="398"/>
      <c r="F4" s="398"/>
      <c r="G4" s="398"/>
      <c r="H4" s="398"/>
      <c r="I4" s="398"/>
      <c r="J4" s="399"/>
      <c r="K4" s="128"/>
      <c r="L4" s="128"/>
      <c r="M4" s="129"/>
      <c r="N4" s="64"/>
      <c r="O4" s="52"/>
    </row>
    <row r="5" spans="1:16" s="30" customFormat="1" ht="25.5" customHeight="1" x14ac:dyDescent="0.15">
      <c r="A5" s="67"/>
      <c r="B5" s="67"/>
      <c r="C5" s="67"/>
      <c r="D5" s="235"/>
      <c r="E5" s="236"/>
      <c r="F5" s="236"/>
      <c r="G5" s="236"/>
      <c r="H5" s="236"/>
      <c r="I5" s="237" t="s">
        <v>86</v>
      </c>
      <c r="J5" s="220"/>
      <c r="K5" s="216"/>
      <c r="L5" s="216" t="s">
        <v>74</v>
      </c>
      <c r="M5" s="217" t="s">
        <v>56</v>
      </c>
      <c r="N5" s="218"/>
      <c r="O5" s="219"/>
    </row>
    <row r="6" spans="1:16" s="30" customFormat="1" ht="25.5" customHeight="1" thickBot="1" x14ac:dyDescent="0.2">
      <c r="A6" s="42" t="s">
        <v>23</v>
      </c>
      <c r="B6" s="42" t="s">
        <v>94</v>
      </c>
      <c r="C6" s="42" t="s">
        <v>28</v>
      </c>
      <c r="D6" s="238" t="s">
        <v>24</v>
      </c>
      <c r="E6" s="239" t="s">
        <v>60</v>
      </c>
      <c r="F6" s="239" t="s">
        <v>61</v>
      </c>
      <c r="G6" s="239" t="s">
        <v>54</v>
      </c>
      <c r="H6" s="239" t="s">
        <v>55</v>
      </c>
      <c r="I6" s="240" t="s">
        <v>87</v>
      </c>
      <c r="J6" s="221" t="s">
        <v>147</v>
      </c>
      <c r="K6" s="127" t="s">
        <v>148</v>
      </c>
      <c r="L6" s="127" t="s">
        <v>75</v>
      </c>
      <c r="M6" s="130" t="s">
        <v>43</v>
      </c>
      <c r="N6" s="65" t="s">
        <v>26</v>
      </c>
      <c r="O6" s="62" t="s">
        <v>27</v>
      </c>
    </row>
    <row r="7" spans="1:16" s="32" customFormat="1" ht="25.5" customHeight="1" thickTop="1" x14ac:dyDescent="0.15">
      <c r="A7" s="144">
        <f>IF(B7&gt;0,1,"")</f>
        <v>1</v>
      </c>
      <c r="B7" s="145" t="str">
        <f>단위장비1!C$1</f>
        <v>DMG</v>
      </c>
      <c r="C7" s="144" t="s">
        <v>150</v>
      </c>
      <c r="D7" s="241">
        <f>단위장비1!H55</f>
        <v>1561200</v>
      </c>
      <c r="E7" s="242">
        <f>단위장비1!H56</f>
        <v>2100000</v>
      </c>
      <c r="F7" s="242">
        <f>단위장비1!H57+단위장비1!H58+단위장비1!H59+단위장비1!H63</f>
        <v>40350000</v>
      </c>
      <c r="G7" s="242">
        <f>단위장비1!H60+단위장비1!H61</f>
        <v>9800000</v>
      </c>
      <c r="H7" s="242">
        <f>단위장비1!H62</f>
        <v>5250000</v>
      </c>
      <c r="I7" s="243">
        <f>IF($B7&gt;0,'원가항목별(집계)'!I$38*$P7/$P$17,0)</f>
        <v>4000000</v>
      </c>
      <c r="J7" s="222">
        <f>SUM(D7:I7)</f>
        <v>63061200</v>
      </c>
      <c r="K7" s="146">
        <f>IF(B7&gt;0,'원가항목별(집계)'!I$34*P7/P$17,0)</f>
        <v>39375600</v>
      </c>
      <c r="L7" s="146">
        <f>IF($B7&gt;0,'원가항목별(집계)'!I$39*$P7/$P$17,0)</f>
        <v>704211</v>
      </c>
      <c r="M7" s="147">
        <f>단위장비1!H66+단위장비1!H67</f>
        <v>21869168</v>
      </c>
      <c r="N7" s="148">
        <f>SUM(J7:M7)</f>
        <v>125010179</v>
      </c>
      <c r="O7" s="149"/>
      <c r="P7" s="32">
        <f>D7+E7+F7+G7+H7+M7</f>
        <v>80930368</v>
      </c>
    </row>
    <row r="8" spans="1:16" s="32" customFormat="1" ht="25.5" customHeight="1" x14ac:dyDescent="0.15">
      <c r="A8" s="150" t="str">
        <f>IF(B8&gt;0,A7+1,"")</f>
        <v/>
      </c>
      <c r="B8" s="151">
        <f>단위장비2!C$1</f>
        <v>0</v>
      </c>
      <c r="C8" s="150" t="s">
        <v>151</v>
      </c>
      <c r="D8" s="244">
        <f>단위장비2!H56</f>
        <v>0</v>
      </c>
      <c r="E8" s="245">
        <f>단위장비2!H57</f>
        <v>0</v>
      </c>
      <c r="F8" s="245">
        <f>단위장비2!H58+단위장비2!H59+단위장비2!H60+단위장비2!H64</f>
        <v>0</v>
      </c>
      <c r="G8" s="245">
        <f>단위장비2!H61+단위장비2!H62</f>
        <v>0</v>
      </c>
      <c r="H8" s="245">
        <f>단위장비2!H63</f>
        <v>0</v>
      </c>
      <c r="I8" s="246">
        <f>IF($B8&gt;0,'원가항목별(집계)'!I$38*$P8/$P$17,0)</f>
        <v>0</v>
      </c>
      <c r="J8" s="223">
        <f>SUM(D8:I8)</f>
        <v>0</v>
      </c>
      <c r="K8" s="152">
        <f>IF(B8&gt;0,'원가항목별(집계)'!I$34*P8/P$17,0)</f>
        <v>0</v>
      </c>
      <c r="L8" s="152">
        <f>IF($B8&gt;0,'원가항목별(집계)'!I$39*$P8/$P$17,0)</f>
        <v>0</v>
      </c>
      <c r="M8" s="153">
        <f>단위장비2!H67+단위장비2!H68</f>
        <v>0</v>
      </c>
      <c r="N8" s="154">
        <f t="shared" ref="N8:N16" si="0">SUM(J8:M8)</f>
        <v>0</v>
      </c>
      <c r="O8" s="100"/>
      <c r="P8" s="32">
        <f t="shared" ref="P8:P16" si="1">D8+E8+F8+G8+H8+M8</f>
        <v>0</v>
      </c>
    </row>
    <row r="9" spans="1:16" s="32" customFormat="1" ht="25.5" customHeight="1" x14ac:dyDescent="0.15">
      <c r="A9" s="150" t="str">
        <f>IF(B9&gt;0,A8+1,"")</f>
        <v/>
      </c>
      <c r="B9" s="151">
        <f>단위장비3!C$1</f>
        <v>0</v>
      </c>
      <c r="C9" s="150" t="s">
        <v>149</v>
      </c>
      <c r="D9" s="244">
        <f>단위장비3!H56</f>
        <v>0</v>
      </c>
      <c r="E9" s="245">
        <f>단위장비3!H57</f>
        <v>0</v>
      </c>
      <c r="F9" s="245">
        <f>단위장비3!H58+단위장비3!H59+단위장비3!H60+단위장비3!H64</f>
        <v>0</v>
      </c>
      <c r="G9" s="245">
        <f>단위장비3!H61+단위장비3!H62</f>
        <v>0</v>
      </c>
      <c r="H9" s="245">
        <f>단위장비3!H63</f>
        <v>0</v>
      </c>
      <c r="I9" s="246">
        <f>IF($B9&gt;0,'원가항목별(집계)'!I$38*$P9/$P$17,0)</f>
        <v>0</v>
      </c>
      <c r="J9" s="223">
        <f t="shared" ref="J9:J17" si="2">SUM(D9:I9)</f>
        <v>0</v>
      </c>
      <c r="K9" s="152">
        <f>IF(B9&gt;0,'원가항목별(집계)'!I$34*P9/P$17,0)</f>
        <v>0</v>
      </c>
      <c r="L9" s="152">
        <f>IF($B9&gt;0,'원가항목별(집계)'!I$39*$P9/$P$17,0)</f>
        <v>0</v>
      </c>
      <c r="M9" s="153">
        <f>단위장비3!H67+단위장비3!H68</f>
        <v>0</v>
      </c>
      <c r="N9" s="154">
        <f t="shared" si="0"/>
        <v>0</v>
      </c>
      <c r="O9" s="100"/>
      <c r="P9" s="32">
        <f t="shared" si="1"/>
        <v>0</v>
      </c>
    </row>
    <row r="10" spans="1:16" s="32" customFormat="1" ht="25.5" customHeight="1" x14ac:dyDescent="0.15">
      <c r="A10" s="150" t="str">
        <f>IF(B10&gt;0,A9+1,"")</f>
        <v/>
      </c>
      <c r="B10" s="151">
        <f>단위장비4!C$1</f>
        <v>0</v>
      </c>
      <c r="C10" s="150" t="s">
        <v>149</v>
      </c>
      <c r="D10" s="244">
        <f>단위장비4!H56</f>
        <v>0</v>
      </c>
      <c r="E10" s="245">
        <f>단위장비4!H57</f>
        <v>0</v>
      </c>
      <c r="F10" s="245">
        <f>단위장비4!H58+단위장비4!H59+단위장비4!H60+단위장비4!H64</f>
        <v>0</v>
      </c>
      <c r="G10" s="245">
        <f>단위장비4!H61+단위장비4!H62</f>
        <v>0</v>
      </c>
      <c r="H10" s="245">
        <f>단위장비4!H63</f>
        <v>0</v>
      </c>
      <c r="I10" s="246">
        <f>IF($B10&gt;0,'원가항목별(집계)'!I$38*$P10/$P$17,0)</f>
        <v>0</v>
      </c>
      <c r="J10" s="223">
        <f t="shared" si="2"/>
        <v>0</v>
      </c>
      <c r="K10" s="152">
        <f>IF(B10&gt;0,'원가항목별(집계)'!I$34*P10/P$17,0)</f>
        <v>0</v>
      </c>
      <c r="L10" s="152">
        <f>IF($B10&gt;0,'원가항목별(집계)'!I$39*$P10/$P$17,0)</f>
        <v>0</v>
      </c>
      <c r="M10" s="153">
        <f>단위장비4!H67+단위장비4!H68</f>
        <v>0</v>
      </c>
      <c r="N10" s="154">
        <f t="shared" si="0"/>
        <v>0</v>
      </c>
      <c r="O10" s="100"/>
      <c r="P10" s="32">
        <f t="shared" si="1"/>
        <v>0</v>
      </c>
    </row>
    <row r="11" spans="1:16" s="32" customFormat="1" ht="25.5" customHeight="1" x14ac:dyDescent="0.15">
      <c r="A11" s="150" t="str">
        <f>IF(B11&gt;0,A10+1,"")</f>
        <v/>
      </c>
      <c r="B11" s="151">
        <f>단위장비5!C$1</f>
        <v>0</v>
      </c>
      <c r="C11" s="150" t="s">
        <v>149</v>
      </c>
      <c r="D11" s="244">
        <f>단위장비5!H56</f>
        <v>0</v>
      </c>
      <c r="E11" s="245">
        <f>단위장비5!H57</f>
        <v>0</v>
      </c>
      <c r="F11" s="245">
        <f>단위장비5!H58+단위장비5!H59+단위장비5!H60+단위장비5!H64</f>
        <v>0</v>
      </c>
      <c r="G11" s="245">
        <f>단위장비5!H61+단위장비5!H62</f>
        <v>0</v>
      </c>
      <c r="H11" s="245">
        <f>단위장비5!H63</f>
        <v>0</v>
      </c>
      <c r="I11" s="246">
        <f>IF($B11&gt;0,'원가항목별(집계)'!I$38*$P11/$P$17,0)</f>
        <v>0</v>
      </c>
      <c r="J11" s="223">
        <f t="shared" si="2"/>
        <v>0</v>
      </c>
      <c r="K11" s="152">
        <f>IF(B11&gt;0,'원가항목별(집계)'!I$34*P11/P$17,0)</f>
        <v>0</v>
      </c>
      <c r="L11" s="152">
        <f>IF($B11&gt;0,'원가항목별(집계)'!I$39*$P11/$P$17,0)</f>
        <v>0</v>
      </c>
      <c r="M11" s="153">
        <f>단위장비5!H67+단위장비5!H68</f>
        <v>0</v>
      </c>
      <c r="N11" s="154">
        <f t="shared" si="0"/>
        <v>0</v>
      </c>
      <c r="O11" s="100"/>
      <c r="P11" s="32">
        <f t="shared" si="1"/>
        <v>0</v>
      </c>
    </row>
    <row r="12" spans="1:16" s="32" customFormat="1" ht="25.5" customHeight="1" x14ac:dyDescent="0.15">
      <c r="A12" s="150" t="str">
        <f>IF(B12&gt;0,A11+1,"")</f>
        <v/>
      </c>
      <c r="B12" s="151">
        <f>단위장비6!C$1</f>
        <v>0</v>
      </c>
      <c r="C12" s="150" t="s">
        <v>149</v>
      </c>
      <c r="D12" s="244">
        <f>단위장비6!H56</f>
        <v>0</v>
      </c>
      <c r="E12" s="245">
        <f>단위장비6!H57</f>
        <v>0</v>
      </c>
      <c r="F12" s="245">
        <f>단위장비6!H58+단위장비6!H59+단위장비6!H60+단위장비6!H64</f>
        <v>0</v>
      </c>
      <c r="G12" s="245">
        <f>단위장비6!H61+단위장비6!H62</f>
        <v>0</v>
      </c>
      <c r="H12" s="245">
        <f>단위장비6!H63</f>
        <v>0</v>
      </c>
      <c r="I12" s="246">
        <f>IF($B12&gt;0,'원가항목별(집계)'!I$38*$P12/$P$17,0)</f>
        <v>0</v>
      </c>
      <c r="J12" s="223">
        <f t="shared" si="2"/>
        <v>0</v>
      </c>
      <c r="K12" s="152">
        <f>IF(B12&gt;0,'원가항목별(집계)'!I$34*P12/P$17,0)</f>
        <v>0</v>
      </c>
      <c r="L12" s="152">
        <f>IF($B12&gt;0,'원가항목별(집계)'!I$39*$P12/$P$17,0)</f>
        <v>0</v>
      </c>
      <c r="M12" s="153">
        <f>단위장비6!H67+단위장비6!H68</f>
        <v>0</v>
      </c>
      <c r="N12" s="154">
        <f t="shared" si="0"/>
        <v>0</v>
      </c>
      <c r="O12" s="100"/>
      <c r="P12" s="32">
        <f t="shared" si="1"/>
        <v>0</v>
      </c>
    </row>
    <row r="13" spans="1:16" s="32" customFormat="1" ht="25.5" customHeight="1" x14ac:dyDescent="0.15">
      <c r="A13" s="150" t="str">
        <f>IF(B13&gt;0,A8+1,"")</f>
        <v/>
      </c>
      <c r="B13" s="151">
        <f>단위장비7!C$1</f>
        <v>0</v>
      </c>
      <c r="C13" s="150" t="s">
        <v>149</v>
      </c>
      <c r="D13" s="244">
        <f>단위장비7!H56</f>
        <v>0</v>
      </c>
      <c r="E13" s="245">
        <f>단위장비7!H57</f>
        <v>0</v>
      </c>
      <c r="F13" s="245">
        <f>단위장비7!H58+단위장비7!H59+단위장비7!H60+단위장비7!H64</f>
        <v>0</v>
      </c>
      <c r="G13" s="245">
        <f>단위장비7!H61+단위장비7!H62</f>
        <v>0</v>
      </c>
      <c r="H13" s="245">
        <f>단위장비7!H63</f>
        <v>0</v>
      </c>
      <c r="I13" s="246">
        <f>IF($B13&gt;0,'원가항목별(집계)'!I$38*$P13/$P$17,0)</f>
        <v>0</v>
      </c>
      <c r="J13" s="223">
        <f t="shared" si="2"/>
        <v>0</v>
      </c>
      <c r="K13" s="152">
        <f>IF(B13&gt;0,'원가항목별(집계)'!I$34*P13/P$17,0)</f>
        <v>0</v>
      </c>
      <c r="L13" s="152">
        <f>IF($B13&gt;0,'원가항목별(집계)'!I$39*$P13/$P$17,0)</f>
        <v>0</v>
      </c>
      <c r="M13" s="153">
        <f>단위장비7!H67+단위장비7!H68</f>
        <v>0</v>
      </c>
      <c r="N13" s="154">
        <f t="shared" si="0"/>
        <v>0</v>
      </c>
      <c r="O13" s="100"/>
      <c r="P13" s="32">
        <f t="shared" si="1"/>
        <v>0</v>
      </c>
    </row>
    <row r="14" spans="1:16" s="32" customFormat="1" ht="25.5" customHeight="1" x14ac:dyDescent="0.15">
      <c r="A14" s="150" t="str">
        <f>IF(B14&gt;0,A13+1,"")</f>
        <v/>
      </c>
      <c r="B14" s="151">
        <f>단위장비8!C$1</f>
        <v>0</v>
      </c>
      <c r="C14" s="150" t="s">
        <v>149</v>
      </c>
      <c r="D14" s="244">
        <f>단위장비8!H56</f>
        <v>0</v>
      </c>
      <c r="E14" s="245">
        <f>단위장비8!H57</f>
        <v>0</v>
      </c>
      <c r="F14" s="245">
        <f>단위장비8!H58+단위장비8!H59+단위장비8!H60+단위장비8!H64</f>
        <v>0</v>
      </c>
      <c r="G14" s="245">
        <f>단위장비8!H61+단위장비8!H62</f>
        <v>0</v>
      </c>
      <c r="H14" s="245">
        <f>단위장비8!H63</f>
        <v>0</v>
      </c>
      <c r="I14" s="246">
        <f>IF($B14&gt;0,'원가항목별(집계)'!I$38*$P14/$P$17,0)</f>
        <v>0</v>
      </c>
      <c r="J14" s="223">
        <f t="shared" si="2"/>
        <v>0</v>
      </c>
      <c r="K14" s="152">
        <f>IF(B14&gt;0,'원가항목별(집계)'!I$34*P14/P$17,0)</f>
        <v>0</v>
      </c>
      <c r="L14" s="152">
        <f>IF($B14&gt;0,'원가항목별(집계)'!I$39*$P14/$P$17,0)</f>
        <v>0</v>
      </c>
      <c r="M14" s="153">
        <f>단위장비8!H67+단위장비8!H68</f>
        <v>0</v>
      </c>
      <c r="N14" s="154">
        <f t="shared" si="0"/>
        <v>0</v>
      </c>
      <c r="O14" s="100"/>
      <c r="P14" s="32">
        <f t="shared" si="1"/>
        <v>0</v>
      </c>
    </row>
    <row r="15" spans="1:16" s="32" customFormat="1" ht="25.5" customHeight="1" x14ac:dyDescent="0.15">
      <c r="A15" s="150" t="str">
        <f>IF(B15&gt;0,A14+1,"")</f>
        <v/>
      </c>
      <c r="B15" s="151">
        <f>단위장비9!C$1</f>
        <v>0</v>
      </c>
      <c r="C15" s="150" t="s">
        <v>149</v>
      </c>
      <c r="D15" s="244">
        <f>단위장비9!H57</f>
        <v>0</v>
      </c>
      <c r="E15" s="245">
        <f>단위장비9!H58</f>
        <v>0</v>
      </c>
      <c r="F15" s="245">
        <f>단위장비9!H59+단위장비9!H60+단위장비9!H61+단위장비9!H65</f>
        <v>0</v>
      </c>
      <c r="G15" s="245">
        <f>단위장비9!H62+단위장비9!H63</f>
        <v>0</v>
      </c>
      <c r="H15" s="245">
        <f>단위장비9!H64</f>
        <v>0</v>
      </c>
      <c r="I15" s="246">
        <f>IF($B15&gt;0,'원가항목별(집계)'!I$38*$P15/$P$17,0)</f>
        <v>0</v>
      </c>
      <c r="J15" s="223">
        <f t="shared" si="2"/>
        <v>0</v>
      </c>
      <c r="K15" s="152">
        <f>IF(B15&gt;0,'원가항목별(집계)'!I$34*P15/P$17,0)</f>
        <v>0</v>
      </c>
      <c r="L15" s="152">
        <f>IF($B15&gt;0,'원가항목별(집계)'!I$39*$P15/$P$17,0)</f>
        <v>0</v>
      </c>
      <c r="M15" s="153">
        <f>단위장비9!H68+단위장비9!H69</f>
        <v>0</v>
      </c>
      <c r="N15" s="154">
        <f t="shared" si="0"/>
        <v>0</v>
      </c>
      <c r="O15" s="100"/>
      <c r="P15" s="32">
        <f t="shared" si="1"/>
        <v>0</v>
      </c>
    </row>
    <row r="16" spans="1:16" s="32" customFormat="1" ht="25.5" customHeight="1" x14ac:dyDescent="0.15">
      <c r="A16" s="155" t="str">
        <f>IF(B16&gt;0,A15+1,"")</f>
        <v/>
      </c>
      <c r="B16" s="156">
        <f>단위장비10!C$1</f>
        <v>0</v>
      </c>
      <c r="C16" s="155" t="s">
        <v>149</v>
      </c>
      <c r="D16" s="247">
        <f>단위장비10!H58</f>
        <v>0</v>
      </c>
      <c r="E16" s="248">
        <f>단위장비10!H59</f>
        <v>0</v>
      </c>
      <c r="F16" s="248">
        <f>단위장비10!H60+단위장비10!H61+단위장비10!H62+단위장비10!H66</f>
        <v>0</v>
      </c>
      <c r="G16" s="248">
        <f>단위장비10!H63+단위장비10!H64</f>
        <v>0</v>
      </c>
      <c r="H16" s="248">
        <f>단위장비10!H65</f>
        <v>0</v>
      </c>
      <c r="I16" s="249">
        <f>IF($B16&gt;0,'원가항목별(집계)'!I$38*$P16/$P$17,0)</f>
        <v>0</v>
      </c>
      <c r="J16" s="224">
        <f t="shared" si="2"/>
        <v>0</v>
      </c>
      <c r="K16" s="157">
        <f>IF(B16&gt;0,'원가항목별(집계)'!I$34*P16/P$17,0)</f>
        <v>0</v>
      </c>
      <c r="L16" s="157">
        <f>IF($B16&gt;0,'원가항목별(집계)'!I$39*$P16/$P$17,0)</f>
        <v>0</v>
      </c>
      <c r="M16" s="158">
        <f>단위장비10!H69+단위장비10!H70</f>
        <v>0</v>
      </c>
      <c r="N16" s="159">
        <f t="shared" si="0"/>
        <v>0</v>
      </c>
      <c r="O16" s="105"/>
      <c r="P16" s="32">
        <f t="shared" si="1"/>
        <v>0</v>
      </c>
    </row>
    <row r="17" spans="1:16" s="32" customFormat="1" ht="33" customHeight="1" x14ac:dyDescent="0.15">
      <c r="A17" s="394" t="s">
        <v>154</v>
      </c>
      <c r="B17" s="395"/>
      <c r="C17" s="396"/>
      <c r="D17" s="250">
        <f t="shared" ref="D17:M17" si="3">SUM(D7:D16)</f>
        <v>1561200</v>
      </c>
      <c r="E17" s="251">
        <f t="shared" si="3"/>
        <v>2100000</v>
      </c>
      <c r="F17" s="251">
        <f t="shared" si="3"/>
        <v>40350000</v>
      </c>
      <c r="G17" s="251">
        <f t="shared" si="3"/>
        <v>9800000</v>
      </c>
      <c r="H17" s="251">
        <f t="shared" si="3"/>
        <v>5250000</v>
      </c>
      <c r="I17" s="252">
        <f t="shared" si="3"/>
        <v>4000000</v>
      </c>
      <c r="J17" s="256">
        <f t="shared" si="2"/>
        <v>63061200</v>
      </c>
      <c r="K17" s="257">
        <f>SUM(K7:K16)</f>
        <v>39375600</v>
      </c>
      <c r="L17" s="257">
        <f t="shared" si="3"/>
        <v>704211</v>
      </c>
      <c r="M17" s="258">
        <f t="shared" si="3"/>
        <v>21869168</v>
      </c>
      <c r="N17" s="259">
        <f>SUM(N7:N14)</f>
        <v>125010179</v>
      </c>
      <c r="O17" s="63"/>
      <c r="P17" s="32">
        <f>SUM(P7:P16)</f>
        <v>80930368</v>
      </c>
    </row>
    <row r="18" spans="1:16" s="234" customFormat="1" ht="18.75" customHeight="1" x14ac:dyDescent="0.15">
      <c r="A18" s="225"/>
      <c r="B18" s="226"/>
      <c r="C18" s="227"/>
      <c r="D18" s="253">
        <f t="shared" ref="D18:N18" si="4">IF(D17=0,"",D17/$N17)</f>
        <v>1.2488583029706724E-2</v>
      </c>
      <c r="E18" s="254">
        <f t="shared" si="4"/>
        <v>1.6798632053794595E-2</v>
      </c>
      <c r="F18" s="254">
        <f t="shared" si="4"/>
        <v>0.32277371589076759</v>
      </c>
      <c r="G18" s="254">
        <f t="shared" si="4"/>
        <v>7.8393616251041451E-2</v>
      </c>
      <c r="H18" s="254">
        <f t="shared" si="4"/>
        <v>4.199658013448649E-2</v>
      </c>
      <c r="I18" s="255">
        <f t="shared" si="4"/>
        <v>3.1997394388180181E-2</v>
      </c>
      <c r="J18" s="229">
        <f t="shared" si="4"/>
        <v>0.50444852174797705</v>
      </c>
      <c r="K18" s="230">
        <f t="shared" si="4"/>
        <v>0.3149791506178069</v>
      </c>
      <c r="L18" s="228">
        <f t="shared" si="4"/>
        <v>5.6332292748736881E-3</v>
      </c>
      <c r="M18" s="231">
        <f t="shared" si="4"/>
        <v>0.1749390983593424</v>
      </c>
      <c r="N18" s="232">
        <f t="shared" si="4"/>
        <v>1</v>
      </c>
      <c r="O18" s="233"/>
    </row>
    <row r="19" spans="1:16" ht="28.5" customHeight="1" x14ac:dyDescent="0.15">
      <c r="A19" s="29" t="s">
        <v>102</v>
      </c>
      <c r="H19" s="134"/>
      <c r="I19" s="134"/>
      <c r="J19" s="134"/>
      <c r="K19" s="134"/>
      <c r="L19" s="134"/>
    </row>
    <row r="20" spans="1:16" ht="17.25" customHeight="1" x14ac:dyDescent="0.15">
      <c r="H20" s="131"/>
      <c r="I20" s="131"/>
      <c r="J20" s="131"/>
      <c r="K20" s="131"/>
      <c r="L20" s="131"/>
      <c r="M20" s="125"/>
      <c r="N20" s="139" t="str">
        <f>IF('원가항목별(집계)'!I42='단위공사별(집계)'!N17,"","DATA오류입니다!")</f>
        <v/>
      </c>
    </row>
    <row r="21" spans="1:16" ht="17.25" customHeight="1" x14ac:dyDescent="0.15">
      <c r="H21" s="132"/>
      <c r="I21" s="132"/>
      <c r="J21" s="132"/>
      <c r="K21" s="132"/>
      <c r="L21" s="132"/>
      <c r="N21" s="132"/>
    </row>
    <row r="22" spans="1:16" ht="17.25" customHeight="1" x14ac:dyDescent="0.15">
      <c r="H22" s="32"/>
      <c r="I22" s="32"/>
      <c r="J22" s="32"/>
      <c r="L22" s="32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50"/>
    <pageSetUpPr fitToPage="1"/>
  </sheetPr>
  <dimension ref="A1:K68"/>
  <sheetViews>
    <sheetView zoomScale="85" workbookViewId="0">
      <pane xSplit="3" ySplit="2" topLeftCell="D33" activePane="bottomRight" state="frozen"/>
      <selection activeCell="K15" sqref="K15"/>
      <selection pane="topRight" activeCell="K15" sqref="K15"/>
      <selection pane="bottomLeft" activeCell="K15" sqref="K15"/>
      <selection pane="bottomRight" activeCell="H67" sqref="H67"/>
    </sheetView>
  </sheetViews>
  <sheetFormatPr defaultRowHeight="13.5" x14ac:dyDescent="0.15"/>
  <cols>
    <col min="1" max="1" width="5" style="29" customWidth="1"/>
    <col min="2" max="2" width="13" style="29" customWidth="1"/>
    <col min="3" max="3" width="23.625" style="29" customWidth="1"/>
    <col min="4" max="4" width="18.25" style="29" customWidth="1"/>
    <col min="5" max="5" width="5.25" style="29" bestFit="1" customWidth="1"/>
    <col min="6" max="6" width="6.75" style="32" customWidth="1"/>
    <col min="7" max="7" width="11.875" style="32" customWidth="1"/>
    <col min="8" max="8" width="13.625" style="32" customWidth="1"/>
    <col min="9" max="9" width="12.75" style="29" customWidth="1"/>
    <col min="10" max="10" width="9.25" style="29" customWidth="1"/>
    <col min="11" max="11" width="11.5" style="29" bestFit="1" customWidth="1"/>
    <col min="12" max="16384" width="9" style="29"/>
  </cols>
  <sheetData>
    <row r="1" spans="1:9" ht="22.5" customHeight="1" x14ac:dyDescent="0.15">
      <c r="B1" s="98" t="s">
        <v>84</v>
      </c>
      <c r="C1" s="138" t="s">
        <v>78</v>
      </c>
      <c r="F1" s="66"/>
      <c r="I1" s="29" t="s">
        <v>85</v>
      </c>
    </row>
    <row r="2" spans="1:9" s="30" customFormat="1" ht="16.5" customHeight="1" x14ac:dyDescent="0.15">
      <c r="A2" s="331" t="s">
        <v>31</v>
      </c>
      <c r="B2" s="400"/>
      <c r="C2" s="121" t="s">
        <v>44</v>
      </c>
      <c r="D2" s="122" t="s">
        <v>32</v>
      </c>
      <c r="E2" s="122" t="s">
        <v>33</v>
      </c>
      <c r="F2" s="55" t="s">
        <v>34</v>
      </c>
      <c r="G2" s="55" t="s">
        <v>35</v>
      </c>
      <c r="H2" s="55" t="s">
        <v>36</v>
      </c>
      <c r="I2" s="122" t="s">
        <v>46</v>
      </c>
    </row>
    <row r="3" spans="1:9" ht="15.95" customHeight="1" x14ac:dyDescent="0.15">
      <c r="A3" s="403" t="s">
        <v>77</v>
      </c>
      <c r="B3" s="99" t="s">
        <v>37</v>
      </c>
      <c r="C3" s="117"/>
      <c r="D3" s="117"/>
      <c r="E3" s="117"/>
      <c r="F3" s="118"/>
      <c r="G3" s="118"/>
      <c r="H3" s="119">
        <f t="shared" ref="H3:H8" si="0">IF(F3=0,G3,G3*F3)</f>
        <v>0</v>
      </c>
      <c r="I3" s="120"/>
    </row>
    <row r="4" spans="1:9" ht="15.95" customHeight="1" x14ac:dyDescent="0.15">
      <c r="A4" s="404"/>
      <c r="B4" s="99"/>
      <c r="C4" s="69"/>
      <c r="D4" s="117"/>
      <c r="E4" s="117"/>
      <c r="F4" s="118"/>
      <c r="G4" s="118"/>
      <c r="H4" s="100">
        <f t="shared" si="0"/>
        <v>0</v>
      </c>
      <c r="I4" s="71"/>
    </row>
    <row r="5" spans="1:9" ht="15.95" customHeight="1" x14ac:dyDescent="0.15">
      <c r="A5" s="404"/>
      <c r="B5" s="99"/>
      <c r="C5" s="69"/>
      <c r="D5" s="117"/>
      <c r="E5" s="117"/>
      <c r="F5" s="118"/>
      <c r="G5" s="118"/>
      <c r="H5" s="100">
        <f t="shared" si="0"/>
        <v>0</v>
      </c>
      <c r="I5" s="71"/>
    </row>
    <row r="6" spans="1:9" ht="15.95" customHeight="1" x14ac:dyDescent="0.15">
      <c r="A6" s="404"/>
      <c r="B6" s="99"/>
      <c r="C6" s="69"/>
      <c r="D6" s="117"/>
      <c r="E6" s="117"/>
      <c r="F6" s="118"/>
      <c r="G6" s="118"/>
      <c r="H6" s="100">
        <f t="shared" si="0"/>
        <v>0</v>
      </c>
      <c r="I6" s="71"/>
    </row>
    <row r="7" spans="1:9" ht="15.95" customHeight="1" x14ac:dyDescent="0.15">
      <c r="A7" s="404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4"/>
      <c r="B8" s="99"/>
      <c r="C8" s="114" t="s">
        <v>47</v>
      </c>
      <c r="D8" s="114"/>
      <c r="E8" s="114"/>
      <c r="F8" s="115"/>
      <c r="G8" s="115"/>
      <c r="H8" s="100">
        <f t="shared" si="0"/>
        <v>0</v>
      </c>
      <c r="I8" s="72"/>
    </row>
    <row r="9" spans="1:9" ht="15.95" customHeight="1" x14ac:dyDescent="0.15">
      <c r="A9" s="404"/>
      <c r="B9" s="73"/>
      <c r="C9" s="102"/>
      <c r="D9" s="92"/>
      <c r="E9" s="92"/>
      <c r="F9" s="41"/>
      <c r="G9" s="41"/>
      <c r="H9" s="31">
        <f>SUM(H3:H8)</f>
        <v>0</v>
      </c>
      <c r="I9" s="75"/>
    </row>
    <row r="10" spans="1:9" ht="15.95" customHeight="1" x14ac:dyDescent="0.15">
      <c r="A10" s="404"/>
      <c r="B10" s="271" t="s">
        <v>159</v>
      </c>
      <c r="C10" s="112" t="s">
        <v>171</v>
      </c>
      <c r="D10" s="112"/>
      <c r="E10" s="112" t="s">
        <v>172</v>
      </c>
      <c r="F10" s="113">
        <v>8</v>
      </c>
      <c r="G10" s="113">
        <v>10000</v>
      </c>
      <c r="H10" s="104">
        <f>SUM(G10*F10)</f>
        <v>80000</v>
      </c>
      <c r="I10" s="76"/>
    </row>
    <row r="11" spans="1:9" ht="15.95" customHeight="1" x14ac:dyDescent="0.15">
      <c r="A11" s="404"/>
      <c r="B11" s="272" t="s">
        <v>160</v>
      </c>
      <c r="C11" s="69"/>
      <c r="D11" s="69"/>
      <c r="E11" s="69"/>
      <c r="F11" s="70"/>
      <c r="G11" s="70"/>
      <c r="H11" s="100"/>
      <c r="I11" s="71"/>
    </row>
    <row r="12" spans="1:9" ht="15.95" customHeight="1" x14ac:dyDescent="0.15">
      <c r="A12" s="404"/>
      <c r="B12" s="272" t="s">
        <v>158</v>
      </c>
      <c r="C12" s="69"/>
      <c r="D12" s="69"/>
      <c r="E12" s="69"/>
      <c r="F12" s="70"/>
      <c r="G12" s="70"/>
      <c r="H12" s="100"/>
      <c r="I12" s="71"/>
    </row>
    <row r="13" spans="1:9" ht="15.95" customHeight="1" x14ac:dyDescent="0.15">
      <c r="A13" s="404"/>
      <c r="B13" s="99"/>
      <c r="C13" s="69"/>
      <c r="D13" s="69"/>
      <c r="E13" s="69"/>
      <c r="F13" s="70"/>
      <c r="G13" s="70"/>
      <c r="H13" s="100"/>
      <c r="I13" s="71"/>
    </row>
    <row r="14" spans="1:9" ht="15.95" customHeight="1" x14ac:dyDescent="0.15">
      <c r="A14" s="404"/>
      <c r="B14" s="99"/>
      <c r="C14" s="69"/>
      <c r="D14" s="69"/>
      <c r="E14" s="69"/>
      <c r="F14" s="70"/>
      <c r="G14" s="70"/>
      <c r="H14" s="100"/>
      <c r="I14" s="71"/>
    </row>
    <row r="15" spans="1:9" ht="15.95" customHeight="1" x14ac:dyDescent="0.15">
      <c r="A15" s="404"/>
      <c r="B15" s="99"/>
      <c r="C15" s="114" t="s">
        <v>47</v>
      </c>
      <c r="D15" s="262"/>
      <c r="E15" s="262"/>
      <c r="F15" s="263"/>
      <c r="G15" s="263"/>
      <c r="H15" s="264">
        <f>IF(F15=0,G15,G15*F15)</f>
        <v>0</v>
      </c>
      <c r="I15" s="265"/>
    </row>
    <row r="16" spans="1:9" ht="15.95" customHeight="1" x14ac:dyDescent="0.15">
      <c r="A16" s="404"/>
      <c r="B16" s="99"/>
      <c r="C16" s="266"/>
      <c r="D16" s="267"/>
      <c r="E16" s="268"/>
      <c r="F16" s="269"/>
      <c r="G16" s="269"/>
      <c r="H16" s="270">
        <f>SUM(H10:H15)</f>
        <v>80000</v>
      </c>
      <c r="I16" s="268"/>
    </row>
    <row r="17" spans="1:9" ht="15.95" customHeight="1" x14ac:dyDescent="0.15">
      <c r="A17" s="404"/>
      <c r="B17" s="103" t="s">
        <v>40</v>
      </c>
      <c r="C17" s="112" t="s">
        <v>206</v>
      </c>
      <c r="D17" s="286" t="s">
        <v>205</v>
      </c>
      <c r="E17" s="112" t="s">
        <v>204</v>
      </c>
      <c r="F17" s="113">
        <v>1</v>
      </c>
      <c r="G17" s="113">
        <v>2800000</v>
      </c>
      <c r="H17" s="104">
        <f>IF(F17=0,G17,G17*F17)</f>
        <v>2800000</v>
      </c>
      <c r="I17" s="76"/>
    </row>
    <row r="18" spans="1:9" ht="15.95" customHeight="1" x14ac:dyDescent="0.15">
      <c r="A18" s="404"/>
      <c r="B18" s="99"/>
      <c r="C18" s="69" t="s">
        <v>207</v>
      </c>
      <c r="D18" s="285" t="s">
        <v>208</v>
      </c>
      <c r="E18" s="117" t="s">
        <v>204</v>
      </c>
      <c r="F18" s="70">
        <v>1</v>
      </c>
      <c r="G18" s="70">
        <v>500000</v>
      </c>
      <c r="H18" s="100">
        <f>IF(F18=0,G18,G18*F18)</f>
        <v>500000</v>
      </c>
      <c r="I18" s="71"/>
    </row>
    <row r="19" spans="1:9" ht="15.95" customHeight="1" x14ac:dyDescent="0.15">
      <c r="A19" s="404"/>
      <c r="B19" s="99"/>
      <c r="C19" s="69" t="s">
        <v>209</v>
      </c>
      <c r="D19" s="69" t="s">
        <v>210</v>
      </c>
      <c r="E19" s="69" t="s">
        <v>204</v>
      </c>
      <c r="F19" s="70">
        <v>1</v>
      </c>
      <c r="G19" s="70">
        <v>90000</v>
      </c>
      <c r="H19" s="100">
        <f>IF(F19=0,G19,G19*F19)</f>
        <v>90000</v>
      </c>
      <c r="I19" s="71"/>
    </row>
    <row r="20" spans="1:9" ht="15.95" customHeight="1" x14ac:dyDescent="0.15">
      <c r="A20" s="404"/>
      <c r="B20" s="99"/>
      <c r="C20" s="69" t="s">
        <v>211</v>
      </c>
      <c r="D20" s="69" t="s">
        <v>212</v>
      </c>
      <c r="E20" s="69" t="s">
        <v>204</v>
      </c>
      <c r="F20" s="70">
        <v>1</v>
      </c>
      <c r="G20" s="70">
        <v>2300000</v>
      </c>
      <c r="H20" s="100">
        <f>IF(F20=0,G20,G20*F20)</f>
        <v>2300000</v>
      </c>
      <c r="I20" s="71"/>
    </row>
    <row r="21" spans="1:9" ht="15.95" customHeight="1" x14ac:dyDescent="0.15">
      <c r="A21" s="404"/>
      <c r="B21" s="99"/>
      <c r="C21" s="69"/>
      <c r="D21" s="69"/>
      <c r="E21" s="69"/>
      <c r="F21" s="70"/>
      <c r="G21" s="70"/>
      <c r="H21" s="100">
        <f>IF(F21=0,G21,G21*F21)</f>
        <v>0</v>
      </c>
      <c r="I21" s="71"/>
    </row>
    <row r="22" spans="1:9" ht="15.95" customHeight="1" x14ac:dyDescent="0.15">
      <c r="A22" s="404"/>
      <c r="B22" s="99"/>
      <c r="C22" s="69"/>
      <c r="D22" s="69"/>
      <c r="E22" s="69"/>
      <c r="F22" s="70"/>
      <c r="G22" s="70"/>
      <c r="H22" s="100">
        <f t="shared" ref="H22:H30" si="1">IF(F22=0,G22,G22*F22)</f>
        <v>0</v>
      </c>
      <c r="I22" s="71"/>
    </row>
    <row r="23" spans="1:9" ht="15.95" customHeight="1" x14ac:dyDescent="0.15">
      <c r="A23" s="404"/>
      <c r="B23" s="99"/>
      <c r="C23" s="69"/>
      <c r="D23" s="69"/>
      <c r="E23" s="69"/>
      <c r="F23" s="70"/>
      <c r="G23" s="70"/>
      <c r="H23" s="100">
        <f t="shared" si="1"/>
        <v>0</v>
      </c>
      <c r="I23" s="71"/>
    </row>
    <row r="24" spans="1:9" ht="15.95" customHeight="1" x14ac:dyDescent="0.15">
      <c r="A24" s="404"/>
      <c r="B24" s="99"/>
      <c r="C24" s="69"/>
      <c r="D24" s="69"/>
      <c r="E24" s="69"/>
      <c r="F24" s="70"/>
      <c r="G24" s="70"/>
      <c r="H24" s="100">
        <f t="shared" si="1"/>
        <v>0</v>
      </c>
      <c r="I24" s="71"/>
    </row>
    <row r="25" spans="1:9" ht="15.95" customHeight="1" x14ac:dyDescent="0.15">
      <c r="A25" s="404"/>
      <c r="B25" s="99"/>
      <c r="C25" s="69"/>
      <c r="D25" s="69"/>
      <c r="E25" s="69"/>
      <c r="F25" s="70"/>
      <c r="G25" s="70"/>
      <c r="H25" s="100">
        <f t="shared" si="1"/>
        <v>0</v>
      </c>
      <c r="I25" s="71"/>
    </row>
    <row r="26" spans="1:9" ht="15.95" customHeight="1" x14ac:dyDescent="0.15">
      <c r="A26" s="404"/>
      <c r="B26" s="99"/>
      <c r="C26" s="69"/>
      <c r="D26" s="69"/>
      <c r="E26" s="69"/>
      <c r="F26" s="70"/>
      <c r="G26" s="70"/>
      <c r="H26" s="100">
        <f t="shared" si="1"/>
        <v>0</v>
      </c>
      <c r="I26" s="71"/>
    </row>
    <row r="27" spans="1:9" ht="15.95" customHeight="1" x14ac:dyDescent="0.15">
      <c r="A27" s="404"/>
      <c r="B27" s="99"/>
      <c r="C27" s="69"/>
      <c r="D27" s="69"/>
      <c r="E27" s="69"/>
      <c r="F27" s="70"/>
      <c r="G27" s="70"/>
      <c r="H27" s="100">
        <f t="shared" si="1"/>
        <v>0</v>
      </c>
      <c r="I27" s="71"/>
    </row>
    <row r="28" spans="1:9" ht="15.95" customHeight="1" x14ac:dyDescent="0.15">
      <c r="A28" s="404"/>
      <c r="B28" s="99"/>
      <c r="C28" s="69"/>
      <c r="D28" s="69"/>
      <c r="E28" s="69"/>
      <c r="F28" s="70"/>
      <c r="G28" s="70"/>
      <c r="H28" s="100">
        <f t="shared" si="1"/>
        <v>0</v>
      </c>
      <c r="I28" s="71"/>
    </row>
    <row r="29" spans="1:9" ht="15.95" customHeight="1" x14ac:dyDescent="0.15">
      <c r="A29" s="404"/>
      <c r="B29" s="99"/>
      <c r="C29" s="69"/>
      <c r="D29" s="69"/>
      <c r="E29" s="69"/>
      <c r="F29" s="70"/>
      <c r="G29" s="70"/>
      <c r="H29" s="100">
        <f t="shared" si="1"/>
        <v>0</v>
      </c>
      <c r="I29" s="71"/>
    </row>
    <row r="30" spans="1:9" ht="15.95" customHeight="1" x14ac:dyDescent="0.15">
      <c r="A30" s="404"/>
      <c r="B30" s="99"/>
      <c r="C30" s="69"/>
      <c r="D30" s="69"/>
      <c r="E30" s="69"/>
      <c r="F30" s="70"/>
      <c r="G30" s="70"/>
      <c r="H30" s="100">
        <f t="shared" si="1"/>
        <v>0</v>
      </c>
      <c r="I30" s="71"/>
    </row>
    <row r="31" spans="1:9" ht="15.95" customHeight="1" x14ac:dyDescent="0.15">
      <c r="A31" s="404"/>
      <c r="B31" s="99"/>
      <c r="C31" s="69"/>
      <c r="D31" s="69"/>
      <c r="E31" s="69"/>
      <c r="F31" s="70"/>
      <c r="G31" s="70"/>
      <c r="H31" s="100">
        <f t="shared" ref="H31:H41" si="2">IF(F31=0,G31,G31*F31)</f>
        <v>0</v>
      </c>
      <c r="I31" s="71"/>
    </row>
    <row r="32" spans="1:9" ht="15.95" customHeight="1" x14ac:dyDescent="0.15">
      <c r="A32" s="404"/>
      <c r="B32" s="99"/>
      <c r="C32" s="69"/>
      <c r="D32" s="69"/>
      <c r="E32" s="69"/>
      <c r="F32" s="70"/>
      <c r="G32" s="70"/>
      <c r="H32" s="100">
        <f t="shared" si="2"/>
        <v>0</v>
      </c>
      <c r="I32" s="71"/>
    </row>
    <row r="33" spans="1:9" ht="15.95" customHeight="1" x14ac:dyDescent="0.15">
      <c r="A33" s="404"/>
      <c r="B33" s="99"/>
      <c r="C33" s="69"/>
      <c r="D33" s="69"/>
      <c r="E33" s="69"/>
      <c r="F33" s="70"/>
      <c r="G33" s="70"/>
      <c r="H33" s="100">
        <f t="shared" si="2"/>
        <v>0</v>
      </c>
      <c r="I33" s="71"/>
    </row>
    <row r="34" spans="1:9" ht="15.95" customHeight="1" x14ac:dyDescent="0.15">
      <c r="A34" s="404"/>
      <c r="B34" s="99"/>
      <c r="C34" s="69"/>
      <c r="D34" s="69"/>
      <c r="E34" s="69"/>
      <c r="F34" s="70"/>
      <c r="G34" s="70"/>
      <c r="H34" s="100">
        <f t="shared" si="2"/>
        <v>0</v>
      </c>
      <c r="I34" s="71"/>
    </row>
    <row r="35" spans="1:9" ht="15.95" customHeight="1" x14ac:dyDescent="0.15">
      <c r="A35" s="404"/>
      <c r="B35" s="99"/>
      <c r="C35" s="69"/>
      <c r="D35" s="69"/>
      <c r="E35" s="69"/>
      <c r="F35" s="70"/>
      <c r="G35" s="70"/>
      <c r="H35" s="100">
        <f t="shared" si="2"/>
        <v>0</v>
      </c>
      <c r="I35" s="71"/>
    </row>
    <row r="36" spans="1:9" ht="15.95" customHeight="1" x14ac:dyDescent="0.15">
      <c r="A36" s="404"/>
      <c r="B36" s="99"/>
      <c r="C36" s="69"/>
      <c r="D36" s="69"/>
      <c r="E36" s="69"/>
      <c r="F36" s="70"/>
      <c r="G36" s="70"/>
      <c r="H36" s="100">
        <f t="shared" si="2"/>
        <v>0</v>
      </c>
      <c r="I36" s="71"/>
    </row>
    <row r="37" spans="1:9" ht="15.95" customHeight="1" x14ac:dyDescent="0.15">
      <c r="A37" s="404"/>
      <c r="B37" s="99"/>
      <c r="C37" s="69"/>
      <c r="D37" s="69"/>
      <c r="E37" s="69"/>
      <c r="F37" s="70"/>
      <c r="G37" s="70"/>
      <c r="H37" s="100">
        <f t="shared" si="2"/>
        <v>0</v>
      </c>
      <c r="I37" s="71"/>
    </row>
    <row r="38" spans="1:9" ht="15.95" customHeight="1" x14ac:dyDescent="0.15">
      <c r="A38" s="404"/>
      <c r="B38" s="99"/>
      <c r="C38" s="69"/>
      <c r="D38" s="69"/>
      <c r="E38" s="69"/>
      <c r="F38" s="70"/>
      <c r="G38" s="70"/>
      <c r="H38" s="100">
        <f t="shared" si="2"/>
        <v>0</v>
      </c>
      <c r="I38" s="71"/>
    </row>
    <row r="39" spans="1:9" ht="15.95" customHeight="1" x14ac:dyDescent="0.15">
      <c r="A39" s="404"/>
      <c r="B39" s="99"/>
      <c r="C39" s="69"/>
      <c r="D39" s="69"/>
      <c r="E39" s="69"/>
      <c r="F39" s="70"/>
      <c r="G39" s="70"/>
      <c r="H39" s="100">
        <f t="shared" si="2"/>
        <v>0</v>
      </c>
      <c r="I39" s="71"/>
    </row>
    <row r="40" spans="1:9" ht="15.95" customHeight="1" x14ac:dyDescent="0.15">
      <c r="A40" s="404"/>
      <c r="B40" s="99"/>
      <c r="C40" s="69"/>
      <c r="D40" s="69"/>
      <c r="E40" s="69"/>
      <c r="F40" s="70"/>
      <c r="G40" s="70"/>
      <c r="H40" s="100">
        <f t="shared" si="2"/>
        <v>0</v>
      </c>
      <c r="I40" s="71"/>
    </row>
    <row r="41" spans="1:9" ht="15.95" customHeight="1" x14ac:dyDescent="0.15">
      <c r="A41" s="404"/>
      <c r="B41" s="99"/>
      <c r="C41" s="69"/>
      <c r="D41" s="69"/>
      <c r="E41" s="69"/>
      <c r="F41" s="70"/>
      <c r="G41" s="70"/>
      <c r="H41" s="100">
        <f t="shared" si="2"/>
        <v>0</v>
      </c>
      <c r="I41" s="71"/>
    </row>
    <row r="42" spans="1:9" ht="15.95" customHeight="1" x14ac:dyDescent="0.15">
      <c r="A42" s="404"/>
      <c r="B42" s="99"/>
      <c r="C42" s="69"/>
      <c r="D42" s="69"/>
      <c r="E42" s="69"/>
      <c r="F42" s="70"/>
      <c r="G42" s="70"/>
      <c r="H42" s="100">
        <f t="shared" ref="H42:H53" si="3">IF(F42=0,G42,G42*F42)</f>
        <v>0</v>
      </c>
      <c r="I42" s="71"/>
    </row>
    <row r="43" spans="1:9" ht="15.95" customHeight="1" x14ac:dyDescent="0.15">
      <c r="A43" s="404"/>
      <c r="B43" s="99"/>
      <c r="C43" s="69"/>
      <c r="D43" s="69"/>
      <c r="E43" s="69"/>
      <c r="F43" s="70"/>
      <c r="G43" s="70"/>
      <c r="H43" s="100">
        <f t="shared" si="3"/>
        <v>0</v>
      </c>
      <c r="I43" s="71"/>
    </row>
    <row r="44" spans="1:9" ht="15.95" customHeight="1" x14ac:dyDescent="0.15">
      <c r="A44" s="404"/>
      <c r="B44" s="99"/>
      <c r="C44" s="69"/>
      <c r="D44" s="69"/>
      <c r="E44" s="69"/>
      <c r="F44" s="70"/>
      <c r="G44" s="70"/>
      <c r="H44" s="100">
        <f t="shared" si="3"/>
        <v>0</v>
      </c>
      <c r="I44" s="71"/>
    </row>
    <row r="45" spans="1:9" ht="15.95" customHeight="1" x14ac:dyDescent="0.15">
      <c r="A45" s="404"/>
      <c r="B45" s="99"/>
      <c r="C45" s="69"/>
      <c r="D45" s="69"/>
      <c r="E45" s="69"/>
      <c r="F45" s="70"/>
      <c r="G45" s="70"/>
      <c r="H45" s="100">
        <f t="shared" si="3"/>
        <v>0</v>
      </c>
      <c r="I45" s="71"/>
    </row>
    <row r="46" spans="1:9" ht="15.95" customHeight="1" x14ac:dyDescent="0.15">
      <c r="A46" s="404"/>
      <c r="B46" s="99"/>
      <c r="C46" s="69"/>
      <c r="D46" s="69"/>
      <c r="E46" s="69"/>
      <c r="F46" s="70"/>
      <c r="G46" s="70"/>
      <c r="H46" s="100">
        <f t="shared" si="3"/>
        <v>0</v>
      </c>
      <c r="I46" s="71"/>
    </row>
    <row r="47" spans="1:9" ht="15.95" customHeight="1" x14ac:dyDescent="0.15">
      <c r="A47" s="404"/>
      <c r="B47" s="99"/>
      <c r="C47" s="69"/>
      <c r="D47" s="69"/>
      <c r="E47" s="69"/>
      <c r="F47" s="70"/>
      <c r="G47" s="70"/>
      <c r="H47" s="100">
        <f t="shared" si="3"/>
        <v>0</v>
      </c>
      <c r="I47" s="71"/>
    </row>
    <row r="48" spans="1:9" ht="15.95" customHeight="1" x14ac:dyDescent="0.15">
      <c r="A48" s="404"/>
      <c r="B48" s="99"/>
      <c r="C48" s="69"/>
      <c r="D48" s="69"/>
      <c r="E48" s="69"/>
      <c r="F48" s="70"/>
      <c r="G48" s="70"/>
      <c r="H48" s="100">
        <f t="shared" si="3"/>
        <v>0</v>
      </c>
      <c r="I48" s="71"/>
    </row>
    <row r="49" spans="1:9" ht="15.95" customHeight="1" x14ac:dyDescent="0.15">
      <c r="A49" s="404"/>
      <c r="B49" s="99"/>
      <c r="C49" s="69"/>
      <c r="D49" s="69"/>
      <c r="E49" s="69"/>
      <c r="F49" s="70"/>
      <c r="G49" s="70"/>
      <c r="H49" s="100">
        <f t="shared" si="3"/>
        <v>0</v>
      </c>
      <c r="I49" s="71"/>
    </row>
    <row r="50" spans="1:9" ht="15.95" customHeight="1" x14ac:dyDescent="0.15">
      <c r="A50" s="404"/>
      <c r="B50" s="99"/>
      <c r="C50" s="69"/>
      <c r="D50" s="69"/>
      <c r="E50" s="69"/>
      <c r="F50" s="70"/>
      <c r="G50" s="70"/>
      <c r="H50" s="100">
        <f t="shared" si="3"/>
        <v>0</v>
      </c>
      <c r="I50" s="71"/>
    </row>
    <row r="51" spans="1:9" ht="15.95" customHeight="1" x14ac:dyDescent="0.15">
      <c r="A51" s="404"/>
      <c r="B51" s="99"/>
      <c r="C51" s="69"/>
      <c r="D51" s="69"/>
      <c r="E51" s="69"/>
      <c r="F51" s="70"/>
      <c r="G51" s="70"/>
      <c r="H51" s="100">
        <f t="shared" si="3"/>
        <v>0</v>
      </c>
      <c r="I51" s="71"/>
    </row>
    <row r="52" spans="1:9" ht="15.95" customHeight="1" x14ac:dyDescent="0.15">
      <c r="A52" s="404"/>
      <c r="B52" s="99"/>
      <c r="C52" s="69"/>
      <c r="D52" s="69"/>
      <c r="E52" s="69"/>
      <c r="F52" s="70"/>
      <c r="G52" s="70"/>
      <c r="H52" s="100">
        <f t="shared" si="3"/>
        <v>0</v>
      </c>
      <c r="I52" s="71"/>
    </row>
    <row r="53" spans="1:9" ht="15.95" customHeight="1" x14ac:dyDescent="0.15">
      <c r="A53" s="404"/>
      <c r="B53" s="99"/>
      <c r="C53" s="114" t="s">
        <v>47</v>
      </c>
      <c r="D53" s="114" t="s">
        <v>213</v>
      </c>
      <c r="E53" s="114" t="s">
        <v>204</v>
      </c>
      <c r="F53" s="115">
        <v>1</v>
      </c>
      <c r="G53" s="115">
        <v>480000</v>
      </c>
      <c r="H53" s="105">
        <f t="shared" si="3"/>
        <v>480000</v>
      </c>
      <c r="I53" s="72"/>
    </row>
    <row r="54" spans="1:9" ht="15.95" customHeight="1" x14ac:dyDescent="0.15">
      <c r="A54" s="404"/>
      <c r="B54" s="73"/>
      <c r="C54" s="102"/>
      <c r="D54" s="92"/>
      <c r="E54" s="92"/>
      <c r="F54" s="41"/>
      <c r="G54" s="41"/>
      <c r="H54" s="31">
        <f>SUM(H17:H53)</f>
        <v>6170000</v>
      </c>
      <c r="I54" s="75"/>
    </row>
    <row r="55" spans="1:9" ht="15.95" customHeight="1" x14ac:dyDescent="0.15">
      <c r="A55" s="77"/>
      <c r="B55" s="97" t="s">
        <v>42</v>
      </c>
      <c r="C55" s="74"/>
      <c r="D55" s="75"/>
      <c r="E55" s="75"/>
      <c r="F55" s="57"/>
      <c r="G55" s="57"/>
      <c r="H55" s="31">
        <f>SUM(H54,H9,H16)</f>
        <v>6250000</v>
      </c>
      <c r="I55" s="75"/>
    </row>
    <row r="56" spans="1:9" ht="15.95" customHeight="1" x14ac:dyDescent="0.15">
      <c r="A56" s="401" t="s">
        <v>72</v>
      </c>
      <c r="B56" s="107" t="s">
        <v>192</v>
      </c>
      <c r="C56" s="135"/>
      <c r="D56" s="76"/>
      <c r="E56" s="107" t="s">
        <v>51</v>
      </c>
      <c r="F56" s="113">
        <v>6</v>
      </c>
      <c r="G56" s="113">
        <v>350000</v>
      </c>
      <c r="H56" s="104">
        <f t="shared" ref="H56:H62" si="4">F56*G56</f>
        <v>2100000</v>
      </c>
      <c r="I56" s="76"/>
    </row>
    <row r="57" spans="1:9" ht="15.95" customHeight="1" x14ac:dyDescent="0.15">
      <c r="A57" s="402"/>
      <c r="B57" s="282" t="s">
        <v>103</v>
      </c>
      <c r="C57" s="283"/>
      <c r="D57" s="120"/>
      <c r="E57" s="282" t="s">
        <v>50</v>
      </c>
      <c r="F57" s="118">
        <v>10</v>
      </c>
      <c r="G57" s="118">
        <v>500000</v>
      </c>
      <c r="H57" s="119">
        <f t="shared" si="4"/>
        <v>5000000</v>
      </c>
      <c r="I57" s="120"/>
    </row>
    <row r="58" spans="1:9" ht="15.95" customHeight="1" x14ac:dyDescent="0.15">
      <c r="A58" s="402"/>
      <c r="B58" s="108" t="s">
        <v>104</v>
      </c>
      <c r="C58" s="136"/>
      <c r="D58" s="71"/>
      <c r="E58" s="108" t="s">
        <v>50</v>
      </c>
      <c r="F58" s="70">
        <v>0</v>
      </c>
      <c r="G58" s="70">
        <v>350000</v>
      </c>
      <c r="H58" s="100">
        <f t="shared" si="4"/>
        <v>0</v>
      </c>
      <c r="I58" s="71"/>
    </row>
    <row r="59" spans="1:9" ht="15.95" customHeight="1" x14ac:dyDescent="0.15">
      <c r="A59" s="402"/>
      <c r="B59" s="108" t="s">
        <v>105</v>
      </c>
      <c r="C59" s="136"/>
      <c r="D59" s="71"/>
      <c r="E59" s="108" t="s">
        <v>50</v>
      </c>
      <c r="F59" s="70">
        <v>10</v>
      </c>
      <c r="G59" s="70">
        <v>350000</v>
      </c>
      <c r="H59" s="100">
        <f>F59*G59</f>
        <v>3500000</v>
      </c>
      <c r="I59" s="71"/>
    </row>
    <row r="60" spans="1:9" ht="15.95" customHeight="1" x14ac:dyDescent="0.15">
      <c r="A60" s="402"/>
      <c r="B60" s="108" t="s">
        <v>193</v>
      </c>
      <c r="C60" s="136"/>
      <c r="D60" s="71"/>
      <c r="E60" s="108" t="s">
        <v>50</v>
      </c>
      <c r="F60" s="70">
        <v>4</v>
      </c>
      <c r="G60" s="70">
        <v>350000</v>
      </c>
      <c r="H60" s="100">
        <f t="shared" si="4"/>
        <v>1400000</v>
      </c>
      <c r="I60" s="71"/>
    </row>
    <row r="61" spans="1:9" ht="15.95" customHeight="1" x14ac:dyDescent="0.15">
      <c r="A61" s="402"/>
      <c r="B61" s="108" t="s">
        <v>106</v>
      </c>
      <c r="C61" s="136"/>
      <c r="D61" s="71"/>
      <c r="E61" s="108" t="s">
        <v>50</v>
      </c>
      <c r="F61" s="70">
        <v>13</v>
      </c>
      <c r="G61" s="70">
        <v>500000</v>
      </c>
      <c r="H61" s="100">
        <f t="shared" si="4"/>
        <v>6500000</v>
      </c>
      <c r="I61" s="71"/>
    </row>
    <row r="62" spans="1:9" ht="15.95" customHeight="1" x14ac:dyDescent="0.15">
      <c r="A62" s="402"/>
      <c r="B62" s="109" t="s">
        <v>173</v>
      </c>
      <c r="C62" s="137"/>
      <c r="D62" s="72"/>
      <c r="E62" s="109" t="s">
        <v>50</v>
      </c>
      <c r="F62" s="115">
        <v>10</v>
      </c>
      <c r="G62" s="115">
        <v>500000</v>
      </c>
      <c r="H62" s="105">
        <f t="shared" si="4"/>
        <v>5000000</v>
      </c>
      <c r="I62" s="72"/>
    </row>
    <row r="63" spans="1:9" ht="15.95" customHeight="1" x14ac:dyDescent="0.15">
      <c r="A63" s="77"/>
      <c r="B63" s="96" t="s">
        <v>41</v>
      </c>
      <c r="C63" s="74"/>
      <c r="D63" s="75"/>
      <c r="E63" s="75"/>
      <c r="F63" s="41"/>
      <c r="G63" s="41"/>
      <c r="H63" s="31">
        <f>SUM(H56:H62)</f>
        <v>23500000</v>
      </c>
      <c r="I63" s="75"/>
    </row>
    <row r="64" spans="1:9" ht="15.95" customHeight="1" x14ac:dyDescent="0.15">
      <c r="A64" s="53"/>
      <c r="B64" s="96" t="s">
        <v>48</v>
      </c>
      <c r="C64" s="74"/>
      <c r="D64" s="75"/>
      <c r="E64" s="75"/>
      <c r="F64" s="31"/>
      <c r="G64" s="140" t="s">
        <v>79</v>
      </c>
      <c r="H64" s="57">
        <v>0</v>
      </c>
      <c r="I64" s="75"/>
    </row>
    <row r="65" spans="1:11" ht="15.95" customHeight="1" x14ac:dyDescent="0.15">
      <c r="A65" s="53"/>
      <c r="B65" s="96" t="s">
        <v>25</v>
      </c>
      <c r="C65" s="74"/>
      <c r="D65" s="75"/>
      <c r="E65" s="75"/>
      <c r="F65" s="31"/>
      <c r="G65" s="56"/>
      <c r="H65" s="116">
        <f>SUM(H63+H55+H16+H9)*0.1</f>
        <v>2983000</v>
      </c>
      <c r="I65" s="74"/>
    </row>
    <row r="66" spans="1:11" ht="15.95" customHeight="1" x14ac:dyDescent="0.15">
      <c r="A66" s="53"/>
      <c r="B66" s="96" t="s">
        <v>155</v>
      </c>
      <c r="C66" s="74"/>
      <c r="D66" s="75"/>
      <c r="E66" s="75"/>
      <c r="F66" s="31"/>
      <c r="G66" s="56"/>
      <c r="H66" s="116">
        <f>SUM(H65+H63+H55+H16+H9)*0.2</f>
        <v>6562600</v>
      </c>
      <c r="I66" s="74"/>
    </row>
    <row r="67" spans="1:11" ht="15.95" customHeight="1" x14ac:dyDescent="0.15">
      <c r="A67" s="53"/>
      <c r="B67" s="96" t="s">
        <v>156</v>
      </c>
      <c r="C67" s="74"/>
      <c r="D67" s="75"/>
      <c r="E67" s="75"/>
      <c r="F67" s="31"/>
      <c r="G67" s="31"/>
      <c r="H67" s="41">
        <f>H55+H63+H64+H65+H66</f>
        <v>39295600</v>
      </c>
      <c r="I67" s="75"/>
      <c r="K67" s="32"/>
    </row>
    <row r="68" spans="1:11" x14ac:dyDescent="0.15">
      <c r="A68" s="30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B050"/>
    <pageSetUpPr fitToPage="1"/>
  </sheetPr>
  <dimension ref="A1:K69"/>
  <sheetViews>
    <sheetView zoomScale="85" workbookViewId="0">
      <pane xSplit="2" ySplit="2" topLeftCell="C36" activePane="bottomRight" state="frozen"/>
      <selection activeCell="K15" sqref="K15"/>
      <selection pane="topRight" activeCell="K15" sqref="K15"/>
      <selection pane="bottomLeft" activeCell="K15" sqref="K15"/>
      <selection pane="bottomRight" activeCell="K63" sqref="K63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0" width="9" style="29"/>
    <col min="11" max="11" width="11.5" style="29" bestFit="1" customWidth="1"/>
    <col min="12" max="16384" width="9" style="29"/>
  </cols>
  <sheetData>
    <row r="1" spans="1:11" ht="22.5" customHeight="1" x14ac:dyDescent="0.15">
      <c r="B1" s="98" t="s">
        <v>80</v>
      </c>
      <c r="C1" s="141" t="s">
        <v>198</v>
      </c>
      <c r="F1" s="66"/>
      <c r="I1" s="29" t="s">
        <v>83</v>
      </c>
      <c r="K1" s="123"/>
    </row>
    <row r="2" spans="1:11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11" ht="15.95" customHeight="1" x14ac:dyDescent="0.15">
      <c r="A3" s="403" t="s">
        <v>82</v>
      </c>
      <c r="B3" s="99" t="s">
        <v>37</v>
      </c>
      <c r="C3" s="112"/>
      <c r="D3" s="112"/>
      <c r="E3" s="112" t="s">
        <v>174</v>
      </c>
      <c r="F3" s="113"/>
      <c r="G3" s="113">
        <v>1200</v>
      </c>
      <c r="H3" s="104">
        <f>IF(F3=0,G3,G3*F3)</f>
        <v>1200</v>
      </c>
      <c r="I3" s="76"/>
    </row>
    <row r="4" spans="1:11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11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3" si="0">IF(F5=0,G5,G5*F5)</f>
        <v>0</v>
      </c>
      <c r="I5" s="71"/>
    </row>
    <row r="6" spans="1:11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11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11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11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11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11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11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11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11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11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11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1200</v>
      </c>
      <c r="I24" s="268"/>
    </row>
    <row r="25" spans="1:9" ht="15.95" customHeight="1" x14ac:dyDescent="0.15">
      <c r="A25" s="405"/>
      <c r="B25" s="99" t="s">
        <v>163</v>
      </c>
      <c r="C25" s="117" t="s">
        <v>171</v>
      </c>
      <c r="D25" s="117"/>
      <c r="E25" s="117"/>
      <c r="F25" s="118">
        <v>24</v>
      </c>
      <c r="G25" s="118">
        <v>10000</v>
      </c>
      <c r="H25" s="119">
        <f t="shared" si="0"/>
        <v>240000</v>
      </c>
      <c r="I25" s="120"/>
    </row>
    <row r="26" spans="1:9" ht="15.95" customHeight="1" x14ac:dyDescent="0.15">
      <c r="A26" s="405"/>
      <c r="B26" s="99" t="s">
        <v>164</v>
      </c>
      <c r="C26" s="69" t="s">
        <v>175</v>
      </c>
      <c r="D26" s="69"/>
      <c r="E26" s="69" t="s">
        <v>169</v>
      </c>
      <c r="F26" s="70">
        <v>1</v>
      </c>
      <c r="G26" s="70">
        <v>120000</v>
      </c>
      <c r="H26" s="100">
        <f t="shared" si="0"/>
        <v>120000</v>
      </c>
      <c r="I26" s="71"/>
    </row>
    <row r="27" spans="1:9" ht="15.95" customHeight="1" x14ac:dyDescent="0.15">
      <c r="A27" s="405"/>
      <c r="B27" s="99"/>
      <c r="C27" s="69" t="s">
        <v>176</v>
      </c>
      <c r="D27" s="69"/>
      <c r="E27" s="69" t="s">
        <v>177</v>
      </c>
      <c r="F27" s="70">
        <v>5</v>
      </c>
      <c r="G27" s="70">
        <v>10000</v>
      </c>
      <c r="H27" s="100">
        <f t="shared" si="0"/>
        <v>50000</v>
      </c>
      <c r="I27" s="71"/>
    </row>
    <row r="28" spans="1:9" ht="15.95" customHeight="1" x14ac:dyDescent="0.15">
      <c r="A28" s="405"/>
      <c r="B28" s="99"/>
      <c r="C28" s="69" t="s">
        <v>194</v>
      </c>
      <c r="D28" s="69"/>
      <c r="E28" s="69" t="s">
        <v>195</v>
      </c>
      <c r="F28" s="70">
        <v>1</v>
      </c>
      <c r="G28" s="70">
        <v>400000</v>
      </c>
      <c r="H28" s="100">
        <f t="shared" si="0"/>
        <v>400000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810000</v>
      </c>
      <c r="I30" s="75"/>
    </row>
    <row r="31" spans="1:9" ht="15.95" customHeight="1" x14ac:dyDescent="0.15">
      <c r="A31" s="405"/>
      <c r="B31" s="103" t="s">
        <v>38</v>
      </c>
      <c r="C31" s="112" t="s">
        <v>202</v>
      </c>
      <c r="D31" s="112"/>
      <c r="E31" s="112" t="s">
        <v>116</v>
      </c>
      <c r="F31" s="113">
        <v>1</v>
      </c>
      <c r="G31" s="113">
        <v>100000</v>
      </c>
      <c r="H31" s="104">
        <f t="shared" si="0"/>
        <v>100000</v>
      </c>
      <c r="I31" s="76"/>
    </row>
    <row r="32" spans="1:9" ht="15.95" customHeight="1" x14ac:dyDescent="0.15">
      <c r="A32" s="405"/>
      <c r="B32" s="99" t="s">
        <v>45</v>
      </c>
      <c r="C32" s="69" t="s">
        <v>203</v>
      </c>
      <c r="D32" s="69"/>
      <c r="E32" s="69" t="s">
        <v>116</v>
      </c>
      <c r="F32" s="70">
        <v>1</v>
      </c>
      <c r="G32" s="70">
        <v>500000</v>
      </c>
      <c r="H32" s="100">
        <f t="shared" si="0"/>
        <v>500000</v>
      </c>
      <c r="I32" s="71"/>
    </row>
    <row r="33" spans="1:9" ht="15.95" customHeight="1" x14ac:dyDescent="0.15">
      <c r="A33" s="405"/>
      <c r="B33" s="99"/>
      <c r="C33" s="69"/>
      <c r="D33" s="277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114" t="s">
        <v>47</v>
      </c>
      <c r="D45" s="114" t="s">
        <v>214</v>
      </c>
      <c r="E45" s="114" t="s">
        <v>204</v>
      </c>
      <c r="F45" s="115">
        <v>1</v>
      </c>
      <c r="G45" s="115">
        <v>150000</v>
      </c>
      <c r="H45" s="105">
        <f t="shared" si="0"/>
        <v>150000</v>
      </c>
      <c r="I45" s="72"/>
    </row>
    <row r="46" spans="1:9" ht="15.95" customHeight="1" x14ac:dyDescent="0.15">
      <c r="A46" s="405"/>
      <c r="B46" s="73"/>
      <c r="C46" s="102"/>
      <c r="D46" s="92"/>
      <c r="E46" s="92"/>
      <c r="F46" s="41"/>
      <c r="G46" s="41"/>
      <c r="H46" s="31">
        <f>SUM(H31:H45)</f>
        <v>750000</v>
      </c>
      <c r="I46" s="75"/>
    </row>
    <row r="47" spans="1:9" ht="15.95" customHeight="1" x14ac:dyDescent="0.15">
      <c r="A47" s="405"/>
      <c r="B47" s="103" t="s">
        <v>39</v>
      </c>
      <c r="C47" s="112" t="s">
        <v>179</v>
      </c>
      <c r="D47" s="112"/>
      <c r="E47" s="112" t="s">
        <v>170</v>
      </c>
      <c r="F47" s="113">
        <v>0</v>
      </c>
      <c r="G47" s="113">
        <v>0</v>
      </c>
      <c r="H47" s="104">
        <f t="shared" si="0"/>
        <v>0</v>
      </c>
      <c r="I47" s="76"/>
    </row>
    <row r="48" spans="1:9" ht="15.95" customHeight="1" x14ac:dyDescent="0.15">
      <c r="A48" s="405"/>
      <c r="B48" s="99"/>
      <c r="C48" s="69" t="s">
        <v>180</v>
      </c>
      <c r="D48" s="69"/>
      <c r="E48" s="69" t="s">
        <v>181</v>
      </c>
      <c r="F48" s="70">
        <v>0</v>
      </c>
      <c r="G48" s="70">
        <v>0</v>
      </c>
      <c r="H48" s="100">
        <f t="shared" si="0"/>
        <v>0</v>
      </c>
      <c r="I48" s="71"/>
    </row>
    <row r="49" spans="1:11" ht="15.95" customHeight="1" x14ac:dyDescent="0.15">
      <c r="A49" s="405"/>
      <c r="B49" s="99"/>
      <c r="C49" s="69" t="s">
        <v>182</v>
      </c>
      <c r="D49" s="69"/>
      <c r="E49" s="69" t="s">
        <v>183</v>
      </c>
      <c r="F49" s="70">
        <v>0</v>
      </c>
      <c r="G49" s="70">
        <v>0</v>
      </c>
      <c r="H49" s="100">
        <f t="shared" si="0"/>
        <v>0</v>
      </c>
      <c r="I49" s="71"/>
    </row>
    <row r="50" spans="1:11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11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11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11" ht="15.95" customHeight="1" x14ac:dyDescent="0.15">
      <c r="A53" s="405"/>
      <c r="B53" s="99"/>
      <c r="C53" s="114" t="s">
        <v>47</v>
      </c>
      <c r="D53" s="114"/>
      <c r="E53" s="114"/>
      <c r="F53" s="115"/>
      <c r="G53" s="115"/>
      <c r="H53" s="105">
        <f t="shared" si="0"/>
        <v>0</v>
      </c>
      <c r="I53" s="72"/>
    </row>
    <row r="54" spans="1:11" ht="15.95" customHeight="1" x14ac:dyDescent="0.15">
      <c r="A54" s="405"/>
      <c r="B54" s="73"/>
      <c r="C54" s="102"/>
      <c r="D54" s="92"/>
      <c r="E54" s="92"/>
      <c r="F54" s="41"/>
      <c r="G54" s="41"/>
      <c r="H54" s="31">
        <f>SUM(H47:H53)</f>
        <v>0</v>
      </c>
      <c r="I54" s="75"/>
    </row>
    <row r="55" spans="1:11" ht="15.95" customHeight="1" x14ac:dyDescent="0.15">
      <c r="A55" s="77"/>
      <c r="B55" s="97" t="s">
        <v>42</v>
      </c>
      <c r="C55" s="74"/>
      <c r="D55" s="75"/>
      <c r="E55" s="75"/>
      <c r="F55" s="57"/>
      <c r="G55" s="57"/>
      <c r="H55" s="31">
        <f>SUM(H54,H46,H30,H24)</f>
        <v>1561200</v>
      </c>
      <c r="I55" s="75"/>
    </row>
    <row r="56" spans="1:11" ht="15.95" customHeight="1" x14ac:dyDescent="0.15">
      <c r="A56" s="403" t="s">
        <v>72</v>
      </c>
      <c r="B56" s="107" t="s">
        <v>70</v>
      </c>
      <c r="C56" s="135"/>
      <c r="D56" s="76"/>
      <c r="E56" s="107" t="s">
        <v>51</v>
      </c>
      <c r="F56" s="113">
        <v>6</v>
      </c>
      <c r="G56" s="113">
        <v>350000</v>
      </c>
      <c r="H56" s="104">
        <f>F56*G56</f>
        <v>2100000</v>
      </c>
      <c r="I56" s="76"/>
    </row>
    <row r="57" spans="1:11" ht="15.95" customHeight="1" x14ac:dyDescent="0.15">
      <c r="A57" s="405"/>
      <c r="B57" s="282" t="s">
        <v>178</v>
      </c>
      <c r="C57" s="283" t="s">
        <v>201</v>
      </c>
      <c r="D57" s="120"/>
      <c r="E57" s="282" t="s">
        <v>50</v>
      </c>
      <c r="F57" s="118">
        <v>25</v>
      </c>
      <c r="G57" s="118">
        <v>350000</v>
      </c>
      <c r="H57" s="407">
        <f t="shared" ref="H57:H63" si="1">F57*G57</f>
        <v>8750000</v>
      </c>
      <c r="I57" s="120"/>
    </row>
    <row r="58" spans="1:11" ht="15.95" customHeight="1" x14ac:dyDescent="0.15">
      <c r="A58" s="405"/>
      <c r="B58" s="108" t="s">
        <v>196</v>
      </c>
      <c r="C58" s="283" t="s">
        <v>201</v>
      </c>
      <c r="D58" s="71"/>
      <c r="E58" s="108" t="s">
        <v>50</v>
      </c>
      <c r="F58" s="70">
        <v>8</v>
      </c>
      <c r="G58" s="118">
        <v>350000</v>
      </c>
      <c r="H58" s="408">
        <f t="shared" si="1"/>
        <v>2800000</v>
      </c>
      <c r="I58" s="71"/>
    </row>
    <row r="59" spans="1:11" ht="15.95" customHeight="1" x14ac:dyDescent="0.15">
      <c r="A59" s="405"/>
      <c r="B59" s="108" t="s">
        <v>109</v>
      </c>
      <c r="C59" s="283" t="s">
        <v>201</v>
      </c>
      <c r="D59" s="71"/>
      <c r="E59" s="108" t="s">
        <v>50</v>
      </c>
      <c r="F59" s="70">
        <v>75</v>
      </c>
      <c r="G59" s="118">
        <v>350000</v>
      </c>
      <c r="H59" s="408">
        <f t="shared" si="1"/>
        <v>26250000</v>
      </c>
      <c r="I59" s="71"/>
    </row>
    <row r="60" spans="1:11" ht="15.95" customHeight="1" x14ac:dyDescent="0.15">
      <c r="A60" s="405"/>
      <c r="B60" s="108" t="s">
        <v>110</v>
      </c>
      <c r="C60" s="283" t="s">
        <v>201</v>
      </c>
      <c r="D60" s="71"/>
      <c r="E60" s="108" t="s">
        <v>50</v>
      </c>
      <c r="F60" s="70">
        <v>8</v>
      </c>
      <c r="G60" s="118">
        <v>350000</v>
      </c>
      <c r="H60" s="408">
        <f t="shared" si="1"/>
        <v>2800000</v>
      </c>
      <c r="I60" s="71"/>
    </row>
    <row r="61" spans="1:11" ht="15.95" customHeight="1" x14ac:dyDescent="0.15">
      <c r="A61" s="405"/>
      <c r="B61" s="108" t="s">
        <v>111</v>
      </c>
      <c r="C61" s="136"/>
      <c r="D61" s="71"/>
      <c r="E61" s="108" t="s">
        <v>50</v>
      </c>
      <c r="F61" s="70">
        <v>20</v>
      </c>
      <c r="G61" s="118">
        <v>350000</v>
      </c>
      <c r="H61" s="408">
        <f t="shared" si="1"/>
        <v>7000000</v>
      </c>
      <c r="I61" s="71"/>
    </row>
    <row r="62" spans="1:11" ht="15.95" customHeight="1" x14ac:dyDescent="0.15">
      <c r="A62" s="405"/>
      <c r="B62" s="108" t="s">
        <v>112</v>
      </c>
      <c r="C62" s="136"/>
      <c r="D62" s="71"/>
      <c r="E62" s="108" t="s">
        <v>50</v>
      </c>
      <c r="F62" s="70">
        <v>15</v>
      </c>
      <c r="G62" s="118">
        <v>350000</v>
      </c>
      <c r="H62" s="408">
        <f t="shared" si="1"/>
        <v>5250000</v>
      </c>
      <c r="I62" s="71"/>
    </row>
    <row r="63" spans="1:11" ht="15.95" customHeight="1" x14ac:dyDescent="0.15">
      <c r="A63" s="405"/>
      <c r="B63" s="109" t="s">
        <v>197</v>
      </c>
      <c r="C63" s="137"/>
      <c r="D63" s="72"/>
      <c r="E63" s="109" t="s">
        <v>170</v>
      </c>
      <c r="F63" s="115">
        <v>1</v>
      </c>
      <c r="G63" s="115">
        <v>2550000</v>
      </c>
      <c r="H63" s="105">
        <f t="shared" si="1"/>
        <v>2550000</v>
      </c>
      <c r="I63" s="72"/>
      <c r="K63" s="32"/>
    </row>
    <row r="64" spans="1:11" ht="15.95" customHeight="1" x14ac:dyDescent="0.15">
      <c r="A64" s="77"/>
      <c r="B64" s="96" t="s">
        <v>41</v>
      </c>
      <c r="C64" s="74"/>
      <c r="D64" s="75"/>
      <c r="E64" s="75"/>
      <c r="F64" s="41"/>
      <c r="G64" s="41"/>
      <c r="H64" s="41">
        <f>SUM(H56:H63)</f>
        <v>57500000</v>
      </c>
      <c r="I64" s="92"/>
    </row>
    <row r="65" spans="1:9" ht="15.95" customHeight="1" x14ac:dyDescent="0.15">
      <c r="A65" s="53"/>
      <c r="B65" s="96" t="s">
        <v>48</v>
      </c>
      <c r="C65" s="74"/>
      <c r="D65" s="75"/>
      <c r="E65" s="75"/>
      <c r="F65" s="31"/>
      <c r="G65" s="31"/>
      <c r="H65" s="57">
        <v>8000000</v>
      </c>
      <c r="I65" s="75"/>
    </row>
    <row r="66" spans="1:9" ht="15.95" customHeight="1" x14ac:dyDescent="0.15">
      <c r="A66" s="53"/>
      <c r="B66" s="96" t="s">
        <v>25</v>
      </c>
      <c r="C66" s="74"/>
      <c r="D66" s="75"/>
      <c r="E66" s="75"/>
      <c r="F66" s="31"/>
      <c r="G66" s="56"/>
      <c r="H66" s="116">
        <f>SUM(H65+H64+H55+H30+H24)*0.1</f>
        <v>6787240</v>
      </c>
      <c r="I66" s="74"/>
    </row>
    <row r="67" spans="1:9" ht="15.95" customHeight="1" x14ac:dyDescent="0.15">
      <c r="A67" s="53"/>
      <c r="B67" s="96" t="s">
        <v>155</v>
      </c>
      <c r="C67" s="74"/>
      <c r="D67" s="75"/>
      <c r="E67" s="75"/>
      <c r="F67" s="31"/>
      <c r="G67" s="56"/>
      <c r="H67" s="116">
        <f>SUM(H66+H65+H64+H55+H30+H46+H24)*0.2</f>
        <v>15081928</v>
      </c>
      <c r="I67" s="74"/>
    </row>
    <row r="68" spans="1:9" ht="15.95" customHeight="1" x14ac:dyDescent="0.15">
      <c r="A68" s="53"/>
      <c r="B68" s="96" t="s">
        <v>156</v>
      </c>
      <c r="C68" s="74"/>
      <c r="D68" s="75"/>
      <c r="E68" s="75"/>
      <c r="F68" s="31"/>
      <c r="G68" s="31"/>
      <c r="H68" s="41">
        <f>H55+H64+H65+H66+H67</f>
        <v>88930368</v>
      </c>
      <c r="I68" s="75"/>
    </row>
    <row r="69" spans="1:9" x14ac:dyDescent="0.15">
      <c r="A69" s="30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00B050"/>
    <pageSetUpPr fitToPage="1"/>
  </sheetPr>
  <dimension ref="A1:I70"/>
  <sheetViews>
    <sheetView zoomScale="85" workbookViewId="0">
      <pane xSplit="2" ySplit="2" topLeftCell="C27" activePane="bottomRight" state="frozen"/>
      <selection activeCell="K15" sqref="K15"/>
      <selection pane="topRight" activeCell="K15" sqref="K15"/>
      <selection pane="bottomLeft" activeCell="K15" sqref="K15"/>
      <selection pane="bottomRight" activeCell="C1" sqref="C1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/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/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B050"/>
    <pageSetUpPr fitToPage="1"/>
  </sheetPr>
  <dimension ref="A1:I70"/>
  <sheetViews>
    <sheetView zoomScale="85" workbookViewId="0">
      <pane xSplit="2" ySplit="2" topLeftCell="C36" activePane="bottomRight" state="frozen"/>
      <selection activeCell="B69" sqref="B69"/>
      <selection pane="topRight" activeCell="B69" sqref="B69"/>
      <selection pane="bottomLeft" activeCell="B69" sqref="B69"/>
      <selection pane="bottomRight" activeCell="O60" sqref="O60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/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/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/>
      <c r="I69" s="75"/>
    </row>
    <row r="70" spans="1:9" x14ac:dyDescent="0.15">
      <c r="A70" s="30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B69" sqref="B69"/>
      <selection pane="topRight" activeCell="B69" sqref="B69"/>
      <selection pane="bottomLeft" activeCell="B69" sqref="B69"/>
      <selection pane="bottomRight" activeCell="B66" sqref="B66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/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>
        <f>'단위공사별(집계)'!L10+'단위공사별(집계)'!I10</f>
        <v>0</v>
      </c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00B050"/>
    <pageSetUpPr fitToPage="1"/>
  </sheetPr>
  <dimension ref="A1:I70"/>
  <sheetViews>
    <sheetView zoomScale="85" workbookViewId="0">
      <pane xSplit="2" ySplit="2" topLeftCell="C21" activePane="bottomRight" state="frozen"/>
      <selection activeCell="B69" sqref="B69"/>
      <selection pane="topRight" activeCell="B69" sqref="B69"/>
      <selection pane="bottomLeft" activeCell="B69" sqref="B69"/>
      <selection pane="bottomRight" activeCell="J84" sqref="J84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/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>
        <f>'단위공사별(집계)'!I11+'단위공사별(집계)'!L11</f>
        <v>0</v>
      </c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00B050"/>
    <pageSetUpPr fitToPage="1"/>
  </sheetPr>
  <dimension ref="A1:I70"/>
  <sheetViews>
    <sheetView zoomScale="85" workbookViewId="0">
      <pane xSplit="2" ySplit="2" topLeftCell="C30" activePane="bottomRight" state="frozen"/>
      <selection activeCell="B69" sqref="B69"/>
      <selection pane="topRight" activeCell="B69" sqref="B69"/>
      <selection pane="bottomLeft" activeCell="B69" sqref="B69"/>
      <selection pane="bottomRight" activeCell="B66" sqref="B66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>
        <f>전기!G56</f>
        <v>350000</v>
      </c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>
        <f>'단위공사별(집계)'!L12+'단위공사별(집계)'!I12</f>
        <v>0</v>
      </c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00B050"/>
    <pageSetUpPr fitToPage="1"/>
  </sheetPr>
  <dimension ref="A1:I70"/>
  <sheetViews>
    <sheetView zoomScale="85" workbookViewId="0">
      <pane xSplit="2" ySplit="2" topLeftCell="C36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>
        <f>전기!G56</f>
        <v>350000</v>
      </c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>
        <f>'단위공사별(집계)'!L13+'단위공사별(집계)'!I13</f>
        <v>0</v>
      </c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B050"/>
    <pageSetUpPr fitToPage="1"/>
  </sheetPr>
  <dimension ref="A1:I70"/>
  <sheetViews>
    <sheetView zoomScale="85" workbookViewId="0">
      <pane xSplit="2" ySplit="2" topLeftCell="C6" activePane="bottomRight" state="frozen"/>
      <selection activeCell="B69" sqref="B69"/>
      <selection pane="topRight" activeCell="B69" sqref="B69"/>
      <selection pane="bottomLeft" activeCell="B69" sqref="B69"/>
      <selection pane="bottomRight" activeCell="I30" sqref="B23:I30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>
        <f>전기!G56</f>
        <v>350000</v>
      </c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>
        <f>'단위공사별(집계)'!L14+'단위공사별(집계)'!I14</f>
        <v>0</v>
      </c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C84" sqref="C84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>
        <f>전기!G56</f>
        <v>350000</v>
      </c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>
        <f>'단위공사별(집계)'!L14+'단위공사별(집계)'!I14</f>
        <v>0</v>
      </c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I70"/>
  <sheetViews>
    <sheetView zoomScale="85" workbookViewId="0">
      <pane xSplit="2" ySplit="2" topLeftCell="C30" activePane="bottomRight" state="frozen"/>
      <selection activeCell="B69" sqref="B69"/>
      <selection pane="topRight" activeCell="B69" sqref="B69"/>
      <selection pane="bottomLeft" activeCell="B69" sqref="B69"/>
      <selection pane="bottomRight" activeCell="N68" sqref="N67:N68"/>
    </sheetView>
  </sheetViews>
  <sheetFormatPr defaultRowHeight="13.5" x14ac:dyDescent="0.15"/>
  <cols>
    <col min="1" max="1" width="5" style="29" customWidth="1"/>
    <col min="2" max="2" width="17.875" style="29" bestFit="1" customWidth="1"/>
    <col min="3" max="3" width="23.625" style="29" customWidth="1"/>
    <col min="4" max="4" width="18.25" style="29" customWidth="1"/>
    <col min="5" max="5" width="5.25" style="29" bestFit="1" customWidth="1"/>
    <col min="6" max="6" width="9" style="32"/>
    <col min="7" max="7" width="11.875" style="32" customWidth="1"/>
    <col min="8" max="8" width="13.625" style="32" customWidth="1"/>
    <col min="9" max="9" width="12.75" style="29" customWidth="1"/>
    <col min="10" max="16384" width="9" style="29"/>
  </cols>
  <sheetData>
    <row r="1" spans="1:9" ht="22.5" customHeight="1" x14ac:dyDescent="0.15">
      <c r="B1" s="98" t="s">
        <v>81</v>
      </c>
      <c r="C1" s="141"/>
      <c r="F1" s="66"/>
      <c r="I1" s="29" t="s">
        <v>83</v>
      </c>
    </row>
    <row r="2" spans="1:9" s="30" customFormat="1" ht="16.5" customHeight="1" x14ac:dyDescent="0.15">
      <c r="A2" s="331" t="s">
        <v>31</v>
      </c>
      <c r="B2" s="400"/>
      <c r="C2" s="67" t="s">
        <v>44</v>
      </c>
      <c r="D2" s="33" t="s">
        <v>32</v>
      </c>
      <c r="E2" s="33" t="s">
        <v>33</v>
      </c>
      <c r="F2" s="101" t="s">
        <v>34</v>
      </c>
      <c r="G2" s="101" t="s">
        <v>35</v>
      </c>
      <c r="H2" s="101" t="s">
        <v>36</v>
      </c>
      <c r="I2" s="33" t="s">
        <v>46</v>
      </c>
    </row>
    <row r="3" spans="1:9" ht="15.95" customHeight="1" x14ac:dyDescent="0.15">
      <c r="A3" s="403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6"/>
    </row>
    <row r="4" spans="1:9" ht="15.95" customHeight="1" x14ac:dyDescent="0.15">
      <c r="A4" s="405"/>
      <c r="B4" s="99"/>
      <c r="C4" s="69"/>
      <c r="D4" s="69"/>
      <c r="E4" s="69"/>
      <c r="F4" s="70"/>
      <c r="G4" s="70"/>
      <c r="H4" s="100">
        <f>IF(F4=0,G4,G4*F4)</f>
        <v>0</v>
      </c>
      <c r="I4" s="71"/>
    </row>
    <row r="5" spans="1:9" ht="15.95" customHeight="1" x14ac:dyDescent="0.15">
      <c r="A5" s="405"/>
      <c r="B5" s="99"/>
      <c r="C5" s="69"/>
      <c r="D5" s="69"/>
      <c r="E5" s="69"/>
      <c r="F5" s="70"/>
      <c r="G5" s="70"/>
      <c r="H5" s="100">
        <f t="shared" ref="H5:H54" si="0">IF(F5=0,G5,G5*F5)</f>
        <v>0</v>
      </c>
      <c r="I5" s="71"/>
    </row>
    <row r="6" spans="1:9" ht="15.95" customHeight="1" x14ac:dyDescent="0.15">
      <c r="A6" s="405"/>
      <c r="B6" s="99"/>
      <c r="C6" s="69"/>
      <c r="D6" s="69"/>
      <c r="E6" s="69"/>
      <c r="F6" s="70"/>
      <c r="G6" s="70"/>
      <c r="H6" s="100">
        <f t="shared" si="0"/>
        <v>0</v>
      </c>
      <c r="I6" s="71"/>
    </row>
    <row r="7" spans="1:9" ht="15.95" customHeight="1" x14ac:dyDescent="0.15">
      <c r="A7" s="405"/>
      <c r="B7" s="99"/>
      <c r="C7" s="69"/>
      <c r="D7" s="69"/>
      <c r="E7" s="69"/>
      <c r="F7" s="70"/>
      <c r="G7" s="70"/>
      <c r="H7" s="100">
        <f t="shared" si="0"/>
        <v>0</v>
      </c>
      <c r="I7" s="71"/>
    </row>
    <row r="8" spans="1:9" ht="15.95" customHeight="1" x14ac:dyDescent="0.15">
      <c r="A8" s="405"/>
      <c r="B8" s="99"/>
      <c r="C8" s="69"/>
      <c r="D8" s="69"/>
      <c r="E8" s="69"/>
      <c r="F8" s="70"/>
      <c r="G8" s="70"/>
      <c r="H8" s="100">
        <f t="shared" si="0"/>
        <v>0</v>
      </c>
      <c r="I8" s="71"/>
    </row>
    <row r="9" spans="1:9" ht="15.95" customHeight="1" x14ac:dyDescent="0.15">
      <c r="A9" s="405"/>
      <c r="B9" s="99"/>
      <c r="C9" s="69"/>
      <c r="D9" s="69"/>
      <c r="E9" s="69"/>
      <c r="F9" s="70"/>
      <c r="G9" s="70"/>
      <c r="H9" s="100">
        <f t="shared" si="0"/>
        <v>0</v>
      </c>
      <c r="I9" s="71"/>
    </row>
    <row r="10" spans="1:9" ht="15.95" customHeight="1" x14ac:dyDescent="0.15">
      <c r="A10" s="405"/>
      <c r="B10" s="99"/>
      <c r="C10" s="69"/>
      <c r="D10" s="69"/>
      <c r="E10" s="69"/>
      <c r="F10" s="70"/>
      <c r="G10" s="70"/>
      <c r="H10" s="100">
        <f t="shared" si="0"/>
        <v>0</v>
      </c>
      <c r="I10" s="71"/>
    </row>
    <row r="11" spans="1:9" ht="15.95" customHeight="1" x14ac:dyDescent="0.15">
      <c r="A11" s="405"/>
      <c r="B11" s="99"/>
      <c r="C11" s="69"/>
      <c r="D11" s="69"/>
      <c r="E11" s="69"/>
      <c r="F11" s="70"/>
      <c r="G11" s="70"/>
      <c r="H11" s="100">
        <f t="shared" si="0"/>
        <v>0</v>
      </c>
      <c r="I11" s="71"/>
    </row>
    <row r="12" spans="1:9" ht="15.95" customHeight="1" x14ac:dyDescent="0.15">
      <c r="A12" s="405"/>
      <c r="B12" s="99"/>
      <c r="C12" s="69"/>
      <c r="D12" s="69"/>
      <c r="E12" s="69"/>
      <c r="F12" s="70"/>
      <c r="G12" s="70"/>
      <c r="H12" s="100">
        <f t="shared" si="0"/>
        <v>0</v>
      </c>
      <c r="I12" s="71"/>
    </row>
    <row r="13" spans="1:9" ht="15.95" customHeight="1" x14ac:dyDescent="0.15">
      <c r="A13" s="405"/>
      <c r="B13" s="99"/>
      <c r="C13" s="69"/>
      <c r="D13" s="69"/>
      <c r="E13" s="69"/>
      <c r="F13" s="70"/>
      <c r="G13" s="70"/>
      <c r="H13" s="100">
        <f t="shared" si="0"/>
        <v>0</v>
      </c>
      <c r="I13" s="71"/>
    </row>
    <row r="14" spans="1:9" ht="15.95" customHeight="1" x14ac:dyDescent="0.15">
      <c r="A14" s="405"/>
      <c r="B14" s="99"/>
      <c r="C14" s="69"/>
      <c r="D14" s="69"/>
      <c r="E14" s="69"/>
      <c r="F14" s="70"/>
      <c r="G14" s="70"/>
      <c r="H14" s="100">
        <f t="shared" si="0"/>
        <v>0</v>
      </c>
      <c r="I14" s="71"/>
    </row>
    <row r="15" spans="1:9" ht="15.95" customHeight="1" x14ac:dyDescent="0.15">
      <c r="A15" s="405"/>
      <c r="B15" s="99"/>
      <c r="C15" s="69"/>
      <c r="D15" s="69"/>
      <c r="E15" s="69"/>
      <c r="F15" s="70"/>
      <c r="G15" s="70"/>
      <c r="H15" s="100">
        <f t="shared" si="0"/>
        <v>0</v>
      </c>
      <c r="I15" s="71"/>
    </row>
    <row r="16" spans="1:9" ht="15.95" customHeight="1" x14ac:dyDescent="0.15">
      <c r="A16" s="405"/>
      <c r="B16" s="99"/>
      <c r="C16" s="69"/>
      <c r="D16" s="69"/>
      <c r="E16" s="69"/>
      <c r="F16" s="70"/>
      <c r="G16" s="70"/>
      <c r="H16" s="100">
        <f t="shared" si="0"/>
        <v>0</v>
      </c>
      <c r="I16" s="71"/>
    </row>
    <row r="17" spans="1:9" ht="15.95" customHeight="1" x14ac:dyDescent="0.15">
      <c r="A17" s="405"/>
      <c r="B17" s="99"/>
      <c r="C17" s="69"/>
      <c r="D17" s="69"/>
      <c r="E17" s="69"/>
      <c r="F17" s="70"/>
      <c r="G17" s="70"/>
      <c r="H17" s="100">
        <f t="shared" si="0"/>
        <v>0</v>
      </c>
      <c r="I17" s="71"/>
    </row>
    <row r="18" spans="1:9" ht="15.95" customHeight="1" x14ac:dyDescent="0.15">
      <c r="A18" s="405"/>
      <c r="B18" s="99"/>
      <c r="C18" s="69"/>
      <c r="D18" s="69"/>
      <c r="E18" s="69"/>
      <c r="F18" s="70"/>
      <c r="G18" s="70"/>
      <c r="H18" s="100">
        <f t="shared" si="0"/>
        <v>0</v>
      </c>
      <c r="I18" s="71"/>
    </row>
    <row r="19" spans="1:9" ht="15.95" customHeight="1" x14ac:dyDescent="0.15">
      <c r="A19" s="405"/>
      <c r="B19" s="99"/>
      <c r="C19" s="69"/>
      <c r="D19" s="69"/>
      <c r="E19" s="69"/>
      <c r="F19" s="70"/>
      <c r="G19" s="70"/>
      <c r="H19" s="100">
        <f t="shared" si="0"/>
        <v>0</v>
      </c>
      <c r="I19" s="71"/>
    </row>
    <row r="20" spans="1:9" ht="15.95" customHeight="1" x14ac:dyDescent="0.15">
      <c r="A20" s="405"/>
      <c r="B20" s="99"/>
      <c r="C20" s="69"/>
      <c r="D20" s="69"/>
      <c r="E20" s="69"/>
      <c r="F20" s="70"/>
      <c r="G20" s="70"/>
      <c r="H20" s="100">
        <f t="shared" si="0"/>
        <v>0</v>
      </c>
      <c r="I20" s="71"/>
    </row>
    <row r="21" spans="1:9" ht="15.95" customHeight="1" x14ac:dyDescent="0.15">
      <c r="A21" s="405"/>
      <c r="B21" s="99"/>
      <c r="C21" s="69"/>
      <c r="D21" s="69"/>
      <c r="E21" s="69"/>
      <c r="F21" s="70"/>
      <c r="G21" s="70"/>
      <c r="H21" s="100">
        <f t="shared" si="0"/>
        <v>0</v>
      </c>
      <c r="I21" s="71"/>
    </row>
    <row r="22" spans="1:9" ht="15.95" customHeight="1" x14ac:dyDescent="0.15">
      <c r="A22" s="405"/>
      <c r="B22" s="99"/>
      <c r="C22" s="69"/>
      <c r="D22" s="69"/>
      <c r="E22" s="69"/>
      <c r="F22" s="70"/>
      <c r="G22" s="70"/>
      <c r="H22" s="100">
        <f t="shared" si="0"/>
        <v>0</v>
      </c>
      <c r="I22" s="71"/>
    </row>
    <row r="23" spans="1:9" ht="15.95" customHeight="1" x14ac:dyDescent="0.15">
      <c r="A23" s="405"/>
      <c r="B23" s="99"/>
      <c r="C23" s="114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 x14ac:dyDescent="0.15">
      <c r="A24" s="405"/>
      <c r="B24" s="73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 x14ac:dyDescent="0.15">
      <c r="A25" s="405"/>
      <c r="B25" s="99" t="s">
        <v>163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 x14ac:dyDescent="0.15">
      <c r="A26" s="405"/>
      <c r="B26" s="99" t="s">
        <v>164</v>
      </c>
      <c r="C26" s="69"/>
      <c r="D26" s="69"/>
      <c r="E26" s="69"/>
      <c r="F26" s="70"/>
      <c r="G26" s="70"/>
      <c r="H26" s="100">
        <f t="shared" si="0"/>
        <v>0</v>
      </c>
      <c r="I26" s="71"/>
    </row>
    <row r="27" spans="1:9" ht="15.95" customHeight="1" x14ac:dyDescent="0.15">
      <c r="A27" s="405"/>
      <c r="B27" s="99"/>
      <c r="C27" s="69"/>
      <c r="D27" s="69"/>
      <c r="E27" s="69"/>
      <c r="F27" s="70"/>
      <c r="G27" s="70"/>
      <c r="H27" s="100">
        <f t="shared" si="0"/>
        <v>0</v>
      </c>
      <c r="I27" s="71"/>
    </row>
    <row r="28" spans="1:9" ht="15.95" customHeight="1" x14ac:dyDescent="0.15">
      <c r="A28" s="405"/>
      <c r="B28" s="99"/>
      <c r="C28" s="69"/>
      <c r="D28" s="69"/>
      <c r="E28" s="69"/>
      <c r="F28" s="70"/>
      <c r="G28" s="70"/>
      <c r="H28" s="100">
        <f t="shared" si="0"/>
        <v>0</v>
      </c>
      <c r="I28" s="71"/>
    </row>
    <row r="29" spans="1:9" ht="15.95" customHeight="1" x14ac:dyDescent="0.15">
      <c r="A29" s="405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72"/>
    </row>
    <row r="30" spans="1:9" ht="15.95" customHeight="1" x14ac:dyDescent="0.15">
      <c r="A30" s="405"/>
      <c r="B30" s="73"/>
      <c r="C30" s="102"/>
      <c r="D30" s="92"/>
      <c r="E30" s="92"/>
      <c r="F30" s="142"/>
      <c r="G30" s="41"/>
      <c r="H30" s="31">
        <f>SUM(H25:H29)</f>
        <v>0</v>
      </c>
      <c r="I30" s="75"/>
    </row>
    <row r="31" spans="1:9" ht="15.95" customHeight="1" x14ac:dyDescent="0.15">
      <c r="A31" s="405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6"/>
    </row>
    <row r="32" spans="1:9" ht="15.95" customHeight="1" x14ac:dyDescent="0.15">
      <c r="A32" s="405"/>
      <c r="B32" s="99" t="s">
        <v>45</v>
      </c>
      <c r="C32" s="69"/>
      <c r="D32" s="69"/>
      <c r="E32" s="69"/>
      <c r="F32" s="70"/>
      <c r="G32" s="70"/>
      <c r="H32" s="100">
        <f t="shared" si="0"/>
        <v>0</v>
      </c>
      <c r="I32" s="71"/>
    </row>
    <row r="33" spans="1:9" ht="15.95" customHeight="1" x14ac:dyDescent="0.15">
      <c r="A33" s="405"/>
      <c r="B33" s="99"/>
      <c r="C33" s="69"/>
      <c r="D33" s="69"/>
      <c r="E33" s="69"/>
      <c r="F33" s="70"/>
      <c r="G33" s="70"/>
      <c r="H33" s="100">
        <f t="shared" si="0"/>
        <v>0</v>
      </c>
      <c r="I33" s="71"/>
    </row>
    <row r="34" spans="1:9" ht="15.95" customHeight="1" x14ac:dyDescent="0.15">
      <c r="A34" s="405"/>
      <c r="B34" s="99"/>
      <c r="C34" s="69"/>
      <c r="D34" s="69"/>
      <c r="E34" s="69"/>
      <c r="F34" s="70"/>
      <c r="G34" s="70"/>
      <c r="H34" s="100">
        <f t="shared" si="0"/>
        <v>0</v>
      </c>
      <c r="I34" s="71"/>
    </row>
    <row r="35" spans="1:9" ht="15.95" customHeight="1" x14ac:dyDescent="0.15">
      <c r="A35" s="405"/>
      <c r="B35" s="99"/>
      <c r="C35" s="69"/>
      <c r="D35" s="69"/>
      <c r="E35" s="69"/>
      <c r="F35" s="70"/>
      <c r="G35" s="70"/>
      <c r="H35" s="100">
        <f t="shared" si="0"/>
        <v>0</v>
      </c>
      <c r="I35" s="71"/>
    </row>
    <row r="36" spans="1:9" ht="15.95" customHeight="1" x14ac:dyDescent="0.15">
      <c r="A36" s="405"/>
      <c r="B36" s="99"/>
      <c r="C36" s="69"/>
      <c r="D36" s="69"/>
      <c r="E36" s="69"/>
      <c r="F36" s="70"/>
      <c r="G36" s="70"/>
      <c r="H36" s="100">
        <f t="shared" si="0"/>
        <v>0</v>
      </c>
      <c r="I36" s="71"/>
    </row>
    <row r="37" spans="1:9" ht="15.95" customHeight="1" x14ac:dyDescent="0.15">
      <c r="A37" s="405"/>
      <c r="B37" s="99"/>
      <c r="C37" s="69"/>
      <c r="D37" s="69"/>
      <c r="E37" s="69"/>
      <c r="F37" s="70"/>
      <c r="G37" s="70"/>
      <c r="H37" s="100">
        <f t="shared" si="0"/>
        <v>0</v>
      </c>
      <c r="I37" s="71"/>
    </row>
    <row r="38" spans="1:9" ht="15.95" customHeight="1" x14ac:dyDescent="0.15">
      <c r="A38" s="405"/>
      <c r="B38" s="99"/>
      <c r="C38" s="69"/>
      <c r="D38" s="69"/>
      <c r="E38" s="69"/>
      <c r="F38" s="70"/>
      <c r="G38" s="70"/>
      <c r="H38" s="100">
        <f t="shared" si="0"/>
        <v>0</v>
      </c>
      <c r="I38" s="71"/>
    </row>
    <row r="39" spans="1:9" ht="15.95" customHeight="1" x14ac:dyDescent="0.15">
      <c r="A39" s="405"/>
      <c r="B39" s="99"/>
      <c r="C39" s="69"/>
      <c r="D39" s="69"/>
      <c r="E39" s="69"/>
      <c r="F39" s="70"/>
      <c r="G39" s="70"/>
      <c r="H39" s="100">
        <f t="shared" si="0"/>
        <v>0</v>
      </c>
      <c r="I39" s="71"/>
    </row>
    <row r="40" spans="1:9" ht="15.95" customHeight="1" x14ac:dyDescent="0.15">
      <c r="A40" s="405"/>
      <c r="B40" s="99"/>
      <c r="C40" s="69"/>
      <c r="D40" s="69"/>
      <c r="E40" s="69"/>
      <c r="F40" s="70"/>
      <c r="G40" s="70"/>
      <c r="H40" s="100">
        <f t="shared" si="0"/>
        <v>0</v>
      </c>
      <c r="I40" s="71"/>
    </row>
    <row r="41" spans="1:9" ht="15.95" customHeight="1" x14ac:dyDescent="0.15">
      <c r="A41" s="405"/>
      <c r="B41" s="99"/>
      <c r="C41" s="69"/>
      <c r="D41" s="69"/>
      <c r="E41" s="69"/>
      <c r="F41" s="70"/>
      <c r="G41" s="70"/>
      <c r="H41" s="100">
        <f t="shared" si="0"/>
        <v>0</v>
      </c>
      <c r="I41" s="71"/>
    </row>
    <row r="42" spans="1:9" ht="15.95" customHeight="1" x14ac:dyDescent="0.15">
      <c r="A42" s="405"/>
      <c r="B42" s="99"/>
      <c r="C42" s="69"/>
      <c r="D42" s="69"/>
      <c r="E42" s="69"/>
      <c r="F42" s="70"/>
      <c r="G42" s="70"/>
      <c r="H42" s="100">
        <f t="shared" si="0"/>
        <v>0</v>
      </c>
      <c r="I42" s="71"/>
    </row>
    <row r="43" spans="1:9" ht="15.95" customHeight="1" x14ac:dyDescent="0.15">
      <c r="A43" s="405"/>
      <c r="B43" s="99"/>
      <c r="C43" s="69"/>
      <c r="D43" s="69"/>
      <c r="E43" s="69"/>
      <c r="F43" s="70"/>
      <c r="G43" s="70"/>
      <c r="H43" s="100">
        <f t="shared" si="0"/>
        <v>0</v>
      </c>
      <c r="I43" s="71"/>
    </row>
    <row r="44" spans="1:9" ht="15.95" customHeight="1" x14ac:dyDescent="0.15">
      <c r="A44" s="405"/>
      <c r="B44" s="99"/>
      <c r="C44" s="69"/>
      <c r="D44" s="69"/>
      <c r="E44" s="69"/>
      <c r="F44" s="70"/>
      <c r="G44" s="70"/>
      <c r="H44" s="100">
        <f t="shared" si="0"/>
        <v>0</v>
      </c>
      <c r="I44" s="71"/>
    </row>
    <row r="45" spans="1:9" ht="15.95" customHeight="1" x14ac:dyDescent="0.15">
      <c r="A45" s="405"/>
      <c r="B45" s="99"/>
      <c r="C45" s="69"/>
      <c r="D45" s="69"/>
      <c r="E45" s="69"/>
      <c r="F45" s="70"/>
      <c r="G45" s="70"/>
      <c r="H45" s="100">
        <f t="shared" si="0"/>
        <v>0</v>
      </c>
      <c r="I45" s="71"/>
    </row>
    <row r="46" spans="1:9" ht="15.95" customHeight="1" x14ac:dyDescent="0.15">
      <c r="A46" s="405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72"/>
    </row>
    <row r="47" spans="1:9" ht="15.95" customHeight="1" x14ac:dyDescent="0.15">
      <c r="A47" s="405"/>
      <c r="B47" s="73"/>
      <c r="C47" s="102"/>
      <c r="D47" s="92"/>
      <c r="E47" s="92"/>
      <c r="F47" s="41"/>
      <c r="G47" s="41"/>
      <c r="H47" s="31">
        <f>SUM(H31:H46)</f>
        <v>0</v>
      </c>
      <c r="I47" s="75"/>
    </row>
    <row r="48" spans="1:9" ht="15.95" customHeight="1" x14ac:dyDescent="0.15">
      <c r="A48" s="405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6"/>
    </row>
    <row r="49" spans="1:9" ht="15.95" customHeight="1" x14ac:dyDescent="0.15">
      <c r="A49" s="405"/>
      <c r="B49" s="99"/>
      <c r="C49" s="69"/>
      <c r="D49" s="69"/>
      <c r="E49" s="69"/>
      <c r="F49" s="70"/>
      <c r="G49" s="70"/>
      <c r="H49" s="100">
        <f t="shared" si="0"/>
        <v>0</v>
      </c>
      <c r="I49" s="71"/>
    </row>
    <row r="50" spans="1:9" ht="15.95" customHeight="1" x14ac:dyDescent="0.15">
      <c r="A50" s="405"/>
      <c r="B50" s="99"/>
      <c r="C50" s="69"/>
      <c r="D50" s="69"/>
      <c r="E50" s="69"/>
      <c r="F50" s="70"/>
      <c r="G50" s="70"/>
      <c r="H50" s="100">
        <f t="shared" si="0"/>
        <v>0</v>
      </c>
      <c r="I50" s="71"/>
    </row>
    <row r="51" spans="1:9" ht="15.95" customHeight="1" x14ac:dyDescent="0.15">
      <c r="A51" s="405"/>
      <c r="B51" s="99"/>
      <c r="C51" s="69"/>
      <c r="D51" s="69"/>
      <c r="E51" s="69"/>
      <c r="F51" s="70"/>
      <c r="G51" s="70"/>
      <c r="H51" s="100">
        <f t="shared" si="0"/>
        <v>0</v>
      </c>
      <c r="I51" s="71"/>
    </row>
    <row r="52" spans="1:9" ht="15.95" customHeight="1" x14ac:dyDescent="0.15">
      <c r="A52" s="405"/>
      <c r="B52" s="99"/>
      <c r="C52" s="69"/>
      <c r="D52" s="69"/>
      <c r="E52" s="69"/>
      <c r="F52" s="70"/>
      <c r="G52" s="70"/>
      <c r="H52" s="100">
        <f t="shared" si="0"/>
        <v>0</v>
      </c>
      <c r="I52" s="71"/>
    </row>
    <row r="53" spans="1:9" ht="15.95" customHeight="1" x14ac:dyDescent="0.15">
      <c r="A53" s="405"/>
      <c r="B53" s="99"/>
      <c r="C53" s="69"/>
      <c r="D53" s="69"/>
      <c r="E53" s="69"/>
      <c r="F53" s="70"/>
      <c r="G53" s="70"/>
      <c r="H53" s="100">
        <f t="shared" si="0"/>
        <v>0</v>
      </c>
      <c r="I53" s="71"/>
    </row>
    <row r="54" spans="1:9" ht="15.95" customHeight="1" x14ac:dyDescent="0.15">
      <c r="A54" s="405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72"/>
    </row>
    <row r="55" spans="1:9" ht="15.95" customHeight="1" x14ac:dyDescent="0.15">
      <c r="A55" s="405"/>
      <c r="B55" s="73"/>
      <c r="C55" s="102"/>
      <c r="D55" s="92"/>
      <c r="E55" s="92"/>
      <c r="F55" s="41"/>
      <c r="G55" s="41"/>
      <c r="H55" s="31">
        <f>SUM(H48:H54)</f>
        <v>0</v>
      </c>
      <c r="I55" s="75"/>
    </row>
    <row r="56" spans="1:9" ht="15.95" customHeight="1" x14ac:dyDescent="0.15">
      <c r="A56" s="77"/>
      <c r="B56" s="97" t="s">
        <v>42</v>
      </c>
      <c r="C56" s="74"/>
      <c r="D56" s="75"/>
      <c r="E56" s="75"/>
      <c r="F56" s="57"/>
      <c r="G56" s="57"/>
      <c r="H56" s="31">
        <f>SUM(H55,H47,H30,H24)</f>
        <v>0</v>
      </c>
      <c r="I56" s="75"/>
    </row>
    <row r="57" spans="1:9" ht="15.95" customHeight="1" x14ac:dyDescent="0.15">
      <c r="A57" s="406" t="s">
        <v>72</v>
      </c>
      <c r="B57" s="106" t="s">
        <v>70</v>
      </c>
      <c r="C57" s="74"/>
      <c r="D57" s="75"/>
      <c r="E57" s="106" t="s">
        <v>51</v>
      </c>
      <c r="F57" s="116"/>
      <c r="G57" s="116">
        <f>전기!G56</f>
        <v>350000</v>
      </c>
      <c r="H57" s="54">
        <f>F57*G57</f>
        <v>0</v>
      </c>
      <c r="I57" s="75"/>
    </row>
    <row r="58" spans="1:9" ht="15.95" customHeight="1" x14ac:dyDescent="0.15">
      <c r="A58" s="405"/>
      <c r="B58" s="107" t="s">
        <v>107</v>
      </c>
      <c r="C58" s="135"/>
      <c r="D58" s="76"/>
      <c r="E58" s="107" t="s">
        <v>50</v>
      </c>
      <c r="F58" s="113"/>
      <c r="G58" s="113"/>
      <c r="H58" s="104">
        <f t="shared" ref="H58:H64" si="1">F58*G58</f>
        <v>0</v>
      </c>
      <c r="I58" s="76"/>
    </row>
    <row r="59" spans="1:9" ht="15.95" customHeight="1" x14ac:dyDescent="0.15">
      <c r="A59" s="405"/>
      <c r="B59" s="160" t="s">
        <v>108</v>
      </c>
      <c r="C59" s="136"/>
      <c r="D59" s="71"/>
      <c r="E59" s="108" t="s">
        <v>50</v>
      </c>
      <c r="F59" s="70"/>
      <c r="G59" s="70"/>
      <c r="H59" s="100">
        <f t="shared" si="1"/>
        <v>0</v>
      </c>
      <c r="I59" s="71"/>
    </row>
    <row r="60" spans="1:9" ht="15.95" customHeight="1" x14ac:dyDescent="0.15">
      <c r="A60" s="405"/>
      <c r="B60" s="108" t="s">
        <v>109</v>
      </c>
      <c r="C60" s="136"/>
      <c r="D60" s="71"/>
      <c r="E60" s="108" t="s">
        <v>50</v>
      </c>
      <c r="F60" s="70"/>
      <c r="G60" s="70"/>
      <c r="H60" s="100">
        <f t="shared" si="1"/>
        <v>0</v>
      </c>
      <c r="I60" s="71"/>
    </row>
    <row r="61" spans="1:9" ht="15.95" customHeight="1" x14ac:dyDescent="0.15">
      <c r="A61" s="405"/>
      <c r="B61" s="108" t="s">
        <v>110</v>
      </c>
      <c r="C61" s="136"/>
      <c r="D61" s="71"/>
      <c r="E61" s="108" t="s">
        <v>50</v>
      </c>
      <c r="F61" s="70"/>
      <c r="G61" s="70"/>
      <c r="H61" s="100">
        <f t="shared" si="1"/>
        <v>0</v>
      </c>
      <c r="I61" s="71"/>
    </row>
    <row r="62" spans="1:9" ht="15.95" customHeight="1" x14ac:dyDescent="0.15">
      <c r="A62" s="405"/>
      <c r="B62" s="108" t="s">
        <v>111</v>
      </c>
      <c r="C62" s="136"/>
      <c r="D62" s="71"/>
      <c r="E62" s="108" t="s">
        <v>50</v>
      </c>
      <c r="F62" s="70"/>
      <c r="G62" s="70"/>
      <c r="H62" s="100">
        <f t="shared" si="1"/>
        <v>0</v>
      </c>
      <c r="I62" s="71"/>
    </row>
    <row r="63" spans="1:9" ht="15.95" customHeight="1" x14ac:dyDescent="0.15">
      <c r="A63" s="405"/>
      <c r="B63" s="108" t="s">
        <v>112</v>
      </c>
      <c r="C63" s="136"/>
      <c r="D63" s="71"/>
      <c r="E63" s="108" t="s">
        <v>50</v>
      </c>
      <c r="F63" s="70"/>
      <c r="G63" s="70"/>
      <c r="H63" s="100">
        <f t="shared" si="1"/>
        <v>0</v>
      </c>
      <c r="I63" s="71"/>
    </row>
    <row r="64" spans="1:9" ht="15.95" customHeight="1" x14ac:dyDescent="0.15">
      <c r="A64" s="405"/>
      <c r="B64" s="109" t="s">
        <v>113</v>
      </c>
      <c r="C64" s="137"/>
      <c r="D64" s="72"/>
      <c r="E64" s="109" t="s">
        <v>50</v>
      </c>
      <c r="F64" s="115"/>
      <c r="G64" s="115"/>
      <c r="H64" s="105">
        <f t="shared" si="1"/>
        <v>0</v>
      </c>
      <c r="I64" s="72"/>
    </row>
    <row r="65" spans="1:9" ht="15.95" customHeight="1" x14ac:dyDescent="0.15">
      <c r="A65" s="77"/>
      <c r="B65" s="96" t="s">
        <v>41</v>
      </c>
      <c r="C65" s="74"/>
      <c r="D65" s="75"/>
      <c r="E65" s="75"/>
      <c r="F65" s="41"/>
      <c r="G65" s="41"/>
      <c r="H65" s="41">
        <f>SUM(H57:H64)</f>
        <v>0</v>
      </c>
      <c r="I65" s="92"/>
    </row>
    <row r="66" spans="1:9" ht="15.95" customHeight="1" x14ac:dyDescent="0.15">
      <c r="A66" s="53"/>
      <c r="B66" s="96" t="s">
        <v>48</v>
      </c>
      <c r="C66" s="74"/>
      <c r="D66" s="75"/>
      <c r="E66" s="75"/>
      <c r="F66" s="31"/>
      <c r="G66" s="31"/>
      <c r="H66" s="57">
        <f>'단위공사별(집계)'!L14+'단위공사별(집계)'!I14</f>
        <v>0</v>
      </c>
      <c r="I66" s="75"/>
    </row>
    <row r="67" spans="1:9" ht="15.95" customHeight="1" x14ac:dyDescent="0.15">
      <c r="A67" s="53"/>
      <c r="B67" s="96" t="s">
        <v>25</v>
      </c>
      <c r="C67" s="74"/>
      <c r="D67" s="75"/>
      <c r="E67" s="75"/>
      <c r="F67" s="31"/>
      <c r="G67" s="56"/>
      <c r="H67" s="116"/>
      <c r="I67" s="74"/>
    </row>
    <row r="68" spans="1:9" ht="15.95" customHeight="1" x14ac:dyDescent="0.15">
      <c r="A68" s="53"/>
      <c r="B68" s="96" t="s">
        <v>155</v>
      </c>
      <c r="C68" s="74"/>
      <c r="D68" s="75"/>
      <c r="E68" s="75"/>
      <c r="F68" s="31"/>
      <c r="G68" s="56"/>
      <c r="H68" s="116"/>
      <c r="I68" s="74"/>
    </row>
    <row r="69" spans="1:9" ht="15.95" customHeight="1" x14ac:dyDescent="0.15">
      <c r="A69" s="53"/>
      <c r="B69" s="96" t="s">
        <v>156</v>
      </c>
      <c r="C69" s="74"/>
      <c r="D69" s="75"/>
      <c r="E69" s="75"/>
      <c r="F69" s="31"/>
      <c r="G69" s="31"/>
      <c r="H69" s="41">
        <f>H56+H65+H66+H67+H68</f>
        <v>0</v>
      </c>
      <c r="I69" s="75"/>
    </row>
    <row r="70" spans="1:9" x14ac:dyDescent="0.15">
      <c r="A70" s="3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pageSetUpPr fitToPage="1"/>
  </sheetPr>
  <dimension ref="A1:D36"/>
  <sheetViews>
    <sheetView zoomScale="85" workbookViewId="0">
      <selection activeCell="H38" sqref="H38"/>
    </sheetView>
  </sheetViews>
  <sheetFormatPr defaultRowHeight="17.25" customHeight="1" x14ac:dyDescent="0.15"/>
  <cols>
    <col min="1" max="1" width="16.5" style="29" customWidth="1"/>
    <col min="2" max="3" width="27.625" style="29" customWidth="1"/>
    <col min="4" max="4" width="11.5" style="29" customWidth="1"/>
    <col min="5" max="16384" width="9" style="29"/>
  </cols>
  <sheetData>
    <row r="1" spans="1:4" ht="17.25" customHeight="1" x14ac:dyDescent="0.15">
      <c r="A1" s="29" t="s">
        <v>98</v>
      </c>
    </row>
    <row r="2" spans="1:4" ht="17.25" customHeight="1" x14ac:dyDescent="0.15">
      <c r="D2" s="30" t="s">
        <v>99</v>
      </c>
    </row>
    <row r="3" spans="1:4" ht="24.75" customHeight="1" x14ac:dyDescent="0.15">
      <c r="A3" s="89" t="s">
        <v>97</v>
      </c>
    </row>
    <row r="4" spans="1:4" ht="11.25" customHeight="1" x14ac:dyDescent="0.15"/>
    <row r="5" spans="1:4" s="91" customFormat="1" ht="21" customHeight="1" thickBot="1" x14ac:dyDescent="0.2">
      <c r="A5" s="90" t="s">
        <v>62</v>
      </c>
      <c r="B5" s="90" t="s">
        <v>52</v>
      </c>
      <c r="C5" s="90" t="s">
        <v>53</v>
      </c>
      <c r="D5" s="90" t="s">
        <v>27</v>
      </c>
    </row>
    <row r="6" spans="1:4" ht="17.25" customHeight="1" thickTop="1" x14ac:dyDescent="0.15">
      <c r="A6" s="68"/>
      <c r="B6" s="68"/>
      <c r="C6" s="68"/>
      <c r="D6" s="68"/>
    </row>
    <row r="7" spans="1:4" ht="17.25" customHeight="1" x14ac:dyDescent="0.15">
      <c r="A7" s="68"/>
      <c r="B7" s="68"/>
      <c r="C7" s="68"/>
      <c r="D7" s="68"/>
    </row>
    <row r="8" spans="1:4" ht="17.25" customHeight="1" x14ac:dyDescent="0.15">
      <c r="A8" s="68"/>
      <c r="B8" s="68"/>
      <c r="C8" s="68"/>
      <c r="D8" s="68"/>
    </row>
    <row r="9" spans="1:4" ht="17.25" customHeight="1" x14ac:dyDescent="0.15">
      <c r="A9" s="68"/>
      <c r="B9" s="68"/>
      <c r="C9" s="68"/>
      <c r="D9" s="68"/>
    </row>
    <row r="10" spans="1:4" ht="17.25" customHeight="1" x14ac:dyDescent="0.15">
      <c r="A10" s="68"/>
      <c r="B10" s="68"/>
      <c r="C10" s="68"/>
      <c r="D10" s="68"/>
    </row>
    <row r="11" spans="1:4" ht="17.25" customHeight="1" x14ac:dyDescent="0.15">
      <c r="A11" s="68"/>
      <c r="B11" s="68"/>
      <c r="C11" s="68"/>
      <c r="D11" s="68"/>
    </row>
    <row r="12" spans="1:4" ht="17.25" customHeight="1" x14ac:dyDescent="0.15">
      <c r="A12" s="68"/>
      <c r="B12" s="68"/>
      <c r="C12" s="68"/>
      <c r="D12" s="68"/>
    </row>
    <row r="13" spans="1:4" ht="17.25" customHeight="1" x14ac:dyDescent="0.15">
      <c r="A13" s="68"/>
      <c r="B13" s="68"/>
      <c r="C13" s="68"/>
      <c r="D13" s="68"/>
    </row>
    <row r="14" spans="1:4" ht="17.25" customHeight="1" x14ac:dyDescent="0.15">
      <c r="A14" s="68"/>
      <c r="B14" s="68"/>
      <c r="C14" s="68"/>
      <c r="D14" s="68"/>
    </row>
    <row r="15" spans="1:4" ht="17.25" customHeight="1" x14ac:dyDescent="0.15">
      <c r="A15" s="68"/>
      <c r="B15" s="68"/>
      <c r="C15" s="68"/>
      <c r="D15" s="68"/>
    </row>
    <row r="16" spans="1:4" ht="17.25" customHeight="1" x14ac:dyDescent="0.15">
      <c r="A16" s="68"/>
      <c r="B16" s="68"/>
      <c r="C16" s="68"/>
      <c r="D16" s="68"/>
    </row>
    <row r="17" spans="1:4" ht="17.25" customHeight="1" x14ac:dyDescent="0.15">
      <c r="A17" s="68"/>
      <c r="B17" s="68"/>
      <c r="C17" s="68"/>
      <c r="D17" s="68"/>
    </row>
    <row r="18" spans="1:4" ht="17.25" customHeight="1" x14ac:dyDescent="0.15">
      <c r="A18" s="68"/>
      <c r="B18" s="68"/>
      <c r="C18" s="68"/>
      <c r="D18" s="68"/>
    </row>
    <row r="19" spans="1:4" ht="17.25" customHeight="1" x14ac:dyDescent="0.15">
      <c r="A19" s="68"/>
      <c r="B19" s="68"/>
      <c r="C19" s="68"/>
      <c r="D19" s="68"/>
    </row>
    <row r="20" spans="1:4" ht="17.25" customHeight="1" x14ac:dyDescent="0.15">
      <c r="A20" s="68"/>
      <c r="B20" s="68"/>
      <c r="C20" s="68"/>
      <c r="D20" s="68"/>
    </row>
    <row r="21" spans="1:4" ht="17.25" customHeight="1" x14ac:dyDescent="0.15">
      <c r="A21" s="68"/>
      <c r="B21" s="68"/>
      <c r="C21" s="68"/>
      <c r="D21" s="68"/>
    </row>
    <row r="22" spans="1:4" ht="17.25" customHeight="1" x14ac:dyDescent="0.15">
      <c r="A22" s="68"/>
      <c r="B22" s="68"/>
      <c r="C22" s="68"/>
      <c r="D22" s="68"/>
    </row>
    <row r="23" spans="1:4" ht="17.25" customHeight="1" x14ac:dyDescent="0.15">
      <c r="A23" s="68"/>
      <c r="B23" s="68"/>
      <c r="C23" s="68"/>
      <c r="D23" s="68"/>
    </row>
    <row r="24" spans="1:4" ht="17.25" customHeight="1" x14ac:dyDescent="0.15">
      <c r="A24" s="68"/>
      <c r="B24" s="68"/>
      <c r="C24" s="68"/>
      <c r="D24" s="68"/>
    </row>
    <row r="25" spans="1:4" ht="17.25" customHeight="1" x14ac:dyDescent="0.15">
      <c r="A25" s="68"/>
      <c r="B25" s="68"/>
      <c r="C25" s="68"/>
      <c r="D25" s="68"/>
    </row>
    <row r="26" spans="1:4" ht="17.25" customHeight="1" x14ac:dyDescent="0.15">
      <c r="A26" s="68"/>
      <c r="B26" s="68"/>
      <c r="C26" s="68"/>
      <c r="D26" s="68"/>
    </row>
    <row r="27" spans="1:4" ht="17.25" customHeight="1" x14ac:dyDescent="0.15">
      <c r="A27" s="68"/>
      <c r="B27" s="68"/>
      <c r="C27" s="68"/>
      <c r="D27" s="68"/>
    </row>
    <row r="28" spans="1:4" ht="17.25" customHeight="1" x14ac:dyDescent="0.15">
      <c r="A28" s="68"/>
      <c r="B28" s="68"/>
      <c r="C28" s="68"/>
      <c r="D28" s="68"/>
    </row>
    <row r="29" spans="1:4" ht="17.25" customHeight="1" x14ac:dyDescent="0.15">
      <c r="A29" s="68"/>
      <c r="B29" s="68"/>
      <c r="C29" s="68"/>
      <c r="D29" s="68"/>
    </row>
    <row r="30" spans="1:4" ht="17.25" customHeight="1" x14ac:dyDescent="0.15">
      <c r="A30" s="68"/>
      <c r="B30" s="68"/>
      <c r="C30" s="68"/>
      <c r="D30" s="68"/>
    </row>
    <row r="31" spans="1:4" ht="17.25" customHeight="1" x14ac:dyDescent="0.15">
      <c r="A31" s="68"/>
      <c r="B31" s="68"/>
      <c r="C31" s="68"/>
      <c r="D31" s="68"/>
    </row>
    <row r="32" spans="1:4" ht="17.25" customHeight="1" x14ac:dyDescent="0.15">
      <c r="A32" s="68"/>
      <c r="B32" s="68"/>
      <c r="C32" s="68"/>
      <c r="D32" s="68"/>
    </row>
    <row r="33" spans="1:4" ht="17.25" customHeight="1" x14ac:dyDescent="0.15">
      <c r="A33" s="68"/>
      <c r="B33" s="68"/>
      <c r="C33" s="68"/>
      <c r="D33" s="68"/>
    </row>
    <row r="34" spans="1:4" ht="17.25" customHeight="1" x14ac:dyDescent="0.15">
      <c r="A34" s="68"/>
      <c r="B34" s="68"/>
      <c r="C34" s="68"/>
      <c r="D34" s="68"/>
    </row>
    <row r="35" spans="1:4" ht="17.25" customHeight="1" x14ac:dyDescent="0.15">
      <c r="A35" s="68"/>
      <c r="B35" s="68"/>
      <c r="C35" s="68"/>
      <c r="D35" s="68"/>
    </row>
    <row r="36" spans="1:4" ht="17.25" customHeight="1" x14ac:dyDescent="0.15">
      <c r="A36" s="92"/>
      <c r="B36" s="92"/>
      <c r="C36" s="92"/>
      <c r="D36" s="92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PC</cp:lastModifiedBy>
  <cp:lastPrinted>2023-06-09T02:15:51Z</cp:lastPrinted>
  <dcterms:created xsi:type="dcterms:W3CDTF">2001-06-04T06:04:44Z</dcterms:created>
  <dcterms:modified xsi:type="dcterms:W3CDTF">2023-06-09T02:24:06Z</dcterms:modified>
</cp:coreProperties>
</file>