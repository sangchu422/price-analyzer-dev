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" yWindow="165" windowWidth="15165" windowHeight="8775"/>
  </bookViews>
  <sheets>
    <sheet name="표지" sheetId="11" r:id="rId1"/>
    <sheet name="전기내역서" sheetId="10" r:id="rId2"/>
  </sheets>
  <definedNames>
    <definedName name="_xlnm.Print_Area" localSheetId="0">표지!$A$1:$J$26</definedName>
    <definedName name="_xlnm.Print_Titles" localSheetId="1">전기내역서!$1:$3</definedName>
  </definedNames>
  <calcPr calcId="144525"/>
</workbook>
</file>

<file path=xl/calcChain.xml><?xml version="1.0" encoding="utf-8"?>
<calcChain xmlns="http://schemas.openxmlformats.org/spreadsheetml/2006/main">
  <c r="L41" i="10" l="1"/>
  <c r="I41" i="10"/>
  <c r="L16" i="10"/>
  <c r="I16" i="10"/>
  <c r="P16" i="10" s="1"/>
  <c r="P41" i="10" l="1"/>
  <c r="L21" i="10"/>
  <c r="I21" i="10"/>
  <c r="P21" i="10" l="1"/>
  <c r="L38" i="10"/>
  <c r="L39" i="10"/>
  <c r="L40" i="10"/>
  <c r="L42" i="10"/>
  <c r="L43" i="10"/>
  <c r="L44" i="10"/>
  <c r="L45" i="10"/>
  <c r="L46" i="10"/>
  <c r="L47" i="10"/>
  <c r="L48" i="10"/>
  <c r="L49" i="10"/>
  <c r="I38" i="10"/>
  <c r="I39" i="10"/>
  <c r="I40" i="10"/>
  <c r="I42" i="10"/>
  <c r="I43" i="10"/>
  <c r="I44" i="10"/>
  <c r="I45" i="10"/>
  <c r="I46" i="10"/>
  <c r="I47" i="10"/>
  <c r="I48" i="10"/>
  <c r="I49" i="10"/>
  <c r="L31" i="10"/>
  <c r="P31" i="10" s="1"/>
  <c r="L37" i="10"/>
  <c r="I37" i="10"/>
  <c r="L36" i="10"/>
  <c r="I36" i="10"/>
  <c r="L35" i="10"/>
  <c r="P35" i="10" s="1"/>
  <c r="I35" i="10"/>
  <c r="L34" i="10"/>
  <c r="I34" i="10"/>
  <c r="L33" i="10"/>
  <c r="P33" i="10" s="1"/>
  <c r="I33" i="10"/>
  <c r="L32" i="10"/>
  <c r="P32" i="10" s="1"/>
  <c r="I32" i="10"/>
  <c r="L30" i="10"/>
  <c r="I30" i="10"/>
  <c r="L29" i="10"/>
  <c r="P29" i="10" s="1"/>
  <c r="L28" i="10"/>
  <c r="P28" i="10" s="1"/>
  <c r="L27" i="10"/>
  <c r="P27" i="10" s="1"/>
  <c r="I27" i="10"/>
  <c r="P37" i="10" l="1"/>
  <c r="P44" i="10"/>
  <c r="P42" i="10"/>
  <c r="P39" i="10"/>
  <c r="P46" i="10"/>
  <c r="P30" i="10"/>
  <c r="P34" i="10"/>
  <c r="P36" i="10"/>
  <c r="P45" i="10"/>
  <c r="P43" i="10"/>
  <c r="P40" i="10"/>
  <c r="P38" i="10"/>
  <c r="L26" i="10" l="1"/>
  <c r="I26" i="10"/>
  <c r="L25" i="10"/>
  <c r="P25" i="10" s="1"/>
  <c r="L24" i="10"/>
  <c r="P24" i="10" s="1"/>
  <c r="L23" i="10"/>
  <c r="I23" i="10"/>
  <c r="P23" i="10" l="1"/>
  <c r="P26" i="10"/>
  <c r="L18" i="10"/>
  <c r="I18" i="10" l="1"/>
  <c r="P18" i="10" s="1"/>
  <c r="L7" i="10" l="1"/>
  <c r="L8" i="10"/>
  <c r="L9" i="10"/>
  <c r="L10" i="10"/>
  <c r="L11" i="10"/>
  <c r="L12" i="10"/>
  <c r="L13" i="10"/>
  <c r="L14" i="10"/>
  <c r="L15" i="10"/>
  <c r="L17" i="10"/>
  <c r="L19" i="10"/>
  <c r="L20" i="10"/>
  <c r="L22" i="10"/>
  <c r="I7" i="10"/>
  <c r="I8" i="10"/>
  <c r="I9" i="10"/>
  <c r="I10" i="10"/>
  <c r="I11" i="10"/>
  <c r="I12" i="10"/>
  <c r="I13" i="10"/>
  <c r="I14" i="10"/>
  <c r="I15" i="10"/>
  <c r="I17" i="10"/>
  <c r="I19" i="10"/>
  <c r="I20" i="10"/>
  <c r="I22" i="10"/>
  <c r="I50" i="10"/>
  <c r="P11" i="10" l="1"/>
  <c r="P15" i="10"/>
  <c r="P22" i="10"/>
  <c r="P48" i="10"/>
  <c r="P7" i="10"/>
  <c r="P19" i="10"/>
  <c r="P13" i="10"/>
  <c r="P9" i="10"/>
  <c r="P49" i="10"/>
  <c r="P47" i="10"/>
  <c r="P20" i="10"/>
  <c r="P17" i="10"/>
  <c r="P14" i="10"/>
  <c r="P12" i="10"/>
  <c r="P10" i="10"/>
  <c r="P8" i="10"/>
  <c r="I6" i="10"/>
  <c r="L6" i="10" l="1"/>
  <c r="P6" i="10" s="1"/>
  <c r="L50" i="10"/>
  <c r="P50" i="10" s="1"/>
  <c r="L51" i="10"/>
  <c r="L5" i="10" l="1"/>
  <c r="I5" i="10"/>
  <c r="P5" i="10" l="1"/>
  <c r="L52" i="10" l="1"/>
  <c r="H51" i="10" l="1"/>
  <c r="E12" i="11"/>
  <c r="E15" i="11" l="1"/>
  <c r="E17" i="11"/>
  <c r="E16" i="11"/>
  <c r="I51" i="10"/>
  <c r="P51" i="10" s="1"/>
  <c r="M24" i="11"/>
  <c r="M10" i="11"/>
  <c r="I52" i="10" l="1"/>
  <c r="E11" i="11" s="1"/>
  <c r="P52" i="10"/>
  <c r="M15" i="11"/>
  <c r="AE3" i="10"/>
  <c r="AD3" i="10"/>
  <c r="E14" i="11" l="1"/>
  <c r="M14" i="11" s="1"/>
  <c r="M17" i="11"/>
  <c r="M12" i="11"/>
  <c r="M11" i="11" l="1"/>
  <c r="E19" i="11"/>
  <c r="M19" i="11" s="1"/>
  <c r="M16" i="11"/>
  <c r="E13" i="11"/>
  <c r="E21" i="11" s="1"/>
  <c r="E18" i="11" l="1"/>
  <c r="E22" i="11"/>
  <c r="M13" i="11"/>
  <c r="M18" i="11" l="1"/>
  <c r="M25" i="11" s="1"/>
  <c r="E20" i="11"/>
  <c r="E25" i="11" s="1"/>
  <c r="B8" i="11" s="1"/>
</calcChain>
</file>

<file path=xl/sharedStrings.xml><?xml version="1.0" encoding="utf-8"?>
<sst xmlns="http://schemas.openxmlformats.org/spreadsheetml/2006/main" count="223" uniqueCount="162">
  <si>
    <t>107</t>
  </si>
  <si>
    <t>식</t>
    <phoneticPr fontId="2" type="noConversion"/>
  </si>
  <si>
    <t>노임 계산 정보</t>
    <phoneticPr fontId="2" type="noConversion"/>
  </si>
  <si>
    <t>부속재 및 손료</t>
    <phoneticPr fontId="2" type="noConversion"/>
  </si>
  <si>
    <t>번호</t>
    <phoneticPr fontId="2" type="noConversion"/>
  </si>
  <si>
    <t>공종코드</t>
    <phoneticPr fontId="2" type="noConversion"/>
  </si>
  <si>
    <t>코드</t>
    <phoneticPr fontId="2" type="noConversion"/>
  </si>
  <si>
    <t>명   칭</t>
    <phoneticPr fontId="2" type="noConversion"/>
  </si>
  <si>
    <t>규   격</t>
    <phoneticPr fontId="2" type="noConversion"/>
  </si>
  <si>
    <t>단위</t>
    <phoneticPr fontId="2" type="noConversion"/>
  </si>
  <si>
    <t>수량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</si>
  <si>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</si>
  <si>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</si>
  <si>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</si>
  <si>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계</t>
    <phoneticPr fontId="2" type="noConversion"/>
  </si>
  <si>
    <t>비고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</si>
  <si>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</si>
  <si>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</si>
  <si>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</si>
  <si>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</si>
  <si>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CD배관재</t>
    <phoneticPr fontId="2" type="noConversion"/>
  </si>
  <si>
    <t>일반배관재</t>
    <phoneticPr fontId="2" type="noConversion"/>
  </si>
  <si>
    <t>소모재</t>
    <phoneticPr fontId="2" type="noConversion"/>
  </si>
  <si>
    <t>자재계</t>
    <phoneticPr fontId="2" type="noConversion"/>
  </si>
  <si>
    <t>단가</t>
    <phoneticPr fontId="2" type="noConversion"/>
  </si>
  <si>
    <t>금액</t>
    <phoneticPr fontId="2" type="noConversion"/>
  </si>
  <si>
    <t>소       계</t>
    <phoneticPr fontId="2" type="noConversion"/>
  </si>
  <si>
    <t xml:space="preserve">공구손료 </t>
    <phoneticPr fontId="2" type="noConversion"/>
  </si>
  <si>
    <t>노무비의3%</t>
    <phoneticPr fontId="2" type="noConversion"/>
  </si>
  <si>
    <t>소모품 및 잡자재</t>
    <phoneticPr fontId="2" type="noConversion"/>
  </si>
  <si>
    <t>인</t>
    <phoneticPr fontId="2" type="noConversion"/>
  </si>
  <si>
    <t>견  적  서</t>
    <phoneticPr fontId="2" type="noConversion"/>
  </si>
  <si>
    <t>제 출 처:</t>
    <phoneticPr fontId="2" type="noConversion"/>
  </si>
  <si>
    <t>현대위아㈜</t>
    <phoneticPr fontId="2" type="noConversion"/>
  </si>
  <si>
    <t>창원시 의창구  동읍  주남로184번길 11</t>
    <phoneticPr fontId="2" type="noConversion"/>
  </si>
  <si>
    <t>제 출 일:</t>
    <phoneticPr fontId="2" type="noConversion"/>
  </si>
  <si>
    <t xml:space="preserve">상호 : ㈜ 케이투엔일렉트릭  </t>
    <phoneticPr fontId="2" type="noConversion"/>
  </si>
  <si>
    <t>아래와 같이 견적서를 제출합니다.</t>
    <phoneticPr fontId="2" type="noConversion"/>
  </si>
  <si>
    <t xml:space="preserve">대표이사 :  김 동 기          </t>
    <phoneticPr fontId="2" type="noConversion"/>
  </si>
  <si>
    <t>공 사 명:</t>
    <phoneticPr fontId="2" type="noConversion"/>
  </si>
  <si>
    <t>T)055-298-1758  F)0303-3444-1758</t>
    <phoneticPr fontId="2" type="noConversion"/>
  </si>
  <si>
    <t>공사금액:</t>
    <phoneticPr fontId="2" type="noConversion"/>
  </si>
  <si>
    <t>내  용</t>
    <phoneticPr fontId="2" type="noConversion"/>
  </si>
  <si>
    <t>단위</t>
    <phoneticPr fontId="2" type="noConversion"/>
  </si>
  <si>
    <t>수량</t>
    <phoneticPr fontId="2" type="noConversion"/>
  </si>
  <si>
    <t>금    액</t>
    <phoneticPr fontId="2" type="noConversion"/>
  </si>
  <si>
    <t>비       고</t>
    <phoneticPr fontId="2" type="noConversion"/>
  </si>
  <si>
    <t>요율</t>
    <phoneticPr fontId="2" type="noConversion"/>
  </si>
  <si>
    <t>금액</t>
    <phoneticPr fontId="2" type="noConversion"/>
  </si>
  <si>
    <t>이윤</t>
    <phoneticPr fontId="2" type="noConversion"/>
  </si>
  <si>
    <t>끝자리맞추기</t>
    <phoneticPr fontId="2" type="noConversion"/>
  </si>
  <si>
    <t>1.전기공사비</t>
    <phoneticPr fontId="2" type="noConversion"/>
  </si>
  <si>
    <t xml:space="preserve"> </t>
    <phoneticPr fontId="2" type="noConversion"/>
  </si>
  <si>
    <t>가.재료비</t>
    <phoneticPr fontId="2" type="noConversion"/>
  </si>
  <si>
    <t>식</t>
    <phoneticPr fontId="2" type="noConversion"/>
  </si>
  <si>
    <t>나.노무비</t>
    <phoneticPr fontId="2" type="noConversion"/>
  </si>
  <si>
    <t>소     계(1)</t>
    <phoneticPr fontId="2" type="noConversion"/>
  </si>
  <si>
    <t>%</t>
    <phoneticPr fontId="2" type="noConversion"/>
  </si>
  <si>
    <t>3.고용보험료</t>
    <phoneticPr fontId="2" type="noConversion"/>
  </si>
  <si>
    <t>4.건강보험료</t>
    <phoneticPr fontId="2" type="noConversion"/>
  </si>
  <si>
    <t>5.국민연금</t>
    <phoneticPr fontId="2" type="noConversion"/>
  </si>
  <si>
    <t>6.산업안전관리비</t>
    <phoneticPr fontId="2" type="noConversion"/>
  </si>
  <si>
    <t>단수정리</t>
    <phoneticPr fontId="2" type="noConversion"/>
  </si>
  <si>
    <t>식</t>
    <phoneticPr fontId="2" type="noConversion"/>
  </si>
  <si>
    <t>합    계</t>
    <phoneticPr fontId="2" type="noConversion"/>
  </si>
  <si>
    <t>2.산재보험료</t>
    <phoneticPr fontId="2" type="noConversion"/>
  </si>
  <si>
    <t>M</t>
    <phoneticPr fontId="2" type="noConversion"/>
  </si>
  <si>
    <t>*부가세별도</t>
    <phoneticPr fontId="2" type="noConversion"/>
  </si>
  <si>
    <t>7.노인장기요양</t>
    <phoneticPr fontId="2" type="noConversion"/>
  </si>
  <si>
    <t>%</t>
    <phoneticPr fontId="2" type="noConversion"/>
  </si>
  <si>
    <t>소     계(2-7)</t>
    <phoneticPr fontId="2" type="noConversion"/>
  </si>
  <si>
    <t>8.기타경비(재료+노무비)</t>
    <phoneticPr fontId="2" type="noConversion"/>
  </si>
  <si>
    <t>소     계(8)</t>
    <phoneticPr fontId="2" type="noConversion"/>
  </si>
  <si>
    <t>M</t>
  </si>
  <si>
    <t>케이블트레이부속</t>
    <phoneticPr fontId="2" type="noConversion"/>
  </si>
  <si>
    <t>M</t>
    <phoneticPr fontId="2" type="noConversion"/>
  </si>
  <si>
    <t>케이블트레이부속</t>
    <phoneticPr fontId="2" type="noConversion"/>
  </si>
  <si>
    <t>EA</t>
    <phoneticPr fontId="2" type="noConversion"/>
  </si>
  <si>
    <t>SHANK BOLT &amp; NUT, 아연도</t>
  </si>
  <si>
    <t>BONDING JUMPER, 22㎟</t>
    <phoneticPr fontId="2" type="noConversion"/>
  </si>
  <si>
    <t>장비대</t>
    <phoneticPr fontId="2" type="noConversion"/>
  </si>
  <si>
    <t>케이블트레이</t>
    <phoneticPr fontId="2" type="noConversion"/>
  </si>
  <si>
    <t>JOINT CONNEC.아연도100H</t>
    <phoneticPr fontId="2" type="noConversion"/>
  </si>
  <si>
    <t>폴리에틸렌 난연케이블</t>
    <phoneticPr fontId="2" type="noConversion"/>
  </si>
  <si>
    <t>M</t>
    <phoneticPr fontId="2" type="noConversion"/>
  </si>
  <si>
    <t>접지용비닐절연전선(F-GV)</t>
    <phoneticPr fontId="2" type="noConversion"/>
  </si>
  <si>
    <t>0.6/1kv F-CV 1C×240SQ</t>
    <phoneticPr fontId="2" type="noConversion"/>
  </si>
  <si>
    <t>STRAIGHT,St W200X100H</t>
    <phoneticPr fontId="2" type="noConversion"/>
  </si>
  <si>
    <t>COVER, W 200</t>
    <phoneticPr fontId="2" type="noConversion"/>
  </si>
  <si>
    <t>케이블트레이지지대</t>
    <phoneticPr fontId="2" type="noConversion"/>
  </si>
  <si>
    <t>EA</t>
  </si>
  <si>
    <t>EA</t>
    <phoneticPr fontId="2" type="noConversion"/>
  </si>
  <si>
    <t>W200</t>
    <phoneticPr fontId="2" type="noConversion"/>
  </si>
  <si>
    <t>케이블트레이부속품</t>
  </si>
  <si>
    <t>V ELBOW W200*100H</t>
    <phoneticPr fontId="2" type="noConversion"/>
  </si>
  <si>
    <t>기존도장라인전원철거</t>
    <phoneticPr fontId="2" type="noConversion"/>
  </si>
  <si>
    <t>전선 트레이</t>
    <phoneticPr fontId="2" type="noConversion"/>
  </si>
  <si>
    <t>개소</t>
    <phoneticPr fontId="2" type="noConversion"/>
  </si>
  <si>
    <t>부속분전함전원철거</t>
    <phoneticPr fontId="2" type="noConversion"/>
  </si>
  <si>
    <t>동관터미널</t>
    <phoneticPr fontId="2" type="noConversion"/>
  </si>
  <si>
    <t>2홀240SQ</t>
    <phoneticPr fontId="2" type="noConversion"/>
  </si>
  <si>
    <t>EA</t>
    <phoneticPr fontId="2" type="noConversion"/>
  </si>
  <si>
    <t>장비대</t>
    <phoneticPr fontId="2" type="noConversion"/>
  </si>
  <si>
    <t>리프트</t>
    <phoneticPr fontId="2" type="noConversion"/>
  </si>
  <si>
    <t>식</t>
    <phoneticPr fontId="2" type="noConversion"/>
  </si>
  <si>
    <t>1.전기공사</t>
    <phoneticPr fontId="2" type="noConversion"/>
  </si>
  <si>
    <t>굴절카</t>
    <phoneticPr fontId="2" type="noConversion"/>
  </si>
  <si>
    <t>식</t>
    <phoneticPr fontId="2" type="noConversion"/>
  </si>
  <si>
    <t>신호수 안전관리자</t>
    <phoneticPr fontId="2" type="noConversion"/>
  </si>
  <si>
    <t>창원3공장 등속B동 도장라인 가공설비 전기공사</t>
    <phoneticPr fontId="2" type="noConversion"/>
  </si>
  <si>
    <t>F-GV 120SQ</t>
    <phoneticPr fontId="2" type="noConversion"/>
  </si>
  <si>
    <t>1홀120SQ</t>
    <phoneticPr fontId="2" type="noConversion"/>
  </si>
  <si>
    <t>STRAIGHT,St W900X100H</t>
    <phoneticPr fontId="2" type="noConversion"/>
  </si>
  <si>
    <t>COVER, W 900</t>
    <phoneticPr fontId="2" type="noConversion"/>
  </si>
  <si>
    <t>V ELBOW W900*100H</t>
    <phoneticPr fontId="2" type="noConversion"/>
  </si>
  <si>
    <t>W900</t>
    <phoneticPr fontId="2" type="noConversion"/>
  </si>
  <si>
    <t>0.6/1kv F-CV 4C×25SQ</t>
    <phoneticPr fontId="2" type="noConversion"/>
  </si>
  <si>
    <t>강제전선관(철거)</t>
    <phoneticPr fontId="2" type="noConversion"/>
  </si>
  <si>
    <t>아연도 22MM</t>
    <phoneticPr fontId="2" type="noConversion"/>
  </si>
  <si>
    <t>M</t>
    <phoneticPr fontId="2" type="noConversion"/>
  </si>
  <si>
    <t>25A</t>
    <phoneticPr fontId="2" type="noConversion"/>
  </si>
  <si>
    <t>탭박스(철거)</t>
    <phoneticPr fontId="2" type="noConversion"/>
  </si>
  <si>
    <t>3P50A</t>
    <phoneticPr fontId="2" type="noConversion"/>
  </si>
  <si>
    <t>EA</t>
    <phoneticPr fontId="2" type="noConversion"/>
  </si>
  <si>
    <t>폴리에틸렌난연케이블(철거)</t>
    <phoneticPr fontId="2" type="noConversion"/>
  </si>
  <si>
    <t>0.6/1kv F-CV 4C×6SQ</t>
    <phoneticPr fontId="2" type="noConversion"/>
  </si>
  <si>
    <t>강제전선관(외경연삭기철거)</t>
    <phoneticPr fontId="2" type="noConversion"/>
  </si>
  <si>
    <t>에어배관(외경연삭기철거)</t>
    <phoneticPr fontId="2" type="noConversion"/>
  </si>
  <si>
    <t>탭박스(외경연삭기철거)</t>
    <phoneticPr fontId="2" type="noConversion"/>
  </si>
  <si>
    <t>아연도 36MM</t>
    <phoneticPr fontId="2" type="noConversion"/>
  </si>
  <si>
    <t>3P100A</t>
    <phoneticPr fontId="2" type="noConversion"/>
  </si>
  <si>
    <t>0.6/1kv F-CV 4C×25SQ</t>
    <phoneticPr fontId="2" type="noConversion"/>
  </si>
  <si>
    <t>케이블트레이</t>
    <phoneticPr fontId="2" type="noConversion"/>
  </si>
  <si>
    <t>케이블트레이부속</t>
    <phoneticPr fontId="2" type="noConversion"/>
  </si>
  <si>
    <t>JOINT CONNEC.아연도100H</t>
    <phoneticPr fontId="2" type="noConversion"/>
  </si>
  <si>
    <t>BONDING JUMPER, 22㎟</t>
    <phoneticPr fontId="2" type="noConversion"/>
  </si>
  <si>
    <t>케이블트레이지지대</t>
    <phoneticPr fontId="2" type="noConversion"/>
  </si>
  <si>
    <t xml:space="preserve">강제전선관 </t>
    <phoneticPr fontId="2" type="noConversion"/>
  </si>
  <si>
    <t>폴리에틸렌난연케이블</t>
    <phoneticPr fontId="2" type="noConversion"/>
  </si>
  <si>
    <t xml:space="preserve">탭박스 </t>
    <phoneticPr fontId="2" type="noConversion"/>
  </si>
  <si>
    <t>압착터미널</t>
    <phoneticPr fontId="2" type="noConversion"/>
  </si>
  <si>
    <t>식</t>
    <phoneticPr fontId="2" type="noConversion"/>
  </si>
  <si>
    <t>아연도 28MM</t>
    <phoneticPr fontId="2" type="noConversion"/>
  </si>
  <si>
    <t>EA</t>
    <phoneticPr fontId="2" type="noConversion"/>
  </si>
  <si>
    <t>3P 50-100A</t>
    <phoneticPr fontId="2" type="noConversion"/>
  </si>
  <si>
    <t>강제전선관(철거)</t>
    <phoneticPr fontId="2" type="noConversion"/>
  </si>
  <si>
    <t>0.6/1kv F-CV 4C×10SQ</t>
    <phoneticPr fontId="2" type="noConversion"/>
  </si>
  <si>
    <t>STRAIGHT,St W400X100H</t>
    <phoneticPr fontId="2" type="noConversion"/>
  </si>
  <si>
    <t>아연도 28MM</t>
    <phoneticPr fontId="2" type="noConversion"/>
  </si>
  <si>
    <t>3P50A</t>
    <phoneticPr fontId="2" type="noConversion"/>
  </si>
  <si>
    <t>25SQ외</t>
    <phoneticPr fontId="2" type="noConversion"/>
  </si>
  <si>
    <t>W400</t>
    <phoneticPr fontId="2" type="noConversion"/>
  </si>
  <si>
    <t>기존도장라인전원재사용</t>
    <phoneticPr fontId="2" type="noConversion"/>
  </si>
  <si>
    <t>240SQ</t>
    <phoneticPr fontId="2" type="noConversion"/>
  </si>
  <si>
    <t>식</t>
    <phoneticPr fontId="2" type="noConversion"/>
  </si>
  <si>
    <t>차단기</t>
    <phoneticPr fontId="2" type="noConversion"/>
  </si>
  <si>
    <t>ELB 3P50A</t>
    <phoneticPr fontId="2" type="noConversion"/>
  </si>
  <si>
    <t>EA</t>
    <phoneticPr fontId="2" type="noConversion"/>
  </si>
  <si>
    <t>강제전선관</t>
    <phoneticPr fontId="2" type="noConversion"/>
  </si>
  <si>
    <t>아연도22MM</t>
    <phoneticPr fontId="2" type="noConversion"/>
  </si>
  <si>
    <t>M</t>
    <phoneticPr fontId="2" type="noConversion"/>
  </si>
  <si>
    <t>2022년 04월 27일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</si>
</sst>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#;\-#,###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u/>
      <sz val="28"/>
      <name val="굴림체"/>
      <family val="3"/>
      <charset val="129"/>
    </font>
    <font>
      <u/>
      <sz val="11"/>
      <name val="굴림체"/>
      <family val="3"/>
      <charset val="129"/>
    </font>
    <font>
      <b/>
      <sz val="11"/>
      <name val="굴림체"/>
      <family val="3"/>
      <charset val="129"/>
    </font>
    <font>
      <sz val="9"/>
      <name val="굴림체"/>
      <family val="3"/>
      <charset val="129"/>
    </font>
    <font>
      <sz val="1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3" fillId="0" borderId="0" xfId="0" applyFont="1"/>
    <xf numFmtId="49" fontId="3" fillId="0" borderId="0" xfId="0" applyNumberFormat="1" applyFont="1"/>
    <xf numFmtId="176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/>
    <xf numFmtId="0" fontId="3" fillId="0" borderId="1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41" fontId="3" fillId="0" borderId="0" xfId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distributed" shrinkToFit="1"/>
    </xf>
    <xf numFmtId="49" fontId="5" fillId="0" borderId="0" xfId="0" applyNumberFormat="1" applyFont="1" applyAlignment="1">
      <alignment horizontal="distributed" shrinkToFit="1"/>
    </xf>
    <xf numFmtId="49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right"/>
    </xf>
    <xf numFmtId="176" fontId="3" fillId="0" borderId="1" xfId="0" applyNumberFormat="1" applyFont="1" applyBorder="1" applyAlignment="1"/>
    <xf numFmtId="176" fontId="3" fillId="0" borderId="1" xfId="1" applyNumberFormat="1" applyFont="1" applyBorder="1" applyAlignment="1"/>
    <xf numFmtId="41" fontId="3" fillId="0" borderId="1" xfId="1" applyFont="1" applyBorder="1" applyAlignment="1"/>
    <xf numFmtId="49" fontId="3" fillId="0" borderId="1" xfId="0" applyNumberFormat="1" applyFont="1" applyBorder="1" applyAlignment="1"/>
    <xf numFmtId="49" fontId="3" fillId="0" borderId="1" xfId="0" applyNumberFormat="1" applyFont="1" applyBorder="1" applyAlignment="1">
      <alignment horizontal="left"/>
    </xf>
    <xf numFmtId="41" fontId="3" fillId="0" borderId="1" xfId="1" applyFont="1" applyBorder="1" applyAlignment="1">
      <alignment horizontal="center"/>
    </xf>
    <xf numFmtId="49" fontId="10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Fill="1" applyBorder="1"/>
    <xf numFmtId="41" fontId="3" fillId="0" borderId="1" xfId="1" applyFont="1" applyBorder="1" applyAlignment="1">
      <alignment horizontal="right"/>
    </xf>
    <xf numFmtId="0" fontId="12" fillId="0" borderId="1" xfId="0" applyNumberFormat="1" applyFont="1" applyFill="1" applyBorder="1"/>
    <xf numFmtId="176" fontId="12" fillId="0" borderId="1" xfId="0" applyNumberFormat="1" applyFont="1" applyFill="1" applyBorder="1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 indent="2"/>
    </xf>
    <xf numFmtId="0" fontId="5" fillId="0" borderId="3" xfId="0" applyNumberFormat="1" applyFont="1" applyBorder="1" applyAlignment="1">
      <alignment horizontal="left" vertical="center" indent="2"/>
    </xf>
    <xf numFmtId="176" fontId="5" fillId="0" borderId="15" xfId="0" applyNumberFormat="1" applyFont="1" applyBorder="1" applyAlignment="1">
      <alignment vertical="center"/>
    </xf>
    <xf numFmtId="176" fontId="5" fillId="0" borderId="16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176" fontId="5" fillId="0" borderId="10" xfId="0" applyNumberFormat="1" applyFont="1" applyBorder="1" applyAlignment="1">
      <alignment vertical="center"/>
    </xf>
    <xf numFmtId="176" fontId="5" fillId="0" borderId="11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176" fontId="5" fillId="0" borderId="5" xfId="0" applyNumberFormat="1" applyFont="1" applyBorder="1" applyAlignment="1">
      <alignment vertical="center"/>
    </xf>
    <xf numFmtId="176" fontId="5" fillId="0" borderId="6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 indent="2"/>
    </xf>
    <xf numFmtId="49" fontId="5" fillId="0" borderId="11" xfId="0" applyNumberFormat="1" applyFont="1" applyBorder="1" applyAlignment="1">
      <alignment horizontal="left" vertical="center" indent="2"/>
    </xf>
    <xf numFmtId="49" fontId="5" fillId="0" borderId="7" xfId="0" applyNumberFormat="1" applyFont="1" applyBorder="1" applyAlignment="1">
      <alignment horizontal="left" vertical="center" indent="2"/>
    </xf>
    <xf numFmtId="49" fontId="5" fillId="0" borderId="1" xfId="0" applyNumberFormat="1" applyFont="1" applyBorder="1" applyAlignment="1">
      <alignment horizontal="left" vertical="center" indent="2"/>
    </xf>
    <xf numFmtId="49" fontId="3" fillId="0" borderId="19" xfId="0" applyNumberFormat="1" applyFont="1" applyBorder="1" applyAlignment="1">
      <alignment horizontal="left" vertical="center" indent="1"/>
    </xf>
    <xf numFmtId="49" fontId="3" fillId="0" borderId="8" xfId="0" applyNumberFormat="1" applyFont="1" applyBorder="1" applyAlignment="1">
      <alignment horizontal="left" vertical="center" indent="1"/>
    </xf>
    <xf numFmtId="49" fontId="3" fillId="0" borderId="9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4" fillId="0" borderId="0" xfId="3" applyNumberFormat="1" applyFont="1" applyBorder="1" applyAlignment="1">
      <alignment horizontal="left" indent="1"/>
    </xf>
    <xf numFmtId="0" fontId="4" fillId="0" borderId="0" xfId="3" applyFont="1" applyBorder="1" applyAlignment="1"/>
    <xf numFmtId="4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4">
    <cellStyle name="쉼표 [0]" xfId="1" builtinId="6"/>
    <cellStyle name="쉼표 [0] 2" xfId="2"/>
    <cellStyle name="표준" xfId="0" builtinId="0"/>
    <cellStyle name="표준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1095375</xdr:colOff>
      <xdr:row>3</xdr:row>
      <xdr:rowOff>57150</xdr:rowOff>
    </xdr:from>
    <xdr:to>
      <xdr:col>7</xdr:col>
      <xdr:colOff>1819275</xdr:colOff>
      <xdr:row>6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24825" y="819150"/>
          <a:ext cx="72390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workbookViewId="0">
      <selection activeCell="G21" sqref="G21:I21"/>
    </sheetView>
  </sheetViews>
  <sheetFormatPr defaultRowHeight="13.5" x14ac:dyDescent="0.15"/>
  <cols>
    <col min="1" max="1" width="8.5546875" style="19" customWidth="1"/>
    <col min="2" max="2" width="16.6640625" style="19" customWidth="1"/>
    <col min="3" max="4" width="4.33203125" style="19" customWidth="1"/>
    <col min="5" max="5" width="6.6640625" style="19" customWidth="1"/>
    <col min="6" max="6" width="15.77734375" style="19" customWidth="1"/>
    <col min="7" max="7" width="25.6640625" style="19" customWidth="1"/>
    <col min="8" max="8" width="27.6640625" style="19" customWidth="1"/>
    <col min="9" max="9" width="1.44140625" style="19" customWidth="1"/>
    <col min="10" max="10" width="3.33203125" style="19" hidden="1" customWidth="1"/>
    <col min="11" max="11" width="8.88671875" style="19"/>
    <col min="12" max="12" width="0" style="19" hidden="1" customWidth="1"/>
    <col min="13" max="13" width="13.77734375" style="19" hidden="1" customWidth="1"/>
    <col min="14" max="14" width="14.6640625" style="19" hidden="1" customWidth="1"/>
    <col min="15" max="15" width="14.33203125" style="19" hidden="1" customWidth="1"/>
    <col min="16" max="16384" width="8.88671875" style="19"/>
  </cols>
  <sheetData>
    <row r="1" spans="1:15" ht="35.25" x14ac:dyDescent="0.15">
      <c r="A1" s="58" t="s">
        <v>31</v>
      </c>
      <c r="B1" s="58"/>
      <c r="C1" s="58"/>
      <c r="D1" s="58"/>
      <c r="E1" s="58"/>
      <c r="F1" s="58"/>
      <c r="G1" s="58"/>
      <c r="H1" s="58"/>
      <c r="I1" s="58"/>
      <c r="J1" s="27"/>
      <c r="L1" s="39"/>
      <c r="M1" s="39"/>
    </row>
    <row r="2" spans="1:15" ht="6.75" customHeight="1" x14ac:dyDescent="0.15">
      <c r="A2" s="12"/>
      <c r="B2" s="12"/>
      <c r="C2" s="12"/>
      <c r="D2" s="12"/>
      <c r="E2" s="12"/>
      <c r="F2" s="12"/>
      <c r="G2" s="13"/>
      <c r="H2" s="14"/>
      <c r="I2" s="14"/>
      <c r="J2" s="15"/>
    </row>
    <row r="3" spans="1:15" ht="18" customHeight="1" x14ac:dyDescent="0.15">
      <c r="A3" s="20" t="s">
        <v>32</v>
      </c>
      <c r="B3" s="59" t="s">
        <v>33</v>
      </c>
      <c r="C3" s="59"/>
      <c r="D3" s="59"/>
      <c r="E3" s="59"/>
      <c r="F3" s="59"/>
      <c r="G3" s="60" t="s">
        <v>34</v>
      </c>
      <c r="H3" s="60"/>
      <c r="I3" s="21"/>
      <c r="J3" s="21"/>
    </row>
    <row r="4" spans="1:15" ht="18" customHeight="1" x14ac:dyDescent="0.15">
      <c r="A4" s="38" t="s">
        <v>35</v>
      </c>
      <c r="B4" s="61" t="s">
        <v>161</v>
      </c>
      <c r="C4" s="61"/>
      <c r="D4" s="61"/>
      <c r="E4" s="61"/>
      <c r="F4" s="61"/>
      <c r="G4" s="62" t="s">
        <v>36</v>
      </c>
      <c r="H4" s="62"/>
      <c r="I4" s="22"/>
      <c r="J4" s="22"/>
    </row>
    <row r="5" spans="1:15" ht="18" customHeight="1" x14ac:dyDescent="0.15">
      <c r="A5" s="59" t="s">
        <v>37</v>
      </c>
      <c r="B5" s="59"/>
      <c r="C5" s="59"/>
      <c r="D5" s="59"/>
      <c r="E5" s="59"/>
      <c r="F5" s="59"/>
      <c r="G5" s="62"/>
      <c r="H5" s="62"/>
      <c r="I5" s="21"/>
      <c r="J5" s="21"/>
    </row>
    <row r="6" spans="1:15" ht="19.5" customHeight="1" x14ac:dyDescent="0.15">
      <c r="A6" s="59"/>
      <c r="B6" s="59"/>
      <c r="C6" s="59"/>
      <c r="D6" s="59"/>
      <c r="E6" s="59"/>
      <c r="F6" s="59"/>
      <c r="G6" s="60" t="s">
        <v>38</v>
      </c>
      <c r="H6" s="60"/>
      <c r="I6" s="21"/>
      <c r="J6" s="21"/>
    </row>
    <row r="7" spans="1:15" ht="18" customHeight="1" x14ac:dyDescent="0.15">
      <c r="A7" s="38" t="s">
        <v>39</v>
      </c>
      <c r="B7" s="59" t="s">
        <v>109</v>
      </c>
      <c r="C7" s="59"/>
      <c r="D7" s="59"/>
      <c r="E7" s="59"/>
      <c r="F7" s="59"/>
      <c r="G7" s="62" t="s">
        <v>40</v>
      </c>
      <c r="H7" s="62"/>
      <c r="I7" s="21"/>
      <c r="J7" s="21"/>
    </row>
    <row r="8" spans="1:15" ht="24.75" customHeight="1" thickBot="1" x14ac:dyDescent="0.2">
      <c r="A8" s="24" t="s">
        <v>41</v>
      </c>
      <c r="B8" s="63" t="str">
        <f>"一金"&amp;NUMBERSTRING(E25,2)&amp;"원整("&amp;DOLLAR(E25,0)&amp;")"</f>
        <v>一金壹億貳阡貳百四拾萬원整(₩122,400,000)</v>
      </c>
      <c r="C8" s="63"/>
      <c r="D8" s="63"/>
      <c r="E8" s="63"/>
      <c r="F8" s="63"/>
      <c r="G8" s="63"/>
      <c r="H8" s="63"/>
      <c r="I8" s="25"/>
      <c r="J8" s="23"/>
    </row>
    <row r="9" spans="1:15" ht="20.100000000000001" customHeight="1" thickBot="1" x14ac:dyDescent="0.2">
      <c r="A9" s="64" t="s">
        <v>42</v>
      </c>
      <c r="B9" s="65"/>
      <c r="C9" s="37" t="s">
        <v>43</v>
      </c>
      <c r="D9" s="37" t="s">
        <v>44</v>
      </c>
      <c r="E9" s="65" t="s">
        <v>45</v>
      </c>
      <c r="F9" s="65"/>
      <c r="G9" s="65" t="s">
        <v>46</v>
      </c>
      <c r="H9" s="65"/>
      <c r="I9" s="66"/>
      <c r="J9" s="12"/>
      <c r="L9" s="40" t="s">
        <v>47</v>
      </c>
      <c r="M9" s="40" t="s">
        <v>48</v>
      </c>
      <c r="N9" s="40" t="s">
        <v>49</v>
      </c>
      <c r="O9" s="40" t="s">
        <v>50</v>
      </c>
    </row>
    <row r="10" spans="1:15" ht="20.100000000000001" customHeight="1" x14ac:dyDescent="0.15">
      <c r="A10" s="67" t="s">
        <v>51</v>
      </c>
      <c r="B10" s="68"/>
      <c r="C10" s="16"/>
      <c r="D10" s="16"/>
      <c r="E10" s="69"/>
      <c r="F10" s="70"/>
      <c r="G10" s="71" t="s">
        <v>52</v>
      </c>
      <c r="H10" s="71"/>
      <c r="I10" s="72"/>
      <c r="J10" s="17"/>
      <c r="M10" s="26">
        <f t="shared" ref="M10:M24" si="0">D10*E10</f>
        <v>0</v>
      </c>
      <c r="N10" s="26"/>
      <c r="O10" s="26"/>
    </row>
    <row r="11" spans="1:15" ht="20.100000000000001" customHeight="1" x14ac:dyDescent="0.15">
      <c r="A11" s="67" t="s">
        <v>53</v>
      </c>
      <c r="B11" s="68"/>
      <c r="C11" s="18" t="s">
        <v>54</v>
      </c>
      <c r="D11" s="18">
        <v>1</v>
      </c>
      <c r="E11" s="73">
        <f>전기내역서!I52</f>
        <v>75483189</v>
      </c>
      <c r="F11" s="74"/>
      <c r="G11" s="75"/>
      <c r="H11" s="75"/>
      <c r="I11" s="76"/>
      <c r="J11" s="12"/>
      <c r="M11" s="26">
        <f t="shared" si="0"/>
        <v>75483189</v>
      </c>
      <c r="N11" s="26"/>
      <c r="O11" s="26"/>
    </row>
    <row r="12" spans="1:15" ht="20.100000000000001" customHeight="1" x14ac:dyDescent="0.15">
      <c r="A12" s="67" t="s">
        <v>55</v>
      </c>
      <c r="B12" s="68"/>
      <c r="C12" s="18" t="s">
        <v>54</v>
      </c>
      <c r="D12" s="18">
        <v>1</v>
      </c>
      <c r="E12" s="77">
        <f>전기내역서!L52</f>
        <v>33958300</v>
      </c>
      <c r="F12" s="78"/>
      <c r="G12" s="75"/>
      <c r="H12" s="75"/>
      <c r="I12" s="76"/>
      <c r="J12" s="12"/>
      <c r="M12" s="26">
        <f t="shared" si="0"/>
        <v>33958300</v>
      </c>
      <c r="N12" s="26"/>
      <c r="O12" s="26"/>
    </row>
    <row r="13" spans="1:15" ht="20.100000000000001" customHeight="1" x14ac:dyDescent="0.15">
      <c r="A13" s="67" t="s">
        <v>56</v>
      </c>
      <c r="B13" s="68"/>
      <c r="C13" s="18"/>
      <c r="D13" s="18"/>
      <c r="E13" s="77">
        <f>SUM(E11:F12)</f>
        <v>109441489</v>
      </c>
      <c r="F13" s="78"/>
      <c r="G13" s="79"/>
      <c r="H13" s="79"/>
      <c r="I13" s="80"/>
      <c r="J13" s="12"/>
      <c r="M13" s="26">
        <f t="shared" si="0"/>
        <v>0</v>
      </c>
      <c r="N13" s="26"/>
      <c r="O13" s="26"/>
    </row>
    <row r="14" spans="1:15" ht="20.100000000000001" customHeight="1" x14ac:dyDescent="0.15">
      <c r="A14" s="81" t="s">
        <v>65</v>
      </c>
      <c r="B14" s="82"/>
      <c r="C14" s="18" t="s">
        <v>57</v>
      </c>
      <c r="D14" s="18">
        <v>3.7</v>
      </c>
      <c r="E14" s="77">
        <f>E12*3.7%</f>
        <v>1256457.1000000001</v>
      </c>
      <c r="F14" s="78"/>
      <c r="G14" s="79"/>
      <c r="H14" s="79"/>
      <c r="I14" s="80"/>
      <c r="J14" s="12"/>
      <c r="M14" s="26">
        <f t="shared" si="0"/>
        <v>4648891.2700000005</v>
      </c>
      <c r="N14" s="26"/>
      <c r="O14" s="26"/>
    </row>
    <row r="15" spans="1:15" ht="20.100000000000001" customHeight="1" x14ac:dyDescent="0.15">
      <c r="A15" s="81" t="s">
        <v>58</v>
      </c>
      <c r="B15" s="82"/>
      <c r="C15" s="18" t="s">
        <v>57</v>
      </c>
      <c r="D15" s="18">
        <v>1.01</v>
      </c>
      <c r="E15" s="73">
        <f>E12*1.01%</f>
        <v>342978.82999999996</v>
      </c>
      <c r="F15" s="74"/>
      <c r="G15" s="79"/>
      <c r="H15" s="79"/>
      <c r="I15" s="80"/>
      <c r="J15" s="12"/>
      <c r="M15" s="26">
        <f t="shared" si="0"/>
        <v>346408.61829999997</v>
      </c>
      <c r="N15" s="26"/>
      <c r="O15" s="26"/>
    </row>
    <row r="16" spans="1:15" ht="20.100000000000001" customHeight="1" x14ac:dyDescent="0.15">
      <c r="A16" s="81" t="s">
        <v>59</v>
      </c>
      <c r="B16" s="82"/>
      <c r="C16" s="18" t="s">
        <v>57</v>
      </c>
      <c r="D16" s="41">
        <v>3.4950000000000001</v>
      </c>
      <c r="E16" s="73">
        <f>E12*3.495%</f>
        <v>1186842.585</v>
      </c>
      <c r="F16" s="74"/>
      <c r="G16" s="79"/>
      <c r="H16" s="79"/>
      <c r="I16" s="80"/>
      <c r="J16" s="12"/>
      <c r="M16" s="26">
        <f t="shared" si="0"/>
        <v>4148014.8345750002</v>
      </c>
      <c r="N16" s="26"/>
      <c r="O16" s="26"/>
    </row>
    <row r="17" spans="1:15" ht="20.100000000000001" customHeight="1" x14ac:dyDescent="0.15">
      <c r="A17" s="83" t="s">
        <v>60</v>
      </c>
      <c r="B17" s="84"/>
      <c r="C17" s="18" t="s">
        <v>57</v>
      </c>
      <c r="D17" s="18">
        <v>4.5</v>
      </c>
      <c r="E17" s="73">
        <f>E12*4.5%</f>
        <v>1528123.5</v>
      </c>
      <c r="F17" s="74"/>
      <c r="G17" s="79"/>
      <c r="H17" s="79"/>
      <c r="I17" s="80"/>
      <c r="J17" s="12"/>
      <c r="M17" s="26">
        <f t="shared" si="0"/>
        <v>6876555.75</v>
      </c>
      <c r="N17" s="26"/>
      <c r="O17" s="26"/>
    </row>
    <row r="18" spans="1:15" ht="20.100000000000001" customHeight="1" x14ac:dyDescent="0.15">
      <c r="A18" s="83" t="s">
        <v>61</v>
      </c>
      <c r="B18" s="84"/>
      <c r="C18" s="18" t="s">
        <v>57</v>
      </c>
      <c r="D18" s="18">
        <v>1.85</v>
      </c>
      <c r="E18" s="73">
        <f>E13*1.85%</f>
        <v>2024667.5465000002</v>
      </c>
      <c r="F18" s="74"/>
      <c r="G18" s="79"/>
      <c r="H18" s="79"/>
      <c r="I18" s="80"/>
      <c r="J18" s="12"/>
      <c r="M18" s="26">
        <f t="shared" si="0"/>
        <v>3745634.9610250005</v>
      </c>
      <c r="N18" s="26"/>
      <c r="O18" s="26"/>
    </row>
    <row r="19" spans="1:15" ht="20.100000000000001" customHeight="1" x14ac:dyDescent="0.15">
      <c r="A19" s="83" t="s">
        <v>68</v>
      </c>
      <c r="B19" s="84"/>
      <c r="C19" s="18" t="s">
        <v>69</v>
      </c>
      <c r="D19" s="41">
        <v>12.27</v>
      </c>
      <c r="E19" s="73">
        <f>E16*11.52%</f>
        <v>136724.26579199999</v>
      </c>
      <c r="F19" s="74"/>
      <c r="G19" s="79"/>
      <c r="H19" s="79"/>
      <c r="I19" s="80"/>
      <c r="J19" s="12"/>
      <c r="M19" s="26">
        <f t="shared" si="0"/>
        <v>1677606.7412678399</v>
      </c>
      <c r="N19" s="26"/>
      <c r="O19" s="26"/>
    </row>
    <row r="20" spans="1:15" ht="20.100000000000001" customHeight="1" x14ac:dyDescent="0.15">
      <c r="A20" s="67" t="s">
        <v>70</v>
      </c>
      <c r="B20" s="68"/>
      <c r="C20" s="18"/>
      <c r="D20" s="18"/>
      <c r="E20" s="73">
        <f>SUM(E14:E19)</f>
        <v>6475793.8272920009</v>
      </c>
      <c r="F20" s="74"/>
      <c r="G20" s="79"/>
      <c r="H20" s="79"/>
      <c r="I20" s="80"/>
      <c r="J20" s="12"/>
      <c r="M20" s="26"/>
      <c r="N20" s="26"/>
      <c r="O20" s="26"/>
    </row>
    <row r="21" spans="1:15" ht="20.100000000000001" customHeight="1" x14ac:dyDescent="0.15">
      <c r="A21" s="83" t="s">
        <v>71</v>
      </c>
      <c r="B21" s="84"/>
      <c r="C21" s="18" t="s">
        <v>57</v>
      </c>
      <c r="D21" s="18">
        <v>6</v>
      </c>
      <c r="E21" s="73">
        <f>E13*0.06</f>
        <v>6566489.3399999999</v>
      </c>
      <c r="F21" s="74"/>
      <c r="G21" s="79"/>
      <c r="H21" s="79"/>
      <c r="I21" s="80"/>
      <c r="J21" s="12"/>
      <c r="M21" s="26"/>
      <c r="N21" s="26"/>
      <c r="O21" s="26"/>
    </row>
    <row r="22" spans="1:15" ht="20.100000000000001" customHeight="1" x14ac:dyDescent="0.15">
      <c r="A22" s="67" t="s">
        <v>72</v>
      </c>
      <c r="B22" s="68"/>
      <c r="C22" s="18"/>
      <c r="D22" s="18"/>
      <c r="E22" s="73">
        <f>E21</f>
        <v>6566489.3399999999</v>
      </c>
      <c r="F22" s="74"/>
      <c r="G22" s="79"/>
      <c r="H22" s="79"/>
      <c r="I22" s="80"/>
      <c r="J22" s="12"/>
      <c r="M22" s="26"/>
      <c r="N22" s="26"/>
      <c r="O22" s="26"/>
    </row>
    <row r="23" spans="1:15" ht="20.100000000000001" customHeight="1" x14ac:dyDescent="0.15">
      <c r="A23" s="83" t="s">
        <v>62</v>
      </c>
      <c r="B23" s="84"/>
      <c r="C23" s="18" t="s">
        <v>63</v>
      </c>
      <c r="D23" s="18">
        <v>1</v>
      </c>
      <c r="E23" s="73">
        <v>-83772</v>
      </c>
      <c r="F23" s="74"/>
      <c r="G23" s="79"/>
      <c r="H23" s="79"/>
      <c r="I23" s="80"/>
      <c r="J23" s="12"/>
      <c r="M23" s="26"/>
      <c r="N23" s="26"/>
      <c r="O23" s="26"/>
    </row>
    <row r="24" spans="1:15" ht="20.100000000000001" customHeight="1" x14ac:dyDescent="0.15">
      <c r="A24" s="83"/>
      <c r="B24" s="84"/>
      <c r="C24" s="18"/>
      <c r="D24" s="18"/>
      <c r="E24" s="73"/>
      <c r="F24" s="74"/>
      <c r="G24" s="79"/>
      <c r="H24" s="79"/>
      <c r="I24" s="80"/>
      <c r="J24" s="12"/>
      <c r="M24" s="26">
        <f t="shared" si="0"/>
        <v>0</v>
      </c>
      <c r="N24" s="26"/>
      <c r="O24" s="26"/>
    </row>
    <row r="25" spans="1:15" ht="20.100000000000001" customHeight="1" x14ac:dyDescent="0.15">
      <c r="A25" s="83" t="s">
        <v>64</v>
      </c>
      <c r="B25" s="84"/>
      <c r="C25" s="18"/>
      <c r="D25" s="18"/>
      <c r="E25" s="73">
        <f>E23+E22+E20+E13</f>
        <v>122400000.167292</v>
      </c>
      <c r="F25" s="74"/>
      <c r="G25" s="79"/>
      <c r="H25" s="79"/>
      <c r="I25" s="80"/>
      <c r="J25" s="12"/>
      <c r="M25" s="26">
        <f>SUM(M10:M24)</f>
        <v>130884601.17516784</v>
      </c>
      <c r="N25" s="26"/>
      <c r="O25" s="26"/>
    </row>
    <row r="26" spans="1:15" ht="20.100000000000001" customHeight="1" thickBot="1" x14ac:dyDescent="0.2">
      <c r="A26" s="85" t="s">
        <v>67</v>
      </c>
      <c r="B26" s="86"/>
      <c r="C26" s="86"/>
      <c r="D26" s="86"/>
      <c r="E26" s="86"/>
      <c r="F26" s="86"/>
      <c r="G26" s="86"/>
      <c r="H26" s="86"/>
      <c r="I26" s="87"/>
      <c r="M26" s="26"/>
      <c r="N26" s="26"/>
      <c r="O26" s="26"/>
    </row>
    <row r="27" spans="1:15" hidden="1" x14ac:dyDescent="0.15"/>
    <row r="28" spans="1:15" hidden="1" x14ac:dyDescent="0.15"/>
    <row r="29" spans="1:15" hidden="1" x14ac:dyDescent="0.15"/>
    <row r="30" spans="1:15" hidden="1" x14ac:dyDescent="0.15"/>
    <row r="31" spans="1:15" hidden="1" x14ac:dyDescent="0.15"/>
    <row r="32" spans="1:15" hidden="1" x14ac:dyDescent="0.15"/>
    <row r="33" hidden="1" x14ac:dyDescent="0.15"/>
    <row r="34" hidden="1" x14ac:dyDescent="0.15"/>
    <row r="35" hidden="1" x14ac:dyDescent="0.15"/>
    <row r="36" hidden="1" x14ac:dyDescent="0.15"/>
    <row r="37" hidden="1" x14ac:dyDescent="0.15"/>
    <row r="38" hidden="1" x14ac:dyDescent="0.15"/>
    <row r="39" hidden="1" x14ac:dyDescent="0.15"/>
    <row r="40" hidden="1" x14ac:dyDescent="0.15"/>
    <row r="41" hidden="1" x14ac:dyDescent="0.15"/>
  </sheetData>
  <mergeCells count="63">
    <mergeCell ref="A25:B25"/>
    <mergeCell ref="E25:F25"/>
    <mergeCell ref="G25:I25"/>
    <mergeCell ref="A26:F26"/>
    <mergeCell ref="G26:I26"/>
    <mergeCell ref="A23:B23"/>
    <mergeCell ref="E23:F23"/>
    <mergeCell ref="G23:I23"/>
    <mergeCell ref="A24:B24"/>
    <mergeCell ref="E24:F24"/>
    <mergeCell ref="G24:I24"/>
    <mergeCell ref="A21:B21"/>
    <mergeCell ref="E21:F21"/>
    <mergeCell ref="G21:I21"/>
    <mergeCell ref="A22:B22"/>
    <mergeCell ref="E22:F22"/>
    <mergeCell ref="G22:I22"/>
    <mergeCell ref="A18:B18"/>
    <mergeCell ref="E18:F18"/>
    <mergeCell ref="G18:I18"/>
    <mergeCell ref="A20:B20"/>
    <mergeCell ref="E20:F20"/>
    <mergeCell ref="G20:I20"/>
    <mergeCell ref="A19:B19"/>
    <mergeCell ref="E19:F19"/>
    <mergeCell ref="G19:I19"/>
    <mergeCell ref="A16:B16"/>
    <mergeCell ref="E16:F16"/>
    <mergeCell ref="G16:I16"/>
    <mergeCell ref="A17:B17"/>
    <mergeCell ref="E17:F17"/>
    <mergeCell ref="G17:I17"/>
    <mergeCell ref="A14:B14"/>
    <mergeCell ref="E14:F14"/>
    <mergeCell ref="G14:I14"/>
    <mergeCell ref="A15:B15"/>
    <mergeCell ref="E15:F15"/>
    <mergeCell ref="G15:I15"/>
    <mergeCell ref="A12:B12"/>
    <mergeCell ref="E12:F12"/>
    <mergeCell ref="G12:I12"/>
    <mergeCell ref="A13:B13"/>
    <mergeCell ref="E13:F13"/>
    <mergeCell ref="G13:I13"/>
    <mergeCell ref="A10:B10"/>
    <mergeCell ref="E10:F10"/>
    <mergeCell ref="G10:I10"/>
    <mergeCell ref="A11:B11"/>
    <mergeCell ref="E11:F11"/>
    <mergeCell ref="G11:I11"/>
    <mergeCell ref="B7:F7"/>
    <mergeCell ref="G7:H7"/>
    <mergeCell ref="B8:H8"/>
    <mergeCell ref="A9:B9"/>
    <mergeCell ref="E9:F9"/>
    <mergeCell ref="G9:I9"/>
    <mergeCell ref="A1:I1"/>
    <mergeCell ref="B3:F3"/>
    <mergeCell ref="G3:H3"/>
    <mergeCell ref="B4:F4"/>
    <mergeCell ref="G4:H5"/>
    <mergeCell ref="A5:F6"/>
    <mergeCell ref="G6:H6"/>
  </mergeCells>
  <phoneticPr fontId="2" type="noConversion"/>
  <printOptions horizontalCentered="1" verticalCentered="1"/>
  <pageMargins left="0.42" right="0.35433070866141736" top="0.19685039370078741" bottom="0.39370078740157483" header="0.51181102362204722" footer="0.39370078740157483"/>
  <pageSetup paperSize="9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2"/>
  <sheetViews>
    <sheetView topLeftCell="D1" workbookViewId="0">
      <pane ySplit="3" topLeftCell="A4" activePane="bottomLeft" state="frozen"/>
      <selection activeCell="D1" sqref="D1"/>
      <selection pane="bottomLeft" activeCell="M45" sqref="M45"/>
    </sheetView>
  </sheetViews>
  <sheetFormatPr defaultRowHeight="23.1" customHeight="1" x14ac:dyDescent="0.15"/>
  <cols>
    <col min="1" max="1" width="5.109375" style="1" hidden="1" customWidth="1"/>
    <col min="2" max="2" width="8.44140625" style="2" hidden="1" customWidth="1"/>
    <col min="3" max="3" width="14.33203125" style="2" hidden="1" customWidth="1"/>
    <col min="4" max="4" width="24.33203125" style="2" customWidth="1"/>
    <col min="5" max="5" width="25.33203125" style="2" customWidth="1"/>
    <col min="6" max="6" width="4.21875" style="10" customWidth="1"/>
    <col min="7" max="7" width="8.6640625" style="11" bestFit="1" customWidth="1"/>
    <col min="8" max="8" width="13" style="3" customWidth="1"/>
    <col min="9" max="9" width="13.21875" style="3" customWidth="1"/>
    <col min="10" max="10" width="5.5546875" style="3" hidden="1" customWidth="1"/>
    <col min="11" max="11" width="10.44140625" style="3" customWidth="1"/>
    <col min="12" max="12" width="11.77734375" style="3" customWidth="1"/>
    <col min="13" max="13" width="8.44140625" style="3" customWidth="1"/>
    <col min="14" max="14" width="9.109375" style="3" customWidth="1"/>
    <col min="15" max="15" width="6" style="3" hidden="1" customWidth="1"/>
    <col min="16" max="16" width="13" style="3" customWidth="1"/>
    <col min="17" max="17" width="11.109375" style="2" customWidth="1"/>
    <col min="18" max="26" width="0" style="1" hidden="1" customWidth="1"/>
    <col min="27" max="31" width="11.77734375" style="3" hidden="1" customWidth="1"/>
    <col min="32" max="16384" width="8.88671875" style="1"/>
  </cols>
  <sheetData>
    <row r="1" spans="1:31" ht="23.1" customHeight="1" x14ac:dyDescent="0.15">
      <c r="B1" s="2" t="s">
        <v>0</v>
      </c>
      <c r="D1" s="92"/>
      <c r="E1" s="93"/>
      <c r="F1" s="93"/>
      <c r="G1" s="93"/>
      <c r="H1" s="93"/>
      <c r="I1" s="93"/>
      <c r="J1" s="93"/>
      <c r="K1" s="93"/>
      <c r="L1" s="93"/>
      <c r="M1" s="93"/>
      <c r="N1" s="93"/>
      <c r="W1" s="91" t="s">
        <v>2</v>
      </c>
      <c r="X1" s="91"/>
      <c r="Y1" s="91"/>
      <c r="Z1" s="4"/>
      <c r="AA1" s="4" t="s">
        <v>3</v>
      </c>
      <c r="AB1" s="4"/>
      <c r="AC1" s="4"/>
      <c r="AD1" s="4"/>
      <c r="AE1" s="4"/>
    </row>
    <row r="2" spans="1:31" s="5" customFormat="1" ht="23.1" customHeight="1" x14ac:dyDescent="0.15">
      <c r="A2" s="88" t="s">
        <v>4</v>
      </c>
      <c r="B2" s="89" t="s">
        <v>5</v>
      </c>
      <c r="C2" s="90" t="s">
        <v>6</v>
      </c>
      <c r="D2" s="94" t="s">
        <v>7</v>
      </c>
      <c r="E2" s="94" t="s">
        <v>8</v>
      </c>
      <c r="F2" s="97" t="s">
        <v>9</v>
      </c>
      <c r="G2" s="96" t="s">
        <v>10</v>
      </c>
      <c r="H2" s="95" t="s">
        <v>11</v>
      </c>
      <c r="I2" s="95"/>
      <c r="J2" s="95" t="s">
        <v>12</v>
      </c>
      <c r="K2" s="95"/>
      <c r="L2" s="95"/>
      <c r="M2" s="95" t="s">
        <v>13</v>
      </c>
      <c r="N2" s="95"/>
      <c r="O2" s="6"/>
      <c r="P2" s="95" t="s">
        <v>14</v>
      </c>
      <c r="Q2" s="94" t="s">
        <v>15</v>
      </c>
      <c r="W2" s="5" t="s">
        <v>16</v>
      </c>
      <c r="X2" s="5" t="s">
        <v>17</v>
      </c>
      <c r="Y2" s="5" t="s">
        <v>18</v>
      </c>
      <c r="Z2" s="5" t="s">
        <v>19</v>
      </c>
      <c r="AA2" s="7" t="s">
        <v>20</v>
      </c>
      <c r="AB2" s="7" t="s">
        <v>21</v>
      </c>
      <c r="AC2" s="7" t="s">
        <v>22</v>
      </c>
      <c r="AD2" s="7" t="s">
        <v>23</v>
      </c>
      <c r="AE2" s="7" t="s">
        <v>16</v>
      </c>
    </row>
    <row r="3" spans="1:31" s="5" customFormat="1" ht="23.1" customHeight="1" x14ac:dyDescent="0.15">
      <c r="A3" s="88"/>
      <c r="B3" s="89"/>
      <c r="C3" s="90"/>
      <c r="D3" s="94"/>
      <c r="E3" s="94"/>
      <c r="F3" s="97"/>
      <c r="G3" s="96"/>
      <c r="H3" s="6" t="s">
        <v>24</v>
      </c>
      <c r="I3" s="6" t="s">
        <v>25</v>
      </c>
      <c r="J3" s="6" t="s">
        <v>10</v>
      </c>
      <c r="K3" s="6" t="s">
        <v>24</v>
      </c>
      <c r="L3" s="6" t="s">
        <v>25</v>
      </c>
      <c r="M3" s="6" t="s">
        <v>24</v>
      </c>
      <c r="N3" s="6" t="s">
        <v>25</v>
      </c>
      <c r="O3" s="6" t="s">
        <v>24</v>
      </c>
      <c r="P3" s="95"/>
      <c r="Q3" s="94"/>
      <c r="W3" s="1"/>
      <c r="X3" s="1"/>
      <c r="Y3" s="1"/>
      <c r="Z3" s="1"/>
      <c r="AA3" s="3"/>
      <c r="AB3" s="3"/>
      <c r="AC3" s="3"/>
      <c r="AD3" s="3" t="e">
        <f xml:space="preserve"> IF(#REF! =0, "1",#REF!)</f>
        <v>#REF!</v>
      </c>
      <c r="AE3" s="3" t="e">
        <f xml:space="preserve"> IF(#REF! =0, "1",#REF!)</f>
        <v>#REF!</v>
      </c>
    </row>
    <row r="4" spans="1:31" ht="23.1" customHeight="1" x14ac:dyDescent="0.15">
      <c r="D4" s="36" t="s">
        <v>105</v>
      </c>
      <c r="E4" s="42"/>
      <c r="F4" s="44"/>
      <c r="G4" s="43"/>
      <c r="H4" s="29"/>
      <c r="I4" s="28"/>
      <c r="J4" s="28"/>
      <c r="K4" s="28"/>
      <c r="L4" s="28"/>
      <c r="M4" s="28"/>
      <c r="N4" s="28"/>
      <c r="O4" s="28"/>
      <c r="P4" s="28"/>
      <c r="Q4" s="42"/>
    </row>
    <row r="5" spans="1:31" ht="23.1" customHeight="1" x14ac:dyDescent="0.15">
      <c r="D5" s="8" t="s">
        <v>81</v>
      </c>
      <c r="E5" s="8" t="s">
        <v>112</v>
      </c>
      <c r="F5" s="9" t="s">
        <v>73</v>
      </c>
      <c r="G5" s="32">
        <v>99</v>
      </c>
      <c r="H5" s="30">
        <v>22000</v>
      </c>
      <c r="I5" s="29">
        <f t="shared" ref="I5:I51" si="0">H5*G5</f>
        <v>2178000</v>
      </c>
      <c r="J5" s="29"/>
      <c r="K5" s="29">
        <v>26000</v>
      </c>
      <c r="L5" s="29">
        <f t="shared" ref="L5:L51" si="1">K5*G5</f>
        <v>2574000</v>
      </c>
      <c r="M5" s="29"/>
      <c r="N5" s="29"/>
      <c r="O5" s="29"/>
      <c r="P5" s="29">
        <f t="shared" ref="P5:P51" si="2">L5+I5</f>
        <v>4752000</v>
      </c>
      <c r="Q5" s="42"/>
    </row>
    <row r="6" spans="1:31" ht="23.1" customHeight="1" x14ac:dyDescent="0.15">
      <c r="D6" s="8" t="s">
        <v>81</v>
      </c>
      <c r="E6" s="8" t="s">
        <v>87</v>
      </c>
      <c r="F6" s="9" t="s">
        <v>73</v>
      </c>
      <c r="G6" s="32">
        <v>42</v>
      </c>
      <c r="H6" s="30">
        <v>11000</v>
      </c>
      <c r="I6" s="29">
        <f t="shared" si="0"/>
        <v>462000</v>
      </c>
      <c r="J6" s="29"/>
      <c r="K6" s="29">
        <v>12000</v>
      </c>
      <c r="L6" s="29">
        <f t="shared" si="1"/>
        <v>504000</v>
      </c>
      <c r="M6" s="29"/>
      <c r="N6" s="29"/>
      <c r="O6" s="29"/>
      <c r="P6" s="29">
        <f t="shared" si="2"/>
        <v>966000</v>
      </c>
      <c r="Q6" s="52"/>
    </row>
    <row r="7" spans="1:31" ht="23.1" customHeight="1" x14ac:dyDescent="0.15">
      <c r="D7" s="33" t="s">
        <v>93</v>
      </c>
      <c r="E7" s="34" t="s">
        <v>114</v>
      </c>
      <c r="F7" s="9" t="s">
        <v>90</v>
      </c>
      <c r="G7" s="32">
        <v>3</v>
      </c>
      <c r="H7" s="30">
        <v>31000</v>
      </c>
      <c r="I7" s="29">
        <f t="shared" si="0"/>
        <v>93000</v>
      </c>
      <c r="J7" s="29"/>
      <c r="K7" s="29">
        <v>26000</v>
      </c>
      <c r="L7" s="29">
        <f t="shared" si="1"/>
        <v>78000</v>
      </c>
      <c r="M7" s="29"/>
      <c r="N7" s="29"/>
      <c r="O7" s="29"/>
      <c r="P7" s="29">
        <f t="shared" si="2"/>
        <v>171000</v>
      </c>
      <c r="Q7" s="53"/>
    </row>
    <row r="8" spans="1:31" ht="23.1" customHeight="1" x14ac:dyDescent="0.15">
      <c r="D8" s="33" t="s">
        <v>93</v>
      </c>
      <c r="E8" s="34" t="s">
        <v>94</v>
      </c>
      <c r="F8" s="9" t="s">
        <v>90</v>
      </c>
      <c r="G8" s="32">
        <v>6</v>
      </c>
      <c r="H8" s="30">
        <v>21000</v>
      </c>
      <c r="I8" s="29">
        <f t="shared" si="0"/>
        <v>126000</v>
      </c>
      <c r="J8" s="29"/>
      <c r="K8" s="29">
        <v>12000</v>
      </c>
      <c r="L8" s="29">
        <f t="shared" si="1"/>
        <v>72000</v>
      </c>
      <c r="M8" s="29"/>
      <c r="N8" s="29"/>
      <c r="O8" s="29"/>
      <c r="P8" s="29">
        <f t="shared" si="2"/>
        <v>198000</v>
      </c>
      <c r="Q8" s="53"/>
    </row>
    <row r="9" spans="1:31" ht="23.1" customHeight="1" x14ac:dyDescent="0.15">
      <c r="D9" s="47" t="s">
        <v>74</v>
      </c>
      <c r="E9" s="47" t="s">
        <v>113</v>
      </c>
      <c r="F9" s="9" t="s">
        <v>75</v>
      </c>
      <c r="G9" s="32">
        <v>10</v>
      </c>
      <c r="H9" s="30">
        <v>33000</v>
      </c>
      <c r="I9" s="29">
        <f t="shared" si="0"/>
        <v>330000</v>
      </c>
      <c r="J9" s="29"/>
      <c r="K9" s="29">
        <v>10000</v>
      </c>
      <c r="L9" s="29">
        <f t="shared" si="1"/>
        <v>100000</v>
      </c>
      <c r="M9" s="29"/>
      <c r="N9" s="29"/>
      <c r="O9" s="29"/>
      <c r="P9" s="29">
        <f t="shared" si="2"/>
        <v>430000</v>
      </c>
      <c r="Q9" s="45"/>
    </row>
    <row r="10" spans="1:31" ht="23.1" customHeight="1" x14ac:dyDescent="0.15">
      <c r="D10" s="47" t="s">
        <v>74</v>
      </c>
      <c r="E10" s="47" t="s">
        <v>88</v>
      </c>
      <c r="F10" s="9" t="s">
        <v>66</v>
      </c>
      <c r="G10" s="32">
        <v>42</v>
      </c>
      <c r="H10" s="30">
        <v>9000</v>
      </c>
      <c r="I10" s="29">
        <f t="shared" si="0"/>
        <v>378000</v>
      </c>
      <c r="J10" s="29"/>
      <c r="K10" s="29">
        <v>4000</v>
      </c>
      <c r="L10" s="29">
        <f t="shared" si="1"/>
        <v>168000</v>
      </c>
      <c r="M10" s="29"/>
      <c r="N10" s="29"/>
      <c r="O10" s="29"/>
      <c r="P10" s="29">
        <f t="shared" si="2"/>
        <v>546000</v>
      </c>
      <c r="Q10" s="52"/>
    </row>
    <row r="11" spans="1:31" ht="23.1" customHeight="1" x14ac:dyDescent="0.15">
      <c r="D11" s="47" t="s">
        <v>76</v>
      </c>
      <c r="E11" s="8" t="s">
        <v>82</v>
      </c>
      <c r="F11" s="9" t="s">
        <v>77</v>
      </c>
      <c r="G11" s="48">
        <v>94</v>
      </c>
      <c r="H11" s="30">
        <v>1200</v>
      </c>
      <c r="I11" s="29">
        <f t="shared" si="0"/>
        <v>112800</v>
      </c>
      <c r="J11" s="29"/>
      <c r="K11" s="29"/>
      <c r="L11" s="29">
        <f t="shared" si="1"/>
        <v>0</v>
      </c>
      <c r="M11" s="29"/>
      <c r="N11" s="29"/>
      <c r="O11" s="29"/>
      <c r="P11" s="29">
        <f t="shared" si="2"/>
        <v>112800</v>
      </c>
      <c r="Q11" s="46"/>
    </row>
    <row r="12" spans="1:31" ht="23.1" customHeight="1" x14ac:dyDescent="0.15">
      <c r="D12" s="47" t="s">
        <v>76</v>
      </c>
      <c r="E12" s="47" t="s">
        <v>78</v>
      </c>
      <c r="F12" s="9" t="s">
        <v>77</v>
      </c>
      <c r="G12" s="49">
        <v>752</v>
      </c>
      <c r="H12" s="50">
        <v>80</v>
      </c>
      <c r="I12" s="29">
        <f t="shared" si="0"/>
        <v>60160</v>
      </c>
      <c r="J12" s="29"/>
      <c r="K12" s="29"/>
      <c r="L12" s="29">
        <f t="shared" si="1"/>
        <v>0</v>
      </c>
      <c r="M12" s="29"/>
      <c r="N12" s="29"/>
      <c r="O12" s="29"/>
      <c r="P12" s="29">
        <f t="shared" si="2"/>
        <v>60160</v>
      </c>
      <c r="Q12" s="46"/>
    </row>
    <row r="13" spans="1:31" ht="23.1" customHeight="1" x14ac:dyDescent="0.15">
      <c r="D13" s="47" t="s">
        <v>76</v>
      </c>
      <c r="E13" s="8" t="s">
        <v>79</v>
      </c>
      <c r="F13" s="9" t="s">
        <v>77</v>
      </c>
      <c r="G13" s="32">
        <v>47</v>
      </c>
      <c r="H13" s="30">
        <v>1500</v>
      </c>
      <c r="I13" s="29">
        <f t="shared" si="0"/>
        <v>70500</v>
      </c>
      <c r="J13" s="29"/>
      <c r="K13" s="29"/>
      <c r="L13" s="29">
        <f t="shared" si="1"/>
        <v>0</v>
      </c>
      <c r="M13" s="29"/>
      <c r="N13" s="29"/>
      <c r="O13" s="29"/>
      <c r="P13" s="29">
        <f t="shared" si="2"/>
        <v>70500</v>
      </c>
      <c r="Q13" s="46"/>
    </row>
    <row r="14" spans="1:31" ht="23.1" customHeight="1" x14ac:dyDescent="0.15">
      <c r="D14" s="47" t="s">
        <v>89</v>
      </c>
      <c r="E14" s="8" t="s">
        <v>115</v>
      </c>
      <c r="F14" s="9" t="s">
        <v>91</v>
      </c>
      <c r="G14" s="32">
        <v>33</v>
      </c>
      <c r="H14" s="30">
        <v>11000</v>
      </c>
      <c r="I14" s="29">
        <f t="shared" si="0"/>
        <v>363000</v>
      </c>
      <c r="J14" s="29"/>
      <c r="K14" s="29">
        <v>9000</v>
      </c>
      <c r="L14" s="29">
        <f t="shared" si="1"/>
        <v>297000</v>
      </c>
      <c r="M14" s="29"/>
      <c r="N14" s="29"/>
      <c r="O14" s="29"/>
      <c r="P14" s="29">
        <f t="shared" si="2"/>
        <v>660000</v>
      </c>
      <c r="Q14" s="53"/>
    </row>
    <row r="15" spans="1:31" ht="23.1" customHeight="1" x14ac:dyDescent="0.15">
      <c r="D15" s="47" t="s">
        <v>89</v>
      </c>
      <c r="E15" s="8" t="s">
        <v>92</v>
      </c>
      <c r="F15" s="9" t="s">
        <v>91</v>
      </c>
      <c r="G15" s="32">
        <v>14</v>
      </c>
      <c r="H15" s="30">
        <v>4000</v>
      </c>
      <c r="I15" s="29">
        <f t="shared" si="0"/>
        <v>56000</v>
      </c>
      <c r="J15" s="29"/>
      <c r="K15" s="29">
        <v>5000</v>
      </c>
      <c r="L15" s="29">
        <f t="shared" si="1"/>
        <v>70000</v>
      </c>
      <c r="M15" s="29"/>
      <c r="N15" s="29"/>
      <c r="O15" s="29"/>
      <c r="P15" s="29">
        <f t="shared" si="2"/>
        <v>126000</v>
      </c>
      <c r="Q15" s="53"/>
    </row>
    <row r="16" spans="1:31" ht="23.1" customHeight="1" x14ac:dyDescent="0.15">
      <c r="D16" s="47" t="s">
        <v>158</v>
      </c>
      <c r="E16" s="8" t="s">
        <v>159</v>
      </c>
      <c r="F16" s="9" t="s">
        <v>160</v>
      </c>
      <c r="G16" s="32">
        <v>240</v>
      </c>
      <c r="H16" s="30">
        <v>4500</v>
      </c>
      <c r="I16" s="29">
        <f t="shared" si="0"/>
        <v>1080000</v>
      </c>
      <c r="J16" s="29"/>
      <c r="K16" s="29">
        <v>6000</v>
      </c>
      <c r="L16" s="29">
        <f t="shared" si="1"/>
        <v>1440000</v>
      </c>
      <c r="M16" s="29"/>
      <c r="N16" s="29"/>
      <c r="O16" s="29"/>
      <c r="P16" s="29">
        <f t="shared" si="2"/>
        <v>2520000</v>
      </c>
      <c r="Q16" s="57"/>
    </row>
    <row r="17" spans="4:17" ht="23.1" customHeight="1" x14ac:dyDescent="0.15">
      <c r="D17" s="8" t="s">
        <v>83</v>
      </c>
      <c r="E17" s="8" t="s">
        <v>86</v>
      </c>
      <c r="F17" s="9" t="s">
        <v>84</v>
      </c>
      <c r="G17" s="32">
        <v>1203</v>
      </c>
      <c r="H17" s="30">
        <v>35000</v>
      </c>
      <c r="I17" s="29">
        <f t="shared" si="0"/>
        <v>42105000</v>
      </c>
      <c r="J17" s="29"/>
      <c r="K17" s="29">
        <v>6700</v>
      </c>
      <c r="L17" s="29">
        <f t="shared" si="1"/>
        <v>8060100</v>
      </c>
      <c r="M17" s="29"/>
      <c r="N17" s="29"/>
      <c r="O17" s="29"/>
      <c r="P17" s="29">
        <f t="shared" si="2"/>
        <v>50165100</v>
      </c>
      <c r="Q17" s="53"/>
    </row>
    <row r="18" spans="4:17" ht="23.1" customHeight="1" x14ac:dyDescent="0.15">
      <c r="D18" s="8" t="s">
        <v>83</v>
      </c>
      <c r="E18" s="8" t="s">
        <v>116</v>
      </c>
      <c r="F18" s="9" t="s">
        <v>66</v>
      </c>
      <c r="G18" s="32">
        <v>50</v>
      </c>
      <c r="H18" s="30">
        <v>16500</v>
      </c>
      <c r="I18" s="29">
        <f t="shared" si="0"/>
        <v>825000</v>
      </c>
      <c r="J18" s="29"/>
      <c r="K18" s="29">
        <v>4400</v>
      </c>
      <c r="L18" s="29">
        <f t="shared" si="1"/>
        <v>220000</v>
      </c>
      <c r="M18" s="29"/>
      <c r="N18" s="29"/>
      <c r="O18" s="29"/>
      <c r="P18" s="29">
        <f t="shared" si="2"/>
        <v>1045000</v>
      </c>
      <c r="Q18" s="55"/>
    </row>
    <row r="19" spans="4:17" ht="23.1" customHeight="1" x14ac:dyDescent="0.15">
      <c r="D19" s="54" t="s">
        <v>85</v>
      </c>
      <c r="E19" s="33" t="s">
        <v>110</v>
      </c>
      <c r="F19" s="9" t="s">
        <v>84</v>
      </c>
      <c r="G19" s="32">
        <v>499</v>
      </c>
      <c r="H19" s="30">
        <v>17000</v>
      </c>
      <c r="I19" s="29">
        <f t="shared" si="0"/>
        <v>8483000</v>
      </c>
      <c r="J19" s="29"/>
      <c r="K19" s="29">
        <v>3300</v>
      </c>
      <c r="L19" s="29">
        <f t="shared" si="1"/>
        <v>1646700</v>
      </c>
      <c r="M19" s="29"/>
      <c r="N19" s="29"/>
      <c r="O19" s="29"/>
      <c r="P19" s="29">
        <f t="shared" si="2"/>
        <v>10129700</v>
      </c>
      <c r="Q19" s="53"/>
    </row>
    <row r="20" spans="4:17" ht="23.1" customHeight="1" x14ac:dyDescent="0.15">
      <c r="D20" s="47" t="s">
        <v>95</v>
      </c>
      <c r="E20" s="8" t="s">
        <v>96</v>
      </c>
      <c r="F20" s="9" t="s">
        <v>97</v>
      </c>
      <c r="G20" s="32">
        <v>3</v>
      </c>
      <c r="H20" s="30"/>
      <c r="I20" s="29">
        <f t="shared" si="0"/>
        <v>0</v>
      </c>
      <c r="J20" s="29"/>
      <c r="K20" s="29">
        <v>700000</v>
      </c>
      <c r="L20" s="29">
        <f t="shared" si="1"/>
        <v>2100000</v>
      </c>
      <c r="M20" s="29"/>
      <c r="N20" s="29"/>
      <c r="O20" s="29"/>
      <c r="P20" s="29">
        <f t="shared" si="2"/>
        <v>2100000</v>
      </c>
      <c r="Q20" s="53"/>
    </row>
    <row r="21" spans="4:17" ht="23.1" customHeight="1" x14ac:dyDescent="0.15">
      <c r="D21" s="47" t="s">
        <v>152</v>
      </c>
      <c r="E21" s="8" t="s">
        <v>153</v>
      </c>
      <c r="F21" s="9" t="s">
        <v>154</v>
      </c>
      <c r="G21" s="32">
        <v>1</v>
      </c>
      <c r="H21" s="30"/>
      <c r="I21" s="29">
        <f t="shared" si="0"/>
        <v>0</v>
      </c>
      <c r="J21" s="29"/>
      <c r="K21" s="29">
        <v>1500000</v>
      </c>
      <c r="L21" s="29">
        <f t="shared" si="1"/>
        <v>1500000</v>
      </c>
      <c r="M21" s="29"/>
      <c r="N21" s="29"/>
      <c r="O21" s="29"/>
      <c r="P21" s="29">
        <f t="shared" si="2"/>
        <v>1500000</v>
      </c>
      <c r="Q21" s="56"/>
    </row>
    <row r="22" spans="4:17" ht="23.1" customHeight="1" x14ac:dyDescent="0.15">
      <c r="D22" s="47" t="s">
        <v>98</v>
      </c>
      <c r="E22" s="8" t="s">
        <v>96</v>
      </c>
      <c r="F22" s="9" t="s">
        <v>97</v>
      </c>
      <c r="G22" s="32">
        <v>3</v>
      </c>
      <c r="H22" s="30"/>
      <c r="I22" s="29">
        <f t="shared" si="0"/>
        <v>0</v>
      </c>
      <c r="J22" s="29"/>
      <c r="K22" s="29">
        <v>150000</v>
      </c>
      <c r="L22" s="29">
        <f t="shared" si="1"/>
        <v>450000</v>
      </c>
      <c r="M22" s="29"/>
      <c r="N22" s="29"/>
      <c r="O22" s="29"/>
      <c r="P22" s="29">
        <f t="shared" si="2"/>
        <v>450000</v>
      </c>
      <c r="Q22" s="53"/>
    </row>
    <row r="23" spans="4:17" ht="23.1" customHeight="1" x14ac:dyDescent="0.15">
      <c r="D23" s="8" t="s">
        <v>126</v>
      </c>
      <c r="E23" s="8" t="s">
        <v>118</v>
      </c>
      <c r="F23" s="9" t="s">
        <v>119</v>
      </c>
      <c r="G23" s="35">
        <v>105</v>
      </c>
      <c r="H23" s="29"/>
      <c r="I23" s="29">
        <f t="shared" si="0"/>
        <v>0</v>
      </c>
      <c r="J23" s="29"/>
      <c r="K23" s="29">
        <v>6000</v>
      </c>
      <c r="L23" s="29">
        <f t="shared" si="1"/>
        <v>630000</v>
      </c>
      <c r="M23" s="29"/>
      <c r="N23" s="29"/>
      <c r="O23" s="29"/>
      <c r="P23" s="29">
        <f t="shared" si="2"/>
        <v>630000</v>
      </c>
      <c r="Q23" s="55"/>
    </row>
    <row r="24" spans="4:17" ht="23.1" customHeight="1" x14ac:dyDescent="0.15">
      <c r="D24" s="8" t="s">
        <v>127</v>
      </c>
      <c r="E24" s="8" t="s">
        <v>120</v>
      </c>
      <c r="F24" s="9" t="s">
        <v>119</v>
      </c>
      <c r="G24" s="35">
        <v>110</v>
      </c>
      <c r="H24" s="29"/>
      <c r="I24" s="29"/>
      <c r="J24" s="29"/>
      <c r="K24" s="29">
        <v>8000</v>
      </c>
      <c r="L24" s="29">
        <f t="shared" si="1"/>
        <v>880000</v>
      </c>
      <c r="M24" s="29"/>
      <c r="N24" s="29"/>
      <c r="O24" s="29"/>
      <c r="P24" s="29">
        <f t="shared" si="2"/>
        <v>880000</v>
      </c>
      <c r="Q24" s="55"/>
    </row>
    <row r="25" spans="4:17" ht="23.1" customHeight="1" x14ac:dyDescent="0.15">
      <c r="D25" s="8" t="s">
        <v>128</v>
      </c>
      <c r="E25" s="8" t="s">
        <v>122</v>
      </c>
      <c r="F25" s="9" t="s">
        <v>123</v>
      </c>
      <c r="G25" s="35">
        <v>8</v>
      </c>
      <c r="H25" s="29"/>
      <c r="I25" s="29"/>
      <c r="J25" s="29"/>
      <c r="K25" s="29">
        <v>15000</v>
      </c>
      <c r="L25" s="29">
        <f t="shared" si="1"/>
        <v>120000</v>
      </c>
      <c r="M25" s="29"/>
      <c r="N25" s="29"/>
      <c r="O25" s="29"/>
      <c r="P25" s="29">
        <f t="shared" si="2"/>
        <v>120000</v>
      </c>
      <c r="Q25" s="55"/>
    </row>
    <row r="26" spans="4:17" ht="23.1" customHeight="1" x14ac:dyDescent="0.15">
      <c r="D26" s="8" t="s">
        <v>124</v>
      </c>
      <c r="E26" s="8" t="s">
        <v>125</v>
      </c>
      <c r="F26" s="9" t="s">
        <v>119</v>
      </c>
      <c r="G26" s="35">
        <v>120</v>
      </c>
      <c r="H26" s="29"/>
      <c r="I26" s="29">
        <f t="shared" si="0"/>
        <v>0</v>
      </c>
      <c r="J26" s="29"/>
      <c r="K26" s="29">
        <v>2200</v>
      </c>
      <c r="L26" s="29">
        <f t="shared" si="1"/>
        <v>264000</v>
      </c>
      <c r="M26" s="29"/>
      <c r="N26" s="29"/>
      <c r="O26" s="29"/>
      <c r="P26" s="29">
        <f t="shared" si="2"/>
        <v>264000</v>
      </c>
      <c r="Q26" s="55"/>
    </row>
    <row r="27" spans="4:17" ht="23.1" customHeight="1" x14ac:dyDescent="0.15">
      <c r="D27" s="8" t="s">
        <v>145</v>
      </c>
      <c r="E27" s="8" t="s">
        <v>129</v>
      </c>
      <c r="F27" s="9" t="s">
        <v>143</v>
      </c>
      <c r="G27" s="35">
        <v>8</v>
      </c>
      <c r="H27" s="29"/>
      <c r="I27" s="29">
        <f t="shared" si="0"/>
        <v>0</v>
      </c>
      <c r="J27" s="29"/>
      <c r="K27" s="29">
        <v>65000</v>
      </c>
      <c r="L27" s="29">
        <f t="shared" si="1"/>
        <v>520000</v>
      </c>
      <c r="M27" s="29"/>
      <c r="N27" s="29"/>
      <c r="O27" s="29"/>
      <c r="P27" s="29">
        <f t="shared" si="2"/>
        <v>520000</v>
      </c>
      <c r="Q27" s="55"/>
    </row>
    <row r="28" spans="4:17" ht="23.1" customHeight="1" x14ac:dyDescent="0.15">
      <c r="D28" s="8" t="s">
        <v>117</v>
      </c>
      <c r="E28" s="8" t="s">
        <v>142</v>
      </c>
      <c r="F28" s="9" t="s">
        <v>143</v>
      </c>
      <c r="G28" s="35">
        <v>15</v>
      </c>
      <c r="H28" s="29"/>
      <c r="I28" s="29"/>
      <c r="J28" s="29"/>
      <c r="K28" s="29">
        <v>55000</v>
      </c>
      <c r="L28" s="29">
        <f t="shared" si="1"/>
        <v>825000</v>
      </c>
      <c r="M28" s="29"/>
      <c r="N28" s="29"/>
      <c r="O28" s="29"/>
      <c r="P28" s="29">
        <f t="shared" si="2"/>
        <v>825000</v>
      </c>
      <c r="Q28" s="55"/>
    </row>
    <row r="29" spans="4:17" ht="23.1" customHeight="1" x14ac:dyDescent="0.15">
      <c r="D29" s="8" t="s">
        <v>121</v>
      </c>
      <c r="E29" s="8" t="s">
        <v>144</v>
      </c>
      <c r="F29" s="9" t="s">
        <v>123</v>
      </c>
      <c r="G29" s="35">
        <v>23</v>
      </c>
      <c r="H29" s="29"/>
      <c r="I29" s="29"/>
      <c r="J29" s="29"/>
      <c r="K29" s="29">
        <v>15000</v>
      </c>
      <c r="L29" s="29">
        <f t="shared" si="1"/>
        <v>345000</v>
      </c>
      <c r="M29" s="29"/>
      <c r="N29" s="29"/>
      <c r="O29" s="29"/>
      <c r="P29" s="29">
        <f t="shared" si="2"/>
        <v>345000</v>
      </c>
      <c r="Q29" s="55"/>
    </row>
    <row r="30" spans="4:17" ht="23.1" customHeight="1" x14ac:dyDescent="0.15">
      <c r="D30" s="8" t="s">
        <v>124</v>
      </c>
      <c r="E30" s="8" t="s">
        <v>116</v>
      </c>
      <c r="F30" s="9" t="s">
        <v>143</v>
      </c>
      <c r="G30" s="35">
        <v>8</v>
      </c>
      <c r="H30" s="29"/>
      <c r="I30" s="29">
        <f t="shared" si="0"/>
        <v>0</v>
      </c>
      <c r="J30" s="29"/>
      <c r="K30" s="29">
        <v>38000</v>
      </c>
      <c r="L30" s="29">
        <f t="shared" si="1"/>
        <v>304000</v>
      </c>
      <c r="M30" s="29"/>
      <c r="N30" s="29"/>
      <c r="O30" s="29"/>
      <c r="P30" s="29">
        <f t="shared" si="2"/>
        <v>304000</v>
      </c>
      <c r="Q30" s="55"/>
    </row>
    <row r="31" spans="4:17" ht="23.1" customHeight="1" x14ac:dyDescent="0.15">
      <c r="D31" s="8" t="s">
        <v>124</v>
      </c>
      <c r="E31" s="8" t="s">
        <v>146</v>
      </c>
      <c r="F31" s="9" t="s">
        <v>143</v>
      </c>
      <c r="G31" s="35">
        <v>15</v>
      </c>
      <c r="H31" s="29"/>
      <c r="I31" s="29"/>
      <c r="J31" s="29"/>
      <c r="K31" s="29">
        <v>24500</v>
      </c>
      <c r="L31" s="29">
        <f t="shared" si="1"/>
        <v>367500</v>
      </c>
      <c r="M31" s="29"/>
      <c r="N31" s="29"/>
      <c r="O31" s="29"/>
      <c r="P31" s="29">
        <f t="shared" si="2"/>
        <v>367500</v>
      </c>
      <c r="Q31" s="55"/>
    </row>
    <row r="32" spans="4:17" ht="23.1" customHeight="1" x14ac:dyDescent="0.15">
      <c r="D32" s="8" t="s">
        <v>132</v>
      </c>
      <c r="E32" s="8" t="s">
        <v>147</v>
      </c>
      <c r="F32" s="9" t="s">
        <v>73</v>
      </c>
      <c r="G32" s="35">
        <v>33</v>
      </c>
      <c r="H32" s="29">
        <v>13000</v>
      </c>
      <c r="I32" s="29">
        <f>H32*G32</f>
        <v>429000</v>
      </c>
      <c r="J32" s="29"/>
      <c r="K32" s="29">
        <v>15000</v>
      </c>
      <c r="L32" s="29">
        <f t="shared" si="1"/>
        <v>495000</v>
      </c>
      <c r="M32" s="29"/>
      <c r="N32" s="29"/>
      <c r="O32" s="29"/>
      <c r="P32" s="29">
        <f t="shared" si="2"/>
        <v>924000</v>
      </c>
      <c r="Q32" s="55"/>
    </row>
    <row r="33" spans="4:17" ht="23.1" customHeight="1" x14ac:dyDescent="0.15">
      <c r="D33" s="47" t="s">
        <v>133</v>
      </c>
      <c r="E33" s="8" t="s">
        <v>134</v>
      </c>
      <c r="F33" s="9" t="s">
        <v>123</v>
      </c>
      <c r="G33" s="48">
        <v>22</v>
      </c>
      <c r="H33" s="30">
        <v>1200</v>
      </c>
      <c r="I33" s="29">
        <f t="shared" ref="I33:I49" si="3">H33*G33</f>
        <v>26400</v>
      </c>
      <c r="J33" s="29"/>
      <c r="K33" s="29"/>
      <c r="L33" s="29">
        <f t="shared" si="1"/>
        <v>0</v>
      </c>
      <c r="M33" s="29"/>
      <c r="N33" s="29"/>
      <c r="O33" s="29"/>
      <c r="P33" s="29">
        <f t="shared" si="2"/>
        <v>26400</v>
      </c>
      <c r="Q33" s="55"/>
    </row>
    <row r="34" spans="4:17" ht="23.1" customHeight="1" x14ac:dyDescent="0.15">
      <c r="D34" s="47" t="s">
        <v>133</v>
      </c>
      <c r="E34" s="47" t="s">
        <v>78</v>
      </c>
      <c r="F34" s="9" t="s">
        <v>123</v>
      </c>
      <c r="G34" s="49">
        <v>176</v>
      </c>
      <c r="H34" s="50">
        <v>80</v>
      </c>
      <c r="I34" s="29">
        <f t="shared" si="3"/>
        <v>14080</v>
      </c>
      <c r="J34" s="29"/>
      <c r="K34" s="29"/>
      <c r="L34" s="29">
        <f t="shared" si="1"/>
        <v>0</v>
      </c>
      <c r="M34" s="29"/>
      <c r="N34" s="29"/>
      <c r="O34" s="29"/>
      <c r="P34" s="29">
        <f t="shared" si="2"/>
        <v>14080</v>
      </c>
      <c r="Q34" s="55"/>
    </row>
    <row r="35" spans="4:17" ht="23.1" customHeight="1" x14ac:dyDescent="0.15">
      <c r="D35" s="47" t="s">
        <v>133</v>
      </c>
      <c r="E35" s="8" t="s">
        <v>135</v>
      </c>
      <c r="F35" s="9" t="s">
        <v>123</v>
      </c>
      <c r="G35" s="32">
        <v>11</v>
      </c>
      <c r="H35" s="30">
        <v>1500</v>
      </c>
      <c r="I35" s="29">
        <f t="shared" si="3"/>
        <v>16500</v>
      </c>
      <c r="J35" s="29"/>
      <c r="K35" s="29"/>
      <c r="L35" s="29">
        <f t="shared" si="1"/>
        <v>0</v>
      </c>
      <c r="M35" s="29"/>
      <c r="N35" s="29"/>
      <c r="O35" s="29"/>
      <c r="P35" s="29">
        <f t="shared" si="2"/>
        <v>16500</v>
      </c>
      <c r="Q35" s="55"/>
    </row>
    <row r="36" spans="4:17" ht="23.1" customHeight="1" x14ac:dyDescent="0.15">
      <c r="D36" s="8" t="s">
        <v>136</v>
      </c>
      <c r="E36" s="8" t="s">
        <v>151</v>
      </c>
      <c r="F36" s="9" t="s">
        <v>123</v>
      </c>
      <c r="G36" s="35">
        <v>12</v>
      </c>
      <c r="H36" s="29">
        <v>8000</v>
      </c>
      <c r="I36" s="29">
        <f t="shared" si="3"/>
        <v>96000</v>
      </c>
      <c r="J36" s="29"/>
      <c r="K36" s="29">
        <v>8000</v>
      </c>
      <c r="L36" s="29">
        <f t="shared" si="1"/>
        <v>96000</v>
      </c>
      <c r="M36" s="29"/>
      <c r="N36" s="29"/>
      <c r="O36" s="29"/>
      <c r="P36" s="29">
        <f t="shared" si="2"/>
        <v>192000</v>
      </c>
      <c r="Q36" s="55"/>
    </row>
    <row r="37" spans="4:17" ht="23.1" customHeight="1" x14ac:dyDescent="0.15">
      <c r="D37" s="8" t="s">
        <v>137</v>
      </c>
      <c r="E37" s="8" t="s">
        <v>129</v>
      </c>
      <c r="F37" s="9" t="s">
        <v>119</v>
      </c>
      <c r="G37" s="35">
        <v>80</v>
      </c>
      <c r="H37" s="29">
        <v>7000</v>
      </c>
      <c r="I37" s="29">
        <f t="shared" si="3"/>
        <v>560000</v>
      </c>
      <c r="J37" s="29"/>
      <c r="K37" s="29">
        <v>12500</v>
      </c>
      <c r="L37" s="29">
        <f t="shared" si="1"/>
        <v>1000000</v>
      </c>
      <c r="M37" s="29"/>
      <c r="N37" s="29"/>
      <c r="O37" s="29"/>
      <c r="P37" s="29">
        <f t="shared" si="2"/>
        <v>1560000</v>
      </c>
      <c r="Q37" s="55"/>
    </row>
    <row r="38" spans="4:17" ht="23.1" customHeight="1" x14ac:dyDescent="0.15">
      <c r="D38" s="8" t="s">
        <v>137</v>
      </c>
      <c r="E38" s="8" t="s">
        <v>148</v>
      </c>
      <c r="F38" s="9" t="s">
        <v>119</v>
      </c>
      <c r="G38" s="35">
        <v>170</v>
      </c>
      <c r="H38" s="29">
        <v>5800</v>
      </c>
      <c r="I38" s="29">
        <f t="shared" si="3"/>
        <v>986000</v>
      </c>
      <c r="J38" s="29"/>
      <c r="K38" s="29">
        <v>9000</v>
      </c>
      <c r="L38" s="29">
        <f t="shared" si="1"/>
        <v>1530000</v>
      </c>
      <c r="M38" s="29"/>
      <c r="N38" s="29"/>
      <c r="O38" s="29"/>
      <c r="P38" s="29">
        <f t="shared" si="2"/>
        <v>2516000</v>
      </c>
      <c r="Q38" s="55"/>
    </row>
    <row r="39" spans="4:17" ht="23.1" customHeight="1" x14ac:dyDescent="0.15">
      <c r="D39" s="8" t="s">
        <v>138</v>
      </c>
      <c r="E39" s="8" t="s">
        <v>131</v>
      </c>
      <c r="F39" s="9" t="s">
        <v>119</v>
      </c>
      <c r="G39" s="35">
        <v>240</v>
      </c>
      <c r="H39" s="29">
        <v>16500</v>
      </c>
      <c r="I39" s="29">
        <f t="shared" si="3"/>
        <v>3960000</v>
      </c>
      <c r="J39" s="29"/>
      <c r="K39" s="29">
        <v>4400</v>
      </c>
      <c r="L39" s="29">
        <f t="shared" si="1"/>
        <v>1056000</v>
      </c>
      <c r="M39" s="29"/>
      <c r="N39" s="29"/>
      <c r="O39" s="29"/>
      <c r="P39" s="29">
        <f t="shared" si="2"/>
        <v>5016000</v>
      </c>
      <c r="Q39" s="55"/>
    </row>
    <row r="40" spans="4:17" ht="23.1" customHeight="1" x14ac:dyDescent="0.15">
      <c r="D40" s="8" t="s">
        <v>138</v>
      </c>
      <c r="E40" s="8" t="s">
        <v>146</v>
      </c>
      <c r="F40" s="9" t="s">
        <v>119</v>
      </c>
      <c r="G40" s="35">
        <v>640</v>
      </c>
      <c r="H40" s="29">
        <v>6500</v>
      </c>
      <c r="I40" s="29">
        <f t="shared" si="3"/>
        <v>4160000</v>
      </c>
      <c r="J40" s="29"/>
      <c r="K40" s="29">
        <v>3800</v>
      </c>
      <c r="L40" s="29">
        <f t="shared" si="1"/>
        <v>2432000</v>
      </c>
      <c r="M40" s="29"/>
      <c r="N40" s="29"/>
      <c r="O40" s="29"/>
      <c r="P40" s="29">
        <f t="shared" si="2"/>
        <v>6592000</v>
      </c>
      <c r="Q40" s="55"/>
    </row>
    <row r="41" spans="4:17" ht="23.1" customHeight="1" x14ac:dyDescent="0.15">
      <c r="D41" s="8" t="s">
        <v>155</v>
      </c>
      <c r="E41" s="8" t="s">
        <v>156</v>
      </c>
      <c r="F41" s="9" t="s">
        <v>157</v>
      </c>
      <c r="G41" s="35">
        <v>6</v>
      </c>
      <c r="H41" s="29">
        <v>80000</v>
      </c>
      <c r="I41" s="29">
        <f t="shared" si="3"/>
        <v>480000</v>
      </c>
      <c r="J41" s="29"/>
      <c r="K41" s="29">
        <v>30000</v>
      </c>
      <c r="L41" s="29">
        <f t="shared" si="1"/>
        <v>180000</v>
      </c>
      <c r="M41" s="29"/>
      <c r="N41" s="29"/>
      <c r="O41" s="29"/>
      <c r="P41" s="29">
        <f t="shared" si="2"/>
        <v>660000</v>
      </c>
      <c r="Q41" s="57"/>
    </row>
    <row r="42" spans="4:17" ht="23.1" customHeight="1" x14ac:dyDescent="0.15">
      <c r="D42" s="8" t="s">
        <v>139</v>
      </c>
      <c r="E42" s="8" t="s">
        <v>130</v>
      </c>
      <c r="F42" s="9" t="s">
        <v>123</v>
      </c>
      <c r="G42" s="35">
        <v>8</v>
      </c>
      <c r="H42" s="29"/>
      <c r="I42" s="29">
        <f t="shared" si="3"/>
        <v>0</v>
      </c>
      <c r="J42" s="29"/>
      <c r="K42" s="29">
        <v>32000</v>
      </c>
      <c r="L42" s="29">
        <f t="shared" si="1"/>
        <v>256000</v>
      </c>
      <c r="M42" s="29"/>
      <c r="N42" s="29"/>
      <c r="O42" s="29"/>
      <c r="P42" s="29">
        <f t="shared" si="2"/>
        <v>256000</v>
      </c>
      <c r="Q42" s="55"/>
    </row>
    <row r="43" spans="4:17" ht="23.1" customHeight="1" x14ac:dyDescent="0.15">
      <c r="D43" s="8" t="s">
        <v>139</v>
      </c>
      <c r="E43" s="8" t="s">
        <v>149</v>
      </c>
      <c r="F43" s="9" t="s">
        <v>123</v>
      </c>
      <c r="G43" s="35">
        <v>14</v>
      </c>
      <c r="H43" s="29"/>
      <c r="I43" s="29">
        <f t="shared" si="3"/>
        <v>0</v>
      </c>
      <c r="J43" s="29"/>
      <c r="K43" s="29">
        <v>30000</v>
      </c>
      <c r="L43" s="29">
        <f t="shared" si="1"/>
        <v>420000</v>
      </c>
      <c r="M43" s="29"/>
      <c r="N43" s="29"/>
      <c r="O43" s="29"/>
      <c r="P43" s="29">
        <f t="shared" si="2"/>
        <v>420000</v>
      </c>
      <c r="Q43" s="55"/>
    </row>
    <row r="44" spans="4:17" ht="23.1" customHeight="1" x14ac:dyDescent="0.15">
      <c r="D44" s="47" t="s">
        <v>99</v>
      </c>
      <c r="E44" s="8" t="s">
        <v>100</v>
      </c>
      <c r="F44" s="9" t="s">
        <v>101</v>
      </c>
      <c r="G44" s="32">
        <v>36</v>
      </c>
      <c r="H44" s="30">
        <v>10500</v>
      </c>
      <c r="I44" s="29">
        <f t="shared" si="3"/>
        <v>378000</v>
      </c>
      <c r="J44" s="29"/>
      <c r="K44" s="29">
        <v>10000</v>
      </c>
      <c r="L44" s="29">
        <f t="shared" si="1"/>
        <v>360000</v>
      </c>
      <c r="M44" s="29"/>
      <c r="N44" s="29"/>
      <c r="O44" s="29"/>
      <c r="P44" s="29">
        <f t="shared" si="2"/>
        <v>738000</v>
      </c>
      <c r="Q44" s="53"/>
    </row>
    <row r="45" spans="4:17" ht="23.1" customHeight="1" x14ac:dyDescent="0.15">
      <c r="D45" s="47" t="s">
        <v>99</v>
      </c>
      <c r="E45" s="8" t="s">
        <v>111</v>
      </c>
      <c r="F45" s="9" t="s">
        <v>101</v>
      </c>
      <c r="G45" s="32">
        <v>12</v>
      </c>
      <c r="H45" s="30">
        <v>3000</v>
      </c>
      <c r="I45" s="29">
        <f t="shared" si="3"/>
        <v>36000</v>
      </c>
      <c r="J45" s="29"/>
      <c r="K45" s="29">
        <v>4000</v>
      </c>
      <c r="L45" s="29">
        <f t="shared" si="1"/>
        <v>48000</v>
      </c>
      <c r="M45" s="29"/>
      <c r="N45" s="29"/>
      <c r="O45" s="29"/>
      <c r="P45" s="29">
        <f t="shared" si="2"/>
        <v>84000</v>
      </c>
      <c r="Q45" s="53"/>
    </row>
    <row r="46" spans="4:17" ht="23.1" customHeight="1" x14ac:dyDescent="0.15">
      <c r="D46" s="8" t="s">
        <v>140</v>
      </c>
      <c r="E46" s="8" t="s">
        <v>150</v>
      </c>
      <c r="F46" s="9" t="s">
        <v>141</v>
      </c>
      <c r="G46" s="35">
        <v>1</v>
      </c>
      <c r="H46" s="29">
        <v>100000</v>
      </c>
      <c r="I46" s="29">
        <f t="shared" si="3"/>
        <v>100000</v>
      </c>
      <c r="J46" s="29"/>
      <c r="K46" s="29">
        <v>300000</v>
      </c>
      <c r="L46" s="29">
        <f t="shared" si="1"/>
        <v>300000</v>
      </c>
      <c r="M46" s="29"/>
      <c r="N46" s="29"/>
      <c r="O46" s="29"/>
      <c r="P46" s="29">
        <f t="shared" si="2"/>
        <v>400000</v>
      </c>
      <c r="Q46" s="55"/>
    </row>
    <row r="47" spans="4:17" ht="23.1" customHeight="1" x14ac:dyDescent="0.15">
      <c r="D47" s="34" t="s">
        <v>80</v>
      </c>
      <c r="E47" s="34" t="s">
        <v>106</v>
      </c>
      <c r="F47" s="9" t="s">
        <v>107</v>
      </c>
      <c r="G47" s="35">
        <v>1</v>
      </c>
      <c r="H47" s="29">
        <v>3500000</v>
      </c>
      <c r="I47" s="29">
        <f t="shared" si="3"/>
        <v>3500000</v>
      </c>
      <c r="J47" s="29"/>
      <c r="K47" s="29"/>
      <c r="L47" s="29">
        <f t="shared" si="1"/>
        <v>0</v>
      </c>
      <c r="M47" s="29"/>
      <c r="N47" s="29"/>
      <c r="O47" s="29"/>
      <c r="P47" s="29">
        <f t="shared" si="2"/>
        <v>3500000</v>
      </c>
      <c r="Q47" s="51"/>
    </row>
    <row r="48" spans="4:17" ht="23.1" customHeight="1" x14ac:dyDescent="0.15">
      <c r="D48" s="34" t="s">
        <v>102</v>
      </c>
      <c r="E48" s="34" t="s">
        <v>103</v>
      </c>
      <c r="F48" s="9" t="s">
        <v>104</v>
      </c>
      <c r="G48" s="35">
        <v>4</v>
      </c>
      <c r="H48" s="29">
        <v>500000</v>
      </c>
      <c r="I48" s="29">
        <f t="shared" si="3"/>
        <v>2000000</v>
      </c>
      <c r="J48" s="29"/>
      <c r="K48" s="29"/>
      <c r="L48" s="29">
        <f t="shared" si="1"/>
        <v>0</v>
      </c>
      <c r="M48" s="29"/>
      <c r="N48" s="29"/>
      <c r="O48" s="29"/>
      <c r="P48" s="29">
        <f t="shared" si="2"/>
        <v>2000000</v>
      </c>
      <c r="Q48" s="53"/>
    </row>
    <row r="49" spans="4:17" ht="23.1" customHeight="1" x14ac:dyDescent="0.15">
      <c r="D49" s="33" t="s">
        <v>29</v>
      </c>
      <c r="E49" s="33"/>
      <c r="F49" s="9" t="s">
        <v>1</v>
      </c>
      <c r="G49" s="32">
        <v>1</v>
      </c>
      <c r="H49" s="30">
        <v>1000000</v>
      </c>
      <c r="I49" s="29">
        <f t="shared" si="3"/>
        <v>1000000</v>
      </c>
      <c r="J49" s="30"/>
      <c r="K49" s="30"/>
      <c r="L49" s="29">
        <f t="shared" si="1"/>
        <v>0</v>
      </c>
      <c r="M49" s="30"/>
      <c r="N49" s="31"/>
      <c r="O49" s="30"/>
      <c r="P49" s="29">
        <f t="shared" si="2"/>
        <v>1000000</v>
      </c>
      <c r="Q49" s="33"/>
    </row>
    <row r="50" spans="4:17" ht="23.1" customHeight="1" x14ac:dyDescent="0.15">
      <c r="D50" s="33" t="s">
        <v>12</v>
      </c>
      <c r="E50" s="33" t="s">
        <v>108</v>
      </c>
      <c r="F50" s="9" t="s">
        <v>30</v>
      </c>
      <c r="G50" s="32">
        <v>15</v>
      </c>
      <c r="H50" s="30"/>
      <c r="I50" s="29">
        <f t="shared" si="0"/>
        <v>0</v>
      </c>
      <c r="J50" s="30"/>
      <c r="K50" s="30">
        <v>150000</v>
      </c>
      <c r="L50" s="29">
        <f t="shared" si="1"/>
        <v>2250000</v>
      </c>
      <c r="M50" s="30"/>
      <c r="N50" s="31"/>
      <c r="O50" s="30"/>
      <c r="P50" s="29">
        <f t="shared" si="2"/>
        <v>2250000</v>
      </c>
      <c r="Q50" s="33"/>
    </row>
    <row r="51" spans="4:17" ht="23.1" customHeight="1" x14ac:dyDescent="0.15">
      <c r="D51" s="33" t="s">
        <v>27</v>
      </c>
      <c r="E51" s="33" t="s">
        <v>28</v>
      </c>
      <c r="F51" s="9" t="s">
        <v>1</v>
      </c>
      <c r="G51" s="32">
        <v>1</v>
      </c>
      <c r="H51" s="30">
        <f>L52*0.03</f>
        <v>1018749</v>
      </c>
      <c r="I51" s="29">
        <f t="shared" si="0"/>
        <v>1018749</v>
      </c>
      <c r="J51" s="30"/>
      <c r="K51" s="30"/>
      <c r="L51" s="29">
        <f t="shared" si="1"/>
        <v>0</v>
      </c>
      <c r="M51" s="30"/>
      <c r="N51" s="31"/>
      <c r="O51" s="30"/>
      <c r="P51" s="29">
        <f t="shared" si="2"/>
        <v>1018749</v>
      </c>
      <c r="Q51" s="33"/>
    </row>
    <row r="52" spans="4:17" ht="23.1" customHeight="1" x14ac:dyDescent="0.15">
      <c r="D52" s="8" t="s">
        <v>26</v>
      </c>
      <c r="E52" s="8"/>
      <c r="F52" s="9"/>
      <c r="G52" s="32"/>
      <c r="H52" s="30"/>
      <c r="I52" s="29">
        <f>SUM(I5:I51)</f>
        <v>75483189</v>
      </c>
      <c r="J52" s="30"/>
      <c r="K52" s="30"/>
      <c r="L52" s="31">
        <f>SUM(L4:L51)</f>
        <v>33958300</v>
      </c>
      <c r="M52" s="30"/>
      <c r="N52" s="31"/>
      <c r="O52" s="30"/>
      <c r="P52" s="29">
        <f>SUM(P5:P51)</f>
        <v>109441489</v>
      </c>
      <c r="Q52" s="33"/>
    </row>
  </sheetData>
  <mergeCells count="14">
    <mergeCell ref="A2:A3"/>
    <mergeCell ref="B2:B3"/>
    <mergeCell ref="C2:C3"/>
    <mergeCell ref="W1:Y1"/>
    <mergeCell ref="D1:N1"/>
    <mergeCell ref="E2:E3"/>
    <mergeCell ref="D2:D3"/>
    <mergeCell ref="J2:L2"/>
    <mergeCell ref="M2:N2"/>
    <mergeCell ref="G2:G3"/>
    <mergeCell ref="H2:I2"/>
    <mergeCell ref="P2:P3"/>
    <mergeCell ref="F2:F3"/>
    <mergeCell ref="Q2:Q3"/>
  </mergeCells>
  <phoneticPr fontId="2" type="noConversion"/>
  <printOptions horizontalCentered="1" verticalCentered="1"/>
  <pageMargins left="0.31496062992125984" right="0.19685039370078741" top="0.59055118110236227" bottom="0.59055118110236227" header="0.51181102362204722" footer="0.47244094488188981"/>
  <pageSetup paperSize="9" scale="80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표지</vt:lpstr>
      <vt:lpstr>전기내역서</vt:lpstr>
      <vt:lpstr>표지!Print_Area</vt:lpstr>
      <vt:lpstr>전기내역서!Print_Titles</vt:lpstr>
    </vt:vector>
  </TitlesOfParts>
  <Company>이지테크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owner</cp:lastModifiedBy>
  <cp:lastPrinted>2022-04-21T04:57:22Z</cp:lastPrinted>
  <dcterms:created xsi:type="dcterms:W3CDTF">2002-09-09T02:35:17Z</dcterms:created>
  <dcterms:modified xsi:type="dcterms:W3CDTF">2022-04-27T05:02:43Z</dcterms:modified>
</cp:coreProperties>
</file>