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A\Desktop\price_analyzer\보안해제_필요\"/>
    </mc:Choice>
  </mc:AlternateContent>
  <xr:revisionPtr revIDLastSave="0" documentId="8_{419B14B6-D834-4D0F-BC96-B4289BF73B04}" xr6:coauthVersionLast="47" xr6:coauthVersionMax="47" xr10:uidLastSave="{00000000-0000-0000-0000-000000000000}"/>
  <bookViews>
    <workbookView xWindow="28680" yWindow="-120" windowWidth="29040" windowHeight="17520" xr2:uid="{B1ED7411-707C-4112-B707-6CCCE3F04E18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  <sheet name="단위장비2" sheetId="6" r:id="rId6"/>
    <sheet name="단위장비3" sheetId="7" r:id="rId7"/>
    <sheet name="단위장비4" sheetId="8" r:id="rId8"/>
    <sheet name="단위장비5" sheetId="9" r:id="rId9"/>
    <sheet name="단위장비6" sheetId="10" r:id="rId10"/>
    <sheet name="단위장비7" sheetId="11" r:id="rId11"/>
    <sheet name="단위장비8" sheetId="12" r:id="rId12"/>
    <sheet name="단위장비9" sheetId="13" r:id="rId13"/>
    <sheet name="단위장비10" sheetId="14" r:id="rId14"/>
    <sheet name="첨부(견적조건차이내역)" sheetId="15" r:id="rId15"/>
  </sheets>
  <definedNames>
    <definedName name="_xlnm._FilterDatabase" localSheetId="4" hidden="1">단위장비1!$A$2:$I$54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4" i="14" l="1"/>
  <c r="H63" i="14"/>
  <c r="H62" i="14"/>
  <c r="H61" i="14"/>
  <c r="H60" i="14"/>
  <c r="H59" i="14"/>
  <c r="H58" i="14"/>
  <c r="H57" i="14"/>
  <c r="H65" i="14" s="1"/>
  <c r="H16" i="3" s="1"/>
  <c r="H54" i="14"/>
  <c r="H53" i="14"/>
  <c r="H52" i="14"/>
  <c r="H51" i="14"/>
  <c r="H50" i="14"/>
  <c r="H49" i="14"/>
  <c r="H48" i="14"/>
  <c r="H55" i="14" s="1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47" i="14" s="1"/>
  <c r="H30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4" i="14" s="1"/>
  <c r="H64" i="13"/>
  <c r="H63" i="13"/>
  <c r="H62" i="13"/>
  <c r="H61" i="13"/>
  <c r="H60" i="13"/>
  <c r="H59" i="13"/>
  <c r="H58" i="13"/>
  <c r="H57" i="13"/>
  <c r="H54" i="13"/>
  <c r="H53" i="13"/>
  <c r="H52" i="13"/>
  <c r="H51" i="13"/>
  <c r="H50" i="13"/>
  <c r="H49" i="13"/>
  <c r="H55" i="13" s="1"/>
  <c r="H56" i="13" s="1"/>
  <c r="H48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47" i="13" s="1"/>
  <c r="H29" i="13"/>
  <c r="H28" i="13"/>
  <c r="H27" i="13"/>
  <c r="H26" i="13"/>
  <c r="H25" i="13"/>
  <c r="H30" i="13" s="1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4" i="13" s="1"/>
  <c r="H64" i="12"/>
  <c r="H63" i="12"/>
  <c r="H62" i="12"/>
  <c r="H61" i="12"/>
  <c r="H60" i="12"/>
  <c r="H59" i="12"/>
  <c r="H65" i="12" s="1"/>
  <c r="H58" i="12"/>
  <c r="H57" i="12"/>
  <c r="H54" i="12"/>
  <c r="H53" i="12"/>
  <c r="H52" i="12"/>
  <c r="H51" i="12"/>
  <c r="H50" i="12"/>
  <c r="H49" i="12"/>
  <c r="H48" i="12"/>
  <c r="H55" i="12" s="1"/>
  <c r="H46" i="12"/>
  <c r="H45" i="12"/>
  <c r="H44" i="12"/>
  <c r="H43" i="12"/>
  <c r="H42" i="12"/>
  <c r="H41" i="12"/>
  <c r="H40" i="12"/>
  <c r="H39" i="12"/>
  <c r="H38" i="12"/>
  <c r="H37" i="12"/>
  <c r="H36" i="12"/>
  <c r="H35" i="12"/>
  <c r="H47" i="12" s="1"/>
  <c r="H34" i="12"/>
  <c r="H33" i="12"/>
  <c r="H32" i="12"/>
  <c r="H31" i="12"/>
  <c r="H30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24" i="12" s="1"/>
  <c r="H4" i="12"/>
  <c r="H3" i="12"/>
  <c r="H64" i="11"/>
  <c r="H63" i="11"/>
  <c r="H62" i="11"/>
  <c r="H61" i="11"/>
  <c r="G13" i="3" s="1"/>
  <c r="H60" i="11"/>
  <c r="H59" i="11"/>
  <c r="H65" i="11" s="1"/>
  <c r="H58" i="11"/>
  <c r="H57" i="11"/>
  <c r="H54" i="11"/>
  <c r="H53" i="11"/>
  <c r="H52" i="11"/>
  <c r="H51" i="11"/>
  <c r="H50" i="11"/>
  <c r="H49" i="11"/>
  <c r="H48" i="11"/>
  <c r="H55" i="11" s="1"/>
  <c r="H46" i="11"/>
  <c r="H45" i="11"/>
  <c r="H44" i="11"/>
  <c r="H43" i="11"/>
  <c r="H42" i="11"/>
  <c r="H41" i="11"/>
  <c r="H40" i="11"/>
  <c r="H39" i="11"/>
  <c r="H38" i="11"/>
  <c r="H37" i="11"/>
  <c r="H36" i="11"/>
  <c r="H35" i="11"/>
  <c r="H47" i="11" s="1"/>
  <c r="H34" i="11"/>
  <c r="H33" i="11"/>
  <c r="H32" i="11"/>
  <c r="H31" i="11"/>
  <c r="H29" i="11"/>
  <c r="H28" i="11"/>
  <c r="H27" i="11"/>
  <c r="H26" i="11"/>
  <c r="H25" i="11"/>
  <c r="H30" i="11" s="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24" i="11" s="1"/>
  <c r="H5" i="11"/>
  <c r="H4" i="11"/>
  <c r="H3" i="11"/>
  <c r="H64" i="10"/>
  <c r="H63" i="10"/>
  <c r="H62" i="10"/>
  <c r="H61" i="10"/>
  <c r="I16" i="2" s="1"/>
  <c r="H60" i="10"/>
  <c r="H59" i="10"/>
  <c r="H58" i="10"/>
  <c r="H57" i="10"/>
  <c r="H65" i="10" s="1"/>
  <c r="H54" i="10"/>
  <c r="H53" i="10"/>
  <c r="H52" i="10"/>
  <c r="H51" i="10"/>
  <c r="H50" i="10"/>
  <c r="H49" i="10"/>
  <c r="H55" i="10" s="1"/>
  <c r="H48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47" i="10" s="1"/>
  <c r="H29" i="10"/>
  <c r="H28" i="10"/>
  <c r="H27" i="10"/>
  <c r="H26" i="10"/>
  <c r="H25" i="10"/>
  <c r="H30" i="10" s="1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4" i="10" s="1"/>
  <c r="H63" i="9"/>
  <c r="H62" i="9"/>
  <c r="H11" i="3" s="1"/>
  <c r="H61" i="9"/>
  <c r="H60" i="9"/>
  <c r="H59" i="9"/>
  <c r="H58" i="9"/>
  <c r="H64" i="9" s="1"/>
  <c r="H57" i="9"/>
  <c r="H56" i="9"/>
  <c r="H53" i="9"/>
  <c r="H52" i="9"/>
  <c r="H51" i="9"/>
  <c r="H50" i="9"/>
  <c r="H49" i="9"/>
  <c r="H48" i="9"/>
  <c r="H54" i="9" s="1"/>
  <c r="H47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46" i="9" s="1"/>
  <c r="H28" i="9"/>
  <c r="H27" i="9"/>
  <c r="H26" i="9"/>
  <c r="H25" i="9"/>
  <c r="H24" i="9"/>
  <c r="H29" i="9" s="1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3" i="9" s="1"/>
  <c r="H64" i="8"/>
  <c r="H63" i="8"/>
  <c r="H62" i="8"/>
  <c r="I17" i="2" s="1"/>
  <c r="H61" i="8"/>
  <c r="H60" i="8"/>
  <c r="H59" i="8"/>
  <c r="H58" i="8"/>
  <c r="H57" i="8"/>
  <c r="E10" i="3" s="1"/>
  <c r="H54" i="8"/>
  <c r="H53" i="8"/>
  <c r="H52" i="8"/>
  <c r="H51" i="8"/>
  <c r="H50" i="8"/>
  <c r="H55" i="8" s="1"/>
  <c r="H56" i="8" s="1"/>
  <c r="H49" i="8"/>
  <c r="H48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47" i="8" s="1"/>
  <c r="H29" i="8"/>
  <c r="H28" i="8"/>
  <c r="H27" i="8"/>
  <c r="H26" i="8"/>
  <c r="H25" i="8"/>
  <c r="H30" i="8" s="1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4" i="8" s="1"/>
  <c r="H64" i="7"/>
  <c r="F9" i="3" s="1"/>
  <c r="H63" i="7"/>
  <c r="H62" i="7"/>
  <c r="H61" i="7"/>
  <c r="H60" i="7"/>
  <c r="H59" i="7"/>
  <c r="H58" i="7"/>
  <c r="H57" i="7"/>
  <c r="E9" i="3" s="1"/>
  <c r="H54" i="7"/>
  <c r="H53" i="7"/>
  <c r="H52" i="7"/>
  <c r="H51" i="7"/>
  <c r="H50" i="7"/>
  <c r="H49" i="7"/>
  <c r="H48" i="7"/>
  <c r="H55" i="7" s="1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47" i="7" s="1"/>
  <c r="H32" i="7"/>
  <c r="H31" i="7"/>
  <c r="H29" i="7"/>
  <c r="H28" i="7"/>
  <c r="H30" i="7" s="1"/>
  <c r="H27" i="7"/>
  <c r="H26" i="7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24" i="7" s="1"/>
  <c r="H64" i="6"/>
  <c r="H63" i="6"/>
  <c r="H8" i="3" s="1"/>
  <c r="H62" i="6"/>
  <c r="H61" i="6"/>
  <c r="H60" i="6"/>
  <c r="H59" i="6"/>
  <c r="H58" i="6"/>
  <c r="F8" i="3" s="1"/>
  <c r="H57" i="6"/>
  <c r="H54" i="6"/>
  <c r="H53" i="6"/>
  <c r="H52" i="6"/>
  <c r="H51" i="6"/>
  <c r="H55" i="6" s="1"/>
  <c r="H56" i="6" s="1"/>
  <c r="H50" i="6"/>
  <c r="H49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47" i="6" s="1"/>
  <c r="H32" i="6"/>
  <c r="H31" i="6"/>
  <c r="H29" i="6"/>
  <c r="H28" i="6"/>
  <c r="H27" i="6"/>
  <c r="H26" i="6"/>
  <c r="H30" i="6" s="1"/>
  <c r="H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4" i="6" s="1"/>
  <c r="H49" i="5"/>
  <c r="I19" i="2" s="1"/>
  <c r="H48" i="5"/>
  <c r="H47" i="5"/>
  <c r="H46" i="5"/>
  <c r="H45" i="5"/>
  <c r="H44" i="5"/>
  <c r="H43" i="5"/>
  <c r="H42" i="5"/>
  <c r="I12" i="2" s="1"/>
  <c r="H39" i="5"/>
  <c r="H38" i="5"/>
  <c r="H37" i="5"/>
  <c r="H36" i="5"/>
  <c r="H35" i="5"/>
  <c r="H34" i="5"/>
  <c r="H33" i="5"/>
  <c r="H40" i="5" s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32" i="5" s="1"/>
  <c r="H17" i="5"/>
  <c r="H15" i="5"/>
  <c r="H14" i="5"/>
  <c r="H13" i="5"/>
  <c r="H12" i="5"/>
  <c r="H11" i="5"/>
  <c r="H16" i="5" s="1"/>
  <c r="H9" i="5"/>
  <c r="H8" i="5"/>
  <c r="H7" i="5"/>
  <c r="H6" i="5"/>
  <c r="H10" i="5" s="1"/>
  <c r="H5" i="5"/>
  <c r="H4" i="5"/>
  <c r="H3" i="5"/>
  <c r="H62" i="4"/>
  <c r="H61" i="4"/>
  <c r="H60" i="4"/>
  <c r="H59" i="4"/>
  <c r="H58" i="4"/>
  <c r="I27" i="2" s="1"/>
  <c r="H57" i="4"/>
  <c r="H56" i="4"/>
  <c r="H63" i="4" s="1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54" i="4" s="1"/>
  <c r="H15" i="4"/>
  <c r="H14" i="4"/>
  <c r="H13" i="4"/>
  <c r="H12" i="4"/>
  <c r="H11" i="4"/>
  <c r="H10" i="4"/>
  <c r="H16" i="4" s="1"/>
  <c r="I24" i="2" s="1"/>
  <c r="H8" i="4"/>
  <c r="H7" i="4"/>
  <c r="H6" i="4"/>
  <c r="H5" i="4"/>
  <c r="H4" i="4"/>
  <c r="H3" i="4"/>
  <c r="H9" i="4" s="1"/>
  <c r="L16" i="3"/>
  <c r="K16" i="3"/>
  <c r="G16" i="3"/>
  <c r="E16" i="3"/>
  <c r="D16" i="3"/>
  <c r="B16" i="3"/>
  <c r="I16" i="3" s="1"/>
  <c r="A16" i="3"/>
  <c r="H15" i="3"/>
  <c r="G15" i="3"/>
  <c r="E15" i="3"/>
  <c r="D15" i="3"/>
  <c r="B15" i="3"/>
  <c r="A15" i="3" s="1"/>
  <c r="M14" i="3"/>
  <c r="H14" i="3"/>
  <c r="G14" i="3"/>
  <c r="E14" i="3"/>
  <c r="B14" i="3"/>
  <c r="I14" i="3" s="1"/>
  <c r="L13" i="3"/>
  <c r="H66" i="11" s="1"/>
  <c r="K13" i="3"/>
  <c r="I13" i="3"/>
  <c r="H13" i="3"/>
  <c r="F13" i="3"/>
  <c r="E13" i="3"/>
  <c r="B13" i="3"/>
  <c r="A13" i="3"/>
  <c r="H12" i="3"/>
  <c r="G12" i="3"/>
  <c r="F12" i="3"/>
  <c r="E12" i="3"/>
  <c r="B12" i="3"/>
  <c r="G11" i="3"/>
  <c r="F11" i="3"/>
  <c r="E11" i="3"/>
  <c r="B11" i="3"/>
  <c r="H10" i="3"/>
  <c r="F10" i="3"/>
  <c r="B10" i="3"/>
  <c r="H9" i="3"/>
  <c r="G9" i="3"/>
  <c r="B9" i="3"/>
  <c r="G8" i="3"/>
  <c r="E8" i="3"/>
  <c r="B8" i="3"/>
  <c r="H7" i="3"/>
  <c r="H17" i="3" s="1"/>
  <c r="G7" i="3"/>
  <c r="E7" i="3"/>
  <c r="B7" i="3"/>
  <c r="A7" i="3"/>
  <c r="I31" i="2"/>
  <c r="H31" i="2"/>
  <c r="G31" i="2"/>
  <c r="I30" i="2"/>
  <c r="H30" i="2"/>
  <c r="G30" i="2"/>
  <c r="I29" i="2"/>
  <c r="H29" i="2"/>
  <c r="G29" i="2"/>
  <c r="I28" i="2"/>
  <c r="H28" i="2"/>
  <c r="G28" i="2"/>
  <c r="H27" i="2"/>
  <c r="G27" i="2"/>
  <c r="I26" i="2"/>
  <c r="H26" i="2"/>
  <c r="G26" i="2"/>
  <c r="I25" i="2"/>
  <c r="H25" i="2"/>
  <c r="G25" i="2"/>
  <c r="H19" i="2"/>
  <c r="G19" i="2"/>
  <c r="I18" i="2"/>
  <c r="H18" i="2"/>
  <c r="G18" i="2"/>
  <c r="H17" i="2"/>
  <c r="G17" i="2"/>
  <c r="H16" i="2"/>
  <c r="G16" i="2"/>
  <c r="I15" i="2"/>
  <c r="H15" i="2"/>
  <c r="G15" i="2"/>
  <c r="I14" i="2"/>
  <c r="H14" i="2"/>
  <c r="G14" i="2"/>
  <c r="H13" i="2"/>
  <c r="G13" i="2"/>
  <c r="H12" i="2"/>
  <c r="G12" i="2"/>
  <c r="G7" i="2"/>
  <c r="F27" i="1"/>
  <c r="E27" i="1"/>
  <c r="H22" i="1"/>
  <c r="C22" i="1"/>
  <c r="H21" i="1"/>
  <c r="C21" i="1"/>
  <c r="H20" i="1"/>
  <c r="C20" i="1"/>
  <c r="H19" i="1"/>
  <c r="C19" i="1"/>
  <c r="C18" i="1"/>
  <c r="C17" i="1"/>
  <c r="G13" i="1"/>
  <c r="D13" i="1"/>
  <c r="I7" i="2" l="1"/>
  <c r="H56" i="12"/>
  <c r="H55" i="4"/>
  <c r="H65" i="4" s="1"/>
  <c r="E17" i="3"/>
  <c r="D10" i="3"/>
  <c r="H56" i="11"/>
  <c r="H68" i="11" s="1"/>
  <c r="H56" i="7"/>
  <c r="I9" i="2"/>
  <c r="H41" i="5"/>
  <c r="G17" i="3"/>
  <c r="I10" i="2"/>
  <c r="J48" i="2" s="1"/>
  <c r="I48" i="2" s="1"/>
  <c r="H56" i="10"/>
  <c r="H67" i="10" s="1"/>
  <c r="H56" i="14"/>
  <c r="F15" i="3"/>
  <c r="J15" i="3" s="1"/>
  <c r="D8" i="3"/>
  <c r="I32" i="2"/>
  <c r="I8" i="2"/>
  <c r="H55" i="9"/>
  <c r="H66" i="9" s="1"/>
  <c r="G10" i="3"/>
  <c r="K14" i="3"/>
  <c r="I15" i="3"/>
  <c r="H50" i="5"/>
  <c r="H65" i="7"/>
  <c r="I13" i="2"/>
  <c r="I20" i="2" s="1"/>
  <c r="L14" i="3"/>
  <c r="K15" i="3"/>
  <c r="A8" i="3"/>
  <c r="A9" i="3" s="1"/>
  <c r="A10" i="3" s="1"/>
  <c r="A11" i="3" s="1"/>
  <c r="A12" i="3" s="1"/>
  <c r="A14" i="3"/>
  <c r="L15" i="3"/>
  <c r="H65" i="13"/>
  <c r="F7" i="3"/>
  <c r="H65" i="6"/>
  <c r="F14" i="3"/>
  <c r="H65" i="8"/>
  <c r="P8" i="3" l="1"/>
  <c r="H66" i="4"/>
  <c r="H53" i="5"/>
  <c r="H52" i="5"/>
  <c r="J39" i="2"/>
  <c r="D14" i="3"/>
  <c r="D7" i="3"/>
  <c r="H69" i="14"/>
  <c r="M16" i="3" s="1"/>
  <c r="D9" i="3"/>
  <c r="H68" i="10"/>
  <c r="M12" i="3" s="1"/>
  <c r="H68" i="7"/>
  <c r="H67" i="7"/>
  <c r="H68" i="8"/>
  <c r="H67" i="8"/>
  <c r="M10" i="3" s="1"/>
  <c r="D12" i="3"/>
  <c r="P10" i="3"/>
  <c r="F17" i="3"/>
  <c r="I23" i="2"/>
  <c r="I35" i="2" s="1"/>
  <c r="H67" i="4"/>
  <c r="H69" i="11"/>
  <c r="D13" i="3"/>
  <c r="D11" i="3"/>
  <c r="H67" i="11"/>
  <c r="M13" i="3" s="1"/>
  <c r="H68" i="6"/>
  <c r="H67" i="6"/>
  <c r="M8" i="3" s="1"/>
  <c r="H66" i="14"/>
  <c r="F16" i="3" s="1"/>
  <c r="H66" i="13"/>
  <c r="H69" i="13" s="1"/>
  <c r="M15" i="3" s="1"/>
  <c r="H66" i="12"/>
  <c r="H69" i="12" s="1"/>
  <c r="I36" i="2"/>
  <c r="I37" i="2" s="1"/>
  <c r="H67" i="9"/>
  <c r="M11" i="3" s="1"/>
  <c r="I11" i="2"/>
  <c r="P15" i="3" l="1"/>
  <c r="N15" i="3"/>
  <c r="I41" i="2"/>
  <c r="D17" i="3"/>
  <c r="P7" i="3"/>
  <c r="P16" i="3"/>
  <c r="J16" i="3"/>
  <c r="N16" i="3" s="1"/>
  <c r="P14" i="3"/>
  <c r="J14" i="3"/>
  <c r="N14" i="3" s="1"/>
  <c r="P11" i="3"/>
  <c r="P12" i="3"/>
  <c r="I33" i="2"/>
  <c r="I34" i="2" s="1"/>
  <c r="I40" i="2"/>
  <c r="J47" i="2"/>
  <c r="I47" i="2" s="1"/>
  <c r="I39" i="2" s="1"/>
  <c r="J13" i="3"/>
  <c r="N13" i="3" s="1"/>
  <c r="P13" i="3"/>
  <c r="M9" i="3"/>
  <c r="P9" i="3" s="1"/>
  <c r="I21" i="2"/>
  <c r="I22" i="2" s="1"/>
  <c r="I42" i="2" s="1"/>
  <c r="M7" i="3"/>
  <c r="P17" i="3" l="1"/>
  <c r="I7" i="3"/>
  <c r="K7" i="3"/>
  <c r="K10" i="3"/>
  <c r="K11" i="3"/>
  <c r="K9" i="3"/>
  <c r="K8" i="3"/>
  <c r="K12" i="3"/>
  <c r="I12" i="3"/>
  <c r="J12" i="3" s="1"/>
  <c r="N12" i="3" s="1"/>
  <c r="C33" i="1"/>
  <c r="L7" i="3"/>
  <c r="L10" i="3"/>
  <c r="L12" i="3"/>
  <c r="L9" i="3"/>
  <c r="L8" i="3"/>
  <c r="M17" i="3"/>
  <c r="I11" i="3"/>
  <c r="H66" i="10" l="1"/>
  <c r="H69" i="10" s="1"/>
  <c r="H66" i="7"/>
  <c r="H69" i="7" s="1"/>
  <c r="L17" i="3"/>
  <c r="H51" i="5"/>
  <c r="H54" i="5" s="1"/>
  <c r="G17" i="1" s="1"/>
  <c r="I17" i="3"/>
  <c r="J7" i="3"/>
  <c r="N7" i="3" s="1"/>
  <c r="H65" i="9"/>
  <c r="H68" i="9" s="1"/>
  <c r="H66" i="8"/>
  <c r="H69" i="8" s="1"/>
  <c r="J11" i="3"/>
  <c r="N11" i="3" s="1"/>
  <c r="K17" i="3"/>
  <c r="K18" i="3" s="1"/>
  <c r="I10" i="3"/>
  <c r="J10" i="3" s="1"/>
  <c r="N10" i="3" s="1"/>
  <c r="I8" i="3"/>
  <c r="J8" i="3" s="1"/>
  <c r="N8" i="3" s="1"/>
  <c r="L11" i="3"/>
  <c r="I9" i="3"/>
  <c r="J9" i="3" s="1"/>
  <c r="N9" i="3" s="1"/>
  <c r="N17" i="3" l="1"/>
  <c r="I18" i="3"/>
  <c r="J17" i="3"/>
  <c r="J18" i="3" s="1"/>
  <c r="L18" i="3"/>
  <c r="H17" i="1"/>
  <c r="H66" i="6"/>
  <c r="H69" i="6" s="1"/>
  <c r="G18" i="1" s="1"/>
  <c r="H18" i="1" s="1"/>
  <c r="G27" i="1" l="1"/>
  <c r="N18" i="3"/>
  <c r="H18" i="3"/>
  <c r="E18" i="3"/>
  <c r="G18" i="3"/>
  <c r="F18" i="3"/>
  <c r="N20" i="3"/>
  <c r="D18" i="3"/>
  <c r="M18" i="3"/>
</calcChain>
</file>

<file path=xl/sharedStrings.xml><?xml version="1.0" encoding="utf-8"?>
<sst xmlns="http://schemas.openxmlformats.org/spreadsheetml/2006/main" count="700" uniqueCount="259">
  <si>
    <t>(현대위아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</si>
  <si>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</si>
  <si>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</si>
  <si>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협력사명: 한국로재</t>
    <phoneticPr fontId="2" type="noConversion"/>
  </si>
  <si>
    <t>견적일자</t>
    <phoneticPr fontId="2" type="noConversion"/>
  </si>
  <si>
    <t>대표 : 주명학</t>
    <phoneticPr fontId="2" type="noConversion"/>
  </si>
  <si>
    <t>견적번호</t>
    <phoneticPr fontId="2" type="noConversion"/>
  </si>
  <si>
    <t>HKFM250402-002</t>
    <phoneticPr fontId="2" type="noConversion"/>
  </si>
  <si>
    <t>주소 : 경남 창원시 중앙동 101-1</t>
    <phoneticPr fontId="2" type="noConversion"/>
  </si>
  <si>
    <t>납기</t>
    <phoneticPr fontId="2" type="noConversion"/>
  </si>
  <si>
    <t>입하</t>
    <phoneticPr fontId="2" type="noConversion"/>
  </si>
  <si>
    <t>2025 년   월   일</t>
    <phoneticPr fontId="2" type="noConversion"/>
  </si>
  <si>
    <t>최종검수</t>
    <phoneticPr fontId="2" type="noConversion"/>
  </si>
  <si>
    <t xml:space="preserve">전화: 055 275 3476 </t>
    <phoneticPr fontId="2" type="noConversion"/>
  </si>
  <si>
    <t>견적유효기간</t>
    <phoneticPr fontId="2" type="noConversion"/>
  </si>
  <si>
    <t>제출후 30 일</t>
    <phoneticPr fontId="2" type="noConversion"/>
  </si>
  <si>
    <t>Fax: 055 275 3479</t>
    <phoneticPr fontId="2" type="noConversion"/>
  </si>
  <si>
    <t>인도장소</t>
    <phoneticPr fontId="2" type="noConversion"/>
  </si>
  <si>
    <t>귀사 지정장소</t>
    <phoneticPr fontId="2" type="noConversion"/>
  </si>
  <si>
    <t>견적담당: 한형서</t>
    <phoneticPr fontId="2" type="noConversion"/>
  </si>
  <si>
    <t>지불조건</t>
    <phoneticPr fontId="2" type="noConversion"/>
  </si>
  <si>
    <t>협의사항</t>
    <phoneticPr fontId="2" type="noConversion"/>
  </si>
  <si>
    <t>연 락 처 : 010 2309 7928</t>
    <phoneticPr fontId="2" type="noConversion"/>
  </si>
  <si>
    <t>견적금액</t>
    <phoneticPr fontId="2" type="noConversion"/>
  </si>
  <si>
    <t>)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</si>
  <si>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</si>
  <si>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</si>
  <si>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</si>
  <si>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</si>
  <si>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</si>
  <si>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</si>
  <si>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t>전기+단위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</si>
  <si>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</si>
  <si>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set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</si>
  <si>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</si>
  <si>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</si>
  <si>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</si>
  <si>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</si>
  <si>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</si>
  <si>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</si>
  <si>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</si>
  <si>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</si>
  <si>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</si>
  <si>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</si>
  <si>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</si>
  <si>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</si>
  <si>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</si>
  <si>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</si>
  <si>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</si>
  <si>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</si>
  <si>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</si>
  <si>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</si>
  <si>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</si>
  <si>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</si>
  <si>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</si>
  <si>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</si>
  <si>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</si>
  <si>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</si>
  <si>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</si>
  <si>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</si>
  <si>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</si>
  <si>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</si>
  <si>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</si>
  <si>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</si>
  <si>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</si>
  <si>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</si>
  <si>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</si>
  <si>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</si>
  <si>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</si>
  <si>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</si>
  <si>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</si>
  <si>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</si>
  <si>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</si>
  <si>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</si>
  <si>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</si>
  <si>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</si>
  <si>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</si>
  <si>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</si>
  <si>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</si>
  <si>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</si>
  <si>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</si>
  <si>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</si>
  <si>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</si>
  <si>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</si>
  <si>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</si>
  <si>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</si>
  <si>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</si>
  <si>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</si>
  <si>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</si>
  <si>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</si>
  <si>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</si>
  <si>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</si>
  <si>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</si>
  <si>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</si>
  <si>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</si>
  <si>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</si>
  <si>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</si>
  <si>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</si>
  <si>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</si>
  <si>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</si>
  <si>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</si>
  <si>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</si>
  <si>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</si>
  <si>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</si>
  <si>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</si>
  <si>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</si>
  <si>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</si>
  <si>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</si>
  <si>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</si>
  <si>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</si>
  <si>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</si>
  <si>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</si>
  <si>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</si>
  <si>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</si>
  <si>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</si>
  <si>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</si>
  <si>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</si>
  <si>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</si>
  <si>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</si>
  <si>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</si>
  <si>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</si>
  <si>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</si>
  <si>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</si>
  <si>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</si>
  <si>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</si>
  <si>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</si>
  <si>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</si>
  <si>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</si>
  <si>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</si>
  <si>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</si>
  <si>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</si>
  <si>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</si>
  <si>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</si>
  <si>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</si>
  <si>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</si>
  <si>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</si>
  <si>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</si>
  <si>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</si>
  <si>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ST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</si>
  <si>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</si>
  <si>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</si>
  <si>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</si>
  <si>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작화. PROGRAM 비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</si>
  <si>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</si>
  <si>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</si>
  <si>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</si>
  <si>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</si>
  <si>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</si>
  <si>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</si>
  <si>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</si>
  <si>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</si>
  <si>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</si>
  <si>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</si>
  <si>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</si>
  <si>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</si>
  <si>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연속1,2 히타,튜브파트</t>
    <phoneticPr fontId="2" type="noConversion"/>
  </si>
  <si>
    <t>설치/해체/시운전</t>
    <phoneticPr fontId="2" type="noConversion"/>
  </si>
  <si>
    <t>heater clamp</t>
    <phoneticPr fontId="2" type="noConversion"/>
  </si>
  <si>
    <t>copper, 70*30*10</t>
    <phoneticPr fontId="2" type="noConversion"/>
  </si>
  <si>
    <t>ea</t>
    <phoneticPr fontId="2" type="noConversion"/>
  </si>
  <si>
    <t>공사 관련 자재</t>
    <phoneticPr fontId="2" type="noConversion"/>
  </si>
  <si>
    <t>sheet packing</t>
    <phoneticPr fontId="2" type="noConversion"/>
  </si>
  <si>
    <t>180*180*4, 제작품</t>
    <phoneticPr fontId="2" type="noConversion"/>
  </si>
  <si>
    <t>sh</t>
    <phoneticPr fontId="2" type="noConversion"/>
  </si>
  <si>
    <t>thermocouple</t>
    <phoneticPr fontId="2" type="noConversion"/>
  </si>
  <si>
    <t>K*22*720, inconell</t>
    <phoneticPr fontId="2" type="noConversion"/>
  </si>
  <si>
    <t>others</t>
    <phoneticPr fontId="2" type="noConversion"/>
  </si>
  <si>
    <t>현장소모품</t>
    <phoneticPr fontId="2" type="noConversion"/>
  </si>
  <si>
    <t>lot</t>
    <phoneticPr fontId="2" type="noConversion"/>
  </si>
  <si>
    <t xml:space="preserve">히타, 튜브 해체,청소,교체 </t>
    <phoneticPr fontId="2" type="noConversion"/>
  </si>
  <si>
    <t>히타,튜브 조립 및 테스트</t>
    <phoneticPr fontId="2" type="noConversion"/>
  </si>
  <si>
    <t>히타케이블점검 및 clamp 교체</t>
    <phoneticPr fontId="2" type="noConversion"/>
  </si>
  <si>
    <t>안전관리</t>
    <phoneticPr fontId="2" type="noConversion"/>
  </si>
  <si>
    <t>운반및중장비사용</t>
    <phoneticPr fontId="2" type="noConversion"/>
  </si>
  <si>
    <t>연속1,2 도아파트</t>
    <phoneticPr fontId="2" type="noConversion"/>
  </si>
  <si>
    <t>입구도아 clamp</t>
    <phoneticPr fontId="2" type="noConversion"/>
  </si>
  <si>
    <t>공압식 제작품</t>
    <phoneticPr fontId="2" type="noConversion"/>
  </si>
  <si>
    <t>도아 체인</t>
    <phoneticPr fontId="2" type="noConversion"/>
  </si>
  <si>
    <t>RS60, 80번</t>
    <phoneticPr fontId="2" type="noConversion"/>
  </si>
  <si>
    <t>bx</t>
    <phoneticPr fontId="2" type="noConversion"/>
  </si>
  <si>
    <t>graphite packing</t>
    <phoneticPr fontId="2" type="noConversion"/>
  </si>
  <si>
    <t>25sq, graphite</t>
    <phoneticPr fontId="2" type="noConversion"/>
  </si>
  <si>
    <t>m</t>
    <phoneticPr fontId="2" type="noConversion"/>
  </si>
  <si>
    <t>현장소모자재</t>
    <phoneticPr fontId="2" type="noConversion"/>
  </si>
  <si>
    <t>입구도아 실린더, 클램프전수 교체</t>
    <phoneticPr fontId="2" type="noConversion"/>
  </si>
  <si>
    <t>소입조도아 실린더, 체인교체</t>
    <phoneticPr fontId="2" type="noConversion"/>
  </si>
  <si>
    <t>입구도아 구동체인, 패킹교체</t>
    <phoneticPr fontId="2" type="noConversion"/>
  </si>
  <si>
    <t>소입,출구 구동체인교체</t>
    <phoneticPr fontId="2" type="noConversion"/>
  </si>
  <si>
    <t>안전관리(밀폐, 고소)</t>
    <phoneticPr fontId="2" type="noConversion"/>
  </si>
  <si>
    <t>연속1,2 중간도아, 알씨팬</t>
    <phoneticPr fontId="2" type="noConversion"/>
  </si>
  <si>
    <t>Manifold</t>
    <phoneticPr fontId="2" type="noConversion"/>
  </si>
  <si>
    <t>RF link chain</t>
    <phoneticPr fontId="2" type="noConversion"/>
  </si>
  <si>
    <t>SUS310, 제작품</t>
    <phoneticPr fontId="2" type="noConversion"/>
  </si>
  <si>
    <t>Y-arm &amp; pin</t>
    <phoneticPr fontId="2" type="noConversion"/>
  </si>
  <si>
    <t>packing</t>
    <phoneticPr fontId="2" type="noConversion"/>
  </si>
  <si>
    <t>15sq, ceramic</t>
    <phoneticPr fontId="2" type="noConversion"/>
  </si>
  <si>
    <t>rol</t>
    <phoneticPr fontId="2" type="noConversion"/>
  </si>
  <si>
    <t>rc fan, impeller &amp; shaft</t>
    <phoneticPr fontId="2" type="noConversion"/>
  </si>
  <si>
    <t>주물가공품</t>
    <phoneticPr fontId="2" type="noConversion"/>
  </si>
  <si>
    <t>retainer, bearing 외</t>
    <phoneticPr fontId="2" type="noConversion"/>
  </si>
  <si>
    <t>구매품</t>
    <phoneticPr fontId="2" type="noConversion"/>
  </si>
  <si>
    <t>(유공압품외)</t>
    <phoneticPr fontId="2" type="noConversion"/>
  </si>
  <si>
    <t>중간도아 분해, 점검, 교체</t>
    <phoneticPr fontId="2" type="noConversion"/>
  </si>
  <si>
    <t>2번중간도아 모터교체</t>
    <phoneticPr fontId="2" type="noConversion"/>
  </si>
  <si>
    <t>알씨팬 점검 및 교체</t>
    <phoneticPr fontId="2" type="noConversion"/>
  </si>
  <si>
    <t>hearth roller 파트</t>
    <phoneticPr fontId="2" type="noConversion"/>
  </si>
  <si>
    <t>체인</t>
    <phoneticPr fontId="2" type="noConversion"/>
  </si>
  <si>
    <t>RS60, 80</t>
    <phoneticPr fontId="2" type="noConversion"/>
  </si>
  <si>
    <t>회전감지스프라켓, 브라켓</t>
    <phoneticPr fontId="2" type="noConversion"/>
  </si>
  <si>
    <t>현장맞춤 제작</t>
    <phoneticPr fontId="2" type="noConversion"/>
  </si>
  <si>
    <t>체인텐션 조정대 외</t>
    <phoneticPr fontId="2" type="noConversion"/>
  </si>
  <si>
    <t>SS41 가공품</t>
    <phoneticPr fontId="2" type="noConversion"/>
  </si>
  <si>
    <t>롤러가이드(대,소)</t>
    <phoneticPr fontId="2" type="noConversion"/>
  </si>
  <si>
    <t>SCH22 주물가공</t>
    <phoneticPr fontId="2" type="noConversion"/>
  </si>
  <si>
    <t>retainer외 현장품</t>
    <phoneticPr fontId="2" type="noConversion"/>
  </si>
  <si>
    <t>허스롤러 전수점검, 교체</t>
    <phoneticPr fontId="2" type="noConversion"/>
  </si>
  <si>
    <t>롤러가이드 전수교체</t>
    <phoneticPr fontId="2" type="noConversion"/>
  </si>
  <si>
    <r>
      <t>롤러베아링,</t>
    </r>
    <r>
      <rPr>
        <sz val="11"/>
        <rFont val="굴림"/>
        <family val="3"/>
        <charset val="129"/>
      </rPr>
      <t xml:space="preserve"> 리테이너 전수교체</t>
    </r>
    <phoneticPr fontId="2" type="noConversion"/>
  </si>
  <si>
    <t>회전감지스프로켓 교체 외</t>
    <phoneticPr fontId="2" type="noConversion"/>
  </si>
  <si>
    <t>구동테스트</t>
    <phoneticPr fontId="2" type="noConversion"/>
  </si>
  <si>
    <t>연속1,2 축로파트</t>
    <phoneticPr fontId="2" type="noConversion"/>
  </si>
  <si>
    <t>insulation brick</t>
    <phoneticPr fontId="2" type="noConversion"/>
  </si>
  <si>
    <t>AR85</t>
    <phoneticPr fontId="2" type="noConversion"/>
  </si>
  <si>
    <t>LBK28</t>
    <phoneticPr fontId="2" type="noConversion"/>
  </si>
  <si>
    <t>mortar 외</t>
    <phoneticPr fontId="2" type="noConversion"/>
  </si>
  <si>
    <t>기존축로해체</t>
    <phoneticPr fontId="2" type="noConversion"/>
  </si>
  <si>
    <t>벽돌가공</t>
    <phoneticPr fontId="2" type="noConversion"/>
  </si>
  <si>
    <t>축로시공</t>
    <phoneticPr fontId="2" type="noConversion"/>
  </si>
  <si>
    <t>기계공</t>
    <phoneticPr fontId="2" type="noConversion"/>
  </si>
  <si>
    <t>안전관리(밀폐)</t>
    <phoneticPr fontId="2" type="noConversion"/>
  </si>
  <si>
    <t>연속로공통 및 유조파트</t>
    <phoneticPr fontId="2" type="noConversion"/>
  </si>
  <si>
    <t>베벨기어</t>
    <phoneticPr fontId="2" type="noConversion"/>
  </si>
  <si>
    <t>가공품</t>
    <phoneticPr fontId="2" type="noConversion"/>
  </si>
  <si>
    <t>노즐</t>
    <phoneticPr fontId="2" type="noConversion"/>
  </si>
  <si>
    <t>파이프 클램프타입</t>
    <phoneticPr fontId="2" type="noConversion"/>
  </si>
  <si>
    <t>배관재</t>
    <phoneticPr fontId="2" type="noConversion"/>
  </si>
  <si>
    <t>세척기, 파이프가공</t>
    <phoneticPr fontId="2" type="noConversion"/>
  </si>
  <si>
    <t>구동체인</t>
    <phoneticPr fontId="2" type="noConversion"/>
  </si>
  <si>
    <t>conveyer roller</t>
    <phoneticPr fontId="2" type="noConversion"/>
  </si>
  <si>
    <t>60*180*60</t>
    <phoneticPr fontId="2" type="noConversion"/>
  </si>
  <si>
    <t>세척기 체인, 실린더, 노즐, 교체</t>
    <phoneticPr fontId="2" type="noConversion"/>
  </si>
  <si>
    <t>세척기분사배관신규설치, 내부청소</t>
    <phoneticPr fontId="2" type="noConversion"/>
  </si>
  <si>
    <r>
      <t>유조실린더,</t>
    </r>
    <r>
      <rPr>
        <sz val="11"/>
        <rFont val="굴림"/>
        <family val="3"/>
        <charset val="129"/>
      </rPr>
      <t xml:space="preserve"> 체인교체</t>
    </r>
    <phoneticPr fontId="2" type="noConversion"/>
  </si>
  <si>
    <t>베벨기어, 실린더교체</t>
    <phoneticPr fontId="2" type="noConversion"/>
  </si>
  <si>
    <t>로내부청소</t>
    <phoneticPr fontId="2" type="noConversion"/>
  </si>
  <si>
    <t xml:space="preserve">템퍼링라인 롤러교체 </t>
    <phoneticPr fontId="2" type="noConversion"/>
  </si>
  <si>
    <t>롤러구동기어드모터 교체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</si>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</sst>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  <numFmt numFmtId="183" formatCode="#,##0.0_ "/>
    <numFmt numFmtId="184" formatCode="0.0_);[Red]\(0.0\)"/>
    <numFmt numFmtId="185" formatCode="#,##0;[Red]#,##0"/>
  </numFmts>
  <fonts count="30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sz val="14"/>
      <name val="HY헤드라인M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</cellStyleXfs>
  <cellXfs count="50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9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176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176" fontId="1" fillId="0" borderId="23" xfId="0" applyNumberFormat="1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1" fillId="0" borderId="24" xfId="0" applyNumberFormat="1" applyFont="1" applyBorder="1" applyAlignment="1">
      <alignment horizontal="right" vertical="center"/>
    </xf>
    <xf numFmtId="176" fontId="1" fillId="0" borderId="25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176" fontId="1" fillId="0" borderId="29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1" fillId="0" borderId="6" xfId="0" applyNumberFormat="1" applyFont="1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176" fontId="1" fillId="0" borderId="30" xfId="0" applyNumberFormat="1" applyFont="1" applyBorder="1" applyAlignment="1">
      <alignment horizontal="right" vertical="center"/>
    </xf>
    <xf numFmtId="0" fontId="1" fillId="0" borderId="27" xfId="0" applyFont="1" applyBorder="1" applyAlignment="1">
      <alignment horizontal="center" vertical="center"/>
    </xf>
    <xf numFmtId="176" fontId="1" fillId="0" borderId="28" xfId="0" applyNumberFormat="1" applyFont="1" applyBorder="1" applyAlignment="1">
      <alignment horizontal="right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176" fontId="1" fillId="0" borderId="33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6" fontId="1" fillId="0" borderId="34" xfId="0" applyNumberFormat="1" applyFont="1" applyBorder="1" applyAlignment="1">
      <alignment horizontal="right" vertical="center"/>
    </xf>
    <xf numFmtId="176" fontId="1" fillId="0" borderId="32" xfId="0" applyNumberFormat="1" applyFont="1" applyBorder="1" applyAlignment="1">
      <alignment horizontal="right" vertical="center"/>
    </xf>
    <xf numFmtId="0" fontId="1" fillId="0" borderId="35" xfId="0" applyFont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horizontal="center" vertical="center"/>
    </xf>
    <xf numFmtId="176" fontId="1" fillId="0" borderId="39" xfId="0" applyNumberFormat="1" applyFont="1" applyBorder="1" applyAlignment="1">
      <alignment vertical="center"/>
    </xf>
    <xf numFmtId="176" fontId="1" fillId="0" borderId="40" xfId="0" applyNumberFormat="1" applyFont="1" applyBorder="1" applyAlignment="1">
      <alignment vertical="center"/>
    </xf>
    <xf numFmtId="176" fontId="13" fillId="4" borderId="38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4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 wrapText="1"/>
    </xf>
    <xf numFmtId="176" fontId="1" fillId="0" borderId="38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 textRotation="255"/>
    </xf>
    <xf numFmtId="0" fontId="1" fillId="2" borderId="13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textRotation="255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177" fontId="1" fillId="2" borderId="16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17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178" fontId="0" fillId="2" borderId="16" xfId="0" applyNumberForma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17" xfId="0" applyNumberFormat="1" applyFont="1" applyFill="1" applyBorder="1" applyAlignment="1">
      <alignment vertical="center"/>
    </xf>
    <xf numFmtId="0" fontId="1" fillId="0" borderId="45" xfId="0" applyFont="1" applyBorder="1" applyAlignment="1">
      <alignment horizontal="center" vertical="center" textRotation="255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179" fontId="1" fillId="0" borderId="54" xfId="0" applyNumberFormat="1" applyFont="1" applyBorder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/>
    </xf>
    <xf numFmtId="179" fontId="1" fillId="0" borderId="60" xfId="0" applyNumberFormat="1" applyFont="1" applyBorder="1" applyAlignment="1">
      <alignment horizontal="center" vertical="center"/>
    </xf>
    <xf numFmtId="3" fontId="1" fillId="0" borderId="61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/>
    </xf>
    <xf numFmtId="3" fontId="1" fillId="0" borderId="63" xfId="0" applyNumberFormat="1" applyFont="1" applyBorder="1" applyAlignment="1">
      <alignment horizontal="center" vertical="center"/>
    </xf>
    <xf numFmtId="3" fontId="14" fillId="0" borderId="63" xfId="0" applyNumberFormat="1" applyFont="1" applyBorder="1" applyAlignment="1">
      <alignment horizontal="center" vertical="center"/>
    </xf>
    <xf numFmtId="179" fontId="1" fillId="0" borderId="63" xfId="0" applyNumberFormat="1" applyFont="1" applyBorder="1" applyAlignment="1">
      <alignment horizontal="right" vertical="center"/>
    </xf>
    <xf numFmtId="179" fontId="1" fillId="0" borderId="63" xfId="0" applyNumberFormat="1" applyFont="1" applyBorder="1" applyAlignment="1">
      <alignment vertical="center"/>
    </xf>
    <xf numFmtId="3" fontId="1" fillId="0" borderId="64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Border="1" applyAlignment="1">
      <alignment vertical="center"/>
    </xf>
    <xf numFmtId="3" fontId="1" fillId="0" borderId="65" xfId="0" applyNumberFormat="1" applyFont="1" applyBorder="1" applyAlignment="1">
      <alignment vertical="center"/>
    </xf>
    <xf numFmtId="179" fontId="1" fillId="0" borderId="6" xfId="0" applyNumberFormat="1" applyFont="1" applyBorder="1" applyAlignment="1">
      <alignment horizontal="right" vertical="center"/>
    </xf>
    <xf numFmtId="3" fontId="0" fillId="5" borderId="6" xfId="0" applyNumberFormat="1" applyFill="1" applyBorder="1" applyAlignment="1">
      <alignment horizontal="center" vertical="center"/>
    </xf>
    <xf numFmtId="3" fontId="14" fillId="5" borderId="6" xfId="0" applyNumberFormat="1" applyFont="1" applyFill="1" applyBorder="1" applyAlignment="1">
      <alignment horizontal="center" vertical="center"/>
    </xf>
    <xf numFmtId="179" fontId="1" fillId="5" borderId="6" xfId="0" applyNumberFormat="1" applyFont="1" applyFill="1" applyBorder="1" applyAlignment="1">
      <alignment horizontal="right" vertical="center"/>
    </xf>
    <xf numFmtId="179" fontId="1" fillId="5" borderId="6" xfId="0" applyNumberFormat="1" applyFont="1" applyFill="1" applyBorder="1" applyAlignment="1">
      <alignment vertical="center"/>
    </xf>
    <xf numFmtId="3" fontId="0" fillId="0" borderId="65" xfId="0" applyNumberFormat="1" applyBorder="1" applyAlignment="1">
      <alignment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66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6" xfId="0" applyNumberFormat="1" applyFont="1" applyBorder="1" applyAlignment="1">
      <alignment horizontal="center" vertical="center"/>
    </xf>
    <xf numFmtId="179" fontId="5" fillId="0" borderId="6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1" fillId="5" borderId="6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left" vertical="center"/>
    </xf>
    <xf numFmtId="3" fontId="1" fillId="0" borderId="3" xfId="0" applyNumberFormat="1" applyFont="1" applyBorder="1" applyAlignment="1">
      <alignment horizontal="center" vertical="center"/>
    </xf>
    <xf numFmtId="179" fontId="5" fillId="0" borderId="19" xfId="0" applyNumberFormat="1" applyFont="1" applyBorder="1" applyAlignment="1">
      <alignment vertical="center"/>
    </xf>
    <xf numFmtId="3" fontId="1" fillId="0" borderId="67" xfId="0" applyNumberFormat="1" applyFont="1" applyBorder="1" applyAlignment="1">
      <alignment vertical="center"/>
    </xf>
    <xf numFmtId="3" fontId="1" fillId="0" borderId="68" xfId="0" applyNumberFormat="1" applyFont="1" applyBorder="1" applyAlignment="1">
      <alignment horizontal="center" vertical="center"/>
    </xf>
    <xf numFmtId="3" fontId="1" fillId="0" borderId="69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70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70" xfId="0" applyNumberFormat="1" applyFont="1" applyBorder="1" applyAlignment="1">
      <alignment horizontal="center" vertical="center"/>
    </xf>
    <xf numFmtId="179" fontId="5" fillId="0" borderId="34" xfId="0" applyNumberFormat="1" applyFont="1" applyBorder="1" applyAlignment="1">
      <alignment vertical="center"/>
    </xf>
    <xf numFmtId="3" fontId="1" fillId="0" borderId="71" xfId="0" applyNumberFormat="1" applyFont="1" applyBorder="1" applyAlignment="1">
      <alignment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 wrapText="1"/>
    </xf>
    <xf numFmtId="3" fontId="1" fillId="0" borderId="54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3" fontId="14" fillId="0" borderId="24" xfId="0" applyNumberFormat="1" applyFont="1" applyBorder="1" applyAlignment="1">
      <alignment horizontal="center" vertical="center"/>
    </xf>
    <xf numFmtId="179" fontId="1" fillId="0" borderId="24" xfId="0" applyNumberFormat="1" applyFont="1" applyBorder="1" applyAlignment="1">
      <alignment vertical="center"/>
    </xf>
    <xf numFmtId="3" fontId="1" fillId="0" borderId="25" xfId="0" applyNumberFormat="1" applyFont="1" applyBorder="1" applyAlignment="1">
      <alignment vertical="center"/>
    </xf>
    <xf numFmtId="3" fontId="1" fillId="0" borderId="72" xfId="0" applyNumberFormat="1" applyFont="1" applyBorder="1" applyAlignment="1">
      <alignment horizontal="center" vertical="center" wrapText="1"/>
    </xf>
    <xf numFmtId="3" fontId="1" fillId="0" borderId="63" xfId="0" applyNumberFormat="1" applyFont="1" applyBorder="1" applyAlignment="1">
      <alignment horizontal="center" vertical="center"/>
    </xf>
    <xf numFmtId="3" fontId="14" fillId="5" borderId="63" xfId="0" applyNumberFormat="1" applyFont="1" applyFill="1" applyBorder="1" applyAlignment="1">
      <alignment horizontal="center" vertical="center"/>
    </xf>
    <xf numFmtId="179" fontId="1" fillId="5" borderId="63" xfId="0" applyNumberFormat="1" applyFont="1" applyFill="1" applyBorder="1" applyAlignment="1">
      <alignment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43" xfId="0" applyNumberFormat="1" applyFont="1" applyBorder="1" applyAlignment="1">
      <alignment horizontal="center" vertical="center"/>
    </xf>
    <xf numFmtId="3" fontId="1" fillId="0" borderId="44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179" fontId="5" fillId="0" borderId="24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3" fontId="1" fillId="0" borderId="75" xfId="0" applyNumberFormat="1" applyFont="1" applyBorder="1" applyAlignment="1">
      <alignment horizontal="center" vertical="center"/>
    </xf>
    <xf numFmtId="3" fontId="1" fillId="0" borderId="76" xfId="0" applyNumberFormat="1" applyFont="1" applyBorder="1" applyAlignment="1">
      <alignment horizontal="center" vertical="center"/>
    </xf>
    <xf numFmtId="3" fontId="1" fillId="0" borderId="77" xfId="0" applyNumberFormat="1" applyFont="1" applyBorder="1" applyAlignment="1">
      <alignment horizontal="center" vertical="center"/>
    </xf>
    <xf numFmtId="179" fontId="5" fillId="0" borderId="78" xfId="0" applyNumberFormat="1" applyFont="1" applyBorder="1" applyAlignment="1">
      <alignment vertical="center"/>
    </xf>
    <xf numFmtId="3" fontId="1" fillId="0" borderId="79" xfId="0" applyNumberFormat="1" applyFont="1" applyBorder="1" applyAlignment="1">
      <alignment vertical="center"/>
    </xf>
    <xf numFmtId="3" fontId="1" fillId="0" borderId="8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3" fontId="1" fillId="0" borderId="82" xfId="0" applyNumberFormat="1" applyFont="1" applyBorder="1" applyAlignment="1">
      <alignment horizontal="center" vertical="center"/>
    </xf>
    <xf numFmtId="3" fontId="1" fillId="0" borderId="83" xfId="0" applyNumberFormat="1" applyFont="1" applyBorder="1" applyAlignment="1">
      <alignment horizontal="center" vertical="center"/>
    </xf>
    <xf numFmtId="179" fontId="5" fillId="4" borderId="84" xfId="0" applyNumberFormat="1" applyFont="1" applyFill="1" applyBorder="1" applyAlignment="1">
      <alignment vertical="center"/>
    </xf>
    <xf numFmtId="3" fontId="1" fillId="0" borderId="30" xfId="0" applyNumberFormat="1" applyFont="1" applyBorder="1" applyAlignment="1">
      <alignment vertical="center"/>
    </xf>
    <xf numFmtId="3" fontId="1" fillId="0" borderId="29" xfId="0" applyNumberFormat="1" applyFont="1" applyBorder="1" applyAlignment="1">
      <alignment horizontal="center" vertical="center"/>
    </xf>
    <xf numFmtId="3" fontId="14" fillId="5" borderId="4" xfId="0" applyNumberFormat="1" applyFont="1" applyFill="1" applyBorder="1" applyAlignment="1">
      <alignment horizontal="left" vertical="center"/>
    </xf>
    <xf numFmtId="3" fontId="14" fillId="5" borderId="5" xfId="0" applyNumberFormat="1" applyFont="1" applyFill="1" applyBorder="1" applyAlignment="1">
      <alignment horizontal="left" vertical="center"/>
    </xf>
    <xf numFmtId="3" fontId="14" fillId="5" borderId="66" xfId="0" applyNumberFormat="1" applyFont="1" applyFill="1" applyBorder="1" applyAlignment="1">
      <alignment horizontal="left" vertical="center"/>
    </xf>
    <xf numFmtId="179" fontId="5" fillId="0" borderId="63" xfId="0" applyNumberFormat="1" applyFont="1" applyBorder="1" applyAlignment="1">
      <alignment vertical="center"/>
    </xf>
    <xf numFmtId="3" fontId="14" fillId="5" borderId="65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4" fillId="0" borderId="4" xfId="0" applyNumberFormat="1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left" vertical="center"/>
    </xf>
    <xf numFmtId="3" fontId="14" fillId="0" borderId="66" xfId="0" applyNumberFormat="1" applyFont="1" applyBorder="1" applyAlignment="1">
      <alignment horizontal="left" vertical="center"/>
    </xf>
    <xf numFmtId="3" fontId="1" fillId="0" borderId="18" xfId="0" applyNumberFormat="1" applyFont="1" applyBorder="1" applyAlignment="1">
      <alignment horizontal="center" vertical="center"/>
    </xf>
    <xf numFmtId="3" fontId="0" fillId="0" borderId="49" xfId="0" quotePrefix="1" applyNumberFormat="1" applyBorder="1" applyAlignment="1">
      <alignment horizontal="left" vertical="center"/>
    </xf>
    <xf numFmtId="3" fontId="0" fillId="0" borderId="50" xfId="0" quotePrefix="1" applyNumberFormat="1" applyBorder="1" applyAlignment="1">
      <alignment horizontal="left" vertical="center"/>
    </xf>
    <xf numFmtId="3" fontId="0" fillId="0" borderId="70" xfId="0" quotePrefix="1" applyNumberFormat="1" applyBorder="1" applyAlignment="1">
      <alignment horizontal="left" vertical="center"/>
    </xf>
    <xf numFmtId="3" fontId="1" fillId="0" borderId="85" xfId="0" applyNumberFormat="1" applyFont="1" applyBorder="1" applyAlignment="1">
      <alignment horizontal="left" vertical="center"/>
    </xf>
    <xf numFmtId="3" fontId="1" fillId="0" borderId="86" xfId="0" applyNumberFormat="1" applyFont="1" applyBorder="1" applyAlignment="1">
      <alignment horizontal="center" vertical="center"/>
    </xf>
    <xf numFmtId="3" fontId="14" fillId="0" borderId="87" xfId="0" quotePrefix="1" applyNumberFormat="1" applyFont="1" applyBorder="1" applyAlignment="1">
      <alignment horizontal="left" vertical="center"/>
    </xf>
    <xf numFmtId="3" fontId="14" fillId="0" borderId="86" xfId="0" quotePrefix="1" applyNumberFormat="1" applyFont="1" applyBorder="1" applyAlignment="1">
      <alignment horizontal="left" vertical="center"/>
    </xf>
    <xf numFmtId="3" fontId="14" fillId="0" borderId="88" xfId="0" quotePrefix="1" applyNumberFormat="1" applyFont="1" applyBorder="1" applyAlignment="1">
      <alignment horizontal="left" vertical="center"/>
    </xf>
    <xf numFmtId="179" fontId="5" fillId="0" borderId="87" xfId="0" applyNumberFormat="1" applyFont="1" applyBorder="1" applyAlignment="1">
      <alignment vertical="center"/>
    </xf>
    <xf numFmtId="3" fontId="1" fillId="0" borderId="89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19" xfId="0" applyNumberFormat="1" applyBorder="1" applyAlignment="1">
      <alignment horizontal="center" vertical="center" wrapText="1"/>
    </xf>
    <xf numFmtId="179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66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7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0" borderId="63" xfId="0" applyNumberFormat="1" applyBorder="1" applyAlignment="1">
      <alignment horizontal="center" vertical="center"/>
    </xf>
    <xf numFmtId="3" fontId="0" fillId="5" borderId="6" xfId="0" applyNumberFormat="1" applyFill="1" applyBorder="1" applyAlignment="1">
      <alignment vertical="center"/>
    </xf>
    <xf numFmtId="179" fontId="0" fillId="0" borderId="0" xfId="0" applyNumberFormat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176" fontId="0" fillId="0" borderId="98" xfId="0" applyNumberFormat="1" applyBorder="1" applyAlignment="1">
      <alignment horizontal="center" vertical="center"/>
    </xf>
    <xf numFmtId="176" fontId="0" fillId="0" borderId="98" xfId="0" applyNumberFormat="1" applyBorder="1" applyAlignment="1">
      <alignment horizontal="left" vertical="center"/>
    </xf>
    <xf numFmtId="176" fontId="21" fillId="0" borderId="99" xfId="0" applyNumberFormat="1" applyFont="1" applyBorder="1" applyAlignment="1">
      <alignment vertical="center"/>
    </xf>
    <xf numFmtId="176" fontId="21" fillId="0" borderId="100" xfId="0" applyNumberFormat="1" applyFont="1" applyBorder="1" applyAlignment="1">
      <alignment vertical="center"/>
    </xf>
    <xf numFmtId="176" fontId="21" fillId="0" borderId="101" xfId="0" applyNumberFormat="1" applyFont="1" applyBorder="1" applyAlignment="1">
      <alignment vertical="center"/>
    </xf>
    <xf numFmtId="176" fontId="1" fillId="0" borderId="102" xfId="0" applyNumberFormat="1" applyFont="1" applyBorder="1" applyAlignment="1">
      <alignment vertical="center"/>
    </xf>
    <xf numFmtId="176" fontId="1" fillId="0" borderId="100" xfId="0" applyNumberFormat="1" applyFont="1" applyBorder="1" applyAlignment="1">
      <alignment vertical="center"/>
    </xf>
    <xf numFmtId="176" fontId="0" fillId="0" borderId="103" xfId="0" applyNumberFormat="1" applyBorder="1" applyAlignment="1">
      <alignment vertical="center"/>
    </xf>
    <xf numFmtId="176" fontId="0" fillId="0" borderId="104" xfId="0" applyNumberFormat="1" applyBorder="1" applyAlignment="1">
      <alignment vertical="center"/>
    </xf>
    <xf numFmtId="176" fontId="0" fillId="0" borderId="105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left" vertical="center"/>
    </xf>
    <xf numFmtId="176" fontId="21" fillId="0" borderId="29" xfId="0" applyNumberFormat="1" applyFont="1" applyBorder="1" applyAlignment="1">
      <alignment vertical="center"/>
    </xf>
    <xf numFmtId="176" fontId="21" fillId="0" borderId="6" xfId="0" applyNumberFormat="1" applyFont="1" applyBorder="1" applyAlignment="1">
      <alignment vertical="center"/>
    </xf>
    <xf numFmtId="176" fontId="21" fillId="0" borderId="65" xfId="0" applyNumberFormat="1" applyFont="1" applyBorder="1" applyAlignment="1">
      <alignment vertical="center"/>
    </xf>
    <xf numFmtId="176" fontId="1" fillId="0" borderId="66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0" fillId="0" borderId="106" xfId="0" applyNumberFormat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28" xfId="0" applyNumberFormat="1" applyBorder="1" applyAlignment="1">
      <alignment vertical="center"/>
    </xf>
    <xf numFmtId="176" fontId="0" fillId="0" borderId="35" xfId="0" applyNumberFormat="1" applyBorder="1" applyAlignment="1">
      <alignment horizontal="center" vertical="center"/>
    </xf>
    <xf numFmtId="176" fontId="0" fillId="0" borderId="35" xfId="0" applyNumberFormat="1" applyBorder="1" applyAlignment="1">
      <alignment horizontal="left" vertical="center"/>
    </xf>
    <xf numFmtId="176" fontId="21" fillId="0" borderId="33" xfId="0" applyNumberFormat="1" applyFont="1" applyBorder="1" applyAlignment="1">
      <alignment vertical="center"/>
    </xf>
    <xf numFmtId="176" fontId="21" fillId="0" borderId="34" xfId="0" applyNumberFormat="1" applyFont="1" applyBorder="1" applyAlignment="1">
      <alignment vertical="center"/>
    </xf>
    <xf numFmtId="176" fontId="21" fillId="0" borderId="71" xfId="0" applyNumberFormat="1" applyFont="1" applyBorder="1" applyAlignment="1">
      <alignment vertical="center"/>
    </xf>
    <xf numFmtId="176" fontId="1" fillId="0" borderId="70" xfId="0" applyNumberFormat="1" applyFont="1" applyBorder="1" applyAlignment="1">
      <alignment vertical="center"/>
    </xf>
    <xf numFmtId="176" fontId="1" fillId="0" borderId="34" xfId="0" applyNumberFormat="1" applyFon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32" xfId="0" applyNumberFormat="1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41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21" fillId="0" borderId="51" xfId="0" applyNumberFormat="1" applyFont="1" applyBorder="1" applyAlignment="1">
      <alignment vertical="center"/>
    </xf>
    <xf numFmtId="176" fontId="21" fillId="0" borderId="54" xfId="0" applyNumberFormat="1" applyFont="1" applyBorder="1" applyAlignment="1">
      <alignment vertical="center"/>
    </xf>
    <xf numFmtId="176" fontId="21" fillId="0" borderId="55" xfId="0" applyNumberFormat="1" applyFont="1" applyBorder="1" applyAlignment="1">
      <alignment vertical="center"/>
    </xf>
    <xf numFmtId="176" fontId="5" fillId="0" borderId="53" xfId="0" applyNumberFormat="1" applyFont="1" applyBorder="1" applyAlignment="1">
      <alignment vertical="center"/>
    </xf>
    <xf numFmtId="176" fontId="5" fillId="0" borderId="54" xfId="0" applyNumberFormat="1" applyFont="1" applyBorder="1" applyAlignment="1">
      <alignment vertical="center"/>
    </xf>
    <xf numFmtId="176" fontId="5" fillId="0" borderId="90" xfId="0" applyNumberFormat="1" applyFont="1" applyBorder="1" applyAlignment="1">
      <alignment vertical="center"/>
    </xf>
    <xf numFmtId="176" fontId="5" fillId="0" borderId="110" xfId="0" applyNumberFormat="1" applyFon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14" fillId="0" borderId="46" xfId="0" applyNumberFormat="1" applyFont="1" applyBorder="1" applyAlignment="1">
      <alignment horizontal="center" vertical="center"/>
    </xf>
    <xf numFmtId="176" fontId="14" fillId="0" borderId="47" xfId="0" applyNumberFormat="1" applyFont="1" applyBorder="1" applyAlignment="1">
      <alignment horizontal="center" vertical="center"/>
    </xf>
    <xf numFmtId="176" fontId="14" fillId="0" borderId="48" xfId="0" applyNumberFormat="1" applyFont="1" applyBorder="1" applyAlignment="1">
      <alignment horizontal="center" vertical="center"/>
    </xf>
    <xf numFmtId="9" fontId="22" fillId="0" borderId="68" xfId="2" applyFont="1" applyBorder="1" applyAlignment="1">
      <alignment vertical="center"/>
    </xf>
    <xf numFmtId="9" fontId="22" fillId="0" borderId="111" xfId="2" applyFont="1" applyBorder="1" applyAlignment="1">
      <alignment vertical="center"/>
    </xf>
    <xf numFmtId="9" fontId="22" fillId="0" borderId="112" xfId="2" applyFont="1" applyBorder="1" applyAlignment="1">
      <alignment vertical="center"/>
    </xf>
    <xf numFmtId="9" fontId="14" fillId="0" borderId="113" xfId="2" applyFont="1" applyBorder="1" applyAlignment="1">
      <alignment vertical="center"/>
    </xf>
    <xf numFmtId="9" fontId="14" fillId="0" borderId="111" xfId="2" applyFont="1" applyFill="1" applyBorder="1" applyAlignment="1">
      <alignment vertical="center"/>
    </xf>
    <xf numFmtId="9" fontId="14" fillId="0" borderId="111" xfId="2" applyFont="1" applyBorder="1" applyAlignment="1">
      <alignment vertical="center"/>
    </xf>
    <xf numFmtId="9" fontId="14" fillId="0" borderId="114" xfId="2" applyFont="1" applyBorder="1" applyAlignment="1">
      <alignment vertical="center"/>
    </xf>
    <xf numFmtId="9" fontId="14" fillId="0" borderId="115" xfId="2" applyFont="1" applyBorder="1" applyAlignment="1">
      <alignment vertical="center"/>
    </xf>
    <xf numFmtId="176" fontId="14" fillId="0" borderId="48" xfId="0" applyNumberFormat="1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4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2" borderId="116" xfId="0" applyFill="1" applyBorder="1" applyAlignment="1">
      <alignment vertical="center"/>
    </xf>
    <xf numFmtId="0" fontId="0" fillId="2" borderId="116" xfId="0" applyFill="1" applyBorder="1" applyAlignment="1">
      <alignment horizontal="center" vertical="center"/>
    </xf>
    <xf numFmtId="176" fontId="0" fillId="2" borderId="116" xfId="0" applyNumberFormat="1" applyFill="1" applyBorder="1" applyAlignment="1">
      <alignment horizontal="center" vertical="center"/>
    </xf>
    <xf numFmtId="176" fontId="0" fillId="2" borderId="116" xfId="0" applyNumberFormat="1" applyFill="1" applyBorder="1" applyAlignment="1">
      <alignment vertical="center"/>
    </xf>
    <xf numFmtId="176" fontId="0" fillId="0" borderId="30" xfId="0" applyNumberFormat="1" applyBorder="1" applyAlignment="1">
      <alignment vertical="center"/>
    </xf>
    <xf numFmtId="0" fontId="0" fillId="0" borderId="116" xfId="0" applyBorder="1" applyAlignment="1">
      <alignment vertical="center"/>
    </xf>
    <xf numFmtId="0" fontId="0" fillId="0" borderId="42" xfId="0" applyBorder="1" applyAlignment="1">
      <alignment horizontal="center" vertical="center" wrapText="1"/>
    </xf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2" borderId="26" xfId="0" applyNumberForma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176" fontId="0" fillId="2" borderId="35" xfId="0" applyNumberFormat="1" applyFill="1" applyBorder="1" applyAlignment="1">
      <alignment horizontal="center" vertical="center"/>
    </xf>
    <xf numFmtId="176" fontId="0" fillId="2" borderId="35" xfId="0" applyNumberForma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vertical="center"/>
    </xf>
    <xf numFmtId="176" fontId="0" fillId="0" borderId="22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0" fillId="6" borderId="16" xfId="0" applyFill="1" applyBorder="1" applyAlignment="1">
      <alignment vertical="center"/>
    </xf>
    <xf numFmtId="0" fontId="0" fillId="2" borderId="117" xfId="0" applyFill="1" applyBorder="1" applyAlignment="1">
      <alignment vertical="center"/>
    </xf>
    <xf numFmtId="176" fontId="0" fillId="2" borderId="117" xfId="0" applyNumberFormat="1" applyFill="1" applyBorder="1" applyAlignment="1">
      <alignment horizontal="center" vertical="center"/>
    </xf>
    <xf numFmtId="176" fontId="0" fillId="2" borderId="117" xfId="0" applyNumberFormat="1" applyFill="1" applyBorder="1" applyAlignment="1">
      <alignment vertical="center"/>
    </xf>
    <xf numFmtId="176" fontId="0" fillId="0" borderId="118" xfId="0" applyNumberFormat="1" applyBorder="1" applyAlignment="1">
      <alignment vertical="center"/>
    </xf>
    <xf numFmtId="0" fontId="0" fillId="0" borderId="117" xfId="0" applyBorder="1" applyAlignment="1">
      <alignment vertical="center"/>
    </xf>
    <xf numFmtId="0" fontId="0" fillId="7" borderId="38" xfId="0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0" fillId="7" borderId="12" xfId="0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vertical="center"/>
    </xf>
    <xf numFmtId="176" fontId="0" fillId="7" borderId="38" xfId="0" applyNumberForma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8" borderId="20" xfId="0" applyFill="1" applyBorder="1" applyAlignment="1">
      <alignment vertical="center"/>
    </xf>
    <xf numFmtId="0" fontId="0" fillId="8" borderId="20" xfId="0" applyFill="1" applyBorder="1" applyAlignment="1">
      <alignment horizontal="center" vertical="center"/>
    </xf>
    <xf numFmtId="176" fontId="0" fillId="8" borderId="20" xfId="0" applyNumberFormat="1" applyFill="1" applyBorder="1" applyAlignment="1">
      <alignment horizontal="right" vertical="center"/>
    </xf>
    <xf numFmtId="176" fontId="0" fillId="8" borderId="20" xfId="0" applyNumberFormat="1" applyFill="1" applyBorder="1" applyAlignment="1">
      <alignment vertical="center"/>
    </xf>
    <xf numFmtId="0" fontId="0" fillId="8" borderId="26" xfId="0" applyFill="1" applyBorder="1" applyAlignment="1">
      <alignment vertical="center"/>
    </xf>
    <xf numFmtId="0" fontId="0" fillId="8" borderId="26" xfId="0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right" vertical="center"/>
    </xf>
    <xf numFmtId="176" fontId="0" fillId="8" borderId="26" xfId="0" applyNumberFormat="1" applyFill="1" applyBorder="1" applyAlignment="1">
      <alignment vertical="center"/>
    </xf>
    <xf numFmtId="0" fontId="0" fillId="8" borderId="117" xfId="0" applyFill="1" applyBorder="1" applyAlignment="1">
      <alignment vertical="center"/>
    </xf>
    <xf numFmtId="0" fontId="0" fillId="8" borderId="117" xfId="0" applyFill="1" applyBorder="1" applyAlignment="1">
      <alignment horizontal="center" vertical="center"/>
    </xf>
    <xf numFmtId="0" fontId="1" fillId="8" borderId="117" xfId="0" applyFont="1" applyFill="1" applyBorder="1" applyAlignment="1">
      <alignment horizontal="right" vertical="center"/>
    </xf>
    <xf numFmtId="41" fontId="1" fillId="8" borderId="117" xfId="3" applyFont="1" applyFill="1" applyBorder="1" applyAlignment="1">
      <alignment horizontal="center" vertical="center"/>
    </xf>
    <xf numFmtId="0" fontId="0" fillId="8" borderId="26" xfId="0" applyFill="1" applyBorder="1" applyAlignment="1">
      <alignment horizontal="left" vertical="center"/>
    </xf>
    <xf numFmtId="0" fontId="0" fillId="8" borderId="26" xfId="0" applyFill="1" applyBorder="1" applyAlignment="1">
      <alignment horizontal="right" vertical="center"/>
    </xf>
    <xf numFmtId="41" fontId="1" fillId="8" borderId="26" xfId="3" applyFont="1" applyFill="1" applyBorder="1" applyAlignment="1">
      <alignment horizontal="right" vertical="center"/>
    </xf>
    <xf numFmtId="0" fontId="0" fillId="8" borderId="117" xfId="0" applyFill="1" applyBorder="1" applyAlignment="1">
      <alignment horizontal="right" vertical="center"/>
    </xf>
    <xf numFmtId="41" fontId="1" fillId="8" borderId="117" xfId="3" applyFont="1" applyFill="1" applyBorder="1" applyAlignment="1">
      <alignment horizontal="right" vertical="center"/>
    </xf>
    <xf numFmtId="0" fontId="1" fillId="8" borderId="26" xfId="0" applyFont="1" applyFill="1" applyBorder="1" applyAlignment="1">
      <alignment horizontal="right" vertical="center"/>
    </xf>
    <xf numFmtId="41" fontId="1" fillId="8" borderId="26" xfId="3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>
      <alignment vertical="center"/>
    </xf>
    <xf numFmtId="0" fontId="0" fillId="0" borderId="15" xfId="0" applyBorder="1" applyAlignment="1">
      <alignment horizontal="center" vertical="top" wrapText="1" shrinkToFit="1"/>
    </xf>
    <xf numFmtId="0" fontId="0" fillId="0" borderId="36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42" xfId="0" applyBorder="1" applyAlignment="1">
      <alignment horizontal="center" vertical="top" wrapText="1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176" fontId="0" fillId="0" borderId="36" xfId="0" applyNumberFormat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47" xfId="0" applyNumberFormat="1" applyFont="1" applyFill="1" applyBorder="1" applyAlignment="1">
      <alignment vertical="center"/>
    </xf>
    <xf numFmtId="176" fontId="24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3" borderId="42" xfId="0" applyFill="1" applyBorder="1" applyAlignment="1">
      <alignment vertical="center"/>
    </xf>
    <xf numFmtId="0" fontId="0" fillId="3" borderId="42" xfId="0" applyFill="1" applyBorder="1" applyAlignment="1">
      <alignment horizontal="center" vertical="center"/>
    </xf>
    <xf numFmtId="176" fontId="0" fillId="3" borderId="42" xfId="0" applyNumberFormat="1" applyFill="1" applyBorder="1" applyAlignment="1">
      <alignment horizontal="center" vertical="center"/>
    </xf>
    <xf numFmtId="176" fontId="0" fillId="3" borderId="42" xfId="0" applyNumberForma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176" fontId="0" fillId="3" borderId="26" xfId="0" applyNumberFormat="1" applyFill="1" applyBorder="1" applyAlignment="1">
      <alignment horizontal="center" vertical="center"/>
    </xf>
    <xf numFmtId="176" fontId="0" fillId="3" borderId="26" xfId="0" applyNumberFormat="1" applyFill="1" applyBorder="1" applyAlignment="1">
      <alignment vertical="center"/>
    </xf>
    <xf numFmtId="181" fontId="0" fillId="0" borderId="45" xfId="0" applyNumberFormat="1" applyBorder="1" applyAlignment="1">
      <alignment vertical="center"/>
    </xf>
    <xf numFmtId="182" fontId="0" fillId="3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3" fontId="0" fillId="2" borderId="12" xfId="0" applyNumberFormat="1" applyFill="1" applyBorder="1" applyAlignment="1">
      <alignment horizontal="center" vertical="center"/>
    </xf>
    <xf numFmtId="183" fontId="0" fillId="2" borderId="20" xfId="0" applyNumberFormat="1" applyFill="1" applyBorder="1" applyAlignment="1">
      <alignment horizontal="center" vertical="center"/>
    </xf>
    <xf numFmtId="183" fontId="0" fillId="3" borderId="26" xfId="0" applyNumberFormat="1" applyFill="1" applyBorder="1" applyAlignment="1">
      <alignment horizontal="center" vertical="center"/>
    </xf>
    <xf numFmtId="0" fontId="0" fillId="3" borderId="31" xfId="0" applyFill="1" applyBorder="1" applyAlignment="1">
      <alignment vertical="center"/>
    </xf>
    <xf numFmtId="183" fontId="0" fillId="2" borderId="35" xfId="0" applyNumberFormat="1" applyFill="1" applyBorder="1" applyAlignment="1">
      <alignment horizontal="center" vertical="center"/>
    </xf>
    <xf numFmtId="0" fontId="0" fillId="3" borderId="26" xfId="0" applyFill="1" applyBorder="1" applyAlignment="1">
      <alignment horizontal="left" vertical="center"/>
    </xf>
    <xf numFmtId="184" fontId="0" fillId="3" borderId="26" xfId="0" applyNumberFormat="1" applyFill="1" applyBorder="1" applyAlignment="1">
      <alignment horizontal="right" vertical="center"/>
    </xf>
    <xf numFmtId="182" fontId="0" fillId="3" borderId="26" xfId="0" applyNumberFormat="1" applyFill="1" applyBorder="1" applyAlignment="1">
      <alignment horizontal="right" vertical="center"/>
    </xf>
    <xf numFmtId="176" fontId="0" fillId="2" borderId="116" xfId="0" applyNumberFormat="1" applyFill="1" applyBorder="1" applyAlignment="1">
      <alignment horizontal="right" vertical="center"/>
    </xf>
    <xf numFmtId="0" fontId="0" fillId="3" borderId="117" xfId="0" applyFill="1" applyBorder="1" applyAlignment="1">
      <alignment vertical="center"/>
    </xf>
    <xf numFmtId="176" fontId="0" fillId="3" borderId="117" xfId="0" applyNumberFormat="1" applyFill="1" applyBorder="1" applyAlignment="1">
      <alignment vertical="center"/>
    </xf>
    <xf numFmtId="0" fontId="0" fillId="0" borderId="41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0" fillId="3" borderId="27" xfId="0" applyFill="1" applyBorder="1" applyAlignment="1">
      <alignment vertical="center"/>
    </xf>
    <xf numFmtId="0" fontId="0" fillId="3" borderId="119" xfId="0" applyFill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183" fontId="0" fillId="2" borderId="117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3" borderId="22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49" fontId="0" fillId="3" borderId="26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vertical="center"/>
    </xf>
    <xf numFmtId="0" fontId="0" fillId="3" borderId="35" xfId="0" applyFill="1" applyBorder="1" applyAlignment="1">
      <alignment vertical="center"/>
    </xf>
    <xf numFmtId="49" fontId="0" fillId="3" borderId="35" xfId="0" applyNumberFormat="1" applyFill="1" applyBorder="1" applyAlignment="1">
      <alignment horizontal="center" vertical="center"/>
    </xf>
    <xf numFmtId="0" fontId="27" fillId="3" borderId="26" xfId="0" applyFont="1" applyFill="1" applyBorder="1" applyAlignment="1">
      <alignment vertical="center"/>
    </xf>
    <xf numFmtId="0" fontId="14" fillId="2" borderId="26" xfId="0" applyFont="1" applyFill="1" applyBorder="1" applyAlignment="1">
      <alignment vertical="center"/>
    </xf>
    <xf numFmtId="183" fontId="0" fillId="2" borderId="26" xfId="0" applyNumberFormat="1" applyFill="1" applyBorder="1" applyAlignment="1">
      <alignment vertical="center"/>
    </xf>
    <xf numFmtId="0" fontId="28" fillId="3" borderId="26" xfId="0" applyFont="1" applyFill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185" fontId="28" fillId="3" borderId="26" xfId="0" applyNumberFormat="1" applyFont="1" applyFill="1" applyBorder="1" applyAlignment="1">
      <alignment vertical="center"/>
    </xf>
    <xf numFmtId="185" fontId="0" fillId="0" borderId="0" xfId="0" applyNumberFormat="1" applyAlignment="1">
      <alignment vertical="center"/>
    </xf>
    <xf numFmtId="0" fontId="28" fillId="3" borderId="27" xfId="0" applyFont="1" applyFill="1" applyBorder="1" applyAlignment="1">
      <alignment vertical="center"/>
    </xf>
    <xf numFmtId="0" fontId="0" fillId="3" borderId="26" xfId="0" quotePrefix="1" applyFill="1" applyBorder="1" applyAlignment="1">
      <alignment horizontal="center" vertical="center"/>
    </xf>
    <xf numFmtId="184" fontId="0" fillId="2" borderId="26" xfId="0" applyNumberFormat="1" applyFill="1" applyBorder="1" applyAlignment="1">
      <alignment vertical="center"/>
    </xf>
    <xf numFmtId="184" fontId="0" fillId="2" borderId="35" xfId="0" applyNumberFormat="1" applyFill="1" applyBorder="1" applyAlignment="1">
      <alignment vertical="center"/>
    </xf>
    <xf numFmtId="0" fontId="28" fillId="3" borderId="26" xfId="0" applyFont="1" applyFill="1" applyBorder="1" applyAlignment="1">
      <alignment horizontal="left" vertical="center"/>
    </xf>
    <xf numFmtId="0" fontId="0" fillId="3" borderId="35" xfId="0" applyFill="1" applyBorder="1" applyAlignment="1">
      <alignment horizontal="center" vertical="center"/>
    </xf>
    <xf numFmtId="183" fontId="0" fillId="2" borderId="35" xfId="0" applyNumberFormat="1" applyFill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5" fillId="0" borderId="1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2" xfId="0" applyBorder="1" applyAlignment="1">
      <alignment vertical="center"/>
    </xf>
  </cellXfs>
  <cellStyles count="4">
    <cellStyle name="백분율" xfId="2" builtinId="5"/>
    <cellStyle name="쉼표 [0]" xfId="1" builtinId="6"/>
    <cellStyle name="쉼표 [0] 3" xfId="3" xr:uid="{A955F898-8067-4ADB-AAF6-5B8A395945B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994834</xdr:colOff>
      <xdr:row>3</xdr:row>
      <xdr:rowOff>95250</xdr:rowOff>
    </xdr:from>
    <xdr:to>
      <xdr:col>8</xdr:col>
      <xdr:colOff>587164</xdr:colOff>
      <xdr:row>5</xdr:row>
      <xdr:rowOff>34925</xdr:rowOff>
    </xdr:to>
    <xdr:pic>
      <xdr:nvPicPr>
        <xdr:cNvPr id="2" name="그림 3" descr="도장.jpg">
          <a:extLst>
            <a:ext uri="{FF2B5EF4-FFF2-40B4-BE49-F238E27FC236}">
              <a16:creationId xmlns:a16="http://schemas.microsoft.com/office/drawing/2014/main" id="{4B52B0F4-3F38-4B2C-97A6-65997DEC9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3534" y="923925"/>
          <a:ext cx="65913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C4033146-1430-4282-8FEF-B6DE7CE4FED7}"/>
            </a:ext>
          </a:extLst>
        </xdr:cNvPr>
        <xdr:cNvSpPr>
          <a:spLocks/>
        </xdr:cNvSpPr>
      </xdr:nvSpPr>
      <xdr:spPr bwMode="auto">
        <a:xfrm>
          <a:off x="7848600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AECD04E-127C-42C7-9E9B-61224EF30009}"/>
            </a:ext>
          </a:extLst>
        </xdr:cNvPr>
        <xdr:cNvSpPr>
          <a:spLocks/>
        </xdr:cNvSpPr>
      </xdr:nvSpPr>
      <xdr:spPr bwMode="auto">
        <a:xfrm>
          <a:off x="7867650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9E90B5E-C567-4180-89BF-2523380C14F3}"/>
            </a:ext>
          </a:extLst>
        </xdr:cNvPr>
        <xdr:cNvSpPr>
          <a:spLocks/>
        </xdr:cNvSpPr>
      </xdr:nvSpPr>
      <xdr:spPr bwMode="auto">
        <a:xfrm>
          <a:off x="7867650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594BB780-DEE7-47C2-AE7A-ED6B65AF9B26}"/>
            </a:ext>
          </a:extLst>
        </xdr:cNvPr>
        <xdr:cNvSpPr>
          <a:spLocks/>
        </xdr:cNvSpPr>
      </xdr:nvSpPr>
      <xdr:spPr bwMode="auto">
        <a:xfrm>
          <a:off x="7877175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6C8FA9D3-2BF6-406C-9303-379DACA31290}"/>
            </a:ext>
          </a:extLst>
        </xdr:cNvPr>
        <xdr:cNvSpPr>
          <a:spLocks/>
        </xdr:cNvSpPr>
      </xdr:nvSpPr>
      <xdr:spPr bwMode="auto">
        <a:xfrm>
          <a:off x="7850976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AC97BDF9-836C-4962-8416-C4AF68EF3180}"/>
            </a:ext>
          </a:extLst>
        </xdr:cNvPr>
        <xdr:cNvSpPr>
          <a:spLocks/>
        </xdr:cNvSpPr>
      </xdr:nvSpPr>
      <xdr:spPr bwMode="auto">
        <a:xfrm>
          <a:off x="7862882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2" name="AutoShape 22">
          <a:extLst>
            <a:ext uri="{FF2B5EF4-FFF2-40B4-BE49-F238E27FC236}">
              <a16:creationId xmlns:a16="http://schemas.microsoft.com/office/drawing/2014/main" id="{F931354B-0A12-49C8-8C24-CAE7936FE110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4E0657-95A5-4161-8438-4B022A19280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A19E2B9B-FD8F-4A3A-AF29-ADDDBE5CFC3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F008E4E-79CB-4238-8FE1-08D9DF2D5FE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E6DD463F-8CB7-4D8F-B1B3-6DC9483ADF04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E12B0AAD-1025-4803-AA31-CB36792C708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950F17F-0428-4F9A-97A2-96729843CC14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C7BF30D-255D-4F14-BFFD-95BCD3CDB86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3C380DD-6D3B-485B-B0B3-84E477D66BB9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8ADBC9B-69DD-4E7F-A083-466A701F9D36}"/>
            </a:ext>
          </a:extLst>
        </xdr:cNvPr>
        <xdr:cNvSpPr>
          <a:spLocks noChangeArrowheads="1"/>
        </xdr:cNvSpPr>
      </xdr:nvSpPr>
      <xdr:spPr bwMode="auto">
        <a:xfrm>
          <a:off x="4248150" y="19050"/>
          <a:ext cx="8667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CF0B839-F6EF-4327-82DC-0E25887DDB44}"/>
            </a:ext>
          </a:extLst>
        </xdr:cNvPr>
        <xdr:cNvSpPr>
          <a:spLocks noChangeArrowheads="1"/>
        </xdr:cNvSpPr>
      </xdr:nvSpPr>
      <xdr:spPr bwMode="auto">
        <a:xfrm>
          <a:off x="5295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4D9F78BE-2866-4EBD-95A9-3F802FB4B25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AD84C92-9BCC-4B6B-BC8F-F996C050B0C6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712255D-CD3E-4196-92F8-AEEF83A8A9A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02D473D-F7D8-4ADC-9915-01B6953BFE26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62C30B1-7E59-49BE-BC5E-40D166945C5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643C7FFB-8169-4DC1-8024-12912695A4D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59A5DA2D-AD8F-465C-B477-020EA6B40326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301B87E8-D177-471D-B7AB-BFE5CD5EFA6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2A5EB184-7D65-4BDF-95A9-ED6E99722E4F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8DC1F37D-F7B2-4DCB-81CB-7C761B23B038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C074B3F9-EBF4-49C7-BF47-69FD0A64940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896C691C-0BB8-438A-9AD8-3C92475562EF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D71C18CD-FCC5-4EEB-BAB5-E283FEF911F2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875B-0ABA-40C4-81D1-0C28AC06609F}">
  <sheetPr>
    <pageSetUpPr fitToPage="1"/>
  </sheetPr>
  <dimension ref="B1:J35"/>
  <sheetViews>
    <sheetView tabSelected="1" zoomScale="90" zoomScaleNormal="90" zoomScaleSheetLayoutView="90" workbookViewId="0">
      <selection activeCell="K27" sqref="K27"/>
    </sheetView>
  </sheetViews>
  <sheetFormatPr defaultColWidth="9" defaultRowHeight="13.5"/>
  <cols>
    <col min="1" max="1" width="2" style="2" customWidth="1"/>
    <col min="2" max="2" width="4.875" style="2" customWidth="1"/>
    <col min="3" max="3" width="8.5" style="2" customWidth="1"/>
    <col min="4" max="4" width="14.75" style="2" customWidth="1"/>
    <col min="5" max="7" width="11.125" style="2" customWidth="1"/>
    <col min="8" max="8" width="14" style="2" customWidth="1"/>
    <col min="9" max="9" width="8.5" style="2" customWidth="1"/>
    <col min="10" max="10" width="1.375" style="2" customWidth="1"/>
    <col min="11" max="11" width="9" style="2"/>
    <col min="12" max="12" width="33.25" style="2" customWidth="1"/>
    <col min="13" max="16384" width="9" style="2"/>
  </cols>
  <sheetData>
    <row r="1" spans="2:10">
      <c r="B1" s="1" t="s">
        <v>0</v>
      </c>
    </row>
    <row r="2" spans="2:10" ht="38.25">
      <c r="B2" s="3" t="s">
        <v>1</v>
      </c>
      <c r="C2" s="3"/>
      <c r="D2" s="3"/>
      <c r="E2" s="3"/>
      <c r="F2" s="3"/>
      <c r="G2" s="3"/>
      <c r="H2" s="3"/>
      <c r="I2" s="3"/>
    </row>
    <row r="4" spans="2:10" s="5" customFormat="1" ht="24" customHeight="1">
      <c r="B4" s="4" t="s">
        <v>2</v>
      </c>
      <c r="C4" s="4"/>
      <c r="D4" s="4"/>
      <c r="G4" s="6" t="s">
        <v>3</v>
      </c>
      <c r="H4" s="7"/>
      <c r="I4" s="8"/>
      <c r="J4" s="9"/>
    </row>
    <row r="5" spans="2:10" s="5" customFormat="1" ht="21.75" customHeight="1">
      <c r="B5" s="10" t="s">
        <v>4</v>
      </c>
      <c r="C5" s="11"/>
      <c r="D5" s="12">
        <v>45848</v>
      </c>
      <c r="E5" s="13"/>
      <c r="G5" s="14" t="s">
        <v>5</v>
      </c>
      <c r="H5" s="15"/>
      <c r="I5" s="15"/>
      <c r="J5" s="16"/>
    </row>
    <row r="6" spans="2:10" s="5" customFormat="1" ht="21.75" customHeight="1">
      <c r="B6" s="10" t="s">
        <v>6</v>
      </c>
      <c r="C6" s="11"/>
      <c r="D6" s="17" t="s">
        <v>7</v>
      </c>
      <c r="E6" s="13"/>
      <c r="G6" s="14" t="s">
        <v>8</v>
      </c>
      <c r="H6" s="18"/>
      <c r="I6" s="18"/>
      <c r="J6" s="19"/>
    </row>
    <row r="7" spans="2:10" s="5" customFormat="1" ht="21.75" customHeight="1">
      <c r="B7" s="20" t="s">
        <v>9</v>
      </c>
      <c r="C7" s="21" t="s">
        <v>10</v>
      </c>
      <c r="D7" s="17" t="s">
        <v>11</v>
      </c>
      <c r="E7" s="13"/>
      <c r="G7" s="22"/>
      <c r="H7" s="18"/>
      <c r="I7" s="18"/>
      <c r="J7" s="19"/>
    </row>
    <row r="8" spans="2:10" s="5" customFormat="1" ht="21.75" customHeight="1">
      <c r="B8" s="20"/>
      <c r="C8" s="21" t="s">
        <v>12</v>
      </c>
      <c r="D8" s="17" t="s">
        <v>11</v>
      </c>
      <c r="E8" s="13"/>
      <c r="G8" s="22" t="s">
        <v>13</v>
      </c>
      <c r="H8" s="18"/>
      <c r="I8" s="18"/>
      <c r="J8" s="19"/>
    </row>
    <row r="9" spans="2:10" s="5" customFormat="1" ht="21.75" customHeight="1">
      <c r="B9" s="10" t="s">
        <v>14</v>
      </c>
      <c r="C9" s="11"/>
      <c r="D9" s="17" t="s">
        <v>15</v>
      </c>
      <c r="E9" s="13"/>
      <c r="G9" s="14" t="s">
        <v>16</v>
      </c>
      <c r="H9" s="18"/>
      <c r="I9" s="18"/>
      <c r="J9" s="19"/>
    </row>
    <row r="10" spans="2:10" s="5" customFormat="1" ht="21.75" customHeight="1">
      <c r="B10" s="10" t="s">
        <v>17</v>
      </c>
      <c r="C10" s="11"/>
      <c r="D10" s="17" t="s">
        <v>18</v>
      </c>
      <c r="E10" s="13"/>
      <c r="G10" s="23" t="s">
        <v>19</v>
      </c>
      <c r="H10" s="24"/>
      <c r="I10" s="25"/>
      <c r="J10" s="16"/>
    </row>
    <row r="11" spans="2:10" s="5" customFormat="1" ht="21.75" customHeight="1">
      <c r="B11" s="10" t="s">
        <v>20</v>
      </c>
      <c r="C11" s="11"/>
      <c r="D11" s="17" t="s">
        <v>21</v>
      </c>
      <c r="E11" s="13"/>
      <c r="G11" s="26" t="s">
        <v>22</v>
      </c>
      <c r="H11" s="27"/>
      <c r="I11" s="28"/>
      <c r="J11" s="29"/>
    </row>
    <row r="12" spans="2:10" s="31" customFormat="1" ht="10.5" customHeight="1">
      <c r="B12" s="30"/>
      <c r="I12" s="32"/>
    </row>
    <row r="13" spans="2:10" s="31" customFormat="1" ht="24.95" customHeight="1">
      <c r="B13" s="33" t="s">
        <v>23</v>
      </c>
      <c r="C13" s="33"/>
      <c r="D13" s="34" t="str">
        <f>"一金"&amp;NUMBERSTRING(H27,1)&amp;"원整"</f>
        <v>一金이억사천이백만원整</v>
      </c>
      <c r="E13" s="35"/>
      <c r="F13" s="35"/>
      <c r="G13" s="36">
        <f>H27</f>
        <v>242000000</v>
      </c>
      <c r="H13" s="37"/>
      <c r="I13" s="38" t="s">
        <v>24</v>
      </c>
      <c r="J13" s="5"/>
    </row>
    <row r="14" spans="2:10" s="5" customFormat="1" ht="8.25" customHeight="1"/>
    <row r="15" spans="2:10" s="43" customFormat="1" ht="24.95" customHeight="1">
      <c r="B15" s="39" t="s">
        <v>25</v>
      </c>
      <c r="C15" s="40" t="s">
        <v>26</v>
      </c>
      <c r="D15" s="41"/>
      <c r="E15" s="42" t="s">
        <v>27</v>
      </c>
      <c r="F15" s="42"/>
      <c r="G15" s="42"/>
      <c r="H15" s="42"/>
      <c r="I15" s="39" t="s">
        <v>28</v>
      </c>
    </row>
    <row r="16" spans="2:10" s="43" customFormat="1" ht="29.25" customHeight="1">
      <c r="B16" s="42"/>
      <c r="C16" s="44"/>
      <c r="D16" s="45"/>
      <c r="E16" s="46" t="s">
        <v>29</v>
      </c>
      <c r="F16" s="47" t="s">
        <v>30</v>
      </c>
      <c r="G16" s="48" t="s">
        <v>31</v>
      </c>
      <c r="H16" s="49" t="s">
        <v>32</v>
      </c>
      <c r="I16" s="42"/>
    </row>
    <row r="17" spans="2:10" ht="24.95" customHeight="1">
      <c r="B17" s="50">
        <v>1</v>
      </c>
      <c r="C17" s="51" t="str">
        <f>단위장비1!C1</f>
        <v>연속1,2 히타,튜브파트</v>
      </c>
      <c r="D17" s="52"/>
      <c r="E17" s="53">
        <v>1</v>
      </c>
      <c r="F17" s="54" t="s">
        <v>33</v>
      </c>
      <c r="G17" s="55">
        <f>단위장비1!H54</f>
        <v>62853284.403669722</v>
      </c>
      <c r="H17" s="56">
        <f>E17*G17</f>
        <v>62853284.403669722</v>
      </c>
      <c r="I17" s="57"/>
    </row>
    <row r="18" spans="2:10" ht="24.95" customHeight="1">
      <c r="B18" s="58">
        <v>2</v>
      </c>
      <c r="C18" s="59" t="str">
        <f>단위장비2!C1</f>
        <v>연속1,2 도아파트</v>
      </c>
      <c r="D18" s="60"/>
      <c r="E18" s="61">
        <v>1</v>
      </c>
      <c r="F18" s="62" t="s">
        <v>33</v>
      </c>
      <c r="G18" s="63">
        <f>단위장비2!H69</f>
        <v>13784440.366972476</v>
      </c>
      <c r="H18" s="56">
        <f t="shared" ref="H18:H22" si="0">E18*G18</f>
        <v>13784440.366972476</v>
      </c>
      <c r="I18" s="64"/>
    </row>
    <row r="19" spans="2:10" ht="24.95" customHeight="1">
      <c r="B19" s="58">
        <v>3</v>
      </c>
      <c r="C19" s="59" t="str">
        <f>+단위장비3!C1</f>
        <v>연속1,2 중간도아, 알씨팬</v>
      </c>
      <c r="D19" s="60"/>
      <c r="E19" s="61">
        <v>1</v>
      </c>
      <c r="F19" s="65" t="s">
        <v>33</v>
      </c>
      <c r="G19" s="63">
        <v>32018142</v>
      </c>
      <c r="H19" s="56">
        <f t="shared" si="0"/>
        <v>32018142</v>
      </c>
      <c r="I19" s="66"/>
    </row>
    <row r="20" spans="2:10" ht="24.95" customHeight="1">
      <c r="B20" s="58">
        <v>4</v>
      </c>
      <c r="C20" s="59" t="str">
        <f>+단위장비4!C1</f>
        <v>hearth roller 파트</v>
      </c>
      <c r="D20" s="60"/>
      <c r="E20" s="61">
        <v>1</v>
      </c>
      <c r="F20" s="65" t="s">
        <v>33</v>
      </c>
      <c r="G20" s="63">
        <v>43052155</v>
      </c>
      <c r="H20" s="56">
        <f t="shared" si="0"/>
        <v>43052155</v>
      </c>
      <c r="I20" s="66"/>
    </row>
    <row r="21" spans="2:10" ht="24.95" customHeight="1">
      <c r="B21" s="58">
        <v>5</v>
      </c>
      <c r="C21" s="59" t="str">
        <f>+단위장비5!C1</f>
        <v>연속1,2 축로파트</v>
      </c>
      <c r="D21" s="60"/>
      <c r="E21" s="61">
        <v>1</v>
      </c>
      <c r="F21" s="65" t="s">
        <v>33</v>
      </c>
      <c r="G21" s="63">
        <v>64064728</v>
      </c>
      <c r="H21" s="56">
        <f t="shared" si="0"/>
        <v>64064728</v>
      </c>
      <c r="I21" s="66"/>
    </row>
    <row r="22" spans="2:10" ht="24.95" customHeight="1">
      <c r="B22" s="58">
        <v>6</v>
      </c>
      <c r="C22" s="59" t="str">
        <f>+단위장비6!C1</f>
        <v>연속로공통 및 유조파트</v>
      </c>
      <c r="D22" s="60"/>
      <c r="E22" s="61">
        <v>1</v>
      </c>
      <c r="F22" s="65" t="s">
        <v>33</v>
      </c>
      <c r="G22" s="63">
        <v>43211633</v>
      </c>
      <c r="H22" s="56">
        <f t="shared" si="0"/>
        <v>43211633</v>
      </c>
      <c r="I22" s="66"/>
    </row>
    <row r="23" spans="2:10" ht="24.95" customHeight="1">
      <c r="B23" s="58">
        <v>7</v>
      </c>
      <c r="C23" s="59"/>
      <c r="D23" s="60"/>
      <c r="E23" s="61"/>
      <c r="F23" s="65"/>
      <c r="G23" s="63"/>
      <c r="H23" s="67"/>
      <c r="I23" s="66"/>
    </row>
    <row r="24" spans="2:10" ht="24.95" customHeight="1">
      <c r="B24" s="68">
        <v>8</v>
      </c>
      <c r="C24" s="59"/>
      <c r="D24" s="60"/>
      <c r="E24" s="61"/>
      <c r="F24" s="65"/>
      <c r="G24" s="63"/>
      <c r="H24" s="69"/>
      <c r="I24" s="66"/>
    </row>
    <row r="25" spans="2:10" ht="24.95" customHeight="1">
      <c r="B25" s="68">
        <v>9</v>
      </c>
      <c r="C25" s="59"/>
      <c r="D25" s="60"/>
      <c r="E25" s="61"/>
      <c r="F25" s="65"/>
      <c r="G25" s="63"/>
      <c r="H25" s="69"/>
      <c r="I25" s="66"/>
    </row>
    <row r="26" spans="2:10" ht="24.95" customHeight="1">
      <c r="B26" s="70">
        <v>10</v>
      </c>
      <c r="C26" s="71"/>
      <c r="D26" s="72"/>
      <c r="E26" s="73"/>
      <c r="F26" s="74"/>
      <c r="G26" s="75"/>
      <c r="H26" s="76"/>
      <c r="I26" s="77"/>
    </row>
    <row r="27" spans="2:10" ht="24.95" customHeight="1">
      <c r="B27" s="78" t="s">
        <v>34</v>
      </c>
      <c r="C27" s="79"/>
      <c r="D27" s="80"/>
      <c r="E27" s="81">
        <f>SUM(E17:E23)</f>
        <v>6</v>
      </c>
      <c r="F27" s="82">
        <f>SUM(F17:F23)</f>
        <v>0</v>
      </c>
      <c r="G27" s="82">
        <f>SUM(G17:G23)</f>
        <v>258984382.77064219</v>
      </c>
      <c r="H27" s="83">
        <v>242000000</v>
      </c>
      <c r="I27" s="84"/>
      <c r="J27" s="85"/>
    </row>
    <row r="28" spans="2:10" ht="4.5" customHeight="1">
      <c r="B28" s="86"/>
      <c r="C28" s="87"/>
      <c r="D28" s="87"/>
      <c r="E28" s="85"/>
      <c r="F28" s="85"/>
      <c r="G28" s="85"/>
      <c r="H28" s="85"/>
    </row>
    <row r="29" spans="2:10" ht="24" customHeight="1">
      <c r="B29" s="87"/>
      <c r="C29" s="87"/>
      <c r="D29" s="87"/>
      <c r="E29" s="85"/>
      <c r="F29" s="88" t="s">
        <v>35</v>
      </c>
      <c r="G29" s="89"/>
      <c r="H29" s="90"/>
    </row>
    <row r="30" spans="2:10" ht="15" customHeight="1">
      <c r="B30" s="87"/>
      <c r="C30" s="87"/>
      <c r="D30" s="87"/>
      <c r="E30" s="85"/>
      <c r="F30" s="85"/>
      <c r="G30" s="85"/>
      <c r="H30" s="85"/>
    </row>
    <row r="31" spans="2:10" ht="22.5" customHeight="1">
      <c r="B31" s="91" t="s">
        <v>36</v>
      </c>
      <c r="C31" s="92" t="s">
        <v>37</v>
      </c>
      <c r="D31" s="93"/>
      <c r="E31" s="94"/>
      <c r="F31" s="95" t="s">
        <v>38</v>
      </c>
      <c r="G31" s="96"/>
      <c r="H31" s="96"/>
      <c r="I31" s="97"/>
    </row>
    <row r="32" spans="2:10" ht="22.5" customHeight="1">
      <c r="B32" s="98"/>
      <c r="C32" s="99" t="s">
        <v>39</v>
      </c>
      <c r="D32" s="100"/>
      <c r="E32" s="101"/>
      <c r="F32" s="102" t="s">
        <v>40</v>
      </c>
      <c r="G32" s="103"/>
      <c r="H32" s="104"/>
      <c r="I32" s="105"/>
    </row>
    <row r="33" spans="2:9" ht="22.5" customHeight="1">
      <c r="B33" s="98"/>
      <c r="C33" s="106">
        <f>'원가항목별(집계)'!I39</f>
        <v>5757000</v>
      </c>
      <c r="D33" s="107"/>
      <c r="E33" s="108"/>
      <c r="F33" s="68" t="s">
        <v>41</v>
      </c>
      <c r="G33" s="109"/>
      <c r="H33" s="110"/>
      <c r="I33" s="111"/>
    </row>
    <row r="34" spans="2:9" ht="22.5" customHeight="1">
      <c r="B34" s="98"/>
      <c r="C34" s="112"/>
      <c r="D34" s="113"/>
      <c r="E34" s="114"/>
      <c r="F34" s="68" t="s">
        <v>42</v>
      </c>
      <c r="G34" s="109"/>
      <c r="H34" s="110"/>
      <c r="I34" s="111"/>
    </row>
    <row r="35" spans="2:9" ht="22.5" customHeight="1">
      <c r="B35" s="115"/>
      <c r="C35" s="116"/>
      <c r="D35" s="117"/>
      <c r="E35" s="118"/>
      <c r="F35" s="70" t="s">
        <v>43</v>
      </c>
      <c r="G35" s="119"/>
      <c r="H35" s="120"/>
      <c r="I35" s="121"/>
    </row>
  </sheetData>
  <mergeCells count="38">
    <mergeCell ref="C35:E35"/>
    <mergeCell ref="G35:I35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22:D22"/>
    <mergeCell ref="C23:D23"/>
    <mergeCell ref="C24:D24"/>
    <mergeCell ref="C25:D25"/>
    <mergeCell ref="C26:D26"/>
    <mergeCell ref="B27:D27"/>
    <mergeCell ref="I15:I16"/>
    <mergeCell ref="C17:D17"/>
    <mergeCell ref="C18:D18"/>
    <mergeCell ref="C19:D19"/>
    <mergeCell ref="C20:D20"/>
    <mergeCell ref="C21:D21"/>
    <mergeCell ref="B10:C10"/>
    <mergeCell ref="B11:C11"/>
    <mergeCell ref="B13:C13"/>
    <mergeCell ref="D13:F13"/>
    <mergeCell ref="G13:H13"/>
    <mergeCell ref="B15:B16"/>
    <mergeCell ref="C15:D16"/>
    <mergeCell ref="E15:H15"/>
    <mergeCell ref="B2:I2"/>
    <mergeCell ref="B4:D4"/>
    <mergeCell ref="B5:C5"/>
    <mergeCell ref="B6:C6"/>
    <mergeCell ref="B7:B8"/>
    <mergeCell ref="B9:C9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01CF-1B9B-4372-A029-4BB3A584E7D7}">
  <sheetPr>
    <pageSetUpPr fitToPage="1"/>
  </sheetPr>
  <dimension ref="B2:M49"/>
  <sheetViews>
    <sheetView showGridLines="0" zoomScale="80" workbookViewId="0">
      <pane ySplit="6" topLeftCell="A14" activePane="bottomLeft" state="frozen"/>
      <selection activeCell="K27" sqref="K27"/>
      <selection pane="bottomLeft" activeCell="K27" sqref="K27"/>
    </sheetView>
  </sheetViews>
  <sheetFormatPr defaultColWidth="9" defaultRowHeight="19.5" customHeight="1"/>
  <cols>
    <col min="1" max="1" width="0.5" style="122" customWidth="1"/>
    <col min="2" max="2" width="5.25" style="122" bestFit="1" customWidth="1"/>
    <col min="3" max="3" width="7.375" style="122" customWidth="1"/>
    <col min="4" max="4" width="8.875" style="122" customWidth="1"/>
    <col min="5" max="5" width="17.75" style="122" customWidth="1"/>
    <col min="6" max="6" width="6.375" style="123" customWidth="1"/>
    <col min="7" max="7" width="8.875" style="124" customWidth="1"/>
    <col min="8" max="8" width="11.625" style="125" bestFit="1" customWidth="1"/>
    <col min="9" max="9" width="17.5" style="125" bestFit="1" customWidth="1"/>
    <col min="10" max="10" width="15.625" style="122" customWidth="1"/>
    <col min="11" max="11" width="13.75" style="126" bestFit="1" customWidth="1"/>
    <col min="12" max="12" width="10.875" style="122" bestFit="1" customWidth="1"/>
    <col min="13" max="16384" width="9" style="122"/>
  </cols>
  <sheetData>
    <row r="2" spans="2:11" s="134" customFormat="1" ht="26.25" customHeight="1">
      <c r="B2" s="127"/>
      <c r="C2" s="128" t="s">
        <v>44</v>
      </c>
      <c r="D2" s="129"/>
      <c r="E2" s="129"/>
      <c r="F2" s="130"/>
      <c r="G2" s="131"/>
      <c r="H2" s="132"/>
      <c r="I2" s="132"/>
      <c r="J2" s="129"/>
      <c r="K2" s="133"/>
    </row>
    <row r="3" spans="2:11" s="134" customFormat="1" ht="19.5" customHeight="1">
      <c r="B3" s="127"/>
      <c r="C3" s="128"/>
      <c r="D3" s="129"/>
      <c r="E3" s="129"/>
      <c r="F3" s="130"/>
      <c r="G3" s="131"/>
      <c r="H3" s="132"/>
      <c r="I3" s="132"/>
      <c r="J3" s="129"/>
      <c r="K3" s="133"/>
    </row>
    <row r="4" spans="2:11" ht="30" customHeight="1">
      <c r="B4" s="135" t="s">
        <v>45</v>
      </c>
      <c r="D4" s="136"/>
      <c r="J4" s="123"/>
    </row>
    <row r="5" spans="2:11" s="123" customFormat="1" ht="8.25" customHeight="1">
      <c r="B5" s="137"/>
      <c r="C5" s="138"/>
      <c r="D5" s="139"/>
      <c r="E5" s="140"/>
      <c r="F5" s="141"/>
      <c r="G5" s="142"/>
      <c r="H5" s="142"/>
      <c r="I5" s="142"/>
      <c r="J5" s="143"/>
      <c r="K5" s="144"/>
    </row>
    <row r="6" spans="2:11" s="123" customFormat="1" ht="22.5" customHeight="1" thickBot="1">
      <c r="B6" s="145" t="s">
        <v>46</v>
      </c>
      <c r="C6" s="146" t="s">
        <v>47</v>
      </c>
      <c r="D6" s="147"/>
      <c r="E6" s="148"/>
      <c r="F6" s="149" t="s">
        <v>30</v>
      </c>
      <c r="G6" s="150" t="s">
        <v>29</v>
      </c>
      <c r="H6" s="150" t="s">
        <v>48</v>
      </c>
      <c r="I6" s="150" t="s">
        <v>49</v>
      </c>
      <c r="J6" s="151" t="s">
        <v>50</v>
      </c>
      <c r="K6" s="144"/>
    </row>
    <row r="7" spans="2:11" ht="19.5" customHeight="1" thickTop="1">
      <c r="B7" s="152">
        <v>1</v>
      </c>
      <c r="C7" s="153" t="s">
        <v>51</v>
      </c>
      <c r="D7" s="154" t="s">
        <v>52</v>
      </c>
      <c r="E7" s="155" t="s">
        <v>53</v>
      </c>
      <c r="F7" s="156" t="s">
        <v>54</v>
      </c>
      <c r="G7" s="157">
        <f>단위장비1!F16+단위장비2!F30+단위장비3!F30+단위장비5!F29+단위장비4!F30+단위장비6!F30+단위장비7!F30+단위장비8!F30+단위장비9!F30+단위장비10!F30</f>
        <v>0</v>
      </c>
      <c r="H7" s="158"/>
      <c r="I7" s="158">
        <f>단위장비1!H10+단위장비2!H24+단위장비3!H24+단위장비5!H23+단위장비4!H24+단위장비6!H24+단위장비7!H24+단위장비8!H24+단위장비9!H24+단위장비10!H24</f>
        <v>0</v>
      </c>
      <c r="J7" s="159" t="s">
        <v>55</v>
      </c>
    </row>
    <row r="8" spans="2:11" ht="19.5" customHeight="1">
      <c r="B8" s="152"/>
      <c r="C8" s="154"/>
      <c r="D8" s="154"/>
      <c r="E8" s="160" t="s">
        <v>56</v>
      </c>
      <c r="F8" s="161" t="s">
        <v>57</v>
      </c>
      <c r="G8" s="162">
        <v>1</v>
      </c>
      <c r="H8" s="163"/>
      <c r="I8" s="163">
        <f>단위장비1!H32+단위장비2!H47+단위장비3!H47+단위장비5!H46+단위장비4!H47+단위장비6!H47+단위장비7!H47+단위장비8!H47+단위장비9!H47+단위장비10!H47</f>
        <v>0</v>
      </c>
      <c r="J8" s="164" t="s">
        <v>58</v>
      </c>
    </row>
    <row r="9" spans="2:11" ht="19.5" customHeight="1">
      <c r="B9" s="152"/>
      <c r="C9" s="154"/>
      <c r="D9" s="154"/>
      <c r="E9" s="160" t="s">
        <v>59</v>
      </c>
      <c r="F9" s="161" t="s">
        <v>57</v>
      </c>
      <c r="G9" s="165">
        <v>1</v>
      </c>
      <c r="H9" s="163"/>
      <c r="I9" s="163">
        <f>단위장비1!H40+단위장비2!H55+단위장비3!H55+단위장비5!H54+단위장비4!H55+단위장비6!H55+단위장비7!H55+단위장비8!H55+단위장비9!H55+단위장비10!H55</f>
        <v>0</v>
      </c>
      <c r="J9" s="164" t="s">
        <v>60</v>
      </c>
    </row>
    <row r="10" spans="2:11" ht="19.5" customHeight="1">
      <c r="B10" s="152"/>
      <c r="C10" s="154"/>
      <c r="D10" s="154"/>
      <c r="E10" s="166" t="s">
        <v>61</v>
      </c>
      <c r="F10" s="167" t="s">
        <v>57</v>
      </c>
      <c r="G10" s="168">
        <v>1</v>
      </c>
      <c r="H10" s="169"/>
      <c r="I10" s="169">
        <f>단위장비1!H16+단위장비2!H30+단위장비3!H30+단위장비5!H29+단위장비4!H30+단위장비6!H30+단위장비7!H30+단위장비8!H30+단위장비9!H30+단위장비10!H30</f>
        <v>111980000</v>
      </c>
      <c r="J10" s="170" t="s">
        <v>62</v>
      </c>
    </row>
    <row r="11" spans="2:11" ht="19.5" customHeight="1">
      <c r="B11" s="152"/>
      <c r="C11" s="154"/>
      <c r="D11" s="171"/>
      <c r="E11" s="172" t="s">
        <v>63</v>
      </c>
      <c r="F11" s="173"/>
      <c r="G11" s="174"/>
      <c r="H11" s="175"/>
      <c r="I11" s="176">
        <f>SUM(I7:I10)</f>
        <v>111980000</v>
      </c>
      <c r="J11" s="164"/>
    </row>
    <row r="12" spans="2:11" ht="19.5" customHeight="1">
      <c r="B12" s="152"/>
      <c r="C12" s="154"/>
      <c r="D12" s="177" t="s">
        <v>64</v>
      </c>
      <c r="E12" s="178" t="s">
        <v>65</v>
      </c>
      <c r="F12" s="167" t="s">
        <v>66</v>
      </c>
      <c r="G12" s="169">
        <f>단위장비1!F42+단위장비2!F57+단위장비3!F57+단위장비5!F56+단위장비4!F57+단위장비6!F57+단위장비7!F57+단위장비8!F57+단위장비9!F57+단위장비10!F57</f>
        <v>104</v>
      </c>
      <c r="H12" s="169">
        <f>IF(단위장비1!G42&gt;0,단위장비1!G42,"")</f>
        <v>250000</v>
      </c>
      <c r="I12" s="169">
        <f>단위장비1!H42+단위장비2!H57+단위장비3!H57+단위장비5!H56+단위장비4!H57+단위장비6!H57+단위장비7!H57+단위장비8!H57+단위장비9!H57+단위장비10!H57</f>
        <v>27800000</v>
      </c>
      <c r="J12" s="164" t="s">
        <v>67</v>
      </c>
    </row>
    <row r="13" spans="2:11" ht="19.5" customHeight="1">
      <c r="B13" s="152"/>
      <c r="C13" s="154"/>
      <c r="D13" s="154"/>
      <c r="E13" s="160" t="s">
        <v>68</v>
      </c>
      <c r="F13" s="161" t="s">
        <v>66</v>
      </c>
      <c r="G13" s="163">
        <f>단위장비1!F43+단위장비2!F58+단위장비3!F58+단위장비5!F57+단위장비4!F58+단위장비6!F58+단위장비7!F58+단위장비8!F58+단위장비9!F58+단위장비10!F58</f>
        <v>90</v>
      </c>
      <c r="H13" s="163">
        <f>IF(단위장비1!G43&gt;0,단위장비1!G43,"")</f>
        <v>250000</v>
      </c>
      <c r="I13" s="163">
        <f>단위장비1!H43+단위장비2!H58+단위장비3!H58+단위장비5!H57+단위장비4!H58+단위장비6!H58+단위장비7!H58+단위장비8!H58+단위장비9!H58+단위장비10!H58</f>
        <v>25200000</v>
      </c>
      <c r="J13" s="164"/>
    </row>
    <row r="14" spans="2:11" ht="19.5" customHeight="1">
      <c r="B14" s="152"/>
      <c r="C14" s="154"/>
      <c r="D14" s="154"/>
      <c r="E14" s="160" t="s">
        <v>69</v>
      </c>
      <c r="F14" s="161" t="s">
        <v>66</v>
      </c>
      <c r="G14" s="163">
        <f>단위장비1!F44+단위장비2!F59+단위장비3!F59+단위장비5!F58+단위장비4!F59+단위장비6!F59+단위장비7!F59+단위장비8!F59+단위장비9!F59+단위장비10!F59</f>
        <v>90</v>
      </c>
      <c r="H14" s="163">
        <f>IF(단위장비1!G44&gt;0,단위장비1!G44,"")</f>
        <v>250000</v>
      </c>
      <c r="I14" s="163">
        <f>단위장비1!H44+단위장비2!H59+단위장비3!H59+단위장비5!H58+단위장비4!H59+단위장비6!H59+단위장비7!H59+단위장비8!H59+단위장비9!H59+단위장비10!H59</f>
        <v>25200000</v>
      </c>
      <c r="J14" s="164"/>
    </row>
    <row r="15" spans="2:11" ht="19.5" customHeight="1">
      <c r="B15" s="152"/>
      <c r="C15" s="154"/>
      <c r="D15" s="154"/>
      <c r="E15" s="160" t="s">
        <v>70</v>
      </c>
      <c r="F15" s="161" t="s">
        <v>66</v>
      </c>
      <c r="G15" s="163">
        <f>단위장비1!F45+단위장비2!F60+단위장비3!F60+단위장비5!F59+단위장비4!F60+단위장비6!F60+단위장비7!F60+단위장비8!F60+단위장비9!F60+단위장비10!F60</f>
        <v>50</v>
      </c>
      <c r="H15" s="163">
        <f>IF(단위장비1!G45&gt;0,단위장비1!G45,"")</f>
        <v>250000</v>
      </c>
      <c r="I15" s="163">
        <f>단위장비1!H45+단위장비2!H60+단위장비3!H60+단위장비5!H59+단위장비4!H60+단위장비6!H60+단위장비7!H60+단위장비8!H60+단위장비9!H60+단위장비10!H60</f>
        <v>12500000</v>
      </c>
      <c r="J15" s="164" t="s">
        <v>71</v>
      </c>
    </row>
    <row r="16" spans="2:11" ht="19.5" customHeight="1">
      <c r="B16" s="152"/>
      <c r="C16" s="154"/>
      <c r="D16" s="154"/>
      <c r="E16" s="178" t="s">
        <v>72</v>
      </c>
      <c r="F16" s="167" t="s">
        <v>66</v>
      </c>
      <c r="G16" s="169">
        <f>단위장비1!F46+단위장비2!F61+단위장비3!F61+단위장비5!F60+단위장비4!F61+단위장비6!F61+단위장비7!F61+단위장비8!F61+단위장비9!F61+단위장비10!F61</f>
        <v>26</v>
      </c>
      <c r="H16" s="169" t="str">
        <f>IF(단위장비1!G46&gt;0,단위장비1!G46,"")</f>
        <v/>
      </c>
      <c r="I16" s="169">
        <f>단위장비1!H46+단위장비2!H61+단위장비3!H61+단위장비5!H60+단위장비4!H61+단위장비6!H61+단위장비7!H61+단위장비8!H61+단위장비9!H61+단위장비10!H61</f>
        <v>6500000</v>
      </c>
      <c r="J16" s="164"/>
    </row>
    <row r="17" spans="2:10" ht="19.5" customHeight="1">
      <c r="B17" s="152"/>
      <c r="C17" s="154"/>
      <c r="D17" s="154"/>
      <c r="E17" s="178" t="s">
        <v>73</v>
      </c>
      <c r="F17" s="167" t="s">
        <v>66</v>
      </c>
      <c r="G17" s="169">
        <f>단위장비1!F47+단위장비2!F62+단위장비3!F62+단위장비5!F61+단위장비4!F62+단위장비6!F62+단위장비7!F62+단위장비8!F62+단위장비9!F62+단위장비10!F62</f>
        <v>24</v>
      </c>
      <c r="H17" s="169" t="str">
        <f>IF(단위장비1!G47&gt;0,단위장비1!G47,"")</f>
        <v/>
      </c>
      <c r="I17" s="169">
        <f>단위장비1!H47+단위장비2!H62+단위장비3!H62+단위장비5!H61+단위장비4!H62+단위장비6!H62+단위장비7!H62+단위장비8!H62+단위장비9!H62+단위장비10!H62</f>
        <v>6000000</v>
      </c>
      <c r="J17" s="164"/>
    </row>
    <row r="18" spans="2:10" ht="19.5" customHeight="1">
      <c r="B18" s="152"/>
      <c r="C18" s="154"/>
      <c r="D18" s="154"/>
      <c r="E18" s="160" t="s">
        <v>74</v>
      </c>
      <c r="F18" s="161" t="s">
        <v>66</v>
      </c>
      <c r="G18" s="163">
        <f>단위장비1!F48+단위장비2!F63+단위장비3!F63+단위장비5!F62+단위장비4!F63+단위장비6!F63+단위장비7!F63+단위장비8!F63+단위장비9!F63+단위장비10!F63</f>
        <v>12</v>
      </c>
      <c r="H18" s="163" t="str">
        <f>IF(단위장비1!G48&gt;0,단위장비1!G48,"")</f>
        <v/>
      </c>
      <c r="I18" s="163">
        <f>단위장비1!H48+단위장비2!H63+단위장비3!H63+단위장비5!H62+단위장비4!H63+단위장비6!H63+단위장비7!H63+단위장비8!H63+단위장비9!H63+단위장비10!H63</f>
        <v>3000000</v>
      </c>
      <c r="J18" s="164"/>
    </row>
    <row r="19" spans="2:10" ht="19.5" customHeight="1">
      <c r="B19" s="152"/>
      <c r="C19" s="154"/>
      <c r="D19" s="154"/>
      <c r="E19" s="160" t="s">
        <v>75</v>
      </c>
      <c r="F19" s="161" t="s">
        <v>66</v>
      </c>
      <c r="G19" s="163">
        <f>단위장비1!F49+단위장비2!F64+단위장비3!F64+단위장비5!F63+단위장비4!F64+단위장비6!F64+단위장비7!F64+단위장비8!F64+단위장비9!F64+단위장비10!F64</f>
        <v>8</v>
      </c>
      <c r="H19" s="163" t="str">
        <f>IF(단위장비1!G49&gt;0,단위장비1!G49,"")</f>
        <v/>
      </c>
      <c r="I19" s="163">
        <f>단위장비1!H49+단위장비2!H64+단위장비3!H64+단위장비5!H63+단위장비4!H64+단위장비6!H64+단위장비7!H64+단위장비8!H64+단위장비9!H64+단위장비10!H64</f>
        <v>2000000</v>
      </c>
      <c r="J19" s="164"/>
    </row>
    <row r="20" spans="2:10" ht="19.5" customHeight="1">
      <c r="B20" s="152"/>
      <c r="C20" s="154"/>
      <c r="D20" s="171"/>
      <c r="E20" s="172" t="s">
        <v>63</v>
      </c>
      <c r="F20" s="173"/>
      <c r="G20" s="174"/>
      <c r="H20" s="175"/>
      <c r="I20" s="176">
        <f>SUM(I12:I19)</f>
        <v>108200000</v>
      </c>
      <c r="J20" s="164"/>
    </row>
    <row r="21" spans="2:10" ht="19.5" customHeight="1">
      <c r="B21" s="152"/>
      <c r="C21" s="154"/>
      <c r="D21" s="179" t="s">
        <v>76</v>
      </c>
      <c r="E21" s="180"/>
      <c r="F21" s="173"/>
      <c r="G21" s="174"/>
      <c r="H21" s="175"/>
      <c r="I21" s="181">
        <f>단위장비1!H52+단위장비1!H53+단위장비2!H67+단위장비2!H68+단위장비3!H67+단위장비3!H68+단위장비5!H66+단위장비5!H67+단위장비4!H67+단위장비4!H68+단위장비6!H67+단위장비6!H68+단위장비7!H67+단위장비7!H68+단위장비8!H67+단위장비8!H68+단위장비9!H67+단위장비9!H68+단위장비10!H67+단위장비10!H68</f>
        <v>33027000</v>
      </c>
      <c r="J21" s="182"/>
    </row>
    <row r="22" spans="2:10" ht="19.5" customHeight="1">
      <c r="B22" s="183"/>
      <c r="C22" s="184"/>
      <c r="D22" s="185"/>
      <c r="E22" s="186" t="s">
        <v>77</v>
      </c>
      <c r="F22" s="187"/>
      <c r="G22" s="188"/>
      <c r="H22" s="189"/>
      <c r="I22" s="190">
        <f>I20+I11+I21</f>
        <v>253207000</v>
      </c>
      <c r="J22" s="191"/>
    </row>
    <row r="23" spans="2:10" ht="19.5" customHeight="1">
      <c r="B23" s="192">
        <v>2</v>
      </c>
      <c r="C23" s="193" t="s">
        <v>78</v>
      </c>
      <c r="D23" s="194" t="s">
        <v>52</v>
      </c>
      <c r="E23" s="195" t="s">
        <v>79</v>
      </c>
      <c r="F23" s="196" t="s">
        <v>57</v>
      </c>
      <c r="G23" s="197">
        <v>1</v>
      </c>
      <c r="H23" s="197"/>
      <c r="I23" s="197">
        <f>전기!H55-I24</f>
        <v>0</v>
      </c>
      <c r="J23" s="198"/>
    </row>
    <row r="24" spans="2:10" ht="19.5" customHeight="1">
      <c r="B24" s="152"/>
      <c r="C24" s="199"/>
      <c r="D24" s="200"/>
      <c r="E24" s="166" t="s">
        <v>61</v>
      </c>
      <c r="F24" s="201" t="s">
        <v>57</v>
      </c>
      <c r="G24" s="202">
        <v>1</v>
      </c>
      <c r="H24" s="202"/>
      <c r="I24" s="202">
        <f>전기!H16</f>
        <v>0</v>
      </c>
      <c r="J24" s="170" t="s">
        <v>62</v>
      </c>
    </row>
    <row r="25" spans="2:10" ht="19.5" customHeight="1">
      <c r="B25" s="152"/>
      <c r="C25" s="203"/>
      <c r="D25" s="177" t="s">
        <v>64</v>
      </c>
      <c r="E25" s="178" t="s">
        <v>80</v>
      </c>
      <c r="F25" s="167" t="s">
        <v>66</v>
      </c>
      <c r="G25" s="169">
        <f>전기!F56</f>
        <v>0</v>
      </c>
      <c r="H25" s="169" t="str">
        <f>IF(전기!G56&gt;0,전기!G56,"")</f>
        <v/>
      </c>
      <c r="I25" s="169">
        <f>전기!H56</f>
        <v>0</v>
      </c>
      <c r="J25" s="164"/>
    </row>
    <row r="26" spans="2:10" ht="19.5" customHeight="1">
      <c r="B26" s="152"/>
      <c r="C26" s="203"/>
      <c r="D26" s="154"/>
      <c r="E26" s="160" t="s">
        <v>81</v>
      </c>
      <c r="F26" s="161" t="s">
        <v>66</v>
      </c>
      <c r="G26" s="163">
        <f>전기!F57</f>
        <v>0</v>
      </c>
      <c r="H26" s="163" t="str">
        <f>IF(전기!G57&gt;0,전기!G57,"")</f>
        <v/>
      </c>
      <c r="I26" s="163">
        <f>전기!H57</f>
        <v>0</v>
      </c>
      <c r="J26" s="164"/>
    </row>
    <row r="27" spans="2:10" ht="19.5" customHeight="1">
      <c r="B27" s="152"/>
      <c r="C27" s="203"/>
      <c r="D27" s="154"/>
      <c r="E27" s="160" t="s">
        <v>82</v>
      </c>
      <c r="F27" s="161" t="s">
        <v>66</v>
      </c>
      <c r="G27" s="163">
        <f>전기!F58</f>
        <v>0</v>
      </c>
      <c r="H27" s="163" t="str">
        <f>IF(전기!G58&gt;0,전기!G58,"")</f>
        <v/>
      </c>
      <c r="I27" s="163">
        <f>전기!H58</f>
        <v>0</v>
      </c>
      <c r="J27" s="164"/>
    </row>
    <row r="28" spans="2:10" ht="19.5" customHeight="1">
      <c r="B28" s="152"/>
      <c r="C28" s="203"/>
      <c r="D28" s="154"/>
      <c r="E28" s="160" t="s">
        <v>70</v>
      </c>
      <c r="F28" s="161" t="s">
        <v>66</v>
      </c>
      <c r="G28" s="163">
        <f>전기!F59</f>
        <v>0</v>
      </c>
      <c r="H28" s="163" t="str">
        <f>IF(전기!G59&gt;0,전기!G59,"")</f>
        <v/>
      </c>
      <c r="I28" s="163">
        <f>전기!H59</f>
        <v>0</v>
      </c>
      <c r="J28" s="164"/>
    </row>
    <row r="29" spans="2:10" ht="19.5" customHeight="1">
      <c r="B29" s="152"/>
      <c r="C29" s="203"/>
      <c r="D29" s="154"/>
      <c r="E29" s="178" t="s">
        <v>72</v>
      </c>
      <c r="F29" s="167" t="s">
        <v>66</v>
      </c>
      <c r="G29" s="169">
        <f>전기!F60</f>
        <v>0</v>
      </c>
      <c r="H29" s="169" t="str">
        <f>IF(전기!G60&gt;0,전기!G60,"")</f>
        <v/>
      </c>
      <c r="I29" s="169">
        <f>전기!H60</f>
        <v>0</v>
      </c>
      <c r="J29" s="164"/>
    </row>
    <row r="30" spans="2:10" ht="19.5" customHeight="1">
      <c r="B30" s="152"/>
      <c r="C30" s="203"/>
      <c r="D30" s="154"/>
      <c r="E30" s="178" t="s">
        <v>73</v>
      </c>
      <c r="F30" s="167" t="s">
        <v>66</v>
      </c>
      <c r="G30" s="169">
        <f>전기!F61</f>
        <v>0</v>
      </c>
      <c r="H30" s="169" t="str">
        <f>IF(전기!G61&gt;0,전기!G61,"")</f>
        <v/>
      </c>
      <c r="I30" s="169">
        <f>전기!H61</f>
        <v>0</v>
      </c>
      <c r="J30" s="164"/>
    </row>
    <row r="31" spans="2:10" ht="19.5" customHeight="1">
      <c r="B31" s="152"/>
      <c r="C31" s="203"/>
      <c r="D31" s="154"/>
      <c r="E31" s="160" t="s">
        <v>74</v>
      </c>
      <c r="F31" s="161" t="s">
        <v>66</v>
      </c>
      <c r="G31" s="163">
        <f>전기!F62</f>
        <v>0</v>
      </c>
      <c r="H31" s="163" t="str">
        <f>IF(전기!G62&gt;0,전기!G62,"")</f>
        <v/>
      </c>
      <c r="I31" s="163">
        <f>전기!H62</f>
        <v>0</v>
      </c>
      <c r="J31" s="164"/>
    </row>
    <row r="32" spans="2:10" ht="19.5" customHeight="1">
      <c r="B32" s="152"/>
      <c r="C32" s="203"/>
      <c r="D32" s="171"/>
      <c r="E32" s="172" t="s">
        <v>83</v>
      </c>
      <c r="F32" s="173"/>
      <c r="G32" s="174"/>
      <c r="H32" s="175"/>
      <c r="I32" s="176">
        <f>SUM(I25:I31)</f>
        <v>0</v>
      </c>
      <c r="J32" s="164"/>
    </row>
    <row r="33" spans="2:13" ht="19.5" customHeight="1">
      <c r="B33" s="152"/>
      <c r="C33" s="154"/>
      <c r="D33" s="179" t="s">
        <v>76</v>
      </c>
      <c r="E33" s="180"/>
      <c r="F33" s="173"/>
      <c r="G33" s="174"/>
      <c r="H33" s="175"/>
      <c r="I33" s="181">
        <f>전기!H65+전기!H66</f>
        <v>0</v>
      </c>
      <c r="J33" s="182"/>
    </row>
    <row r="34" spans="2:13" ht="19.5" customHeight="1">
      <c r="B34" s="183"/>
      <c r="C34" s="184"/>
      <c r="D34" s="185"/>
      <c r="E34" s="186" t="s">
        <v>84</v>
      </c>
      <c r="F34" s="187"/>
      <c r="G34" s="188"/>
      <c r="H34" s="189"/>
      <c r="I34" s="190">
        <f>I32+I23+I33+I24</f>
        <v>0</v>
      </c>
      <c r="J34" s="191"/>
    </row>
    <row r="35" spans="2:13" ht="19.5" customHeight="1">
      <c r="B35" s="204">
        <v>3</v>
      </c>
      <c r="C35" s="205" t="s">
        <v>85</v>
      </c>
      <c r="D35" s="206"/>
      <c r="E35" s="207"/>
      <c r="F35" s="205"/>
      <c r="G35" s="206"/>
      <c r="H35" s="207"/>
      <c r="I35" s="208">
        <f>I23+I11+I24</f>
        <v>111980000</v>
      </c>
      <c r="J35" s="198"/>
    </row>
    <row r="36" spans="2:13" ht="19.5" customHeight="1">
      <c r="B36" s="209"/>
      <c r="C36" s="173" t="s">
        <v>86</v>
      </c>
      <c r="D36" s="174"/>
      <c r="E36" s="175"/>
      <c r="F36" s="173"/>
      <c r="G36" s="174"/>
      <c r="H36" s="175"/>
      <c r="I36" s="176">
        <f>I32+I20</f>
        <v>108200000</v>
      </c>
      <c r="J36" s="164"/>
    </row>
    <row r="37" spans="2:13" ht="19.5" customHeight="1" thickBot="1">
      <c r="B37" s="210"/>
      <c r="C37" s="211" t="s">
        <v>87</v>
      </c>
      <c r="D37" s="211"/>
      <c r="E37" s="212"/>
      <c r="F37" s="213"/>
      <c r="G37" s="211"/>
      <c r="H37" s="212"/>
      <c r="I37" s="214">
        <f>I36+I35</f>
        <v>220180000</v>
      </c>
      <c r="J37" s="215"/>
    </row>
    <row r="38" spans="2:13" ht="20.25" customHeight="1">
      <c r="B38" s="216">
        <v>4</v>
      </c>
      <c r="C38" s="171" t="s">
        <v>88</v>
      </c>
      <c r="D38" s="217"/>
      <c r="E38" s="218"/>
      <c r="F38" s="219"/>
      <c r="G38" s="220"/>
      <c r="H38" s="221"/>
      <c r="I38" s="222"/>
      <c r="J38" s="223"/>
    </row>
    <row r="39" spans="2:13" ht="22.5" customHeight="1">
      <c r="B39" s="224">
        <v>5</v>
      </c>
      <c r="C39" s="173" t="s">
        <v>89</v>
      </c>
      <c r="D39" s="174"/>
      <c r="E39" s="175"/>
      <c r="F39" s="225" t="s">
        <v>90</v>
      </c>
      <c r="G39" s="226"/>
      <c r="H39" s="227"/>
      <c r="I39" s="228">
        <f>CEILING(MIN(I47:I48),1000)</f>
        <v>5757000</v>
      </c>
      <c r="J39" s="229">
        <f>I30+I29+I25+I24+I17+I16+I12+I10</f>
        <v>152280000</v>
      </c>
      <c r="K39" s="230"/>
      <c r="M39" s="230"/>
    </row>
    <row r="40" spans="2:13" ht="20.25" customHeight="1">
      <c r="B40" s="224">
        <v>6</v>
      </c>
      <c r="C40" s="173" t="s">
        <v>91</v>
      </c>
      <c r="D40" s="174"/>
      <c r="E40" s="175"/>
      <c r="F40" s="231"/>
      <c r="G40" s="232"/>
      <c r="H40" s="233"/>
      <c r="I40" s="176">
        <f>전기!H65+단위장비1!H52+단위장비2!H67+단위장비3!H67+단위장비5!H66+단위장비4!H67+단위장비6!H67+단위장비7!H67+단위장비8!H67+단위장비9!H67+단위장비10!H67</f>
        <v>11009000</v>
      </c>
      <c r="J40" s="164"/>
    </row>
    <row r="41" spans="2:13" ht="20.25" customHeight="1">
      <c r="B41" s="234">
        <v>7</v>
      </c>
      <c r="C41" s="187" t="s">
        <v>92</v>
      </c>
      <c r="D41" s="188"/>
      <c r="E41" s="189"/>
      <c r="F41" s="235"/>
      <c r="G41" s="236"/>
      <c r="H41" s="237"/>
      <c r="I41" s="181">
        <f>전기!H66+단위장비1!H53+단위장비2!H68+단위장비3!H68+단위장비5!H67+단위장비4!H68+단위장비6!H68+단위장비7!H68+단위장비8!H68+단위장비9!H68+단위장비10!H68</f>
        <v>22018000</v>
      </c>
      <c r="J41" s="182"/>
      <c r="K41" s="122"/>
    </row>
    <row r="42" spans="2:13" ht="28.5" customHeight="1" thickBot="1">
      <c r="B42" s="238"/>
      <c r="C42" s="239" t="s">
        <v>93</v>
      </c>
      <c r="D42" s="239"/>
      <c r="E42" s="239"/>
      <c r="F42" s="240" t="s">
        <v>94</v>
      </c>
      <c r="G42" s="241"/>
      <c r="H42" s="242"/>
      <c r="I42" s="243">
        <f>I22+I34+I38+I39</f>
        <v>258964000</v>
      </c>
      <c r="J42" s="244"/>
      <c r="K42" s="122"/>
    </row>
    <row r="43" spans="2:13" ht="19.5" customHeight="1">
      <c r="B43" s="245" t="s">
        <v>95</v>
      </c>
      <c r="C43" s="123"/>
      <c r="D43" s="123"/>
      <c r="E43" s="123"/>
    </row>
    <row r="44" spans="2:13" ht="19.5" customHeight="1">
      <c r="B44" s="122" t="s">
        <v>96</v>
      </c>
      <c r="C44" s="123"/>
      <c r="D44" s="123"/>
      <c r="E44" s="123"/>
    </row>
    <row r="45" spans="2:13" ht="19.5" customHeight="1">
      <c r="C45" s="123"/>
      <c r="D45" s="123"/>
      <c r="E45" s="123"/>
    </row>
    <row r="46" spans="2:13" ht="19.5" customHeight="1">
      <c r="C46" s="123"/>
      <c r="D46" s="123"/>
      <c r="E46" s="246" t="s">
        <v>97</v>
      </c>
      <c r="F46" s="247" t="s">
        <v>98</v>
      </c>
      <c r="G46" s="248"/>
      <c r="H46" s="249"/>
      <c r="I46" s="250" t="s">
        <v>99</v>
      </c>
      <c r="J46" s="251" t="s">
        <v>100</v>
      </c>
      <c r="K46" s="252" t="s">
        <v>101</v>
      </c>
    </row>
    <row r="47" spans="2:13" ht="19.5" customHeight="1">
      <c r="C47" s="123"/>
      <c r="D47" s="123"/>
      <c r="E47" s="253"/>
      <c r="F47" s="254" t="s">
        <v>102</v>
      </c>
      <c r="G47" s="255"/>
      <c r="H47" s="255"/>
      <c r="I47" s="176">
        <f>IF(J47&lt;500000000,J47*0.0315,1)+IF(J47&gt;500000000,J47*0.0199+5499000)*IF(J47&gt;5000000000,0,1)+IF(J47&gt;5000000000,J47*0.021,0)</f>
        <v>6935670</v>
      </c>
      <c r="J47" s="256">
        <f>SUM(I7:I10,I12:I19,I23:I31,I38)</f>
        <v>220180000</v>
      </c>
      <c r="K47" s="256" t="s">
        <v>103</v>
      </c>
    </row>
    <row r="48" spans="2:13" ht="19.5" customHeight="1">
      <c r="E48" s="257"/>
      <c r="F48" s="254" t="s">
        <v>104</v>
      </c>
      <c r="G48" s="255"/>
      <c r="H48" s="255"/>
      <c r="I48" s="176">
        <f>(IF(J48&lt;500000000,J48*0.0315,1)+IF(J48&gt;500000000,J48*0.0199+5499000)*IF(J48&gt;5000000000,0,1)+IF(J48&gt;5000000000,J48*0.021,0))*1.2</f>
        <v>5756184</v>
      </c>
      <c r="J48" s="258">
        <f>SUM(I10,I24,I12,I16:I17,I25,I29:I30)</f>
        <v>152280000</v>
      </c>
      <c r="K48" s="256" t="s">
        <v>105</v>
      </c>
    </row>
    <row r="49" spans="7:7" ht="19.5" customHeight="1">
      <c r="G49" s="259" t="s">
        <v>106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3695-CF79-4724-BACD-6B6165873905}">
  <sheetPr>
    <pageSetUpPr fitToPage="1"/>
  </sheetPr>
  <dimension ref="A2:P22"/>
  <sheetViews>
    <sheetView zoomScale="74" zoomScaleNormal="74" workbookViewId="0">
      <selection activeCell="K27" sqref="K27"/>
    </sheetView>
  </sheetViews>
  <sheetFormatPr defaultColWidth="9" defaultRowHeight="17.25" customHeight="1"/>
  <cols>
    <col min="1" max="1" width="5" style="1" customWidth="1"/>
    <col min="2" max="2" width="20.125" style="1" customWidth="1"/>
    <col min="3" max="3" width="6.25" style="1" customWidth="1"/>
    <col min="4" max="8" width="11.875" style="1" customWidth="1"/>
    <col min="9" max="9" width="13" style="1" customWidth="1"/>
    <col min="10" max="11" width="13.875" style="1" customWidth="1"/>
    <col min="12" max="12" width="12.5" style="1" bestFit="1" customWidth="1"/>
    <col min="13" max="13" width="15" style="1" bestFit="1" customWidth="1"/>
    <col min="14" max="14" width="13.875" style="1" customWidth="1"/>
    <col min="15" max="15" width="9.625" style="1" customWidth="1"/>
    <col min="16" max="16" width="12.625" style="1" hidden="1" customWidth="1"/>
    <col min="17" max="17" width="10" style="1" customWidth="1"/>
    <col min="18" max="16384" width="9" style="1"/>
  </cols>
  <sheetData>
    <row r="2" spans="1:16" ht="31.5" customHeight="1">
      <c r="A2" s="128" t="s">
        <v>107</v>
      </c>
    </row>
    <row r="3" spans="1:16" ht="17.25" customHeight="1" thickBot="1">
      <c r="N3" s="1" t="s">
        <v>108</v>
      </c>
    </row>
    <row r="4" spans="1:16" s="268" customFormat="1" ht="8.25" customHeight="1">
      <c r="A4" s="260"/>
      <c r="B4" s="260"/>
      <c r="C4" s="260"/>
      <c r="D4" s="261"/>
      <c r="E4" s="262"/>
      <c r="F4" s="262"/>
      <c r="G4" s="262"/>
      <c r="H4" s="262"/>
      <c r="I4" s="262"/>
      <c r="J4" s="263"/>
      <c r="K4" s="264"/>
      <c r="L4" s="264"/>
      <c r="M4" s="265"/>
      <c r="N4" s="266"/>
      <c r="O4" s="267"/>
    </row>
    <row r="5" spans="1:16" s="268" customFormat="1" ht="25.5" customHeight="1">
      <c r="A5" s="269"/>
      <c r="B5" s="269"/>
      <c r="C5" s="269"/>
      <c r="D5" s="270"/>
      <c r="E5" s="271"/>
      <c r="F5" s="271"/>
      <c r="G5" s="271"/>
      <c r="H5" s="271"/>
      <c r="I5" s="272" t="s">
        <v>109</v>
      </c>
      <c r="J5" s="273"/>
      <c r="K5" s="274"/>
      <c r="L5" s="274" t="s">
        <v>110</v>
      </c>
      <c r="M5" s="275" t="s">
        <v>91</v>
      </c>
      <c r="N5" s="276"/>
      <c r="O5" s="277"/>
    </row>
    <row r="6" spans="1:16" s="268" customFormat="1" ht="25.5" customHeight="1" thickBot="1">
      <c r="A6" s="278" t="s">
        <v>46</v>
      </c>
      <c r="B6" s="278" t="s">
        <v>111</v>
      </c>
      <c r="C6" s="278" t="s">
        <v>29</v>
      </c>
      <c r="D6" s="279" t="s">
        <v>52</v>
      </c>
      <c r="E6" s="280" t="s">
        <v>112</v>
      </c>
      <c r="F6" s="280" t="s">
        <v>82</v>
      </c>
      <c r="G6" s="280" t="s">
        <v>113</v>
      </c>
      <c r="H6" s="280" t="s">
        <v>74</v>
      </c>
      <c r="I6" s="281" t="s">
        <v>114</v>
      </c>
      <c r="J6" s="282" t="s">
        <v>115</v>
      </c>
      <c r="K6" s="283" t="s">
        <v>116</v>
      </c>
      <c r="L6" s="283" t="s">
        <v>117</v>
      </c>
      <c r="M6" s="284" t="s">
        <v>118</v>
      </c>
      <c r="N6" s="285" t="s">
        <v>119</v>
      </c>
      <c r="O6" s="286" t="s">
        <v>28</v>
      </c>
    </row>
    <row r="7" spans="1:16" s="297" customFormat="1" ht="25.5" customHeight="1" thickTop="1">
      <c r="A7" s="287">
        <f>IF(B7&gt;0,1,"")</f>
        <v>1</v>
      </c>
      <c r="B7" s="288" t="str">
        <f>단위장비1!C$1</f>
        <v>연속1,2 히타,튜브파트</v>
      </c>
      <c r="C7" s="287" t="s">
        <v>120</v>
      </c>
      <c r="D7" s="289">
        <f>단위장비1!H41</f>
        <v>33940000</v>
      </c>
      <c r="E7" s="290">
        <f>단위장비1!H42</f>
        <v>6000000</v>
      </c>
      <c r="F7" s="290">
        <f>단위장비1!H43+단위장비1!H44+단위장비1!H45+단위장비1!H49</f>
        <v>13500000</v>
      </c>
      <c r="G7" s="290">
        <f>단위장비1!H46+단위장비1!H47</f>
        <v>0</v>
      </c>
      <c r="H7" s="290">
        <f>단위장비1!H48</f>
        <v>0</v>
      </c>
      <c r="I7" s="291">
        <f>IF($B7&gt;0,'원가항목별(집계)'!I$38*$P7/$P$17,0)</f>
        <v>0</v>
      </c>
      <c r="J7" s="292">
        <f>SUM(D7:I7)</f>
        <v>53440000</v>
      </c>
      <c r="K7" s="293">
        <f>IF(B7&gt;0,'원가항목별(집계)'!I$34*P7/P$17,0)</f>
        <v>0</v>
      </c>
      <c r="L7" s="293">
        <f>IF($B7&gt;0,'원가항목별(집계)'!I$39*$P7/$P$17,0)</f>
        <v>1397284.4036697247</v>
      </c>
      <c r="M7" s="294">
        <f>단위장비1!H52+단위장비1!H53</f>
        <v>8016000</v>
      </c>
      <c r="N7" s="295">
        <f>SUM(J7:M7)</f>
        <v>62853284.403669722</v>
      </c>
      <c r="O7" s="296"/>
      <c r="P7" s="297">
        <f>D7+E7+F7+G7+H7+M7</f>
        <v>61456000</v>
      </c>
    </row>
    <row r="8" spans="1:16" s="297" customFormat="1" ht="25.5" customHeight="1">
      <c r="A8" s="298">
        <f t="shared" ref="A8:A16" si="0">IF(B8&gt;0,A7+1,"")</f>
        <v>2</v>
      </c>
      <c r="B8" s="299" t="str">
        <f>단위장비2!C$1</f>
        <v>연속1,2 도아파트</v>
      </c>
      <c r="C8" s="298" t="s">
        <v>120</v>
      </c>
      <c r="D8" s="300">
        <f>단위장비2!H56</f>
        <v>3220000</v>
      </c>
      <c r="E8" s="301">
        <f>단위장비2!H57</f>
        <v>5000000</v>
      </c>
      <c r="F8" s="301">
        <f>단위장비2!H58+단위장비2!H59+단위장비2!H60+단위장비2!H64</f>
        <v>3000000</v>
      </c>
      <c r="G8" s="301">
        <f>단위장비2!H61+단위장비2!H62</f>
        <v>500000</v>
      </c>
      <c r="H8" s="301">
        <f>단위장비2!H63</f>
        <v>0</v>
      </c>
      <c r="I8" s="302">
        <f>IF($B8&gt;0,'원가항목별(집계)'!I$38*$P8/$P$17,0)</f>
        <v>0</v>
      </c>
      <c r="J8" s="303">
        <f>SUM(D8:I8)</f>
        <v>11720000</v>
      </c>
      <c r="K8" s="304">
        <f>IF(B8&gt;0,'원가항목별(집계)'!I$34*P8/P$17,0)</f>
        <v>0</v>
      </c>
      <c r="L8" s="304">
        <f>IF($B8&gt;0,'원가항목별(집계)'!I$39*$P8/$P$17,0)</f>
        <v>306440.36697247706</v>
      </c>
      <c r="M8" s="305">
        <f>단위장비2!H67+단위장비2!H68</f>
        <v>1758000</v>
      </c>
      <c r="N8" s="306">
        <f t="shared" ref="N8:N16" si="1">SUM(J8:M8)</f>
        <v>13784440.366972476</v>
      </c>
      <c r="O8" s="307"/>
      <c r="P8" s="297">
        <f t="shared" ref="P8:P16" si="2">D8+E8+F8+G8+H8+M8</f>
        <v>13478000</v>
      </c>
    </row>
    <row r="9" spans="1:16" s="297" customFormat="1" ht="25.5" customHeight="1">
      <c r="A9" s="298">
        <f t="shared" si="0"/>
        <v>3</v>
      </c>
      <c r="B9" s="299" t="str">
        <f>단위장비3!C$1</f>
        <v>연속1,2 중간도아, 알씨팬</v>
      </c>
      <c r="C9" s="298" t="s">
        <v>121</v>
      </c>
      <c r="D9" s="300">
        <f>단위장비3!H56</f>
        <v>16720000</v>
      </c>
      <c r="E9" s="301">
        <f>단위장비3!H57</f>
        <v>2500000</v>
      </c>
      <c r="F9" s="301">
        <f>단위장비3!H58+단위장비3!H59+단위장비3!H60+단위장비3!H64</f>
        <v>8000000</v>
      </c>
      <c r="G9" s="301">
        <f>단위장비3!H61+단위장비3!H62</f>
        <v>0</v>
      </c>
      <c r="H9" s="301">
        <f>단위장비3!H63</f>
        <v>0</v>
      </c>
      <c r="I9" s="302">
        <f>IF($B9&gt;0,'원가항목별(집계)'!I$38*$P9/$P$17,0)</f>
        <v>0</v>
      </c>
      <c r="J9" s="303">
        <f t="shared" ref="J9:J17" si="3">SUM(D9:I9)</f>
        <v>27220000</v>
      </c>
      <c r="K9" s="304">
        <f>IF(B9&gt;0,'원가항목별(집계)'!I$34*P9/P$17,0)</f>
        <v>0</v>
      </c>
      <c r="L9" s="304">
        <f>IF($B9&gt;0,'원가항목별(집계)'!I$39*$P9/$P$17,0)</f>
        <v>711715.59633027518</v>
      </c>
      <c r="M9" s="305">
        <f>단위장비3!H67+단위장비3!H68</f>
        <v>4083000</v>
      </c>
      <c r="N9" s="306">
        <f t="shared" si="1"/>
        <v>32014715.596330274</v>
      </c>
      <c r="O9" s="307"/>
      <c r="P9" s="297">
        <f t="shared" si="2"/>
        <v>31303000</v>
      </c>
    </row>
    <row r="10" spans="1:16" s="297" customFormat="1" ht="25.5" customHeight="1">
      <c r="A10" s="298">
        <f t="shared" si="0"/>
        <v>4</v>
      </c>
      <c r="B10" s="299" t="str">
        <f>단위장비4!C1</f>
        <v>hearth roller 파트</v>
      </c>
      <c r="C10" s="298" t="s">
        <v>121</v>
      </c>
      <c r="D10" s="300">
        <f>단위장비4!H56</f>
        <v>17680000</v>
      </c>
      <c r="E10" s="301">
        <f>단위장비4!H57</f>
        <v>6500000</v>
      </c>
      <c r="F10" s="301">
        <f>단위장비4!H58+단위장비4!H59+단위장비4!H60+단위장비4!H64</f>
        <v>9000000</v>
      </c>
      <c r="G10" s="301">
        <f>단위장비4!H61+단위장비4!H62</f>
        <v>3000000</v>
      </c>
      <c r="H10" s="301">
        <f>단위장비4!H63</f>
        <v>0</v>
      </c>
      <c r="I10" s="302">
        <f>IF($B10&gt;0,'원가항목별(집계)'!I$38*$P10/$P$17,0)</f>
        <v>0</v>
      </c>
      <c r="J10" s="303">
        <f t="shared" si="3"/>
        <v>36180000</v>
      </c>
      <c r="K10" s="304">
        <f>IF(B10&gt;0,'원가항목별(집계)'!I$34*P10/P$17,0)</f>
        <v>0</v>
      </c>
      <c r="L10" s="304">
        <f>IF($B10&gt;0,'원가항목별(집계)'!I$39*$P10/$P$17,0)</f>
        <v>945990.82568807341</v>
      </c>
      <c r="M10" s="305">
        <f>단위장비4!H67+단위장비4!H68</f>
        <v>5427000</v>
      </c>
      <c r="N10" s="306">
        <f t="shared" si="1"/>
        <v>42552990.825688072</v>
      </c>
      <c r="O10" s="307"/>
      <c r="P10" s="297">
        <f t="shared" si="2"/>
        <v>41607000</v>
      </c>
    </row>
    <row r="11" spans="1:16" s="297" customFormat="1" ht="25.5" customHeight="1">
      <c r="A11" s="298">
        <f t="shared" si="0"/>
        <v>5</v>
      </c>
      <c r="B11" s="299" t="str">
        <f>단위장비5!C1</f>
        <v>연속1,2 축로파트</v>
      </c>
      <c r="C11" s="298" t="s">
        <v>121</v>
      </c>
      <c r="D11" s="300">
        <f>단위장비5!H55</f>
        <v>28680000</v>
      </c>
      <c r="E11" s="301">
        <f>단위장비5!H56</f>
        <v>4800000</v>
      </c>
      <c r="F11" s="301">
        <f>단위장비5!H57+단위장비5!H58+단위장비5!H59+단위장비5!H63</f>
        <v>20400000</v>
      </c>
      <c r="G11" s="301">
        <f>단위장비5!H60+단위장비5!H61</f>
        <v>1000000</v>
      </c>
      <c r="H11" s="301">
        <f>단위장비5!H62</f>
        <v>0</v>
      </c>
      <c r="I11" s="302">
        <f>IF($B11&gt;0,'원가항목별(집계)'!I$38*$P11/$P$17,0)</f>
        <v>0</v>
      </c>
      <c r="J11" s="303">
        <f t="shared" si="3"/>
        <v>54880000</v>
      </c>
      <c r="K11" s="304">
        <f>IF(B11&gt;0,'원가항목별(집계)'!I$34*P11/P$17,0)</f>
        <v>0</v>
      </c>
      <c r="L11" s="304">
        <f>IF($B11&gt;0,'원가항목별(집계)'!I$39*$P11/$P$17,0)</f>
        <v>1434935.7798165136</v>
      </c>
      <c r="M11" s="305">
        <f>단위장비5!H66+단위장비5!H67</f>
        <v>8232000</v>
      </c>
      <c r="N11" s="306">
        <f t="shared" si="1"/>
        <v>64546935.779816516</v>
      </c>
      <c r="O11" s="307"/>
      <c r="P11" s="297">
        <f t="shared" si="2"/>
        <v>63112000</v>
      </c>
    </row>
    <row r="12" spans="1:16" s="297" customFormat="1" ht="25.5" customHeight="1">
      <c r="A12" s="298">
        <f t="shared" si="0"/>
        <v>6</v>
      </c>
      <c r="B12" s="299" t="str">
        <f>단위장비6!C$1</f>
        <v>연속로공통 및 유조파트</v>
      </c>
      <c r="C12" s="298" t="s">
        <v>121</v>
      </c>
      <c r="D12" s="300">
        <f>단위장비6!H56</f>
        <v>11740000</v>
      </c>
      <c r="E12" s="301">
        <f>단위장비6!H57</f>
        <v>3000000</v>
      </c>
      <c r="F12" s="301">
        <f>단위장비6!H58+단위장비6!H59+단위장비6!H60+단위장비6!H64</f>
        <v>11000000</v>
      </c>
      <c r="G12" s="301">
        <f>단위장비6!H61+단위장비6!H62</f>
        <v>8000000</v>
      </c>
      <c r="H12" s="301">
        <f>단위장비6!H63</f>
        <v>3000000</v>
      </c>
      <c r="I12" s="302">
        <f>IF($B12&gt;0,'원가항목별(집계)'!I$38*$P12/$P$17,0)</f>
        <v>0</v>
      </c>
      <c r="J12" s="303">
        <f t="shared" si="3"/>
        <v>36740000</v>
      </c>
      <c r="K12" s="304">
        <f>IF(B12&gt;0,'원가항목별(집계)'!I$34*P12/P$17,0)</f>
        <v>0</v>
      </c>
      <c r="L12" s="304">
        <f>IF($B12&gt;0,'원가항목별(집계)'!I$39*$P12/$P$17,0)</f>
        <v>960633.02752293576</v>
      </c>
      <c r="M12" s="305">
        <f>단위장비6!H67+단위장비6!H68</f>
        <v>5511000</v>
      </c>
      <c r="N12" s="306">
        <f t="shared" si="1"/>
        <v>43211633.027522936</v>
      </c>
      <c r="O12" s="307"/>
      <c r="P12" s="297">
        <f t="shared" si="2"/>
        <v>42251000</v>
      </c>
    </row>
    <row r="13" spans="1:16" s="297" customFormat="1" ht="25.5" customHeight="1">
      <c r="A13" s="298" t="str">
        <f t="shared" si="0"/>
        <v/>
      </c>
      <c r="B13" s="299">
        <f>단위장비7!C$1</f>
        <v>0</v>
      </c>
      <c r="C13" s="298" t="s">
        <v>121</v>
      </c>
      <c r="D13" s="300">
        <f>단위장비7!H56</f>
        <v>0</v>
      </c>
      <c r="E13" s="301">
        <f>단위장비7!H57</f>
        <v>0</v>
      </c>
      <c r="F13" s="301">
        <f>단위장비7!H58+단위장비7!H59+단위장비7!H60+단위장비7!H64</f>
        <v>0</v>
      </c>
      <c r="G13" s="301">
        <f>단위장비7!H61+단위장비7!H62</f>
        <v>0</v>
      </c>
      <c r="H13" s="301">
        <f>단위장비7!H63</f>
        <v>0</v>
      </c>
      <c r="I13" s="302">
        <f>IF($B13&gt;0,'원가항목별(집계)'!I$38*$P13/$P$17,0)</f>
        <v>0</v>
      </c>
      <c r="J13" s="303">
        <f t="shared" si="3"/>
        <v>0</v>
      </c>
      <c r="K13" s="304">
        <f>IF(B13&gt;0,'원가항목별(집계)'!I$34*P13/P$17,0)</f>
        <v>0</v>
      </c>
      <c r="L13" s="304">
        <f>IF($B13&gt;0,'원가항목별(집계)'!I$39*$P13/$P$17,0)</f>
        <v>0</v>
      </c>
      <c r="M13" s="305">
        <f>단위장비7!H67+단위장비7!H68</f>
        <v>0</v>
      </c>
      <c r="N13" s="306">
        <f t="shared" si="1"/>
        <v>0</v>
      </c>
      <c r="O13" s="307"/>
      <c r="P13" s="297">
        <f t="shared" si="2"/>
        <v>0</v>
      </c>
    </row>
    <row r="14" spans="1:16" s="297" customFormat="1" ht="25.5" customHeight="1">
      <c r="A14" s="298" t="str">
        <f t="shared" si="0"/>
        <v/>
      </c>
      <c r="B14" s="299">
        <f>단위장비8!C$1</f>
        <v>0</v>
      </c>
      <c r="C14" s="298" t="s">
        <v>121</v>
      </c>
      <c r="D14" s="300">
        <f>단위장비8!H56</f>
        <v>0</v>
      </c>
      <c r="E14" s="301">
        <f>단위장비8!H57</f>
        <v>0</v>
      </c>
      <c r="F14" s="301">
        <f>단위장비8!H58+단위장비8!H59+단위장비8!H60+단위장비8!H64</f>
        <v>0</v>
      </c>
      <c r="G14" s="301">
        <f>단위장비8!H61+단위장비8!H62</f>
        <v>0</v>
      </c>
      <c r="H14" s="301">
        <f>단위장비8!H63</f>
        <v>0</v>
      </c>
      <c r="I14" s="302">
        <f>IF($B14&gt;0,'원가항목별(집계)'!I$38*$P14/$P$17,0)</f>
        <v>0</v>
      </c>
      <c r="J14" s="303">
        <f t="shared" si="3"/>
        <v>0</v>
      </c>
      <c r="K14" s="304">
        <f>IF(B14&gt;0,'원가항목별(집계)'!I$34*P14/P$17,0)</f>
        <v>0</v>
      </c>
      <c r="L14" s="304">
        <f>IF($B14&gt;0,'원가항목별(집계)'!I$39*$P14/$P$17,0)</f>
        <v>0</v>
      </c>
      <c r="M14" s="305">
        <f>단위장비8!H67+단위장비8!H68</f>
        <v>0</v>
      </c>
      <c r="N14" s="306">
        <f t="shared" si="1"/>
        <v>0</v>
      </c>
      <c r="O14" s="307"/>
      <c r="P14" s="297">
        <f t="shared" si="2"/>
        <v>0</v>
      </c>
    </row>
    <row r="15" spans="1:16" s="297" customFormat="1" ht="25.5" customHeight="1">
      <c r="A15" s="298" t="str">
        <f t="shared" si="0"/>
        <v/>
      </c>
      <c r="B15" s="299">
        <f>단위장비9!C$1</f>
        <v>0</v>
      </c>
      <c r="C15" s="298" t="s">
        <v>121</v>
      </c>
      <c r="D15" s="300">
        <f>단위장비9!H57</f>
        <v>0</v>
      </c>
      <c r="E15" s="301">
        <f>단위장비9!H58</f>
        <v>0</v>
      </c>
      <c r="F15" s="301">
        <f>단위장비9!H59+단위장비9!H60+단위장비9!H61+단위장비9!H65</f>
        <v>0</v>
      </c>
      <c r="G15" s="301">
        <f>단위장비9!H62+단위장비9!H63</f>
        <v>0</v>
      </c>
      <c r="H15" s="301">
        <f>단위장비9!H64</f>
        <v>0</v>
      </c>
      <c r="I15" s="302">
        <f>IF($B15&gt;0,'원가항목별(집계)'!I$38*$P15/$P$17,0)</f>
        <v>0</v>
      </c>
      <c r="J15" s="303">
        <f t="shared" si="3"/>
        <v>0</v>
      </c>
      <c r="K15" s="304">
        <f>IF(B15&gt;0,'원가항목별(집계)'!I$34*P15/P$17,0)</f>
        <v>0</v>
      </c>
      <c r="L15" s="304">
        <f>IF($B15&gt;0,'원가항목별(집계)'!I$39*$P15/$P$17,0)</f>
        <v>0</v>
      </c>
      <c r="M15" s="305">
        <f>단위장비9!H68+단위장비9!H69</f>
        <v>0</v>
      </c>
      <c r="N15" s="306">
        <f t="shared" si="1"/>
        <v>0</v>
      </c>
      <c r="O15" s="307"/>
      <c r="P15" s="297">
        <f t="shared" si="2"/>
        <v>0</v>
      </c>
    </row>
    <row r="16" spans="1:16" s="297" customFormat="1" ht="25.5" customHeight="1">
      <c r="A16" s="308" t="str">
        <f t="shared" si="0"/>
        <v/>
      </c>
      <c r="B16" s="309">
        <f>단위장비10!C$1</f>
        <v>0</v>
      </c>
      <c r="C16" s="308" t="s">
        <v>121</v>
      </c>
      <c r="D16" s="310">
        <f>단위장비10!H58</f>
        <v>0</v>
      </c>
      <c r="E16" s="311">
        <f>단위장비10!H59</f>
        <v>0</v>
      </c>
      <c r="F16" s="311">
        <f>단위장비10!H60+단위장비10!H61+단위장비10!H62+단위장비10!H66</f>
        <v>0</v>
      </c>
      <c r="G16" s="311">
        <f>단위장비10!H63+단위장비10!H64</f>
        <v>0</v>
      </c>
      <c r="H16" s="311">
        <f>단위장비10!H65</f>
        <v>0</v>
      </c>
      <c r="I16" s="312">
        <f>IF($B16&gt;0,'원가항목별(집계)'!I$38*$P16/$P$17,0)</f>
        <v>0</v>
      </c>
      <c r="J16" s="313">
        <f t="shared" si="3"/>
        <v>0</v>
      </c>
      <c r="K16" s="314">
        <f>IF(B16&gt;0,'원가항목별(집계)'!I$34*P16/P$17,0)</f>
        <v>0</v>
      </c>
      <c r="L16" s="314">
        <f>IF($B16&gt;0,'원가항목별(집계)'!I$39*$P16/$P$17,0)</f>
        <v>0</v>
      </c>
      <c r="M16" s="315">
        <f>단위장비10!H69+단위장비10!H70</f>
        <v>0</v>
      </c>
      <c r="N16" s="316">
        <f t="shared" si="1"/>
        <v>0</v>
      </c>
      <c r="O16" s="317"/>
      <c r="P16" s="297">
        <f t="shared" si="2"/>
        <v>0</v>
      </c>
    </row>
    <row r="17" spans="1:16" s="297" customFormat="1" ht="33" customHeight="1">
      <c r="A17" s="318" t="s">
        <v>122</v>
      </c>
      <c r="B17" s="319"/>
      <c r="C17" s="320"/>
      <c r="D17" s="321">
        <f t="shared" ref="D17:M17" si="4">SUM(D7:D16)</f>
        <v>111980000</v>
      </c>
      <c r="E17" s="322">
        <f t="shared" si="4"/>
        <v>27800000</v>
      </c>
      <c r="F17" s="322">
        <f t="shared" si="4"/>
        <v>64900000</v>
      </c>
      <c r="G17" s="322">
        <f t="shared" si="4"/>
        <v>12500000</v>
      </c>
      <c r="H17" s="322">
        <f t="shared" si="4"/>
        <v>3000000</v>
      </c>
      <c r="I17" s="323">
        <f t="shared" si="4"/>
        <v>0</v>
      </c>
      <c r="J17" s="324">
        <f t="shared" si="3"/>
        <v>220180000</v>
      </c>
      <c r="K17" s="325">
        <f>SUM(K7:K16)</f>
        <v>0</v>
      </c>
      <c r="L17" s="325">
        <f t="shared" si="4"/>
        <v>5757000</v>
      </c>
      <c r="M17" s="326">
        <f t="shared" si="4"/>
        <v>33027000</v>
      </c>
      <c r="N17" s="327">
        <f>SUM(N7:N14)</f>
        <v>258964000</v>
      </c>
      <c r="O17" s="328"/>
      <c r="P17" s="297">
        <f>SUM(P7:P16)</f>
        <v>253207000</v>
      </c>
    </row>
    <row r="18" spans="1:16" s="341" customFormat="1" ht="18.75" customHeight="1">
      <c r="A18" s="329"/>
      <c r="B18" s="330"/>
      <c r="C18" s="331"/>
      <c r="D18" s="332">
        <f t="shared" ref="D18:N18" si="5">IF(D17=0,"",D17/$N17)</f>
        <v>0.43241531641463676</v>
      </c>
      <c r="E18" s="333">
        <f t="shared" si="5"/>
        <v>0.10735082868661282</v>
      </c>
      <c r="F18" s="333">
        <f t="shared" si="5"/>
        <v>0.2506139849554378</v>
      </c>
      <c r="G18" s="333">
        <f t="shared" si="5"/>
        <v>4.8269257502973388E-2</v>
      </c>
      <c r="H18" s="333">
        <f t="shared" si="5"/>
        <v>1.1584621800713613E-2</v>
      </c>
      <c r="I18" s="334" t="str">
        <f t="shared" si="5"/>
        <v/>
      </c>
      <c r="J18" s="335">
        <f t="shared" si="5"/>
        <v>0.85023400936037441</v>
      </c>
      <c r="K18" s="336" t="str">
        <f t="shared" si="5"/>
        <v/>
      </c>
      <c r="L18" s="337">
        <f t="shared" si="5"/>
        <v>2.2230889235569422E-2</v>
      </c>
      <c r="M18" s="338">
        <f t="shared" si="5"/>
        <v>0.12753510140405616</v>
      </c>
      <c r="N18" s="339">
        <f t="shared" si="5"/>
        <v>1</v>
      </c>
      <c r="O18" s="340"/>
    </row>
    <row r="19" spans="1:16" ht="28.5" customHeight="1">
      <c r="A19" s="1" t="s">
        <v>123</v>
      </c>
      <c r="H19" s="342"/>
      <c r="I19" s="342"/>
      <c r="J19" s="342"/>
      <c r="K19" s="342"/>
      <c r="L19" s="342"/>
    </row>
    <row r="20" spans="1:16" ht="17.25" customHeight="1">
      <c r="H20" s="343"/>
      <c r="I20" s="343"/>
      <c r="J20" s="343"/>
      <c r="K20" s="343"/>
      <c r="L20" s="343"/>
      <c r="M20" s="344"/>
      <c r="N20" s="345" t="str">
        <f>IF('원가항목별(집계)'!I42='단위공사별(집계)'!N17,"","DATA오류입니다!")</f>
        <v/>
      </c>
    </row>
    <row r="21" spans="1:16" ht="17.25" customHeight="1">
      <c r="H21" s="346"/>
      <c r="I21" s="346"/>
      <c r="J21" s="346"/>
      <c r="K21" s="346"/>
      <c r="L21" s="346"/>
      <c r="N21" s="346"/>
    </row>
    <row r="22" spans="1:16" ht="17.25" customHeight="1">
      <c r="H22" s="297"/>
      <c r="I22" s="297"/>
      <c r="J22" s="297"/>
      <c r="L22" s="297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86B7-D1D8-4025-807C-F56C7637C96C}">
  <sheetPr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3" style="1" customWidth="1"/>
    <col min="3" max="3" width="23.625" style="1" customWidth="1"/>
    <col min="4" max="4" width="18.25" style="1" customWidth="1"/>
    <col min="5" max="5" width="5.25" style="268" bestFit="1" customWidth="1"/>
    <col min="6" max="6" width="6.75" style="444" customWidth="1"/>
    <col min="7" max="7" width="11.875" style="297" customWidth="1"/>
    <col min="8" max="8" width="13.625" style="297" customWidth="1"/>
    <col min="9" max="9" width="12.75" style="1" customWidth="1"/>
    <col min="10" max="10" width="9.25" style="1" customWidth="1"/>
    <col min="11" max="11" width="11.5" style="1" bestFit="1" customWidth="1"/>
    <col min="12" max="16384" width="9" style="1"/>
  </cols>
  <sheetData>
    <row r="1" spans="1:9" ht="22.5" customHeight="1">
      <c r="B1" s="347" t="s">
        <v>124</v>
      </c>
      <c r="C1" s="348"/>
      <c r="F1" s="349"/>
      <c r="I1" s="1" t="s">
        <v>125</v>
      </c>
    </row>
    <row r="2" spans="1:9" s="268" customFormat="1" ht="16.5" customHeight="1">
      <c r="A2" s="95" t="s">
        <v>126</v>
      </c>
      <c r="B2" s="350"/>
      <c r="C2" s="351" t="s">
        <v>127</v>
      </c>
      <c r="D2" s="352" t="s">
        <v>128</v>
      </c>
      <c r="E2" s="352" t="s">
        <v>30</v>
      </c>
      <c r="F2" s="353" t="s">
        <v>29</v>
      </c>
      <c r="G2" s="353" t="s">
        <v>129</v>
      </c>
      <c r="H2" s="353" t="s">
        <v>130</v>
      </c>
      <c r="I2" s="352" t="s">
        <v>131</v>
      </c>
    </row>
    <row r="3" spans="1:9" ht="15.95" customHeight="1">
      <c r="A3" s="354" t="s">
        <v>132</v>
      </c>
      <c r="B3" s="355" t="s">
        <v>133</v>
      </c>
      <c r="C3" s="356"/>
      <c r="D3" s="356"/>
      <c r="E3" s="357"/>
      <c r="F3" s="358"/>
      <c r="G3" s="359"/>
      <c r="H3" s="360">
        <f t="shared" ref="H3:H8" si="0">IF(F3=0,G3,G3*F3)</f>
        <v>0</v>
      </c>
      <c r="I3" s="361"/>
    </row>
    <row r="4" spans="1:9" ht="15.95" customHeight="1">
      <c r="A4" s="362"/>
      <c r="B4" s="355"/>
      <c r="C4" s="363"/>
      <c r="D4" s="356"/>
      <c r="E4" s="357"/>
      <c r="F4" s="358"/>
      <c r="G4" s="359"/>
      <c r="H4" s="307">
        <f t="shared" si="0"/>
        <v>0</v>
      </c>
      <c r="I4" s="64"/>
    </row>
    <row r="5" spans="1:9" ht="15.95" customHeight="1">
      <c r="A5" s="362"/>
      <c r="B5" s="355"/>
      <c r="C5" s="363"/>
      <c r="D5" s="356"/>
      <c r="E5" s="357"/>
      <c r="F5" s="358"/>
      <c r="G5" s="359"/>
      <c r="H5" s="307">
        <f t="shared" si="0"/>
        <v>0</v>
      </c>
      <c r="I5" s="64"/>
    </row>
    <row r="6" spans="1:9" ht="15.95" customHeight="1">
      <c r="A6" s="362"/>
      <c r="B6" s="355"/>
      <c r="C6" s="363"/>
      <c r="D6" s="356"/>
      <c r="E6" s="357"/>
      <c r="F6" s="358"/>
      <c r="G6" s="359"/>
      <c r="H6" s="307">
        <f t="shared" si="0"/>
        <v>0</v>
      </c>
      <c r="I6" s="64"/>
    </row>
    <row r="7" spans="1:9" ht="15.95" customHeight="1">
      <c r="A7" s="362"/>
      <c r="B7" s="355"/>
      <c r="C7" s="363"/>
      <c r="D7" s="363"/>
      <c r="E7" s="364"/>
      <c r="F7" s="365"/>
      <c r="G7" s="366"/>
      <c r="H7" s="307">
        <f t="shared" si="0"/>
        <v>0</v>
      </c>
      <c r="I7" s="64"/>
    </row>
    <row r="8" spans="1:9" ht="15.95" customHeight="1">
      <c r="A8" s="362"/>
      <c r="B8" s="355"/>
      <c r="C8" s="367"/>
      <c r="D8" s="367"/>
      <c r="E8" s="368"/>
      <c r="F8" s="369"/>
      <c r="G8" s="370"/>
      <c r="H8" s="307">
        <f t="shared" si="0"/>
        <v>0</v>
      </c>
      <c r="I8" s="371"/>
    </row>
    <row r="9" spans="1:9" ht="15.95" customHeight="1">
      <c r="A9" s="362"/>
      <c r="B9" s="372"/>
      <c r="C9" s="373"/>
      <c r="D9" s="374"/>
      <c r="E9" s="351"/>
      <c r="F9" s="375"/>
      <c r="G9" s="376"/>
      <c r="H9" s="377">
        <f>SUM(H3:H8)</f>
        <v>0</v>
      </c>
      <c r="I9" s="378"/>
    </row>
    <row r="10" spans="1:9" ht="15.95" customHeight="1">
      <c r="A10" s="362"/>
      <c r="B10" s="379" t="s">
        <v>134</v>
      </c>
      <c r="C10" s="380"/>
      <c r="D10" s="380"/>
      <c r="E10" s="381"/>
      <c r="F10" s="382"/>
      <c r="G10" s="383"/>
      <c r="H10" s="384">
        <f t="shared" ref="H10:H53" si="1">IF(F10=0,G10,G10*F10)</f>
        <v>0</v>
      </c>
      <c r="I10" s="385"/>
    </row>
    <row r="11" spans="1:9" ht="15.95" customHeight="1">
      <c r="A11" s="362"/>
      <c r="B11" s="386" t="s">
        <v>135</v>
      </c>
      <c r="C11" s="363"/>
      <c r="D11" s="363"/>
      <c r="E11" s="364"/>
      <c r="F11" s="365"/>
      <c r="G11" s="366"/>
      <c r="H11" s="307">
        <f t="shared" si="1"/>
        <v>0</v>
      </c>
      <c r="I11" s="64"/>
    </row>
    <row r="12" spans="1:9" ht="15.95" customHeight="1">
      <c r="A12" s="362"/>
      <c r="B12" s="386" t="s">
        <v>136</v>
      </c>
      <c r="C12" s="363"/>
      <c r="D12" s="363"/>
      <c r="E12" s="364"/>
      <c r="F12" s="365"/>
      <c r="G12" s="366"/>
      <c r="H12" s="307">
        <f t="shared" si="1"/>
        <v>0</v>
      </c>
      <c r="I12" s="64"/>
    </row>
    <row r="13" spans="1:9" ht="15.95" customHeight="1">
      <c r="A13" s="362"/>
      <c r="B13" s="355"/>
      <c r="C13" s="363"/>
      <c r="D13" s="363"/>
      <c r="E13" s="364"/>
      <c r="F13" s="365"/>
      <c r="G13" s="366"/>
      <c r="H13" s="307">
        <f t="shared" si="1"/>
        <v>0</v>
      </c>
      <c r="I13" s="64"/>
    </row>
    <row r="14" spans="1:9" ht="15.95" customHeight="1">
      <c r="A14" s="362"/>
      <c r="B14" s="355"/>
      <c r="C14" s="363"/>
      <c r="D14" s="363"/>
      <c r="E14" s="364"/>
      <c r="F14" s="365"/>
      <c r="G14" s="366"/>
      <c r="H14" s="307">
        <f t="shared" si="1"/>
        <v>0</v>
      </c>
      <c r="I14" s="64"/>
    </row>
    <row r="15" spans="1:9" ht="15.95" customHeight="1">
      <c r="A15" s="362"/>
      <c r="B15" s="355"/>
      <c r="C15" s="367" t="s">
        <v>137</v>
      </c>
      <c r="D15" s="387"/>
      <c r="E15" s="368" t="s">
        <v>138</v>
      </c>
      <c r="F15" s="388"/>
      <c r="G15" s="389"/>
      <c r="H15" s="390">
        <f t="shared" si="1"/>
        <v>0</v>
      </c>
      <c r="I15" s="391"/>
    </row>
    <row r="16" spans="1:9" ht="15.95" customHeight="1">
      <c r="A16" s="362"/>
      <c r="B16" s="355"/>
      <c r="C16" s="392"/>
      <c r="D16" s="393"/>
      <c r="E16" s="394"/>
      <c r="F16" s="395"/>
      <c r="G16" s="396"/>
      <c r="H16" s="397">
        <f>SUM(H10:H15)</f>
        <v>0</v>
      </c>
      <c r="I16" s="398"/>
    </row>
    <row r="17" spans="1:9" ht="15.95" customHeight="1">
      <c r="A17" s="362"/>
      <c r="B17" s="399" t="s">
        <v>139</v>
      </c>
      <c r="C17" s="400"/>
      <c r="D17" s="400"/>
      <c r="E17" s="401"/>
      <c r="F17" s="402"/>
      <c r="G17" s="403"/>
      <c r="H17" s="384">
        <f>IF(F17=0,G17,G17*F17)</f>
        <v>0</v>
      </c>
      <c r="I17" s="385"/>
    </row>
    <row r="18" spans="1:9" ht="15.95" customHeight="1">
      <c r="A18" s="362"/>
      <c r="B18" s="355"/>
      <c r="C18" s="404"/>
      <c r="D18" s="404"/>
      <c r="E18" s="405"/>
      <c r="F18" s="406"/>
      <c r="G18" s="407"/>
      <c r="H18" s="307">
        <f t="shared" si="1"/>
        <v>0</v>
      </c>
      <c r="I18" s="64"/>
    </row>
    <row r="19" spans="1:9" ht="15.95" customHeight="1">
      <c r="A19" s="362"/>
      <c r="B19" s="355"/>
      <c r="C19" s="404"/>
      <c r="D19" s="404"/>
      <c r="E19" s="405"/>
      <c r="F19" s="406"/>
      <c r="G19" s="407"/>
      <c r="H19" s="307">
        <f t="shared" si="1"/>
        <v>0</v>
      </c>
      <c r="I19" s="64"/>
    </row>
    <row r="20" spans="1:9" ht="15.95" customHeight="1">
      <c r="A20" s="362"/>
      <c r="B20" s="355"/>
      <c r="C20" s="404"/>
      <c r="D20" s="404"/>
      <c r="E20" s="405"/>
      <c r="F20" s="406"/>
      <c r="G20" s="407"/>
      <c r="H20" s="307">
        <f t="shared" si="1"/>
        <v>0</v>
      </c>
      <c r="I20" s="64"/>
    </row>
    <row r="21" spans="1:9" ht="15.95" customHeight="1">
      <c r="A21" s="362"/>
      <c r="B21" s="355"/>
      <c r="C21" s="404"/>
      <c r="D21" s="404"/>
      <c r="E21" s="405"/>
      <c r="F21" s="406"/>
      <c r="G21" s="407"/>
      <c r="H21" s="307">
        <f t="shared" si="1"/>
        <v>0</v>
      </c>
      <c r="I21" s="64"/>
    </row>
    <row r="22" spans="1:9" ht="15.95" customHeight="1">
      <c r="A22" s="362"/>
      <c r="B22" s="355"/>
      <c r="C22" s="404"/>
      <c r="D22" s="404"/>
      <c r="E22" s="405"/>
      <c r="F22" s="406"/>
      <c r="G22" s="407"/>
      <c r="H22" s="307">
        <f t="shared" si="1"/>
        <v>0</v>
      </c>
      <c r="I22" s="64"/>
    </row>
    <row r="23" spans="1:9" ht="15.95" customHeight="1">
      <c r="A23" s="362"/>
      <c r="B23" s="355"/>
      <c r="C23" s="404"/>
      <c r="D23" s="404"/>
      <c r="E23" s="405"/>
      <c r="F23" s="406"/>
      <c r="G23" s="407"/>
      <c r="H23" s="307">
        <f t="shared" si="1"/>
        <v>0</v>
      </c>
      <c r="I23" s="64"/>
    </row>
    <row r="24" spans="1:9" ht="15.95" customHeight="1">
      <c r="A24" s="362"/>
      <c r="B24" s="355"/>
      <c r="C24" s="408"/>
      <c r="D24" s="408"/>
      <c r="E24" s="409"/>
      <c r="F24" s="410"/>
      <c r="G24" s="411"/>
      <c r="H24" s="307">
        <f t="shared" si="1"/>
        <v>0</v>
      </c>
      <c r="I24" s="64"/>
    </row>
    <row r="25" spans="1:9" ht="15.95" customHeight="1">
      <c r="A25" s="362"/>
      <c r="B25" s="355"/>
      <c r="C25" s="412"/>
      <c r="D25" s="412"/>
      <c r="E25" s="405"/>
      <c r="F25" s="413"/>
      <c r="G25" s="414"/>
      <c r="H25" s="307">
        <f t="shared" si="1"/>
        <v>0</v>
      </c>
      <c r="I25" s="64"/>
    </row>
    <row r="26" spans="1:9" ht="15.95" customHeight="1">
      <c r="A26" s="362"/>
      <c r="B26" s="355"/>
      <c r="C26" s="412"/>
      <c r="D26" s="412"/>
      <c r="E26" s="405"/>
      <c r="F26" s="413"/>
      <c r="G26" s="414"/>
      <c r="H26" s="307">
        <f t="shared" si="1"/>
        <v>0</v>
      </c>
      <c r="I26" s="64"/>
    </row>
    <row r="27" spans="1:9" ht="15.95" customHeight="1">
      <c r="A27" s="362"/>
      <c r="B27" s="355"/>
      <c r="C27" s="404"/>
      <c r="D27" s="412"/>
      <c r="E27" s="405"/>
      <c r="F27" s="413"/>
      <c r="G27" s="414"/>
      <c r="H27" s="307">
        <f t="shared" si="1"/>
        <v>0</v>
      </c>
      <c r="I27" s="64"/>
    </row>
    <row r="28" spans="1:9" ht="15.95" customHeight="1">
      <c r="A28" s="362"/>
      <c r="B28" s="355"/>
      <c r="C28" s="408"/>
      <c r="D28" s="412"/>
      <c r="E28" s="409"/>
      <c r="F28" s="415"/>
      <c r="G28" s="416"/>
      <c r="H28" s="307">
        <f t="shared" si="1"/>
        <v>0</v>
      </c>
      <c r="I28" s="64"/>
    </row>
    <row r="29" spans="1:9" ht="15.95" customHeight="1">
      <c r="A29" s="362"/>
      <c r="B29" s="355"/>
      <c r="C29" s="408"/>
      <c r="D29" s="412"/>
      <c r="E29" s="409"/>
      <c r="F29" s="415"/>
      <c r="G29" s="416"/>
      <c r="H29" s="307">
        <f t="shared" si="1"/>
        <v>0</v>
      </c>
      <c r="I29" s="64"/>
    </row>
    <row r="30" spans="1:9" ht="15.95" customHeight="1">
      <c r="A30" s="362"/>
      <c r="B30" s="355"/>
      <c r="C30" s="408"/>
      <c r="D30" s="412"/>
      <c r="E30" s="409"/>
      <c r="F30" s="415"/>
      <c r="G30" s="416"/>
      <c r="H30" s="307">
        <f t="shared" si="1"/>
        <v>0</v>
      </c>
      <c r="I30" s="64"/>
    </row>
    <row r="31" spans="1:9" ht="15.95" customHeight="1">
      <c r="A31" s="362"/>
      <c r="B31" s="355"/>
      <c r="C31" s="408"/>
      <c r="D31" s="412"/>
      <c r="E31" s="409"/>
      <c r="F31" s="415"/>
      <c r="G31" s="416"/>
      <c r="H31" s="307">
        <f t="shared" si="1"/>
        <v>0</v>
      </c>
      <c r="I31" s="64"/>
    </row>
    <row r="32" spans="1:9" ht="15.95" customHeight="1">
      <c r="A32" s="362"/>
      <c r="B32" s="355"/>
      <c r="C32" s="412"/>
      <c r="D32" s="412"/>
      <c r="E32" s="405"/>
      <c r="F32" s="413"/>
      <c r="G32" s="414"/>
      <c r="H32" s="307">
        <f t="shared" si="1"/>
        <v>0</v>
      </c>
      <c r="I32" s="64"/>
    </row>
    <row r="33" spans="1:9" ht="15.95" customHeight="1">
      <c r="A33" s="362"/>
      <c r="B33" s="355"/>
      <c r="C33" s="412"/>
      <c r="D33" s="412"/>
      <c r="E33" s="405"/>
      <c r="F33" s="413"/>
      <c r="G33" s="414"/>
      <c r="H33" s="307">
        <f t="shared" si="1"/>
        <v>0</v>
      </c>
      <c r="I33" s="64"/>
    </row>
    <row r="34" spans="1:9" ht="15.95" customHeight="1">
      <c r="A34" s="362"/>
      <c r="B34" s="355"/>
      <c r="C34" s="412"/>
      <c r="D34" s="412"/>
      <c r="E34" s="405"/>
      <c r="F34" s="413"/>
      <c r="G34" s="414"/>
      <c r="H34" s="307">
        <f t="shared" si="1"/>
        <v>0</v>
      </c>
      <c r="I34" s="64"/>
    </row>
    <row r="35" spans="1:9" ht="15.95" customHeight="1">
      <c r="A35" s="362"/>
      <c r="B35" s="355"/>
      <c r="C35" s="404"/>
      <c r="D35" s="404"/>
      <c r="E35" s="405"/>
      <c r="F35" s="406"/>
      <c r="G35" s="407"/>
      <c r="H35" s="307">
        <f t="shared" si="1"/>
        <v>0</v>
      </c>
      <c r="I35" s="64"/>
    </row>
    <row r="36" spans="1:9" ht="15.95" customHeight="1">
      <c r="A36" s="362"/>
      <c r="B36" s="355"/>
      <c r="C36" s="404"/>
      <c r="D36" s="404"/>
      <c r="E36" s="405"/>
      <c r="F36" s="417"/>
      <c r="G36" s="418"/>
      <c r="H36" s="307">
        <f t="shared" si="1"/>
        <v>0</v>
      </c>
      <c r="I36" s="64"/>
    </row>
    <row r="37" spans="1:9" ht="15.95" customHeight="1">
      <c r="A37" s="362"/>
      <c r="B37" s="355"/>
      <c r="C37" s="363"/>
      <c r="D37" s="363"/>
      <c r="E37" s="364"/>
      <c r="F37" s="365"/>
      <c r="G37" s="366"/>
      <c r="H37" s="307">
        <f t="shared" si="1"/>
        <v>0</v>
      </c>
      <c r="I37" s="64"/>
    </row>
    <row r="38" spans="1:9" ht="15.95" customHeight="1">
      <c r="A38" s="362"/>
      <c r="B38" s="355"/>
      <c r="C38" s="363"/>
      <c r="D38" s="363"/>
      <c r="E38" s="364"/>
      <c r="F38" s="365"/>
      <c r="G38" s="366"/>
      <c r="H38" s="307">
        <f t="shared" si="1"/>
        <v>0</v>
      </c>
      <c r="I38" s="64"/>
    </row>
    <row r="39" spans="1:9" ht="15.95" customHeight="1">
      <c r="A39" s="362"/>
      <c r="B39" s="355"/>
      <c r="C39" s="363"/>
      <c r="D39" s="363"/>
      <c r="E39" s="364"/>
      <c r="F39" s="365"/>
      <c r="G39" s="366"/>
      <c r="H39" s="307">
        <f t="shared" si="1"/>
        <v>0</v>
      </c>
      <c r="I39" s="64"/>
    </row>
    <row r="40" spans="1:9" ht="15.95" customHeight="1">
      <c r="A40" s="362"/>
      <c r="B40" s="355"/>
      <c r="C40" s="363"/>
      <c r="D40" s="363"/>
      <c r="E40" s="364"/>
      <c r="F40" s="365"/>
      <c r="G40" s="366"/>
      <c r="H40" s="307">
        <f t="shared" si="1"/>
        <v>0</v>
      </c>
      <c r="I40" s="64"/>
    </row>
    <row r="41" spans="1:9" ht="15.95" customHeight="1">
      <c r="A41" s="362"/>
      <c r="B41" s="355"/>
      <c r="C41" s="363"/>
      <c r="D41" s="363"/>
      <c r="E41" s="364"/>
      <c r="F41" s="365"/>
      <c r="G41" s="366"/>
      <c r="H41" s="307">
        <f t="shared" si="1"/>
        <v>0</v>
      </c>
      <c r="I41" s="64"/>
    </row>
    <row r="42" spans="1:9" ht="15.95" customHeight="1">
      <c r="A42" s="362"/>
      <c r="B42" s="355"/>
      <c r="C42" s="363"/>
      <c r="D42" s="363"/>
      <c r="E42" s="364"/>
      <c r="F42" s="365"/>
      <c r="G42" s="366"/>
      <c r="H42" s="307">
        <f t="shared" si="1"/>
        <v>0</v>
      </c>
      <c r="I42" s="64"/>
    </row>
    <row r="43" spans="1:9" ht="15.95" customHeight="1">
      <c r="A43" s="362"/>
      <c r="B43" s="355"/>
      <c r="C43" s="363"/>
      <c r="D43" s="363"/>
      <c r="E43" s="364"/>
      <c r="F43" s="365"/>
      <c r="G43" s="366"/>
      <c r="H43" s="307">
        <f t="shared" si="1"/>
        <v>0</v>
      </c>
      <c r="I43" s="64"/>
    </row>
    <row r="44" spans="1:9" ht="15.95" customHeight="1">
      <c r="A44" s="362"/>
      <c r="B44" s="355"/>
      <c r="C44" s="363"/>
      <c r="D44" s="363"/>
      <c r="E44" s="364"/>
      <c r="F44" s="365"/>
      <c r="G44" s="366"/>
      <c r="H44" s="307">
        <f t="shared" si="1"/>
        <v>0</v>
      </c>
      <c r="I44" s="64"/>
    </row>
    <row r="45" spans="1:9" ht="15.95" customHeight="1">
      <c r="A45" s="362"/>
      <c r="B45" s="355"/>
      <c r="C45" s="363"/>
      <c r="D45" s="363"/>
      <c r="E45" s="364"/>
      <c r="F45" s="365"/>
      <c r="G45" s="366"/>
      <c r="H45" s="307">
        <f t="shared" si="1"/>
        <v>0</v>
      </c>
      <c r="I45" s="64"/>
    </row>
    <row r="46" spans="1:9" ht="15.95" customHeight="1">
      <c r="A46" s="362"/>
      <c r="B46" s="355"/>
      <c r="C46" s="363"/>
      <c r="D46" s="363"/>
      <c r="E46" s="364"/>
      <c r="F46" s="365"/>
      <c r="G46" s="366"/>
      <c r="H46" s="307">
        <f t="shared" si="1"/>
        <v>0</v>
      </c>
      <c r="I46" s="64"/>
    </row>
    <row r="47" spans="1:9" ht="15.95" customHeight="1">
      <c r="A47" s="362"/>
      <c r="B47" s="355"/>
      <c r="C47" s="363"/>
      <c r="D47" s="363"/>
      <c r="E47" s="364"/>
      <c r="F47" s="365"/>
      <c r="G47" s="366"/>
      <c r="H47" s="307">
        <f t="shared" si="1"/>
        <v>0</v>
      </c>
      <c r="I47" s="64"/>
    </row>
    <row r="48" spans="1:9" ht="15.95" customHeight="1">
      <c r="A48" s="362"/>
      <c r="B48" s="355"/>
      <c r="C48" s="363"/>
      <c r="D48" s="363"/>
      <c r="E48" s="364"/>
      <c r="F48" s="365"/>
      <c r="G48" s="366"/>
      <c r="H48" s="307">
        <f t="shared" si="1"/>
        <v>0</v>
      </c>
      <c r="I48" s="64"/>
    </row>
    <row r="49" spans="1:9" ht="15.95" customHeight="1">
      <c r="A49" s="362"/>
      <c r="B49" s="355"/>
      <c r="C49" s="363"/>
      <c r="D49" s="363"/>
      <c r="E49" s="364"/>
      <c r="F49" s="365"/>
      <c r="G49" s="366"/>
      <c r="H49" s="307">
        <f t="shared" si="1"/>
        <v>0</v>
      </c>
      <c r="I49" s="64"/>
    </row>
    <row r="50" spans="1:9" ht="15.95" customHeight="1">
      <c r="A50" s="362"/>
      <c r="B50" s="355"/>
      <c r="C50" s="363"/>
      <c r="D50" s="363"/>
      <c r="E50" s="364"/>
      <c r="F50" s="365"/>
      <c r="G50" s="366"/>
      <c r="H50" s="307">
        <f t="shared" si="1"/>
        <v>0</v>
      </c>
      <c r="I50" s="64"/>
    </row>
    <row r="51" spans="1:9" ht="15.95" customHeight="1">
      <c r="A51" s="362"/>
      <c r="B51" s="355"/>
      <c r="C51" s="363"/>
      <c r="D51" s="363"/>
      <c r="E51" s="364"/>
      <c r="F51" s="365"/>
      <c r="G51" s="366"/>
      <c r="H51" s="307">
        <f t="shared" si="1"/>
        <v>0</v>
      </c>
      <c r="I51" s="64"/>
    </row>
    <row r="52" spans="1:9" ht="15.95" customHeight="1">
      <c r="A52" s="362"/>
      <c r="B52" s="355"/>
      <c r="C52" s="363"/>
      <c r="D52" s="363"/>
      <c r="E52" s="364"/>
      <c r="F52" s="365"/>
      <c r="G52" s="366"/>
      <c r="H52" s="307">
        <f t="shared" si="1"/>
        <v>0</v>
      </c>
      <c r="I52" s="64"/>
    </row>
    <row r="53" spans="1:9" ht="15.95" customHeight="1">
      <c r="A53" s="362"/>
      <c r="B53" s="355"/>
      <c r="C53" s="367"/>
      <c r="D53" s="367"/>
      <c r="E53" s="368"/>
      <c r="F53" s="369"/>
      <c r="G53" s="370"/>
      <c r="H53" s="317">
        <f t="shared" si="1"/>
        <v>0</v>
      </c>
      <c r="I53" s="371"/>
    </row>
    <row r="54" spans="1:9" ht="15.95" customHeight="1">
      <c r="A54" s="362"/>
      <c r="B54" s="372"/>
      <c r="C54" s="373"/>
      <c r="D54" s="374"/>
      <c r="E54" s="351"/>
      <c r="F54" s="375"/>
      <c r="G54" s="376"/>
      <c r="H54" s="377">
        <f>SUM(H17:H53)</f>
        <v>0</v>
      </c>
      <c r="I54" s="378"/>
    </row>
    <row r="55" spans="1:9" ht="15.95" customHeight="1">
      <c r="A55" s="419"/>
      <c r="B55" s="420" t="s">
        <v>140</v>
      </c>
      <c r="C55" s="421"/>
      <c r="D55" s="378"/>
      <c r="E55" s="352"/>
      <c r="F55" s="422"/>
      <c r="G55" s="423"/>
      <c r="H55" s="377">
        <f>SUM(H54,H9,H16)</f>
        <v>0</v>
      </c>
      <c r="I55" s="378"/>
    </row>
    <row r="56" spans="1:9" ht="15.95" customHeight="1">
      <c r="A56" s="424" t="s">
        <v>141</v>
      </c>
      <c r="B56" s="425" t="s">
        <v>65</v>
      </c>
      <c r="C56" s="421"/>
      <c r="D56" s="378"/>
      <c r="E56" s="426" t="s">
        <v>66</v>
      </c>
      <c r="F56" s="427"/>
      <c r="G56" s="428"/>
      <c r="H56" s="429">
        <f t="shared" ref="H56:H62" si="2">F56*G56</f>
        <v>0</v>
      </c>
      <c r="I56" s="378"/>
    </row>
    <row r="57" spans="1:9" ht="15.95" customHeight="1">
      <c r="A57" s="430"/>
      <c r="B57" s="431" t="s">
        <v>142</v>
      </c>
      <c r="C57" s="432"/>
      <c r="D57" s="385"/>
      <c r="E57" s="433" t="s">
        <v>143</v>
      </c>
      <c r="F57" s="381"/>
      <c r="G57" s="383"/>
      <c r="H57" s="384">
        <f t="shared" si="2"/>
        <v>0</v>
      </c>
      <c r="I57" s="385"/>
    </row>
    <row r="58" spans="1:9" ht="15.95" customHeight="1">
      <c r="A58" s="430"/>
      <c r="B58" s="434" t="s">
        <v>144</v>
      </c>
      <c r="C58" s="435"/>
      <c r="D58" s="64"/>
      <c r="E58" s="436" t="s">
        <v>143</v>
      </c>
      <c r="F58" s="358"/>
      <c r="G58" s="366"/>
      <c r="H58" s="307">
        <f t="shared" si="2"/>
        <v>0</v>
      </c>
      <c r="I58" s="64"/>
    </row>
    <row r="59" spans="1:9" ht="15.95" customHeight="1">
      <c r="A59" s="430"/>
      <c r="B59" s="434" t="s">
        <v>145</v>
      </c>
      <c r="C59" s="435"/>
      <c r="D59" s="64"/>
      <c r="E59" s="436" t="s">
        <v>143</v>
      </c>
      <c r="F59" s="365"/>
      <c r="G59" s="366"/>
      <c r="H59" s="307">
        <f>F59*G59</f>
        <v>0</v>
      </c>
      <c r="I59" s="64"/>
    </row>
    <row r="60" spans="1:9" ht="15.95" customHeight="1">
      <c r="A60" s="430"/>
      <c r="B60" s="434" t="s">
        <v>146</v>
      </c>
      <c r="C60" s="435"/>
      <c r="D60" s="64"/>
      <c r="E60" s="436" t="s">
        <v>143</v>
      </c>
      <c r="F60" s="365"/>
      <c r="G60" s="366"/>
      <c r="H60" s="307">
        <f t="shared" si="2"/>
        <v>0</v>
      </c>
      <c r="I60" s="64"/>
    </row>
    <row r="61" spans="1:9" ht="15.95" customHeight="1">
      <c r="A61" s="430"/>
      <c r="B61" s="434" t="s">
        <v>147</v>
      </c>
      <c r="C61" s="435"/>
      <c r="D61" s="64"/>
      <c r="E61" s="436" t="s">
        <v>143</v>
      </c>
      <c r="F61" s="388"/>
      <c r="G61" s="389"/>
      <c r="H61" s="307">
        <f t="shared" si="2"/>
        <v>0</v>
      </c>
      <c r="I61" s="64"/>
    </row>
    <row r="62" spans="1:9" ht="15.95" customHeight="1">
      <c r="A62" s="430"/>
      <c r="B62" s="437" t="s">
        <v>148</v>
      </c>
      <c r="C62" s="438"/>
      <c r="D62" s="371"/>
      <c r="E62" s="439" t="s">
        <v>143</v>
      </c>
      <c r="F62" s="369"/>
      <c r="G62" s="370"/>
      <c r="H62" s="317">
        <f t="shared" si="2"/>
        <v>0</v>
      </c>
      <c r="I62" s="371"/>
    </row>
    <row r="63" spans="1:9" ht="15.95" customHeight="1">
      <c r="A63" s="419"/>
      <c r="B63" s="440" t="s">
        <v>149</v>
      </c>
      <c r="C63" s="421"/>
      <c r="D63" s="378"/>
      <c r="E63" s="352"/>
      <c r="F63" s="375"/>
      <c r="G63" s="376"/>
      <c r="H63" s="377">
        <f>SUM(H56:H62)</f>
        <v>0</v>
      </c>
      <c r="I63" s="378"/>
    </row>
    <row r="64" spans="1:9" ht="15.95" customHeight="1">
      <c r="A64" s="426"/>
      <c r="B64" s="440" t="s">
        <v>150</v>
      </c>
      <c r="C64" s="421"/>
      <c r="D64" s="378"/>
      <c r="E64" s="352"/>
      <c r="F64" s="353"/>
      <c r="G64" s="441" t="s">
        <v>151</v>
      </c>
      <c r="H64" s="423">
        <v>0</v>
      </c>
      <c r="I64" s="378"/>
    </row>
    <row r="65" spans="1:11" ht="15.95" customHeight="1">
      <c r="A65" s="426"/>
      <c r="B65" s="440" t="s">
        <v>91</v>
      </c>
      <c r="C65" s="421"/>
      <c r="D65" s="378"/>
      <c r="E65" s="352"/>
      <c r="F65" s="353"/>
      <c r="G65" s="442"/>
      <c r="H65" s="443">
        <f>(H63+H55)*0.05</f>
        <v>0</v>
      </c>
      <c r="I65" s="421"/>
    </row>
    <row r="66" spans="1:11" ht="15.95" customHeight="1">
      <c r="A66" s="426"/>
      <c r="B66" s="440" t="s">
        <v>152</v>
      </c>
      <c r="C66" s="421"/>
      <c r="D66" s="378"/>
      <c r="E66" s="352"/>
      <c r="F66" s="353"/>
      <c r="G66" s="442"/>
      <c r="H66" s="443">
        <f>(H63+H55)*0.1</f>
        <v>0</v>
      </c>
      <c r="I66" s="421"/>
    </row>
    <row r="67" spans="1:11" ht="15.95" customHeight="1">
      <c r="A67" s="426"/>
      <c r="B67" s="440" t="s">
        <v>153</v>
      </c>
      <c r="C67" s="421"/>
      <c r="D67" s="378"/>
      <c r="E67" s="352"/>
      <c r="F67" s="353"/>
      <c r="G67" s="377"/>
      <c r="H67" s="376">
        <f>H55+H63+H64+H65+H66</f>
        <v>0</v>
      </c>
      <c r="I67" s="378"/>
      <c r="K67" s="297"/>
    </row>
    <row r="68" spans="1:11">
      <c r="A68" s="268"/>
    </row>
  </sheetData>
  <mergeCells count="3">
    <mergeCell ref="A2:B2"/>
    <mergeCell ref="A3:A54"/>
    <mergeCell ref="A56:A62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EA64-373B-43C9-96E8-4531973AD677}">
  <sheetPr>
    <tabColor rgb="FF00B050"/>
    <pageSetUpPr fitToPage="1"/>
  </sheetPr>
  <dimension ref="A1:K55"/>
  <sheetViews>
    <sheetView zoomScale="85" zoomScaleNormal="85" workbookViewId="0">
      <pane xSplit="2" ySplit="2" topLeftCell="C3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0" width="9" style="1"/>
    <col min="11" max="11" width="10" style="1" bestFit="1" customWidth="1"/>
    <col min="12" max="16384" width="9" style="1"/>
  </cols>
  <sheetData>
    <row r="1" spans="1:11" ht="22.5" customHeight="1">
      <c r="B1" s="347" t="s">
        <v>154</v>
      </c>
      <c r="C1" s="445" t="s">
        <v>155</v>
      </c>
      <c r="F1" s="446"/>
      <c r="I1" s="1" t="s">
        <v>125</v>
      </c>
      <c r="K1" s="447"/>
    </row>
    <row r="2" spans="1:11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11" ht="15.95" customHeight="1">
      <c r="A3" s="354" t="s">
        <v>132</v>
      </c>
      <c r="B3" s="355" t="s">
        <v>133</v>
      </c>
      <c r="C3" s="363"/>
      <c r="D3" s="448"/>
      <c r="E3" s="364"/>
      <c r="F3" s="365"/>
      <c r="G3" s="366"/>
      <c r="H3" s="307">
        <f>IF(F3=0,G3,G3*F3)</f>
        <v>0</v>
      </c>
      <c r="I3" s="449"/>
    </row>
    <row r="4" spans="1:11" ht="15.95" customHeight="1">
      <c r="A4" s="450"/>
      <c r="B4" s="355"/>
      <c r="C4" s="451"/>
      <c r="D4" s="451"/>
      <c r="E4" s="452"/>
      <c r="F4" s="453"/>
      <c r="G4" s="454"/>
      <c r="H4" s="307">
        <f>F4*G4</f>
        <v>0</v>
      </c>
      <c r="I4" s="64"/>
    </row>
    <row r="5" spans="1:11" ht="15.95" customHeight="1">
      <c r="A5" s="450"/>
      <c r="B5" s="355"/>
      <c r="C5" s="455"/>
      <c r="D5" s="455"/>
      <c r="E5" s="448"/>
      <c r="F5" s="456"/>
      <c r="G5" s="457"/>
      <c r="H5" s="307">
        <f>F5*G5</f>
        <v>0</v>
      </c>
      <c r="I5" s="361"/>
    </row>
    <row r="6" spans="1:11" ht="15.95" customHeight="1">
      <c r="A6" s="450"/>
      <c r="B6" s="355"/>
      <c r="C6" s="455"/>
      <c r="D6" s="455"/>
      <c r="E6" s="448"/>
      <c r="F6" s="456"/>
      <c r="G6" s="457"/>
      <c r="H6" s="307">
        <f>F6*G6</f>
        <v>0</v>
      </c>
      <c r="I6" s="64"/>
    </row>
    <row r="7" spans="1:11" ht="15.95" customHeight="1">
      <c r="A7" s="450"/>
      <c r="B7" s="355"/>
      <c r="C7" s="455"/>
      <c r="D7" s="455"/>
      <c r="E7" s="448"/>
      <c r="F7" s="456"/>
      <c r="G7" s="457"/>
      <c r="H7" s="307">
        <f>F7*G7</f>
        <v>0</v>
      </c>
      <c r="I7" s="64"/>
    </row>
    <row r="8" spans="1:11" ht="15.95" customHeight="1">
      <c r="A8" s="450"/>
      <c r="B8" s="355"/>
      <c r="C8" s="363"/>
      <c r="D8" s="363"/>
      <c r="E8" s="363"/>
      <c r="F8" s="366"/>
      <c r="G8" s="366"/>
      <c r="H8" s="307">
        <f t="shared" ref="H8:H39" si="0">IF(F8=0,G8,G8*F8)</f>
        <v>0</v>
      </c>
      <c r="I8" s="64"/>
    </row>
    <row r="9" spans="1:11" ht="15.95" customHeight="1">
      <c r="A9" s="450"/>
      <c r="B9" s="355"/>
      <c r="C9" s="367"/>
      <c r="D9" s="368"/>
      <c r="E9" s="368"/>
      <c r="F9" s="369"/>
      <c r="G9" s="370"/>
      <c r="H9" s="390">
        <f t="shared" si="0"/>
        <v>0</v>
      </c>
      <c r="I9" s="391"/>
    </row>
    <row r="10" spans="1:11" ht="15.95" customHeight="1">
      <c r="A10" s="450"/>
      <c r="B10" s="372"/>
      <c r="C10" s="398"/>
      <c r="D10" s="398"/>
      <c r="E10" s="398"/>
      <c r="F10" s="396"/>
      <c r="G10" s="396"/>
      <c r="H10" s="397">
        <f>SUM(H3:H9)</f>
        <v>0</v>
      </c>
      <c r="I10" s="398"/>
    </row>
    <row r="11" spans="1:11" ht="15.95" customHeight="1">
      <c r="A11" s="450"/>
      <c r="B11" s="355" t="s">
        <v>156</v>
      </c>
      <c r="C11" s="356" t="s">
        <v>157</v>
      </c>
      <c r="D11" s="356" t="s">
        <v>158</v>
      </c>
      <c r="E11" s="357" t="s">
        <v>159</v>
      </c>
      <c r="F11" s="358">
        <v>288</v>
      </c>
      <c r="G11" s="359">
        <v>80000</v>
      </c>
      <c r="H11" s="360">
        <f t="shared" si="0"/>
        <v>23040000</v>
      </c>
      <c r="I11" s="361"/>
    </row>
    <row r="12" spans="1:11" ht="15.95" customHeight="1">
      <c r="A12" s="450"/>
      <c r="B12" s="355" t="s">
        <v>160</v>
      </c>
      <c r="C12" s="363" t="s">
        <v>161</v>
      </c>
      <c r="D12" s="363" t="s">
        <v>162</v>
      </c>
      <c r="E12" s="364" t="s">
        <v>163</v>
      </c>
      <c r="F12" s="365">
        <v>140</v>
      </c>
      <c r="G12" s="366">
        <v>9000</v>
      </c>
      <c r="H12" s="307">
        <f t="shared" si="0"/>
        <v>1260000</v>
      </c>
      <c r="I12" s="64"/>
    </row>
    <row r="13" spans="1:11" ht="15.95" customHeight="1">
      <c r="A13" s="450"/>
      <c r="B13" s="355"/>
      <c r="C13" s="363" t="s">
        <v>164</v>
      </c>
      <c r="D13" s="363" t="s">
        <v>165</v>
      </c>
      <c r="E13" s="364" t="s">
        <v>159</v>
      </c>
      <c r="F13" s="365">
        <v>24</v>
      </c>
      <c r="G13" s="366">
        <v>360000</v>
      </c>
      <c r="H13" s="307">
        <f t="shared" si="0"/>
        <v>8640000</v>
      </c>
      <c r="I13" s="64"/>
    </row>
    <row r="14" spans="1:11" ht="15.95" customHeight="1">
      <c r="A14" s="450"/>
      <c r="B14" s="355"/>
      <c r="C14" s="363" t="s">
        <v>166</v>
      </c>
      <c r="D14" s="363" t="s">
        <v>167</v>
      </c>
      <c r="E14" s="364" t="s">
        <v>168</v>
      </c>
      <c r="F14" s="365">
        <v>1</v>
      </c>
      <c r="G14" s="366">
        <v>1000000</v>
      </c>
      <c r="H14" s="307">
        <f t="shared" si="0"/>
        <v>1000000</v>
      </c>
      <c r="I14" s="64"/>
    </row>
    <row r="15" spans="1:11" ht="15.95" customHeight="1">
      <c r="A15" s="450"/>
      <c r="B15" s="355"/>
      <c r="C15" s="367"/>
      <c r="D15" s="367"/>
      <c r="E15" s="368"/>
      <c r="F15" s="369"/>
      <c r="G15" s="370"/>
      <c r="H15" s="307">
        <f t="shared" si="0"/>
        <v>0</v>
      </c>
      <c r="I15" s="371"/>
    </row>
    <row r="16" spans="1:11" ht="15.95" customHeight="1">
      <c r="A16" s="450"/>
      <c r="B16" s="372"/>
      <c r="C16" s="373"/>
      <c r="D16" s="374"/>
      <c r="E16" s="374"/>
      <c r="F16" s="458"/>
      <c r="G16" s="376"/>
      <c r="H16" s="377">
        <f>SUM(H11:H15)</f>
        <v>33940000</v>
      </c>
      <c r="I16" s="378"/>
    </row>
    <row r="17" spans="1:9" ht="15.95" customHeight="1">
      <c r="A17" s="450"/>
      <c r="B17" s="399"/>
      <c r="C17" s="455"/>
      <c r="D17" s="455"/>
      <c r="E17" s="448"/>
      <c r="F17" s="459"/>
      <c r="G17" s="457"/>
      <c r="H17" s="328">
        <f t="shared" si="0"/>
        <v>0</v>
      </c>
      <c r="I17" s="385"/>
    </row>
    <row r="18" spans="1:9" ht="15.95" customHeight="1">
      <c r="A18" s="450"/>
      <c r="B18" s="355"/>
      <c r="C18" s="455"/>
      <c r="D18" s="455"/>
      <c r="E18" s="448"/>
      <c r="F18" s="459"/>
      <c r="G18" s="457"/>
      <c r="H18" s="307">
        <f t="shared" si="0"/>
        <v>0</v>
      </c>
      <c r="I18" s="460"/>
    </row>
    <row r="19" spans="1:9" ht="15.95" customHeight="1">
      <c r="A19" s="450"/>
      <c r="B19" s="355"/>
      <c r="C19" s="455"/>
      <c r="D19" s="455"/>
      <c r="E19" s="448"/>
      <c r="F19" s="459"/>
      <c r="G19" s="457"/>
      <c r="H19" s="307">
        <f t="shared" si="0"/>
        <v>0</v>
      </c>
      <c r="I19" s="460"/>
    </row>
    <row r="20" spans="1:9" ht="15.95" customHeight="1">
      <c r="A20" s="450"/>
      <c r="B20" s="355"/>
      <c r="C20" s="455"/>
      <c r="D20" s="455"/>
      <c r="E20" s="448"/>
      <c r="F20" s="459"/>
      <c r="G20" s="457"/>
      <c r="H20" s="307">
        <f t="shared" si="0"/>
        <v>0</v>
      </c>
      <c r="I20" s="460"/>
    </row>
    <row r="21" spans="1:9" ht="15.95" customHeight="1">
      <c r="A21" s="450"/>
      <c r="B21" s="355"/>
      <c r="C21" s="455"/>
      <c r="D21" s="455"/>
      <c r="E21" s="448"/>
      <c r="F21" s="459"/>
      <c r="G21" s="457"/>
      <c r="H21" s="307">
        <f t="shared" si="0"/>
        <v>0</v>
      </c>
      <c r="I21" s="460"/>
    </row>
    <row r="22" spans="1:9" ht="15.95" customHeight="1">
      <c r="A22" s="450"/>
      <c r="B22" s="355"/>
      <c r="C22" s="455"/>
      <c r="D22" s="455"/>
      <c r="E22" s="448"/>
      <c r="F22" s="459"/>
      <c r="G22" s="457"/>
      <c r="H22" s="307">
        <f t="shared" si="0"/>
        <v>0</v>
      </c>
      <c r="I22" s="460"/>
    </row>
    <row r="23" spans="1:9" ht="15.95" customHeight="1">
      <c r="A23" s="450"/>
      <c r="B23" s="355"/>
      <c r="C23" s="363"/>
      <c r="D23" s="455"/>
      <c r="E23" s="448"/>
      <c r="F23" s="456"/>
      <c r="G23" s="366"/>
      <c r="H23" s="307">
        <f t="shared" si="0"/>
        <v>0</v>
      </c>
      <c r="I23" s="64"/>
    </row>
    <row r="24" spans="1:9" ht="15.95" customHeight="1">
      <c r="A24" s="450"/>
      <c r="B24" s="355"/>
      <c r="C24" s="363"/>
      <c r="D24" s="455"/>
      <c r="E24" s="448"/>
      <c r="F24" s="456"/>
      <c r="G24" s="366"/>
      <c r="H24" s="307">
        <f t="shared" si="0"/>
        <v>0</v>
      </c>
      <c r="I24" s="64"/>
    </row>
    <row r="25" spans="1:9" ht="15.95" customHeight="1">
      <c r="A25" s="450"/>
      <c r="B25" s="355"/>
      <c r="C25" s="363"/>
      <c r="D25" s="455"/>
      <c r="E25" s="448"/>
      <c r="F25" s="456"/>
      <c r="G25" s="366"/>
      <c r="H25" s="307">
        <f t="shared" si="0"/>
        <v>0</v>
      </c>
      <c r="I25" s="64"/>
    </row>
    <row r="26" spans="1:9" ht="15.95" customHeight="1">
      <c r="A26" s="450"/>
      <c r="B26" s="355"/>
      <c r="C26" s="363"/>
      <c r="D26" s="455"/>
      <c r="E26" s="448"/>
      <c r="F26" s="456"/>
      <c r="G26" s="366"/>
      <c r="H26" s="307">
        <f t="shared" si="0"/>
        <v>0</v>
      </c>
      <c r="I26" s="64"/>
    </row>
    <row r="27" spans="1:9" ht="15.95" customHeight="1">
      <c r="A27" s="450"/>
      <c r="B27" s="355"/>
      <c r="C27" s="363"/>
      <c r="D27" s="455"/>
      <c r="E27" s="448"/>
      <c r="F27" s="456"/>
      <c r="G27" s="366"/>
      <c r="H27" s="307">
        <f t="shared" si="0"/>
        <v>0</v>
      </c>
      <c r="I27" s="64"/>
    </row>
    <row r="28" spans="1:9" ht="15.95" customHeight="1">
      <c r="A28" s="450"/>
      <c r="B28" s="355"/>
      <c r="C28" s="363"/>
      <c r="D28" s="455"/>
      <c r="E28" s="448"/>
      <c r="F28" s="456"/>
      <c r="G28" s="366"/>
      <c r="H28" s="307">
        <f t="shared" si="0"/>
        <v>0</v>
      </c>
      <c r="I28" s="64"/>
    </row>
    <row r="29" spans="1:9" ht="15.95" customHeight="1">
      <c r="A29" s="450"/>
      <c r="B29" s="355"/>
      <c r="C29" s="363"/>
      <c r="D29" s="455"/>
      <c r="E29" s="448"/>
      <c r="F29" s="456"/>
      <c r="G29" s="366"/>
      <c r="H29" s="307">
        <f t="shared" si="0"/>
        <v>0</v>
      </c>
      <c r="I29" s="64"/>
    </row>
    <row r="30" spans="1:9" ht="15.95" customHeight="1">
      <c r="A30" s="450"/>
      <c r="B30" s="355"/>
      <c r="C30" s="363"/>
      <c r="D30" s="455"/>
      <c r="E30" s="448"/>
      <c r="F30" s="456"/>
      <c r="G30" s="366"/>
      <c r="H30" s="307">
        <f t="shared" si="0"/>
        <v>0</v>
      </c>
      <c r="I30" s="64"/>
    </row>
    <row r="31" spans="1:9" ht="15.95" customHeight="1">
      <c r="A31" s="450"/>
      <c r="B31" s="355"/>
      <c r="C31" s="367"/>
      <c r="D31" s="367"/>
      <c r="E31" s="368"/>
      <c r="F31" s="369"/>
      <c r="G31" s="370"/>
      <c r="H31" s="390">
        <f t="shared" si="0"/>
        <v>0</v>
      </c>
      <c r="I31" s="391"/>
    </row>
    <row r="32" spans="1:9" ht="15.95" customHeight="1">
      <c r="A32" s="450"/>
      <c r="B32" s="372"/>
      <c r="C32" s="421"/>
      <c r="D32" s="378"/>
      <c r="E32" s="378"/>
      <c r="F32" s="377"/>
      <c r="G32" s="377"/>
      <c r="H32" s="377">
        <f>SUM(H17:H31)</f>
        <v>0</v>
      </c>
      <c r="I32" s="378"/>
    </row>
    <row r="33" spans="1:9" ht="15.95" customHeight="1">
      <c r="A33" s="450"/>
      <c r="B33" s="399" t="s">
        <v>59</v>
      </c>
      <c r="C33" s="363"/>
      <c r="D33" s="448"/>
      <c r="E33" s="448"/>
      <c r="F33" s="456"/>
      <c r="G33" s="366"/>
      <c r="H33" s="307">
        <f t="shared" si="0"/>
        <v>0</v>
      </c>
      <c r="I33" s="385"/>
    </row>
    <row r="34" spans="1:9" ht="15.95" customHeight="1">
      <c r="A34" s="450"/>
      <c r="B34" s="355"/>
      <c r="C34" s="363"/>
      <c r="D34" s="448"/>
      <c r="E34" s="448"/>
      <c r="F34" s="45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4"/>
      <c r="F35" s="365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4"/>
      <c r="F36" s="365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448"/>
      <c r="E37" s="448"/>
      <c r="F37" s="45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448"/>
      <c r="E38" s="448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7"/>
      <c r="D39" s="367"/>
      <c r="E39" s="367"/>
      <c r="F39" s="370"/>
      <c r="G39" s="370"/>
      <c r="H39" s="317">
        <f t="shared" si="0"/>
        <v>0</v>
      </c>
      <c r="I39" s="371"/>
    </row>
    <row r="40" spans="1:9" ht="15.95" customHeight="1">
      <c r="A40" s="450"/>
      <c r="B40" s="372"/>
      <c r="C40" s="373"/>
      <c r="D40" s="374"/>
      <c r="E40" s="374"/>
      <c r="F40" s="376"/>
      <c r="G40" s="376"/>
      <c r="H40" s="377">
        <f>SUM(H33:H39)</f>
        <v>0</v>
      </c>
      <c r="I40" s="378"/>
    </row>
    <row r="41" spans="1:9" ht="15.95" customHeight="1">
      <c r="A41" s="419"/>
      <c r="B41" s="420" t="s">
        <v>140</v>
      </c>
      <c r="C41" s="421"/>
      <c r="D41" s="378"/>
      <c r="E41" s="378"/>
      <c r="F41" s="423"/>
      <c r="G41" s="423"/>
      <c r="H41" s="377">
        <f>SUM(H40,H32,H16,H10)</f>
        <v>33940000</v>
      </c>
      <c r="I41" s="378"/>
    </row>
    <row r="42" spans="1:9" ht="15.95" customHeight="1">
      <c r="A42" s="354" t="s">
        <v>141</v>
      </c>
      <c r="B42" s="425" t="s">
        <v>169</v>
      </c>
      <c r="C42" s="421"/>
      <c r="D42" s="378"/>
      <c r="E42" s="425" t="s">
        <v>66</v>
      </c>
      <c r="F42" s="461">
        <v>24</v>
      </c>
      <c r="G42" s="428">
        <v>250000</v>
      </c>
      <c r="H42" s="429">
        <f>F42*G42</f>
        <v>6000000</v>
      </c>
      <c r="I42" s="378"/>
    </row>
    <row r="43" spans="1:9" ht="15.95" customHeight="1">
      <c r="A43" s="450"/>
      <c r="B43" s="431" t="s">
        <v>170</v>
      </c>
      <c r="C43" s="432"/>
      <c r="D43" s="385"/>
      <c r="E43" s="431" t="s">
        <v>143</v>
      </c>
      <c r="F43" s="462">
        <v>24</v>
      </c>
      <c r="G43" s="383">
        <v>250000</v>
      </c>
      <c r="H43" s="384">
        <f t="shared" ref="H43:H49" si="1">F43*G43</f>
        <v>6000000</v>
      </c>
      <c r="I43" s="385"/>
    </row>
    <row r="44" spans="1:9" ht="15.95" customHeight="1">
      <c r="A44" s="450"/>
      <c r="B44" s="434" t="s">
        <v>171</v>
      </c>
      <c r="C44" s="435"/>
      <c r="D44" s="64"/>
      <c r="E44" s="434" t="s">
        <v>143</v>
      </c>
      <c r="F44" s="463">
        <v>24</v>
      </c>
      <c r="G44" s="366">
        <v>250000</v>
      </c>
      <c r="H44" s="307">
        <f t="shared" si="1"/>
        <v>6000000</v>
      </c>
      <c r="I44" s="64"/>
    </row>
    <row r="45" spans="1:9" ht="15.95" customHeight="1">
      <c r="A45" s="450"/>
      <c r="B45" s="434" t="s">
        <v>172</v>
      </c>
      <c r="C45" s="435"/>
      <c r="D45" s="64"/>
      <c r="E45" s="434" t="s">
        <v>143</v>
      </c>
      <c r="F45" s="463">
        <v>6</v>
      </c>
      <c r="G45" s="366">
        <v>250000</v>
      </c>
      <c r="H45" s="307">
        <f t="shared" si="1"/>
        <v>1500000</v>
      </c>
      <c r="I45" s="64"/>
    </row>
    <row r="46" spans="1:9" ht="15.95" customHeight="1">
      <c r="A46" s="450"/>
      <c r="B46" s="434"/>
      <c r="C46" s="435"/>
      <c r="D46" s="64"/>
      <c r="E46" s="436"/>
      <c r="F46" s="463"/>
      <c r="G46" s="366"/>
      <c r="H46" s="307">
        <f t="shared" si="1"/>
        <v>0</v>
      </c>
      <c r="I46" s="64"/>
    </row>
    <row r="47" spans="1:9" ht="15.95" customHeight="1">
      <c r="A47" s="450"/>
      <c r="B47" s="434"/>
      <c r="C47" s="435"/>
      <c r="D47" s="64"/>
      <c r="E47" s="434"/>
      <c r="F47" s="463"/>
      <c r="G47" s="366"/>
      <c r="H47" s="307">
        <f t="shared" si="1"/>
        <v>0</v>
      </c>
      <c r="I47" s="64"/>
    </row>
    <row r="48" spans="1:9" ht="15.95" customHeight="1">
      <c r="A48" s="450"/>
      <c r="B48" s="434"/>
      <c r="C48" s="435"/>
      <c r="D48" s="64"/>
      <c r="E48" s="434"/>
      <c r="F48" s="463"/>
      <c r="G48" s="366"/>
      <c r="H48" s="307">
        <f t="shared" si="1"/>
        <v>0</v>
      </c>
      <c r="I48" s="64"/>
    </row>
    <row r="49" spans="1:9" ht="15.95" customHeight="1">
      <c r="A49" s="450"/>
      <c r="B49" s="464"/>
      <c r="C49" s="438"/>
      <c r="D49" s="371"/>
      <c r="E49" s="437" t="s">
        <v>66</v>
      </c>
      <c r="F49" s="465"/>
      <c r="G49" s="370"/>
      <c r="H49" s="317">
        <f t="shared" si="1"/>
        <v>0</v>
      </c>
      <c r="I49" s="371"/>
    </row>
    <row r="50" spans="1:9" ht="15.95" customHeight="1">
      <c r="A50" s="419"/>
      <c r="B50" s="440" t="s">
        <v>149</v>
      </c>
      <c r="C50" s="421"/>
      <c r="D50" s="378"/>
      <c r="E50" s="378"/>
      <c r="F50" s="377"/>
      <c r="G50" s="377"/>
      <c r="H50" s="377">
        <f>SUM(H42:H49)</f>
        <v>19500000</v>
      </c>
      <c r="I50" s="374"/>
    </row>
    <row r="51" spans="1:9" ht="15.95" customHeight="1">
      <c r="A51" s="426"/>
      <c r="B51" s="440" t="s">
        <v>173</v>
      </c>
      <c r="C51" s="421"/>
      <c r="D51" s="378"/>
      <c r="E51" s="352" t="s">
        <v>57</v>
      </c>
      <c r="F51" s="377"/>
      <c r="G51" s="377"/>
      <c r="H51" s="423">
        <f>'단위공사별(집계)'!L7+'단위공사별(집계)'!I7</f>
        <v>1397284.4036697247</v>
      </c>
      <c r="I51" s="378"/>
    </row>
    <row r="52" spans="1:9" ht="15.95" customHeight="1">
      <c r="A52" s="426"/>
      <c r="B52" s="440" t="s">
        <v>91</v>
      </c>
      <c r="C52" s="421"/>
      <c r="D52" s="378"/>
      <c r="E52" s="352"/>
      <c r="F52" s="377"/>
      <c r="G52" s="442"/>
      <c r="H52" s="443">
        <f>(H50+H41)*0.05</f>
        <v>2672000</v>
      </c>
      <c r="I52" s="421"/>
    </row>
    <row r="53" spans="1:9" ht="15.95" customHeight="1">
      <c r="A53" s="426"/>
      <c r="B53" s="440" t="s">
        <v>152</v>
      </c>
      <c r="C53" s="421"/>
      <c r="D53" s="378"/>
      <c r="E53" s="352"/>
      <c r="F53" s="377"/>
      <c r="G53" s="442"/>
      <c r="H53" s="443">
        <f>(H50+H41)*0.1</f>
        <v>5344000</v>
      </c>
      <c r="I53" s="421"/>
    </row>
    <row r="54" spans="1:9" ht="15.95" customHeight="1">
      <c r="A54" s="426"/>
      <c r="B54" s="440" t="s">
        <v>153</v>
      </c>
      <c r="C54" s="421"/>
      <c r="D54" s="378"/>
      <c r="E54" s="378"/>
      <c r="F54" s="377"/>
      <c r="G54" s="377"/>
      <c r="H54" s="376">
        <f>H41+H50+H51+H52+H53</f>
        <v>62853284.403669722</v>
      </c>
      <c r="I54" s="378"/>
    </row>
    <row r="55" spans="1:9">
      <c r="A55" s="268"/>
    </row>
  </sheetData>
  <mergeCells count="3">
    <mergeCell ref="A2:B2"/>
    <mergeCell ref="A3:A40"/>
    <mergeCell ref="A42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52F2-DA61-477F-9225-6415703268F4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 t="s">
        <v>174</v>
      </c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63"/>
      <c r="D3" s="448"/>
      <c r="E3" s="364"/>
      <c r="F3" s="365"/>
      <c r="G3" s="366"/>
      <c r="H3" s="307">
        <f>IF(F3=0,G3,G3*F3)</f>
        <v>0</v>
      </c>
      <c r="I3" s="449"/>
    </row>
    <row r="4" spans="1:9" ht="15.95" customHeight="1">
      <c r="A4" s="450"/>
      <c r="B4" s="355"/>
      <c r="C4" s="455"/>
      <c r="D4" s="466"/>
      <c r="E4" s="448"/>
      <c r="F4" s="467"/>
      <c r="G4" s="457"/>
      <c r="H4" s="307">
        <f>F4*G4</f>
        <v>0</v>
      </c>
      <c r="I4" s="64"/>
    </row>
    <row r="5" spans="1:9" ht="15.95" customHeight="1">
      <c r="A5" s="450"/>
      <c r="B5" s="355"/>
      <c r="C5" s="455"/>
      <c r="D5" s="466"/>
      <c r="E5" s="448"/>
      <c r="F5" s="468"/>
      <c r="G5" s="457"/>
      <c r="H5" s="307">
        <f>F5*G5</f>
        <v>0</v>
      </c>
      <c r="I5" s="64"/>
    </row>
    <row r="6" spans="1:9" ht="15.95" customHeight="1">
      <c r="A6" s="450"/>
      <c r="B6" s="355"/>
      <c r="C6" s="455"/>
      <c r="D6" s="455"/>
      <c r="E6" s="448"/>
      <c r="F6" s="468"/>
      <c r="G6" s="457"/>
      <c r="H6" s="307">
        <f>F6*G6</f>
        <v>0</v>
      </c>
      <c r="I6" s="64"/>
    </row>
    <row r="7" spans="1:9" ht="15.95" customHeight="1">
      <c r="A7" s="450"/>
      <c r="B7" s="355"/>
      <c r="C7" s="455"/>
      <c r="D7" s="455"/>
      <c r="E7" s="448"/>
      <c r="F7" s="468"/>
      <c r="G7" s="457"/>
      <c r="H7" s="307">
        <f>F7*G7</f>
        <v>0</v>
      </c>
      <c r="I7" s="64"/>
    </row>
    <row r="8" spans="1:9" ht="15.95" customHeight="1">
      <c r="A8" s="450"/>
      <c r="B8" s="355"/>
      <c r="C8" s="455"/>
      <c r="D8" s="455"/>
      <c r="E8" s="448"/>
      <c r="F8" s="457"/>
      <c r="G8" s="457"/>
      <c r="H8" s="307">
        <f t="shared" ref="H8:H54" si="0">IF(F8=0,G8,G8*F8)</f>
        <v>0</v>
      </c>
      <c r="I8" s="64"/>
    </row>
    <row r="9" spans="1:9" ht="15.95" customHeight="1">
      <c r="A9" s="450"/>
      <c r="B9" s="355"/>
      <c r="C9" s="455"/>
      <c r="D9" s="455"/>
      <c r="E9" s="455"/>
      <c r="F9" s="457"/>
      <c r="G9" s="457"/>
      <c r="H9" s="307">
        <f t="shared" si="0"/>
        <v>0</v>
      </c>
      <c r="I9" s="64"/>
    </row>
    <row r="10" spans="1:9" ht="15.95" customHeight="1">
      <c r="A10" s="450"/>
      <c r="B10" s="355"/>
      <c r="C10" s="455"/>
      <c r="D10" s="455"/>
      <c r="E10" s="455"/>
      <c r="F10" s="457"/>
      <c r="G10" s="457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3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3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3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3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3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3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3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3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3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/>
      <c r="D23" s="368"/>
      <c r="E23" s="368"/>
      <c r="F23" s="369"/>
      <c r="G23" s="370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 t="s">
        <v>175</v>
      </c>
      <c r="D25" s="356" t="s">
        <v>176</v>
      </c>
      <c r="E25" s="357" t="s">
        <v>33</v>
      </c>
      <c r="F25" s="469">
        <v>6</v>
      </c>
      <c r="G25" s="359">
        <v>200000</v>
      </c>
      <c r="H25" s="360">
        <f t="shared" si="0"/>
        <v>1200000</v>
      </c>
      <c r="I25" s="361"/>
    </row>
    <row r="26" spans="1:9" ht="15.95" customHeight="1">
      <c r="A26" s="450"/>
      <c r="B26" s="355" t="s">
        <v>160</v>
      </c>
      <c r="C26" s="363" t="s">
        <v>177</v>
      </c>
      <c r="D26" s="363" t="s">
        <v>178</v>
      </c>
      <c r="E26" s="364" t="s">
        <v>179</v>
      </c>
      <c r="F26" s="366">
        <v>7</v>
      </c>
      <c r="G26" s="366">
        <v>60000</v>
      </c>
      <c r="H26" s="307">
        <f t="shared" si="0"/>
        <v>420000</v>
      </c>
      <c r="I26" s="64"/>
    </row>
    <row r="27" spans="1:9" ht="15.95" customHeight="1">
      <c r="A27" s="450"/>
      <c r="B27" s="355"/>
      <c r="C27" s="363" t="s">
        <v>180</v>
      </c>
      <c r="D27" s="363" t="s">
        <v>181</v>
      </c>
      <c r="E27" s="364" t="s">
        <v>182</v>
      </c>
      <c r="F27" s="366">
        <v>5</v>
      </c>
      <c r="G27" s="366">
        <v>120000</v>
      </c>
      <c r="H27" s="307">
        <f t="shared" si="0"/>
        <v>600000</v>
      </c>
      <c r="I27" s="64"/>
    </row>
    <row r="28" spans="1:9" ht="15.95" customHeight="1">
      <c r="A28" s="450"/>
      <c r="B28" s="355"/>
      <c r="C28" s="363" t="s">
        <v>166</v>
      </c>
      <c r="D28" s="363" t="s">
        <v>183</v>
      </c>
      <c r="E28" s="364" t="s">
        <v>168</v>
      </c>
      <c r="F28" s="366">
        <v>1</v>
      </c>
      <c r="G28" s="366">
        <v>1000000</v>
      </c>
      <c r="H28" s="307">
        <f t="shared" si="0"/>
        <v>1000000</v>
      </c>
      <c r="I28" s="64"/>
    </row>
    <row r="29" spans="1:9" ht="15.95" customHeight="1">
      <c r="A29" s="450"/>
      <c r="B29" s="355"/>
      <c r="C29" s="367"/>
      <c r="D29" s="367"/>
      <c r="E29" s="368"/>
      <c r="F29" s="370"/>
      <c r="G29" s="370"/>
      <c r="H29" s="307">
        <f t="shared" si="0"/>
        <v>0</v>
      </c>
      <c r="I29" s="371"/>
    </row>
    <row r="30" spans="1:9" ht="15.95" customHeight="1">
      <c r="A30" s="450"/>
      <c r="B30" s="372"/>
      <c r="C30" s="373"/>
      <c r="D30" s="374"/>
      <c r="E30" s="351"/>
      <c r="F30" s="458"/>
      <c r="G30" s="376"/>
      <c r="H30" s="377">
        <f>SUM(H25:H29)</f>
        <v>3220000</v>
      </c>
      <c r="I30" s="378"/>
    </row>
    <row r="31" spans="1:9" ht="15.95" customHeight="1">
      <c r="A31" s="450"/>
      <c r="B31" s="399"/>
      <c r="C31" s="455"/>
      <c r="D31" s="455"/>
      <c r="E31" s="448"/>
      <c r="F31" s="468"/>
      <c r="G31" s="457"/>
      <c r="H31" s="328">
        <f t="shared" ref="H31:H38" si="1">IF(F31=0,G31,G31*F31)</f>
        <v>0</v>
      </c>
      <c r="I31" s="385"/>
    </row>
    <row r="32" spans="1:9" ht="15.95" customHeight="1">
      <c r="A32" s="450"/>
      <c r="B32" s="355"/>
      <c r="C32" s="455"/>
      <c r="D32" s="455"/>
      <c r="E32" s="448"/>
      <c r="F32" s="468"/>
      <c r="G32" s="457"/>
      <c r="H32" s="307">
        <f t="shared" si="1"/>
        <v>0</v>
      </c>
      <c r="I32" s="64"/>
    </row>
    <row r="33" spans="1:9" ht="15.95" customHeight="1">
      <c r="A33" s="450"/>
      <c r="B33" s="355"/>
      <c r="C33" s="455"/>
      <c r="D33" s="455"/>
      <c r="E33" s="448"/>
      <c r="F33" s="468"/>
      <c r="G33" s="457"/>
      <c r="H33" s="307">
        <f t="shared" si="1"/>
        <v>0</v>
      </c>
      <c r="I33" s="64"/>
    </row>
    <row r="34" spans="1:9" ht="15.95" customHeight="1">
      <c r="A34" s="450"/>
      <c r="B34" s="355"/>
      <c r="C34" s="455"/>
      <c r="D34" s="455"/>
      <c r="E34" s="448"/>
      <c r="F34" s="468"/>
      <c r="G34" s="457"/>
      <c r="H34" s="307">
        <f t="shared" si="1"/>
        <v>0</v>
      </c>
      <c r="I34" s="64"/>
    </row>
    <row r="35" spans="1:9" ht="15.95" customHeight="1">
      <c r="A35" s="450"/>
      <c r="B35" s="355"/>
      <c r="C35" s="455"/>
      <c r="D35" s="455"/>
      <c r="E35" s="448"/>
      <c r="F35" s="468"/>
      <c r="G35" s="457"/>
      <c r="H35" s="307">
        <f t="shared" si="1"/>
        <v>0</v>
      </c>
      <c r="I35" s="64"/>
    </row>
    <row r="36" spans="1:9" ht="15.95" customHeight="1">
      <c r="A36" s="450"/>
      <c r="B36" s="355"/>
      <c r="C36" s="455"/>
      <c r="D36" s="455"/>
      <c r="E36" s="448"/>
      <c r="F36" s="468"/>
      <c r="G36" s="457"/>
      <c r="H36" s="307">
        <f t="shared" si="1"/>
        <v>0</v>
      </c>
      <c r="I36" s="64"/>
    </row>
    <row r="37" spans="1:9" ht="15.95" customHeight="1">
      <c r="A37" s="450"/>
      <c r="B37" s="355"/>
      <c r="C37" s="455"/>
      <c r="D37" s="455"/>
      <c r="E37" s="448"/>
      <c r="F37" s="468"/>
      <c r="G37" s="457"/>
      <c r="H37" s="307">
        <f t="shared" si="1"/>
        <v>0</v>
      </c>
      <c r="I37" s="64"/>
    </row>
    <row r="38" spans="1:9" ht="15.95" customHeight="1">
      <c r="A38" s="450"/>
      <c r="B38" s="355"/>
      <c r="C38" s="455"/>
      <c r="D38" s="455"/>
      <c r="E38" s="448"/>
      <c r="F38" s="468"/>
      <c r="G38" s="457"/>
      <c r="H38" s="307">
        <f t="shared" si="1"/>
        <v>0</v>
      </c>
      <c r="I38" s="64"/>
    </row>
    <row r="39" spans="1:9" ht="15.95" customHeight="1">
      <c r="A39" s="450"/>
      <c r="B39" s="355"/>
      <c r="C39" s="455"/>
      <c r="D39" s="455"/>
      <c r="E39" s="455"/>
      <c r="F39" s="457"/>
      <c r="G39" s="457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3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3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3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3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3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470"/>
      <c r="D45" s="470"/>
      <c r="E45" s="455"/>
      <c r="F45" s="471"/>
      <c r="G45" s="471"/>
      <c r="H45" s="307">
        <f t="shared" si="0"/>
        <v>0</v>
      </c>
      <c r="I45" s="64"/>
    </row>
    <row r="46" spans="1:9" ht="15.95" customHeight="1">
      <c r="A46" s="450"/>
      <c r="B46" s="355"/>
      <c r="C46" s="367"/>
      <c r="D46" s="367"/>
      <c r="E46" s="368"/>
      <c r="F46" s="369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63"/>
      <c r="D48" s="448"/>
      <c r="E48" s="448"/>
      <c r="F48" s="456"/>
      <c r="G48" s="366"/>
      <c r="H48" s="384"/>
      <c r="I48" s="385"/>
    </row>
    <row r="49" spans="1:9" ht="15.95" customHeight="1">
      <c r="A49" s="450"/>
      <c r="B49" s="355"/>
      <c r="C49" s="363"/>
      <c r="D49" s="448"/>
      <c r="E49" s="448"/>
      <c r="F49" s="456"/>
      <c r="G49" s="366"/>
      <c r="H49" s="307">
        <f>IF(F49=0,G49,G49*F49)</f>
        <v>0</v>
      </c>
      <c r="I49" s="64"/>
    </row>
    <row r="50" spans="1:9" ht="15.95" customHeight="1">
      <c r="A50" s="450"/>
      <c r="B50" s="355"/>
      <c r="C50" s="363"/>
      <c r="D50" s="363"/>
      <c r="E50" s="364"/>
      <c r="F50" s="365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4"/>
      <c r="F51" s="365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448"/>
      <c r="E52" s="448"/>
      <c r="F52" s="45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4"/>
      <c r="F53" s="365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/>
      <c r="D54" s="367"/>
      <c r="E54" s="367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72" t="s">
        <v>140</v>
      </c>
      <c r="C56" s="473"/>
      <c r="D56" s="449"/>
      <c r="E56" s="449"/>
      <c r="F56" s="423"/>
      <c r="G56" s="423"/>
      <c r="H56" s="423">
        <f>SUM(H55,H47,H30,H24)</f>
        <v>3220000</v>
      </c>
      <c r="I56" s="449"/>
    </row>
    <row r="57" spans="1:9" ht="15.95" customHeight="1">
      <c r="A57" s="474" t="s">
        <v>141</v>
      </c>
      <c r="B57" s="431" t="s">
        <v>184</v>
      </c>
      <c r="C57" s="432"/>
      <c r="D57" s="385"/>
      <c r="E57" s="431" t="s">
        <v>66</v>
      </c>
      <c r="F57" s="382">
        <v>20</v>
      </c>
      <c r="G57" s="383">
        <v>250000</v>
      </c>
      <c r="H57" s="384">
        <f>F57*G57</f>
        <v>5000000</v>
      </c>
      <c r="I57" s="385"/>
    </row>
    <row r="58" spans="1:9" ht="15.95" customHeight="1">
      <c r="A58" s="450"/>
      <c r="B58" s="434" t="s">
        <v>185</v>
      </c>
      <c r="C58" s="435"/>
      <c r="D58" s="64"/>
      <c r="E58" s="434" t="s">
        <v>143</v>
      </c>
      <c r="F58" s="463">
        <v>6</v>
      </c>
      <c r="G58" s="366">
        <v>250000</v>
      </c>
      <c r="H58" s="307">
        <f t="shared" ref="H58:H64" si="2">F58*G58</f>
        <v>1500000</v>
      </c>
      <c r="I58" s="64"/>
    </row>
    <row r="59" spans="1:9" ht="15.95" customHeight="1">
      <c r="A59" s="450"/>
      <c r="B59" s="434" t="s">
        <v>186</v>
      </c>
      <c r="C59" s="435"/>
      <c r="D59" s="64"/>
      <c r="E59" s="434" t="s">
        <v>143</v>
      </c>
      <c r="F59" s="463">
        <v>4</v>
      </c>
      <c r="G59" s="366">
        <v>250000</v>
      </c>
      <c r="H59" s="307">
        <f t="shared" si="2"/>
        <v>1000000</v>
      </c>
      <c r="I59" s="64"/>
    </row>
    <row r="60" spans="1:9" ht="15.95" customHeight="1">
      <c r="A60" s="450"/>
      <c r="B60" s="434" t="s">
        <v>187</v>
      </c>
      <c r="C60" s="435"/>
      <c r="D60" s="64"/>
      <c r="E60" s="434" t="s">
        <v>143</v>
      </c>
      <c r="F60" s="463">
        <v>2</v>
      </c>
      <c r="G60" s="366">
        <v>250000</v>
      </c>
      <c r="H60" s="307">
        <f t="shared" si="2"/>
        <v>500000</v>
      </c>
      <c r="I60" s="64"/>
    </row>
    <row r="61" spans="1:9" ht="15.95" customHeight="1">
      <c r="A61" s="450"/>
      <c r="B61" s="434" t="s">
        <v>188</v>
      </c>
      <c r="C61" s="435"/>
      <c r="D61" s="64"/>
      <c r="E61" s="434" t="s">
        <v>143</v>
      </c>
      <c r="F61" s="463">
        <v>2</v>
      </c>
      <c r="G61" s="366">
        <v>250000</v>
      </c>
      <c r="H61" s="307">
        <f t="shared" si="2"/>
        <v>500000</v>
      </c>
      <c r="I61" s="64"/>
    </row>
    <row r="62" spans="1:9" ht="15.95" customHeight="1">
      <c r="A62" s="450"/>
      <c r="B62" s="434"/>
      <c r="C62" s="435"/>
      <c r="D62" s="64"/>
      <c r="E62" s="436"/>
      <c r="F62" s="463"/>
      <c r="G62" s="366"/>
      <c r="H62" s="307">
        <f t="shared" si="2"/>
        <v>0</v>
      </c>
      <c r="I62" s="64"/>
    </row>
    <row r="63" spans="1:9" ht="15.95" customHeight="1">
      <c r="A63" s="450"/>
      <c r="B63" s="475"/>
      <c r="C63" s="435"/>
      <c r="D63" s="64"/>
      <c r="E63" s="434"/>
      <c r="F63" s="463"/>
      <c r="G63" s="366"/>
      <c r="H63" s="307">
        <f t="shared" si="2"/>
        <v>0</v>
      </c>
      <c r="I63" s="64"/>
    </row>
    <row r="64" spans="1:9" ht="15.95" customHeight="1">
      <c r="A64" s="450"/>
      <c r="B64" s="476"/>
      <c r="C64" s="477"/>
      <c r="D64" s="391"/>
      <c r="E64" s="478"/>
      <c r="F64" s="479"/>
      <c r="G64" s="389"/>
      <c r="H64" s="390">
        <f t="shared" si="2"/>
        <v>0</v>
      </c>
      <c r="I64" s="391"/>
    </row>
    <row r="65" spans="1:9" ht="15.95" customHeight="1">
      <c r="A65" s="419"/>
      <c r="B65" s="440" t="s">
        <v>149</v>
      </c>
      <c r="C65" s="421"/>
      <c r="D65" s="378"/>
      <c r="E65" s="378"/>
      <c r="F65" s="377"/>
      <c r="G65" s="377"/>
      <c r="H65" s="377">
        <f>SUM(H57:H64)</f>
        <v>8500000</v>
      </c>
      <c r="I65" s="378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'단위공사별(집계)'!L8+'단위공사별(집계)'!I8</f>
        <v>306440.36697247706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>
        <f>(H65+H56)*0.05</f>
        <v>586000</v>
      </c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>
        <f>(H65+H56)*0.1</f>
        <v>1172000</v>
      </c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13784440.366972476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EB5F-E1C6-42BC-A6FB-C26CE2E01E09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 t="s">
        <v>189</v>
      </c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63"/>
      <c r="D3" s="448"/>
      <c r="E3" s="364"/>
      <c r="F3" s="365"/>
      <c r="G3" s="366"/>
      <c r="H3" s="307"/>
      <c r="I3" s="64" t="s">
        <v>190</v>
      </c>
    </row>
    <row r="4" spans="1:9" ht="15.95" customHeight="1">
      <c r="A4" s="450"/>
      <c r="B4" s="355"/>
      <c r="C4" s="363"/>
      <c r="D4" s="448"/>
      <c r="E4" s="364"/>
      <c r="F4" s="365"/>
      <c r="G4" s="366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3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3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3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3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3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3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3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3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3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3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3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3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3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3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3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/>
      <c r="D23" s="368"/>
      <c r="E23" s="368"/>
      <c r="F23" s="369"/>
      <c r="G23" s="370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 t="s">
        <v>191</v>
      </c>
      <c r="D25" s="356" t="s">
        <v>192</v>
      </c>
      <c r="E25" s="357" t="s">
        <v>182</v>
      </c>
      <c r="F25" s="358">
        <v>6</v>
      </c>
      <c r="G25" s="359">
        <v>700000</v>
      </c>
      <c r="H25" s="360">
        <f t="shared" si="0"/>
        <v>4200000</v>
      </c>
      <c r="I25" s="361"/>
    </row>
    <row r="26" spans="1:9" ht="15.95" customHeight="1">
      <c r="A26" s="450"/>
      <c r="B26" s="355" t="s">
        <v>160</v>
      </c>
      <c r="C26" s="363" t="s">
        <v>193</v>
      </c>
      <c r="D26" s="363" t="s">
        <v>192</v>
      </c>
      <c r="E26" s="363" t="s">
        <v>33</v>
      </c>
      <c r="F26" s="366">
        <v>4</v>
      </c>
      <c r="G26" s="366">
        <v>500000</v>
      </c>
      <c r="H26" s="307">
        <f t="shared" si="0"/>
        <v>2000000</v>
      </c>
      <c r="I26" s="64"/>
    </row>
    <row r="27" spans="1:9" ht="15.95" customHeight="1">
      <c r="A27" s="450"/>
      <c r="B27" s="355"/>
      <c r="C27" s="363" t="s">
        <v>194</v>
      </c>
      <c r="D27" s="363" t="s">
        <v>195</v>
      </c>
      <c r="E27" s="363" t="s">
        <v>196</v>
      </c>
      <c r="F27" s="366">
        <v>1</v>
      </c>
      <c r="G27" s="366">
        <v>220000</v>
      </c>
      <c r="H27" s="307">
        <f t="shared" si="0"/>
        <v>220000</v>
      </c>
      <c r="I27" s="64"/>
    </row>
    <row r="28" spans="1:9" ht="15.95" customHeight="1">
      <c r="A28" s="450"/>
      <c r="B28" s="355"/>
      <c r="C28" s="363" t="s">
        <v>197</v>
      </c>
      <c r="D28" s="363" t="s">
        <v>198</v>
      </c>
      <c r="E28" s="363" t="s">
        <v>33</v>
      </c>
      <c r="F28" s="366">
        <v>4</v>
      </c>
      <c r="G28" s="366">
        <v>2100000</v>
      </c>
      <c r="H28" s="307">
        <f t="shared" si="0"/>
        <v>8400000</v>
      </c>
      <c r="I28" s="64"/>
    </row>
    <row r="29" spans="1:9" ht="15.95" customHeight="1">
      <c r="A29" s="450"/>
      <c r="B29" s="355"/>
      <c r="C29" s="367" t="s">
        <v>199</v>
      </c>
      <c r="D29" s="367"/>
      <c r="E29" s="367" t="s">
        <v>168</v>
      </c>
      <c r="F29" s="370">
        <v>1</v>
      </c>
      <c r="G29" s="370">
        <v>1900000</v>
      </c>
      <c r="H29" s="307">
        <f t="shared" si="0"/>
        <v>1900000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16720000</v>
      </c>
      <c r="I30" s="378"/>
    </row>
    <row r="31" spans="1:9" ht="15.95" customHeight="1">
      <c r="A31" s="450"/>
      <c r="B31" s="399" t="s">
        <v>200</v>
      </c>
      <c r="C31" s="480"/>
      <c r="D31" s="480"/>
      <c r="E31" s="481"/>
      <c r="F31" s="427"/>
      <c r="G31" s="428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87"/>
      <c r="D32" s="363"/>
      <c r="E32" s="364"/>
      <c r="F32" s="365"/>
      <c r="G32" s="366"/>
      <c r="H32" s="307">
        <f t="shared" si="0"/>
        <v>0</v>
      </c>
      <c r="I32" s="460"/>
    </row>
    <row r="33" spans="1:9" ht="15.95" customHeight="1">
      <c r="A33" s="450"/>
      <c r="B33" s="355"/>
      <c r="C33" s="363"/>
      <c r="D33" s="363"/>
      <c r="E33" s="364"/>
      <c r="F33" s="365"/>
      <c r="G33" s="366"/>
      <c r="H33" s="307">
        <f t="shared" si="0"/>
        <v>0</v>
      </c>
      <c r="I33" s="460"/>
    </row>
    <row r="34" spans="1:9" ht="15.95" customHeight="1">
      <c r="A34" s="450"/>
      <c r="B34" s="355"/>
      <c r="C34" s="363"/>
      <c r="D34" s="455"/>
      <c r="E34" s="364"/>
      <c r="F34" s="456"/>
      <c r="G34" s="366"/>
      <c r="H34" s="307">
        <f t="shared" si="0"/>
        <v>0</v>
      </c>
      <c r="I34" s="460"/>
    </row>
    <row r="35" spans="1:9" ht="15.95" customHeight="1">
      <c r="A35" s="450"/>
      <c r="B35" s="355"/>
      <c r="C35" s="363"/>
      <c r="D35" s="455"/>
      <c r="E35" s="364"/>
      <c r="F35" s="456"/>
      <c r="G35" s="366"/>
      <c r="H35" s="307">
        <f t="shared" si="0"/>
        <v>0</v>
      </c>
      <c r="I35" s="460"/>
    </row>
    <row r="36" spans="1:9" ht="15.95" customHeight="1">
      <c r="A36" s="450"/>
      <c r="B36" s="355"/>
      <c r="C36" s="363"/>
      <c r="D36" s="455"/>
      <c r="E36" s="364"/>
      <c r="F36" s="456"/>
      <c r="G36" s="366"/>
      <c r="H36" s="307">
        <f t="shared" si="0"/>
        <v>0</v>
      </c>
      <c r="I36" s="460"/>
    </row>
    <row r="37" spans="1:9" ht="15.95" customHeight="1">
      <c r="A37" s="450"/>
      <c r="B37" s="355"/>
      <c r="C37" s="363"/>
      <c r="D37" s="455"/>
      <c r="E37" s="364"/>
      <c r="F37" s="456"/>
      <c r="G37" s="366"/>
      <c r="H37" s="307">
        <f t="shared" si="0"/>
        <v>0</v>
      </c>
      <c r="I37" s="460"/>
    </row>
    <row r="38" spans="1:9" ht="15.95" customHeight="1">
      <c r="A38" s="450"/>
      <c r="B38" s="355"/>
      <c r="C38" s="387"/>
      <c r="D38" s="387"/>
      <c r="E38" s="363"/>
      <c r="F38" s="389"/>
      <c r="G38" s="389"/>
      <c r="H38" s="307">
        <f t="shared" si="0"/>
        <v>0</v>
      </c>
      <c r="I38" s="460"/>
    </row>
    <row r="39" spans="1:9" ht="15.95" customHeight="1">
      <c r="A39" s="450"/>
      <c r="B39" s="355"/>
      <c r="C39" s="387"/>
      <c r="D39" s="387"/>
      <c r="E39" s="363"/>
      <c r="F39" s="389"/>
      <c r="G39" s="389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4"/>
      <c r="F40" s="365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455"/>
      <c r="E41" s="364"/>
      <c r="F41" s="45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455"/>
      <c r="E42" s="364"/>
      <c r="F42" s="45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455"/>
      <c r="E43" s="364"/>
      <c r="F43" s="45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3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87"/>
      <c r="D45" s="387"/>
      <c r="E45" s="363"/>
      <c r="F45" s="389"/>
      <c r="G45" s="389"/>
      <c r="H45" s="307">
        <f t="shared" si="0"/>
        <v>0</v>
      </c>
      <c r="I45" s="64"/>
    </row>
    <row r="46" spans="1:9" ht="15.95" customHeight="1">
      <c r="A46" s="450"/>
      <c r="B46" s="355"/>
      <c r="C46" s="367"/>
      <c r="D46" s="367"/>
      <c r="E46" s="368"/>
      <c r="F46" s="369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63"/>
      <c r="D48" s="448"/>
      <c r="E48" s="448"/>
      <c r="F48" s="456"/>
      <c r="G48" s="366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448"/>
      <c r="E49" s="448"/>
      <c r="F49" s="45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363"/>
      <c r="E50" s="364"/>
      <c r="F50" s="365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4"/>
      <c r="F51" s="365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448"/>
      <c r="E52" s="448"/>
      <c r="F52" s="45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4"/>
      <c r="F53" s="365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/>
      <c r="D54" s="367"/>
      <c r="E54" s="367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16720000</v>
      </c>
      <c r="I56" s="378"/>
    </row>
    <row r="57" spans="1:9" ht="15.95" customHeight="1">
      <c r="A57" s="474" t="s">
        <v>141</v>
      </c>
      <c r="B57" s="425" t="s">
        <v>202</v>
      </c>
      <c r="C57" s="421"/>
      <c r="D57" s="378"/>
      <c r="E57" s="425" t="s">
        <v>66</v>
      </c>
      <c r="F57" s="443">
        <v>10</v>
      </c>
      <c r="G57" s="428">
        <v>250000</v>
      </c>
      <c r="H57" s="429">
        <f>F57*G57</f>
        <v>2500000</v>
      </c>
      <c r="I57" s="378"/>
    </row>
    <row r="58" spans="1:9" ht="15.95" customHeight="1">
      <c r="A58" s="450"/>
      <c r="B58" s="431" t="s">
        <v>203</v>
      </c>
      <c r="C58" s="482"/>
      <c r="D58" s="483"/>
      <c r="E58" s="484" t="s">
        <v>143</v>
      </c>
      <c r="F58" s="462">
        <v>4</v>
      </c>
      <c r="G58" s="383">
        <v>250000</v>
      </c>
      <c r="H58" s="384">
        <f t="shared" ref="H58:H64" si="1">F58*G58</f>
        <v>1000000</v>
      </c>
      <c r="I58" s="385"/>
    </row>
    <row r="59" spans="1:9" ht="15.95" customHeight="1">
      <c r="A59" s="450"/>
      <c r="B59" s="434" t="s">
        <v>204</v>
      </c>
      <c r="C59" s="485"/>
      <c r="D59" s="455"/>
      <c r="E59" s="475" t="s">
        <v>143</v>
      </c>
      <c r="F59" s="463">
        <v>24</v>
      </c>
      <c r="G59" s="366">
        <v>250000</v>
      </c>
      <c r="H59" s="307">
        <f t="shared" si="1"/>
        <v>6000000</v>
      </c>
      <c r="I59" s="64"/>
    </row>
    <row r="60" spans="1:9" ht="15.95" customHeight="1">
      <c r="A60" s="450"/>
      <c r="B60" s="434" t="s">
        <v>172</v>
      </c>
      <c r="C60" s="485"/>
      <c r="D60" s="455"/>
      <c r="E60" s="475" t="s">
        <v>143</v>
      </c>
      <c r="F60" s="463">
        <v>4</v>
      </c>
      <c r="G60" s="366">
        <v>250000</v>
      </c>
      <c r="H60" s="307">
        <f t="shared" si="1"/>
        <v>1000000</v>
      </c>
      <c r="I60" s="64"/>
    </row>
    <row r="61" spans="1:9" ht="15.95" customHeight="1">
      <c r="A61" s="450"/>
      <c r="B61" s="434"/>
      <c r="C61" s="485"/>
      <c r="D61" s="455"/>
      <c r="E61" s="475" t="s">
        <v>143</v>
      </c>
      <c r="F61" s="463"/>
      <c r="G61" s="366"/>
      <c r="H61" s="307">
        <f t="shared" si="1"/>
        <v>0</v>
      </c>
      <c r="I61" s="64"/>
    </row>
    <row r="62" spans="1:9" ht="15.95" customHeight="1">
      <c r="A62" s="450"/>
      <c r="B62" s="434"/>
      <c r="C62" s="485"/>
      <c r="D62" s="455"/>
      <c r="E62" s="475" t="s">
        <v>143</v>
      </c>
      <c r="F62" s="463"/>
      <c r="G62" s="366"/>
      <c r="H62" s="307">
        <f t="shared" si="1"/>
        <v>0</v>
      </c>
      <c r="I62" s="64"/>
    </row>
    <row r="63" spans="1:9" ht="15.95" customHeight="1">
      <c r="A63" s="450"/>
      <c r="B63" s="434"/>
      <c r="C63" s="485"/>
      <c r="D63" s="455"/>
      <c r="E63" s="475" t="s">
        <v>143</v>
      </c>
      <c r="F63" s="486"/>
      <c r="G63" s="366"/>
      <c r="H63" s="307">
        <f t="shared" si="1"/>
        <v>0</v>
      </c>
      <c r="I63" s="64"/>
    </row>
    <row r="64" spans="1:9" ht="15.95" customHeight="1">
      <c r="A64" s="450"/>
      <c r="B64" s="437"/>
      <c r="C64" s="487"/>
      <c r="D64" s="488"/>
      <c r="E64" s="464" t="s">
        <v>143</v>
      </c>
      <c r="F64" s="489"/>
      <c r="G64" s="370"/>
      <c r="H64" s="317">
        <f t="shared" si="1"/>
        <v>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10500000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'단위공사별(집계)'!L9+'단위공사별(집계)'!I9</f>
        <v>711715.59633027518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>
        <f>(H65+H56)*0.05</f>
        <v>1361000</v>
      </c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>
        <f>(H65+H56)*0.1</f>
        <v>2722000</v>
      </c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32014715.596330274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47B0-5484-4CB2-87FF-3D1AF26B9935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 t="s">
        <v>205</v>
      </c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63"/>
      <c r="D3" s="466"/>
      <c r="E3" s="364"/>
      <c r="F3" s="365"/>
      <c r="G3" s="366"/>
      <c r="H3" s="384">
        <f>IF(F3=0,G3,G3*F3)</f>
        <v>0</v>
      </c>
      <c r="I3" s="385"/>
    </row>
    <row r="4" spans="1:9" ht="15.95" customHeight="1">
      <c r="A4" s="450"/>
      <c r="B4" s="355"/>
      <c r="C4" s="363"/>
      <c r="D4" s="363"/>
      <c r="E4" s="363"/>
      <c r="F4" s="366"/>
      <c r="G4" s="366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3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3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3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3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3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3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3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3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3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3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3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3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3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3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3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/>
      <c r="D23" s="368"/>
      <c r="E23" s="368"/>
      <c r="F23" s="369"/>
      <c r="G23" s="370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 t="s">
        <v>206</v>
      </c>
      <c r="D25" s="356" t="s">
        <v>207</v>
      </c>
      <c r="E25" s="356" t="s">
        <v>179</v>
      </c>
      <c r="F25" s="359">
        <v>12</v>
      </c>
      <c r="G25" s="359">
        <v>60000</v>
      </c>
      <c r="H25" s="360">
        <f t="shared" si="0"/>
        <v>720000</v>
      </c>
      <c r="I25" s="361"/>
    </row>
    <row r="26" spans="1:9" ht="15.95" customHeight="1">
      <c r="A26" s="450"/>
      <c r="B26" s="355" t="s">
        <v>160</v>
      </c>
      <c r="C26" s="363" t="s">
        <v>208</v>
      </c>
      <c r="D26" s="363" t="s">
        <v>209</v>
      </c>
      <c r="E26" s="363" t="s">
        <v>33</v>
      </c>
      <c r="F26" s="366">
        <v>10</v>
      </c>
      <c r="G26" s="366">
        <v>200000</v>
      </c>
      <c r="H26" s="307">
        <f t="shared" si="0"/>
        <v>2000000</v>
      </c>
      <c r="I26" s="64"/>
    </row>
    <row r="27" spans="1:9" ht="15.95" customHeight="1">
      <c r="A27" s="450"/>
      <c r="B27" s="355"/>
      <c r="C27" s="363" t="s">
        <v>210</v>
      </c>
      <c r="D27" s="363" t="s">
        <v>211</v>
      </c>
      <c r="E27" s="363" t="s">
        <v>33</v>
      </c>
      <c r="F27" s="366">
        <v>12</v>
      </c>
      <c r="G27" s="366">
        <v>120000</v>
      </c>
      <c r="H27" s="307">
        <f t="shared" si="0"/>
        <v>1440000</v>
      </c>
      <c r="I27" s="64"/>
    </row>
    <row r="28" spans="1:9" ht="15.95" customHeight="1">
      <c r="A28" s="450"/>
      <c r="B28" s="355"/>
      <c r="C28" s="363" t="s">
        <v>212</v>
      </c>
      <c r="D28" s="363" t="s">
        <v>213</v>
      </c>
      <c r="E28" s="363" t="s">
        <v>33</v>
      </c>
      <c r="F28" s="366">
        <v>72</v>
      </c>
      <c r="G28" s="366">
        <v>160000</v>
      </c>
      <c r="H28" s="307">
        <f t="shared" si="0"/>
        <v>11520000</v>
      </c>
      <c r="I28" s="64"/>
    </row>
    <row r="29" spans="1:9" ht="15.95" customHeight="1">
      <c r="A29" s="450"/>
      <c r="B29" s="355"/>
      <c r="C29" s="367" t="s">
        <v>214</v>
      </c>
      <c r="D29" s="367"/>
      <c r="E29" s="367" t="s">
        <v>168</v>
      </c>
      <c r="F29" s="370">
        <v>1</v>
      </c>
      <c r="G29" s="370">
        <v>2000000</v>
      </c>
      <c r="H29" s="307">
        <f t="shared" si="0"/>
        <v>2000000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17680000</v>
      </c>
      <c r="I30" s="378"/>
    </row>
    <row r="31" spans="1:9" ht="15.95" customHeight="1">
      <c r="A31" s="450"/>
      <c r="B31" s="399" t="s">
        <v>200</v>
      </c>
      <c r="C31" s="380"/>
      <c r="D31" s="380"/>
      <c r="E31" s="381"/>
      <c r="F31" s="383"/>
      <c r="G31" s="383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63"/>
      <c r="D32" s="363"/>
      <c r="E32" s="364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4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4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4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4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490"/>
      <c r="E37" s="364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491"/>
      <c r="D38" s="455"/>
      <c r="E38" s="364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87"/>
      <c r="D39" s="387"/>
      <c r="E39" s="363"/>
      <c r="F39" s="389"/>
      <c r="G39" s="389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4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4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4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4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4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3"/>
      <c r="D45" s="363"/>
      <c r="E45" s="364"/>
      <c r="F45" s="366"/>
      <c r="G45" s="366"/>
      <c r="H45" s="307">
        <f t="shared" si="0"/>
        <v>0</v>
      </c>
      <c r="I45" s="64"/>
    </row>
    <row r="46" spans="1:9" ht="15.95" customHeight="1">
      <c r="A46" s="450"/>
      <c r="B46" s="355"/>
      <c r="C46" s="367"/>
      <c r="D46" s="367"/>
      <c r="E46" s="368"/>
      <c r="F46" s="369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63"/>
      <c r="D48" s="448"/>
      <c r="E48" s="448"/>
      <c r="F48" s="456"/>
      <c r="G48" s="366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448"/>
      <c r="E49" s="448"/>
      <c r="F49" s="45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363"/>
      <c r="E50" s="363"/>
      <c r="F50" s="36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3"/>
      <c r="F51" s="366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363"/>
      <c r="F52" s="36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3"/>
      <c r="F53" s="366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/>
      <c r="D54" s="367"/>
      <c r="E54" s="367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17680000</v>
      </c>
      <c r="I56" s="378"/>
    </row>
    <row r="57" spans="1:9" ht="15.95" customHeight="1">
      <c r="A57" s="474" t="s">
        <v>141</v>
      </c>
      <c r="B57" s="425" t="s">
        <v>215</v>
      </c>
      <c r="C57" s="421"/>
      <c r="D57" s="378"/>
      <c r="E57" s="425" t="s">
        <v>66</v>
      </c>
      <c r="F57" s="443">
        <v>26</v>
      </c>
      <c r="G57" s="428">
        <v>250000</v>
      </c>
      <c r="H57" s="429">
        <f>F57*G57</f>
        <v>6500000</v>
      </c>
      <c r="I57" s="378"/>
    </row>
    <row r="58" spans="1:9" ht="15.95" customHeight="1">
      <c r="A58" s="450"/>
      <c r="B58" s="431" t="s">
        <v>216</v>
      </c>
      <c r="C58" s="432"/>
      <c r="D58" s="385"/>
      <c r="E58" s="431" t="s">
        <v>143</v>
      </c>
      <c r="F58" s="383">
        <v>18</v>
      </c>
      <c r="G58" s="383">
        <v>250000</v>
      </c>
      <c r="H58" s="384">
        <f t="shared" ref="H58:H64" si="1">F58*G58</f>
        <v>4500000</v>
      </c>
      <c r="I58" s="385"/>
    </row>
    <row r="59" spans="1:9" ht="15.95" customHeight="1">
      <c r="A59" s="450"/>
      <c r="B59" s="434" t="s">
        <v>217</v>
      </c>
      <c r="C59" s="435"/>
      <c r="D59" s="64"/>
      <c r="E59" s="434" t="s">
        <v>143</v>
      </c>
      <c r="F59" s="492">
        <v>12</v>
      </c>
      <c r="G59" s="366">
        <v>250000</v>
      </c>
      <c r="H59" s="307">
        <f t="shared" si="1"/>
        <v>3000000</v>
      </c>
      <c r="I59" s="64"/>
    </row>
    <row r="60" spans="1:9" ht="15.95" customHeight="1">
      <c r="A60" s="450"/>
      <c r="B60" s="434" t="s">
        <v>218</v>
      </c>
      <c r="C60" s="435"/>
      <c r="D60" s="64"/>
      <c r="E60" s="434" t="s">
        <v>143</v>
      </c>
      <c r="F60" s="492">
        <v>6</v>
      </c>
      <c r="G60" s="366">
        <v>250000</v>
      </c>
      <c r="H60" s="307">
        <f t="shared" si="1"/>
        <v>1500000</v>
      </c>
      <c r="I60" s="64"/>
    </row>
    <row r="61" spans="1:9" ht="15.95" customHeight="1">
      <c r="A61" s="450"/>
      <c r="B61" s="434" t="s">
        <v>219</v>
      </c>
      <c r="C61" s="435"/>
      <c r="D61" s="64"/>
      <c r="E61" s="434" t="s">
        <v>143</v>
      </c>
      <c r="F61" s="366">
        <v>4</v>
      </c>
      <c r="G61" s="366">
        <v>250000</v>
      </c>
      <c r="H61" s="307">
        <f t="shared" si="1"/>
        <v>1000000</v>
      </c>
      <c r="I61" s="64"/>
    </row>
    <row r="62" spans="1:9" ht="15.95" customHeight="1">
      <c r="A62" s="450"/>
      <c r="B62" s="434" t="s">
        <v>172</v>
      </c>
      <c r="C62" s="435"/>
      <c r="D62" s="64"/>
      <c r="E62" s="434" t="s">
        <v>143</v>
      </c>
      <c r="F62" s="366">
        <v>8</v>
      </c>
      <c r="G62" s="366">
        <v>250000</v>
      </c>
      <c r="H62" s="307">
        <f t="shared" si="1"/>
        <v>2000000</v>
      </c>
      <c r="I62" s="64"/>
    </row>
    <row r="63" spans="1:9" ht="15.95" customHeight="1">
      <c r="A63" s="450"/>
      <c r="B63" s="434"/>
      <c r="C63" s="435"/>
      <c r="D63" s="64"/>
      <c r="E63" s="434" t="s">
        <v>143</v>
      </c>
      <c r="F63" s="366"/>
      <c r="G63" s="366"/>
      <c r="H63" s="307">
        <f t="shared" si="1"/>
        <v>0</v>
      </c>
      <c r="I63" s="64"/>
    </row>
    <row r="64" spans="1:9" ht="15.95" customHeight="1">
      <c r="A64" s="450"/>
      <c r="B64" s="437"/>
      <c r="C64" s="438"/>
      <c r="D64" s="371"/>
      <c r="E64" s="437" t="s">
        <v>143</v>
      </c>
      <c r="F64" s="370"/>
      <c r="G64" s="370"/>
      <c r="H64" s="317">
        <f t="shared" si="1"/>
        <v>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18500000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'단위공사별(집계)'!I11+'단위공사별(집계)'!L11</f>
        <v>1434935.7798165136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>
        <f>(H65+H56)*0.05</f>
        <v>1809000</v>
      </c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>
        <f>(H65+H56)*0.1</f>
        <v>3618000</v>
      </c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43041935.779816516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3230-5C18-40BC-A37B-EBAA7B92D341}">
  <sheetPr>
    <tabColor rgb="FF00B050"/>
    <pageSetUpPr fitToPage="1"/>
  </sheetPr>
  <dimension ref="A1:K69"/>
  <sheetViews>
    <sheetView zoomScale="85" zoomScaleNormal="85" workbookViewId="0">
      <pane xSplit="2" ySplit="2" topLeftCell="C38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30.25" style="1" customWidth="1"/>
    <col min="4" max="4" width="14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11" ht="22.5" customHeight="1">
      <c r="B1" s="347" t="s">
        <v>154</v>
      </c>
      <c r="C1" s="445" t="s">
        <v>220</v>
      </c>
      <c r="F1" s="446"/>
      <c r="I1" s="1" t="s">
        <v>125</v>
      </c>
    </row>
    <row r="2" spans="1:11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11" ht="15.95" customHeight="1">
      <c r="A3" s="354" t="s">
        <v>132</v>
      </c>
      <c r="B3" s="355" t="s">
        <v>133</v>
      </c>
      <c r="C3" s="475"/>
      <c r="D3" s="493"/>
      <c r="E3" s="494"/>
      <c r="F3" s="495"/>
      <c r="G3" s="495"/>
      <c r="H3" s="384">
        <f>IF(F3=0,G3,G3*F3)</f>
        <v>0</v>
      </c>
      <c r="I3" s="385"/>
    </row>
    <row r="4" spans="1:11" ht="15.95" customHeight="1">
      <c r="A4" s="450"/>
      <c r="B4" s="355"/>
      <c r="C4" s="475"/>
      <c r="D4" s="493"/>
      <c r="E4" s="494"/>
      <c r="F4" s="495"/>
      <c r="G4" s="495"/>
      <c r="H4" s="307">
        <f>IF(F4=0,G4,G4*F4)</f>
        <v>0</v>
      </c>
      <c r="I4" s="64"/>
    </row>
    <row r="5" spans="1:11" ht="15.95" customHeight="1">
      <c r="A5" s="450"/>
      <c r="B5" s="355"/>
      <c r="C5" s="475"/>
      <c r="D5" s="493"/>
      <c r="E5" s="494"/>
      <c r="F5" s="495"/>
      <c r="G5" s="495"/>
      <c r="H5" s="307">
        <f t="shared" ref="H5:H53" si="0">IF(F5=0,G5,G5*F5)</f>
        <v>0</v>
      </c>
      <c r="I5" s="64"/>
    </row>
    <row r="6" spans="1:11" ht="15.95" customHeight="1">
      <c r="A6" s="450"/>
      <c r="B6" s="355"/>
      <c r="C6" s="475"/>
      <c r="D6" s="493"/>
      <c r="E6" s="494"/>
      <c r="F6" s="495"/>
      <c r="G6" s="495"/>
      <c r="H6" s="307">
        <f t="shared" si="0"/>
        <v>0</v>
      </c>
      <c r="I6" s="64"/>
    </row>
    <row r="7" spans="1:11" ht="15.95" customHeight="1">
      <c r="A7" s="450"/>
      <c r="B7" s="355"/>
      <c r="C7" s="475"/>
      <c r="D7" s="493"/>
      <c r="E7" s="494"/>
      <c r="F7" s="495"/>
      <c r="G7" s="495"/>
      <c r="H7" s="307">
        <f t="shared" si="0"/>
        <v>0</v>
      </c>
      <c r="I7" s="64"/>
    </row>
    <row r="8" spans="1:11" ht="15.95" customHeight="1">
      <c r="A8" s="450"/>
      <c r="B8" s="355"/>
      <c r="C8" s="475"/>
      <c r="D8" s="493"/>
      <c r="E8" s="494"/>
      <c r="F8" s="495"/>
      <c r="G8" s="495"/>
      <c r="H8" s="307">
        <f t="shared" si="0"/>
        <v>0</v>
      </c>
      <c r="I8" s="64"/>
    </row>
    <row r="9" spans="1:11" ht="15.95" customHeight="1">
      <c r="A9" s="450"/>
      <c r="B9" s="355"/>
      <c r="C9" s="475"/>
      <c r="D9" s="493"/>
      <c r="E9" s="494"/>
      <c r="F9" s="495"/>
      <c r="G9" s="495"/>
      <c r="H9" s="307">
        <f t="shared" si="0"/>
        <v>0</v>
      </c>
      <c r="I9" s="64"/>
    </row>
    <row r="10" spans="1:11" ht="15.95" customHeight="1">
      <c r="A10" s="450"/>
      <c r="B10" s="355"/>
      <c r="C10" s="475"/>
      <c r="D10" s="455"/>
      <c r="E10" s="455"/>
      <c r="F10" s="366"/>
      <c r="G10" s="366"/>
      <c r="H10" s="307">
        <f t="shared" si="0"/>
        <v>0</v>
      </c>
      <c r="I10" s="64"/>
    </row>
    <row r="11" spans="1:11" ht="15.95" customHeight="1">
      <c r="A11" s="450"/>
      <c r="B11" s="355"/>
      <c r="C11" s="455"/>
      <c r="D11" s="455"/>
      <c r="E11" s="455"/>
      <c r="F11" s="366"/>
      <c r="G11" s="366"/>
      <c r="H11" s="307">
        <f t="shared" si="0"/>
        <v>0</v>
      </c>
      <c r="I11" s="64"/>
    </row>
    <row r="12" spans="1:11" ht="15.95" customHeight="1">
      <c r="A12" s="450"/>
      <c r="B12" s="355"/>
      <c r="C12" s="455"/>
      <c r="D12" s="455"/>
      <c r="E12" s="455"/>
      <c r="F12" s="366"/>
      <c r="G12" s="366"/>
      <c r="H12" s="307">
        <f t="shared" si="0"/>
        <v>0</v>
      </c>
      <c r="I12" s="64"/>
    </row>
    <row r="13" spans="1:11" ht="15.95" customHeight="1">
      <c r="A13" s="450"/>
      <c r="B13" s="355"/>
      <c r="C13" s="455"/>
      <c r="D13" s="455"/>
      <c r="E13" s="455"/>
      <c r="F13" s="366"/>
      <c r="G13" s="366"/>
      <c r="H13" s="307">
        <f t="shared" si="0"/>
        <v>0</v>
      </c>
      <c r="I13" s="64"/>
    </row>
    <row r="14" spans="1:11" ht="15.95" customHeight="1">
      <c r="A14" s="450"/>
      <c r="B14" s="355"/>
      <c r="C14" s="455"/>
      <c r="D14" s="455"/>
      <c r="E14" s="455"/>
      <c r="F14" s="366"/>
      <c r="G14" s="366"/>
      <c r="H14" s="307">
        <f t="shared" si="0"/>
        <v>0</v>
      </c>
      <c r="I14" s="64"/>
      <c r="K14" s="496"/>
    </row>
    <row r="15" spans="1:11" ht="15.95" customHeight="1">
      <c r="A15" s="450"/>
      <c r="B15" s="355"/>
      <c r="C15" s="455"/>
      <c r="D15" s="455"/>
      <c r="E15" s="455"/>
      <c r="F15" s="366"/>
      <c r="G15" s="366"/>
      <c r="H15" s="307">
        <f t="shared" si="0"/>
        <v>0</v>
      </c>
      <c r="I15" s="64"/>
    </row>
    <row r="16" spans="1:11" ht="15.95" customHeight="1">
      <c r="A16" s="450"/>
      <c r="B16" s="355"/>
      <c r="C16" s="455"/>
      <c r="D16" s="455"/>
      <c r="E16" s="455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455"/>
      <c r="D17" s="455"/>
      <c r="E17" s="455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455"/>
      <c r="D18" s="455"/>
      <c r="E18" s="455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455"/>
      <c r="D19" s="455"/>
      <c r="E19" s="455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7"/>
      <c r="D22" s="368"/>
      <c r="E22" s="368"/>
      <c r="F22" s="369"/>
      <c r="G22" s="370"/>
      <c r="H22" s="390">
        <f t="shared" si="0"/>
        <v>0</v>
      </c>
      <c r="I22" s="391"/>
    </row>
    <row r="23" spans="1:9" ht="15.95" customHeight="1">
      <c r="A23" s="450"/>
      <c r="B23" s="372"/>
      <c r="C23" s="398"/>
      <c r="D23" s="398"/>
      <c r="E23" s="398"/>
      <c r="F23" s="396"/>
      <c r="G23" s="396"/>
      <c r="H23" s="397">
        <f>SUM(H3:H22)</f>
        <v>0</v>
      </c>
      <c r="I23" s="398"/>
    </row>
    <row r="24" spans="1:9" ht="15.95" customHeight="1">
      <c r="A24" s="450"/>
      <c r="B24" s="355" t="s">
        <v>156</v>
      </c>
      <c r="C24" s="356" t="s">
        <v>221</v>
      </c>
      <c r="D24" s="356" t="s">
        <v>222</v>
      </c>
      <c r="E24" s="356" t="s">
        <v>163</v>
      </c>
      <c r="F24" s="359">
        <v>240</v>
      </c>
      <c r="G24" s="359">
        <v>35000</v>
      </c>
      <c r="H24" s="360">
        <f t="shared" si="0"/>
        <v>8400000</v>
      </c>
      <c r="I24" s="361"/>
    </row>
    <row r="25" spans="1:9" ht="15.95" customHeight="1">
      <c r="A25" s="450"/>
      <c r="B25" s="355" t="s">
        <v>160</v>
      </c>
      <c r="C25" s="363" t="s">
        <v>221</v>
      </c>
      <c r="D25" s="363" t="s">
        <v>223</v>
      </c>
      <c r="E25" s="363" t="s">
        <v>163</v>
      </c>
      <c r="F25" s="366">
        <v>1020</v>
      </c>
      <c r="G25" s="366">
        <v>19000</v>
      </c>
      <c r="H25" s="307">
        <f t="shared" si="0"/>
        <v>19380000</v>
      </c>
      <c r="I25" s="64"/>
    </row>
    <row r="26" spans="1:9" ht="15.95" customHeight="1">
      <c r="A26" s="450"/>
      <c r="B26" s="355"/>
      <c r="C26" s="363" t="s">
        <v>224</v>
      </c>
      <c r="D26" s="363"/>
      <c r="E26" s="363" t="s">
        <v>168</v>
      </c>
      <c r="F26" s="366">
        <v>1</v>
      </c>
      <c r="G26" s="366">
        <v>900000</v>
      </c>
      <c r="H26" s="307">
        <f t="shared" si="0"/>
        <v>900000</v>
      </c>
      <c r="I26" s="64"/>
    </row>
    <row r="27" spans="1:9" ht="15.95" customHeight="1">
      <c r="A27" s="450"/>
      <c r="B27" s="355"/>
      <c r="C27" s="363"/>
      <c r="D27" s="363"/>
      <c r="E27" s="363"/>
      <c r="F27" s="366"/>
      <c r="G27" s="366"/>
      <c r="H27" s="307">
        <f t="shared" si="0"/>
        <v>0</v>
      </c>
      <c r="I27" s="64"/>
    </row>
    <row r="28" spans="1:9" ht="15.95" customHeight="1">
      <c r="A28" s="450"/>
      <c r="B28" s="355"/>
      <c r="C28" s="367"/>
      <c r="D28" s="367"/>
      <c r="E28" s="367"/>
      <c r="F28" s="370"/>
      <c r="G28" s="370"/>
      <c r="H28" s="307">
        <f t="shared" si="0"/>
        <v>0</v>
      </c>
      <c r="I28" s="371"/>
    </row>
    <row r="29" spans="1:9" ht="15.95" customHeight="1">
      <c r="A29" s="450"/>
      <c r="B29" s="372"/>
      <c r="C29" s="373"/>
      <c r="D29" s="374"/>
      <c r="E29" s="374"/>
      <c r="F29" s="458"/>
      <c r="G29" s="376"/>
      <c r="H29" s="377">
        <f>SUM(H24:H28)</f>
        <v>28680000</v>
      </c>
      <c r="I29" s="378"/>
    </row>
    <row r="30" spans="1:9" ht="15.95" customHeight="1">
      <c r="A30" s="450"/>
      <c r="B30" s="399" t="s">
        <v>200</v>
      </c>
      <c r="C30" s="497"/>
      <c r="D30" s="493"/>
      <c r="E30" s="494"/>
      <c r="F30" s="495"/>
      <c r="G30" s="495"/>
      <c r="H30" s="384">
        <f t="shared" si="0"/>
        <v>0</v>
      </c>
      <c r="I30" s="385"/>
    </row>
    <row r="31" spans="1:9" ht="15.95" customHeight="1">
      <c r="A31" s="450"/>
      <c r="B31" s="355" t="s">
        <v>201</v>
      </c>
      <c r="C31" s="363"/>
      <c r="D31" s="363"/>
      <c r="E31" s="364"/>
      <c r="F31" s="366"/>
      <c r="G31" s="366"/>
      <c r="H31" s="307">
        <f t="shared" si="0"/>
        <v>0</v>
      </c>
      <c r="I31" s="64"/>
    </row>
    <row r="32" spans="1:9" ht="15.95" customHeight="1">
      <c r="A32" s="450"/>
      <c r="B32" s="355"/>
      <c r="C32" s="363"/>
      <c r="D32" s="363"/>
      <c r="E32" s="364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4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4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4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4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363"/>
      <c r="E37" s="364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363"/>
      <c r="E38" s="364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3"/>
      <c r="D39" s="363"/>
      <c r="E39" s="364"/>
      <c r="F39" s="366"/>
      <c r="G39" s="366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4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4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4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4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4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7"/>
      <c r="D45" s="368"/>
      <c r="E45" s="368"/>
      <c r="F45" s="369"/>
      <c r="G45" s="370"/>
      <c r="H45" s="317">
        <f t="shared" si="0"/>
        <v>0</v>
      </c>
      <c r="I45" s="371"/>
    </row>
    <row r="46" spans="1:9" ht="15.95" customHeight="1">
      <c r="A46" s="450"/>
      <c r="B46" s="372"/>
      <c r="C46" s="373"/>
      <c r="D46" s="374"/>
      <c r="E46" s="374"/>
      <c r="F46" s="376"/>
      <c r="G46" s="376"/>
      <c r="H46" s="377">
        <f>SUM(H30:H45)</f>
        <v>0</v>
      </c>
      <c r="I46" s="378"/>
    </row>
    <row r="47" spans="1:9" ht="15.95" customHeight="1">
      <c r="A47" s="450"/>
      <c r="B47" s="399" t="s">
        <v>59</v>
      </c>
      <c r="C47" s="363"/>
      <c r="D47" s="448"/>
      <c r="E47" s="448"/>
      <c r="F47" s="456"/>
      <c r="G47" s="366"/>
      <c r="H47" s="384">
        <f t="shared" si="0"/>
        <v>0</v>
      </c>
      <c r="I47" s="385"/>
    </row>
    <row r="48" spans="1:9" ht="15.95" customHeight="1">
      <c r="A48" s="450"/>
      <c r="B48" s="355"/>
      <c r="C48" s="363"/>
      <c r="D48" s="498"/>
      <c r="E48" s="448"/>
      <c r="F48" s="456"/>
      <c r="G48" s="366"/>
      <c r="H48" s="307">
        <f t="shared" si="0"/>
        <v>0</v>
      </c>
      <c r="I48" s="64"/>
    </row>
    <row r="49" spans="1:9" ht="15.95" customHeight="1">
      <c r="A49" s="450"/>
      <c r="B49" s="355"/>
      <c r="C49" s="363"/>
      <c r="D49" s="448"/>
      <c r="E49" s="448"/>
      <c r="F49" s="45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363"/>
      <c r="E50" s="363"/>
      <c r="F50" s="36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3"/>
      <c r="F51" s="366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363"/>
      <c r="F52" s="36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7"/>
      <c r="D53" s="367"/>
      <c r="E53" s="367"/>
      <c r="F53" s="370"/>
      <c r="G53" s="370"/>
      <c r="H53" s="317">
        <f t="shared" si="0"/>
        <v>0</v>
      </c>
      <c r="I53" s="371"/>
    </row>
    <row r="54" spans="1:9" ht="15.95" customHeight="1">
      <c r="A54" s="450"/>
      <c r="B54" s="372"/>
      <c r="C54" s="373"/>
      <c r="D54" s="374"/>
      <c r="E54" s="374"/>
      <c r="F54" s="376"/>
      <c r="G54" s="376"/>
      <c r="H54" s="377">
        <f>SUM(H47:H53)</f>
        <v>0</v>
      </c>
      <c r="I54" s="378"/>
    </row>
    <row r="55" spans="1:9" ht="15.95" customHeight="1">
      <c r="A55" s="419"/>
      <c r="B55" s="420" t="s">
        <v>140</v>
      </c>
      <c r="C55" s="421"/>
      <c r="D55" s="378"/>
      <c r="E55" s="378"/>
      <c r="F55" s="423"/>
      <c r="G55" s="423"/>
      <c r="H55" s="377">
        <f>SUM(H54,H46,H29,H23)</f>
        <v>28680000</v>
      </c>
      <c r="I55" s="378"/>
    </row>
    <row r="56" spans="1:9" ht="15.95" customHeight="1">
      <c r="A56" s="474" t="s">
        <v>141</v>
      </c>
      <c r="B56" s="425" t="s">
        <v>225</v>
      </c>
      <c r="C56" s="421"/>
      <c r="D56" s="378"/>
      <c r="E56" s="425" t="s">
        <v>66</v>
      </c>
      <c r="F56" s="443">
        <v>12</v>
      </c>
      <c r="G56" s="428">
        <v>400000</v>
      </c>
      <c r="H56" s="429">
        <f>F56*G56</f>
        <v>4800000</v>
      </c>
      <c r="I56" s="378"/>
    </row>
    <row r="57" spans="1:9" ht="15.95" customHeight="1">
      <c r="A57" s="450"/>
      <c r="B57" s="431" t="s">
        <v>226</v>
      </c>
      <c r="C57" s="432"/>
      <c r="D57" s="385"/>
      <c r="E57" s="431" t="s">
        <v>143</v>
      </c>
      <c r="F57" s="383">
        <v>18</v>
      </c>
      <c r="G57" s="383">
        <v>400000</v>
      </c>
      <c r="H57" s="384">
        <f t="shared" ref="H57:H63" si="1">F57*G57</f>
        <v>7200000</v>
      </c>
      <c r="I57" s="385"/>
    </row>
    <row r="58" spans="1:9" ht="15.95" customHeight="1">
      <c r="A58" s="450"/>
      <c r="B58" s="434" t="s">
        <v>227</v>
      </c>
      <c r="C58" s="435"/>
      <c r="D58" s="64"/>
      <c r="E58" s="434" t="s">
        <v>143</v>
      </c>
      <c r="F58" s="499">
        <v>18</v>
      </c>
      <c r="G58" s="366">
        <v>400000</v>
      </c>
      <c r="H58" s="307">
        <f t="shared" si="1"/>
        <v>7200000</v>
      </c>
      <c r="I58" s="64"/>
    </row>
    <row r="59" spans="1:9" ht="15.95" customHeight="1">
      <c r="A59" s="450"/>
      <c r="B59" s="434" t="s">
        <v>228</v>
      </c>
      <c r="C59" s="435"/>
      <c r="D59" s="64"/>
      <c r="E59" s="434" t="s">
        <v>143</v>
      </c>
      <c r="F59" s="499">
        <v>24</v>
      </c>
      <c r="G59" s="366">
        <v>250000</v>
      </c>
      <c r="H59" s="307">
        <f t="shared" si="1"/>
        <v>6000000</v>
      </c>
      <c r="I59" s="64"/>
    </row>
    <row r="60" spans="1:9" ht="15.95" customHeight="1">
      <c r="A60" s="450"/>
      <c r="B60" s="434" t="s">
        <v>229</v>
      </c>
      <c r="C60" s="435"/>
      <c r="D60" s="64"/>
      <c r="E60" s="434" t="s">
        <v>143</v>
      </c>
      <c r="F60" s="499">
        <v>4</v>
      </c>
      <c r="G60" s="366">
        <v>250000</v>
      </c>
      <c r="H60" s="307">
        <f t="shared" si="1"/>
        <v>1000000</v>
      </c>
      <c r="I60" s="64"/>
    </row>
    <row r="61" spans="1:9" ht="15.95" customHeight="1">
      <c r="A61" s="450"/>
      <c r="B61" s="434"/>
      <c r="C61" s="435"/>
      <c r="D61" s="64"/>
      <c r="E61" s="434" t="s">
        <v>143</v>
      </c>
      <c r="F61" s="499"/>
      <c r="G61" s="366"/>
      <c r="H61" s="307">
        <f t="shared" si="1"/>
        <v>0</v>
      </c>
      <c r="I61" s="64"/>
    </row>
    <row r="62" spans="1:9" ht="15.95" customHeight="1">
      <c r="A62" s="450"/>
      <c r="B62" s="434"/>
      <c r="C62" s="435"/>
      <c r="D62" s="64"/>
      <c r="E62" s="434" t="s">
        <v>143</v>
      </c>
      <c r="F62" s="499"/>
      <c r="G62" s="366"/>
      <c r="H62" s="307">
        <f t="shared" si="1"/>
        <v>0</v>
      </c>
      <c r="I62" s="64"/>
    </row>
    <row r="63" spans="1:9" ht="15.95" customHeight="1">
      <c r="A63" s="450"/>
      <c r="B63" s="437"/>
      <c r="C63" s="438"/>
      <c r="D63" s="371"/>
      <c r="E63" s="437" t="s">
        <v>143</v>
      </c>
      <c r="F63" s="500"/>
      <c r="G63" s="370"/>
      <c r="H63" s="317">
        <f t="shared" si="1"/>
        <v>0</v>
      </c>
      <c r="I63" s="371"/>
    </row>
    <row r="64" spans="1:9" ht="15.95" customHeight="1">
      <c r="A64" s="419"/>
      <c r="B64" s="440" t="s">
        <v>149</v>
      </c>
      <c r="C64" s="421"/>
      <c r="D64" s="378"/>
      <c r="E64" s="378"/>
      <c r="F64" s="376"/>
      <c r="G64" s="376"/>
      <c r="H64" s="376">
        <f>SUM(H56:H63)</f>
        <v>26200000</v>
      </c>
      <c r="I64" s="374"/>
    </row>
    <row r="65" spans="1:9" ht="15.95" customHeight="1">
      <c r="A65" s="426"/>
      <c r="B65" s="440" t="s">
        <v>173</v>
      </c>
      <c r="C65" s="421"/>
      <c r="D65" s="378"/>
      <c r="E65" s="378"/>
      <c r="F65" s="377"/>
      <c r="G65" s="377"/>
      <c r="H65" s="423">
        <f>'단위공사별(집계)'!L10+'단위공사별(집계)'!I10</f>
        <v>945990.82568807341</v>
      </c>
      <c r="I65" s="378"/>
    </row>
    <row r="66" spans="1:9" ht="15.95" customHeight="1">
      <c r="A66" s="426"/>
      <c r="B66" s="440" t="s">
        <v>91</v>
      </c>
      <c r="C66" s="421"/>
      <c r="D66" s="378"/>
      <c r="E66" s="378"/>
      <c r="F66" s="377"/>
      <c r="G66" s="442"/>
      <c r="H66" s="443">
        <f>(H64+H55)*0.05</f>
        <v>2744000</v>
      </c>
      <c r="I66" s="421"/>
    </row>
    <row r="67" spans="1:9" ht="15.95" customHeight="1">
      <c r="A67" s="426"/>
      <c r="B67" s="440" t="s">
        <v>152</v>
      </c>
      <c r="C67" s="421"/>
      <c r="D67" s="378"/>
      <c r="E67" s="378"/>
      <c r="F67" s="377"/>
      <c r="G67" s="442"/>
      <c r="H67" s="443">
        <f>(H64+H55)*0.1</f>
        <v>5488000</v>
      </c>
      <c r="I67" s="421"/>
    </row>
    <row r="68" spans="1:9" ht="15.95" customHeight="1">
      <c r="A68" s="426"/>
      <c r="B68" s="440" t="s">
        <v>153</v>
      </c>
      <c r="C68" s="421"/>
      <c r="D68" s="378"/>
      <c r="E68" s="378"/>
      <c r="F68" s="377"/>
      <c r="G68" s="377"/>
      <c r="H68" s="376">
        <f>H55+H64+H65+H66+H67</f>
        <v>64057990.825688072</v>
      </c>
      <c r="I68" s="378"/>
    </row>
    <row r="69" spans="1:9">
      <c r="A69" s="268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2550-DA6D-436D-BB16-CB9FC62E80D5}">
  <sheetPr>
    <tabColor rgb="FF00B050"/>
    <pageSetUpPr fitToPage="1"/>
  </sheetPr>
  <dimension ref="A1:I70"/>
  <sheetViews>
    <sheetView zoomScale="85" workbookViewId="0">
      <pane xSplit="2" ySplit="2" topLeftCell="C30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 t="s">
        <v>230</v>
      </c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80"/>
      <c r="D3" s="380"/>
      <c r="E3" s="381"/>
      <c r="F3" s="383"/>
      <c r="G3" s="383"/>
      <c r="H3" s="384">
        <f>IF(F3=0,G3,G3*F3)</f>
        <v>0</v>
      </c>
      <c r="I3" s="385"/>
    </row>
    <row r="4" spans="1:9" ht="15.95" customHeight="1">
      <c r="A4" s="450"/>
      <c r="B4" s="355"/>
      <c r="C4" s="497"/>
      <c r="D4" s="501"/>
      <c r="E4" s="494"/>
      <c r="F4" s="495"/>
      <c r="G4" s="495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4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4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4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4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4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4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4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4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4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4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4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4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4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4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4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4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/>
      <c r="D23" s="387"/>
      <c r="E23" s="387"/>
      <c r="F23" s="389"/>
      <c r="G23" s="389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 t="s">
        <v>231</v>
      </c>
      <c r="D25" s="356" t="s">
        <v>232</v>
      </c>
      <c r="E25" s="356" t="s">
        <v>33</v>
      </c>
      <c r="F25" s="359">
        <v>6</v>
      </c>
      <c r="G25" s="359">
        <v>30000</v>
      </c>
      <c r="H25" s="360">
        <f t="shared" si="0"/>
        <v>180000</v>
      </c>
      <c r="I25" s="361"/>
    </row>
    <row r="26" spans="1:9" ht="15.95" customHeight="1">
      <c r="A26" s="450"/>
      <c r="B26" s="355" t="s">
        <v>160</v>
      </c>
      <c r="C26" s="363" t="s">
        <v>233</v>
      </c>
      <c r="D26" s="363" t="s">
        <v>234</v>
      </c>
      <c r="E26" s="363" t="s">
        <v>159</v>
      </c>
      <c r="F26" s="366">
        <v>200</v>
      </c>
      <c r="G26" s="366">
        <v>6000</v>
      </c>
      <c r="H26" s="307">
        <f t="shared" si="0"/>
        <v>1200000</v>
      </c>
      <c r="I26" s="64"/>
    </row>
    <row r="27" spans="1:9" ht="15.95" customHeight="1">
      <c r="A27" s="450"/>
      <c r="B27" s="355"/>
      <c r="C27" s="363" t="s">
        <v>235</v>
      </c>
      <c r="D27" s="363" t="s">
        <v>236</v>
      </c>
      <c r="E27" s="363" t="s">
        <v>168</v>
      </c>
      <c r="F27" s="366">
        <v>1</v>
      </c>
      <c r="G27" s="366">
        <v>4000000</v>
      </c>
      <c r="H27" s="307">
        <f t="shared" si="0"/>
        <v>4000000</v>
      </c>
      <c r="I27" s="64"/>
    </row>
    <row r="28" spans="1:9" ht="15.95" customHeight="1">
      <c r="A28" s="450"/>
      <c r="B28" s="355"/>
      <c r="C28" s="363" t="s">
        <v>237</v>
      </c>
      <c r="D28" s="363" t="s">
        <v>178</v>
      </c>
      <c r="E28" s="363" t="s">
        <v>179</v>
      </c>
      <c r="F28" s="366">
        <v>10</v>
      </c>
      <c r="G28" s="366">
        <v>60000</v>
      </c>
      <c r="H28" s="307">
        <f t="shared" si="0"/>
        <v>600000</v>
      </c>
      <c r="I28" s="64"/>
    </row>
    <row r="29" spans="1:9" ht="15.95" customHeight="1">
      <c r="A29" s="450"/>
      <c r="B29" s="355"/>
      <c r="C29" s="367" t="s">
        <v>238</v>
      </c>
      <c r="D29" s="367" t="s">
        <v>239</v>
      </c>
      <c r="E29" s="367" t="s">
        <v>159</v>
      </c>
      <c r="F29" s="370">
        <v>96</v>
      </c>
      <c r="G29" s="370">
        <v>60000</v>
      </c>
      <c r="H29" s="307">
        <f t="shared" si="0"/>
        <v>5760000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11740000</v>
      </c>
      <c r="I30" s="378"/>
    </row>
    <row r="31" spans="1:9" ht="15.95" customHeight="1">
      <c r="A31" s="450"/>
      <c r="B31" s="399" t="s">
        <v>200</v>
      </c>
      <c r="C31" s="380"/>
      <c r="D31" s="380"/>
      <c r="E31" s="381"/>
      <c r="F31" s="383"/>
      <c r="G31" s="383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63"/>
      <c r="D32" s="363"/>
      <c r="E32" s="364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4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4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4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4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363"/>
      <c r="E37" s="364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363"/>
      <c r="E38" s="364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3"/>
      <c r="D39" s="363"/>
      <c r="E39" s="364"/>
      <c r="F39" s="366"/>
      <c r="G39" s="366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4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4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4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4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4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3"/>
      <c r="D45" s="363"/>
      <c r="E45" s="364"/>
      <c r="F45" s="366"/>
      <c r="G45" s="366"/>
      <c r="H45" s="307">
        <f t="shared" si="0"/>
        <v>0</v>
      </c>
      <c r="I45" s="64"/>
    </row>
    <row r="46" spans="1:9" ht="15.95" customHeight="1">
      <c r="A46" s="450"/>
      <c r="B46" s="355"/>
      <c r="C46" s="367" t="s">
        <v>137</v>
      </c>
      <c r="D46" s="368"/>
      <c r="E46" s="368" t="s">
        <v>138</v>
      </c>
      <c r="F46" s="369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63"/>
      <c r="D48" s="448"/>
      <c r="E48" s="448"/>
      <c r="F48" s="456"/>
      <c r="G48" s="366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498"/>
      <c r="E49" s="448"/>
      <c r="F49" s="45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448"/>
      <c r="E50" s="448"/>
      <c r="F50" s="45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448"/>
      <c r="F51" s="365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448"/>
      <c r="F52" s="365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448"/>
      <c r="F53" s="366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/>
      <c r="D54" s="367"/>
      <c r="E54" s="502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11740000</v>
      </c>
      <c r="I56" s="378"/>
    </row>
    <row r="57" spans="1:9" ht="15.95" customHeight="1">
      <c r="A57" s="474" t="s">
        <v>141</v>
      </c>
      <c r="B57" s="425" t="s">
        <v>240</v>
      </c>
      <c r="C57" s="421"/>
      <c r="D57" s="378"/>
      <c r="E57" s="425" t="s">
        <v>66</v>
      </c>
      <c r="F57" s="443">
        <v>12</v>
      </c>
      <c r="G57" s="428">
        <v>250000</v>
      </c>
      <c r="H57" s="429">
        <f>F57*G57</f>
        <v>3000000</v>
      </c>
      <c r="I57" s="378"/>
    </row>
    <row r="58" spans="1:9" ht="15.95" customHeight="1">
      <c r="A58" s="450"/>
      <c r="B58" s="431" t="s">
        <v>241</v>
      </c>
      <c r="C58" s="432"/>
      <c r="D58" s="385"/>
      <c r="E58" s="431" t="s">
        <v>143</v>
      </c>
      <c r="F58" s="383">
        <v>20</v>
      </c>
      <c r="G58" s="383">
        <v>250000</v>
      </c>
      <c r="H58" s="384">
        <f t="shared" ref="H58:H64" si="1">F58*G58</f>
        <v>5000000</v>
      </c>
      <c r="I58" s="385"/>
    </row>
    <row r="59" spans="1:9" ht="15.95" customHeight="1">
      <c r="A59" s="450"/>
      <c r="B59" s="434" t="s">
        <v>242</v>
      </c>
      <c r="C59" s="435"/>
      <c r="D59" s="64"/>
      <c r="E59" s="434" t="s">
        <v>143</v>
      </c>
      <c r="F59" s="366">
        <v>8</v>
      </c>
      <c r="G59" s="366">
        <v>250000</v>
      </c>
      <c r="H59" s="307">
        <f t="shared" si="1"/>
        <v>2000000</v>
      </c>
      <c r="I59" s="64"/>
    </row>
    <row r="60" spans="1:9" ht="15.95" customHeight="1">
      <c r="A60" s="450"/>
      <c r="B60" s="434" t="s">
        <v>243</v>
      </c>
      <c r="C60" s="435"/>
      <c r="D60" s="64"/>
      <c r="E60" s="434" t="s">
        <v>143</v>
      </c>
      <c r="F60" s="366">
        <v>8</v>
      </c>
      <c r="G60" s="366">
        <v>250000</v>
      </c>
      <c r="H60" s="307">
        <f t="shared" si="1"/>
        <v>2000000</v>
      </c>
      <c r="I60" s="64"/>
    </row>
    <row r="61" spans="1:9" ht="15.95" customHeight="1">
      <c r="A61" s="450"/>
      <c r="B61" s="434" t="s">
        <v>244</v>
      </c>
      <c r="C61" s="435"/>
      <c r="D61" s="64"/>
      <c r="E61" s="434" t="s">
        <v>143</v>
      </c>
      <c r="F61" s="366">
        <v>16</v>
      </c>
      <c r="G61" s="366">
        <v>250000</v>
      </c>
      <c r="H61" s="307">
        <f t="shared" si="1"/>
        <v>4000000</v>
      </c>
      <c r="I61" s="64"/>
    </row>
    <row r="62" spans="1:9" ht="15.95" customHeight="1">
      <c r="A62" s="450"/>
      <c r="B62" s="434" t="s">
        <v>245</v>
      </c>
      <c r="C62" s="435"/>
      <c r="D62" s="64"/>
      <c r="E62" s="434" t="s">
        <v>143</v>
      </c>
      <c r="F62" s="366">
        <v>16</v>
      </c>
      <c r="G62" s="366">
        <v>250000</v>
      </c>
      <c r="H62" s="307">
        <f t="shared" si="1"/>
        <v>4000000</v>
      </c>
      <c r="I62" s="64"/>
    </row>
    <row r="63" spans="1:9" ht="15.95" customHeight="1">
      <c r="A63" s="450"/>
      <c r="B63" s="434" t="s">
        <v>246</v>
      </c>
      <c r="C63" s="435"/>
      <c r="D63" s="64"/>
      <c r="E63" s="434" t="s">
        <v>143</v>
      </c>
      <c r="F63" s="366">
        <v>12</v>
      </c>
      <c r="G63" s="366">
        <v>250000</v>
      </c>
      <c r="H63" s="307">
        <f t="shared" si="1"/>
        <v>3000000</v>
      </c>
      <c r="I63" s="64"/>
    </row>
    <row r="64" spans="1:9" ht="15.95" customHeight="1">
      <c r="A64" s="450"/>
      <c r="B64" s="437" t="s">
        <v>172</v>
      </c>
      <c r="C64" s="438"/>
      <c r="D64" s="371"/>
      <c r="E64" s="437" t="s">
        <v>143</v>
      </c>
      <c r="F64" s="503">
        <v>8</v>
      </c>
      <c r="G64" s="370">
        <v>250000</v>
      </c>
      <c r="H64" s="317">
        <f t="shared" si="1"/>
        <v>2000000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25000000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'단위공사별(집계)'!L12+'단위공사별(집계)'!I12</f>
        <v>960633.02752293576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>
        <f>(H65+H56)*0.05</f>
        <v>1837000</v>
      </c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>
        <f>(H65+H56)*0.1</f>
        <v>3674000</v>
      </c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43211633.027522936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BBF6-4AAF-4214-B72D-073A4E5F027D}">
  <sheetPr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/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80"/>
      <c r="D3" s="380"/>
      <c r="E3" s="381"/>
      <c r="F3" s="383"/>
      <c r="G3" s="383"/>
      <c r="H3" s="384">
        <f>IF(F3=0,G3,G3*F3)</f>
        <v>0</v>
      </c>
      <c r="I3" s="385"/>
    </row>
    <row r="4" spans="1:9" ht="15.95" customHeight="1">
      <c r="A4" s="450"/>
      <c r="B4" s="355"/>
      <c r="C4" s="363"/>
      <c r="D4" s="363"/>
      <c r="E4" s="364"/>
      <c r="F4" s="366"/>
      <c r="G4" s="366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4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4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4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4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4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4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4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4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4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4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4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4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4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4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4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4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4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 t="s">
        <v>137</v>
      </c>
      <c r="D23" s="368"/>
      <c r="E23" s="368" t="s">
        <v>138</v>
      </c>
      <c r="F23" s="369"/>
      <c r="G23" s="370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/>
      <c r="D25" s="356"/>
      <c r="E25" s="356"/>
      <c r="F25" s="359"/>
      <c r="G25" s="359"/>
      <c r="H25" s="360">
        <f t="shared" si="0"/>
        <v>0</v>
      </c>
      <c r="I25" s="361"/>
    </row>
    <row r="26" spans="1:9" ht="15.95" customHeight="1">
      <c r="A26" s="450"/>
      <c r="B26" s="355" t="s">
        <v>160</v>
      </c>
      <c r="C26" s="363"/>
      <c r="D26" s="363"/>
      <c r="E26" s="363"/>
      <c r="F26" s="366"/>
      <c r="G26" s="366"/>
      <c r="H26" s="307">
        <f t="shared" si="0"/>
        <v>0</v>
      </c>
      <c r="I26" s="64"/>
    </row>
    <row r="27" spans="1:9" ht="15.95" customHeight="1">
      <c r="A27" s="450"/>
      <c r="B27" s="355"/>
      <c r="C27" s="363"/>
      <c r="D27" s="363"/>
      <c r="E27" s="363"/>
      <c r="F27" s="366"/>
      <c r="G27" s="366"/>
      <c r="H27" s="307">
        <f t="shared" si="0"/>
        <v>0</v>
      </c>
      <c r="I27" s="64"/>
    </row>
    <row r="28" spans="1:9" ht="15.95" customHeight="1">
      <c r="A28" s="450"/>
      <c r="B28" s="355"/>
      <c r="C28" s="363"/>
      <c r="D28" s="363"/>
      <c r="E28" s="363"/>
      <c r="F28" s="366"/>
      <c r="G28" s="366"/>
      <c r="H28" s="307">
        <f t="shared" si="0"/>
        <v>0</v>
      </c>
      <c r="I28" s="64"/>
    </row>
    <row r="29" spans="1:9" ht="15.95" customHeight="1">
      <c r="A29" s="450"/>
      <c r="B29" s="355"/>
      <c r="C29" s="367" t="s">
        <v>137</v>
      </c>
      <c r="D29" s="367"/>
      <c r="E29" s="367"/>
      <c r="F29" s="370"/>
      <c r="G29" s="370"/>
      <c r="H29" s="307">
        <f t="shared" si="0"/>
        <v>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0</v>
      </c>
      <c r="I30" s="378"/>
    </row>
    <row r="31" spans="1:9" ht="15.95" customHeight="1">
      <c r="A31" s="450"/>
      <c r="B31" s="399" t="s">
        <v>200</v>
      </c>
      <c r="C31" s="380"/>
      <c r="D31" s="380"/>
      <c r="E31" s="380"/>
      <c r="F31" s="383"/>
      <c r="G31" s="383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63"/>
      <c r="D32" s="363"/>
      <c r="E32" s="363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3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3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3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3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363"/>
      <c r="E37" s="363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363"/>
      <c r="E38" s="363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3"/>
      <c r="D39" s="363"/>
      <c r="E39" s="363"/>
      <c r="F39" s="366"/>
      <c r="G39" s="366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3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3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3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3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3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3"/>
      <c r="D45" s="363"/>
      <c r="E45" s="363"/>
      <c r="F45" s="366"/>
      <c r="G45" s="366"/>
      <c r="H45" s="307">
        <f t="shared" si="0"/>
        <v>0</v>
      </c>
      <c r="I45" s="64"/>
    </row>
    <row r="46" spans="1:9" ht="15.95" customHeight="1">
      <c r="A46" s="450"/>
      <c r="B46" s="355"/>
      <c r="C46" s="367" t="s">
        <v>137</v>
      </c>
      <c r="D46" s="368"/>
      <c r="E46" s="368" t="s">
        <v>138</v>
      </c>
      <c r="F46" s="369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63"/>
      <c r="D48" s="448"/>
      <c r="E48" s="448"/>
      <c r="F48" s="456"/>
      <c r="G48" s="366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448"/>
      <c r="E49" s="448"/>
      <c r="F49" s="45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448"/>
      <c r="E50" s="448"/>
      <c r="F50" s="45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3"/>
      <c r="F51" s="366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363"/>
      <c r="F52" s="36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3"/>
      <c r="F53" s="366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 t="s">
        <v>137</v>
      </c>
      <c r="D54" s="367"/>
      <c r="E54" s="368" t="s">
        <v>138</v>
      </c>
      <c r="F54" s="369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0</v>
      </c>
      <c r="I56" s="378"/>
    </row>
    <row r="57" spans="1:9" ht="15.95" customHeight="1">
      <c r="A57" s="474" t="s">
        <v>141</v>
      </c>
      <c r="B57" s="425" t="s">
        <v>65</v>
      </c>
      <c r="C57" s="421"/>
      <c r="D57" s="378"/>
      <c r="E57" s="425" t="s">
        <v>66</v>
      </c>
      <c r="F57" s="443"/>
      <c r="G57" s="428"/>
      <c r="H57" s="429">
        <f>F57*G57</f>
        <v>0</v>
      </c>
      <c r="I57" s="378"/>
    </row>
    <row r="58" spans="1:9" ht="15.95" customHeight="1">
      <c r="A58" s="450"/>
      <c r="B58" s="431" t="s">
        <v>247</v>
      </c>
      <c r="C58" s="432"/>
      <c r="D58" s="385"/>
      <c r="E58" s="431" t="s">
        <v>143</v>
      </c>
      <c r="F58" s="383"/>
      <c r="G58" s="383"/>
      <c r="H58" s="384">
        <f t="shared" ref="H58:H64" si="1">F58*G58</f>
        <v>0</v>
      </c>
      <c r="I58" s="385"/>
    </row>
    <row r="59" spans="1:9" ht="15.95" customHeight="1">
      <c r="A59" s="450"/>
      <c r="B59" s="504" t="s">
        <v>248</v>
      </c>
      <c r="C59" s="435"/>
      <c r="D59" s="64"/>
      <c r="E59" s="434" t="s">
        <v>143</v>
      </c>
      <c r="F59" s="366"/>
      <c r="G59" s="366"/>
      <c r="H59" s="307">
        <f t="shared" si="1"/>
        <v>0</v>
      </c>
      <c r="I59" s="64"/>
    </row>
    <row r="60" spans="1:9" ht="15.95" customHeight="1">
      <c r="A60" s="450"/>
      <c r="B60" s="434" t="s">
        <v>249</v>
      </c>
      <c r="C60" s="435"/>
      <c r="D60" s="64"/>
      <c r="E60" s="434" t="s">
        <v>143</v>
      </c>
      <c r="F60" s="492"/>
      <c r="G60" s="366"/>
      <c r="H60" s="307">
        <f t="shared" si="1"/>
        <v>0</v>
      </c>
      <c r="I60" s="64"/>
    </row>
    <row r="61" spans="1:9" ht="15.95" customHeight="1">
      <c r="A61" s="450"/>
      <c r="B61" s="434" t="s">
        <v>250</v>
      </c>
      <c r="C61" s="435"/>
      <c r="D61" s="64"/>
      <c r="E61" s="434" t="s">
        <v>143</v>
      </c>
      <c r="F61" s="366"/>
      <c r="G61" s="366"/>
      <c r="H61" s="307">
        <f t="shared" si="1"/>
        <v>0</v>
      </c>
      <c r="I61" s="64"/>
    </row>
    <row r="62" spans="1:9" ht="15.95" customHeight="1">
      <c r="A62" s="450"/>
      <c r="B62" s="434" t="s">
        <v>251</v>
      </c>
      <c r="C62" s="435"/>
      <c r="D62" s="64"/>
      <c r="E62" s="434" t="s">
        <v>143</v>
      </c>
      <c r="F62" s="366"/>
      <c r="G62" s="366"/>
      <c r="H62" s="307">
        <f t="shared" si="1"/>
        <v>0</v>
      </c>
      <c r="I62" s="64"/>
    </row>
    <row r="63" spans="1:9" ht="15.95" customHeight="1">
      <c r="A63" s="450"/>
      <c r="B63" s="434" t="s">
        <v>252</v>
      </c>
      <c r="C63" s="435"/>
      <c r="D63" s="64"/>
      <c r="E63" s="434" t="s">
        <v>143</v>
      </c>
      <c r="F63" s="366"/>
      <c r="G63" s="366"/>
      <c r="H63" s="307">
        <f t="shared" si="1"/>
        <v>0</v>
      </c>
      <c r="I63" s="64"/>
    </row>
    <row r="64" spans="1:9" ht="15.95" customHeight="1">
      <c r="A64" s="450"/>
      <c r="B64" s="437" t="s">
        <v>253</v>
      </c>
      <c r="C64" s="438"/>
      <c r="D64" s="371"/>
      <c r="E64" s="437" t="s">
        <v>143</v>
      </c>
      <c r="F64" s="370"/>
      <c r="G64" s="370"/>
      <c r="H64" s="317">
        <f t="shared" si="1"/>
        <v>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'단위공사별(집계)'!L13+'단위공사별(집계)'!I13</f>
        <v>0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>
        <f>(H65+H56)*0.05</f>
        <v>0</v>
      </c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>
        <f>(H65+H56)*0.1</f>
        <v>0</v>
      </c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0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DC40-8F2D-4E1B-BC03-8C79A074F0B9}">
  <sheetPr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/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80"/>
      <c r="D3" s="380"/>
      <c r="E3" s="380"/>
      <c r="F3" s="383"/>
      <c r="G3" s="383"/>
      <c r="H3" s="384">
        <f>IF(F3=0,G3,G3*F3)</f>
        <v>0</v>
      </c>
      <c r="I3" s="385"/>
    </row>
    <row r="4" spans="1:9" ht="15.95" customHeight="1">
      <c r="A4" s="450"/>
      <c r="B4" s="355"/>
      <c r="C4" s="363"/>
      <c r="D4" s="363"/>
      <c r="E4" s="363"/>
      <c r="F4" s="366"/>
      <c r="G4" s="366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3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3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3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3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3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3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3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3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3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3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3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3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3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3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3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 t="s">
        <v>137</v>
      </c>
      <c r="D23" s="387"/>
      <c r="E23" s="387"/>
      <c r="F23" s="389"/>
      <c r="G23" s="389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/>
      <c r="D25" s="356"/>
      <c r="E25" s="356"/>
      <c r="F25" s="359"/>
      <c r="G25" s="359"/>
      <c r="H25" s="360">
        <f t="shared" si="0"/>
        <v>0</v>
      </c>
      <c r="I25" s="361"/>
    </row>
    <row r="26" spans="1:9" ht="15.95" customHeight="1">
      <c r="A26" s="450"/>
      <c r="B26" s="355" t="s">
        <v>160</v>
      </c>
      <c r="C26" s="363"/>
      <c r="D26" s="363"/>
      <c r="E26" s="363"/>
      <c r="F26" s="366"/>
      <c r="G26" s="366"/>
      <c r="H26" s="307">
        <f t="shared" si="0"/>
        <v>0</v>
      </c>
      <c r="I26" s="64"/>
    </row>
    <row r="27" spans="1:9" ht="15.95" customHeight="1">
      <c r="A27" s="450"/>
      <c r="B27" s="355"/>
      <c r="C27" s="363"/>
      <c r="D27" s="363"/>
      <c r="E27" s="363"/>
      <c r="F27" s="366"/>
      <c r="G27" s="366"/>
      <c r="H27" s="307">
        <f t="shared" si="0"/>
        <v>0</v>
      </c>
      <c r="I27" s="64"/>
    </row>
    <row r="28" spans="1:9" ht="15.95" customHeight="1">
      <c r="A28" s="450"/>
      <c r="B28" s="355"/>
      <c r="C28" s="363"/>
      <c r="D28" s="363"/>
      <c r="E28" s="363"/>
      <c r="F28" s="366"/>
      <c r="G28" s="366"/>
      <c r="H28" s="307">
        <f t="shared" si="0"/>
        <v>0</v>
      </c>
      <c r="I28" s="64"/>
    </row>
    <row r="29" spans="1:9" ht="15.95" customHeight="1">
      <c r="A29" s="450"/>
      <c r="B29" s="355"/>
      <c r="C29" s="367" t="s">
        <v>137</v>
      </c>
      <c r="D29" s="367"/>
      <c r="E29" s="367"/>
      <c r="F29" s="370"/>
      <c r="G29" s="370"/>
      <c r="H29" s="307">
        <f t="shared" si="0"/>
        <v>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0</v>
      </c>
      <c r="I30" s="378"/>
    </row>
    <row r="31" spans="1:9" ht="15.95" customHeight="1">
      <c r="A31" s="450"/>
      <c r="B31" s="399" t="s">
        <v>200</v>
      </c>
      <c r="C31" s="380"/>
      <c r="D31" s="380"/>
      <c r="E31" s="380"/>
      <c r="F31" s="383"/>
      <c r="G31" s="383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63"/>
      <c r="D32" s="363"/>
      <c r="E32" s="363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3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3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3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3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363"/>
      <c r="E37" s="363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363"/>
      <c r="E38" s="363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3"/>
      <c r="D39" s="363"/>
      <c r="E39" s="363"/>
      <c r="F39" s="366"/>
      <c r="G39" s="366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3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3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3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3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3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3"/>
      <c r="D45" s="363"/>
      <c r="E45" s="363"/>
      <c r="F45" s="366"/>
      <c r="G45" s="366"/>
      <c r="H45" s="307">
        <f t="shared" si="0"/>
        <v>0</v>
      </c>
      <c r="I45" s="64"/>
    </row>
    <row r="46" spans="1:9" ht="15.95" customHeight="1">
      <c r="A46" s="450"/>
      <c r="B46" s="355"/>
      <c r="C46" s="367" t="s">
        <v>137</v>
      </c>
      <c r="D46" s="367"/>
      <c r="E46" s="367"/>
      <c r="F46" s="370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80"/>
      <c r="D48" s="380"/>
      <c r="E48" s="380"/>
      <c r="F48" s="383"/>
      <c r="G48" s="383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363"/>
      <c r="E49" s="363"/>
      <c r="F49" s="36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363"/>
      <c r="E50" s="363"/>
      <c r="F50" s="36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3"/>
      <c r="F51" s="366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363"/>
      <c r="F52" s="36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3"/>
      <c r="F53" s="366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 t="s">
        <v>137</v>
      </c>
      <c r="D54" s="367"/>
      <c r="E54" s="367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0</v>
      </c>
      <c r="I56" s="378"/>
    </row>
    <row r="57" spans="1:9" ht="15.95" customHeight="1">
      <c r="A57" s="474" t="s">
        <v>141</v>
      </c>
      <c r="B57" s="425" t="s">
        <v>65</v>
      </c>
      <c r="C57" s="421"/>
      <c r="D57" s="378"/>
      <c r="E57" s="425" t="s">
        <v>66</v>
      </c>
      <c r="F57" s="443"/>
      <c r="G57" s="428"/>
      <c r="H57" s="429">
        <f>F57*G57</f>
        <v>0</v>
      </c>
      <c r="I57" s="378"/>
    </row>
    <row r="58" spans="1:9" ht="15.95" customHeight="1">
      <c r="A58" s="450"/>
      <c r="B58" s="431" t="s">
        <v>247</v>
      </c>
      <c r="C58" s="432"/>
      <c r="D58" s="385"/>
      <c r="E58" s="431" t="s">
        <v>143</v>
      </c>
      <c r="F58" s="383"/>
      <c r="G58" s="383"/>
      <c r="H58" s="384">
        <f t="shared" ref="H58:H64" si="1">F58*G58</f>
        <v>0</v>
      </c>
      <c r="I58" s="385"/>
    </row>
    <row r="59" spans="1:9" ht="15.95" customHeight="1">
      <c r="A59" s="450"/>
      <c r="B59" s="504" t="s">
        <v>248</v>
      </c>
      <c r="C59" s="435"/>
      <c r="D59" s="64"/>
      <c r="E59" s="434" t="s">
        <v>143</v>
      </c>
      <c r="F59" s="366"/>
      <c r="G59" s="366"/>
      <c r="H59" s="307">
        <f t="shared" si="1"/>
        <v>0</v>
      </c>
      <c r="I59" s="64"/>
    </row>
    <row r="60" spans="1:9" ht="15.95" customHeight="1">
      <c r="A60" s="450"/>
      <c r="B60" s="434" t="s">
        <v>249</v>
      </c>
      <c r="C60" s="435"/>
      <c r="D60" s="64"/>
      <c r="E60" s="434" t="s">
        <v>143</v>
      </c>
      <c r="F60" s="366"/>
      <c r="G60" s="366"/>
      <c r="H60" s="307">
        <f t="shared" si="1"/>
        <v>0</v>
      </c>
      <c r="I60" s="64"/>
    </row>
    <row r="61" spans="1:9" ht="15.95" customHeight="1">
      <c r="A61" s="450"/>
      <c r="B61" s="434" t="s">
        <v>250</v>
      </c>
      <c r="C61" s="435"/>
      <c r="D61" s="64"/>
      <c r="E61" s="434" t="s">
        <v>143</v>
      </c>
      <c r="F61" s="366"/>
      <c r="G61" s="366"/>
      <c r="H61" s="307">
        <f t="shared" si="1"/>
        <v>0</v>
      </c>
      <c r="I61" s="64"/>
    </row>
    <row r="62" spans="1:9" ht="15.95" customHeight="1">
      <c r="A62" s="450"/>
      <c r="B62" s="434" t="s">
        <v>251</v>
      </c>
      <c r="C62" s="435"/>
      <c r="D62" s="64"/>
      <c r="E62" s="434" t="s">
        <v>143</v>
      </c>
      <c r="F62" s="366"/>
      <c r="G62" s="366"/>
      <c r="H62" s="307">
        <f t="shared" si="1"/>
        <v>0</v>
      </c>
      <c r="I62" s="64"/>
    </row>
    <row r="63" spans="1:9" ht="15.95" customHeight="1">
      <c r="A63" s="450"/>
      <c r="B63" s="434" t="s">
        <v>252</v>
      </c>
      <c r="C63" s="435"/>
      <c r="D63" s="64"/>
      <c r="E63" s="434" t="s">
        <v>143</v>
      </c>
      <c r="F63" s="366"/>
      <c r="G63" s="366"/>
      <c r="H63" s="307">
        <f t="shared" si="1"/>
        <v>0</v>
      </c>
      <c r="I63" s="64"/>
    </row>
    <row r="64" spans="1:9" ht="15.95" customHeight="1">
      <c r="A64" s="450"/>
      <c r="B64" s="437" t="s">
        <v>253</v>
      </c>
      <c r="C64" s="438"/>
      <c r="D64" s="371"/>
      <c r="E64" s="437" t="s">
        <v>143</v>
      </c>
      <c r="F64" s="370"/>
      <c r="G64" s="370"/>
      <c r="H64" s="317">
        <f t="shared" si="1"/>
        <v>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'단위공사별(집계)'!L14+'단위공사별(집계)'!I14</f>
        <v>0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/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/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0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2804-4C22-46B0-BAB4-886035327325}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/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80"/>
      <c r="D3" s="380"/>
      <c r="E3" s="380"/>
      <c r="F3" s="383"/>
      <c r="G3" s="383"/>
      <c r="H3" s="384">
        <f>IF(F3=0,G3,G3*F3)</f>
        <v>0</v>
      </c>
      <c r="I3" s="385"/>
    </row>
    <row r="4" spans="1:9" ht="15.95" customHeight="1">
      <c r="A4" s="450"/>
      <c r="B4" s="355"/>
      <c r="C4" s="363"/>
      <c r="D4" s="363"/>
      <c r="E4" s="363"/>
      <c r="F4" s="366"/>
      <c r="G4" s="366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3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3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3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3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3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3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3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3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3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3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3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3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3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3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3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 t="s">
        <v>137</v>
      </c>
      <c r="D23" s="387"/>
      <c r="E23" s="387"/>
      <c r="F23" s="389"/>
      <c r="G23" s="389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/>
      <c r="D25" s="356"/>
      <c r="E25" s="356"/>
      <c r="F25" s="359"/>
      <c r="G25" s="359"/>
      <c r="H25" s="360">
        <f t="shared" si="0"/>
        <v>0</v>
      </c>
      <c r="I25" s="361"/>
    </row>
    <row r="26" spans="1:9" ht="15.95" customHeight="1">
      <c r="A26" s="450"/>
      <c r="B26" s="355" t="s">
        <v>160</v>
      </c>
      <c r="C26" s="363"/>
      <c r="D26" s="363"/>
      <c r="E26" s="363"/>
      <c r="F26" s="366"/>
      <c r="G26" s="366"/>
      <c r="H26" s="307">
        <f t="shared" si="0"/>
        <v>0</v>
      </c>
      <c r="I26" s="64"/>
    </row>
    <row r="27" spans="1:9" ht="15.95" customHeight="1">
      <c r="A27" s="450"/>
      <c r="B27" s="355"/>
      <c r="C27" s="363"/>
      <c r="D27" s="363"/>
      <c r="E27" s="363"/>
      <c r="F27" s="366"/>
      <c r="G27" s="366"/>
      <c r="H27" s="307">
        <f t="shared" si="0"/>
        <v>0</v>
      </c>
      <c r="I27" s="64"/>
    </row>
    <row r="28" spans="1:9" ht="15.95" customHeight="1">
      <c r="A28" s="450"/>
      <c r="B28" s="355"/>
      <c r="C28" s="363"/>
      <c r="D28" s="363"/>
      <c r="E28" s="363"/>
      <c r="F28" s="366"/>
      <c r="G28" s="366"/>
      <c r="H28" s="307">
        <f t="shared" si="0"/>
        <v>0</v>
      </c>
      <c r="I28" s="64"/>
    </row>
    <row r="29" spans="1:9" ht="15.95" customHeight="1">
      <c r="A29" s="450"/>
      <c r="B29" s="355"/>
      <c r="C29" s="367" t="s">
        <v>137</v>
      </c>
      <c r="D29" s="367"/>
      <c r="E29" s="367"/>
      <c r="F29" s="370"/>
      <c r="G29" s="370"/>
      <c r="H29" s="307">
        <f t="shared" si="0"/>
        <v>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0</v>
      </c>
      <c r="I30" s="378"/>
    </row>
    <row r="31" spans="1:9" ht="15.95" customHeight="1">
      <c r="A31" s="450"/>
      <c r="B31" s="399" t="s">
        <v>200</v>
      </c>
      <c r="C31" s="380"/>
      <c r="D31" s="380"/>
      <c r="E31" s="380"/>
      <c r="F31" s="383"/>
      <c r="G31" s="383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63"/>
      <c r="D32" s="363"/>
      <c r="E32" s="363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3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3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3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3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363"/>
      <c r="E37" s="363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363"/>
      <c r="E38" s="363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3"/>
      <c r="D39" s="363"/>
      <c r="E39" s="363"/>
      <c r="F39" s="366"/>
      <c r="G39" s="366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3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3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3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3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3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3"/>
      <c r="D45" s="363"/>
      <c r="E45" s="363"/>
      <c r="F45" s="366"/>
      <c r="G45" s="366"/>
      <c r="H45" s="307">
        <f t="shared" si="0"/>
        <v>0</v>
      </c>
      <c r="I45" s="64"/>
    </row>
    <row r="46" spans="1:9" ht="15.95" customHeight="1">
      <c r="A46" s="450"/>
      <c r="B46" s="355"/>
      <c r="C46" s="367" t="s">
        <v>137</v>
      </c>
      <c r="D46" s="367"/>
      <c r="E46" s="367"/>
      <c r="F46" s="370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80"/>
      <c r="D48" s="380"/>
      <c r="E48" s="380"/>
      <c r="F48" s="383"/>
      <c r="G48" s="383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363"/>
      <c r="E49" s="363"/>
      <c r="F49" s="36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363"/>
      <c r="E50" s="363"/>
      <c r="F50" s="36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3"/>
      <c r="F51" s="366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363"/>
      <c r="F52" s="36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3"/>
      <c r="F53" s="366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 t="s">
        <v>137</v>
      </c>
      <c r="D54" s="367"/>
      <c r="E54" s="367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0</v>
      </c>
      <c r="I56" s="378"/>
    </row>
    <row r="57" spans="1:9" ht="15.95" customHeight="1">
      <c r="A57" s="474" t="s">
        <v>141</v>
      </c>
      <c r="B57" s="425" t="s">
        <v>65</v>
      </c>
      <c r="C57" s="421"/>
      <c r="D57" s="378"/>
      <c r="E57" s="425" t="s">
        <v>66</v>
      </c>
      <c r="F57" s="443"/>
      <c r="G57" s="428"/>
      <c r="H57" s="429">
        <f>F57*G57</f>
        <v>0</v>
      </c>
      <c r="I57" s="378"/>
    </row>
    <row r="58" spans="1:9" ht="15.95" customHeight="1">
      <c r="A58" s="450"/>
      <c r="B58" s="431" t="s">
        <v>247</v>
      </c>
      <c r="C58" s="432"/>
      <c r="D58" s="385"/>
      <c r="E58" s="431" t="s">
        <v>143</v>
      </c>
      <c r="F58" s="383"/>
      <c r="G58" s="383"/>
      <c r="H58" s="384">
        <f t="shared" ref="H58:H64" si="1">F58*G58</f>
        <v>0</v>
      </c>
      <c r="I58" s="385"/>
    </row>
    <row r="59" spans="1:9" ht="15.95" customHeight="1">
      <c r="A59" s="450"/>
      <c r="B59" s="504" t="s">
        <v>248</v>
      </c>
      <c r="C59" s="435"/>
      <c r="D59" s="64"/>
      <c r="E59" s="434" t="s">
        <v>143</v>
      </c>
      <c r="F59" s="366"/>
      <c r="G59" s="366"/>
      <c r="H59" s="307">
        <f t="shared" si="1"/>
        <v>0</v>
      </c>
      <c r="I59" s="64"/>
    </row>
    <row r="60" spans="1:9" ht="15.95" customHeight="1">
      <c r="A60" s="450"/>
      <c r="B60" s="434" t="s">
        <v>249</v>
      </c>
      <c r="C60" s="435"/>
      <c r="D60" s="64"/>
      <c r="E60" s="434" t="s">
        <v>143</v>
      </c>
      <c r="F60" s="366"/>
      <c r="G60" s="366"/>
      <c r="H60" s="307">
        <f t="shared" si="1"/>
        <v>0</v>
      </c>
      <c r="I60" s="64"/>
    </row>
    <row r="61" spans="1:9" ht="15.95" customHeight="1">
      <c r="A61" s="450"/>
      <c r="B61" s="434" t="s">
        <v>250</v>
      </c>
      <c r="C61" s="435"/>
      <c r="D61" s="64"/>
      <c r="E61" s="434" t="s">
        <v>143</v>
      </c>
      <c r="F61" s="366"/>
      <c r="G61" s="366"/>
      <c r="H61" s="307">
        <f t="shared" si="1"/>
        <v>0</v>
      </c>
      <c r="I61" s="64"/>
    </row>
    <row r="62" spans="1:9" ht="15.95" customHeight="1">
      <c r="A62" s="450"/>
      <c r="B62" s="434" t="s">
        <v>251</v>
      </c>
      <c r="C62" s="435"/>
      <c r="D62" s="64"/>
      <c r="E62" s="434" t="s">
        <v>143</v>
      </c>
      <c r="F62" s="366"/>
      <c r="G62" s="366"/>
      <c r="H62" s="307">
        <f t="shared" si="1"/>
        <v>0</v>
      </c>
      <c r="I62" s="64"/>
    </row>
    <row r="63" spans="1:9" ht="15.95" customHeight="1">
      <c r="A63" s="450"/>
      <c r="B63" s="434" t="s">
        <v>252</v>
      </c>
      <c r="C63" s="435"/>
      <c r="D63" s="64"/>
      <c r="E63" s="434" t="s">
        <v>143</v>
      </c>
      <c r="F63" s="366"/>
      <c r="G63" s="366"/>
      <c r="H63" s="307">
        <f t="shared" si="1"/>
        <v>0</v>
      </c>
      <c r="I63" s="64"/>
    </row>
    <row r="64" spans="1:9" ht="15.95" customHeight="1">
      <c r="A64" s="450"/>
      <c r="B64" s="437" t="s">
        <v>253</v>
      </c>
      <c r="C64" s="438"/>
      <c r="D64" s="371"/>
      <c r="E64" s="437" t="s">
        <v>143</v>
      </c>
      <c r="F64" s="370"/>
      <c r="G64" s="370"/>
      <c r="H64" s="317">
        <f t="shared" si="1"/>
        <v>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'단위공사별(집계)'!L14+'단위공사별(집계)'!I14</f>
        <v>0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/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/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0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670D-0E84-4322-91F1-42E0E7F48A40}">
  <sheetPr>
    <tabColor rgb="FF00B050"/>
    <pageSetUpPr fitToPage="1"/>
  </sheetPr>
  <dimension ref="A1:I70"/>
  <sheetViews>
    <sheetView zoomScale="85" workbookViewId="0">
      <pane xSplit="2" ySplit="2" topLeftCell="C42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ColWidth="9" defaultRowHeight="13.5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297"/>
    <col min="7" max="7" width="11.875" style="297" customWidth="1"/>
    <col min="8" max="8" width="13.625" style="297" customWidth="1"/>
    <col min="9" max="9" width="12.75" style="1" customWidth="1"/>
    <col min="10" max="16384" width="9" style="1"/>
  </cols>
  <sheetData>
    <row r="1" spans="1:9" ht="22.5" customHeight="1">
      <c r="B1" s="347" t="s">
        <v>154</v>
      </c>
      <c r="C1" s="445"/>
      <c r="F1" s="446"/>
      <c r="I1" s="1" t="s">
        <v>125</v>
      </c>
    </row>
    <row r="2" spans="1:9" s="268" customFormat="1" ht="16.5" customHeight="1">
      <c r="A2" s="95" t="s">
        <v>126</v>
      </c>
      <c r="B2" s="350"/>
      <c r="C2" s="269" t="s">
        <v>127</v>
      </c>
      <c r="D2" s="260" t="s">
        <v>128</v>
      </c>
      <c r="E2" s="260" t="s">
        <v>30</v>
      </c>
      <c r="F2" s="422" t="s">
        <v>29</v>
      </c>
      <c r="G2" s="422" t="s">
        <v>129</v>
      </c>
      <c r="H2" s="422" t="s">
        <v>130</v>
      </c>
      <c r="I2" s="260" t="s">
        <v>131</v>
      </c>
    </row>
    <row r="3" spans="1:9" ht="15.95" customHeight="1">
      <c r="A3" s="354" t="s">
        <v>132</v>
      </c>
      <c r="B3" s="355" t="s">
        <v>133</v>
      </c>
      <c r="C3" s="380"/>
      <c r="D3" s="380"/>
      <c r="E3" s="380"/>
      <c r="F3" s="383"/>
      <c r="G3" s="383"/>
      <c r="H3" s="384">
        <f>IF(F3=0,G3,G3*F3)</f>
        <v>0</v>
      </c>
      <c r="I3" s="385"/>
    </row>
    <row r="4" spans="1:9" ht="15.95" customHeight="1">
      <c r="A4" s="450"/>
      <c r="B4" s="355"/>
      <c r="C4" s="363"/>
      <c r="D4" s="363"/>
      <c r="E4" s="363"/>
      <c r="F4" s="366"/>
      <c r="G4" s="366"/>
      <c r="H4" s="307">
        <f>IF(F4=0,G4,G4*F4)</f>
        <v>0</v>
      </c>
      <c r="I4" s="64"/>
    </row>
    <row r="5" spans="1:9" ht="15.95" customHeight="1">
      <c r="A5" s="450"/>
      <c r="B5" s="355"/>
      <c r="C5" s="363"/>
      <c r="D5" s="363"/>
      <c r="E5" s="363"/>
      <c r="F5" s="366"/>
      <c r="G5" s="366"/>
      <c r="H5" s="307">
        <f t="shared" ref="H5:H54" si="0">IF(F5=0,G5,G5*F5)</f>
        <v>0</v>
      </c>
      <c r="I5" s="64"/>
    </row>
    <row r="6" spans="1:9" ht="15.95" customHeight="1">
      <c r="A6" s="450"/>
      <c r="B6" s="355"/>
      <c r="C6" s="363"/>
      <c r="D6" s="363"/>
      <c r="E6" s="363"/>
      <c r="F6" s="366"/>
      <c r="G6" s="366"/>
      <c r="H6" s="307">
        <f t="shared" si="0"/>
        <v>0</v>
      </c>
      <c r="I6" s="64"/>
    </row>
    <row r="7" spans="1:9" ht="15.95" customHeight="1">
      <c r="A7" s="450"/>
      <c r="B7" s="355"/>
      <c r="C7" s="363"/>
      <c r="D7" s="363"/>
      <c r="E7" s="363"/>
      <c r="F7" s="366"/>
      <c r="G7" s="366"/>
      <c r="H7" s="307">
        <f t="shared" si="0"/>
        <v>0</v>
      </c>
      <c r="I7" s="64"/>
    </row>
    <row r="8" spans="1:9" ht="15.95" customHeight="1">
      <c r="A8" s="450"/>
      <c r="B8" s="355"/>
      <c r="C8" s="363"/>
      <c r="D8" s="363"/>
      <c r="E8" s="363"/>
      <c r="F8" s="366"/>
      <c r="G8" s="366"/>
      <c r="H8" s="307">
        <f t="shared" si="0"/>
        <v>0</v>
      </c>
      <c r="I8" s="64"/>
    </row>
    <row r="9" spans="1:9" ht="15.95" customHeight="1">
      <c r="A9" s="450"/>
      <c r="B9" s="355"/>
      <c r="C9" s="363"/>
      <c r="D9" s="363"/>
      <c r="E9" s="363"/>
      <c r="F9" s="366"/>
      <c r="G9" s="366"/>
      <c r="H9" s="307">
        <f t="shared" si="0"/>
        <v>0</v>
      </c>
      <c r="I9" s="64"/>
    </row>
    <row r="10" spans="1:9" ht="15.95" customHeight="1">
      <c r="A10" s="450"/>
      <c r="B10" s="355"/>
      <c r="C10" s="363"/>
      <c r="D10" s="363"/>
      <c r="E10" s="363"/>
      <c r="F10" s="366"/>
      <c r="G10" s="366"/>
      <c r="H10" s="307">
        <f t="shared" si="0"/>
        <v>0</v>
      </c>
      <c r="I10" s="64"/>
    </row>
    <row r="11" spans="1:9" ht="15.95" customHeight="1">
      <c r="A11" s="450"/>
      <c r="B11" s="355"/>
      <c r="C11" s="363"/>
      <c r="D11" s="363"/>
      <c r="E11" s="363"/>
      <c r="F11" s="366"/>
      <c r="G11" s="366"/>
      <c r="H11" s="307">
        <f t="shared" si="0"/>
        <v>0</v>
      </c>
      <c r="I11" s="64"/>
    </row>
    <row r="12" spans="1:9" ht="15.95" customHeight="1">
      <c r="A12" s="450"/>
      <c r="B12" s="355"/>
      <c r="C12" s="363"/>
      <c r="D12" s="363"/>
      <c r="E12" s="363"/>
      <c r="F12" s="366"/>
      <c r="G12" s="366"/>
      <c r="H12" s="307">
        <f t="shared" si="0"/>
        <v>0</v>
      </c>
      <c r="I12" s="64"/>
    </row>
    <row r="13" spans="1:9" ht="15.95" customHeight="1">
      <c r="A13" s="450"/>
      <c r="B13" s="355"/>
      <c r="C13" s="363"/>
      <c r="D13" s="363"/>
      <c r="E13" s="363"/>
      <c r="F13" s="366"/>
      <c r="G13" s="366"/>
      <c r="H13" s="307">
        <f t="shared" si="0"/>
        <v>0</v>
      </c>
      <c r="I13" s="64"/>
    </row>
    <row r="14" spans="1:9" ht="15.95" customHeight="1">
      <c r="A14" s="450"/>
      <c r="B14" s="355"/>
      <c r="C14" s="363"/>
      <c r="D14" s="363"/>
      <c r="E14" s="363"/>
      <c r="F14" s="366"/>
      <c r="G14" s="366"/>
      <c r="H14" s="307">
        <f t="shared" si="0"/>
        <v>0</v>
      </c>
      <c r="I14" s="64"/>
    </row>
    <row r="15" spans="1:9" ht="15.95" customHeight="1">
      <c r="A15" s="450"/>
      <c r="B15" s="355"/>
      <c r="C15" s="363"/>
      <c r="D15" s="363"/>
      <c r="E15" s="363"/>
      <c r="F15" s="366"/>
      <c r="G15" s="366"/>
      <c r="H15" s="307">
        <f t="shared" si="0"/>
        <v>0</v>
      </c>
      <c r="I15" s="64"/>
    </row>
    <row r="16" spans="1:9" ht="15.95" customHeight="1">
      <c r="A16" s="450"/>
      <c r="B16" s="355"/>
      <c r="C16" s="363"/>
      <c r="D16" s="363"/>
      <c r="E16" s="363"/>
      <c r="F16" s="366"/>
      <c r="G16" s="366"/>
      <c r="H16" s="307">
        <f t="shared" si="0"/>
        <v>0</v>
      </c>
      <c r="I16" s="64"/>
    </row>
    <row r="17" spans="1:9" ht="15.95" customHeight="1">
      <c r="A17" s="450"/>
      <c r="B17" s="355"/>
      <c r="C17" s="363"/>
      <c r="D17" s="363"/>
      <c r="E17" s="363"/>
      <c r="F17" s="366"/>
      <c r="G17" s="366"/>
      <c r="H17" s="307">
        <f t="shared" si="0"/>
        <v>0</v>
      </c>
      <c r="I17" s="64"/>
    </row>
    <row r="18" spans="1:9" ht="15.95" customHeight="1">
      <c r="A18" s="450"/>
      <c r="B18" s="355"/>
      <c r="C18" s="363"/>
      <c r="D18" s="363"/>
      <c r="E18" s="363"/>
      <c r="F18" s="366"/>
      <c r="G18" s="366"/>
      <c r="H18" s="307">
        <f t="shared" si="0"/>
        <v>0</v>
      </c>
      <c r="I18" s="64"/>
    </row>
    <row r="19" spans="1:9" ht="15.95" customHeight="1">
      <c r="A19" s="450"/>
      <c r="B19" s="355"/>
      <c r="C19" s="363"/>
      <c r="D19" s="363"/>
      <c r="E19" s="363"/>
      <c r="F19" s="366"/>
      <c r="G19" s="366"/>
      <c r="H19" s="307">
        <f t="shared" si="0"/>
        <v>0</v>
      </c>
      <c r="I19" s="64"/>
    </row>
    <row r="20" spans="1:9" ht="15.95" customHeight="1">
      <c r="A20" s="450"/>
      <c r="B20" s="355"/>
      <c r="C20" s="363"/>
      <c r="D20" s="363"/>
      <c r="E20" s="363"/>
      <c r="F20" s="366"/>
      <c r="G20" s="366"/>
      <c r="H20" s="307">
        <f t="shared" si="0"/>
        <v>0</v>
      </c>
      <c r="I20" s="64"/>
    </row>
    <row r="21" spans="1:9" ht="15.95" customHeight="1">
      <c r="A21" s="450"/>
      <c r="B21" s="355"/>
      <c r="C21" s="363"/>
      <c r="D21" s="363"/>
      <c r="E21" s="363"/>
      <c r="F21" s="366"/>
      <c r="G21" s="366"/>
      <c r="H21" s="307">
        <f t="shared" si="0"/>
        <v>0</v>
      </c>
      <c r="I21" s="64"/>
    </row>
    <row r="22" spans="1:9" ht="15.95" customHeight="1">
      <c r="A22" s="450"/>
      <c r="B22" s="355"/>
      <c r="C22" s="363"/>
      <c r="D22" s="363"/>
      <c r="E22" s="363"/>
      <c r="F22" s="366"/>
      <c r="G22" s="366"/>
      <c r="H22" s="307">
        <f t="shared" si="0"/>
        <v>0</v>
      </c>
      <c r="I22" s="64"/>
    </row>
    <row r="23" spans="1:9" ht="15.95" customHeight="1">
      <c r="A23" s="450"/>
      <c r="B23" s="355"/>
      <c r="C23" s="367" t="s">
        <v>137</v>
      </c>
      <c r="D23" s="387"/>
      <c r="E23" s="387"/>
      <c r="F23" s="389"/>
      <c r="G23" s="389"/>
      <c r="H23" s="390">
        <f t="shared" si="0"/>
        <v>0</v>
      </c>
      <c r="I23" s="391"/>
    </row>
    <row r="24" spans="1:9" ht="15.95" customHeight="1">
      <c r="A24" s="450"/>
      <c r="B24" s="372"/>
      <c r="C24" s="398"/>
      <c r="D24" s="398"/>
      <c r="E24" s="398"/>
      <c r="F24" s="396"/>
      <c r="G24" s="396"/>
      <c r="H24" s="397">
        <f>SUM(H3:H23)</f>
        <v>0</v>
      </c>
      <c r="I24" s="398"/>
    </row>
    <row r="25" spans="1:9" ht="15.95" customHeight="1">
      <c r="A25" s="450"/>
      <c r="B25" s="355" t="s">
        <v>156</v>
      </c>
      <c r="C25" s="356"/>
      <c r="D25" s="356"/>
      <c r="E25" s="356"/>
      <c r="F25" s="359"/>
      <c r="G25" s="359"/>
      <c r="H25" s="360">
        <f t="shared" si="0"/>
        <v>0</v>
      </c>
      <c r="I25" s="361"/>
    </row>
    <row r="26" spans="1:9" ht="15.95" customHeight="1">
      <c r="A26" s="450"/>
      <c r="B26" s="355" t="s">
        <v>160</v>
      </c>
      <c r="C26" s="363"/>
      <c r="D26" s="363"/>
      <c r="E26" s="363"/>
      <c r="F26" s="366"/>
      <c r="G26" s="366"/>
      <c r="H26" s="307">
        <f t="shared" si="0"/>
        <v>0</v>
      </c>
      <c r="I26" s="64"/>
    </row>
    <row r="27" spans="1:9" ht="15.95" customHeight="1">
      <c r="A27" s="450"/>
      <c r="B27" s="355"/>
      <c r="C27" s="363"/>
      <c r="D27" s="363"/>
      <c r="E27" s="363"/>
      <c r="F27" s="366"/>
      <c r="G27" s="366"/>
      <c r="H27" s="307">
        <f t="shared" si="0"/>
        <v>0</v>
      </c>
      <c r="I27" s="64"/>
    </row>
    <row r="28" spans="1:9" ht="15.95" customHeight="1">
      <c r="A28" s="450"/>
      <c r="B28" s="355"/>
      <c r="C28" s="363"/>
      <c r="D28" s="363"/>
      <c r="E28" s="363"/>
      <c r="F28" s="366"/>
      <c r="G28" s="366"/>
      <c r="H28" s="307">
        <f t="shared" si="0"/>
        <v>0</v>
      </c>
      <c r="I28" s="64"/>
    </row>
    <row r="29" spans="1:9" ht="15.95" customHeight="1">
      <c r="A29" s="450"/>
      <c r="B29" s="355"/>
      <c r="C29" s="367" t="s">
        <v>137</v>
      </c>
      <c r="D29" s="367"/>
      <c r="E29" s="367"/>
      <c r="F29" s="370"/>
      <c r="G29" s="370"/>
      <c r="H29" s="307">
        <f t="shared" si="0"/>
        <v>0</v>
      </c>
      <c r="I29" s="371"/>
    </row>
    <row r="30" spans="1:9" ht="15.95" customHeight="1">
      <c r="A30" s="450"/>
      <c r="B30" s="372"/>
      <c r="C30" s="373"/>
      <c r="D30" s="374"/>
      <c r="E30" s="374"/>
      <c r="F30" s="458"/>
      <c r="G30" s="376"/>
      <c r="H30" s="377">
        <f>SUM(H25:H29)</f>
        <v>0</v>
      </c>
      <c r="I30" s="378"/>
    </row>
    <row r="31" spans="1:9" ht="15.95" customHeight="1">
      <c r="A31" s="450"/>
      <c r="B31" s="399" t="s">
        <v>200</v>
      </c>
      <c r="C31" s="380"/>
      <c r="D31" s="380"/>
      <c r="E31" s="380"/>
      <c r="F31" s="383"/>
      <c r="G31" s="383"/>
      <c r="H31" s="384">
        <f t="shared" si="0"/>
        <v>0</v>
      </c>
      <c r="I31" s="385"/>
    </row>
    <row r="32" spans="1:9" ht="15.95" customHeight="1">
      <c r="A32" s="450"/>
      <c r="B32" s="355" t="s">
        <v>201</v>
      </c>
      <c r="C32" s="363"/>
      <c r="D32" s="363"/>
      <c r="E32" s="363"/>
      <c r="F32" s="366"/>
      <c r="G32" s="366"/>
      <c r="H32" s="307">
        <f t="shared" si="0"/>
        <v>0</v>
      </c>
      <c r="I32" s="64"/>
    </row>
    <row r="33" spans="1:9" ht="15.95" customHeight="1">
      <c r="A33" s="450"/>
      <c r="B33" s="355"/>
      <c r="C33" s="363"/>
      <c r="D33" s="363"/>
      <c r="E33" s="363"/>
      <c r="F33" s="366"/>
      <c r="G33" s="366"/>
      <c r="H33" s="307">
        <f t="shared" si="0"/>
        <v>0</v>
      </c>
      <c r="I33" s="64"/>
    </row>
    <row r="34" spans="1:9" ht="15.95" customHeight="1">
      <c r="A34" s="450"/>
      <c r="B34" s="355"/>
      <c r="C34" s="363"/>
      <c r="D34" s="363"/>
      <c r="E34" s="363"/>
      <c r="F34" s="366"/>
      <c r="G34" s="366"/>
      <c r="H34" s="307">
        <f t="shared" si="0"/>
        <v>0</v>
      </c>
      <c r="I34" s="64"/>
    </row>
    <row r="35" spans="1:9" ht="15.95" customHeight="1">
      <c r="A35" s="450"/>
      <c r="B35" s="355"/>
      <c r="C35" s="363"/>
      <c r="D35" s="363"/>
      <c r="E35" s="363"/>
      <c r="F35" s="366"/>
      <c r="G35" s="366"/>
      <c r="H35" s="307">
        <f t="shared" si="0"/>
        <v>0</v>
      </c>
      <c r="I35" s="64"/>
    </row>
    <row r="36" spans="1:9" ht="15.95" customHeight="1">
      <c r="A36" s="450"/>
      <c r="B36" s="355"/>
      <c r="C36" s="363"/>
      <c r="D36" s="363"/>
      <c r="E36" s="363"/>
      <c r="F36" s="366"/>
      <c r="G36" s="366"/>
      <c r="H36" s="307">
        <f t="shared" si="0"/>
        <v>0</v>
      </c>
      <c r="I36" s="64"/>
    </row>
    <row r="37" spans="1:9" ht="15.95" customHeight="1">
      <c r="A37" s="450"/>
      <c r="B37" s="355"/>
      <c r="C37" s="363"/>
      <c r="D37" s="363"/>
      <c r="E37" s="363"/>
      <c r="F37" s="366"/>
      <c r="G37" s="366"/>
      <c r="H37" s="307">
        <f t="shared" si="0"/>
        <v>0</v>
      </c>
      <c r="I37" s="64"/>
    </row>
    <row r="38" spans="1:9" ht="15.95" customHeight="1">
      <c r="A38" s="450"/>
      <c r="B38" s="355"/>
      <c r="C38" s="363"/>
      <c r="D38" s="363"/>
      <c r="E38" s="363"/>
      <c r="F38" s="366"/>
      <c r="G38" s="366"/>
      <c r="H38" s="307">
        <f t="shared" si="0"/>
        <v>0</v>
      </c>
      <c r="I38" s="64"/>
    </row>
    <row r="39" spans="1:9" ht="15.95" customHeight="1">
      <c r="A39" s="450"/>
      <c r="B39" s="355"/>
      <c r="C39" s="363"/>
      <c r="D39" s="363"/>
      <c r="E39" s="363"/>
      <c r="F39" s="366"/>
      <c r="G39" s="366"/>
      <c r="H39" s="307">
        <f t="shared" si="0"/>
        <v>0</v>
      </c>
      <c r="I39" s="64"/>
    </row>
    <row r="40" spans="1:9" ht="15.95" customHeight="1">
      <c r="A40" s="450"/>
      <c r="B40" s="355"/>
      <c r="C40" s="363"/>
      <c r="D40" s="363"/>
      <c r="E40" s="363"/>
      <c r="F40" s="366"/>
      <c r="G40" s="366"/>
      <c r="H40" s="307">
        <f t="shared" si="0"/>
        <v>0</v>
      </c>
      <c r="I40" s="64"/>
    </row>
    <row r="41" spans="1:9" ht="15.95" customHeight="1">
      <c r="A41" s="450"/>
      <c r="B41" s="355"/>
      <c r="C41" s="363"/>
      <c r="D41" s="363"/>
      <c r="E41" s="363"/>
      <c r="F41" s="366"/>
      <c r="G41" s="366"/>
      <c r="H41" s="307">
        <f t="shared" si="0"/>
        <v>0</v>
      </c>
      <c r="I41" s="64"/>
    </row>
    <row r="42" spans="1:9" ht="15.95" customHeight="1">
      <c r="A42" s="450"/>
      <c r="B42" s="355"/>
      <c r="C42" s="363"/>
      <c r="D42" s="363"/>
      <c r="E42" s="363"/>
      <c r="F42" s="366"/>
      <c r="G42" s="366"/>
      <c r="H42" s="307">
        <f t="shared" si="0"/>
        <v>0</v>
      </c>
      <c r="I42" s="64"/>
    </row>
    <row r="43" spans="1:9" ht="15.95" customHeight="1">
      <c r="A43" s="450"/>
      <c r="B43" s="355"/>
      <c r="C43" s="363"/>
      <c r="D43" s="363"/>
      <c r="E43" s="363"/>
      <c r="F43" s="366"/>
      <c r="G43" s="366"/>
      <c r="H43" s="307">
        <f t="shared" si="0"/>
        <v>0</v>
      </c>
      <c r="I43" s="64"/>
    </row>
    <row r="44" spans="1:9" ht="15.95" customHeight="1">
      <c r="A44" s="450"/>
      <c r="B44" s="355"/>
      <c r="C44" s="363"/>
      <c r="D44" s="363"/>
      <c r="E44" s="363"/>
      <c r="F44" s="366"/>
      <c r="G44" s="366"/>
      <c r="H44" s="307">
        <f t="shared" si="0"/>
        <v>0</v>
      </c>
      <c r="I44" s="64"/>
    </row>
    <row r="45" spans="1:9" ht="15.95" customHeight="1">
      <c r="A45" s="450"/>
      <c r="B45" s="355"/>
      <c r="C45" s="363"/>
      <c r="D45" s="363"/>
      <c r="E45" s="363"/>
      <c r="F45" s="366"/>
      <c r="G45" s="366"/>
      <c r="H45" s="307">
        <f t="shared" si="0"/>
        <v>0</v>
      </c>
      <c r="I45" s="64"/>
    </row>
    <row r="46" spans="1:9" ht="15.95" customHeight="1">
      <c r="A46" s="450"/>
      <c r="B46" s="355"/>
      <c r="C46" s="367" t="s">
        <v>137</v>
      </c>
      <c r="D46" s="367"/>
      <c r="E46" s="367"/>
      <c r="F46" s="370"/>
      <c r="G46" s="370"/>
      <c r="H46" s="317">
        <f t="shared" si="0"/>
        <v>0</v>
      </c>
      <c r="I46" s="371"/>
    </row>
    <row r="47" spans="1:9" ht="15.95" customHeight="1">
      <c r="A47" s="450"/>
      <c r="B47" s="372"/>
      <c r="C47" s="373"/>
      <c r="D47" s="374"/>
      <c r="E47" s="374"/>
      <c r="F47" s="376"/>
      <c r="G47" s="376"/>
      <c r="H47" s="377">
        <f>SUM(H31:H46)</f>
        <v>0</v>
      </c>
      <c r="I47" s="378"/>
    </row>
    <row r="48" spans="1:9" ht="15.95" customHeight="1">
      <c r="A48" s="450"/>
      <c r="B48" s="399" t="s">
        <v>59</v>
      </c>
      <c r="C48" s="380"/>
      <c r="D48" s="380"/>
      <c r="E48" s="380"/>
      <c r="F48" s="383"/>
      <c r="G48" s="383"/>
      <c r="H48" s="384">
        <f t="shared" si="0"/>
        <v>0</v>
      </c>
      <c r="I48" s="385"/>
    </row>
    <row r="49" spans="1:9" ht="15.95" customHeight="1">
      <c r="A49" s="450"/>
      <c r="B49" s="355"/>
      <c r="C49" s="363"/>
      <c r="D49" s="363"/>
      <c r="E49" s="363"/>
      <c r="F49" s="366"/>
      <c r="G49" s="366"/>
      <c r="H49" s="307">
        <f t="shared" si="0"/>
        <v>0</v>
      </c>
      <c r="I49" s="64"/>
    </row>
    <row r="50" spans="1:9" ht="15.95" customHeight="1">
      <c r="A50" s="450"/>
      <c r="B50" s="355"/>
      <c r="C50" s="363"/>
      <c r="D50" s="363"/>
      <c r="E50" s="363"/>
      <c r="F50" s="366"/>
      <c r="G50" s="366"/>
      <c r="H50" s="307">
        <f t="shared" si="0"/>
        <v>0</v>
      </c>
      <c r="I50" s="64"/>
    </row>
    <row r="51" spans="1:9" ht="15.95" customHeight="1">
      <c r="A51" s="450"/>
      <c r="B51" s="355"/>
      <c r="C51" s="363"/>
      <c r="D51" s="363"/>
      <c r="E51" s="363"/>
      <c r="F51" s="366"/>
      <c r="G51" s="366"/>
      <c r="H51" s="307">
        <f t="shared" si="0"/>
        <v>0</v>
      </c>
      <c r="I51" s="64"/>
    </row>
    <row r="52" spans="1:9" ht="15.95" customHeight="1">
      <c r="A52" s="450"/>
      <c r="B52" s="355"/>
      <c r="C52" s="363"/>
      <c r="D52" s="363"/>
      <c r="E52" s="363"/>
      <c r="F52" s="366"/>
      <c r="G52" s="366"/>
      <c r="H52" s="307">
        <f t="shared" si="0"/>
        <v>0</v>
      </c>
      <c r="I52" s="64"/>
    </row>
    <row r="53" spans="1:9" ht="15.95" customHeight="1">
      <c r="A53" s="450"/>
      <c r="B53" s="355"/>
      <c r="C53" s="363"/>
      <c r="D53" s="363"/>
      <c r="E53" s="363"/>
      <c r="F53" s="366"/>
      <c r="G53" s="366"/>
      <c r="H53" s="307">
        <f t="shared" si="0"/>
        <v>0</v>
      </c>
      <c r="I53" s="64"/>
    </row>
    <row r="54" spans="1:9" ht="15.95" customHeight="1">
      <c r="A54" s="450"/>
      <c r="B54" s="355"/>
      <c r="C54" s="367" t="s">
        <v>137</v>
      </c>
      <c r="D54" s="367"/>
      <c r="E54" s="367"/>
      <c r="F54" s="370"/>
      <c r="G54" s="370"/>
      <c r="H54" s="317">
        <f t="shared" si="0"/>
        <v>0</v>
      </c>
      <c r="I54" s="371"/>
    </row>
    <row r="55" spans="1:9" ht="15.95" customHeight="1">
      <c r="A55" s="450"/>
      <c r="B55" s="372"/>
      <c r="C55" s="373"/>
      <c r="D55" s="374"/>
      <c r="E55" s="374"/>
      <c r="F55" s="376"/>
      <c r="G55" s="376"/>
      <c r="H55" s="377">
        <f>SUM(H48:H54)</f>
        <v>0</v>
      </c>
      <c r="I55" s="378"/>
    </row>
    <row r="56" spans="1:9" ht="15.95" customHeight="1">
      <c r="A56" s="419"/>
      <c r="B56" s="420" t="s">
        <v>140</v>
      </c>
      <c r="C56" s="421"/>
      <c r="D56" s="378"/>
      <c r="E56" s="378"/>
      <c r="F56" s="423"/>
      <c r="G56" s="423"/>
      <c r="H56" s="377">
        <f>SUM(H55,H47,H30,H24)</f>
        <v>0</v>
      </c>
      <c r="I56" s="378"/>
    </row>
    <row r="57" spans="1:9" ht="15.95" customHeight="1">
      <c r="A57" s="474" t="s">
        <v>141</v>
      </c>
      <c r="B57" s="425" t="s">
        <v>65</v>
      </c>
      <c r="C57" s="421"/>
      <c r="D57" s="378"/>
      <c r="E57" s="425" t="s">
        <v>66</v>
      </c>
      <c r="F57" s="443"/>
      <c r="G57" s="428"/>
      <c r="H57" s="429">
        <f>F57*G57</f>
        <v>0</v>
      </c>
      <c r="I57" s="378"/>
    </row>
    <row r="58" spans="1:9" ht="15.95" customHeight="1">
      <c r="A58" s="450"/>
      <c r="B58" s="431" t="s">
        <v>247</v>
      </c>
      <c r="C58" s="432"/>
      <c r="D58" s="385"/>
      <c r="E58" s="431" t="s">
        <v>143</v>
      </c>
      <c r="F58" s="383"/>
      <c r="G58" s="383"/>
      <c r="H58" s="384">
        <f t="shared" ref="H58:H64" si="1">F58*G58</f>
        <v>0</v>
      </c>
      <c r="I58" s="385"/>
    </row>
    <row r="59" spans="1:9" ht="15.95" customHeight="1">
      <c r="A59" s="450"/>
      <c r="B59" s="504" t="s">
        <v>248</v>
      </c>
      <c r="C59" s="435"/>
      <c r="D59" s="64"/>
      <c r="E59" s="434" t="s">
        <v>143</v>
      </c>
      <c r="F59" s="366"/>
      <c r="G59" s="366"/>
      <c r="H59" s="307">
        <f t="shared" si="1"/>
        <v>0</v>
      </c>
      <c r="I59" s="64"/>
    </row>
    <row r="60" spans="1:9" ht="15.95" customHeight="1">
      <c r="A60" s="450"/>
      <c r="B60" s="434" t="s">
        <v>249</v>
      </c>
      <c r="C60" s="435"/>
      <c r="D60" s="64"/>
      <c r="E60" s="434" t="s">
        <v>143</v>
      </c>
      <c r="F60" s="366"/>
      <c r="G60" s="366"/>
      <c r="H60" s="307">
        <f t="shared" si="1"/>
        <v>0</v>
      </c>
      <c r="I60" s="64"/>
    </row>
    <row r="61" spans="1:9" ht="15.95" customHeight="1">
      <c r="A61" s="450"/>
      <c r="B61" s="434" t="s">
        <v>250</v>
      </c>
      <c r="C61" s="435"/>
      <c r="D61" s="64"/>
      <c r="E61" s="434" t="s">
        <v>143</v>
      </c>
      <c r="F61" s="366"/>
      <c r="G61" s="366"/>
      <c r="H61" s="307">
        <f t="shared" si="1"/>
        <v>0</v>
      </c>
      <c r="I61" s="64"/>
    </row>
    <row r="62" spans="1:9" ht="15.95" customHeight="1">
      <c r="A62" s="450"/>
      <c r="B62" s="434" t="s">
        <v>251</v>
      </c>
      <c r="C62" s="435"/>
      <c r="D62" s="64"/>
      <c r="E62" s="434" t="s">
        <v>143</v>
      </c>
      <c r="F62" s="366"/>
      <c r="G62" s="366"/>
      <c r="H62" s="307">
        <f t="shared" si="1"/>
        <v>0</v>
      </c>
      <c r="I62" s="64"/>
    </row>
    <row r="63" spans="1:9" ht="15.95" customHeight="1">
      <c r="A63" s="450"/>
      <c r="B63" s="434" t="s">
        <v>252</v>
      </c>
      <c r="C63" s="435"/>
      <c r="D63" s="64"/>
      <c r="E63" s="434" t="s">
        <v>143</v>
      </c>
      <c r="F63" s="366"/>
      <c r="G63" s="366"/>
      <c r="H63" s="307">
        <f t="shared" si="1"/>
        <v>0</v>
      </c>
      <c r="I63" s="64"/>
    </row>
    <row r="64" spans="1:9" ht="15.95" customHeight="1">
      <c r="A64" s="450"/>
      <c r="B64" s="437" t="s">
        <v>253</v>
      </c>
      <c r="C64" s="438"/>
      <c r="D64" s="371"/>
      <c r="E64" s="437" t="s">
        <v>143</v>
      </c>
      <c r="F64" s="370"/>
      <c r="G64" s="370"/>
      <c r="H64" s="317">
        <f t="shared" si="1"/>
        <v>0</v>
      </c>
      <c r="I64" s="371"/>
    </row>
    <row r="65" spans="1:9" ht="15.95" customHeight="1">
      <c r="A65" s="419"/>
      <c r="B65" s="440" t="s">
        <v>149</v>
      </c>
      <c r="C65" s="421"/>
      <c r="D65" s="378"/>
      <c r="E65" s="378"/>
      <c r="F65" s="376"/>
      <c r="G65" s="376"/>
      <c r="H65" s="376">
        <f>SUM(H57:H64)</f>
        <v>0</v>
      </c>
      <c r="I65" s="374"/>
    </row>
    <row r="66" spans="1:9" ht="15.95" customHeight="1">
      <c r="A66" s="426"/>
      <c r="B66" s="440" t="s">
        <v>173</v>
      </c>
      <c r="C66" s="421"/>
      <c r="D66" s="378"/>
      <c r="E66" s="378"/>
      <c r="F66" s="377"/>
      <c r="G66" s="377"/>
      <c r="H66" s="423">
        <f>'단위공사별(집계)'!L14+'단위공사별(집계)'!I14</f>
        <v>0</v>
      </c>
      <c r="I66" s="378"/>
    </row>
    <row r="67" spans="1:9" ht="15.95" customHeight="1">
      <c r="A67" s="426"/>
      <c r="B67" s="440" t="s">
        <v>91</v>
      </c>
      <c r="C67" s="421"/>
      <c r="D67" s="378"/>
      <c r="E67" s="378"/>
      <c r="F67" s="377"/>
      <c r="G67" s="442"/>
      <c r="H67" s="443"/>
      <c r="I67" s="421"/>
    </row>
    <row r="68" spans="1:9" ht="15.95" customHeight="1">
      <c r="A68" s="426"/>
      <c r="B68" s="440" t="s">
        <v>152</v>
      </c>
      <c r="C68" s="421"/>
      <c r="D68" s="378"/>
      <c r="E68" s="378"/>
      <c r="F68" s="377"/>
      <c r="G68" s="442"/>
      <c r="H68" s="443"/>
      <c r="I68" s="421"/>
    </row>
    <row r="69" spans="1:9" ht="15.95" customHeight="1">
      <c r="A69" s="426"/>
      <c r="B69" s="440" t="s">
        <v>153</v>
      </c>
      <c r="C69" s="421"/>
      <c r="D69" s="378"/>
      <c r="E69" s="378"/>
      <c r="F69" s="377"/>
      <c r="G69" s="377"/>
      <c r="H69" s="376">
        <f>H56+H65+H66+H67+H68</f>
        <v>0</v>
      </c>
      <c r="I69" s="378"/>
    </row>
    <row r="70" spans="1:9">
      <c r="A70" s="26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B1B7-6855-4BA0-954B-68F6CCE65DC3}">
  <sheetPr>
    <pageSetUpPr fitToPage="1"/>
  </sheetPr>
  <dimension ref="A1:D36"/>
  <sheetViews>
    <sheetView zoomScale="85" workbookViewId="0">
      <selection activeCell="K27" sqref="K27"/>
    </sheetView>
  </sheetViews>
  <sheetFormatPr defaultColWidth="9" defaultRowHeight="17.25" customHeight="1"/>
  <cols>
    <col min="1" max="1" width="16.5" style="1" customWidth="1"/>
    <col min="2" max="3" width="27.625" style="1" customWidth="1"/>
    <col min="4" max="4" width="11.5" style="1" customWidth="1"/>
    <col min="5" max="16384" width="9" style="1"/>
  </cols>
  <sheetData>
    <row r="1" spans="1:4" ht="17.25" customHeight="1">
      <c r="A1" s="1" t="s">
        <v>254</v>
      </c>
    </row>
    <row r="2" spans="1:4" ht="17.25" customHeight="1">
      <c r="D2" s="268" t="s">
        <v>125</v>
      </c>
    </row>
    <row r="3" spans="1:4" ht="24.75" customHeight="1">
      <c r="A3" s="505" t="s">
        <v>255</v>
      </c>
    </row>
    <row r="4" spans="1:4" ht="11.25" customHeight="1"/>
    <row r="5" spans="1:4" s="507" customFormat="1" ht="21" customHeight="1" thickBot="1">
      <c r="A5" s="506" t="s">
        <v>256</v>
      </c>
      <c r="B5" s="506" t="s">
        <v>257</v>
      </c>
      <c r="C5" s="506" t="s">
        <v>258</v>
      </c>
      <c r="D5" s="506" t="s">
        <v>28</v>
      </c>
    </row>
    <row r="6" spans="1:4" ht="17.25" customHeight="1" thickTop="1">
      <c r="A6" s="508"/>
      <c r="B6" s="508"/>
      <c r="C6" s="508"/>
      <c r="D6" s="508"/>
    </row>
    <row r="7" spans="1:4" ht="17.25" customHeight="1">
      <c r="A7" s="508"/>
      <c r="B7" s="508"/>
      <c r="C7" s="508"/>
      <c r="D7" s="508"/>
    </row>
    <row r="8" spans="1:4" ht="17.25" customHeight="1">
      <c r="A8" s="508"/>
      <c r="B8" s="508"/>
      <c r="C8" s="508"/>
      <c r="D8" s="508"/>
    </row>
    <row r="9" spans="1:4" ht="17.25" customHeight="1">
      <c r="A9" s="508"/>
      <c r="B9" s="508"/>
      <c r="C9" s="508"/>
      <c r="D9" s="508"/>
    </row>
    <row r="10" spans="1:4" ht="17.25" customHeight="1">
      <c r="A10" s="508"/>
      <c r="B10" s="508"/>
      <c r="C10" s="508"/>
      <c r="D10" s="508"/>
    </row>
    <row r="11" spans="1:4" ht="17.25" customHeight="1">
      <c r="A11" s="508"/>
      <c r="B11" s="508"/>
      <c r="C11" s="508"/>
      <c r="D11" s="508"/>
    </row>
    <row r="12" spans="1:4" ht="17.25" customHeight="1">
      <c r="A12" s="508"/>
      <c r="B12" s="508"/>
      <c r="C12" s="508"/>
      <c r="D12" s="508"/>
    </row>
    <row r="13" spans="1:4" ht="17.25" customHeight="1">
      <c r="A13" s="508"/>
      <c r="B13" s="508"/>
      <c r="C13" s="508"/>
      <c r="D13" s="508"/>
    </row>
    <row r="14" spans="1:4" ht="17.25" customHeight="1">
      <c r="A14" s="508"/>
      <c r="B14" s="508"/>
      <c r="C14" s="508"/>
      <c r="D14" s="508"/>
    </row>
    <row r="15" spans="1:4" ht="17.25" customHeight="1">
      <c r="A15" s="508"/>
      <c r="B15" s="508"/>
      <c r="C15" s="508"/>
      <c r="D15" s="508"/>
    </row>
    <row r="16" spans="1:4" ht="17.25" customHeight="1">
      <c r="A16" s="508"/>
      <c r="B16" s="508"/>
      <c r="C16" s="508"/>
      <c r="D16" s="508"/>
    </row>
    <row r="17" spans="1:4" ht="17.25" customHeight="1">
      <c r="A17" s="508"/>
      <c r="B17" s="508"/>
      <c r="C17" s="508"/>
      <c r="D17" s="508"/>
    </row>
    <row r="18" spans="1:4" ht="17.25" customHeight="1">
      <c r="A18" s="508"/>
      <c r="B18" s="508"/>
      <c r="C18" s="508"/>
      <c r="D18" s="508"/>
    </row>
    <row r="19" spans="1:4" ht="17.25" customHeight="1">
      <c r="A19" s="508"/>
      <c r="B19" s="508"/>
      <c r="C19" s="508"/>
      <c r="D19" s="508"/>
    </row>
    <row r="20" spans="1:4" ht="17.25" customHeight="1">
      <c r="A20" s="508"/>
      <c r="B20" s="508"/>
      <c r="C20" s="508"/>
      <c r="D20" s="508"/>
    </row>
    <row r="21" spans="1:4" ht="17.25" customHeight="1">
      <c r="A21" s="508"/>
      <c r="B21" s="508"/>
      <c r="C21" s="508"/>
      <c r="D21" s="508"/>
    </row>
    <row r="22" spans="1:4" ht="17.25" customHeight="1">
      <c r="A22" s="508"/>
      <c r="B22" s="508"/>
      <c r="C22" s="508"/>
      <c r="D22" s="508"/>
    </row>
    <row r="23" spans="1:4" ht="17.25" customHeight="1">
      <c r="A23" s="508"/>
      <c r="B23" s="508"/>
      <c r="C23" s="508"/>
      <c r="D23" s="508"/>
    </row>
    <row r="24" spans="1:4" ht="17.25" customHeight="1">
      <c r="A24" s="508"/>
      <c r="B24" s="508"/>
      <c r="C24" s="508"/>
      <c r="D24" s="508"/>
    </row>
    <row r="25" spans="1:4" ht="17.25" customHeight="1">
      <c r="A25" s="508"/>
      <c r="B25" s="508"/>
      <c r="C25" s="508"/>
      <c r="D25" s="508"/>
    </row>
    <row r="26" spans="1:4" ht="17.25" customHeight="1">
      <c r="A26" s="508"/>
      <c r="B26" s="508"/>
      <c r="C26" s="508"/>
      <c r="D26" s="508"/>
    </row>
    <row r="27" spans="1:4" ht="17.25" customHeight="1">
      <c r="A27" s="508"/>
      <c r="B27" s="508"/>
      <c r="C27" s="508"/>
      <c r="D27" s="508"/>
    </row>
    <row r="28" spans="1:4" ht="17.25" customHeight="1">
      <c r="A28" s="508"/>
      <c r="B28" s="508"/>
      <c r="C28" s="508"/>
      <c r="D28" s="508"/>
    </row>
    <row r="29" spans="1:4" ht="17.25" customHeight="1">
      <c r="A29" s="508"/>
      <c r="B29" s="508"/>
      <c r="C29" s="508"/>
      <c r="D29" s="508"/>
    </row>
    <row r="30" spans="1:4" ht="17.25" customHeight="1">
      <c r="A30" s="508"/>
      <c r="B30" s="508"/>
      <c r="C30" s="508"/>
      <c r="D30" s="508"/>
    </row>
    <row r="31" spans="1:4" ht="17.25" customHeight="1">
      <c r="A31" s="508"/>
      <c r="B31" s="508"/>
      <c r="C31" s="508"/>
      <c r="D31" s="508"/>
    </row>
    <row r="32" spans="1:4" ht="17.25" customHeight="1">
      <c r="A32" s="508"/>
      <c r="B32" s="508"/>
      <c r="C32" s="508"/>
      <c r="D32" s="508"/>
    </row>
    <row r="33" spans="1:4" ht="17.25" customHeight="1">
      <c r="A33" s="508"/>
      <c r="B33" s="508"/>
      <c r="C33" s="508"/>
      <c r="D33" s="508"/>
    </row>
    <row r="34" spans="1:4" ht="17.25" customHeight="1">
      <c r="A34" s="508"/>
      <c r="B34" s="508"/>
      <c r="C34" s="508"/>
      <c r="D34" s="508"/>
    </row>
    <row r="35" spans="1:4" ht="17.25" customHeight="1">
      <c r="A35" s="508"/>
      <c r="B35" s="508"/>
      <c r="C35" s="508"/>
      <c r="D35" s="508"/>
    </row>
    <row r="36" spans="1:4" ht="17.25" customHeight="1">
      <c r="A36" s="374"/>
      <c r="B36" s="374"/>
      <c r="C36" s="374"/>
      <c r="D36" s="374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2026-08-11T09:01:51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김상우 매니저 열관리부품구매팀</dc:creator>
  <cp:lastModifiedBy>김상우 매니저 열관리부품구매팀</cp:lastModifiedBy>
  <dcterms:created xsi:type="dcterms:W3CDTF">2026-08-11T00:01:45Z</dcterms:created>
  <dcterms:modified xsi:type="dcterms:W3CDTF">2026-08-11T00:02:14Z</dcterms:modified>
</cp:coreProperties>
</file>