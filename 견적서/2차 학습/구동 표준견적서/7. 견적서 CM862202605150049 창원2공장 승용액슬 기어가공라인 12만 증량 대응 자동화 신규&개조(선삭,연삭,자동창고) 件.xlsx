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0837\Downloads\"/>
    </mc:Choice>
  </mc:AlternateContent>
  <xr:revisionPtr revIDLastSave="0" documentId="13_ncr:1_{35D7BEEE-81B7-4BB1-B342-3149C745C08D}" xr6:coauthVersionLast="47" xr6:coauthVersionMax="47" xr10:uidLastSave="{00000000-0000-0000-0000-000000000000}"/>
  <bookViews>
    <workbookView xWindow="-108" yWindow="-108" windowWidth="23256" windowHeight="12576" tabRatio="1000" activeTab="8" xr2:uid="{695B8375-A3C7-408C-8334-DDE388560720}"/>
  </bookViews>
  <sheets>
    <sheet name="갑지" sheetId="16" r:id="rId1"/>
    <sheet name="원가항목별(집계)" sheetId="1" r:id="rId2"/>
    <sheet name="단위공사별(집계)" sheetId="2" r:id="rId3"/>
    <sheet name="전기" sheetId="3" r:id="rId4"/>
    <sheet name="단위장비1" sheetId="11" r:id="rId5"/>
    <sheet name="단위장비2" sheetId="10" r:id="rId6"/>
    <sheet name="단위장비3" sheetId="9" r:id="rId7"/>
    <sheet name="단위장비4" sheetId="7" r:id="rId8"/>
    <sheet name="단위장비5" sheetId="8" r:id="rId9"/>
    <sheet name="단위장비6" sheetId="6" r:id="rId10"/>
    <sheet name="단위장비7" sheetId="5" r:id="rId11"/>
    <sheet name="단위장비8" sheetId="4" r:id="rId12"/>
    <sheet name="단위장비9" sheetId="15" r:id="rId13"/>
    <sheet name="단위장비10" sheetId="14" r:id="rId14"/>
    <sheet name="첨부(견적조건차이내역)" sheetId="13" r:id="rId15"/>
  </sheets>
  <definedNames>
    <definedName name="_xlnm._FilterDatabase" localSheetId="4" hidden="1">단위장비1!$A$2:$I$49</definedName>
    <definedName name="_xlnm._FilterDatabase" localSheetId="5" hidden="1">단위장비2!$A$2:$I$50</definedName>
    <definedName name="_xlnm._FilterDatabase" localSheetId="6" hidden="1">단위장비3!$J$2:$J$61</definedName>
    <definedName name="_xlnm._FilterDatabase" localSheetId="7" hidden="1">단위장비4!$J$2:$J$52</definedName>
    <definedName name="_xlnm._FilterDatabase" localSheetId="8" hidden="1">단위장비5!$J$2:$J$51</definedName>
    <definedName name="_xlnm._FilterDatabase" localSheetId="9" hidden="1">단위장비6!$J$2:$J$63</definedName>
    <definedName name="_xlnm._FilterDatabase" localSheetId="10" hidden="1">단위장비7!$J$2:$J$69</definedName>
    <definedName name="_xlnm._FilterDatabase" localSheetId="11" hidden="1">단위장비8!$J$2:$J$69</definedName>
    <definedName name="_xlnm._FilterDatabase" localSheetId="3" hidden="1">전기!$A$2:$I$60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'원가항목별(집계)'!$A$1:$J$45</definedName>
    <definedName name="_xlnm.Print_Area" localSheetId="3">전기!$A:$I</definedName>
    <definedName name="_xlnm.Print_Area" localSheetId="14">'첨부(견적조건차이내역)'!$A$1:$D$36</definedName>
    <definedName name="_xlnm.Print_Titles" localSheetId="3">전기!$1:$2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6" l="1"/>
  <c r="H40" i="6"/>
  <c r="H39" i="6"/>
  <c r="H38" i="6"/>
  <c r="H37" i="6"/>
  <c r="H36" i="6"/>
  <c r="H35" i="6"/>
  <c r="H34" i="6"/>
  <c r="H28" i="6"/>
  <c r="H29" i="6"/>
  <c r="H30" i="6"/>
  <c r="H31" i="6"/>
  <c r="H32" i="6"/>
  <c r="H33" i="6"/>
  <c r="H27" i="6"/>
  <c r="H41" i="6"/>
  <c r="H42" i="6"/>
  <c r="H44" i="6"/>
  <c r="H45" i="6"/>
  <c r="H28" i="8"/>
  <c r="H29" i="8"/>
  <c r="H30" i="8"/>
  <c r="H31" i="8"/>
  <c r="H32" i="10"/>
  <c r="H33" i="7"/>
  <c r="H31" i="7"/>
  <c r="H32" i="7"/>
  <c r="H30" i="7"/>
  <c r="H34" i="7"/>
  <c r="H35" i="7"/>
  <c r="H18" i="7"/>
  <c r="H19" i="7"/>
  <c r="H20" i="7"/>
  <c r="H21" i="7"/>
  <c r="H22" i="7"/>
  <c r="H23" i="7"/>
  <c r="H40" i="9"/>
  <c r="H41" i="9"/>
  <c r="H42" i="9"/>
  <c r="H43" i="9"/>
  <c r="H44" i="9"/>
  <c r="H45" i="9"/>
  <c r="H46" i="9"/>
  <c r="H56" i="9"/>
  <c r="H55" i="9"/>
  <c r="H54" i="9"/>
  <c r="H53" i="9"/>
  <c r="H52" i="9"/>
  <c r="H51" i="9"/>
  <c r="H50" i="9"/>
  <c r="H39" i="9"/>
  <c r="H38" i="9"/>
  <c r="H37" i="9"/>
  <c r="H36" i="9"/>
  <c r="H35" i="9"/>
  <c r="H34" i="9"/>
  <c r="H33" i="9"/>
  <c r="H22" i="9"/>
  <c r="H21" i="9"/>
  <c r="H4" i="9"/>
  <c r="H3" i="9"/>
  <c r="H31" i="10"/>
  <c r="H38" i="10"/>
  <c r="H30" i="10"/>
  <c r="H29" i="10"/>
  <c r="H28" i="10"/>
  <c r="H47" i="9" l="1"/>
  <c r="H4" i="11"/>
  <c r="H18" i="11"/>
  <c r="H3" i="11"/>
  <c r="H17" i="11"/>
  <c r="H37" i="11"/>
  <c r="H32" i="11"/>
  <c r="H31" i="11"/>
  <c r="H30" i="11"/>
  <c r="H29" i="11"/>
  <c r="H28" i="11"/>
  <c r="H27" i="11"/>
  <c r="H27" i="10" l="1"/>
  <c r="H25" i="10"/>
  <c r="B9" i="2" l="1"/>
  <c r="B8" i="2"/>
  <c r="B7" i="2"/>
  <c r="A7" i="2" s="1"/>
  <c r="C27" i="16"/>
  <c r="C26" i="16"/>
  <c r="C25" i="16"/>
  <c r="C24" i="16"/>
  <c r="C23" i="16"/>
  <c r="C22" i="16"/>
  <c r="C21" i="16"/>
  <c r="C20" i="16"/>
  <c r="C19" i="16"/>
  <c r="H3" i="10"/>
  <c r="H5" i="11"/>
  <c r="H21" i="10"/>
  <c r="H20" i="10"/>
  <c r="H19" i="10"/>
  <c r="H18" i="10"/>
  <c r="H6" i="10"/>
  <c r="H5" i="10"/>
  <c r="H4" i="10"/>
  <c r="H7" i="11"/>
  <c r="H6" i="11"/>
  <c r="C18" i="16"/>
  <c r="B11" i="2"/>
  <c r="H3" i="8"/>
  <c r="H4" i="8"/>
  <c r="H5" i="8"/>
  <c r="H6" i="8"/>
  <c r="H26" i="10"/>
  <c r="B10" i="2"/>
  <c r="H21" i="11"/>
  <c r="H25" i="11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5" i="14"/>
  <c r="H26" i="14"/>
  <c r="H27" i="14"/>
  <c r="H28" i="14"/>
  <c r="H29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8" i="14"/>
  <c r="H55" i="14" s="1"/>
  <c r="H49" i="14"/>
  <c r="H50" i="14"/>
  <c r="H51" i="14"/>
  <c r="H52" i="14"/>
  <c r="H53" i="14"/>
  <c r="H54" i="14"/>
  <c r="H57" i="14"/>
  <c r="H58" i="14"/>
  <c r="D16" i="2" s="1"/>
  <c r="H59" i="14"/>
  <c r="E16" i="2" s="1"/>
  <c r="H60" i="14"/>
  <c r="H61" i="14"/>
  <c r="H62" i="14"/>
  <c r="H63" i="14"/>
  <c r="H64" i="14"/>
  <c r="G16" i="2" s="1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5" i="15"/>
  <c r="H30" i="15" s="1"/>
  <c r="H26" i="15"/>
  <c r="H27" i="15"/>
  <c r="H28" i="15"/>
  <c r="H29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8" i="15"/>
  <c r="H49" i="15"/>
  <c r="H50" i="15"/>
  <c r="H51" i="15"/>
  <c r="H52" i="15"/>
  <c r="H53" i="15"/>
  <c r="H54" i="15"/>
  <c r="H57" i="15"/>
  <c r="D15" i="2" s="1"/>
  <c r="H58" i="15"/>
  <c r="E15" i="2"/>
  <c r="H59" i="15"/>
  <c r="H60" i="15"/>
  <c r="H61" i="15"/>
  <c r="H62" i="15"/>
  <c r="G15" i="2" s="1"/>
  <c r="H63" i="15"/>
  <c r="H64" i="15"/>
  <c r="H15" i="2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5" i="4"/>
  <c r="H26" i="4"/>
  <c r="H27" i="4"/>
  <c r="H28" i="4"/>
  <c r="H29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8" i="4"/>
  <c r="H49" i="4"/>
  <c r="H55" i="4" s="1"/>
  <c r="H50" i="4"/>
  <c r="H51" i="4"/>
  <c r="H52" i="4"/>
  <c r="H53" i="4"/>
  <c r="H54" i="4"/>
  <c r="H57" i="4"/>
  <c r="D14" i="2" s="1"/>
  <c r="H58" i="4"/>
  <c r="H59" i="4"/>
  <c r="H60" i="4"/>
  <c r="H61" i="4"/>
  <c r="H62" i="4"/>
  <c r="H63" i="4"/>
  <c r="H64" i="4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5" i="5"/>
  <c r="H26" i="5"/>
  <c r="H27" i="5"/>
  <c r="H28" i="5"/>
  <c r="H29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8" i="5"/>
  <c r="H55" i="5" s="1"/>
  <c r="H49" i="5"/>
  <c r="H50" i="5"/>
  <c r="H51" i="5"/>
  <c r="H52" i="5"/>
  <c r="H53" i="5"/>
  <c r="H54" i="5"/>
  <c r="H57" i="5"/>
  <c r="E13" i="2" s="1"/>
  <c r="H58" i="5"/>
  <c r="F13" i="2" s="1"/>
  <c r="H59" i="5"/>
  <c r="H60" i="5"/>
  <c r="H61" i="5"/>
  <c r="H62" i="5"/>
  <c r="H63" i="5"/>
  <c r="H13" i="2" s="1"/>
  <c r="H64" i="5"/>
  <c r="H3" i="6"/>
  <c r="H4" i="6"/>
  <c r="H5" i="6"/>
  <c r="H6" i="6"/>
  <c r="H7" i="6"/>
  <c r="H8" i="6"/>
  <c r="H9" i="6"/>
  <c r="H10" i="6"/>
  <c r="H11" i="6"/>
  <c r="H13" i="6"/>
  <c r="H14" i="6"/>
  <c r="H15" i="6"/>
  <c r="H16" i="6"/>
  <c r="H17" i="6"/>
  <c r="H19" i="6"/>
  <c r="H20" i="6"/>
  <c r="H21" i="6"/>
  <c r="H22" i="6"/>
  <c r="H23" i="6"/>
  <c r="H24" i="6"/>
  <c r="H26" i="6"/>
  <c r="H46" i="6"/>
  <c r="H47" i="6"/>
  <c r="H48" i="6"/>
  <c r="H51" i="6"/>
  <c r="E12" i="2" s="1"/>
  <c r="H52" i="6"/>
  <c r="H53" i="6"/>
  <c r="H54" i="6"/>
  <c r="H55" i="6"/>
  <c r="H56" i="6"/>
  <c r="H57" i="6"/>
  <c r="H12" i="2" s="1"/>
  <c r="H58" i="6"/>
  <c r="H3" i="7"/>
  <c r="H4" i="7"/>
  <c r="H5" i="7"/>
  <c r="H6" i="7"/>
  <c r="H7" i="7"/>
  <c r="H8" i="7"/>
  <c r="H9" i="7"/>
  <c r="H10" i="7"/>
  <c r="H12" i="7"/>
  <c r="H13" i="7"/>
  <c r="H14" i="7"/>
  <c r="H15" i="7"/>
  <c r="H16" i="7"/>
  <c r="H24" i="7"/>
  <c r="H25" i="7"/>
  <c r="H26" i="7"/>
  <c r="H28" i="7"/>
  <c r="H29" i="7"/>
  <c r="H40" i="7"/>
  <c r="E10" i="2" s="1"/>
  <c r="H41" i="7"/>
  <c r="H42" i="7"/>
  <c r="H43" i="7"/>
  <c r="H44" i="7"/>
  <c r="H45" i="7"/>
  <c r="H46" i="7"/>
  <c r="H10" i="2" s="1"/>
  <c r="H47" i="7"/>
  <c r="H7" i="8"/>
  <c r="H8" i="8"/>
  <c r="H9" i="8"/>
  <c r="H10" i="8"/>
  <c r="H12" i="8"/>
  <c r="H13" i="8"/>
  <c r="H14" i="8"/>
  <c r="H15" i="8"/>
  <c r="H16" i="8"/>
  <c r="H18" i="8"/>
  <c r="H19" i="8"/>
  <c r="H20" i="8"/>
  <c r="H21" i="8"/>
  <c r="H22" i="8"/>
  <c r="H23" i="8"/>
  <c r="H24" i="8"/>
  <c r="H26" i="8"/>
  <c r="H27" i="8"/>
  <c r="H32" i="8"/>
  <c r="H33" i="8"/>
  <c r="H34" i="8"/>
  <c r="H35" i="8"/>
  <c r="H36" i="8"/>
  <c r="H39" i="8"/>
  <c r="E11" i="2" s="1"/>
  <c r="H40" i="8"/>
  <c r="H41" i="8"/>
  <c r="H42" i="8"/>
  <c r="H43" i="8"/>
  <c r="H44" i="8"/>
  <c r="H45" i="8"/>
  <c r="H11" i="2" s="1"/>
  <c r="H46" i="8"/>
  <c r="H5" i="9"/>
  <c r="H6" i="9"/>
  <c r="H7" i="9"/>
  <c r="H8" i="9"/>
  <c r="H9" i="9"/>
  <c r="H10" i="9"/>
  <c r="H11" i="9"/>
  <c r="H12" i="9"/>
  <c r="H13" i="9"/>
  <c r="H15" i="9"/>
  <c r="H16" i="9"/>
  <c r="H17" i="9"/>
  <c r="H18" i="9"/>
  <c r="H19" i="9"/>
  <c r="H23" i="9"/>
  <c r="H24" i="9"/>
  <c r="H25" i="9"/>
  <c r="H26" i="9"/>
  <c r="H27" i="9"/>
  <c r="H28" i="9"/>
  <c r="H29" i="9"/>
  <c r="H30" i="9"/>
  <c r="H31" i="9"/>
  <c r="H49" i="9"/>
  <c r="H57" i="9" s="1"/>
  <c r="G9" i="2"/>
  <c r="H7" i="10"/>
  <c r="H8" i="10"/>
  <c r="H9" i="10"/>
  <c r="H10" i="10"/>
  <c r="H12" i="10"/>
  <c r="H13" i="10"/>
  <c r="H14" i="10"/>
  <c r="H15" i="10"/>
  <c r="H16" i="10"/>
  <c r="H22" i="10"/>
  <c r="H23" i="10"/>
  <c r="H39" i="10"/>
  <c r="H41" i="10"/>
  <c r="H42" i="10"/>
  <c r="H43" i="10"/>
  <c r="H44" i="10"/>
  <c r="H8" i="2" s="1"/>
  <c r="H45" i="10"/>
  <c r="H8" i="11"/>
  <c r="H9" i="11"/>
  <c r="H11" i="11"/>
  <c r="H12" i="11"/>
  <c r="H13" i="11"/>
  <c r="H14" i="11"/>
  <c r="H15" i="11"/>
  <c r="H19" i="11"/>
  <c r="H20" i="11"/>
  <c r="H22" i="11"/>
  <c r="H23" i="11"/>
  <c r="H24" i="11"/>
  <c r="H33" i="11"/>
  <c r="H35" i="11" s="1"/>
  <c r="E7" i="2"/>
  <c r="H38" i="11"/>
  <c r="H39" i="11"/>
  <c r="H40" i="11"/>
  <c r="H41" i="11"/>
  <c r="H42" i="11"/>
  <c r="H43" i="11"/>
  <c r="H7" i="2" s="1"/>
  <c r="H44" i="11"/>
  <c r="H3" i="3"/>
  <c r="H4" i="3"/>
  <c r="H5" i="3"/>
  <c r="H6" i="3"/>
  <c r="H7" i="3"/>
  <c r="H8" i="3"/>
  <c r="H10" i="3"/>
  <c r="H11" i="3"/>
  <c r="H12" i="3"/>
  <c r="H13" i="3"/>
  <c r="H14" i="3"/>
  <c r="H15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9" i="3"/>
  <c r="H50" i="3"/>
  <c r="H51" i="3"/>
  <c r="I27" i="1" s="1"/>
  <c r="H52" i="3"/>
  <c r="I28" i="1" s="1"/>
  <c r="H53" i="3"/>
  <c r="I29" i="1" s="1"/>
  <c r="H54" i="3"/>
  <c r="I30" i="1" s="1"/>
  <c r="H55" i="3"/>
  <c r="I31" i="1" s="1"/>
  <c r="B12" i="2"/>
  <c r="B13" i="2"/>
  <c r="I13" i="2" s="1"/>
  <c r="B14" i="2"/>
  <c r="L14" i="2"/>
  <c r="H14" i="2"/>
  <c r="M14" i="2"/>
  <c r="B15" i="2"/>
  <c r="I15" i="2" s="1"/>
  <c r="B16" i="2"/>
  <c r="K16" i="2" s="1"/>
  <c r="G7" i="1"/>
  <c r="G12" i="1"/>
  <c r="H12" i="1"/>
  <c r="G13" i="1"/>
  <c r="H13" i="1"/>
  <c r="H14" i="1"/>
  <c r="G15" i="1"/>
  <c r="H15" i="1"/>
  <c r="G16" i="1"/>
  <c r="H16" i="1"/>
  <c r="G17" i="1"/>
  <c r="H17" i="1"/>
  <c r="G18" i="1"/>
  <c r="H18" i="1"/>
  <c r="G19" i="1"/>
  <c r="H19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L16" i="2"/>
  <c r="A14" i="2"/>
  <c r="L13" i="2"/>
  <c r="A16" i="2"/>
  <c r="I14" i="2"/>
  <c r="K14" i="2"/>
  <c r="F9" i="2"/>
  <c r="H9" i="2"/>
  <c r="K13" i="2"/>
  <c r="A13" i="2"/>
  <c r="H47" i="15" l="1"/>
  <c r="H24" i="4"/>
  <c r="K15" i="2"/>
  <c r="G13" i="2"/>
  <c r="H30" i="14"/>
  <c r="I16" i="2"/>
  <c r="H65" i="5"/>
  <c r="H30" i="4"/>
  <c r="H55" i="15"/>
  <c r="A15" i="2"/>
  <c r="F14" i="2"/>
  <c r="H47" i="4"/>
  <c r="H65" i="15"/>
  <c r="F15" i="2" s="1"/>
  <c r="H65" i="14"/>
  <c r="H16" i="2" s="1"/>
  <c r="H17" i="2" s="1"/>
  <c r="H47" i="14"/>
  <c r="H56" i="14" s="1"/>
  <c r="L15" i="2"/>
  <c r="H47" i="5"/>
  <c r="H56" i="5" s="1"/>
  <c r="H24" i="5"/>
  <c r="H24" i="15"/>
  <c r="H30" i="5"/>
  <c r="H24" i="14"/>
  <c r="H59" i="6"/>
  <c r="G12" i="2"/>
  <c r="F12" i="2"/>
  <c r="H12" i="6"/>
  <c r="H25" i="6"/>
  <c r="H49" i="6"/>
  <c r="H18" i="6"/>
  <c r="G11" i="2"/>
  <c r="H11" i="8"/>
  <c r="F11" i="2"/>
  <c r="H17" i="8"/>
  <c r="H25" i="8"/>
  <c r="H37" i="8"/>
  <c r="I26" i="1"/>
  <c r="G10" i="2"/>
  <c r="H38" i="7"/>
  <c r="F10" i="2"/>
  <c r="H11" i="7"/>
  <c r="H17" i="7"/>
  <c r="H48" i="7"/>
  <c r="H32" i="9"/>
  <c r="H20" i="9"/>
  <c r="H27" i="7"/>
  <c r="E9" i="2"/>
  <c r="H14" i="9"/>
  <c r="H9" i="3"/>
  <c r="H16" i="3"/>
  <c r="I24" i="1" s="1"/>
  <c r="H56" i="3"/>
  <c r="H16" i="11"/>
  <c r="G7" i="2"/>
  <c r="A8" i="2"/>
  <c r="A9" i="2" s="1"/>
  <c r="A10" i="2" s="1"/>
  <c r="A11" i="2" s="1"/>
  <c r="A12" i="2" s="1"/>
  <c r="H26" i="11"/>
  <c r="I18" i="1"/>
  <c r="I17" i="1"/>
  <c r="F8" i="2"/>
  <c r="H11" i="10"/>
  <c r="H46" i="10"/>
  <c r="I15" i="1"/>
  <c r="I19" i="1"/>
  <c r="I14" i="1"/>
  <c r="H24" i="10"/>
  <c r="E8" i="2"/>
  <c r="H17" i="10"/>
  <c r="G8" i="2"/>
  <c r="H36" i="10"/>
  <c r="H10" i="11"/>
  <c r="H66" i="4"/>
  <c r="H66" i="15"/>
  <c r="H47" i="3"/>
  <c r="H66" i="14"/>
  <c r="F16" i="2" s="1"/>
  <c r="H56" i="4"/>
  <c r="J15" i="2"/>
  <c r="H66" i="5"/>
  <c r="H56" i="15"/>
  <c r="F7" i="2"/>
  <c r="I16" i="1"/>
  <c r="I25" i="1"/>
  <c r="H45" i="11"/>
  <c r="E14" i="2"/>
  <c r="J14" i="2" s="1"/>
  <c r="N14" i="2" s="1"/>
  <c r="H65" i="4"/>
  <c r="I12" i="1"/>
  <c r="I13" i="1"/>
  <c r="H47" i="8"/>
  <c r="D13" i="2" l="1"/>
  <c r="H68" i="5"/>
  <c r="H67" i="5"/>
  <c r="H69" i="5" s="1"/>
  <c r="H38" i="8"/>
  <c r="J16" i="2"/>
  <c r="H50" i="6"/>
  <c r="H61" i="6" s="1"/>
  <c r="I32" i="1"/>
  <c r="H39" i="7"/>
  <c r="H50" i="7" s="1"/>
  <c r="H48" i="9"/>
  <c r="H60" i="9" s="1"/>
  <c r="I7" i="1"/>
  <c r="H48" i="3"/>
  <c r="I23" i="1" s="1"/>
  <c r="G17" i="2"/>
  <c r="I10" i="1"/>
  <c r="J39" i="1" s="1"/>
  <c r="H36" i="11"/>
  <c r="H47" i="11" s="1"/>
  <c r="I8" i="1"/>
  <c r="H37" i="10"/>
  <c r="H48" i="10" s="1"/>
  <c r="I9" i="1"/>
  <c r="I20" i="1"/>
  <c r="E17" i="2"/>
  <c r="H69" i="15"/>
  <c r="M15" i="2" s="1"/>
  <c r="P15" i="2" s="1"/>
  <c r="F17" i="2"/>
  <c r="H69" i="14"/>
  <c r="M16" i="2" s="1"/>
  <c r="P16" i="2" s="1"/>
  <c r="D11" i="2"/>
  <c r="P14" i="2"/>
  <c r="M13" i="2"/>
  <c r="J13" i="2"/>
  <c r="N13" i="2" s="1"/>
  <c r="P13" i="2"/>
  <c r="H25" i="16"/>
  <c r="E25" i="16"/>
  <c r="G25" i="16"/>
  <c r="H50" i="8"/>
  <c r="H49" i="8"/>
  <c r="H69" i="4"/>
  <c r="D12" i="2" l="1"/>
  <c r="H62" i="6"/>
  <c r="M12" i="2" s="1"/>
  <c r="M11" i="2"/>
  <c r="P11" i="2" s="1"/>
  <c r="I36" i="1"/>
  <c r="H51" i="7"/>
  <c r="M10" i="2" s="1"/>
  <c r="D10" i="2"/>
  <c r="H59" i="9"/>
  <c r="M9" i="2" s="1"/>
  <c r="D9" i="2"/>
  <c r="J49" i="1"/>
  <c r="I49" i="1" s="1"/>
  <c r="H59" i="3"/>
  <c r="H58" i="3"/>
  <c r="D7" i="2"/>
  <c r="H48" i="11"/>
  <c r="M7" i="2" s="1"/>
  <c r="I11" i="1"/>
  <c r="I35" i="1" s="1"/>
  <c r="H49" i="10"/>
  <c r="M8" i="2" s="1"/>
  <c r="D8" i="2"/>
  <c r="N15" i="2"/>
  <c r="E26" i="16" s="1"/>
  <c r="N16" i="2"/>
  <c r="E27" i="16" s="1"/>
  <c r="J48" i="1"/>
  <c r="I48" i="1" s="1"/>
  <c r="E24" i="16"/>
  <c r="H24" i="16"/>
  <c r="G24" i="16"/>
  <c r="P12" i="2" l="1"/>
  <c r="P9" i="2"/>
  <c r="I37" i="1"/>
  <c r="P10" i="2"/>
  <c r="I40" i="1"/>
  <c r="I39" i="1"/>
  <c r="I33" i="1"/>
  <c r="I34" i="1" s="1"/>
  <c r="H60" i="3"/>
  <c r="P7" i="2"/>
  <c r="D17" i="2"/>
  <c r="P8" i="2"/>
  <c r="I41" i="1"/>
  <c r="I21" i="1"/>
  <c r="I22" i="1" s="1"/>
  <c r="G26" i="16"/>
  <c r="H26" i="16"/>
  <c r="G27" i="16"/>
  <c r="H27" i="16"/>
  <c r="M17" i="2"/>
  <c r="C34" i="16" l="1"/>
  <c r="I42" i="1"/>
  <c r="P17" i="2"/>
  <c r="L11" i="2" s="1"/>
  <c r="K11" i="2" l="1"/>
  <c r="I11" i="2"/>
  <c r="J11" i="2" s="1"/>
  <c r="K9" i="2"/>
  <c r="I12" i="2"/>
  <c r="J12" i="2" s="1"/>
  <c r="K12" i="2"/>
  <c r="L12" i="2"/>
  <c r="L10" i="2"/>
  <c r="K10" i="2"/>
  <c r="I10" i="2"/>
  <c r="J10" i="2" s="1"/>
  <c r="I9" i="2"/>
  <c r="J9" i="2" s="1"/>
  <c r="L9" i="2"/>
  <c r="I7" i="2"/>
  <c r="J7" i="2" s="1"/>
  <c r="I8" i="2"/>
  <c r="J8" i="2" s="1"/>
  <c r="L8" i="2"/>
  <c r="K7" i="2"/>
  <c r="L7" i="2"/>
  <c r="K8" i="2"/>
  <c r="H48" i="8" l="1"/>
  <c r="H51" i="8" s="1"/>
  <c r="N11" i="2"/>
  <c r="H22" i="16" s="1"/>
  <c r="H60" i="6"/>
  <c r="H63" i="6" s="1"/>
  <c r="N12" i="2"/>
  <c r="N10" i="2"/>
  <c r="G21" i="16" s="1"/>
  <c r="H49" i="7"/>
  <c r="H52" i="7" s="1"/>
  <c r="N9" i="2"/>
  <c r="H20" i="16" s="1"/>
  <c r="H58" i="9"/>
  <c r="H61" i="9" s="1"/>
  <c r="L17" i="2"/>
  <c r="N8" i="2"/>
  <c r="G19" i="16" s="1"/>
  <c r="N7" i="2"/>
  <c r="H47" i="10"/>
  <c r="H50" i="10" s="1"/>
  <c r="H46" i="11"/>
  <c r="H49" i="11" s="1"/>
  <c r="K17" i="2"/>
  <c r="I17" i="2"/>
  <c r="I18" i="2" s="1"/>
  <c r="E22" i="16" l="1"/>
  <c r="G22" i="16"/>
  <c r="H23" i="16"/>
  <c r="E23" i="16"/>
  <c r="G23" i="16"/>
  <c r="H21" i="16"/>
  <c r="E21" i="16"/>
  <c r="G20" i="16"/>
  <c r="E20" i="16"/>
  <c r="H19" i="16"/>
  <c r="N17" i="2"/>
  <c r="E18" i="2" s="1"/>
  <c r="E19" i="16"/>
  <c r="J17" i="2"/>
  <c r="H18" i="16"/>
  <c r="E18" i="16"/>
  <c r="G18" i="16"/>
  <c r="F18" i="16"/>
  <c r="F28" i="16" s="1"/>
  <c r="G28" i="16" l="1"/>
  <c r="H28" i="16"/>
  <c r="G14" i="16" s="1"/>
  <c r="D14" i="16" s="1"/>
  <c r="D18" i="2"/>
  <c r="K18" i="2"/>
  <c r="M18" i="2"/>
  <c r="N20" i="2"/>
  <c r="J18" i="2"/>
  <c r="F18" i="2"/>
  <c r="G18" i="2"/>
  <c r="N18" i="2"/>
  <c r="L18" i="2"/>
  <c r="H18" i="2"/>
  <c r="E28" i="16"/>
</calcChain>
</file>

<file path=xl/sharedStrings.xml><?xml version="1.0" encoding="utf-8"?>
<sst xmlns="http://schemas.openxmlformats.org/spreadsheetml/2006/main" count="1024" uniqueCount="359">
  <si>
    <t>표준안전관리비</t>
  </si>
  <si>
    <t>자재비</t>
    <phoneticPr fontId="2" type="noConversion"/>
  </si>
  <si>
    <t>외주제작품</t>
    <phoneticPr fontId="2" type="noConversion"/>
  </si>
  <si>
    <t>노무비</t>
    <phoneticPr fontId="2" type="noConversion"/>
  </si>
  <si>
    <t>설계</t>
    <phoneticPr fontId="2" type="noConversion"/>
  </si>
  <si>
    <t>제작</t>
    <phoneticPr fontId="2" type="noConversion"/>
  </si>
  <si>
    <t>조립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</si>
  <si>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</si>
  <si>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</si>
  <si>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</si>
  <si>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순번</t>
    <phoneticPr fontId="2" type="noConversion"/>
  </si>
  <si>
    <t>단위</t>
    <phoneticPr fontId="2" type="noConversion"/>
  </si>
  <si>
    <t>원가구분</t>
    <phoneticPr fontId="2" type="noConversion"/>
  </si>
  <si>
    <t>수량</t>
    <phoneticPr fontId="2" type="noConversion"/>
  </si>
  <si>
    <t>단가</t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</si>
  <si>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</si>
  <si>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기계/전기자재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</si>
  <si>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</si>
  <si>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</si>
  <si>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제작(제관,가공)</t>
    <phoneticPr fontId="2" type="noConversion"/>
  </si>
  <si>
    <t>도장</t>
    <phoneticPr fontId="2" type="noConversion"/>
  </si>
  <si>
    <t>加工必要資材</t>
    <phoneticPr fontId="2" type="noConversion"/>
  </si>
  <si>
    <t>加工不要資材</t>
    <phoneticPr fontId="2" type="noConversion"/>
  </si>
  <si>
    <t>순번</t>
    <phoneticPr fontId="2" type="noConversion"/>
  </si>
  <si>
    <t>자재비</t>
    <phoneticPr fontId="2" type="noConversion"/>
  </si>
  <si>
    <t>일반관리비</t>
    <phoneticPr fontId="2" type="noConversion"/>
  </si>
  <si>
    <t>합  계</t>
    <phoneticPr fontId="2" type="noConversion"/>
  </si>
  <si>
    <t>비  고</t>
    <phoneticPr fontId="2" type="noConversion"/>
  </si>
  <si>
    <t>수량</t>
    <phoneticPr fontId="2" type="noConversion"/>
  </si>
  <si>
    <t>단위:원</t>
    <phoneticPr fontId="2" type="noConversion"/>
  </si>
  <si>
    <t>구분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</si>
  <si>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</si>
  <si>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</si>
  <si>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</si>
  <si>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</si>
  <si>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</si>
  <si>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철자재</t>
    <phoneticPr fontId="2" type="noConversion"/>
  </si>
  <si>
    <t>구매품</t>
    <phoneticPr fontId="2" type="noConversion"/>
  </si>
  <si>
    <t>외주제작품</t>
    <phoneticPr fontId="2" type="noConversion"/>
  </si>
  <si>
    <t>전기자재</t>
    <phoneticPr fontId="2" type="noConversion"/>
  </si>
  <si>
    <t>노무비 소계</t>
    <phoneticPr fontId="2" type="noConversion"/>
  </si>
  <si>
    <t>자재비 소계</t>
    <phoneticPr fontId="2" type="noConversion"/>
  </si>
  <si>
    <t>이윤</t>
    <phoneticPr fontId="2" type="noConversion"/>
  </si>
  <si>
    <t>품  명</t>
    <phoneticPr fontId="2" type="noConversion"/>
  </si>
  <si>
    <t>(유공압품외)</t>
    <phoneticPr fontId="2" type="noConversion"/>
  </si>
  <si>
    <t>原MAKER</t>
    <phoneticPr fontId="2" type="noConversion"/>
  </si>
  <si>
    <t>기타자재</t>
    <phoneticPr fontId="2" type="noConversion"/>
  </si>
  <si>
    <t>운반및중장비사용,표준안전관리비</t>
    <phoneticPr fontId="2" type="noConversion"/>
  </si>
  <si>
    <t>기계 소계</t>
    <phoneticPr fontId="2" type="noConversion"/>
  </si>
  <si>
    <t>M/D</t>
  </si>
  <si>
    <t>M/D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</si>
  <si>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</si>
  <si>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</si>
  <si>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설치/시운전</t>
    <phoneticPr fontId="2" type="noConversion"/>
  </si>
  <si>
    <t>양산대응</t>
    <phoneticPr fontId="2" type="noConversion"/>
  </si>
  <si>
    <t>일반관리비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</si>
  <si>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</si>
  <si>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</si>
  <si>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</si>
  <si>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철거</t>
    <phoneticPr fontId="2" type="noConversion"/>
  </si>
  <si>
    <t>제작</t>
    <phoneticPr fontId="2" type="noConversion"/>
  </si>
  <si>
    <t>항   목</t>
    <phoneticPr fontId="2" type="noConversion"/>
  </si>
  <si>
    <t>3~7항 합계</t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</si>
  <si>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</si>
  <si>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정도검사포함</t>
    <phoneticPr fontId="2" type="noConversion"/>
  </si>
  <si>
    <t>개조공사時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</si>
  <si>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</si>
  <si>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소계</t>
    <phoneticPr fontId="2" type="noConversion"/>
  </si>
  <si>
    <t>전기 소계</t>
    <phoneticPr fontId="2" type="noConversion"/>
  </si>
  <si>
    <t>기존설비 철거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</si>
  <si>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</si>
  <si>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노
무
비</t>
    <phoneticPr fontId="2" type="noConversion"/>
  </si>
  <si>
    <t>설계,프로그램</t>
    <phoneticPr fontId="2" type="noConversion"/>
  </si>
  <si>
    <t>표준안전</t>
    <phoneticPr fontId="2" type="noConversion"/>
  </si>
  <si>
    <t>관리비</t>
    <phoneticPr fontId="2" type="noConversion"/>
  </si>
  <si>
    <t>일반관리 및 이윤</t>
    <phoneticPr fontId="2" type="noConversion"/>
  </si>
  <si>
    <t>자
재
비</t>
    <phoneticPr fontId="2" type="noConversion"/>
  </si>
  <si>
    <t>* 기계부문에 포함시킴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</si>
  <si>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</si>
  <si>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</si>
  <si>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자
재
비</t>
    <phoneticPr fontId="2" type="noConversion"/>
  </si>
  <si>
    <t>(첨부)</t>
    <phoneticPr fontId="2" type="noConversion"/>
  </si>
  <si>
    <t>□ 전기부문:</t>
    <phoneticPr fontId="2" type="noConversion"/>
  </si>
  <si>
    <t>(첨부)</t>
    <phoneticPr fontId="2" type="noConversion"/>
  </si>
  <si>
    <t>포장/운송</t>
    <phoneticPr fontId="2" type="noConversion"/>
  </si>
  <si>
    <t>중장비사용</t>
    <phoneticPr fontId="2" type="noConversion"/>
  </si>
  <si>
    <t>포장,운송 및 중장비 사용료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</si>
  <si>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</si>
  <si>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기존설비 철거</t>
    <phoneticPr fontId="2" type="noConversion"/>
  </si>
  <si>
    <t>기계
부문</t>
    <phoneticPr fontId="2" type="noConversion"/>
  </si>
  <si>
    <t>전기
부문</t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</si>
  <si>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</si>
  <si>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단위장비명</t>
    <phoneticPr fontId="2" type="noConversion"/>
  </si>
  <si>
    <t>철거(개조시)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</si>
  <si>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</si>
  <si>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t>현대/기아차 요구사양대비 견적조건 상이내역</t>
    <phoneticPr fontId="2" type="noConversion"/>
  </si>
  <si>
    <t>※ 현대/기아차의 요구사양과 업체견적사양이 다른경우만 작성</t>
    <phoneticPr fontId="2" type="noConversion"/>
  </si>
  <si>
    <t>(첨부)</t>
    <phoneticPr fontId="2" type="noConversion"/>
  </si>
  <si>
    <t>설치</t>
    <phoneticPr fontId="2" type="noConversion"/>
  </si>
  <si>
    <t>조립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</si>
  <si>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</si>
  <si>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</si>
  <si>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</si>
  <si>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</si>
  <si>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</si>
  <si>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</si>
  <si>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</si>
  <si>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</si>
  <si>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</si>
  <si>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</si>
  <si>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</si>
  <si>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</si>
  <si>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</si>
  <si>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</si>
  <si>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M/D</t>
    <phoneticPr fontId="2" type="noConversion"/>
  </si>
  <si>
    <t>식</t>
    <phoneticPr fontId="2" type="noConversion"/>
  </si>
  <si>
    <t>kg</t>
    <phoneticPr fontId="2" type="noConversion"/>
  </si>
  <si>
    <t>식</t>
    <phoneticPr fontId="2" type="noConversion"/>
  </si>
  <si>
    <t>일반구매품</t>
    <phoneticPr fontId="2" type="noConversion"/>
  </si>
  <si>
    <t>번호</t>
    <phoneticPr fontId="2" type="noConversion"/>
  </si>
  <si>
    <t>1. VAT 제외</t>
    <phoneticPr fontId="2" type="noConversion"/>
  </si>
  <si>
    <t>2. 기본 유틸리티공사 제외</t>
    <phoneticPr fontId="2" type="noConversion"/>
  </si>
  <si>
    <t>특기사항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</si>
  <si>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</si>
  <si>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</si>
  <si>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</si>
  <si>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</si>
  <si>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견적유효기간</t>
    <phoneticPr fontId="2" type="noConversion"/>
  </si>
  <si>
    <t>인도장소</t>
    <phoneticPr fontId="2" type="noConversion"/>
  </si>
  <si>
    <t>지불조건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</si>
  <si>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2" type="noConversion"/>
  </si>
  <si>
    <t xml:space="preserve">見  積  書   </t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</si>
  <si>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</si>
  <si>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</si>
  <si>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입하</t>
    <phoneticPr fontId="2" type="noConversion"/>
  </si>
  <si>
    <t>최종검수</t>
    <phoneticPr fontId="2" type="noConversion"/>
  </si>
  <si>
    <t>(현대/기아차 설비협력업체 견적통일양식)</t>
    <phoneticPr fontId="2" type="noConversion"/>
  </si>
  <si>
    <t>기계소계</t>
    <phoneticPr fontId="2" type="noConversion"/>
  </si>
  <si>
    <t>전기소계</t>
    <phoneticPr fontId="2" type="noConversion"/>
  </si>
  <si>
    <t>1식</t>
  </si>
  <si>
    <t>1식</t>
    <phoneticPr fontId="2" type="noConversion"/>
  </si>
  <si>
    <t>1식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</si>
  <si>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</si>
  <si>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상세품목내역</t>
    <phoneticPr fontId="2" type="noConversion"/>
  </si>
  <si>
    <t>합   계</t>
    <phoneticPr fontId="2" type="noConversion"/>
  </si>
  <si>
    <t>이         윤</t>
    <phoneticPr fontId="2" type="noConversion"/>
  </si>
  <si>
    <t>합         계</t>
    <phoneticPr fontId="2" type="noConversion"/>
  </si>
  <si>
    <t>식</t>
    <phoneticPr fontId="2" type="noConversion"/>
  </si>
  <si>
    <t>자재</t>
    <phoneticPr fontId="2" type="noConversion"/>
  </si>
  <si>
    <t>설치/해체/</t>
    <phoneticPr fontId="2" type="noConversion"/>
  </si>
  <si>
    <t>시운전 공사</t>
    <phoneticPr fontId="2" type="noConversion"/>
  </si>
  <si>
    <t>설치/해체 공사 자재</t>
    <phoneticPr fontId="2" type="noConversion"/>
  </si>
  <si>
    <t>시운전 자재 포함</t>
    <phoneticPr fontId="2" type="noConversion"/>
  </si>
  <si>
    <t>설치/해체/시운전</t>
    <phoneticPr fontId="2" type="noConversion"/>
  </si>
  <si>
    <t>공사 관련 자재</t>
    <phoneticPr fontId="2" type="noConversion"/>
  </si>
  <si>
    <t>계상기준1</t>
    <phoneticPr fontId="2" type="noConversion"/>
  </si>
  <si>
    <t>계상기준2</t>
    <phoneticPr fontId="2" type="noConversion"/>
  </si>
  <si>
    <t>제작/설치 전체</t>
    <phoneticPr fontId="2" type="noConversion"/>
  </si>
  <si>
    <t>당사내 설치비限</t>
    <phoneticPr fontId="2" type="noConversion"/>
  </si>
  <si>
    <t>대상액</t>
    <phoneticPr fontId="2" type="noConversion"/>
  </si>
  <si>
    <t>기준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</si>
  <si>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</si>
  <si>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t>안전관리비</t>
    <phoneticPr fontId="2" type="noConversion"/>
  </si>
  <si>
    <t>비고</t>
    <phoneticPr fontId="2" type="noConversion"/>
  </si>
  <si>
    <t>운반및중장비사용</t>
    <phoneticPr fontId="2" type="noConversion"/>
  </si>
  <si>
    <t>설치/철거/수리금액 기준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</si>
  <si>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</si>
  <si>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</si>
  <si>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</si>
  <si>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</si>
  <si>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t>산업안전관리비
[일반건설공사(을)]</t>
    <phoneticPr fontId="2" type="noConversion"/>
  </si>
  <si>
    <t>ST</t>
    <phoneticPr fontId="2" type="noConversion"/>
  </si>
  <si>
    <t>현대 위아 貴下</t>
    <phoneticPr fontId="2" type="noConversion"/>
  </si>
  <si>
    <t>작화. PROGRAM 비</t>
    <phoneticPr fontId="2" type="noConversion"/>
  </si>
  <si>
    <t>Manifold</t>
    <phoneticPr fontId="2" type="noConversion"/>
  </si>
  <si>
    <t>기계 가공</t>
    <phoneticPr fontId="2" type="noConversion"/>
  </si>
  <si>
    <t>상 /하 판 가공 및 PIN HOLE 가공</t>
    <phoneticPr fontId="2" type="noConversion"/>
  </si>
  <si>
    <t>견적금액</t>
    <phoneticPr fontId="2" type="noConversion"/>
  </si>
  <si>
    <t>귀사 지정장소</t>
    <phoneticPr fontId="2" type="noConversion"/>
  </si>
  <si>
    <t>협의사항</t>
    <phoneticPr fontId="2" type="noConversion"/>
  </si>
  <si>
    <t>M/D</t>
    <phoneticPr fontId="2" type="noConversion"/>
  </si>
  <si>
    <t>제출후 30 일</t>
    <phoneticPr fontId="2" type="noConversion"/>
  </si>
  <si>
    <t xml:space="preserve">        ⓐ3.15%(5억원미만),ⓑ2.53%+기초액(5억원 이상 ~ 50억원 미만),ⓒ2.60%(50억 이상일경우)</t>
    <phoneticPr fontId="2" type="noConversion"/>
  </si>
  <si>
    <r>
      <t xml:space="preserve">주1.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</t>
    </r>
    <phoneticPr fontId="2" type="noConversion"/>
  </si>
  <si>
    <t>기계부문</t>
    <phoneticPr fontId="2" type="noConversion"/>
  </si>
  <si>
    <t>전기부문</t>
    <phoneticPr fontId="2" type="noConversion"/>
  </si>
  <si>
    <r>
      <rPr>
        <sz val="11"/>
        <color indexed="8"/>
        <rFont val="굴림"/>
        <family val="3"/>
        <charset val="129"/>
      </rPr>
      <t xml:space="preserve">관리/이윤
</t>
    </r>
    <r>
      <rPr>
        <sz val="8"/>
        <color indexed="8"/>
        <rFont val="굴림"/>
        <family val="3"/>
        <charset val="129"/>
      </rPr>
      <t>(안전관리비포함)</t>
    </r>
  </si>
  <si>
    <t>공 사 명</t>
    <phoneticPr fontId="2" type="noConversion"/>
  </si>
  <si>
    <t>대표 : 조 창 제</t>
    <phoneticPr fontId="2" type="noConversion"/>
  </si>
  <si>
    <t xml:space="preserve">주소 : 대구 달성군 구지면 </t>
    <phoneticPr fontId="2" type="noConversion"/>
  </si>
  <si>
    <t xml:space="preserve">          국가산단대로 33길 245</t>
    <phoneticPr fontId="2" type="noConversion"/>
  </si>
  <si>
    <t>전화: 053-716-1775</t>
    <phoneticPr fontId="2" type="noConversion"/>
  </si>
  <si>
    <t>Fax: 053-710-9236</t>
    <phoneticPr fontId="2" type="noConversion"/>
  </si>
  <si>
    <t>견적담당: 전 용 준 책임매니저</t>
    <phoneticPr fontId="2" type="noConversion"/>
  </si>
  <si>
    <t>연 락 처 : 010-7588-1775</t>
    <phoneticPr fontId="2" type="noConversion"/>
  </si>
  <si>
    <t>오토라인</t>
    <phoneticPr fontId="2" type="noConversion"/>
  </si>
  <si>
    <t>㈜디엠테크놀러지</t>
    <phoneticPr fontId="2" type="noConversion"/>
  </si>
  <si>
    <r>
      <t>旣加工S</t>
    </r>
    <r>
      <rPr>
        <sz val="11"/>
        <rFont val="굴림"/>
        <family val="3"/>
        <charset val="129"/>
      </rPr>
      <t>UB資材</t>
    </r>
    <phoneticPr fontId="2" type="noConversion"/>
  </si>
  <si>
    <t>MAIN PANEL</t>
    <phoneticPr fontId="2" type="noConversion"/>
  </si>
  <si>
    <t>W1200xH2000xD500</t>
    <phoneticPr fontId="2" type="noConversion"/>
  </si>
  <si>
    <t>EA</t>
    <phoneticPr fontId="2" type="noConversion"/>
  </si>
  <si>
    <t>OP PANEL</t>
    <phoneticPr fontId="2" type="noConversion"/>
  </si>
  <si>
    <t>W400xH550xD200</t>
    <phoneticPr fontId="2" type="noConversion"/>
  </si>
  <si>
    <t>TB BOX</t>
    <phoneticPr fontId="2" type="noConversion"/>
  </si>
  <si>
    <t>W200xH280xD180</t>
    <phoneticPr fontId="2" type="noConversion"/>
  </si>
  <si>
    <t>BASE</t>
  </si>
  <si>
    <t>Q312B</t>
  </si>
  <si>
    <t>POWER</t>
  </si>
  <si>
    <t>Q61P</t>
  </si>
  <si>
    <t>CPU</t>
  </si>
  <si>
    <t>Q13UDV CPU</t>
  </si>
  <si>
    <t>DP MASTER</t>
  </si>
  <si>
    <t>QJ71PB92V</t>
  </si>
  <si>
    <t>ETHERNET</t>
  </si>
  <si>
    <t>QJ71E71-100</t>
  </si>
  <si>
    <t>POS</t>
  </si>
  <si>
    <t>QD77MS2</t>
  </si>
  <si>
    <t>CC-LINK MASTER</t>
  </si>
  <si>
    <t>QJ61BT11N</t>
  </si>
  <si>
    <t>INPUT</t>
  </si>
  <si>
    <t>QX42</t>
  </si>
  <si>
    <t>OUTPUT</t>
  </si>
  <si>
    <t>QY42P</t>
  </si>
  <si>
    <t>TOUCH PANEL</t>
  </si>
  <si>
    <t>GT2712-STBD</t>
  </si>
  <si>
    <t>HUB</t>
  </si>
  <si>
    <t>IES10-SW8</t>
  </si>
  <si>
    <t>CC-LINK REMOTE</t>
  </si>
  <si>
    <t>AJ65SBTB1-32D</t>
  </si>
  <si>
    <t>AJ65SBTB1-16D</t>
  </si>
  <si>
    <t>AJ65SBTB2N-8R</t>
  </si>
  <si>
    <t>AJ65SBTB2N-16R</t>
  </si>
  <si>
    <t>경광등</t>
  </si>
  <si>
    <t>STA45SLMP-BZ-3-24-RAG-SL18</t>
  </si>
  <si>
    <t>2AXIS-I TYPE HEAD ASS'Y</t>
    <phoneticPr fontId="2" type="noConversion"/>
  </si>
  <si>
    <t>가반 10KG</t>
    <phoneticPr fontId="2" type="noConversion"/>
  </si>
  <si>
    <t>SET</t>
    <phoneticPr fontId="2" type="noConversion"/>
  </si>
  <si>
    <t>OEM제작</t>
    <phoneticPr fontId="2" type="noConversion"/>
  </si>
  <si>
    <t>LP 200/200-20V</t>
    <phoneticPr fontId="2" type="noConversion"/>
  </si>
  <si>
    <t>GANTRY 주행빔 ASS'Y</t>
    <phoneticPr fontId="2" type="noConversion"/>
  </si>
  <si>
    <t>m</t>
    <phoneticPr fontId="2" type="noConversion"/>
  </si>
  <si>
    <t>Post &amp; Base Plate</t>
    <phoneticPr fontId="2" type="noConversion"/>
  </si>
  <si>
    <t>200*200</t>
    <phoneticPr fontId="2" type="noConversion"/>
  </si>
  <si>
    <t>2D VISION SYSTEM</t>
    <phoneticPr fontId="2" type="noConversion"/>
  </si>
  <si>
    <t>MONITOR &amp; 거치대</t>
    <phoneticPr fontId="2" type="noConversion"/>
  </si>
  <si>
    <t>Robot Base</t>
    <phoneticPr fontId="2" type="noConversion"/>
  </si>
  <si>
    <t>Gripper Ass'y</t>
  </si>
  <si>
    <t>Gripper Ass'y</t>
    <phoneticPr fontId="2" type="noConversion"/>
  </si>
  <si>
    <t>AIR 부품 및 배관</t>
    <phoneticPr fontId="2" type="noConversion"/>
  </si>
  <si>
    <t>Pallet 고정 FRAME</t>
    <phoneticPr fontId="2" type="noConversion"/>
  </si>
  <si>
    <t>SHIFTER UNIT</t>
    <phoneticPr fontId="2" type="noConversion"/>
  </si>
  <si>
    <t>드레스팩</t>
    <phoneticPr fontId="2" type="noConversion"/>
  </si>
  <si>
    <t>Duct Ass'y</t>
    <phoneticPr fontId="2" type="noConversion"/>
  </si>
  <si>
    <t>Safety Fence &amp; sensor</t>
    <phoneticPr fontId="2" type="noConversion"/>
  </si>
  <si>
    <t>LG전자</t>
    <phoneticPr fontId="2" type="noConversion"/>
  </si>
  <si>
    <t>22인치 MONITOR &amp; 거치대</t>
    <phoneticPr fontId="2" type="noConversion"/>
  </si>
  <si>
    <t>TR.RSE.50/TRE.50 Assy</t>
    <phoneticPr fontId="2" type="noConversion"/>
  </si>
  <si>
    <t>이구스</t>
    <phoneticPr fontId="2" type="noConversion"/>
  </si>
  <si>
    <t>미쯔비시</t>
  </si>
  <si>
    <t>미쯔비시</t>
    <phoneticPr fontId="2" type="noConversion"/>
  </si>
  <si>
    <t>큐라이트</t>
    <phoneticPr fontId="2" type="noConversion"/>
  </si>
  <si>
    <t>OUT STOCKER</t>
    <phoneticPr fontId="2" type="noConversion"/>
  </si>
  <si>
    <t>FLAT CHAIN CONVEYOR</t>
    <phoneticPr fontId="2" type="noConversion"/>
  </si>
  <si>
    <t>2026 년 7월 15일</t>
    <phoneticPr fontId="2" type="noConversion"/>
  </si>
  <si>
    <t>2026 년   월   일</t>
    <phoneticPr fontId="2" type="noConversion"/>
  </si>
  <si>
    <t>창원2공장 승용액슬 기어가공라인 12만 증량 대응 자동화 신규&amp;개조(선삭,연삭,자동창고) 件</t>
    <phoneticPr fontId="2" type="noConversion"/>
  </si>
  <si>
    <t>위상정렬장치</t>
    <phoneticPr fontId="2" type="noConversion"/>
  </si>
  <si>
    <t>위상정렬</t>
    <phoneticPr fontId="2" type="noConversion"/>
  </si>
  <si>
    <t>AIR BLOWER</t>
    <phoneticPr fontId="2" type="noConversion"/>
  </si>
  <si>
    <t xml:space="preserve">칩제거 &amp; 틸팅장치 </t>
    <phoneticPr fontId="2" type="noConversion"/>
  </si>
  <si>
    <t xml:space="preserve">GRIPPER JAW </t>
  </si>
  <si>
    <t xml:space="preserve">GRIPPER JAW </t>
    <phoneticPr fontId="2" type="noConversion"/>
  </si>
  <si>
    <t>GRIPPER JAW TIP</t>
  </si>
  <si>
    <t>GRIPPER JAW TIP</t>
    <phoneticPr fontId="2" type="noConversion"/>
  </si>
  <si>
    <t xml:space="preserve">상부 PALLET </t>
    <phoneticPr fontId="2" type="noConversion"/>
  </si>
  <si>
    <t xml:space="preserve">STOCKER 상부 PALLET </t>
    <phoneticPr fontId="2" type="noConversion"/>
  </si>
  <si>
    <t>AMPS-1000F</t>
  </si>
  <si>
    <t>AMPS-500F</t>
  </si>
  <si>
    <t>AMPS-500F</t>
    <phoneticPr fontId="2" type="noConversion"/>
  </si>
  <si>
    <t>SET</t>
  </si>
  <si>
    <t>OEM제작</t>
  </si>
  <si>
    <t>연삭라인 연삭기 판넬에어컨 변경</t>
  </si>
  <si>
    <t>연삭라인 자동화 판넬에어컨 변경</t>
  </si>
  <si>
    <t>선삭라인 선반 판넬에어컨 변경</t>
  </si>
  <si>
    <t>선삭라인 자동화 판넬에어컨 변경</t>
  </si>
  <si>
    <t xml:space="preserve">선삭라인 측정기 판넬에어컨 변경 </t>
  </si>
  <si>
    <t>GRIPPER JAW</t>
  </si>
  <si>
    <t>GRIPPER JAW,1SET/KINDS</t>
  </si>
  <si>
    <t>GRIPPER JAW TIP,1SET/KINDS</t>
  </si>
  <si>
    <t>선삭 개조 라인</t>
    <phoneticPr fontId="2" type="noConversion"/>
  </si>
  <si>
    <t>선삭 신규 라인 IN ROBOT SYSTEM</t>
    <phoneticPr fontId="2" type="noConversion"/>
  </si>
  <si>
    <t>선삭 신규 라인 2AXIS-I GANTRY SYSTEM</t>
    <phoneticPr fontId="2" type="noConversion"/>
  </si>
  <si>
    <t>피니언 연삭 신규라인</t>
    <phoneticPr fontId="2" type="noConversion"/>
  </si>
  <si>
    <t>2AXIS-I TYPE HEAD ASS'Y</t>
  </si>
  <si>
    <t>가반 10KG</t>
  </si>
  <si>
    <t>GANTRY 주행빔 ASS'Y</t>
  </si>
  <si>
    <t>LP 200/200-20V</t>
  </si>
  <si>
    <t>m</t>
  </si>
  <si>
    <t>Post &amp; Base Plate</t>
  </si>
  <si>
    <t>200*200</t>
  </si>
  <si>
    <t>IN STOCKER</t>
    <phoneticPr fontId="2" type="noConversion"/>
  </si>
  <si>
    <t>90도 틸팅</t>
    <phoneticPr fontId="2" type="noConversion"/>
  </si>
  <si>
    <t>전장반 에어컨</t>
    <phoneticPr fontId="2" type="noConversion"/>
  </si>
  <si>
    <t>에어메이져</t>
    <phoneticPr fontId="2" type="noConversion"/>
  </si>
  <si>
    <t xml:space="preserve">OUT STOCKER </t>
    <phoneticPr fontId="2" type="noConversion"/>
  </si>
  <si>
    <t>액슬용접 자동창고 개조</t>
    <phoneticPr fontId="2" type="noConversion"/>
  </si>
  <si>
    <t>액슬용접 자동창고 신작</t>
    <phoneticPr fontId="2" type="noConversion"/>
  </si>
  <si>
    <t>Post-300*300*700mm</t>
    <phoneticPr fontId="2" type="noConversion"/>
  </si>
  <si>
    <t>Carriage Ass'y</t>
    <phoneticPr fontId="2" type="noConversion"/>
  </si>
  <si>
    <t>Z axis &amp; Box 파지 Gripper</t>
    <phoneticPr fontId="2" type="noConversion"/>
  </si>
  <si>
    <t>제작후 mtg부 가공</t>
    <phoneticPr fontId="2" type="noConversion"/>
  </si>
  <si>
    <t>With Roller / Upper Plate</t>
    <phoneticPr fontId="2" type="noConversion"/>
  </si>
  <si>
    <t xml:space="preserve">SET </t>
  </si>
  <si>
    <t xml:space="preserve">SET </t>
    <phoneticPr fontId="2" type="noConversion"/>
  </si>
  <si>
    <t>2단 Telescopic</t>
  </si>
  <si>
    <t xml:space="preserve">Z axis -Gear Box &amp; Coupling  </t>
    <phoneticPr fontId="2" type="noConversion"/>
  </si>
  <si>
    <t>ATLANTA 075 with Pinion</t>
    <phoneticPr fontId="2" type="noConversion"/>
  </si>
  <si>
    <t>Box-Base 거치대</t>
    <phoneticPr fontId="2" type="noConversion"/>
  </si>
  <si>
    <t>5900*350</t>
    <phoneticPr fontId="2" type="noConversion"/>
  </si>
  <si>
    <t>AMR 도킹 BKT &amp; ROLLER</t>
    <phoneticPr fontId="2" type="noConversion"/>
  </si>
  <si>
    <t>자동창고 운영 시스템</t>
  </si>
  <si>
    <t>자동창고 운영 시스템</t>
    <phoneticPr fontId="2" type="noConversion"/>
  </si>
  <si>
    <t>WCS&lt;-&gt;물류관제 I/F</t>
  </si>
  <si>
    <t>WCS&lt;-&gt;물류관제 I/F</t>
    <phoneticPr fontId="2" type="noConversion"/>
  </si>
  <si>
    <t>창고 물류 관제 시스템</t>
  </si>
  <si>
    <t>창고 물류 관제 시스템</t>
    <phoneticPr fontId="2" type="noConversion"/>
  </si>
  <si>
    <t>통합 연동 시운전 및 운영 지원</t>
  </si>
  <si>
    <t>통합 연동 시운전 및 운영 지원</t>
    <phoneticPr fontId="2" type="noConversion"/>
  </si>
  <si>
    <t>현황판 모니터</t>
  </si>
  <si>
    <t>현황판 모니터</t>
    <phoneticPr fontId="2" type="noConversion"/>
  </si>
  <si>
    <t>ATLANTA 90</t>
    <phoneticPr fontId="2" type="noConversion"/>
  </si>
  <si>
    <t>Gear Box</t>
    <phoneticPr fontId="2" type="noConversion"/>
  </si>
  <si>
    <t xml:space="preserve"> LP 200/200 35 VZ 20,000mm</t>
    <phoneticPr fontId="2" type="noConversion"/>
  </si>
  <si>
    <t>LP 200/200 35 FZ 20,000mm</t>
    <phoneticPr fontId="2" type="noConversion"/>
  </si>
  <si>
    <t>주행 AXIS-2</t>
    <phoneticPr fontId="2" type="noConversion"/>
  </si>
  <si>
    <t>주행 AXIS-1</t>
    <phoneticPr fontId="2" type="noConversion"/>
  </si>
  <si>
    <t>동력 전달</t>
    <phoneticPr fontId="2" type="noConversion"/>
  </si>
  <si>
    <t>Shaft &amp; Coupling &amp; Pinion</t>
    <phoneticPr fontId="2" type="noConversion"/>
  </si>
  <si>
    <t xml:space="preserve">Carriage Ass'y </t>
    <phoneticPr fontId="2" type="noConversion"/>
  </si>
  <si>
    <t>Post &amp; Base Plate &amp; Support Beam</t>
    <phoneticPr fontId="2" type="noConversion"/>
  </si>
  <si>
    <t>상부 Walkway &amp; Starway</t>
    <phoneticPr fontId="2" type="noConversion"/>
  </si>
  <si>
    <t>20m</t>
    <phoneticPr fontId="2" type="noConversion"/>
  </si>
  <si>
    <t>LP 250/200 35 VZ/VS-8,000mm</t>
    <phoneticPr fontId="2" type="noConversion"/>
  </si>
  <si>
    <t>Cross AXIS</t>
    <phoneticPr fontId="2" type="noConversion"/>
  </si>
  <si>
    <t>ATLANTA 75</t>
    <phoneticPr fontId="2" type="noConversion"/>
  </si>
  <si>
    <t xml:space="preserve">Duct Ass'y </t>
    <phoneticPr fontId="2" type="noConversion"/>
  </si>
  <si>
    <t>Cross Support beam</t>
    <phoneticPr fontId="2" type="noConversion"/>
  </si>
  <si>
    <t>2단 Telescopic 구조</t>
    <phoneticPr fontId="2" type="noConversion"/>
  </si>
  <si>
    <t>Z axis -Gear Box &amp; Coupling</t>
    <phoneticPr fontId="2" type="noConversion"/>
  </si>
  <si>
    <t xml:space="preserve"> PC &amp; PC RACK</t>
    <phoneticPr fontId="2" type="noConversion"/>
  </si>
  <si>
    <t>AGV 투입배출</t>
    <phoneticPr fontId="2" type="noConversion"/>
  </si>
  <si>
    <t>박스 투입/배출 컨베어</t>
    <phoneticPr fontId="2" type="noConversion"/>
  </si>
  <si>
    <t>CENTERING UNIT</t>
    <phoneticPr fontId="2" type="noConversion"/>
  </si>
  <si>
    <t>안전펜스</t>
    <phoneticPr fontId="2" type="noConversion"/>
  </si>
  <si>
    <t>안전펜스 &amp; 안전스위치</t>
    <phoneticPr fontId="2" type="noConversion"/>
  </si>
  <si>
    <t>BOX적치대</t>
    <phoneticPr fontId="2" type="noConversion"/>
  </si>
  <si>
    <t>BOX적치대 5900*350</t>
    <phoneticPr fontId="2" type="noConversion"/>
  </si>
  <si>
    <t>키엔스 비젼적용</t>
    <phoneticPr fontId="2" type="noConversion"/>
  </si>
  <si>
    <t>DM260526-1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</si>
</sst>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0.0\K\G"/>
    <numFmt numFmtId="177" formatCode="#,##0_);[Red]\(#,##0\)"/>
    <numFmt numFmtId="178" formatCode="#,##0_ "/>
    <numFmt numFmtId="179" formatCode="General&quot;상세견적&quot;"/>
    <numFmt numFmtId="180" formatCode="&quot;3.산업안전관리비&quot;\ #,##0_ &quot;원 포함&quot;"/>
    <numFmt numFmtId="181" formatCode="&quot;3. 산업안전관리비&quot;\ #,##0_ &quot;원 포함&quot;"/>
    <numFmt numFmtId="182" formatCode="#,##0.0_ "/>
    <numFmt numFmtId="183" formatCode="#,##0;[Red]#,##0"/>
    <numFmt numFmtId="184" formatCode="0.0_);[Red]\(0.0\)"/>
    <numFmt numFmtId="185" formatCode="0_);[Red]\(0\)"/>
    <numFmt numFmtId="186" formatCode="#,##0_ ;[Red]\-#,##0\ "/>
  </numFmts>
  <fonts count="34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10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sz val="11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sz val="11"/>
      <color indexed="10"/>
      <name val="굴림"/>
      <family val="3"/>
      <charset val="129"/>
    </font>
    <font>
      <b/>
      <sz val="12"/>
      <name val="굴림"/>
      <family val="3"/>
      <charset val="129"/>
    </font>
    <font>
      <sz val="14"/>
      <name val="HY헤드라인M"/>
      <family val="1"/>
      <charset val="129"/>
    </font>
    <font>
      <sz val="12"/>
      <color indexed="8"/>
      <name val="HY헤드라인M"/>
      <family val="1"/>
      <charset val="129"/>
    </font>
    <font>
      <b/>
      <sz val="11"/>
      <color indexed="10"/>
      <name val="굴림"/>
      <family val="3"/>
      <charset val="129"/>
    </font>
    <font>
      <b/>
      <sz val="10"/>
      <name val="굴림"/>
      <family val="3"/>
      <charset val="129"/>
    </font>
    <font>
      <sz val="12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b/>
      <sz val="14"/>
      <name val="굴림"/>
      <family val="3"/>
      <charset val="129"/>
    </font>
    <font>
      <sz val="12"/>
      <name val="굴림"/>
      <family val="3"/>
      <charset val="129"/>
    </font>
    <font>
      <sz val="14"/>
      <name val="굴림"/>
      <family val="3"/>
      <charset val="129"/>
    </font>
    <font>
      <b/>
      <sz val="16"/>
      <name val="굴림"/>
      <family val="3"/>
      <charset val="129"/>
    </font>
    <font>
      <sz val="30"/>
      <name val="HY견고딕"/>
      <family val="1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sz val="11"/>
      <name val="휴먼태각진그래픽"/>
      <family val="1"/>
      <charset val="129"/>
    </font>
    <font>
      <sz val="11"/>
      <name val="새굴림"/>
      <family val="1"/>
      <charset val="129"/>
    </font>
    <font>
      <b/>
      <u/>
      <sz val="11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color indexed="8"/>
      <name val="굴림"/>
      <family val="3"/>
      <charset val="129"/>
    </font>
    <font>
      <b/>
      <sz val="9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</cellStyleXfs>
  <cellXfs count="500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vertical="center"/>
    </xf>
    <xf numFmtId="3" fontId="5" fillId="0" borderId="0" xfId="0" applyNumberFormat="1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vertical="center"/>
    </xf>
    <xf numFmtId="3" fontId="5" fillId="0" borderId="6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vertical="center"/>
    </xf>
    <xf numFmtId="3" fontId="5" fillId="0" borderId="7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vertical="center"/>
    </xf>
    <xf numFmtId="3" fontId="5" fillId="0" borderId="10" xfId="0" applyNumberFormat="1" applyFont="1" applyBorder="1" applyAlignment="1">
      <alignment vertical="center"/>
    </xf>
    <xf numFmtId="3" fontId="5" fillId="0" borderId="11" xfId="0" applyNumberFormat="1" applyFont="1" applyBorder="1" applyAlignment="1">
      <alignment horizontal="center" vertical="center"/>
    </xf>
    <xf numFmtId="3" fontId="5" fillId="0" borderId="12" xfId="0" applyNumberFormat="1" applyFont="1" applyBorder="1" applyAlignment="1">
      <alignment vertical="center"/>
    </xf>
    <xf numFmtId="3" fontId="5" fillId="0" borderId="13" xfId="0" applyNumberFormat="1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8" fontId="0" fillId="0" borderId="15" xfId="0" applyNumberFormat="1" applyBorder="1" applyAlignment="1">
      <alignment vertical="center"/>
    </xf>
    <xf numFmtId="178" fontId="0" fillId="0" borderId="0" xfId="0" applyNumberFormat="1" applyAlignment="1">
      <alignment vertical="center"/>
    </xf>
    <xf numFmtId="0" fontId="0" fillId="0" borderId="16" xfId="0" applyBorder="1" applyAlignment="1">
      <alignment horizontal="center" vertical="center"/>
    </xf>
    <xf numFmtId="177" fontId="1" fillId="0" borderId="4" xfId="0" applyNumberFormat="1" applyFont="1" applyBorder="1" applyAlignment="1">
      <alignment vertical="center"/>
    </xf>
    <xf numFmtId="177" fontId="5" fillId="0" borderId="3" xfId="0" applyNumberFormat="1" applyFont="1" applyBorder="1" applyAlignment="1">
      <alignment vertical="center"/>
    </xf>
    <xf numFmtId="177" fontId="5" fillId="0" borderId="4" xfId="0" applyNumberFormat="1" applyFont="1" applyBorder="1" applyAlignment="1">
      <alignment vertic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3" fontId="5" fillId="0" borderId="19" xfId="0" applyNumberFormat="1" applyFont="1" applyBorder="1" applyAlignment="1">
      <alignment horizontal="center" vertical="center"/>
    </xf>
    <xf numFmtId="3" fontId="5" fillId="0" borderId="20" xfId="0" applyNumberFormat="1" applyFont="1" applyBorder="1" applyAlignment="1">
      <alignment horizontal="center" vertical="center"/>
    </xf>
    <xf numFmtId="178" fontId="0" fillId="0" borderId="21" xfId="0" applyNumberFormat="1" applyBorder="1" applyAlignment="1">
      <alignment vertical="center"/>
    </xf>
    <xf numFmtId="0" fontId="0" fillId="0" borderId="22" xfId="0" applyBorder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177" fontId="9" fillId="0" borderId="0" xfId="0" applyNumberFormat="1" applyFont="1" applyAlignment="1">
      <alignment vertical="center"/>
    </xf>
    <xf numFmtId="177" fontId="5" fillId="0" borderId="0" xfId="0" applyNumberFormat="1" applyFont="1" applyAlignment="1">
      <alignment vertical="center"/>
    </xf>
    <xf numFmtId="177" fontId="5" fillId="0" borderId="19" xfId="0" applyNumberFormat="1" applyFont="1" applyBorder="1" applyAlignment="1">
      <alignment horizontal="center" vertical="center"/>
    </xf>
    <xf numFmtId="177" fontId="5" fillId="0" borderId="17" xfId="0" applyNumberFormat="1" applyFont="1" applyBorder="1" applyAlignment="1">
      <alignment vertical="center"/>
    </xf>
    <xf numFmtId="177" fontId="4" fillId="0" borderId="4" xfId="0" applyNumberFormat="1" applyFont="1" applyBorder="1" applyAlignment="1">
      <alignment vertical="center"/>
    </xf>
    <xf numFmtId="177" fontId="4" fillId="0" borderId="23" xfId="0" applyNumberFormat="1" applyFont="1" applyBorder="1" applyAlignment="1">
      <alignment vertical="center"/>
    </xf>
    <xf numFmtId="177" fontId="4" fillId="0" borderId="3" xfId="0" applyNumberFormat="1" applyFont="1" applyBorder="1" applyAlignment="1">
      <alignment vertical="center"/>
    </xf>
    <xf numFmtId="177" fontId="4" fillId="0" borderId="24" xfId="0" applyNumberFormat="1" applyFont="1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8" fontId="0" fillId="0" borderId="27" xfId="0" applyNumberFormat="1" applyBorder="1" applyAlignment="1">
      <alignment vertical="center"/>
    </xf>
    <xf numFmtId="178" fontId="0" fillId="0" borderId="15" xfId="0" applyNumberFormat="1" applyBorder="1" applyAlignment="1">
      <alignment horizontal="center" vertical="center"/>
    </xf>
    <xf numFmtId="178" fontId="0" fillId="0" borderId="26" xfId="0" applyNumberFormat="1" applyBorder="1" applyAlignment="1">
      <alignment vertical="center"/>
    </xf>
    <xf numFmtId="178" fontId="0" fillId="0" borderId="16" xfId="0" applyNumberFormat="1" applyBorder="1" applyAlignment="1">
      <alignment vertical="center"/>
    </xf>
    <xf numFmtId="177" fontId="4" fillId="0" borderId="28" xfId="0" applyNumberFormat="1" applyFont="1" applyBorder="1" applyAlignment="1">
      <alignment vertical="center"/>
    </xf>
    <xf numFmtId="3" fontId="5" fillId="0" borderId="29" xfId="0" applyNumberFormat="1" applyFont="1" applyBorder="1" applyAlignment="1">
      <alignment vertical="center"/>
    </xf>
    <xf numFmtId="3" fontId="5" fillId="0" borderId="30" xfId="0" applyNumberFormat="1" applyFont="1" applyBorder="1" applyAlignment="1">
      <alignment horizontal="left" vertical="center"/>
    </xf>
    <xf numFmtId="177" fontId="4" fillId="0" borderId="31" xfId="0" applyNumberFormat="1" applyFont="1" applyBorder="1" applyAlignment="1">
      <alignment vertical="center"/>
    </xf>
    <xf numFmtId="0" fontId="0" fillId="0" borderId="32" xfId="0" applyBorder="1" applyAlignment="1">
      <alignment horizontal="center" vertical="center"/>
    </xf>
    <xf numFmtId="178" fontId="0" fillId="0" borderId="25" xfId="0" applyNumberFormat="1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8" fontId="11" fillId="0" borderId="0" xfId="0" applyNumberFormat="1" applyFont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2" borderId="36" xfId="0" applyFill="1" applyBorder="1" applyAlignment="1">
      <alignment vertical="center"/>
    </xf>
    <xf numFmtId="178" fontId="0" fillId="2" borderId="36" xfId="0" applyNumberFormat="1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4" fontId="1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4" fontId="5" fillId="0" borderId="0" xfId="0" applyNumberFormat="1" applyFont="1" applyAlignment="1">
      <alignment vertical="center"/>
    </xf>
    <xf numFmtId="177" fontId="5" fillId="0" borderId="2" xfId="0" applyNumberFormat="1" applyFont="1" applyBorder="1" applyAlignment="1">
      <alignment horizontal="center" vertical="center"/>
    </xf>
    <xf numFmtId="3" fontId="5" fillId="0" borderId="40" xfId="0" applyNumberFormat="1" applyFont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3" fontId="5" fillId="0" borderId="41" xfId="0" applyNumberFormat="1" applyFont="1" applyBorder="1" applyAlignment="1">
      <alignment vertical="center"/>
    </xf>
    <xf numFmtId="3" fontId="5" fillId="0" borderId="42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vertical="center"/>
    </xf>
    <xf numFmtId="177" fontId="5" fillId="0" borderId="17" xfId="0" applyNumberFormat="1" applyFont="1" applyBorder="1" applyAlignment="1">
      <alignment horizontal="right" vertical="center"/>
    </xf>
    <xf numFmtId="177" fontId="5" fillId="0" borderId="4" xfId="1" applyNumberFormat="1" applyFont="1" applyFill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0" fontId="0" fillId="0" borderId="44" xfId="0" applyBorder="1" applyAlignment="1">
      <alignment vertical="center"/>
    </xf>
    <xf numFmtId="0" fontId="0" fillId="0" borderId="44" xfId="0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0" fillId="0" borderId="45" xfId="0" applyBorder="1" applyAlignment="1">
      <alignment vertical="center"/>
    </xf>
    <xf numFmtId="178" fontId="0" fillId="0" borderId="46" xfId="0" applyNumberFormat="1" applyBorder="1" applyAlignment="1">
      <alignment vertical="center"/>
    </xf>
    <xf numFmtId="178" fontId="0" fillId="0" borderId="16" xfId="0" applyNumberFormat="1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178" fontId="0" fillId="0" borderId="49" xfId="0" applyNumberFormat="1" applyBorder="1" applyAlignment="1">
      <alignment vertical="center"/>
    </xf>
    <xf numFmtId="178" fontId="0" fillId="0" borderId="50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53" xfId="0" applyBorder="1" applyAlignment="1">
      <alignment vertical="center"/>
    </xf>
    <xf numFmtId="3" fontId="5" fillId="0" borderId="54" xfId="0" applyNumberFormat="1" applyFont="1" applyBorder="1" applyAlignment="1">
      <alignment vertical="center"/>
    </xf>
    <xf numFmtId="177" fontId="4" fillId="0" borderId="17" xfId="0" applyNumberFormat="1" applyFont="1" applyBorder="1" applyAlignment="1">
      <alignment vertical="center"/>
    </xf>
    <xf numFmtId="0" fontId="0" fillId="2" borderId="39" xfId="0" applyFill="1" applyBorder="1" applyAlignment="1">
      <alignment vertical="center"/>
    </xf>
    <xf numFmtId="178" fontId="0" fillId="2" borderId="39" xfId="0" applyNumberFormat="1" applyFill="1" applyBorder="1" applyAlignment="1">
      <alignment vertical="center"/>
    </xf>
    <xf numFmtId="0" fontId="0" fillId="2" borderId="37" xfId="0" applyFill="1" applyBorder="1" applyAlignment="1">
      <alignment vertical="center"/>
    </xf>
    <xf numFmtId="178" fontId="0" fillId="2" borderId="37" xfId="0" applyNumberFormat="1" applyFill="1" applyBorder="1" applyAlignment="1">
      <alignment vertical="center"/>
    </xf>
    <xf numFmtId="178" fontId="0" fillId="2" borderId="15" xfId="0" applyNumberFormat="1" applyFill="1" applyBorder="1" applyAlignment="1">
      <alignment vertical="center"/>
    </xf>
    <xf numFmtId="0" fontId="0" fillId="2" borderId="55" xfId="0" applyFill="1" applyBorder="1" applyAlignment="1">
      <alignment vertical="center"/>
    </xf>
    <xf numFmtId="178" fontId="0" fillId="2" borderId="55" xfId="0" applyNumberFormat="1" applyFill="1" applyBorder="1" applyAlignment="1">
      <alignment vertical="center"/>
    </xf>
    <xf numFmtId="178" fontId="0" fillId="0" borderId="54" xfId="0" applyNumberFormat="1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9" fontId="0" fillId="0" borderId="0" xfId="0" applyNumberFormat="1" applyAlignment="1">
      <alignment vertical="center"/>
    </xf>
    <xf numFmtId="3" fontId="4" fillId="0" borderId="0" xfId="0" applyNumberFormat="1" applyFont="1" applyAlignment="1">
      <alignment vertical="center"/>
    </xf>
    <xf numFmtId="3" fontId="5" fillId="0" borderId="56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77" fontId="11" fillId="0" borderId="0" xfId="0" applyNumberFormat="1" applyFont="1" applyAlignment="1">
      <alignment vertical="center"/>
    </xf>
    <xf numFmtId="3" fontId="5" fillId="0" borderId="59" xfId="0" applyNumberFormat="1" applyFont="1" applyBorder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0" fillId="0" borderId="49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50" xfId="0" applyBorder="1" applyAlignment="1">
      <alignment vertical="center"/>
    </xf>
    <xf numFmtId="179" fontId="17" fillId="0" borderId="60" xfId="0" applyNumberFormat="1" applyFont="1" applyBorder="1" applyAlignment="1">
      <alignment horizontal="center" vertical="center"/>
    </xf>
    <xf numFmtId="41" fontId="15" fillId="0" borderId="0" xfId="2" applyFont="1" applyAlignment="1">
      <alignment vertical="center"/>
    </xf>
    <xf numFmtId="0" fontId="0" fillId="0" borderId="15" xfId="0" applyBorder="1" applyAlignment="1">
      <alignment horizontal="right" vertical="center"/>
    </xf>
    <xf numFmtId="179" fontId="12" fillId="2" borderId="60" xfId="0" applyNumberFormat="1" applyFont="1" applyFill="1" applyBorder="1" applyAlignment="1">
      <alignment vertical="center"/>
    </xf>
    <xf numFmtId="176" fontId="0" fillId="0" borderId="21" xfId="0" applyNumberFormat="1" applyBorder="1" applyAlignment="1">
      <alignment vertical="center"/>
    </xf>
    <xf numFmtId="177" fontId="4" fillId="3" borderId="61" xfId="0" applyNumberFormat="1" applyFont="1" applyFill="1" applyBorder="1" applyAlignment="1">
      <alignment vertical="center"/>
    </xf>
    <xf numFmtId="178" fontId="0" fillId="0" borderId="62" xfId="0" applyNumberFormat="1" applyBorder="1" applyAlignment="1">
      <alignment horizontal="center" vertical="center"/>
    </xf>
    <xf numFmtId="178" fontId="0" fillId="0" borderId="62" xfId="0" applyNumberFormat="1" applyBorder="1" applyAlignment="1">
      <alignment horizontal="left" vertical="center"/>
    </xf>
    <xf numFmtId="178" fontId="1" fillId="0" borderId="63" xfId="0" applyNumberFormat="1" applyFont="1" applyBorder="1" applyAlignment="1">
      <alignment vertical="center"/>
    </xf>
    <xf numFmtId="178" fontId="0" fillId="0" borderId="64" xfId="0" applyNumberFormat="1" applyBorder="1" applyAlignment="1">
      <alignment vertical="center"/>
    </xf>
    <xf numFmtId="178" fontId="0" fillId="0" borderId="65" xfId="0" applyNumberFormat="1" applyBorder="1" applyAlignment="1">
      <alignment vertical="center"/>
    </xf>
    <xf numFmtId="178" fontId="0" fillId="0" borderId="66" xfId="0" applyNumberFormat="1" applyBorder="1" applyAlignment="1">
      <alignment vertical="center"/>
    </xf>
    <xf numFmtId="178" fontId="0" fillId="0" borderId="36" xfId="0" applyNumberFormat="1" applyBorder="1" applyAlignment="1">
      <alignment horizontal="center" vertical="center"/>
    </xf>
    <xf numFmtId="178" fontId="0" fillId="0" borderId="36" xfId="0" applyNumberFormat="1" applyBorder="1" applyAlignment="1">
      <alignment horizontal="left" vertical="center"/>
    </xf>
    <xf numFmtId="178" fontId="1" fillId="0" borderId="4" xfId="0" applyNumberFormat="1" applyFont="1" applyBorder="1" applyAlignment="1">
      <alignment vertical="center"/>
    </xf>
    <xf numFmtId="178" fontId="0" fillId="0" borderId="67" xfId="0" applyNumberFormat="1" applyBorder="1" applyAlignment="1">
      <alignment vertical="center"/>
    </xf>
    <xf numFmtId="178" fontId="0" fillId="0" borderId="68" xfId="0" applyNumberFormat="1" applyBorder="1" applyAlignment="1">
      <alignment vertical="center"/>
    </xf>
    <xf numFmtId="178" fontId="0" fillId="0" borderId="37" xfId="0" applyNumberFormat="1" applyBorder="1" applyAlignment="1">
      <alignment horizontal="center" vertical="center"/>
    </xf>
    <xf numFmtId="178" fontId="0" fillId="0" borderId="37" xfId="0" applyNumberFormat="1" applyBorder="1" applyAlignment="1">
      <alignment horizontal="left" vertical="center"/>
    </xf>
    <xf numFmtId="178" fontId="1" fillId="0" borderId="23" xfId="0" applyNumberFormat="1" applyFont="1" applyBorder="1" applyAlignment="1">
      <alignment vertical="center"/>
    </xf>
    <xf numFmtId="178" fontId="0" fillId="0" borderId="69" xfId="0" applyNumberFormat="1" applyBorder="1" applyAlignment="1">
      <alignment vertical="center"/>
    </xf>
    <xf numFmtId="178" fontId="0" fillId="0" borderId="70" xfId="0" applyNumberFormat="1" applyBorder="1" applyAlignment="1">
      <alignment vertical="center"/>
    </xf>
    <xf numFmtId="0" fontId="1" fillId="0" borderId="52" xfId="0" applyFont="1" applyBorder="1" applyAlignment="1">
      <alignment vertical="center"/>
    </xf>
    <xf numFmtId="3" fontId="12" fillId="0" borderId="0" xfId="0" applyNumberFormat="1" applyFont="1" applyAlignment="1">
      <alignment vertical="center"/>
    </xf>
    <xf numFmtId="3" fontId="3" fillId="0" borderId="4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10" fontId="5" fillId="0" borderId="0" xfId="1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8" fontId="1" fillId="0" borderId="71" xfId="0" applyNumberFormat="1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1" fillId="0" borderId="36" xfId="0" applyFont="1" applyBorder="1" applyAlignment="1">
      <alignment horizontal="center" vertical="center"/>
    </xf>
    <xf numFmtId="178" fontId="1" fillId="0" borderId="4" xfId="0" applyNumberFormat="1" applyFont="1" applyBorder="1" applyAlignment="1">
      <alignment horizontal="right" vertical="center"/>
    </xf>
    <xf numFmtId="0" fontId="1" fillId="0" borderId="36" xfId="0" applyFont="1" applyBorder="1" applyAlignment="1">
      <alignment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37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51" xfId="0" applyFont="1" applyBorder="1" applyAlignment="1">
      <alignment horizontal="center" vertical="center"/>
    </xf>
    <xf numFmtId="178" fontId="1" fillId="0" borderId="72" xfId="0" applyNumberFormat="1" applyFont="1" applyBorder="1" applyAlignment="1">
      <alignment vertical="center"/>
    </xf>
    <xf numFmtId="178" fontId="1" fillId="0" borderId="73" xfId="0" applyNumberFormat="1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5" fillId="0" borderId="59" xfId="0" applyFont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178" fontId="1" fillId="0" borderId="80" xfId="0" applyNumberFormat="1" applyFont="1" applyBorder="1" applyAlignment="1">
      <alignment vertical="center"/>
    </xf>
    <xf numFmtId="178" fontId="1" fillId="0" borderId="6" xfId="0" applyNumberFormat="1" applyFont="1" applyBorder="1" applyAlignment="1">
      <alignment vertical="center"/>
    </xf>
    <xf numFmtId="178" fontId="1" fillId="0" borderId="8" xfId="0" applyNumberFormat="1" applyFont="1" applyBorder="1" applyAlignment="1">
      <alignment vertical="center"/>
    </xf>
    <xf numFmtId="178" fontId="3" fillId="0" borderId="38" xfId="0" applyNumberFormat="1" applyFont="1" applyBorder="1" applyAlignment="1">
      <alignment horizontal="center" vertical="center"/>
    </xf>
    <xf numFmtId="178" fontId="3" fillId="0" borderId="60" xfId="0" applyNumberFormat="1" applyFont="1" applyBorder="1" applyAlignment="1">
      <alignment horizontal="center" vertical="center"/>
    </xf>
    <xf numFmtId="178" fontId="3" fillId="0" borderId="47" xfId="0" applyNumberFormat="1" applyFont="1" applyBorder="1" applyAlignment="1">
      <alignment horizontal="center" vertical="center"/>
    </xf>
    <xf numFmtId="9" fontId="3" fillId="0" borderId="81" xfId="1" applyFont="1" applyBorder="1" applyAlignment="1">
      <alignment vertical="center"/>
    </xf>
    <xf numFmtId="9" fontId="3" fillId="0" borderId="82" xfId="1" applyFont="1" applyBorder="1" applyAlignment="1">
      <alignment vertical="center"/>
    </xf>
    <xf numFmtId="9" fontId="3" fillId="0" borderId="81" xfId="1" applyFont="1" applyFill="1" applyBorder="1" applyAlignment="1">
      <alignment vertical="center"/>
    </xf>
    <xf numFmtId="9" fontId="3" fillId="0" borderId="83" xfId="1" applyFont="1" applyBorder="1" applyAlignment="1">
      <alignment vertical="center"/>
    </xf>
    <xf numFmtId="9" fontId="3" fillId="0" borderId="84" xfId="1" applyFont="1" applyBorder="1" applyAlignment="1">
      <alignment vertical="center"/>
    </xf>
    <xf numFmtId="178" fontId="3" fillId="0" borderId="47" xfId="0" applyNumberFormat="1" applyFont="1" applyBorder="1" applyAlignment="1">
      <alignment vertical="center"/>
    </xf>
    <xf numFmtId="178" fontId="3" fillId="0" borderId="0" xfId="0" applyNumberFormat="1" applyFont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178" fontId="26" fillId="0" borderId="85" xfId="0" applyNumberFormat="1" applyFont="1" applyBorder="1" applyAlignment="1">
      <alignment vertical="center"/>
    </xf>
    <xf numFmtId="178" fontId="26" fillId="0" borderId="63" xfId="0" applyNumberFormat="1" applyFont="1" applyBorder="1" applyAlignment="1">
      <alignment vertical="center"/>
    </xf>
    <xf numFmtId="178" fontId="26" fillId="0" borderId="86" xfId="0" applyNumberFormat="1" applyFont="1" applyBorder="1" applyAlignment="1">
      <alignment vertical="center"/>
    </xf>
    <xf numFmtId="178" fontId="26" fillId="0" borderId="13" xfId="0" applyNumberFormat="1" applyFont="1" applyBorder="1" applyAlignment="1">
      <alignment vertical="center"/>
    </xf>
    <xf numFmtId="178" fontId="26" fillId="0" borderId="4" xfId="0" applyNumberFormat="1" applyFont="1" applyBorder="1" applyAlignment="1">
      <alignment vertical="center"/>
    </xf>
    <xf numFmtId="178" fontId="26" fillId="0" borderId="5" xfId="0" applyNumberFormat="1" applyFont="1" applyBorder="1" applyAlignment="1">
      <alignment vertical="center"/>
    </xf>
    <xf numFmtId="178" fontId="26" fillId="0" borderId="87" xfId="0" applyNumberFormat="1" applyFont="1" applyBorder="1" applyAlignment="1">
      <alignment vertical="center"/>
    </xf>
    <xf numFmtId="178" fontId="26" fillId="0" borderId="23" xfId="0" applyNumberFormat="1" applyFont="1" applyBorder="1" applyAlignment="1">
      <alignment vertical="center"/>
    </xf>
    <xf numFmtId="178" fontId="26" fillId="0" borderId="9" xfId="0" applyNumberFormat="1" applyFont="1" applyBorder="1" applyAlignment="1">
      <alignment vertical="center"/>
    </xf>
    <xf numFmtId="178" fontId="26" fillId="0" borderId="1" xfId="0" applyNumberFormat="1" applyFont="1" applyBorder="1" applyAlignment="1">
      <alignment vertical="center"/>
    </xf>
    <xf numFmtId="178" fontId="26" fillId="0" borderId="2" xfId="0" applyNumberFormat="1" applyFont="1" applyBorder="1" applyAlignment="1">
      <alignment vertical="center"/>
    </xf>
    <xf numFmtId="178" fontId="26" fillId="0" borderId="40" xfId="0" applyNumberFormat="1" applyFont="1" applyBorder="1" applyAlignment="1">
      <alignment vertical="center"/>
    </xf>
    <xf numFmtId="9" fontId="27" fillId="0" borderId="88" xfId="1" applyFont="1" applyBorder="1" applyAlignment="1">
      <alignment vertical="center"/>
    </xf>
    <xf numFmtId="9" fontId="27" fillId="0" borderId="81" xfId="1" applyFont="1" applyBorder="1" applyAlignment="1">
      <alignment vertical="center"/>
    </xf>
    <xf numFmtId="9" fontId="27" fillId="0" borderId="89" xfId="1" applyFont="1" applyBorder="1" applyAlignment="1">
      <alignment vertical="center"/>
    </xf>
    <xf numFmtId="178" fontId="4" fillId="0" borderId="90" xfId="0" applyNumberFormat="1" applyFont="1" applyBorder="1" applyAlignment="1">
      <alignment vertical="center"/>
    </xf>
    <xf numFmtId="178" fontId="4" fillId="0" borderId="2" xfId="0" applyNumberFormat="1" applyFont="1" applyBorder="1" applyAlignment="1">
      <alignment vertical="center"/>
    </xf>
    <xf numFmtId="178" fontId="4" fillId="0" borderId="57" xfId="0" applyNumberFormat="1" applyFont="1" applyBorder="1" applyAlignment="1">
      <alignment vertical="center"/>
    </xf>
    <xf numFmtId="178" fontId="4" fillId="0" borderId="91" xfId="0" applyNumberFormat="1" applyFont="1" applyBorder="1" applyAlignment="1">
      <alignment vertical="center"/>
    </xf>
    <xf numFmtId="3" fontId="0" fillId="4" borderId="4" xfId="0" applyNumberForma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vertical="center"/>
    </xf>
    <xf numFmtId="177" fontId="5" fillId="4" borderId="17" xfId="0" applyNumberFormat="1" applyFont="1" applyFill="1" applyBorder="1" applyAlignment="1">
      <alignment vertical="center"/>
    </xf>
    <xf numFmtId="3" fontId="0" fillId="0" borderId="0" xfId="0" applyNumberFormat="1" applyAlignment="1">
      <alignment vertical="center"/>
    </xf>
    <xf numFmtId="0" fontId="0" fillId="2" borderId="92" xfId="0" applyFill="1" applyBorder="1" applyAlignment="1">
      <alignment vertical="center"/>
    </xf>
    <xf numFmtId="178" fontId="0" fillId="2" borderId="92" xfId="0" applyNumberFormat="1" applyFill="1" applyBorder="1" applyAlignment="1">
      <alignment vertical="center"/>
    </xf>
    <xf numFmtId="178" fontId="0" fillId="0" borderId="93" xfId="0" applyNumberFormat="1" applyBorder="1" applyAlignment="1">
      <alignment vertical="center"/>
    </xf>
    <xf numFmtId="0" fontId="0" fillId="0" borderId="92" xfId="0" applyBorder="1" applyAlignment="1">
      <alignment vertical="center"/>
    </xf>
    <xf numFmtId="0" fontId="0" fillId="5" borderId="27" xfId="0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178" fontId="0" fillId="5" borderId="15" xfId="0" applyNumberFormat="1" applyFill="1" applyBorder="1" applyAlignment="1">
      <alignment vertical="center"/>
    </xf>
    <xf numFmtId="178" fontId="0" fillId="5" borderId="27" xfId="0" applyNumberFormat="1" applyFill="1" applyBorder="1" applyAlignment="1">
      <alignment vertical="center"/>
    </xf>
    <xf numFmtId="0" fontId="0" fillId="6" borderId="48" xfId="0" applyFill="1" applyBorder="1" applyAlignment="1">
      <alignment vertical="center"/>
    </xf>
    <xf numFmtId="0" fontId="0" fillId="6" borderId="45" xfId="0" applyFill="1" applyBorder="1" applyAlignment="1">
      <alignment vertical="center"/>
    </xf>
    <xf numFmtId="3" fontId="0" fillId="0" borderId="5" xfId="0" applyNumberFormat="1" applyBorder="1" applyAlignment="1">
      <alignment vertical="center"/>
    </xf>
    <xf numFmtId="177" fontId="0" fillId="0" borderId="0" xfId="0" applyNumberFormat="1" applyAlignment="1">
      <alignment horizontal="left" vertical="center"/>
    </xf>
    <xf numFmtId="177" fontId="0" fillId="0" borderId="4" xfId="0" applyNumberFormat="1" applyBorder="1" applyAlignment="1">
      <alignment horizontal="center" vertical="center"/>
    </xf>
    <xf numFmtId="3" fontId="0" fillId="0" borderId="4" xfId="0" applyNumberFormat="1" applyBorder="1" applyAlignment="1">
      <alignment vertical="center"/>
    </xf>
    <xf numFmtId="3" fontId="0" fillId="0" borderId="4" xfId="0" applyNumberFormat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horizontal="right" vertical="center"/>
    </xf>
    <xf numFmtId="3" fontId="6" fillId="4" borderId="4" xfId="0" applyNumberFormat="1" applyFont="1" applyFill="1" applyBorder="1" applyAlignment="1">
      <alignment horizontal="center" vertical="center"/>
    </xf>
    <xf numFmtId="177" fontId="1" fillId="4" borderId="4" xfId="0" applyNumberFormat="1" applyFont="1" applyFill="1" applyBorder="1" applyAlignment="1">
      <alignment vertical="center"/>
    </xf>
    <xf numFmtId="3" fontId="3" fillId="4" borderId="17" xfId="0" applyNumberFormat="1" applyFont="1" applyFill="1" applyBorder="1" applyAlignment="1">
      <alignment horizontal="center" vertical="center"/>
    </xf>
    <xf numFmtId="3" fontId="5" fillId="4" borderId="4" xfId="0" applyNumberFormat="1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vertical="center" wrapText="1"/>
    </xf>
    <xf numFmtId="3" fontId="0" fillId="4" borderId="4" xfId="0" applyNumberFormat="1" applyFill="1" applyBorder="1" applyAlignment="1">
      <alignment vertical="center"/>
    </xf>
    <xf numFmtId="0" fontId="0" fillId="2" borderId="4" xfId="0" applyFill="1" applyBorder="1" applyAlignment="1">
      <alignment horizontal="left" vertical="center"/>
    </xf>
    <xf numFmtId="178" fontId="0" fillId="2" borderId="16" xfId="0" applyNumberFormat="1" applyFill="1" applyBorder="1" applyAlignment="1">
      <alignment vertical="center"/>
    </xf>
    <xf numFmtId="178" fontId="11" fillId="0" borderId="0" xfId="0" applyNumberFormat="1" applyFont="1" applyAlignment="1">
      <alignment horizontal="center" vertical="center"/>
    </xf>
    <xf numFmtId="178" fontId="0" fillId="2" borderId="55" xfId="0" applyNumberFormat="1" applyFill="1" applyBorder="1" applyAlignment="1">
      <alignment horizontal="center" vertical="center"/>
    </xf>
    <xf numFmtId="178" fontId="0" fillId="2" borderId="36" xfId="0" applyNumberFormat="1" applyFill="1" applyBorder="1" applyAlignment="1">
      <alignment horizontal="center" vertical="center"/>
    </xf>
    <xf numFmtId="178" fontId="0" fillId="2" borderId="37" xfId="0" applyNumberFormat="1" applyFill="1" applyBorder="1" applyAlignment="1">
      <alignment horizontal="center" vertical="center"/>
    </xf>
    <xf numFmtId="178" fontId="0" fillId="0" borderId="21" xfId="0" applyNumberFormat="1" applyBorder="1" applyAlignment="1">
      <alignment horizontal="center" vertical="center"/>
    </xf>
    <xf numFmtId="178" fontId="0" fillId="2" borderId="39" xfId="0" applyNumberFormat="1" applyFill="1" applyBorder="1" applyAlignment="1">
      <alignment horizontal="center" vertical="center"/>
    </xf>
    <xf numFmtId="178" fontId="0" fillId="2" borderId="92" xfId="0" applyNumberFormat="1" applyFill="1" applyBorder="1" applyAlignment="1">
      <alignment horizontal="center" vertical="center"/>
    </xf>
    <xf numFmtId="178" fontId="0" fillId="5" borderId="15" xfId="0" applyNumberFormat="1" applyFill="1" applyBorder="1" applyAlignment="1">
      <alignment horizontal="center" vertical="center"/>
    </xf>
    <xf numFmtId="178" fontId="0" fillId="2" borderId="16" xfId="0" applyNumberForma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8" fontId="16" fillId="3" borderId="27" xfId="0" applyNumberFormat="1" applyFont="1" applyFill="1" applyBorder="1" applyAlignment="1">
      <alignment vertical="center"/>
    </xf>
    <xf numFmtId="0" fontId="0" fillId="0" borderId="16" xfId="0" applyBorder="1" applyAlignment="1">
      <alignment vertical="center"/>
    </xf>
    <xf numFmtId="182" fontId="0" fillId="2" borderId="36" xfId="0" applyNumberFormat="1" applyFill="1" applyBorder="1" applyAlignment="1">
      <alignment vertical="center"/>
    </xf>
    <xf numFmtId="0" fontId="0" fillId="7" borderId="36" xfId="0" applyFill="1" applyBorder="1" applyAlignment="1">
      <alignment horizontal="left" vertical="center"/>
    </xf>
    <xf numFmtId="0" fontId="0" fillId="7" borderId="36" xfId="0" applyFill="1" applyBorder="1" applyAlignment="1">
      <alignment horizontal="center" vertical="center"/>
    </xf>
    <xf numFmtId="178" fontId="0" fillId="7" borderId="36" xfId="0" applyNumberFormat="1" applyFill="1" applyBorder="1" applyAlignment="1">
      <alignment horizontal="center" vertical="center"/>
    </xf>
    <xf numFmtId="0" fontId="0" fillId="7" borderId="36" xfId="0" applyFill="1" applyBorder="1" applyAlignment="1">
      <alignment vertical="center"/>
    </xf>
    <xf numFmtId="0" fontId="22" fillId="2" borderId="94" xfId="0" applyFont="1" applyFill="1" applyBorder="1" applyAlignment="1">
      <alignment horizontal="left" vertical="center"/>
    </xf>
    <xf numFmtId="0" fontId="19" fillId="2" borderId="95" xfId="0" applyFont="1" applyFill="1" applyBorder="1" applyAlignment="1">
      <alignment horizontal="left" vertical="center"/>
    </xf>
    <xf numFmtId="0" fontId="0" fillId="2" borderId="96" xfId="0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96" xfId="0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25" fillId="2" borderId="98" xfId="0" applyFont="1" applyFill="1" applyBorder="1" applyAlignment="1">
      <alignment vertical="center"/>
    </xf>
    <xf numFmtId="0" fontId="0" fillId="0" borderId="36" xfId="0" applyBorder="1" applyAlignment="1">
      <alignment horizontal="center" vertical="center"/>
    </xf>
    <xf numFmtId="178" fontId="0" fillId="7" borderId="36" xfId="0" applyNumberFormat="1" applyFill="1" applyBorder="1" applyAlignment="1">
      <alignment vertical="center"/>
    </xf>
    <xf numFmtId="0" fontId="0" fillId="7" borderId="92" xfId="0" applyFill="1" applyBorder="1" applyAlignment="1">
      <alignment vertical="center"/>
    </xf>
    <xf numFmtId="178" fontId="0" fillId="7" borderId="92" xfId="0" applyNumberFormat="1" applyFill="1" applyBorder="1" applyAlignment="1">
      <alignment vertical="center"/>
    </xf>
    <xf numFmtId="0" fontId="0" fillId="7" borderId="37" xfId="0" applyFill="1" applyBorder="1" applyAlignment="1">
      <alignment vertical="center"/>
    </xf>
    <xf numFmtId="0" fontId="0" fillId="7" borderId="37" xfId="0" applyFill="1" applyBorder="1" applyAlignment="1">
      <alignment horizontal="center" vertical="center"/>
    </xf>
    <xf numFmtId="0" fontId="29" fillId="7" borderId="52" xfId="0" applyFont="1" applyFill="1" applyBorder="1" applyAlignment="1">
      <alignment vertical="center"/>
    </xf>
    <xf numFmtId="0" fontId="29" fillId="7" borderId="36" xfId="0" applyFont="1" applyFill="1" applyBorder="1" applyAlignment="1">
      <alignment horizontal="center" vertical="center"/>
    </xf>
    <xf numFmtId="0" fontId="29" fillId="7" borderId="46" xfId="0" applyFont="1" applyFill="1" applyBorder="1" applyAlignment="1">
      <alignment horizontal="center" vertical="center"/>
    </xf>
    <xf numFmtId="183" fontId="29" fillId="7" borderId="36" xfId="0" applyNumberFormat="1" applyFont="1" applyFill="1" applyBorder="1" applyAlignment="1">
      <alignment vertical="center"/>
    </xf>
    <xf numFmtId="0" fontId="0" fillId="7" borderId="36" xfId="0" quotePrefix="1" applyFill="1" applyBorder="1" applyAlignment="1">
      <alignment horizontal="center" vertical="center"/>
    </xf>
    <xf numFmtId="182" fontId="0" fillId="2" borderId="37" xfId="0" applyNumberFormat="1" applyFill="1" applyBorder="1" applyAlignment="1">
      <alignment vertical="center"/>
    </xf>
    <xf numFmtId="0" fontId="29" fillId="7" borderId="36" xfId="0" applyFont="1" applyFill="1" applyBorder="1" applyAlignment="1">
      <alignment horizontal="left" vertical="center"/>
    </xf>
    <xf numFmtId="0" fontId="0" fillId="7" borderId="52" xfId="0" applyFill="1" applyBorder="1" applyAlignment="1">
      <alignment vertical="center"/>
    </xf>
    <xf numFmtId="0" fontId="4" fillId="7" borderId="0" xfId="0" applyFont="1" applyFill="1" applyAlignment="1">
      <alignment vertical="center"/>
    </xf>
    <xf numFmtId="182" fontId="0" fillId="2" borderId="92" xfId="0" applyNumberFormat="1" applyFill="1" applyBorder="1" applyAlignment="1">
      <alignment horizontal="center" vertical="center"/>
    </xf>
    <xf numFmtId="185" fontId="0" fillId="7" borderId="36" xfId="0" applyNumberFormat="1" applyFill="1" applyBorder="1" applyAlignment="1">
      <alignment horizontal="right" vertical="center"/>
    </xf>
    <xf numFmtId="184" fontId="0" fillId="7" borderId="36" xfId="0" applyNumberFormat="1" applyFill="1" applyBorder="1" applyAlignment="1">
      <alignment horizontal="right" vertical="center"/>
    </xf>
    <xf numFmtId="14" fontId="0" fillId="2" borderId="4" xfId="0" applyNumberFormat="1" applyFill="1" applyBorder="1" applyAlignment="1">
      <alignment horizontal="left" vertical="center"/>
    </xf>
    <xf numFmtId="0" fontId="1" fillId="0" borderId="7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178" fontId="1" fillId="0" borderId="3" xfId="0" applyNumberFormat="1" applyFont="1" applyBorder="1" applyAlignment="1">
      <alignment horizontal="right" vertical="center"/>
    </xf>
    <xf numFmtId="178" fontId="1" fillId="0" borderId="10" xfId="0" applyNumberFormat="1" applyFont="1" applyBorder="1" applyAlignment="1">
      <alignment horizontal="right" vertical="center"/>
    </xf>
    <xf numFmtId="0" fontId="0" fillId="0" borderId="39" xfId="0" applyBorder="1" applyAlignment="1">
      <alignment horizontal="center" vertical="center"/>
    </xf>
    <xf numFmtId="0" fontId="0" fillId="0" borderId="71" xfId="0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0" fillId="0" borderId="93" xfId="0" applyBorder="1" applyAlignment="1">
      <alignment vertical="center"/>
    </xf>
    <xf numFmtId="0" fontId="0" fillId="0" borderId="99" xfId="0" applyBorder="1" applyAlignment="1">
      <alignment vertical="center"/>
    </xf>
    <xf numFmtId="178" fontId="0" fillId="0" borderId="100" xfId="0" applyNumberFormat="1" applyBorder="1" applyAlignment="1">
      <alignment horizontal="center" vertical="center"/>
    </xf>
    <xf numFmtId="178" fontId="0" fillId="0" borderId="13" xfId="0" applyNumberFormat="1" applyBorder="1" applyAlignment="1">
      <alignment horizontal="center" vertical="center"/>
    </xf>
    <xf numFmtId="178" fontId="1" fillId="0" borderId="5" xfId="0" applyNumberFormat="1" applyFont="1" applyBorder="1" applyAlignment="1">
      <alignment horizontal="right" vertical="center"/>
    </xf>
    <xf numFmtId="0" fontId="0" fillId="0" borderId="24" xfId="0" applyBorder="1" applyAlignment="1">
      <alignment horizontal="center" vertical="center" wrapText="1"/>
    </xf>
    <xf numFmtId="0" fontId="4" fillId="2" borderId="56" xfId="0" applyFont="1" applyFill="1" applyBorder="1" applyAlignment="1">
      <alignment vertical="center"/>
    </xf>
    <xf numFmtId="0" fontId="4" fillId="2" borderId="78" xfId="0" applyFont="1" applyFill="1" applyBorder="1" applyAlignment="1">
      <alignment horizontal="left" vertical="center"/>
    </xf>
    <xf numFmtId="0" fontId="1" fillId="2" borderId="78" xfId="0" applyFont="1" applyFill="1" applyBorder="1" applyAlignment="1">
      <alignment horizontal="left" vertical="center"/>
    </xf>
    <xf numFmtId="0" fontId="24" fillId="2" borderId="78" xfId="0" applyFont="1" applyFill="1" applyBorder="1" applyAlignment="1">
      <alignment horizontal="left" vertical="center"/>
    </xf>
    <xf numFmtId="0" fontId="24" fillId="2" borderId="101" xfId="0" applyFont="1" applyFill="1" applyBorder="1" applyAlignment="1">
      <alignment horizontal="left" vertical="center"/>
    </xf>
    <xf numFmtId="0" fontId="24" fillId="2" borderId="96" xfId="0" applyFont="1" applyFill="1" applyBorder="1" applyAlignment="1">
      <alignment horizontal="left" vertical="center"/>
    </xf>
    <xf numFmtId="0" fontId="24" fillId="2" borderId="97" xfId="0" applyFont="1" applyFill="1" applyBorder="1" applyAlignment="1">
      <alignment horizontal="left" vertical="center"/>
    </xf>
    <xf numFmtId="0" fontId="33" fillId="7" borderId="0" xfId="0" applyFont="1" applyFill="1" applyAlignment="1">
      <alignment vertical="center"/>
    </xf>
    <xf numFmtId="178" fontId="33" fillId="7" borderId="0" xfId="0" applyNumberFormat="1" applyFont="1" applyFill="1" applyAlignment="1">
      <alignment vertical="center"/>
    </xf>
    <xf numFmtId="0" fontId="0" fillId="2" borderId="36" xfId="0" applyFill="1" applyBorder="1" applyAlignment="1">
      <alignment horizontal="left" vertical="center"/>
    </xf>
    <xf numFmtId="186" fontId="11" fillId="0" borderId="0" xfId="0" applyNumberFormat="1" applyFont="1" applyAlignment="1">
      <alignment vertical="center"/>
    </xf>
    <xf numFmtId="186" fontId="0" fillId="0" borderId="16" xfId="0" applyNumberFormat="1" applyBorder="1" applyAlignment="1">
      <alignment horizontal="center" vertical="center"/>
    </xf>
    <xf numFmtId="186" fontId="0" fillId="2" borderId="36" xfId="0" applyNumberFormat="1" applyFill="1" applyBorder="1" applyAlignment="1">
      <alignment horizontal="center" vertical="center"/>
    </xf>
    <xf numFmtId="186" fontId="0" fillId="7" borderId="36" xfId="0" applyNumberFormat="1" applyFill="1" applyBorder="1" applyAlignment="1">
      <alignment horizontal="center" vertical="center"/>
    </xf>
    <xf numFmtId="186" fontId="0" fillId="2" borderId="36" xfId="0" applyNumberFormat="1" applyFill="1" applyBorder="1" applyAlignment="1">
      <alignment vertical="center"/>
    </xf>
    <xf numFmtId="186" fontId="0" fillId="2" borderId="37" xfId="0" applyNumberFormat="1" applyFill="1" applyBorder="1" applyAlignment="1">
      <alignment horizontal="center" vertical="center"/>
    </xf>
    <xf numFmtId="186" fontId="0" fillId="5" borderId="15" xfId="0" applyNumberFormat="1" applyFill="1" applyBorder="1" applyAlignment="1">
      <alignment vertical="center"/>
    </xf>
    <xf numFmtId="186" fontId="0" fillId="2" borderId="55" xfId="0" applyNumberFormat="1" applyFill="1" applyBorder="1" applyAlignment="1">
      <alignment horizontal="center" vertical="center"/>
    </xf>
    <xf numFmtId="186" fontId="0" fillId="0" borderId="21" xfId="0" applyNumberFormat="1" applyBorder="1" applyAlignment="1">
      <alignment vertical="center"/>
    </xf>
    <xf numFmtId="186" fontId="0" fillId="0" borderId="15" xfId="0" applyNumberFormat="1" applyBorder="1" applyAlignment="1">
      <alignment vertical="center"/>
    </xf>
    <xf numFmtId="186" fontId="0" fillId="0" borderId="16" xfId="0" applyNumberFormat="1" applyBorder="1" applyAlignment="1">
      <alignment vertical="center"/>
    </xf>
    <xf numFmtId="186" fontId="0" fillId="2" borderId="15" xfId="0" applyNumberFormat="1" applyFill="1" applyBorder="1" applyAlignment="1">
      <alignment horizontal="center" vertical="center"/>
    </xf>
    <xf numFmtId="186" fontId="0" fillId="2" borderId="39" xfId="0" applyNumberFormat="1" applyFill="1" applyBorder="1" applyAlignment="1">
      <alignment horizontal="center" vertical="center"/>
    </xf>
    <xf numFmtId="186" fontId="0" fillId="0" borderId="0" xfId="0" applyNumberFormat="1" applyAlignment="1">
      <alignment vertical="center"/>
    </xf>
    <xf numFmtId="178" fontId="15" fillId="0" borderId="0" xfId="0" applyNumberFormat="1" applyFont="1" applyAlignment="1">
      <alignment vertical="center"/>
    </xf>
    <xf numFmtId="0" fontId="0" fillId="7" borderId="92" xfId="0" applyFill="1" applyBorder="1" applyAlignment="1">
      <alignment horizontal="left" vertical="center"/>
    </xf>
    <xf numFmtId="0" fontId="0" fillId="7" borderId="92" xfId="0" applyFill="1" applyBorder="1" applyAlignment="1">
      <alignment horizontal="center" vertical="center"/>
    </xf>
    <xf numFmtId="178" fontId="0" fillId="7" borderId="92" xfId="0" applyNumberForma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left" vertical="center"/>
    </xf>
    <xf numFmtId="178" fontId="0" fillId="0" borderId="36" xfId="0" applyNumberFormat="1" applyBorder="1" applyAlignment="1">
      <alignment vertical="center"/>
    </xf>
    <xf numFmtId="178" fontId="0" fillId="7" borderId="39" xfId="0" applyNumberFormat="1" applyFill="1" applyBorder="1" applyAlignment="1">
      <alignment horizontal="center" vertical="center"/>
    </xf>
    <xf numFmtId="0" fontId="0" fillId="2" borderId="47" xfId="0" applyFill="1" applyBorder="1" applyAlignment="1">
      <alignment vertical="center"/>
    </xf>
    <xf numFmtId="0" fontId="0" fillId="2" borderId="21" xfId="0" applyFill="1" applyBorder="1" applyAlignment="1">
      <alignment vertical="center"/>
    </xf>
    <xf numFmtId="178" fontId="0" fillId="2" borderId="21" xfId="0" applyNumberFormat="1" applyFill="1" applyBorder="1" applyAlignment="1">
      <alignment vertical="center"/>
    </xf>
    <xf numFmtId="0" fontId="0" fillId="7" borderId="21" xfId="0" applyFill="1" applyBorder="1" applyAlignment="1">
      <alignment horizontal="center" vertical="center"/>
    </xf>
    <xf numFmtId="186" fontId="0" fillId="7" borderId="21" xfId="0" applyNumberFormat="1" applyFill="1" applyBorder="1" applyAlignment="1">
      <alignment horizontal="center" vertical="center"/>
    </xf>
    <xf numFmtId="186" fontId="0" fillId="7" borderId="37" xfId="0" applyNumberFormat="1" applyFill="1" applyBorder="1" applyAlignment="1">
      <alignment horizontal="center" vertical="center"/>
    </xf>
    <xf numFmtId="178" fontId="3" fillId="0" borderId="15" xfId="0" applyNumberFormat="1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 textRotation="255"/>
    </xf>
    <xf numFmtId="178" fontId="4" fillId="7" borderId="0" xfId="0" applyNumberFormat="1" applyFont="1" applyFill="1" applyAlignment="1">
      <alignment horizontal="center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35" xfId="0" applyFont="1" applyBorder="1" applyAlignment="1">
      <alignment horizontal="center" vertical="center" textRotation="255"/>
    </xf>
    <xf numFmtId="0" fontId="1" fillId="0" borderId="21" xfId="0" applyFont="1" applyBorder="1" applyAlignment="1">
      <alignment horizontal="center" vertical="center" textRotation="255"/>
    </xf>
    <xf numFmtId="178" fontId="1" fillId="0" borderId="26" xfId="0" applyNumberFormat="1" applyFont="1" applyBorder="1" applyAlignment="1">
      <alignment horizontal="center" vertical="center"/>
    </xf>
    <xf numFmtId="178" fontId="1" fillId="0" borderId="44" xfId="0" applyNumberFormat="1" applyFont="1" applyBorder="1" applyAlignment="1">
      <alignment horizontal="center" vertical="center"/>
    </xf>
    <xf numFmtId="178" fontId="1" fillId="0" borderId="27" xfId="0" applyNumberFormat="1" applyFont="1" applyBorder="1" applyAlignment="1">
      <alignment horizontal="center" vertical="center"/>
    </xf>
    <xf numFmtId="181" fontId="1" fillId="2" borderId="45" xfId="0" applyNumberFormat="1" applyFont="1" applyFill="1" applyBorder="1" applyAlignment="1">
      <alignment horizontal="left" vertical="center"/>
    </xf>
    <xf numFmtId="181" fontId="1" fillId="2" borderId="0" xfId="0" applyNumberFormat="1" applyFont="1" applyFill="1" applyAlignment="1">
      <alignment horizontal="left" vertical="center"/>
    </xf>
    <xf numFmtId="181" fontId="1" fillId="2" borderId="77" xfId="0" applyNumberFormat="1" applyFont="1" applyFill="1" applyBorder="1" applyAlignment="1">
      <alignment horizontal="left" vertical="center"/>
    </xf>
    <xf numFmtId="0" fontId="1" fillId="0" borderId="4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52" xfId="0" applyFont="1" applyBorder="1" applyAlignment="1">
      <alignment horizontal="left" vertical="center"/>
    </xf>
    <xf numFmtId="0" fontId="1" fillId="0" borderId="46" xfId="0" applyFont="1" applyBorder="1" applyAlignment="1">
      <alignment horizontal="left" vertical="center"/>
    </xf>
    <xf numFmtId="180" fontId="0" fillId="2" borderId="45" xfId="0" applyNumberFormat="1" applyFill="1" applyBorder="1" applyAlignment="1">
      <alignment vertical="center"/>
    </xf>
    <xf numFmtId="180" fontId="1" fillId="2" borderId="0" xfId="0" applyNumberFormat="1" applyFont="1" applyFill="1" applyAlignment="1">
      <alignment vertical="center"/>
    </xf>
    <xf numFmtId="180" fontId="1" fillId="2" borderId="77" xfId="0" applyNumberFormat="1" applyFont="1" applyFill="1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30" fillId="7" borderId="0" xfId="0" applyFont="1" applyFill="1" applyAlignment="1">
      <alignment horizontal="center" vertical="center"/>
    </xf>
    <xf numFmtId="0" fontId="30" fillId="7" borderId="0" xfId="0" applyFont="1" applyFill="1" applyAlignment="1">
      <alignment horizontal="left" vertical="center"/>
    </xf>
    <xf numFmtId="0" fontId="1" fillId="2" borderId="59" xfId="0" applyFont="1" applyFill="1" applyBorder="1" applyAlignment="1">
      <alignment vertical="center"/>
    </xf>
    <xf numFmtId="0" fontId="1" fillId="2" borderId="102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103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50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0" fontId="1" fillId="2" borderId="71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1" fillId="2" borderId="4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77" xfId="0" applyFont="1" applyFill="1" applyBorder="1" applyAlignment="1">
      <alignment vertical="center"/>
    </xf>
    <xf numFmtId="178" fontId="1" fillId="0" borderId="26" xfId="0" applyNumberFormat="1" applyFont="1" applyBorder="1" applyAlignment="1">
      <alignment horizontal="center" vertical="center" wrapText="1"/>
    </xf>
    <xf numFmtId="178" fontId="1" fillId="0" borderId="27" xfId="0" applyNumberFormat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2" borderId="104" xfId="0" applyFont="1" applyFill="1" applyBorder="1" applyAlignment="1">
      <alignment vertical="center"/>
    </xf>
    <xf numFmtId="0" fontId="1" fillId="2" borderId="105" xfId="0" applyFont="1" applyFill="1" applyBorder="1" applyAlignment="1">
      <alignment vertical="center"/>
    </xf>
    <xf numFmtId="0" fontId="1" fillId="2" borderId="49" xfId="0" applyFont="1" applyFill="1" applyBorder="1" applyAlignment="1">
      <alignment vertical="center"/>
    </xf>
    <xf numFmtId="178" fontId="0" fillId="0" borderId="3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23" xfId="0" applyNumberFormat="1" applyBorder="1" applyAlignment="1">
      <alignment horizontal="center" vertical="center"/>
    </xf>
    <xf numFmtId="0" fontId="1" fillId="0" borderId="51" xfId="0" applyFont="1" applyBorder="1" applyAlignment="1">
      <alignment horizontal="left" vertical="center"/>
    </xf>
    <xf numFmtId="0" fontId="1" fillId="0" borderId="49" xfId="0" applyFont="1" applyBorder="1" applyAlignment="1">
      <alignment horizontal="left" vertical="center"/>
    </xf>
    <xf numFmtId="3" fontId="5" fillId="0" borderId="103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119" xfId="0" applyNumberFormat="1" applyFont="1" applyBorder="1" applyAlignment="1">
      <alignment horizontal="center" vertical="center"/>
    </xf>
    <xf numFmtId="3" fontId="5" fillId="0" borderId="97" xfId="0" applyNumberFormat="1" applyFont="1" applyBorder="1" applyAlignment="1">
      <alignment horizontal="center" vertical="center"/>
    </xf>
    <xf numFmtId="3" fontId="5" fillId="0" borderId="98" xfId="0" applyNumberFormat="1" applyFont="1" applyBorder="1" applyAlignment="1">
      <alignment horizontal="center" vertical="center"/>
    </xf>
    <xf numFmtId="3" fontId="5" fillId="0" borderId="101" xfId="0" applyNumberFormat="1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177" fontId="0" fillId="0" borderId="59" xfId="0" applyNumberFormat="1" applyBorder="1" applyAlignment="1">
      <alignment horizontal="center" vertical="center"/>
    </xf>
    <xf numFmtId="177" fontId="0" fillId="0" borderId="102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3" fontId="0" fillId="0" borderId="24" xfId="0" applyNumberFormat="1" applyBorder="1" applyAlignment="1">
      <alignment horizontal="center" vertical="center" wrapText="1"/>
    </xf>
    <xf numFmtId="3" fontId="0" fillId="0" borderId="74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3" fontId="3" fillId="0" borderId="31" xfId="0" quotePrefix="1" applyNumberFormat="1" applyFont="1" applyBorder="1" applyAlignment="1">
      <alignment horizontal="left" vertical="center"/>
    </xf>
    <xf numFmtId="3" fontId="3" fillId="0" borderId="119" xfId="0" quotePrefix="1" applyNumberFormat="1" applyFont="1" applyBorder="1" applyAlignment="1">
      <alignment horizontal="left" vertical="center"/>
    </xf>
    <xf numFmtId="3" fontId="3" fillId="0" borderId="120" xfId="0" quotePrefix="1" applyNumberFormat="1" applyFont="1" applyBorder="1" applyAlignment="1">
      <alignment horizontal="left" vertical="center"/>
    </xf>
    <xf numFmtId="3" fontId="0" fillId="0" borderId="103" xfId="0" quotePrefix="1" applyNumberFormat="1" applyBorder="1" applyAlignment="1">
      <alignment horizontal="left" vertical="center"/>
    </xf>
    <xf numFmtId="3" fontId="0" fillId="0" borderId="7" xfId="0" quotePrefix="1" applyNumberFormat="1" applyBorder="1" applyAlignment="1">
      <alignment horizontal="left" vertical="center"/>
    </xf>
    <xf numFmtId="3" fontId="0" fillId="0" borderId="8" xfId="0" quotePrefix="1" applyNumberFormat="1" applyBorder="1" applyAlignment="1">
      <alignment horizontal="left" vertical="center"/>
    </xf>
    <xf numFmtId="3" fontId="5" fillId="0" borderId="59" xfId="0" applyNumberFormat="1" applyFont="1" applyBorder="1" applyAlignment="1">
      <alignment horizontal="center" vertical="center"/>
    </xf>
    <xf numFmtId="3" fontId="5" fillId="0" borderId="102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3" fillId="0" borderId="59" xfId="0" applyNumberFormat="1" applyFont="1" applyBorder="1" applyAlignment="1">
      <alignment horizontal="left" vertical="center"/>
    </xf>
    <xf numFmtId="3" fontId="3" fillId="0" borderId="102" xfId="0" applyNumberFormat="1" applyFont="1" applyBorder="1" applyAlignment="1">
      <alignment horizontal="left" vertical="center"/>
    </xf>
    <xf numFmtId="3" fontId="3" fillId="0" borderId="6" xfId="0" applyNumberFormat="1" applyFont="1" applyBorder="1" applyAlignment="1">
      <alignment horizontal="left" vertical="center"/>
    </xf>
    <xf numFmtId="3" fontId="5" fillId="0" borderId="113" xfId="0" applyNumberFormat="1" applyFont="1" applyBorder="1" applyAlignment="1">
      <alignment horizontal="center" vertical="center"/>
    </xf>
    <xf numFmtId="3" fontId="5" fillId="0" borderId="88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14" xfId="0" applyNumberFormat="1" applyFont="1" applyBorder="1" applyAlignment="1">
      <alignment horizontal="center" vertical="center"/>
    </xf>
    <xf numFmtId="3" fontId="5" fillId="0" borderId="71" xfId="0" applyNumberFormat="1" applyFont="1" applyBorder="1" applyAlignment="1">
      <alignment horizontal="center" vertical="center"/>
    </xf>
    <xf numFmtId="3" fontId="5" fillId="0" borderId="90" xfId="0" applyNumberFormat="1" applyFont="1" applyBorder="1" applyAlignment="1">
      <alignment horizontal="center" vertical="center"/>
    </xf>
    <xf numFmtId="3" fontId="5" fillId="0" borderId="115" xfId="0" applyNumberFormat="1" applyFont="1" applyBorder="1" applyAlignment="1">
      <alignment horizontal="center" vertical="center"/>
    </xf>
    <xf numFmtId="3" fontId="5" fillId="0" borderId="116" xfId="0" applyNumberFormat="1" applyFont="1" applyBorder="1" applyAlignment="1">
      <alignment horizontal="center" vertical="center"/>
    </xf>
    <xf numFmtId="3" fontId="5" fillId="0" borderId="79" xfId="0" applyNumberFormat="1" applyFont="1" applyBorder="1" applyAlignment="1">
      <alignment horizontal="center" vertical="center"/>
    </xf>
    <xf numFmtId="3" fontId="5" fillId="0" borderId="48" xfId="0" applyNumberFormat="1" applyFont="1" applyBorder="1" applyAlignment="1">
      <alignment horizontal="center" vertical="center"/>
    </xf>
    <xf numFmtId="3" fontId="5" fillId="0" borderId="45" xfId="0" applyNumberFormat="1" applyFont="1" applyBorder="1" applyAlignment="1">
      <alignment horizontal="center" vertical="center"/>
    </xf>
    <xf numFmtId="3" fontId="5" fillId="0" borderId="117" xfId="0" applyNumberFormat="1" applyFont="1" applyBorder="1" applyAlignment="1">
      <alignment horizontal="center" vertical="center"/>
    </xf>
    <xf numFmtId="3" fontId="5" fillId="0" borderId="104" xfId="0" applyNumberFormat="1" applyFont="1" applyBorder="1" applyAlignment="1">
      <alignment horizontal="center" vertical="center"/>
    </xf>
    <xf numFmtId="3" fontId="5" fillId="0" borderId="105" xfId="0" applyNumberFormat="1" applyFont="1" applyBorder="1" applyAlignment="1">
      <alignment horizontal="center" vertical="center"/>
    </xf>
    <xf numFmtId="3" fontId="5" fillId="0" borderId="106" xfId="0" applyNumberFormat="1" applyFont="1" applyBorder="1" applyAlignment="1">
      <alignment horizontal="center" vertical="center"/>
    </xf>
    <xf numFmtId="3" fontId="5" fillId="0" borderId="108" xfId="0" applyNumberFormat="1" applyFont="1" applyBorder="1" applyAlignment="1">
      <alignment horizontal="center" vertical="center"/>
    </xf>
    <xf numFmtId="3" fontId="5" fillId="0" borderId="109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 wrapText="1"/>
    </xf>
    <xf numFmtId="3" fontId="5" fillId="0" borderId="74" xfId="0" applyNumberFormat="1" applyFont="1" applyBorder="1" applyAlignment="1">
      <alignment horizontal="center" vertical="center" wrapText="1"/>
    </xf>
    <xf numFmtId="3" fontId="5" fillId="0" borderId="74" xfId="0" applyNumberFormat="1" applyFont="1" applyBorder="1" applyAlignment="1">
      <alignment horizontal="center" vertical="center"/>
    </xf>
    <xf numFmtId="3" fontId="5" fillId="0" borderId="96" xfId="0" applyNumberFormat="1" applyFont="1" applyBorder="1" applyAlignment="1">
      <alignment horizontal="center" vertical="center"/>
    </xf>
    <xf numFmtId="3" fontId="5" fillId="0" borderId="118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96" xfId="0" applyNumberFormat="1" applyFont="1" applyBorder="1" applyAlignment="1">
      <alignment horizontal="center" vertical="center" wrapText="1"/>
    </xf>
    <xf numFmtId="3" fontId="5" fillId="0" borderId="94" xfId="0" applyNumberFormat="1" applyFont="1" applyBorder="1" applyAlignment="1">
      <alignment horizontal="center" vertical="center"/>
    </xf>
    <xf numFmtId="3" fontId="5" fillId="0" borderId="107" xfId="0" applyNumberFormat="1" applyFont="1" applyBorder="1" applyAlignment="1">
      <alignment horizontal="center" vertical="center"/>
    </xf>
    <xf numFmtId="3" fontId="5" fillId="0" borderId="110" xfId="0" applyNumberFormat="1" applyFont="1" applyBorder="1" applyAlignment="1">
      <alignment horizontal="center" vertical="center"/>
    </xf>
    <xf numFmtId="3" fontId="5" fillId="0" borderId="111" xfId="0" applyNumberFormat="1" applyFont="1" applyBorder="1" applyAlignment="1">
      <alignment horizontal="center" vertical="center"/>
    </xf>
    <xf numFmtId="3" fontId="5" fillId="0" borderId="112" xfId="0" applyNumberFormat="1" applyFont="1" applyBorder="1" applyAlignment="1">
      <alignment horizontal="center" vertical="center"/>
    </xf>
    <xf numFmtId="3" fontId="3" fillId="4" borderId="59" xfId="0" applyNumberFormat="1" applyFont="1" applyFill="1" applyBorder="1" applyAlignment="1">
      <alignment horizontal="left" vertical="center"/>
    </xf>
    <xf numFmtId="3" fontId="3" fillId="4" borderId="102" xfId="0" applyNumberFormat="1" applyFont="1" applyFill="1" applyBorder="1" applyAlignment="1">
      <alignment horizontal="left" vertical="center"/>
    </xf>
    <xf numFmtId="3" fontId="3" fillId="4" borderId="6" xfId="0" applyNumberFormat="1" applyFont="1" applyFill="1" applyBorder="1" applyAlignment="1">
      <alignment horizontal="left" vertical="center"/>
    </xf>
    <xf numFmtId="3" fontId="6" fillId="0" borderId="59" xfId="0" applyNumberFormat="1" applyFont="1" applyBorder="1" applyAlignment="1">
      <alignment horizontal="center" vertical="center"/>
    </xf>
    <xf numFmtId="3" fontId="6" fillId="0" borderId="102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178" fontId="0" fillId="0" borderId="48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0" borderId="25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6" xfId="0" applyBorder="1" applyAlignment="1">
      <alignment horizontal="center" vertical="top" wrapText="1" shrinkToFit="1"/>
    </xf>
    <xf numFmtId="0" fontId="0" fillId="0" borderId="35" xfId="0" applyBorder="1" applyAlignment="1">
      <alignment horizontal="center" vertical="top" wrapText="1" shrinkToFit="1"/>
    </xf>
    <xf numFmtId="0" fontId="0" fillId="0" borderId="1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</cellXfs>
  <cellStyles count="4">
    <cellStyle name="백분율" xfId="1" builtinId="5"/>
    <cellStyle name="쉼표 [0]" xfId="2" builtinId="6"/>
    <cellStyle name="쉼표 [0] 3" xfId="3" xr:uid="{4DBFDB26-3436-4CE8-A712-41DFD00E39E8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49910DA4-6754-2118-AEB2-EF5828A560E5}"/>
            </a:ext>
          </a:extLst>
        </xdr:cNvPr>
        <xdr:cNvSpPr>
          <a:spLocks/>
        </xdr:cNvSpPr>
      </xdr:nvSpPr>
      <xdr:spPr bwMode="auto">
        <a:xfrm>
          <a:off x="7648575" y="3609975"/>
          <a:ext cx="3009900" cy="21907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3FDFAB10-1973-4999-4249-F04E2621CA83}"/>
            </a:ext>
          </a:extLst>
        </xdr:cNvPr>
        <xdr:cNvSpPr>
          <a:spLocks/>
        </xdr:cNvSpPr>
      </xdr:nvSpPr>
      <xdr:spPr bwMode="auto">
        <a:xfrm>
          <a:off x="7667625" y="2600325"/>
          <a:ext cx="3009900" cy="23812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46C723BF-DE49-ECB3-2AEE-FA3913A924CC}"/>
            </a:ext>
          </a:extLst>
        </xdr:cNvPr>
        <xdr:cNvSpPr>
          <a:spLocks/>
        </xdr:cNvSpPr>
      </xdr:nvSpPr>
      <xdr:spPr bwMode="auto">
        <a:xfrm>
          <a:off x="7667625" y="4086225"/>
          <a:ext cx="3009900" cy="23812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88CC7FB4-1683-B54D-97C1-AE12851930DF}"/>
            </a:ext>
          </a:extLst>
        </xdr:cNvPr>
        <xdr:cNvSpPr>
          <a:spLocks/>
        </xdr:cNvSpPr>
      </xdr:nvSpPr>
      <xdr:spPr bwMode="auto">
        <a:xfrm>
          <a:off x="7741444" y="2005015"/>
          <a:ext cx="3024187" cy="292892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221456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C445ED36-91CC-840F-E738-4E693C7306E9}"/>
            </a:ext>
          </a:extLst>
        </xdr:cNvPr>
        <xdr:cNvSpPr>
          <a:spLocks/>
        </xdr:cNvSpPr>
      </xdr:nvSpPr>
      <xdr:spPr bwMode="auto">
        <a:xfrm>
          <a:off x="7655714" y="3607594"/>
          <a:ext cx="3024187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23807</xdr:colOff>
      <xdr:row>10</xdr:row>
      <xdr:rowOff>190500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4C307A80-6C4C-257F-0193-BB31C6E513D0}"/>
            </a:ext>
          </a:extLst>
        </xdr:cNvPr>
        <xdr:cNvSpPr>
          <a:spLocks/>
        </xdr:cNvSpPr>
      </xdr:nvSpPr>
      <xdr:spPr bwMode="auto">
        <a:xfrm>
          <a:off x="7727151" y="2333624"/>
          <a:ext cx="3024187" cy="464345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6</xdr:col>
      <xdr:colOff>295275</xdr:colOff>
      <xdr:row>0</xdr:row>
      <xdr:rowOff>276225</xdr:rowOff>
    </xdr:to>
    <xdr:sp macro="[0]!값이있는행만출력하시오" textlink="">
      <xdr:nvSpPr>
        <xdr:cNvPr id="3094" name="AutoShape 22">
          <a:extLst>
            <a:ext uri="{FF2B5EF4-FFF2-40B4-BE49-F238E27FC236}">
              <a16:creationId xmlns:a16="http://schemas.microsoft.com/office/drawing/2014/main" id="{12D41B4B-479D-2B90-36BE-114255AD5D46}"/>
            </a:ext>
          </a:extLst>
        </xdr:cNvPr>
        <xdr:cNvSpPr>
          <a:spLocks noChangeArrowheads="1"/>
        </xdr:cNvSpPr>
      </xdr:nvSpPr>
      <xdr:spPr bwMode="auto">
        <a:xfrm>
          <a:off x="3371850" y="19050"/>
          <a:ext cx="24003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4097" name="Rectangle 1">
          <a:extLst>
            <a:ext uri="{FF2B5EF4-FFF2-40B4-BE49-F238E27FC236}">
              <a16:creationId xmlns:a16="http://schemas.microsoft.com/office/drawing/2014/main" id="{79D38949-BA40-5C60-9142-DC117BCB2982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0]!값이있는행만출력하시오" textlink="">
      <xdr:nvSpPr>
        <xdr:cNvPr id="4101" name="AutoShape 5">
          <a:extLst>
            <a:ext uri="{FF2B5EF4-FFF2-40B4-BE49-F238E27FC236}">
              <a16:creationId xmlns:a16="http://schemas.microsoft.com/office/drawing/2014/main" id="{9170C9C3-B5F2-552A-BBC7-DC27644A4CC3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[0]!값이있는행만출력하시오" textlink="">
      <xdr:nvSpPr>
        <xdr:cNvPr id="5124" name="AutoShape 4">
          <a:extLst>
            <a:ext uri="{FF2B5EF4-FFF2-40B4-BE49-F238E27FC236}">
              <a16:creationId xmlns:a16="http://schemas.microsoft.com/office/drawing/2014/main" id="{2DCFED41-A2FF-A9EA-7391-00F9C27987B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5135" name="Rectangle 15">
          <a:extLst>
            <a:ext uri="{FF2B5EF4-FFF2-40B4-BE49-F238E27FC236}">
              <a16:creationId xmlns:a16="http://schemas.microsoft.com/office/drawing/2014/main" id="{273D0EE4-D34C-8FFB-668E-BCDE26C08F40}"/>
            </a:ext>
          </a:extLst>
        </xdr:cNvPr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[0]!값이있는행만출력하시오" textlink="">
      <xdr:nvSpPr>
        <xdr:cNvPr id="6148" name="AutoShape 4">
          <a:extLst>
            <a:ext uri="{FF2B5EF4-FFF2-40B4-BE49-F238E27FC236}">
              <a16:creationId xmlns:a16="http://schemas.microsoft.com/office/drawing/2014/main" id="{CC50C82C-F2A4-BB0C-A1FB-32B9F7B725C7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6151" name="Rectangle 7">
          <a:extLst>
            <a:ext uri="{FF2B5EF4-FFF2-40B4-BE49-F238E27FC236}">
              <a16:creationId xmlns:a16="http://schemas.microsoft.com/office/drawing/2014/main" id="{71DA1754-34C8-7232-7CE3-0314D5A47C9E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0]!값이있는행만출력하시오" textlink="">
      <xdr:nvSpPr>
        <xdr:cNvPr id="8196" name="AutoShape 4">
          <a:extLst>
            <a:ext uri="{FF2B5EF4-FFF2-40B4-BE49-F238E27FC236}">
              <a16:creationId xmlns:a16="http://schemas.microsoft.com/office/drawing/2014/main" id="{1E98C23E-4C1F-A18D-7DA8-D0794EA28E6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8199" name="Rectangle 7">
          <a:extLst>
            <a:ext uri="{FF2B5EF4-FFF2-40B4-BE49-F238E27FC236}">
              <a16:creationId xmlns:a16="http://schemas.microsoft.com/office/drawing/2014/main" id="{0097B336-2DF8-05C3-7B25-5A3BEA118700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[0]!값이있는행만출력하시오" textlink="">
      <xdr:nvSpPr>
        <xdr:cNvPr id="7172" name="AutoShape 4">
          <a:extLst>
            <a:ext uri="{FF2B5EF4-FFF2-40B4-BE49-F238E27FC236}">
              <a16:creationId xmlns:a16="http://schemas.microsoft.com/office/drawing/2014/main" id="{284880A0-7185-2145-1411-DCA48F3CE67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7175" name="Rectangle 7">
          <a:extLst>
            <a:ext uri="{FF2B5EF4-FFF2-40B4-BE49-F238E27FC236}">
              <a16:creationId xmlns:a16="http://schemas.microsoft.com/office/drawing/2014/main" id="{5470CB00-04EE-A934-FCFF-7AD77884C0AC}"/>
            </a:ext>
          </a:extLst>
        </xdr:cNvPr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[0]!값이있는행만출력하시오" textlink="">
      <xdr:nvSpPr>
        <xdr:cNvPr id="9220" name="AutoShape 4">
          <a:extLst>
            <a:ext uri="{FF2B5EF4-FFF2-40B4-BE49-F238E27FC236}">
              <a16:creationId xmlns:a16="http://schemas.microsoft.com/office/drawing/2014/main" id="{BCE35A20-1DCF-54CF-C6D0-90903871DF6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9223" name="Rectangle 7">
          <a:extLst>
            <a:ext uri="{FF2B5EF4-FFF2-40B4-BE49-F238E27FC236}">
              <a16:creationId xmlns:a16="http://schemas.microsoft.com/office/drawing/2014/main" id="{9233541C-9958-560C-A8D6-6CE67CED2A39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0]!값이있는행만출력하시오" textlink="">
      <xdr:nvSpPr>
        <xdr:cNvPr id="10244" name="AutoShape 4">
          <a:extLst>
            <a:ext uri="{FF2B5EF4-FFF2-40B4-BE49-F238E27FC236}">
              <a16:creationId xmlns:a16="http://schemas.microsoft.com/office/drawing/2014/main" id="{B2F7A1AD-F291-51D8-7E4B-BD927B690B36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10247" name="Rectangle 7">
          <a:extLst>
            <a:ext uri="{FF2B5EF4-FFF2-40B4-BE49-F238E27FC236}">
              <a16:creationId xmlns:a16="http://schemas.microsoft.com/office/drawing/2014/main" id="{88E29C83-B879-8ED6-D1BB-92EA81CFCF78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1268" name="AutoShape 4">
          <a:extLst>
            <a:ext uri="{FF2B5EF4-FFF2-40B4-BE49-F238E27FC236}">
              <a16:creationId xmlns:a16="http://schemas.microsoft.com/office/drawing/2014/main" id="{6A5961C2-A26A-D652-1C8F-FDA3048955E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1270" name="Rectangle 6">
          <a:extLst>
            <a:ext uri="{FF2B5EF4-FFF2-40B4-BE49-F238E27FC236}">
              <a16:creationId xmlns:a16="http://schemas.microsoft.com/office/drawing/2014/main" id="{CD53661B-E699-3D14-87CB-30CF1A5BD1FB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11271" name="Rectangle 7">
          <a:extLst>
            <a:ext uri="{FF2B5EF4-FFF2-40B4-BE49-F238E27FC236}">
              <a16:creationId xmlns:a16="http://schemas.microsoft.com/office/drawing/2014/main" id="{C563F323-2C4A-0FA0-7416-CB40A7CB32AB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3314" name="AutoShape 2">
          <a:extLst>
            <a:ext uri="{FF2B5EF4-FFF2-40B4-BE49-F238E27FC236}">
              <a16:creationId xmlns:a16="http://schemas.microsoft.com/office/drawing/2014/main" id="{D3415606-EDD5-C1B4-9B87-5C56E33EA24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3315" name="Rectangle 3">
          <a:extLst>
            <a:ext uri="{FF2B5EF4-FFF2-40B4-BE49-F238E27FC236}">
              <a16:creationId xmlns:a16="http://schemas.microsoft.com/office/drawing/2014/main" id="{93B5669B-89F0-56FF-9602-DA37542831EA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13316" name="Rectangle 4">
          <a:extLst>
            <a:ext uri="{FF2B5EF4-FFF2-40B4-BE49-F238E27FC236}">
              <a16:creationId xmlns:a16="http://schemas.microsoft.com/office/drawing/2014/main" id="{5B83546C-D90B-6D86-4A01-48F215A1A066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4338" name="AutoShape 2">
          <a:extLst>
            <a:ext uri="{FF2B5EF4-FFF2-40B4-BE49-F238E27FC236}">
              <a16:creationId xmlns:a16="http://schemas.microsoft.com/office/drawing/2014/main" id="{7C4A9D76-A359-C360-7838-BAEE4AB3235E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4339" name="Rectangle 3">
          <a:extLst>
            <a:ext uri="{FF2B5EF4-FFF2-40B4-BE49-F238E27FC236}">
              <a16:creationId xmlns:a16="http://schemas.microsoft.com/office/drawing/2014/main" id="{390D5F30-2EBE-FE71-C9ED-B4D559837029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14340" name="Rectangle 4">
          <a:extLst>
            <a:ext uri="{FF2B5EF4-FFF2-40B4-BE49-F238E27FC236}">
              <a16:creationId xmlns:a16="http://schemas.microsoft.com/office/drawing/2014/main" id="{963F27CF-F9BC-3EB9-58A3-9102BFE2E8AD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BD71-5A84-49D5-A728-0B565038F202}">
  <sheetPr>
    <pageSetUpPr fitToPage="1"/>
  </sheetPr>
  <dimension ref="B1:I36"/>
  <sheetViews>
    <sheetView zoomScaleNormal="100" zoomScaleSheetLayoutView="90" workbookViewId="0">
      <selection activeCell="H22" sqref="H22"/>
    </sheetView>
  </sheetViews>
  <sheetFormatPr defaultColWidth="9" defaultRowHeight="14.4"/>
  <cols>
    <col min="1" max="1" width="2" style="164" customWidth="1"/>
    <col min="2" max="2" width="4.8984375" style="164" customWidth="1"/>
    <col min="3" max="3" width="8.5" style="164" customWidth="1"/>
    <col min="4" max="4" width="14.69921875" style="164" customWidth="1"/>
    <col min="5" max="6" width="11.09765625" style="164" customWidth="1"/>
    <col min="7" max="7" width="14.09765625" style="164" customWidth="1"/>
    <col min="8" max="8" width="11.69921875" style="164" customWidth="1"/>
    <col min="9" max="9" width="8.69921875" style="164" customWidth="1"/>
    <col min="10" max="10" width="9" style="164"/>
    <col min="11" max="11" width="33.19921875" style="164" customWidth="1"/>
    <col min="12" max="16384" width="9" style="164"/>
  </cols>
  <sheetData>
    <row r="1" spans="2:9">
      <c r="B1" s="164" t="s">
        <v>136</v>
      </c>
    </row>
    <row r="2" spans="2:9" ht="38.4">
      <c r="B2" s="366" t="s">
        <v>131</v>
      </c>
      <c r="C2" s="366"/>
      <c r="D2" s="366"/>
      <c r="E2" s="366"/>
      <c r="F2" s="366"/>
      <c r="G2" s="366"/>
      <c r="H2" s="366"/>
      <c r="I2" s="366"/>
    </row>
    <row r="4" spans="2:9" s="169" customFormat="1" ht="24" customHeight="1">
      <c r="B4" s="367" t="s">
        <v>172</v>
      </c>
      <c r="C4" s="367"/>
      <c r="D4" s="367"/>
      <c r="G4" s="286" t="s">
        <v>196</v>
      </c>
      <c r="H4" s="287"/>
      <c r="I4" s="328"/>
    </row>
    <row r="5" spans="2:9" s="169" customFormat="1" ht="21.75" customHeight="1">
      <c r="B5" s="370" t="s">
        <v>124</v>
      </c>
      <c r="C5" s="371"/>
      <c r="D5" s="312">
        <v>46168</v>
      </c>
      <c r="E5" s="179"/>
      <c r="G5" s="288" t="s">
        <v>188</v>
      </c>
      <c r="H5" s="289"/>
      <c r="I5" s="329"/>
    </row>
    <row r="6" spans="2:9" s="169" customFormat="1" ht="21.75" customHeight="1">
      <c r="B6" s="372" t="s">
        <v>125</v>
      </c>
      <c r="C6" s="373"/>
      <c r="D6" s="259" t="s">
        <v>358</v>
      </c>
      <c r="E6" s="180"/>
      <c r="G6" s="288" t="s">
        <v>189</v>
      </c>
      <c r="H6" s="290"/>
      <c r="I6" s="330"/>
    </row>
    <row r="7" spans="2:9" s="169" customFormat="1" ht="21.75" customHeight="1">
      <c r="B7" s="374" t="s">
        <v>126</v>
      </c>
      <c r="C7" s="185" t="s">
        <v>134</v>
      </c>
      <c r="D7" s="259" t="s">
        <v>263</v>
      </c>
      <c r="E7" s="180"/>
      <c r="G7" s="291" t="s">
        <v>190</v>
      </c>
      <c r="H7" s="290"/>
      <c r="I7" s="330"/>
    </row>
    <row r="8" spans="2:9" s="169" customFormat="1" ht="21.75" customHeight="1">
      <c r="B8" s="374"/>
      <c r="C8" s="185" t="s">
        <v>135</v>
      </c>
      <c r="D8" s="259" t="s">
        <v>264</v>
      </c>
      <c r="E8" s="180"/>
      <c r="G8" s="291" t="s">
        <v>191</v>
      </c>
      <c r="H8" s="290"/>
      <c r="I8" s="330"/>
    </row>
    <row r="9" spans="2:9" s="169" customFormat="1" ht="21.75" customHeight="1">
      <c r="B9" s="372" t="s">
        <v>127</v>
      </c>
      <c r="C9" s="373"/>
      <c r="D9" s="259" t="s">
        <v>181</v>
      </c>
      <c r="E9" s="180"/>
      <c r="G9" s="288" t="s">
        <v>192</v>
      </c>
      <c r="H9" s="290"/>
      <c r="I9" s="330"/>
    </row>
    <row r="10" spans="2:9" s="169" customFormat="1" ht="21.75" customHeight="1">
      <c r="B10" s="372" t="s">
        <v>128</v>
      </c>
      <c r="C10" s="373"/>
      <c r="D10" s="259" t="s">
        <v>178</v>
      </c>
      <c r="E10" s="180"/>
      <c r="G10" s="333" t="s">
        <v>193</v>
      </c>
      <c r="H10" s="292"/>
      <c r="I10" s="331"/>
    </row>
    <row r="11" spans="2:9" s="169" customFormat="1" ht="21.75" customHeight="1">
      <c r="B11" s="372" t="s">
        <v>129</v>
      </c>
      <c r="C11" s="373"/>
      <c r="D11" s="259" t="s">
        <v>179</v>
      </c>
      <c r="E11" s="180"/>
      <c r="G11" s="334" t="s">
        <v>194</v>
      </c>
      <c r="H11" s="293"/>
      <c r="I11" s="332"/>
    </row>
    <row r="12" spans="2:9" s="170" customFormat="1" ht="10.5" customHeight="1">
      <c r="B12" s="172"/>
      <c r="I12" s="171"/>
    </row>
    <row r="13" spans="2:9" s="170" customFormat="1" ht="24.9" customHeight="1">
      <c r="B13" s="397" t="s">
        <v>187</v>
      </c>
      <c r="C13" s="397"/>
      <c r="D13" s="335" t="s">
        <v>265</v>
      </c>
      <c r="E13" s="336"/>
      <c r="F13" s="336"/>
      <c r="G13" s="336"/>
      <c r="H13" s="335"/>
      <c r="I13" s="335"/>
    </row>
    <row r="14" spans="2:9" s="170" customFormat="1" ht="24.9" customHeight="1">
      <c r="B14" s="397" t="s">
        <v>177</v>
      </c>
      <c r="C14" s="397"/>
      <c r="D14" s="398" t="str">
        <f>"一金"&amp;NUMBERSTRING(G14,1)&amp;"원"</f>
        <v>一金일십팔억오천오백이십만칠천팔백오십원</v>
      </c>
      <c r="E14" s="398"/>
      <c r="F14" s="398"/>
      <c r="G14" s="375">
        <f>H28*1000</f>
        <v>1855207850</v>
      </c>
      <c r="H14" s="375"/>
      <c r="I14" s="308"/>
    </row>
    <row r="15" spans="2:9" s="169" customFormat="1" ht="8.25" customHeight="1"/>
    <row r="16" spans="2:9" s="165" customFormat="1" ht="24.9" customHeight="1">
      <c r="B16" s="369" t="s">
        <v>119</v>
      </c>
      <c r="C16" s="385" t="s">
        <v>143</v>
      </c>
      <c r="D16" s="386"/>
      <c r="E16" s="368" t="s">
        <v>130</v>
      </c>
      <c r="F16" s="368"/>
      <c r="G16" s="368"/>
      <c r="H16" s="368"/>
      <c r="I16" s="369" t="s">
        <v>27</v>
      </c>
    </row>
    <row r="17" spans="2:9" s="165" customFormat="1" ht="29.25" customHeight="1">
      <c r="B17" s="368"/>
      <c r="C17" s="387"/>
      <c r="D17" s="388"/>
      <c r="E17" s="314" t="s">
        <v>184</v>
      </c>
      <c r="F17" s="315" t="s">
        <v>185</v>
      </c>
      <c r="G17" s="327" t="s">
        <v>186</v>
      </c>
      <c r="H17" s="313" t="s">
        <v>123</v>
      </c>
      <c r="I17" s="368"/>
    </row>
    <row r="18" spans="2:9" ht="24.9" customHeight="1">
      <c r="B18" s="316">
        <v>1</v>
      </c>
      <c r="C18" s="422" t="str">
        <f>단위장비1!C1</f>
        <v>선삭 신규 라인 IN ROBOT SYSTEM</v>
      </c>
      <c r="D18" s="423"/>
      <c r="E18" s="324">
        <f>IF('단위공사별(집계)'!N7&gt;1,('단위공사별(집계)'!D7+'단위공사별(집계)'!E7+'단위공사별(집계)'!F7+'단위공사별(집계)'!G7+'단위공사별(집계)'!H7+'단위공사별(집계)'!I7)/1000," ")</f>
        <v>101860</v>
      </c>
      <c r="F18" s="419">
        <f>IF('단위공사별(집계)'!N7&gt;0,'단위공사별(집계)'!K17/1000,"")</f>
        <v>348287.85</v>
      </c>
      <c r="G18" s="317">
        <f>IF('단위공사별(집계)'!N7&gt;0,('단위공사별(집계)'!L7+'단위공사별(집계)'!M7)/1000,"")</f>
        <v>16060.588162989367</v>
      </c>
      <c r="H18" s="318">
        <f>IF('단위공사별(집계)'!N7&gt;0,'단위공사별(집계)'!N7/1000,"")</f>
        <v>145175.05961603465</v>
      </c>
      <c r="I18" s="319"/>
    </row>
    <row r="19" spans="2:9" ht="24.9" customHeight="1">
      <c r="B19" s="173">
        <v>2</v>
      </c>
      <c r="C19" s="389" t="str">
        <f>단위장비2!C1</f>
        <v>선삭 신규 라인 2AXIS-I GANTRY SYSTEM</v>
      </c>
      <c r="D19" s="390"/>
      <c r="E19" s="325">
        <f>IF('단위공사별(집계)'!N8&gt;1,('단위공사별(집계)'!D8+'단위공사별(집계)'!E8+'단위공사별(집계)'!F8+'단위공사별(집계)'!G8+'단위공사별(집계)'!H8+'단위공사별(집계)'!I8)/1000," ")</f>
        <v>180690</v>
      </c>
      <c r="F19" s="420"/>
      <c r="G19" s="174">
        <f>IF('단위공사별(집계)'!N8&gt;0,('단위공사별(집계)'!L8+'단위공사별(집계)'!M8)/1000,"")</f>
        <v>28489.963431872657</v>
      </c>
      <c r="H19" s="326">
        <f>IF('단위공사별(집계)'!N8&gt;0,'단위공사별(집계)'!N8/1000,"")</f>
        <v>257526.81643453077</v>
      </c>
      <c r="I19" s="70"/>
    </row>
    <row r="20" spans="2:9" ht="24.9" customHeight="1">
      <c r="B20" s="173">
        <v>3</v>
      </c>
      <c r="C20" s="389" t="str">
        <f>단위장비3!C1</f>
        <v>선삭 개조 라인</v>
      </c>
      <c r="D20" s="390"/>
      <c r="E20" s="325">
        <f>IF('단위공사별(집계)'!N9&gt;1,('단위공사별(집계)'!D9+'단위공사별(집계)'!E9+'단위공사별(집계)'!F9+'단위공사별(집계)'!G9+'단위공사별(집계)'!H9+'단위공사별(집계)'!I9)/1000," ")</f>
        <v>239050</v>
      </c>
      <c r="F20" s="420"/>
      <c r="G20" s="174">
        <f>IF('단위공사별(집계)'!N9&gt;0,('단위공사별(집계)'!L9+'단위공사별(집계)'!M9)/1000,"")</f>
        <v>37691.769098395918</v>
      </c>
      <c r="H20" s="326">
        <f>IF('단위공사별(집계)'!N9&gt;0,'단위공사별(집계)'!N9/1000,"")</f>
        <v>340703.88770089427</v>
      </c>
      <c r="I20" s="175"/>
    </row>
    <row r="21" spans="2:9" ht="24.9" customHeight="1">
      <c r="B21" s="173">
        <v>4</v>
      </c>
      <c r="C21" s="389" t="str">
        <f>단위장비4!C1</f>
        <v>피니언 연삭 신규라인</v>
      </c>
      <c r="D21" s="390"/>
      <c r="E21" s="325">
        <f>IF('단위공사별(집계)'!N10&gt;1,('단위공사별(집계)'!D10+'단위공사별(집계)'!E10+'단위공사별(집계)'!F10+'단위공사별(집계)'!G10+'단위공사별(집계)'!H10+'단위공사별(집계)'!I10)/1000," ")</f>
        <v>177370</v>
      </c>
      <c r="F21" s="420"/>
      <c r="G21" s="174">
        <f>IF('단위공사별(집계)'!N10&gt;0,('단위공사별(집계)'!L10+'단위공사별(집계)'!M10)/1000,"")</f>
        <v>27966.488537889494</v>
      </c>
      <c r="H21" s="326">
        <f>IF('단위공사별(집계)'!N10&gt;0,'단위공사별(집계)'!N10/1000,"")</f>
        <v>252795.01594439495</v>
      </c>
      <c r="I21" s="175"/>
    </row>
    <row r="22" spans="2:9" ht="24.9" customHeight="1">
      <c r="B22" s="173">
        <v>5</v>
      </c>
      <c r="C22" s="389" t="str">
        <f>단위장비5!C1</f>
        <v>액슬용접 자동창고 개조</v>
      </c>
      <c r="D22" s="390"/>
      <c r="E22" s="325">
        <f>IF('단위공사별(집계)'!N11&gt;1,('단위공사별(집계)'!D11+'단위공사별(집계)'!E11+'단위공사별(집계)'!F11+'단위공사별(집계)'!G11+'단위공사별(집계)'!H11+'단위공사별(집계)'!I11)/1000," ")</f>
        <v>182120</v>
      </c>
      <c r="F22" s="420"/>
      <c r="G22" s="174">
        <f>IF('단위공사별(집계)'!N11&gt;0,('단위공사별(집계)'!L11+'단위공사별(집계)'!M11)/1000,"")</f>
        <v>28715.436051871427</v>
      </c>
      <c r="H22" s="326">
        <f>IF('단위공사별(집계)'!N11&gt;0,'단위공사별(집계)'!N11/1000,"")</f>
        <v>259564.91122395673</v>
      </c>
      <c r="I22" s="175"/>
    </row>
    <row r="23" spans="2:9" ht="24.9" customHeight="1">
      <c r="B23" s="173">
        <v>6</v>
      </c>
      <c r="C23" s="389" t="str">
        <f>단위장비6!C1</f>
        <v>액슬용접 자동창고 신작</v>
      </c>
      <c r="D23" s="390"/>
      <c r="E23" s="325">
        <f>IF('단위공사별(집계)'!N12&gt;1,('단위공사별(집계)'!D12+'단위공사별(집계)'!E12+'단위공사별(집계)'!F12+'단위공사별(집계)'!G12+'단위공사별(집계)'!H12+'단위공사별(집계)'!I12)/1000," ")</f>
        <v>420590</v>
      </c>
      <c r="F23" s="420"/>
      <c r="G23" s="174">
        <f>IF('단위공사별(집계)'!N12&gt;0,('단위공사별(집계)'!L12+'단위공사별(집계)'!M12)/1000,"")</f>
        <v>66315.75471698113</v>
      </c>
      <c r="H23" s="326">
        <f>IF('단위공사별(집계)'!N12&gt;0,'단위공사별(집계)'!N12/1000,"")</f>
        <v>599442.15908018872</v>
      </c>
      <c r="I23" s="175"/>
    </row>
    <row r="24" spans="2:9" ht="24.9" customHeight="1">
      <c r="B24" s="173">
        <v>7</v>
      </c>
      <c r="C24" s="389">
        <f>단위장비7!C1</f>
        <v>0</v>
      </c>
      <c r="D24" s="390"/>
      <c r="E24" s="325" t="str">
        <f>IF('단위공사별(집계)'!N13&gt;1,('단위공사별(집계)'!D13+'단위공사별(집계)'!E13+'단위공사별(집계)'!F13+'단위공사별(집계)'!G13+'단위공사별(집계)'!H13+'단위공사별(집계)'!I13)/1000," ")</f>
        <v xml:space="preserve"> </v>
      </c>
      <c r="F24" s="420"/>
      <c r="G24" s="174" t="str">
        <f>IF('단위공사별(집계)'!N13&gt;0,('단위공사별(집계)'!L13+'단위공사별(집계)'!M13)/1000,"")</f>
        <v/>
      </c>
      <c r="H24" s="326" t="str">
        <f>IF('단위공사별(집계)'!N13&gt;0,'단위공사별(집계)'!N13/1000,"")</f>
        <v/>
      </c>
      <c r="I24" s="175"/>
    </row>
    <row r="25" spans="2:9" ht="24.9" customHeight="1">
      <c r="B25" s="176">
        <v>8</v>
      </c>
      <c r="C25" s="389">
        <f>단위장비8!C1</f>
        <v>0</v>
      </c>
      <c r="D25" s="390"/>
      <c r="E25" s="325" t="str">
        <f>IF('단위공사별(집계)'!N14&gt;1,('단위공사별(집계)'!D14+'단위공사별(집계)'!E14+'단위공사별(집계)'!F14+'단위공사별(집계)'!G14+'단위공사별(집계)'!H14+'단위공사별(집계)'!I14)/1000," ")</f>
        <v xml:space="preserve"> </v>
      </c>
      <c r="F25" s="420"/>
      <c r="G25" s="174" t="str">
        <f>IF('단위공사별(집계)'!N14&gt;0,('단위공사별(집계)'!L14+'단위공사별(집계)'!M14)/1000,"")</f>
        <v/>
      </c>
      <c r="H25" s="326" t="str">
        <f>IF('단위공사별(집계)'!N14&gt;0,'단위공사별(집계)'!N14/1000,"")</f>
        <v/>
      </c>
      <c r="I25" s="175"/>
    </row>
    <row r="26" spans="2:9" ht="24.9" customHeight="1">
      <c r="B26" s="176">
        <v>9</v>
      </c>
      <c r="C26" s="389">
        <f>단위장비9!C1</f>
        <v>0</v>
      </c>
      <c r="D26" s="390"/>
      <c r="E26" s="325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6" s="420"/>
      <c r="G26" s="174" t="str">
        <f>IF('단위공사별(집계)'!N15&gt;0,('단위공사별(집계)'!L15+'단위공사별(집계)'!M15)/1000,"")</f>
        <v/>
      </c>
      <c r="H26" s="326" t="str">
        <f>IF('단위공사별(집계)'!N15&gt;0,'단위공사별(집계)'!N15/1000,"")</f>
        <v/>
      </c>
      <c r="I26" s="175"/>
    </row>
    <row r="27" spans="2:9" ht="24.9" customHeight="1">
      <c r="B27" s="177">
        <v>10</v>
      </c>
      <c r="C27" s="389">
        <f>단위장비10!C1</f>
        <v>0</v>
      </c>
      <c r="D27" s="390"/>
      <c r="E27" s="325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7" s="421"/>
      <c r="G27" s="174" t="str">
        <f>IF('단위공사별(집계)'!N16&gt;0,('단위공사별(집계)'!L16+'단위공사별(집계)'!M16)/1000,"")</f>
        <v/>
      </c>
      <c r="H27" s="326" t="str">
        <f>IF('단위공사별(집계)'!N16&gt;0,'단위공사별(집계)'!N16/1000,"")</f>
        <v/>
      </c>
      <c r="I27" s="178"/>
    </row>
    <row r="28" spans="2:9" ht="24.9" customHeight="1">
      <c r="B28" s="379" t="s">
        <v>132</v>
      </c>
      <c r="C28" s="380"/>
      <c r="D28" s="381"/>
      <c r="E28" s="182">
        <f>SUM(E18:E27)</f>
        <v>1301680</v>
      </c>
      <c r="F28" s="183">
        <f>SUM(F18)</f>
        <v>348287.85</v>
      </c>
      <c r="G28" s="183">
        <f>SUM(G18:G27)</f>
        <v>205240</v>
      </c>
      <c r="H28" s="279">
        <f>SUM(H18:H27)</f>
        <v>1855207.85</v>
      </c>
      <c r="I28" s="184"/>
    </row>
    <row r="29" spans="2:9" ht="4.5" customHeight="1">
      <c r="B29" s="166"/>
      <c r="C29" s="167"/>
      <c r="D29" s="167"/>
      <c r="E29" s="168"/>
      <c r="F29" s="168"/>
      <c r="G29" s="168"/>
      <c r="H29" s="168"/>
    </row>
    <row r="30" spans="2:9" ht="24" customHeight="1">
      <c r="B30" s="167"/>
      <c r="C30" s="167"/>
      <c r="D30" s="167"/>
      <c r="E30" s="168"/>
      <c r="F30" s="411" t="s">
        <v>133</v>
      </c>
      <c r="G30" s="412"/>
      <c r="H30" s="365">
        <v>1855000000</v>
      </c>
    </row>
    <row r="31" spans="2:9" ht="15" customHeight="1">
      <c r="B31" s="167"/>
      <c r="C31" s="167"/>
      <c r="D31" s="167"/>
      <c r="E31" s="168"/>
      <c r="F31" s="168"/>
      <c r="G31" s="168"/>
      <c r="H31" s="168"/>
    </row>
    <row r="32" spans="2:9" ht="22.5" customHeight="1">
      <c r="B32" s="376" t="s">
        <v>122</v>
      </c>
      <c r="C32" s="405" t="s">
        <v>120</v>
      </c>
      <c r="D32" s="406"/>
      <c r="E32" s="407"/>
      <c r="F32" s="413" t="s">
        <v>142</v>
      </c>
      <c r="G32" s="414"/>
      <c r="H32" s="414"/>
      <c r="I32" s="415"/>
    </row>
    <row r="33" spans="2:9" ht="22.5" customHeight="1">
      <c r="B33" s="377"/>
      <c r="C33" s="408" t="s">
        <v>121</v>
      </c>
      <c r="D33" s="409"/>
      <c r="E33" s="410"/>
      <c r="F33" s="181" t="s">
        <v>166</v>
      </c>
      <c r="G33" s="416"/>
      <c r="H33" s="417"/>
      <c r="I33" s="418"/>
    </row>
    <row r="34" spans="2:9" ht="22.5" customHeight="1">
      <c r="B34" s="377"/>
      <c r="C34" s="382">
        <f>'원가항목별(집계)'!I39</f>
        <v>9988000</v>
      </c>
      <c r="D34" s="383"/>
      <c r="E34" s="384"/>
      <c r="F34" s="176" t="s">
        <v>167</v>
      </c>
      <c r="G34" s="399"/>
      <c r="H34" s="400"/>
      <c r="I34" s="401"/>
    </row>
    <row r="35" spans="2:9" ht="22.5" customHeight="1">
      <c r="B35" s="377"/>
      <c r="C35" s="391"/>
      <c r="D35" s="392"/>
      <c r="E35" s="393"/>
      <c r="F35" s="176" t="s">
        <v>168</v>
      </c>
      <c r="G35" s="399" t="s">
        <v>195</v>
      </c>
      <c r="H35" s="400"/>
      <c r="I35" s="401"/>
    </row>
    <row r="36" spans="2:9" ht="22.5" customHeight="1">
      <c r="B36" s="378"/>
      <c r="C36" s="394"/>
      <c r="D36" s="395"/>
      <c r="E36" s="396"/>
      <c r="F36" s="177" t="s">
        <v>169</v>
      </c>
      <c r="G36" s="402"/>
      <c r="H36" s="403"/>
      <c r="I36" s="404"/>
    </row>
  </sheetData>
  <mergeCells count="40">
    <mergeCell ref="G35:I35"/>
    <mergeCell ref="G36:I36"/>
    <mergeCell ref="C19:D19"/>
    <mergeCell ref="C32:E32"/>
    <mergeCell ref="C33:E33"/>
    <mergeCell ref="F30:G30"/>
    <mergeCell ref="C20:D20"/>
    <mergeCell ref="F32:I32"/>
    <mergeCell ref="G33:I33"/>
    <mergeCell ref="G34:I34"/>
    <mergeCell ref="C25:D25"/>
    <mergeCell ref="C26:D26"/>
    <mergeCell ref="C27:D27"/>
    <mergeCell ref="F18:F27"/>
    <mergeCell ref="C18:D18"/>
    <mergeCell ref="C23:D23"/>
    <mergeCell ref="B32:B36"/>
    <mergeCell ref="B28:D28"/>
    <mergeCell ref="C34:E34"/>
    <mergeCell ref="B11:C11"/>
    <mergeCell ref="C16:D17"/>
    <mergeCell ref="C21:D21"/>
    <mergeCell ref="C22:D22"/>
    <mergeCell ref="C35:E35"/>
    <mergeCell ref="C36:E36"/>
    <mergeCell ref="B14:C14"/>
    <mergeCell ref="D14:F14"/>
    <mergeCell ref="B13:C13"/>
    <mergeCell ref="C24:D24"/>
    <mergeCell ref="B2:I2"/>
    <mergeCell ref="B4:D4"/>
    <mergeCell ref="E16:H16"/>
    <mergeCell ref="B16:B17"/>
    <mergeCell ref="I16:I17"/>
    <mergeCell ref="B5:C5"/>
    <mergeCell ref="B6:C6"/>
    <mergeCell ref="B9:C9"/>
    <mergeCell ref="B10:C10"/>
    <mergeCell ref="B7:B8"/>
    <mergeCell ref="G14:H14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99" orientation="portrait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A2BF-A86B-4BC7-A46C-85CFB782BEFA}">
  <sheetPr codeName="Sheet3">
    <pageSetUpPr fitToPage="1"/>
  </sheetPr>
  <dimension ref="B1:M50"/>
  <sheetViews>
    <sheetView showGridLines="0" zoomScale="80" workbookViewId="0">
      <pane ySplit="6" topLeftCell="A7" activePane="bottomLeft" state="frozen"/>
      <selection activeCell="H28" sqref="H28"/>
      <selection pane="bottomLeft" activeCell="H59" sqref="H59"/>
    </sheetView>
  </sheetViews>
  <sheetFormatPr defaultColWidth="9" defaultRowHeight="19.5" customHeight="1"/>
  <cols>
    <col min="1" max="1" width="0.5" style="7" customWidth="1"/>
    <col min="2" max="2" width="5.19921875" style="7" bestFit="1" customWidth="1"/>
    <col min="3" max="3" width="7.3984375" style="7" customWidth="1"/>
    <col min="4" max="4" width="8.8984375" style="7" customWidth="1"/>
    <col min="5" max="5" width="17.69921875" style="7" customWidth="1"/>
    <col min="6" max="6" width="6.3984375" style="8" customWidth="1"/>
    <col min="7" max="7" width="8.8984375" style="27" customWidth="1"/>
    <col min="8" max="8" width="9.69921875" style="44" customWidth="1"/>
    <col min="9" max="9" width="17.5" style="44" bestFit="1" customWidth="1"/>
    <col min="10" max="10" width="15.59765625" style="7" customWidth="1"/>
    <col min="11" max="11" width="13.69921875" style="80" bestFit="1" customWidth="1"/>
    <col min="12" max="12" width="10.8984375" style="7" bestFit="1" customWidth="1"/>
    <col min="13" max="16384" width="9" style="7"/>
  </cols>
  <sheetData>
    <row r="1" spans="2:11" s="1" customFormat="1" ht="19.5" customHeight="1">
      <c r="F1" s="2"/>
      <c r="G1" s="25"/>
      <c r="H1" s="42"/>
      <c r="I1" s="42"/>
      <c r="K1" s="77"/>
    </row>
    <row r="2" spans="2:11" s="79" customFormat="1" ht="26.25" customHeight="1">
      <c r="B2" s="3"/>
      <c r="C2" s="4" t="s">
        <v>70</v>
      </c>
      <c r="D2" s="5"/>
      <c r="E2" s="5"/>
      <c r="F2" s="6"/>
      <c r="G2" s="26"/>
      <c r="H2" s="43"/>
      <c r="I2" s="43"/>
      <c r="J2" s="5"/>
      <c r="K2" s="78"/>
    </row>
    <row r="3" spans="2:11" s="79" customFormat="1" ht="19.5" customHeight="1">
      <c r="B3" s="3"/>
      <c r="C3" s="4"/>
      <c r="D3" s="5"/>
      <c r="E3" s="5"/>
      <c r="F3" s="6"/>
      <c r="G3" s="26"/>
      <c r="H3" s="43"/>
      <c r="I3" s="43"/>
      <c r="J3" s="5"/>
      <c r="K3" s="78"/>
    </row>
    <row r="4" spans="2:11" ht="30" customHeight="1">
      <c r="B4" s="159" t="s">
        <v>113</v>
      </c>
      <c r="D4" s="123"/>
      <c r="J4" s="8"/>
    </row>
    <row r="5" spans="2:11" s="8" customFormat="1" ht="8.25" customHeight="1">
      <c r="B5" s="9"/>
      <c r="C5" s="454"/>
      <c r="D5" s="455"/>
      <c r="E5" s="456"/>
      <c r="F5" s="10"/>
      <c r="G5" s="81"/>
      <c r="H5" s="81"/>
      <c r="I5" s="81"/>
      <c r="J5" s="82"/>
      <c r="K5" s="83"/>
    </row>
    <row r="6" spans="2:11" s="8" customFormat="1" ht="22.5" customHeight="1" thickBot="1">
      <c r="B6" s="37" t="s">
        <v>10</v>
      </c>
      <c r="C6" s="457" t="s">
        <v>12</v>
      </c>
      <c r="D6" s="458"/>
      <c r="E6" s="459"/>
      <c r="F6" s="38" t="s">
        <v>11</v>
      </c>
      <c r="G6" s="45" t="s">
        <v>13</v>
      </c>
      <c r="H6" s="45" t="s">
        <v>14</v>
      </c>
      <c r="I6" s="45" t="s">
        <v>94</v>
      </c>
      <c r="J6" s="39" t="s">
        <v>15</v>
      </c>
      <c r="K6" s="83"/>
    </row>
    <row r="7" spans="2:11" ht="19.5" customHeight="1" thickTop="1">
      <c r="B7" s="451">
        <v>1</v>
      </c>
      <c r="C7" s="475" t="s">
        <v>89</v>
      </c>
      <c r="D7" s="471" t="s">
        <v>1</v>
      </c>
      <c r="E7" s="36" t="s">
        <v>87</v>
      </c>
      <c r="F7" s="162" t="s">
        <v>116</v>
      </c>
      <c r="G7" s="92">
        <f>단위장비1!F16+단위장비2!F17+단위장비3!F20+단위장비5!F17+단위장비4!F17+단위장비6!F18+단위장비7!F30+단위장비8!F30+단위장비9!F30+단위장비10!F30</f>
        <v>0</v>
      </c>
      <c r="H7" s="46"/>
      <c r="I7" s="46">
        <f>단위장비1!H10+단위장비2!H11+단위장비3!H14+단위장비5!H11+단위장비4!H11+단위장비6!H12+단위장비7!H24+단위장비8!H24+단위장비9!H24+단위장비10!H24</f>
        <v>11420000</v>
      </c>
      <c r="J7" s="22" t="s">
        <v>21</v>
      </c>
    </row>
    <row r="8" spans="2:11" ht="19.5" customHeight="1">
      <c r="B8" s="451"/>
      <c r="C8" s="471"/>
      <c r="D8" s="471"/>
      <c r="E8" s="12" t="s">
        <v>118</v>
      </c>
      <c r="F8" s="160" t="s">
        <v>117</v>
      </c>
      <c r="G8" s="93">
        <v>1</v>
      </c>
      <c r="H8" s="35"/>
      <c r="I8" s="35">
        <f>단위장비1!H26+단위장비2!H24+단위장비3!H32+단위장비5!H25+단위장비4!H27+단위장비6!H25+단위장비7!H47+단위장비8!H47+단위장비9!H47+단위장비10!H47</f>
        <v>13320000</v>
      </c>
      <c r="J8" s="245" t="s">
        <v>22</v>
      </c>
    </row>
    <row r="9" spans="2:11" ht="19.5" customHeight="1">
      <c r="B9" s="451"/>
      <c r="C9" s="471"/>
      <c r="D9" s="471"/>
      <c r="E9" s="12" t="s">
        <v>2</v>
      </c>
      <c r="F9" s="160" t="s">
        <v>117</v>
      </c>
      <c r="G9" s="94">
        <v>1</v>
      </c>
      <c r="H9" s="35"/>
      <c r="I9" s="35">
        <f>단위장비1!H35+단위장비2!H36+단위장비3!H47+단위장비5!H37+단위장비4!H38+단위장비6!H49+단위장비7!H55+단위장비8!H55+단위장비9!H55+단위장비10!H55</f>
        <v>1030390000</v>
      </c>
      <c r="J9" s="245" t="s">
        <v>197</v>
      </c>
    </row>
    <row r="10" spans="2:11" ht="19.5" customHeight="1">
      <c r="B10" s="451"/>
      <c r="C10" s="471"/>
      <c r="D10" s="471"/>
      <c r="E10" s="230" t="s">
        <v>151</v>
      </c>
      <c r="F10" s="251" t="s">
        <v>147</v>
      </c>
      <c r="G10" s="252">
        <v>1</v>
      </c>
      <c r="H10" s="231"/>
      <c r="I10" s="231">
        <f>단위장비1!H16+단위장비2!H17+단위장비3!H20+단위장비5!H17+단위장비4!H17+단위장비6!H18+단위장비7!H30+단위장비8!H30+단위장비9!H30+단위장비10!H30</f>
        <v>0</v>
      </c>
      <c r="J10" s="245" t="s">
        <v>152</v>
      </c>
    </row>
    <row r="11" spans="2:11" ht="19.5" customHeight="1">
      <c r="B11" s="451"/>
      <c r="C11" s="471"/>
      <c r="D11" s="428"/>
      <c r="E11" s="14" t="s">
        <v>66</v>
      </c>
      <c r="F11" s="445"/>
      <c r="G11" s="446"/>
      <c r="H11" s="447"/>
      <c r="I11" s="47">
        <f>SUM(I7:I10)</f>
        <v>1055130000</v>
      </c>
      <c r="J11" s="13"/>
    </row>
    <row r="12" spans="2:11" ht="19.5" customHeight="1">
      <c r="B12" s="451"/>
      <c r="C12" s="471"/>
      <c r="D12" s="476" t="s">
        <v>3</v>
      </c>
      <c r="E12" s="253" t="s">
        <v>88</v>
      </c>
      <c r="F12" s="251" t="s">
        <v>114</v>
      </c>
      <c r="G12" s="254">
        <f>단위장비1!F37+단위장비2!F38+단위장비3!F49+단위장비5!F39+단위장비4!F40+단위장비6!F51+단위장비7!F57+단위장비8!F57+단위장비9!F57+단위장비10!F57</f>
        <v>70</v>
      </c>
      <c r="H12" s="254" t="str">
        <f>IF(단위장비1!G37&gt;0,단위장비1!G37,"")</f>
        <v/>
      </c>
      <c r="I12" s="254">
        <f>단위장비1!H37+단위장비2!H38+단위장비3!H49+단위장비5!H39+단위장비4!H40+단위장비6!H51+단위장비7!H57+단위장비8!H57+단위장비9!H57+단위장비10!H57</f>
        <v>22400000</v>
      </c>
      <c r="J12" s="16" t="s">
        <v>65</v>
      </c>
    </row>
    <row r="13" spans="2:11" s="85" customFormat="1" ht="19.5" customHeight="1">
      <c r="B13" s="451"/>
      <c r="C13" s="471"/>
      <c r="D13" s="471"/>
      <c r="E13" s="12" t="s">
        <v>4</v>
      </c>
      <c r="F13" s="160" t="s">
        <v>114</v>
      </c>
      <c r="G13" s="33">
        <f>단위장비1!F38+단위장비2!F39+단위장비3!F50+단위장비5!F40+단위장비4!F41+단위장비6!F52+단위장비7!F58+단위장비8!F58+단위장비9!F58+단위장비10!F58</f>
        <v>0</v>
      </c>
      <c r="H13" s="33" t="str">
        <f>IF(단위장비1!G38&gt;0,단위장비1!G38,"")</f>
        <v/>
      </c>
      <c r="I13" s="33">
        <f>단위장비1!H38+단위장비2!H39+단위장비3!H50+단위장비5!H40+단위장비4!H41+단위장비6!H52+단위장비7!H58+단위장비8!H58+단위장비9!H58+단위장비10!H58</f>
        <v>0</v>
      </c>
      <c r="J13" s="16"/>
      <c r="K13" s="84"/>
    </row>
    <row r="14" spans="2:11" s="85" customFormat="1" ht="19.5" customHeight="1">
      <c r="B14" s="451"/>
      <c r="C14" s="471"/>
      <c r="D14" s="471"/>
      <c r="E14" s="15" t="s">
        <v>19</v>
      </c>
      <c r="F14" s="160" t="s">
        <v>114</v>
      </c>
      <c r="G14" s="33"/>
      <c r="H14" s="33" t="str">
        <f>IF(단위장비1!G39&gt;0,단위장비1!G39,"")</f>
        <v/>
      </c>
      <c r="I14" s="33">
        <f>단위장비1!H39+단위장비2!H40+단위장비3!H51+단위장비5!H41+단위장비4!H42+단위장비6!H53+단위장비7!H59+단위장비8!H59+단위장비9!H59+단위장비10!H59</f>
        <v>0</v>
      </c>
      <c r="J14" s="16"/>
      <c r="K14" s="84"/>
    </row>
    <row r="15" spans="2:11" s="85" customFormat="1" ht="19.5" customHeight="1">
      <c r="B15" s="451"/>
      <c r="C15" s="471"/>
      <c r="D15" s="471"/>
      <c r="E15" s="15" t="s">
        <v>6</v>
      </c>
      <c r="F15" s="160" t="s">
        <v>114</v>
      </c>
      <c r="G15" s="33">
        <f>단위장비1!F40+단위장비2!F41+단위장비3!F52+단위장비5!F42+단위장비4!F43+단위장비6!F54+단위장비7!F60+단위장비8!F60+단위장비9!F60+단위장비10!F60</f>
        <v>185</v>
      </c>
      <c r="H15" s="33">
        <f>IF(단위장비1!G40&gt;0,단위장비1!G40,"")</f>
        <v>250000</v>
      </c>
      <c r="I15" s="33">
        <f>단위장비1!H40+단위장비2!H41+단위장비3!H52+단위장비5!H42+단위장비4!H43+단위장비6!H54+단위장비7!H60+단위장비8!H60+단위장비9!H60+단위장비10!H60</f>
        <v>46250000</v>
      </c>
      <c r="J15" s="16" t="s">
        <v>64</v>
      </c>
      <c r="K15" s="84"/>
    </row>
    <row r="16" spans="2:11" s="85" customFormat="1" ht="19.5" customHeight="1">
      <c r="B16" s="451"/>
      <c r="C16" s="471"/>
      <c r="D16" s="471"/>
      <c r="E16" s="253" t="s">
        <v>7</v>
      </c>
      <c r="F16" s="251" t="s">
        <v>114</v>
      </c>
      <c r="G16" s="254">
        <f>단위장비1!F41+단위장비2!F42+단위장비3!F53+단위장비5!F43+단위장비4!F44+단위장비6!F55+단위장비7!F61+단위장비8!F61+단위장비9!F61+단위장비10!F61</f>
        <v>199</v>
      </c>
      <c r="H16" s="254">
        <f>IF(단위장비1!G41&gt;0,단위장비1!G41,"")</f>
        <v>320000</v>
      </c>
      <c r="I16" s="254">
        <f>단위장비1!H41+단위장비2!H42+단위장비3!H53+단위장비5!H43+단위장비4!H44+단위장비6!H55+단위장비7!H61+단위장비8!H61+단위장비9!H61+단위장비10!H61</f>
        <v>63680000</v>
      </c>
      <c r="J16" s="16"/>
      <c r="K16" s="84"/>
    </row>
    <row r="17" spans="2:10" ht="19.5" customHeight="1">
      <c r="B17" s="451"/>
      <c r="C17" s="471"/>
      <c r="D17" s="471"/>
      <c r="E17" s="253" t="s">
        <v>8</v>
      </c>
      <c r="F17" s="251" t="s">
        <v>114</v>
      </c>
      <c r="G17" s="254">
        <f>단위장비1!F42+단위장비2!F43+단위장비3!F54+단위장비5!F44+단위장비4!F45+단위장비6!F56+단위장비7!F62+단위장비8!F62+단위장비9!F62+단위장비10!F62</f>
        <v>214</v>
      </c>
      <c r="H17" s="254">
        <f>IF(단위장비1!G42&gt;0,단위장비1!G42,"")</f>
        <v>500000</v>
      </c>
      <c r="I17" s="254">
        <f>단위장비1!H42+단위장비2!H43+단위장비3!H54+단위장비5!H44+단위장비4!H45+단위장비6!H56+단위장비7!H62+단위장비8!H62+단위장비9!H62+단위장비10!H62</f>
        <v>84140000</v>
      </c>
      <c r="J17" s="13"/>
    </row>
    <row r="18" spans="2:10" ht="19.5" customHeight="1">
      <c r="B18" s="451"/>
      <c r="C18" s="471"/>
      <c r="D18" s="471"/>
      <c r="E18" s="12" t="s">
        <v>9</v>
      </c>
      <c r="F18" s="160" t="s">
        <v>114</v>
      </c>
      <c r="G18" s="33">
        <f>단위장비1!F43+단위장비2!F44+단위장비3!F55+단위장비5!F45+단위장비4!F46+단위장비6!F57+단위장비7!F63+단위장비8!F63+단위장비9!F63+단위장비10!F63</f>
        <v>94</v>
      </c>
      <c r="H18" s="33" t="str">
        <f>IF(단위장비1!G43&gt;0,단위장비1!G43,"")</f>
        <v/>
      </c>
      <c r="I18" s="33">
        <f>단위장비1!H43+단위장비2!H44+단위장비3!H55+단위장비5!H45+단위장비4!H46+단위장비6!H57+단위장비7!H63+단위장비8!H63+단위장비9!H63+단위장비10!H63</f>
        <v>30080000</v>
      </c>
      <c r="J18" s="13"/>
    </row>
    <row r="19" spans="2:10" ht="19.5" customHeight="1">
      <c r="B19" s="451"/>
      <c r="C19" s="471"/>
      <c r="D19" s="471"/>
      <c r="E19" s="12" t="s">
        <v>20</v>
      </c>
      <c r="F19" s="160" t="s">
        <v>114</v>
      </c>
      <c r="G19" s="33">
        <f>단위장비1!F44+단위장비2!F45+단위장비3!F56+단위장비5!F46+단위장비4!F47+단위장비6!F58+단위장비7!F64+단위장비8!F64+단위장비9!F64+단위장비10!F64</f>
        <v>0</v>
      </c>
      <c r="H19" s="33" t="str">
        <f>IF(단위장비1!G44&gt;0,단위장비1!G44,"")</f>
        <v/>
      </c>
      <c r="I19" s="33">
        <f>단위장비1!H44+단위장비2!H45+단위장비3!H56+단위장비5!H46+단위장비4!H47+단위장비6!H58+단위장비7!H64+단위장비8!H64+단위장비9!H64+단위장비10!H64</f>
        <v>0</v>
      </c>
      <c r="J19" s="13"/>
    </row>
    <row r="20" spans="2:10" ht="19.5" customHeight="1">
      <c r="B20" s="451"/>
      <c r="C20" s="471"/>
      <c r="D20" s="428"/>
      <c r="E20" s="14" t="s">
        <v>66</v>
      </c>
      <c r="F20" s="445"/>
      <c r="G20" s="446"/>
      <c r="H20" s="447"/>
      <c r="I20" s="47">
        <f>SUM(I12:I19)</f>
        <v>246550000</v>
      </c>
      <c r="J20" s="13"/>
    </row>
    <row r="21" spans="2:10" ht="19.5" customHeight="1">
      <c r="B21" s="451"/>
      <c r="C21" s="471"/>
      <c r="D21" s="131" t="s">
        <v>75</v>
      </c>
      <c r="E21" s="124"/>
      <c r="F21" s="445"/>
      <c r="G21" s="446"/>
      <c r="H21" s="447"/>
      <c r="I21" s="50">
        <f>단위장비1!H47+단위장비1!H48+단위장비2!H48+단위장비2!H49+단위장비3!H59+단위장비3!H60+단위장비5!H49+단위장비5!H50+단위장비4!H50+단위장비4!H51+단위장비6!H61+단위장비6!H62+단위장비7!H67+단위장비7!H68+단위장비8!H67+단위장비8!H68+단위장비9!H67+단위장비9!H68+단위장비10!H67+단위장비10!H68</f>
        <v>195252000</v>
      </c>
      <c r="J21" s="86"/>
    </row>
    <row r="22" spans="2:10" ht="19.5" customHeight="1">
      <c r="B22" s="452"/>
      <c r="C22" s="472"/>
      <c r="D22" s="17"/>
      <c r="E22" s="18" t="s">
        <v>48</v>
      </c>
      <c r="F22" s="424"/>
      <c r="G22" s="425"/>
      <c r="H22" s="426"/>
      <c r="I22" s="48">
        <f>I20+I11+I21</f>
        <v>1496932000</v>
      </c>
      <c r="J22" s="19"/>
    </row>
    <row r="23" spans="2:10" ht="19.5" customHeight="1">
      <c r="B23" s="453">
        <v>2</v>
      </c>
      <c r="C23" s="468" t="s">
        <v>90</v>
      </c>
      <c r="D23" s="473" t="s">
        <v>1</v>
      </c>
      <c r="E23" s="11" t="s">
        <v>16</v>
      </c>
      <c r="F23" s="161" t="s">
        <v>115</v>
      </c>
      <c r="G23" s="34">
        <v>1</v>
      </c>
      <c r="H23" s="34"/>
      <c r="I23" s="34">
        <f>전기!H48-I24</f>
        <v>76759000</v>
      </c>
      <c r="J23" s="20"/>
    </row>
    <row r="24" spans="2:10" ht="19.5" customHeight="1">
      <c r="B24" s="451"/>
      <c r="C24" s="469"/>
      <c r="D24" s="474"/>
      <c r="E24" s="230" t="s">
        <v>151</v>
      </c>
      <c r="F24" s="255" t="s">
        <v>147</v>
      </c>
      <c r="G24" s="232">
        <v>1</v>
      </c>
      <c r="H24" s="232"/>
      <c r="I24" s="232">
        <f>전기!H16</f>
        <v>0</v>
      </c>
      <c r="J24" s="245" t="s">
        <v>152</v>
      </c>
    </row>
    <row r="25" spans="2:10" ht="19.5" customHeight="1">
      <c r="B25" s="451"/>
      <c r="C25" s="470"/>
      <c r="D25" s="476" t="s">
        <v>3</v>
      </c>
      <c r="E25" s="253" t="s">
        <v>93</v>
      </c>
      <c r="F25" s="251" t="s">
        <v>114</v>
      </c>
      <c r="G25" s="254">
        <f>전기!F49</f>
        <v>50</v>
      </c>
      <c r="H25" s="231">
        <f>IF(전기!G49&gt;0,전기!G49,"")</f>
        <v>300000</v>
      </c>
      <c r="I25" s="254">
        <f>전기!H49</f>
        <v>15000000</v>
      </c>
      <c r="J25" s="16"/>
    </row>
    <row r="26" spans="2:10" ht="19.5" customHeight="1">
      <c r="B26" s="451"/>
      <c r="C26" s="470"/>
      <c r="D26" s="471"/>
      <c r="E26" s="12" t="s">
        <v>72</v>
      </c>
      <c r="F26" s="160" t="s">
        <v>114</v>
      </c>
      <c r="G26" s="35">
        <f>전기!F50</f>
        <v>100</v>
      </c>
      <c r="H26" s="35">
        <f>IF(전기!G50&gt;0,전기!G50,"")</f>
        <v>500000</v>
      </c>
      <c r="I26" s="35">
        <f>전기!H50</f>
        <v>50000000</v>
      </c>
      <c r="J26" s="13"/>
    </row>
    <row r="27" spans="2:10" ht="19.5" customHeight="1">
      <c r="B27" s="451"/>
      <c r="C27" s="470"/>
      <c r="D27" s="471"/>
      <c r="E27" s="12" t="s">
        <v>5</v>
      </c>
      <c r="F27" s="160" t="s">
        <v>114</v>
      </c>
      <c r="G27" s="35">
        <f>전기!F51</f>
        <v>107</v>
      </c>
      <c r="H27" s="35">
        <f>IF(전기!G51&gt;0,전기!G51,"")</f>
        <v>300000</v>
      </c>
      <c r="I27" s="35">
        <f>전기!H51</f>
        <v>32100000</v>
      </c>
      <c r="J27" s="13"/>
    </row>
    <row r="28" spans="2:10" ht="19.5" customHeight="1">
      <c r="B28" s="451"/>
      <c r="C28" s="470"/>
      <c r="D28" s="471"/>
      <c r="E28" s="12" t="s">
        <v>99</v>
      </c>
      <c r="F28" s="160" t="s">
        <v>114</v>
      </c>
      <c r="G28" s="35">
        <f>전기!F52</f>
        <v>100</v>
      </c>
      <c r="H28" s="35">
        <f>IF(전기!G52&gt;0,전기!G52,"")</f>
        <v>300000</v>
      </c>
      <c r="I28" s="35">
        <f>전기!H52</f>
        <v>30000000</v>
      </c>
      <c r="J28" s="13"/>
    </row>
    <row r="29" spans="2:10" ht="19.5" customHeight="1">
      <c r="B29" s="451"/>
      <c r="C29" s="470"/>
      <c r="D29" s="471"/>
      <c r="E29" s="256" t="s">
        <v>98</v>
      </c>
      <c r="F29" s="251" t="s">
        <v>114</v>
      </c>
      <c r="G29" s="231">
        <f>전기!F53</f>
        <v>100</v>
      </c>
      <c r="H29" s="231">
        <f>IF(전기!G53&gt;0,전기!G53,"")</f>
        <v>300000</v>
      </c>
      <c r="I29" s="231">
        <f>전기!H53</f>
        <v>30000000</v>
      </c>
      <c r="J29" s="13"/>
    </row>
    <row r="30" spans="2:10" ht="19.5" customHeight="1">
      <c r="B30" s="451"/>
      <c r="C30" s="470"/>
      <c r="D30" s="471"/>
      <c r="E30" s="256" t="s">
        <v>8</v>
      </c>
      <c r="F30" s="251" t="s">
        <v>114</v>
      </c>
      <c r="G30" s="231">
        <f>전기!F54</f>
        <v>98</v>
      </c>
      <c r="H30" s="231">
        <f>IF(전기!G54&gt;0,전기!G54,"")</f>
        <v>500000</v>
      </c>
      <c r="I30" s="231">
        <f>전기!H54</f>
        <v>49000000</v>
      </c>
      <c r="J30" s="13"/>
    </row>
    <row r="31" spans="2:10" ht="19.5" customHeight="1">
      <c r="B31" s="451"/>
      <c r="C31" s="470"/>
      <c r="D31" s="471"/>
      <c r="E31" s="12" t="s">
        <v>9</v>
      </c>
      <c r="F31" s="160" t="s">
        <v>114</v>
      </c>
      <c r="G31" s="35">
        <f>전기!F55</f>
        <v>40</v>
      </c>
      <c r="H31" s="35">
        <f>IF(전기!G55&gt;0,전기!G55,"")</f>
        <v>500000</v>
      </c>
      <c r="I31" s="35">
        <f>전기!H55</f>
        <v>20000000</v>
      </c>
      <c r="J31" s="13"/>
    </row>
    <row r="32" spans="2:10" ht="19.5" customHeight="1">
      <c r="B32" s="451"/>
      <c r="C32" s="470"/>
      <c r="D32" s="428"/>
      <c r="E32" s="14" t="s">
        <v>67</v>
      </c>
      <c r="F32" s="484"/>
      <c r="G32" s="485"/>
      <c r="H32" s="486"/>
      <c r="I32" s="47">
        <f>SUM(I25:I31)</f>
        <v>226100000</v>
      </c>
      <c r="J32" s="13"/>
    </row>
    <row r="33" spans="2:13" ht="19.5" customHeight="1">
      <c r="B33" s="451"/>
      <c r="C33" s="471"/>
      <c r="D33" s="131" t="s">
        <v>75</v>
      </c>
      <c r="E33" s="124"/>
      <c r="F33" s="445"/>
      <c r="G33" s="446"/>
      <c r="H33" s="447"/>
      <c r="I33" s="50">
        <f>전기!H58+전기!H59</f>
        <v>45428850</v>
      </c>
      <c r="J33" s="86"/>
    </row>
    <row r="34" spans="2:13" ht="19.5" customHeight="1">
      <c r="B34" s="452"/>
      <c r="C34" s="472"/>
      <c r="D34" s="17"/>
      <c r="E34" s="18" t="s">
        <v>68</v>
      </c>
      <c r="F34" s="424"/>
      <c r="G34" s="425"/>
      <c r="H34" s="426"/>
      <c r="I34" s="48">
        <f>I32+I23+I33+I24</f>
        <v>348287850</v>
      </c>
      <c r="J34" s="19"/>
    </row>
    <row r="35" spans="2:13" ht="19.5" customHeight="1">
      <c r="B35" s="460">
        <v>3</v>
      </c>
      <c r="C35" s="463" t="s">
        <v>56</v>
      </c>
      <c r="D35" s="464"/>
      <c r="E35" s="465"/>
      <c r="F35" s="463"/>
      <c r="G35" s="464"/>
      <c r="H35" s="465"/>
      <c r="I35" s="49">
        <f>I23+I11+I24</f>
        <v>1131889000</v>
      </c>
      <c r="J35" s="20"/>
    </row>
    <row r="36" spans="2:13" ht="19.5" customHeight="1">
      <c r="B36" s="461"/>
      <c r="C36" s="445" t="s">
        <v>57</v>
      </c>
      <c r="D36" s="446"/>
      <c r="E36" s="447"/>
      <c r="F36" s="445"/>
      <c r="G36" s="446"/>
      <c r="H36" s="447"/>
      <c r="I36" s="47">
        <f>I32+I20</f>
        <v>472650000</v>
      </c>
      <c r="J36" s="13"/>
    </row>
    <row r="37" spans="2:13" ht="19.5" customHeight="1" thickBot="1">
      <c r="B37" s="462"/>
      <c r="C37" s="466" t="s">
        <v>58</v>
      </c>
      <c r="D37" s="466"/>
      <c r="E37" s="467"/>
      <c r="F37" s="477"/>
      <c r="G37" s="466"/>
      <c r="H37" s="467"/>
      <c r="I37" s="57">
        <f>I36+I35</f>
        <v>1604539000</v>
      </c>
      <c r="J37" s="58"/>
    </row>
    <row r="38" spans="2:13" ht="20.25" customHeight="1">
      <c r="B38" s="21">
        <v>4</v>
      </c>
      <c r="C38" s="428" t="s">
        <v>86</v>
      </c>
      <c r="D38" s="429"/>
      <c r="E38" s="430"/>
      <c r="F38" s="478"/>
      <c r="G38" s="479"/>
      <c r="H38" s="480"/>
      <c r="I38" s="141"/>
      <c r="J38" s="109"/>
    </row>
    <row r="39" spans="2:13" ht="22.5" customHeight="1">
      <c r="B39" s="23">
        <v>5</v>
      </c>
      <c r="C39" s="445" t="s">
        <v>0</v>
      </c>
      <c r="D39" s="446"/>
      <c r="E39" s="447"/>
      <c r="F39" s="481" t="s">
        <v>165</v>
      </c>
      <c r="G39" s="482"/>
      <c r="H39" s="483"/>
      <c r="I39" s="110">
        <f>CEILING(MIN(I48:I49),1000)</f>
        <v>9988000</v>
      </c>
      <c r="J39" s="257">
        <f>I30+I29+I25+I24+I17+I16+I12+I10</f>
        <v>264220000</v>
      </c>
      <c r="K39" s="163"/>
      <c r="M39" s="163"/>
    </row>
    <row r="40" spans="2:13" ht="20.25" customHeight="1">
      <c r="B40" s="23">
        <v>6</v>
      </c>
      <c r="C40" s="445" t="s">
        <v>25</v>
      </c>
      <c r="D40" s="446"/>
      <c r="E40" s="447"/>
      <c r="F40" s="448"/>
      <c r="G40" s="449"/>
      <c r="H40" s="450"/>
      <c r="I40" s="47">
        <f>전기!H58+단위장비1!H47+단위장비2!H48+단위장비3!H59+단위장비5!H49+단위장비4!H50+단위장비6!H61+단위장비7!H67+단위장비8!H67+단위장비9!H67+단위장비10!H67</f>
        <v>80226950</v>
      </c>
      <c r="J40" s="13"/>
    </row>
    <row r="41" spans="2:13" ht="20.25" customHeight="1">
      <c r="B41" s="24">
        <v>7</v>
      </c>
      <c r="C41" s="424" t="s">
        <v>17</v>
      </c>
      <c r="D41" s="425"/>
      <c r="E41" s="426"/>
      <c r="F41" s="442"/>
      <c r="G41" s="443"/>
      <c r="H41" s="444"/>
      <c r="I41" s="50">
        <f>전기!H59+단위장비1!H48+단위장비2!H49+단위장비3!H60+단위장비5!H50+단위장비4!H51+단위장비6!H62+단위장비7!H68+단위장비8!H68+단위장비9!H68+단위장비10!H68</f>
        <v>160453900</v>
      </c>
      <c r="J41" s="86"/>
      <c r="K41" s="7"/>
    </row>
    <row r="42" spans="2:13" ht="28.5" customHeight="1" thickBot="1">
      <c r="B42" s="59"/>
      <c r="C42" s="427" t="s">
        <v>18</v>
      </c>
      <c r="D42" s="427"/>
      <c r="E42" s="427"/>
      <c r="F42" s="439" t="s">
        <v>62</v>
      </c>
      <c r="G42" s="440"/>
      <c r="H42" s="441"/>
      <c r="I42" s="60">
        <f>I22+I34+I38+I39</f>
        <v>1855207850</v>
      </c>
      <c r="J42" s="87"/>
      <c r="K42" s="7"/>
    </row>
    <row r="43" spans="2:13" ht="19.5" customHeight="1">
      <c r="B43" s="233" t="s">
        <v>183</v>
      </c>
      <c r="C43" s="8"/>
      <c r="D43" s="8"/>
      <c r="E43" s="8"/>
    </row>
    <row r="44" spans="2:13" ht="19.5" customHeight="1">
      <c r="B44" s="233" t="s">
        <v>182</v>
      </c>
      <c r="C44" s="8"/>
      <c r="D44" s="8"/>
      <c r="E44" s="8"/>
    </row>
    <row r="45" spans="2:13" ht="19.5" customHeight="1">
      <c r="B45" s="7" t="s">
        <v>63</v>
      </c>
      <c r="C45" s="8"/>
      <c r="D45" s="8"/>
      <c r="E45" s="8"/>
    </row>
    <row r="46" spans="2:13" ht="19.5" customHeight="1">
      <c r="C46" s="8"/>
      <c r="D46" s="8"/>
      <c r="E46" s="8"/>
    </row>
    <row r="47" spans="2:13" ht="19.5" customHeight="1">
      <c r="C47" s="8"/>
      <c r="D47" s="8"/>
      <c r="E47" s="436" t="s">
        <v>170</v>
      </c>
      <c r="F47" s="433" t="s">
        <v>160</v>
      </c>
      <c r="G47" s="434"/>
      <c r="H47" s="435"/>
      <c r="I47" s="247" t="s">
        <v>162</v>
      </c>
      <c r="J47" s="249" t="s">
        <v>159</v>
      </c>
      <c r="K47" s="250" t="s">
        <v>163</v>
      </c>
    </row>
    <row r="48" spans="2:13" ht="19.5" customHeight="1">
      <c r="C48" s="8"/>
      <c r="D48" s="8"/>
      <c r="E48" s="437"/>
      <c r="F48" s="431" t="s">
        <v>155</v>
      </c>
      <c r="G48" s="432"/>
      <c r="H48" s="432"/>
      <c r="I48" s="47">
        <f>IF(J48&lt;500000000,J48*0.0315,1)+IF(J48&gt;500000000,J48*0.0253+3300000)*IF(J48&gt;5000000000,0,1)+IF(J48&gt;5000000000,J48*0.026,0)</f>
        <v>43894837.700000003</v>
      </c>
      <c r="J48" s="248">
        <f>SUM(I7:I10,I12:I19,I23:I31,I38)</f>
        <v>1604539000</v>
      </c>
      <c r="K48" s="248" t="s">
        <v>157</v>
      </c>
    </row>
    <row r="49" spans="5:11" ht="19.5" customHeight="1">
      <c r="E49" s="438"/>
      <c r="F49" s="431" t="s">
        <v>156</v>
      </c>
      <c r="G49" s="432"/>
      <c r="H49" s="432"/>
      <c r="I49" s="47">
        <f>(IF(J49&lt;500000000,J49*0.0315,1)+IF(J49&gt;500000000,J49*0.0253+3300000)*IF(J49&gt;5000000000,0,1)+IF(J49&gt;5000000000,J49*0.026,0))*1.2</f>
        <v>9987516</v>
      </c>
      <c r="J49" s="258">
        <f>SUM(I10,I24,I12,I16:I17,I25,I29:I30)</f>
        <v>264220000</v>
      </c>
      <c r="K49" s="248" t="s">
        <v>158</v>
      </c>
    </row>
    <row r="50" spans="5:11" ht="19.5" customHeight="1">
      <c r="G50" s="246" t="s">
        <v>161</v>
      </c>
    </row>
  </sheetData>
  <mergeCells count="38">
    <mergeCell ref="F11:H11"/>
    <mergeCell ref="F32:H32"/>
    <mergeCell ref="F33:H33"/>
    <mergeCell ref="F34:H34"/>
    <mergeCell ref="F20:H20"/>
    <mergeCell ref="F21:H21"/>
    <mergeCell ref="F22:H22"/>
    <mergeCell ref="F35:H35"/>
    <mergeCell ref="F36:H36"/>
    <mergeCell ref="F37:H37"/>
    <mergeCell ref="F38:H38"/>
    <mergeCell ref="F39:H39"/>
    <mergeCell ref="B7:B22"/>
    <mergeCell ref="B23:B34"/>
    <mergeCell ref="C5:E5"/>
    <mergeCell ref="C6:E6"/>
    <mergeCell ref="B35:B37"/>
    <mergeCell ref="C35:E35"/>
    <mergeCell ref="C36:E36"/>
    <mergeCell ref="C37:E37"/>
    <mergeCell ref="C23:C34"/>
    <mergeCell ref="D23:D24"/>
    <mergeCell ref="C7:C22"/>
    <mergeCell ref="D7:D11"/>
    <mergeCell ref="D25:D32"/>
    <mergeCell ref="D12:D20"/>
    <mergeCell ref="C41:E41"/>
    <mergeCell ref="C42:E42"/>
    <mergeCell ref="C38:E38"/>
    <mergeCell ref="F48:H48"/>
    <mergeCell ref="F49:H49"/>
    <mergeCell ref="F47:H47"/>
    <mergeCell ref="E47:E49"/>
    <mergeCell ref="F42:H42"/>
    <mergeCell ref="F41:H41"/>
    <mergeCell ref="C39:E39"/>
    <mergeCell ref="C40:E40"/>
    <mergeCell ref="F40:H40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6" orientation="portrait" horizontalDpi="4294967292" verticalDpi="120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982D-98AA-44C7-AA9F-0B5FB46F21F9}">
  <sheetPr codeName="Sheet4">
    <pageSetUpPr fitToPage="1"/>
  </sheetPr>
  <dimension ref="A2:P22"/>
  <sheetViews>
    <sheetView topLeftCell="C1" zoomScale="74" zoomScaleNormal="74" workbookViewId="0">
      <selection activeCell="K8" sqref="K8"/>
    </sheetView>
  </sheetViews>
  <sheetFormatPr defaultColWidth="9" defaultRowHeight="17.25" customHeight="1"/>
  <cols>
    <col min="1" max="1" width="5" style="28" customWidth="1"/>
    <col min="2" max="2" width="20.09765625" style="28" customWidth="1"/>
    <col min="3" max="3" width="6.19921875" style="28" customWidth="1"/>
    <col min="4" max="8" width="11.8984375" style="28" customWidth="1"/>
    <col min="9" max="9" width="13" style="28" customWidth="1"/>
    <col min="10" max="10" width="15.296875" style="28" customWidth="1"/>
    <col min="11" max="11" width="13.8984375" style="28" customWidth="1"/>
    <col min="12" max="12" width="12.5" style="28" bestFit="1" customWidth="1"/>
    <col min="13" max="13" width="15" style="28" bestFit="1" customWidth="1"/>
    <col min="14" max="14" width="15.3984375" style="28" customWidth="1"/>
    <col min="15" max="15" width="9.59765625" style="28" customWidth="1"/>
    <col min="16" max="16" width="12.59765625" style="28" hidden="1" customWidth="1"/>
    <col min="17" max="17" width="10" style="28" customWidth="1"/>
    <col min="18" max="16384" width="9" style="28"/>
  </cols>
  <sheetData>
    <row r="2" spans="1:16" ht="31.5" customHeight="1">
      <c r="A2" s="4" t="s">
        <v>91</v>
      </c>
    </row>
    <row r="3" spans="1:16" ht="17.25" customHeight="1" thickBot="1">
      <c r="N3" s="28" t="s">
        <v>29</v>
      </c>
    </row>
    <row r="4" spans="1:16" s="29" customFormat="1" ht="8.25" customHeight="1">
      <c r="A4" s="32"/>
      <c r="B4" s="32"/>
      <c r="C4" s="32"/>
      <c r="D4" s="490"/>
      <c r="E4" s="491"/>
      <c r="F4" s="491"/>
      <c r="G4" s="491"/>
      <c r="H4" s="491"/>
      <c r="I4" s="491"/>
      <c r="J4" s="492"/>
      <c r="K4" s="126"/>
      <c r="L4" s="126"/>
      <c r="M4" s="127"/>
      <c r="N4" s="63"/>
      <c r="O4" s="51"/>
    </row>
    <row r="5" spans="1:16" s="29" customFormat="1" ht="25.5" customHeight="1">
      <c r="A5" s="66"/>
      <c r="B5" s="66"/>
      <c r="C5" s="66"/>
      <c r="D5" s="205"/>
      <c r="E5" s="206"/>
      <c r="F5" s="206"/>
      <c r="G5" s="206"/>
      <c r="H5" s="206"/>
      <c r="I5" s="207" t="s">
        <v>84</v>
      </c>
      <c r="J5" s="190"/>
      <c r="K5" s="186"/>
      <c r="L5" s="186" t="s">
        <v>73</v>
      </c>
      <c r="M5" s="187" t="s">
        <v>55</v>
      </c>
      <c r="N5" s="188"/>
      <c r="O5" s="189"/>
    </row>
    <row r="6" spans="1:16" s="29" customFormat="1" ht="25.5" customHeight="1" thickBot="1">
      <c r="A6" s="41" t="s">
        <v>23</v>
      </c>
      <c r="B6" s="41" t="s">
        <v>92</v>
      </c>
      <c r="C6" s="41" t="s">
        <v>28</v>
      </c>
      <c r="D6" s="208" t="s">
        <v>24</v>
      </c>
      <c r="E6" s="209" t="s">
        <v>59</v>
      </c>
      <c r="F6" s="209" t="s">
        <v>60</v>
      </c>
      <c r="G6" s="209" t="s">
        <v>53</v>
      </c>
      <c r="H6" s="209" t="s">
        <v>54</v>
      </c>
      <c r="I6" s="210" t="s">
        <v>85</v>
      </c>
      <c r="J6" s="191" t="s">
        <v>137</v>
      </c>
      <c r="K6" s="125" t="s">
        <v>138</v>
      </c>
      <c r="L6" s="125" t="s">
        <v>74</v>
      </c>
      <c r="M6" s="128" t="s">
        <v>42</v>
      </c>
      <c r="N6" s="64" t="s">
        <v>26</v>
      </c>
      <c r="O6" s="61" t="s">
        <v>27</v>
      </c>
    </row>
    <row r="7" spans="1:16" s="31" customFormat="1" ht="25.5" customHeight="1" thickTop="1">
      <c r="A7" s="142">
        <f>IF(B7&gt;0,1,"")</f>
        <v>1</v>
      </c>
      <c r="B7" s="143" t="str">
        <f>단위장비1!C$1</f>
        <v>선삭 신규 라인 IN ROBOT SYSTEM</v>
      </c>
      <c r="C7" s="142" t="s">
        <v>140</v>
      </c>
      <c r="D7" s="211">
        <f>단위장비1!H36</f>
        <v>75170000</v>
      </c>
      <c r="E7" s="212">
        <f>단위장비1!H37</f>
        <v>0</v>
      </c>
      <c r="F7" s="212">
        <f>단위장비1!H38+단위장비1!H39+단위장비1!H40+단위장비1!H44</f>
        <v>4250000</v>
      </c>
      <c r="G7" s="212">
        <f>단위장비1!H41+단위장비1!H42</f>
        <v>22440000</v>
      </c>
      <c r="H7" s="212">
        <f>단위장비1!H43</f>
        <v>0</v>
      </c>
      <c r="I7" s="213">
        <f>IF($B7&gt;0,'원가항목별(집계)'!I$38*$P7/$P$17,0)</f>
        <v>0</v>
      </c>
      <c r="J7" s="192">
        <f>SUM(D7:I7)</f>
        <v>101860000</v>
      </c>
      <c r="K7" s="144">
        <f>IF(B7&gt;0,'원가항목별(집계)'!I$34*P7/P$17,0)</f>
        <v>27254471.453045294</v>
      </c>
      <c r="L7" s="144">
        <f>IF($B7&gt;0,'원가항목별(집계)'!I$39*$P7/$P$17,0)</f>
        <v>781588.16298936761</v>
      </c>
      <c r="M7" s="145">
        <f>단위장비1!H47+단위장비1!H48</f>
        <v>15279000</v>
      </c>
      <c r="N7" s="146">
        <f>SUM(J7:M7)</f>
        <v>145175059.61603466</v>
      </c>
      <c r="O7" s="147"/>
      <c r="P7" s="31">
        <f>D7+E7+F7+G7+H7+M7</f>
        <v>117139000</v>
      </c>
    </row>
    <row r="8" spans="1:16" s="31" customFormat="1" ht="25.5" customHeight="1">
      <c r="A8" s="148">
        <f t="shared" ref="A8:A16" si="0">IF(B8&gt;0,A7+1,"")</f>
        <v>2</v>
      </c>
      <c r="B8" s="149" t="str">
        <f>단위장비2!C$1</f>
        <v>선삭 신규 라인 2AXIS-I GANTRY SYSTEM</v>
      </c>
      <c r="C8" s="148" t="s">
        <v>141</v>
      </c>
      <c r="D8" s="214">
        <f>단위장비2!H37</f>
        <v>141490000</v>
      </c>
      <c r="E8" s="215">
        <f>단위장비2!H38</f>
        <v>1600000</v>
      </c>
      <c r="F8" s="215">
        <f>단위장비2!H39+단위장비2!H40+단위장비2!H41+단위장비2!H45</f>
        <v>12000000</v>
      </c>
      <c r="G8" s="215">
        <f>단위장비2!H42+단위장비2!H43</f>
        <v>16000000</v>
      </c>
      <c r="H8" s="215">
        <f>단위장비2!H44</f>
        <v>9600000</v>
      </c>
      <c r="I8" s="216">
        <f>IF($B8&gt;0,'원가항목별(집계)'!I$38*$P8/$P$17,0)</f>
        <v>0</v>
      </c>
      <c r="J8" s="193">
        <f>SUM(D8:I8)</f>
        <v>180690000</v>
      </c>
      <c r="K8" s="150">
        <f>IF(B8&gt;0,'원가항목별(집계)'!I$34*P8/P$17,0)</f>
        <v>48346853.002658106</v>
      </c>
      <c r="L8" s="150">
        <f>IF($B8&gt;0,'원가항목별(집계)'!I$39*$P8/$P$17,0)</f>
        <v>1386463.4318726568</v>
      </c>
      <c r="M8" s="151">
        <f>단위장비2!H48+단위장비2!H49</f>
        <v>27103500</v>
      </c>
      <c r="N8" s="152">
        <f t="shared" ref="N8:N16" si="1">SUM(J8:M8)</f>
        <v>257526816.43453076</v>
      </c>
      <c r="O8" s="99"/>
      <c r="P8" s="31">
        <f t="shared" ref="P8:P16" si="2">D8+E8+F8+G8+H8+M8</f>
        <v>207793500</v>
      </c>
    </row>
    <row r="9" spans="1:16" s="31" customFormat="1" ht="25.5" customHeight="1">
      <c r="A9" s="148">
        <f t="shared" si="0"/>
        <v>3</v>
      </c>
      <c r="B9" s="149" t="str">
        <f>단위장비3!C$1</f>
        <v>선삭 개조 라인</v>
      </c>
      <c r="C9" s="148" t="s">
        <v>139</v>
      </c>
      <c r="D9" s="214">
        <f>단위장비3!H48</f>
        <v>190610000</v>
      </c>
      <c r="E9" s="215">
        <f>단위장비3!H49</f>
        <v>2560000</v>
      </c>
      <c r="F9" s="215">
        <f>단위장비3!H50+단위장비3!H51+단위장비3!H52+단위장비3!H56</f>
        <v>8500000</v>
      </c>
      <c r="G9" s="215">
        <f>단위장비3!H53+단위장비3!H54</f>
        <v>37380000</v>
      </c>
      <c r="H9" s="215">
        <f>단위장비3!H55</f>
        <v>0</v>
      </c>
      <c r="I9" s="216">
        <f>IF($B9&gt;0,'원가항목별(집계)'!I$38*$P9/$P$17,0)</f>
        <v>0</v>
      </c>
      <c r="J9" s="193">
        <f t="shared" ref="J9:J14" si="3">SUM(D9:I9)</f>
        <v>239050000</v>
      </c>
      <c r="K9" s="150">
        <f>IF(B9&gt;0,'원가항목별(집계)'!I$34*P9/P$17,0)</f>
        <v>63962118.602498315</v>
      </c>
      <c r="L9" s="150">
        <f>IF($B9&gt;0,'원가항목별(집계)'!I$39*$P9/$P$17,0)</f>
        <v>1834269.0983959192</v>
      </c>
      <c r="M9" s="151">
        <f>단위장비3!H59+단위장비3!H60</f>
        <v>35857500</v>
      </c>
      <c r="N9" s="152">
        <f t="shared" si="1"/>
        <v>340703887.70089424</v>
      </c>
      <c r="O9" s="99"/>
      <c r="P9" s="31">
        <f t="shared" si="2"/>
        <v>274907500</v>
      </c>
    </row>
    <row r="10" spans="1:16" s="31" customFormat="1" ht="25.5" customHeight="1">
      <c r="A10" s="148">
        <f t="shared" si="0"/>
        <v>4</v>
      </c>
      <c r="B10" s="149" t="str">
        <f>단위장비4!C1</f>
        <v>피니언 연삭 신규라인</v>
      </c>
      <c r="C10" s="148" t="s">
        <v>139</v>
      </c>
      <c r="D10" s="214">
        <f>단위장비4!H39</f>
        <v>146610000</v>
      </c>
      <c r="E10" s="215">
        <f>단위장비4!H40</f>
        <v>0</v>
      </c>
      <c r="F10" s="215">
        <f>단위장비4!H41+단위장비4!H42+단위장비4!H43+단위장비4!H47</f>
        <v>9000000</v>
      </c>
      <c r="G10" s="215">
        <f>단위장비4!H44+단위장비4!H45</f>
        <v>16960000</v>
      </c>
      <c r="H10" s="215">
        <f>단위장비4!H46</f>
        <v>4800000</v>
      </c>
      <c r="I10" s="216">
        <f>IF($B10&gt;0,'원가항목별(집계)'!I$38*$P10/$P$17,0)</f>
        <v>0</v>
      </c>
      <c r="J10" s="193">
        <f t="shared" si="3"/>
        <v>177370000</v>
      </c>
      <c r="K10" s="150">
        <f>IF(B10&gt;0,'원가항목별(집계)'!I$34*P10/P$17,0)</f>
        <v>47458527.406505436</v>
      </c>
      <c r="L10" s="150">
        <f>IF($B10&gt;0,'원가항목별(집계)'!I$39*$P10/$P$17,0)</f>
        <v>1360988.5378894967</v>
      </c>
      <c r="M10" s="151">
        <f>단위장비4!H50+단위장비4!H51</f>
        <v>26605500</v>
      </c>
      <c r="N10" s="152">
        <f t="shared" si="1"/>
        <v>252795015.94439495</v>
      </c>
      <c r="O10" s="99"/>
      <c r="P10" s="31">
        <f t="shared" si="2"/>
        <v>203975500</v>
      </c>
    </row>
    <row r="11" spans="1:16" s="31" customFormat="1" ht="25.5" customHeight="1">
      <c r="A11" s="148">
        <f t="shared" si="0"/>
        <v>5</v>
      </c>
      <c r="B11" s="149" t="str">
        <f>단위장비5!C1</f>
        <v>액슬용접 자동창고 개조</v>
      </c>
      <c r="C11" s="148" t="s">
        <v>139</v>
      </c>
      <c r="D11" s="214">
        <f>단위장비5!H38</f>
        <v>126120000</v>
      </c>
      <c r="E11" s="215">
        <f>단위장비5!H39</f>
        <v>18240000</v>
      </c>
      <c r="F11" s="215">
        <f>단위장비5!H40+단위장비5!H41+단위장비5!H42+단위장비5!H46</f>
        <v>0</v>
      </c>
      <c r="G11" s="215">
        <f>단위장비5!H43+단위장비5!H44</f>
        <v>30080000</v>
      </c>
      <c r="H11" s="215">
        <f>단위장비5!H45</f>
        <v>7680000</v>
      </c>
      <c r="I11" s="216">
        <f>IF($B11&gt;0,'원가항목별(집계)'!I$38*$P11/$P$17,0)</f>
        <v>0</v>
      </c>
      <c r="J11" s="193">
        <f t="shared" si="3"/>
        <v>182120000</v>
      </c>
      <c r="K11" s="150">
        <f>IF(B11&gt;0,'원가항목별(집계)'!I$34*P11/P$17,0)</f>
        <v>48729475.172085308</v>
      </c>
      <c r="L11" s="150">
        <f>IF($B11&gt;0,'원가항목별(집계)'!I$39*$P11/$P$17,0)</f>
        <v>1397436.0518714278</v>
      </c>
      <c r="M11" s="151">
        <f>단위장비5!H49+단위장비5!H50</f>
        <v>27318000</v>
      </c>
      <c r="N11" s="152">
        <f t="shared" si="1"/>
        <v>259564911.22395673</v>
      </c>
      <c r="O11" s="99"/>
      <c r="P11" s="31">
        <f t="shared" si="2"/>
        <v>209438000</v>
      </c>
    </row>
    <row r="12" spans="1:16" s="31" customFormat="1" ht="25.5" customHeight="1">
      <c r="A12" s="148">
        <f t="shared" si="0"/>
        <v>6</v>
      </c>
      <c r="B12" s="149" t="str">
        <f>단위장비6!C$1</f>
        <v>액슬용접 자동창고 신작</v>
      </c>
      <c r="C12" s="148" t="s">
        <v>139</v>
      </c>
      <c r="D12" s="214">
        <f>단위장비6!H50</f>
        <v>375130000</v>
      </c>
      <c r="E12" s="215">
        <f>단위장비6!H51</f>
        <v>0</v>
      </c>
      <c r="F12" s="215">
        <f>단위장비6!H52+단위장비6!H53+단위장비6!H54+단위장비6!H58</f>
        <v>12500000</v>
      </c>
      <c r="G12" s="215">
        <f>단위장비6!H55+단위장비6!H56</f>
        <v>24960000</v>
      </c>
      <c r="H12" s="215">
        <f>단위장비6!H57</f>
        <v>8000000</v>
      </c>
      <c r="I12" s="216">
        <f>IF($B12&gt;0,'원가항목별(집계)'!I$38*$P12/$P$17,0)</f>
        <v>0</v>
      </c>
      <c r="J12" s="193">
        <f t="shared" si="3"/>
        <v>420590000</v>
      </c>
      <c r="K12" s="150">
        <f>IF(B12&gt;0,'원가항목별(집계)'!I$34*P12/P$17,0)</f>
        <v>112536404.36320755</v>
      </c>
      <c r="L12" s="150">
        <f>IF($B12&gt;0,'원가항목별(집계)'!I$39*$P12/$P$17,0)</f>
        <v>3227254.716981132</v>
      </c>
      <c r="M12" s="151">
        <f>단위장비6!H61+단위장비6!H62</f>
        <v>63088500</v>
      </c>
      <c r="N12" s="152">
        <f t="shared" si="1"/>
        <v>599442159.08018875</v>
      </c>
      <c r="O12" s="99"/>
      <c r="P12" s="31">
        <f t="shared" si="2"/>
        <v>483678500</v>
      </c>
    </row>
    <row r="13" spans="1:16" s="31" customFormat="1" ht="25.5" customHeight="1">
      <c r="A13" s="148" t="str">
        <f t="shared" si="0"/>
        <v/>
      </c>
      <c r="B13" s="149">
        <f>단위장비7!C$1</f>
        <v>0</v>
      </c>
      <c r="C13" s="148" t="s">
        <v>139</v>
      </c>
      <c r="D13" s="214">
        <f>단위장비7!H56</f>
        <v>0</v>
      </c>
      <c r="E13" s="215">
        <f>단위장비7!H57</f>
        <v>0</v>
      </c>
      <c r="F13" s="215">
        <f>단위장비7!H58+단위장비7!H59+단위장비7!H60+단위장비7!H64</f>
        <v>0</v>
      </c>
      <c r="G13" s="215">
        <f>단위장비7!H61+단위장비7!H62</f>
        <v>0</v>
      </c>
      <c r="H13" s="215">
        <f>단위장비7!H63</f>
        <v>0</v>
      </c>
      <c r="I13" s="216">
        <f>IF($B13&gt;0,'원가항목별(집계)'!I$38*$P13/$P$17,0)</f>
        <v>0</v>
      </c>
      <c r="J13" s="193">
        <f t="shared" si="3"/>
        <v>0</v>
      </c>
      <c r="K13" s="150">
        <f>IF(B13&gt;0,'원가항목별(집계)'!I$34*P13/P$17,0)</f>
        <v>0</v>
      </c>
      <c r="L13" s="150">
        <f>IF($B13&gt;0,'원가항목별(집계)'!I$39*$P13/$P$17,0)</f>
        <v>0</v>
      </c>
      <c r="M13" s="151">
        <f>단위장비7!H67+단위장비7!H68</f>
        <v>0</v>
      </c>
      <c r="N13" s="152">
        <f t="shared" si="1"/>
        <v>0</v>
      </c>
      <c r="O13" s="99"/>
      <c r="P13" s="31">
        <f t="shared" si="2"/>
        <v>0</v>
      </c>
    </row>
    <row r="14" spans="1:16" s="31" customFormat="1" ht="25.5" customHeight="1">
      <c r="A14" s="148" t="str">
        <f t="shared" si="0"/>
        <v/>
      </c>
      <c r="B14" s="149">
        <f>단위장비8!C$1</f>
        <v>0</v>
      </c>
      <c r="C14" s="148" t="s">
        <v>139</v>
      </c>
      <c r="D14" s="214">
        <f>단위장비8!H57</f>
        <v>0</v>
      </c>
      <c r="E14" s="215">
        <f>단위장비8!H57</f>
        <v>0</v>
      </c>
      <c r="F14" s="215">
        <f>단위장비8!H58+단위장비8!H59+단위장비8!H60+단위장비8!H64</f>
        <v>0</v>
      </c>
      <c r="G14" s="215"/>
      <c r="H14" s="215">
        <f>단위장비8!H63</f>
        <v>0</v>
      </c>
      <c r="I14" s="216">
        <f>IF($B14&gt;0,'원가항목별(집계)'!I$38*$P14/$P$17,0)</f>
        <v>0</v>
      </c>
      <c r="J14" s="193">
        <f t="shared" si="3"/>
        <v>0</v>
      </c>
      <c r="K14" s="150">
        <f>IF(B14&gt;0,'원가항목별(집계)'!I$34*P14/P$17,0)</f>
        <v>0</v>
      </c>
      <c r="L14" s="150">
        <f>IF($B14&gt;0,'원가항목별(집계)'!I$39*$P14/$P$17,0)</f>
        <v>0</v>
      </c>
      <c r="M14" s="151">
        <f>단위장비8!H67+단위장비8!H68</f>
        <v>0</v>
      </c>
      <c r="N14" s="152">
        <f t="shared" si="1"/>
        <v>0</v>
      </c>
      <c r="O14" s="99"/>
      <c r="P14" s="31">
        <f t="shared" si="2"/>
        <v>0</v>
      </c>
    </row>
    <row r="15" spans="1:16" s="31" customFormat="1" ht="25.5" customHeight="1">
      <c r="A15" s="148" t="str">
        <f t="shared" si="0"/>
        <v/>
      </c>
      <c r="B15" s="149">
        <f>단위장비9!C$1</f>
        <v>0</v>
      </c>
      <c r="C15" s="148" t="s">
        <v>139</v>
      </c>
      <c r="D15" s="214">
        <f>단위장비9!H57</f>
        <v>0</v>
      </c>
      <c r="E15" s="215">
        <f>단위장비9!H58</f>
        <v>0</v>
      </c>
      <c r="F15" s="215">
        <f>단위장비9!H59+단위장비9!H60+단위장비9!H61+단위장비9!H65</f>
        <v>0</v>
      </c>
      <c r="G15" s="215">
        <f>단위장비9!H62+단위장비9!H63</f>
        <v>0</v>
      </c>
      <c r="H15" s="215">
        <f>단위장비9!H64</f>
        <v>0</v>
      </c>
      <c r="I15" s="216">
        <f>IF($B15&gt;0,'원가항목별(집계)'!I$38*$P15/$P$17,0)</f>
        <v>0</v>
      </c>
      <c r="J15" s="193">
        <f>SUM(D15:I15)</f>
        <v>0</v>
      </c>
      <c r="K15" s="150">
        <f>IF(B15&gt;0,'원가항목별(집계)'!I$34*P15/P$17,0)</f>
        <v>0</v>
      </c>
      <c r="L15" s="150">
        <f>IF($B15&gt;0,'원가항목별(집계)'!I$39*$P15/$P$17,0)</f>
        <v>0</v>
      </c>
      <c r="M15" s="151">
        <f>단위장비9!H68+단위장비9!H69</f>
        <v>0</v>
      </c>
      <c r="N15" s="152">
        <f t="shared" si="1"/>
        <v>0</v>
      </c>
      <c r="O15" s="99"/>
      <c r="P15" s="31">
        <f t="shared" si="2"/>
        <v>0</v>
      </c>
    </row>
    <row r="16" spans="1:16" s="31" customFormat="1" ht="25.5" customHeight="1">
      <c r="A16" s="153" t="str">
        <f t="shared" si="0"/>
        <v/>
      </c>
      <c r="B16" s="154">
        <f>단위장비10!C$1</f>
        <v>0</v>
      </c>
      <c r="C16" s="153" t="s">
        <v>139</v>
      </c>
      <c r="D16" s="217">
        <f>단위장비10!H58</f>
        <v>0</v>
      </c>
      <c r="E16" s="218">
        <f>단위장비10!H59</f>
        <v>0</v>
      </c>
      <c r="F16" s="218">
        <f>단위장비10!H60+단위장비10!H61+단위장비10!H62+단위장비10!H66</f>
        <v>0</v>
      </c>
      <c r="G16" s="218">
        <f>단위장비10!H63+단위장비10!H64</f>
        <v>0</v>
      </c>
      <c r="H16" s="218">
        <f>단위장비10!H65</f>
        <v>0</v>
      </c>
      <c r="I16" s="219">
        <f>IF($B16&gt;0,'원가항목별(집계)'!I$38*$P16/$P$17,0)</f>
        <v>0</v>
      </c>
      <c r="J16" s="194">
        <f>SUM(D16:I16)</f>
        <v>0</v>
      </c>
      <c r="K16" s="155">
        <f>IF(B16&gt;0,'원가항목별(집계)'!I$34*P16/P$17,0)</f>
        <v>0</v>
      </c>
      <c r="L16" s="155">
        <f>IF($B16&gt;0,'원가항목별(집계)'!I$39*$P16/$P$17,0)</f>
        <v>0</v>
      </c>
      <c r="M16" s="156">
        <f>단위장비10!H69+단위장비10!H70</f>
        <v>0</v>
      </c>
      <c r="N16" s="157">
        <f t="shared" si="1"/>
        <v>0</v>
      </c>
      <c r="O16" s="104"/>
      <c r="P16" s="31">
        <f t="shared" si="2"/>
        <v>0</v>
      </c>
    </row>
    <row r="17" spans="1:16" s="31" customFormat="1" ht="33" customHeight="1">
      <c r="A17" s="487" t="s">
        <v>144</v>
      </c>
      <c r="B17" s="488"/>
      <c r="C17" s="489"/>
      <c r="D17" s="220">
        <f t="shared" ref="D17:I17" si="4">SUM(D7:D16)</f>
        <v>1055130000</v>
      </c>
      <c r="E17" s="221">
        <f t="shared" si="4"/>
        <v>22400000</v>
      </c>
      <c r="F17" s="221">
        <f t="shared" si="4"/>
        <v>46250000</v>
      </c>
      <c r="G17" s="221">
        <f t="shared" si="4"/>
        <v>147820000</v>
      </c>
      <c r="H17" s="221">
        <f t="shared" si="4"/>
        <v>30080000</v>
      </c>
      <c r="I17" s="222">
        <f t="shared" si="4"/>
        <v>0</v>
      </c>
      <c r="J17" s="226">
        <f>SUM(D17:I17)</f>
        <v>1301680000</v>
      </c>
      <c r="K17" s="227">
        <f>SUM(K7:K16)</f>
        <v>348287850</v>
      </c>
      <c r="L17" s="227">
        <f>SUM(L7:L16)</f>
        <v>9988000</v>
      </c>
      <c r="M17" s="228">
        <f>SUM(M7:M16)</f>
        <v>195252000</v>
      </c>
      <c r="N17" s="229">
        <f>SUM(N7:N16)</f>
        <v>1855207850</v>
      </c>
      <c r="O17" s="62"/>
      <c r="P17" s="31">
        <f>SUM(P7:P16)</f>
        <v>1496932000</v>
      </c>
    </row>
    <row r="18" spans="1:16" s="204" customFormat="1" ht="18.75" customHeight="1">
      <c r="A18" s="195"/>
      <c r="B18" s="196"/>
      <c r="C18" s="197"/>
      <c r="D18" s="223">
        <f t="shared" ref="D18:N18" si="5">IF(D17=0,"",D17/$N17)</f>
        <v>0.56873950808261187</v>
      </c>
      <c r="E18" s="224">
        <f t="shared" si="5"/>
        <v>1.2074118811000073E-2</v>
      </c>
      <c r="F18" s="224">
        <f t="shared" si="5"/>
        <v>2.4929821205747917E-2</v>
      </c>
      <c r="G18" s="224">
        <f t="shared" si="5"/>
        <v>7.967840368937637E-2</v>
      </c>
      <c r="H18" s="224">
        <f t="shared" si="5"/>
        <v>1.6213816689057241E-2</v>
      </c>
      <c r="I18" s="225" t="str">
        <f t="shared" si="5"/>
        <v/>
      </c>
      <c r="J18" s="199">
        <f t="shared" si="5"/>
        <v>0.70163566847779346</v>
      </c>
      <c r="K18" s="200">
        <f t="shared" si="5"/>
        <v>0.18773521791641837</v>
      </c>
      <c r="L18" s="198">
        <f t="shared" si="5"/>
        <v>5.3837633341191392E-3</v>
      </c>
      <c r="M18" s="201">
        <f t="shared" si="5"/>
        <v>0.10524535027166902</v>
      </c>
      <c r="N18" s="202">
        <f t="shared" si="5"/>
        <v>1</v>
      </c>
      <c r="O18" s="203"/>
    </row>
    <row r="19" spans="1:16" ht="28.5" customHeight="1">
      <c r="A19" s="28" t="s">
        <v>100</v>
      </c>
      <c r="H19" s="132"/>
      <c r="I19" s="132"/>
      <c r="J19" s="132"/>
      <c r="K19" s="132"/>
      <c r="L19" s="132"/>
    </row>
    <row r="20" spans="1:16" ht="17.25" customHeight="1">
      <c r="H20" s="129"/>
      <c r="I20" s="129"/>
      <c r="J20" s="129"/>
      <c r="K20" s="129"/>
      <c r="L20" s="129"/>
      <c r="M20" s="352"/>
      <c r="N20" s="137" t="str">
        <f>IF('원가항목별(집계)'!I42='단위공사별(집계)'!N17,"","DATA오류입니다!")</f>
        <v/>
      </c>
    </row>
    <row r="21" spans="1:16" ht="17.25" customHeight="1">
      <c r="H21" s="130"/>
      <c r="I21" s="130"/>
      <c r="J21" s="130"/>
      <c r="K21" s="130"/>
      <c r="L21" s="130"/>
      <c r="N21" s="130"/>
    </row>
    <row r="22" spans="1:16" ht="17.25" customHeight="1">
      <c r="H22" s="31"/>
      <c r="I22" s="31"/>
      <c r="J22" s="31"/>
      <c r="L22" s="31"/>
    </row>
  </sheetData>
  <mergeCells count="2">
    <mergeCell ref="A17:C17"/>
    <mergeCell ref="D4:J4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6" orientation="landscape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CA9A-1744-4BFE-8946-7591C082891A}">
  <sheetPr codeName="Sheet5">
    <tabColor rgb="FF00B050"/>
    <pageSetUpPr fitToPage="1"/>
  </sheetPr>
  <dimension ref="A1:J61"/>
  <sheetViews>
    <sheetView zoomScaleNormal="100" workbookViewId="0">
      <pane xSplit="3" ySplit="2" topLeftCell="D3" activePane="bottomRight" state="frozen"/>
      <selection activeCell="H28" sqref="H28"/>
      <selection pane="topRight" activeCell="H28" sqref="H28"/>
      <selection pane="bottomLeft" activeCell="H28" sqref="H28"/>
      <selection pane="bottomRight" activeCell="D67" sqref="D67"/>
    </sheetView>
  </sheetViews>
  <sheetFormatPr defaultColWidth="9" defaultRowHeight="14.4"/>
  <cols>
    <col min="1" max="1" width="5" style="28" customWidth="1"/>
    <col min="2" max="2" width="13" style="28" customWidth="1"/>
    <col min="3" max="3" width="23.59765625" style="28" customWidth="1"/>
    <col min="4" max="4" width="18.19921875" style="28" customWidth="1"/>
    <col min="5" max="5" width="5.19921875" style="29" bestFit="1" customWidth="1"/>
    <col min="6" max="6" width="6.69921875" style="271" customWidth="1"/>
    <col min="7" max="7" width="11.8984375" style="31" customWidth="1"/>
    <col min="8" max="8" width="13.59765625" style="31" customWidth="1"/>
    <col min="9" max="9" width="12.69921875" style="28" customWidth="1"/>
    <col min="10" max="10" width="11.796875" style="28" customWidth="1"/>
    <col min="11" max="11" width="16.59765625" style="28" customWidth="1"/>
    <col min="12" max="16384" width="9" style="28"/>
  </cols>
  <sheetData>
    <row r="1" spans="1:9" ht="22.5" customHeight="1">
      <c r="B1" s="97" t="s">
        <v>82</v>
      </c>
      <c r="C1" s="136"/>
      <c r="F1" s="261"/>
      <c r="I1" s="28" t="s">
        <v>83</v>
      </c>
    </row>
    <row r="2" spans="1:9" s="29" customFormat="1" ht="16.5" customHeight="1">
      <c r="A2" s="413" t="s">
        <v>30</v>
      </c>
      <c r="B2" s="493"/>
      <c r="C2" s="120" t="s">
        <v>43</v>
      </c>
      <c r="D2" s="121" t="s">
        <v>31</v>
      </c>
      <c r="E2" s="121" t="s">
        <v>32</v>
      </c>
      <c r="F2" s="54" t="s">
        <v>33</v>
      </c>
      <c r="G2" s="54" t="s">
        <v>34</v>
      </c>
      <c r="H2" s="54" t="s">
        <v>35</v>
      </c>
      <c r="I2" s="121" t="s">
        <v>45</v>
      </c>
    </row>
    <row r="3" spans="1:9" ht="15.9" customHeight="1">
      <c r="A3" s="496" t="s">
        <v>76</v>
      </c>
      <c r="B3" s="98" t="s">
        <v>36</v>
      </c>
      <c r="C3" s="116" t="s">
        <v>198</v>
      </c>
      <c r="D3" s="116" t="s">
        <v>199</v>
      </c>
      <c r="E3" s="272" t="s">
        <v>200</v>
      </c>
      <c r="F3" s="262">
        <v>6</v>
      </c>
      <c r="G3" s="117">
        <v>1500000</v>
      </c>
      <c r="H3" s="118">
        <f t="shared" ref="H3:H8" si="0">IF(F3=0,G3,G3*F3)</f>
        <v>9000000</v>
      </c>
      <c r="I3" s="119"/>
    </row>
    <row r="4" spans="1:9" ht="15.9" customHeight="1">
      <c r="A4" s="497"/>
      <c r="B4" s="98"/>
      <c r="C4" s="68" t="s">
        <v>201</v>
      </c>
      <c r="D4" s="116" t="s">
        <v>202</v>
      </c>
      <c r="E4" s="272" t="s">
        <v>200</v>
      </c>
      <c r="F4" s="262">
        <v>6</v>
      </c>
      <c r="G4" s="117">
        <v>350000</v>
      </c>
      <c r="H4" s="99">
        <f t="shared" si="0"/>
        <v>2100000</v>
      </c>
      <c r="I4" s="70"/>
    </row>
    <row r="5" spans="1:9" ht="15.9" customHeight="1">
      <c r="A5" s="497"/>
      <c r="B5" s="98"/>
      <c r="C5" s="68" t="s">
        <v>203</v>
      </c>
      <c r="D5" s="116" t="s">
        <v>204</v>
      </c>
      <c r="E5" s="272" t="s">
        <v>200</v>
      </c>
      <c r="F5" s="262">
        <v>20</v>
      </c>
      <c r="G5" s="117">
        <v>200000</v>
      </c>
      <c r="H5" s="99">
        <f t="shared" si="0"/>
        <v>4000000</v>
      </c>
      <c r="I5" s="70"/>
    </row>
    <row r="6" spans="1:9" ht="15.9" customHeight="1">
      <c r="A6" s="497"/>
      <c r="B6" s="98"/>
      <c r="C6" s="68"/>
      <c r="D6" s="116"/>
      <c r="E6" s="272"/>
      <c r="F6" s="262"/>
      <c r="G6" s="117"/>
      <c r="H6" s="99">
        <f t="shared" si="0"/>
        <v>0</v>
      </c>
      <c r="I6" s="70"/>
    </row>
    <row r="7" spans="1:9" ht="15.9" customHeight="1">
      <c r="A7" s="497"/>
      <c r="B7" s="98"/>
      <c r="C7" s="68"/>
      <c r="D7" s="68"/>
      <c r="E7" s="273"/>
      <c r="F7" s="263"/>
      <c r="G7" s="69"/>
      <c r="H7" s="99">
        <f t="shared" si="0"/>
        <v>0</v>
      </c>
      <c r="I7" s="70"/>
    </row>
    <row r="8" spans="1:9" ht="15.9" customHeight="1">
      <c r="A8" s="497"/>
      <c r="B8" s="98"/>
      <c r="C8" s="113"/>
      <c r="D8" s="113"/>
      <c r="E8" s="274"/>
      <c r="F8" s="264"/>
      <c r="G8" s="114"/>
      <c r="H8" s="99">
        <f t="shared" si="0"/>
        <v>0</v>
      </c>
      <c r="I8" s="71"/>
    </row>
    <row r="9" spans="1:9" ht="15.9" customHeight="1">
      <c r="A9" s="497"/>
      <c r="B9" s="72"/>
      <c r="C9" s="101"/>
      <c r="D9" s="91"/>
      <c r="E9" s="120"/>
      <c r="F9" s="265"/>
      <c r="G9" s="40"/>
      <c r="H9" s="30">
        <f>SUM(H3:H8)</f>
        <v>15100000</v>
      </c>
      <c r="I9" s="74"/>
    </row>
    <row r="10" spans="1:9" ht="15.9" customHeight="1">
      <c r="A10" s="497"/>
      <c r="B10" s="243" t="s">
        <v>149</v>
      </c>
      <c r="C10" s="111"/>
      <c r="D10" s="111"/>
      <c r="E10" s="270"/>
      <c r="F10" s="266"/>
      <c r="G10" s="112"/>
      <c r="H10" s="103">
        <f t="shared" ref="H10:H20" si="1">IF(F10=0,G10,G10*F10)</f>
        <v>0</v>
      </c>
      <c r="I10" s="75"/>
    </row>
    <row r="11" spans="1:9" ht="15.9" customHeight="1">
      <c r="A11" s="497"/>
      <c r="B11" s="244" t="s">
        <v>150</v>
      </c>
      <c r="C11" s="68"/>
      <c r="D11" s="68"/>
      <c r="E11" s="273"/>
      <c r="F11" s="263"/>
      <c r="G11" s="69"/>
      <c r="H11" s="99">
        <f t="shared" si="1"/>
        <v>0</v>
      </c>
      <c r="I11" s="70"/>
    </row>
    <row r="12" spans="1:9" ht="15.9" customHeight="1">
      <c r="A12" s="497"/>
      <c r="B12" s="244" t="s">
        <v>148</v>
      </c>
      <c r="C12" s="68"/>
      <c r="D12" s="68"/>
      <c r="E12" s="273"/>
      <c r="F12" s="263"/>
      <c r="G12" s="69"/>
      <c r="H12" s="99">
        <f t="shared" si="1"/>
        <v>0</v>
      </c>
      <c r="I12" s="70"/>
    </row>
    <row r="13" spans="1:9" ht="15.9" customHeight="1">
      <c r="A13" s="497"/>
      <c r="B13" s="98"/>
      <c r="C13" s="68"/>
      <c r="D13" s="68"/>
      <c r="E13" s="273"/>
      <c r="F13" s="263"/>
      <c r="G13" s="69"/>
      <c r="H13" s="99">
        <f t="shared" si="1"/>
        <v>0</v>
      </c>
      <c r="I13" s="70"/>
    </row>
    <row r="14" spans="1:9" ht="15.9" customHeight="1">
      <c r="A14" s="497"/>
      <c r="B14" s="98"/>
      <c r="C14" s="68"/>
      <c r="D14" s="68"/>
      <c r="E14" s="273"/>
      <c r="F14" s="263"/>
      <c r="G14" s="69"/>
      <c r="H14" s="99">
        <f t="shared" si="1"/>
        <v>0</v>
      </c>
      <c r="I14" s="70"/>
    </row>
    <row r="15" spans="1:9" ht="15.9" customHeight="1">
      <c r="A15" s="497"/>
      <c r="B15" s="98"/>
      <c r="C15" s="113"/>
      <c r="D15" s="234"/>
      <c r="E15" s="274"/>
      <c r="F15" s="267"/>
      <c r="G15" s="235"/>
      <c r="H15" s="236">
        <f t="shared" si="1"/>
        <v>0</v>
      </c>
      <c r="I15" s="237"/>
    </row>
    <row r="16" spans="1:9" ht="15.9" customHeight="1">
      <c r="A16" s="497"/>
      <c r="B16" s="98"/>
      <c r="C16" s="238"/>
      <c r="D16" s="239"/>
      <c r="E16" s="275"/>
      <c r="F16" s="268"/>
      <c r="G16" s="241"/>
      <c r="H16" s="242">
        <f>SUM(H10:H15)</f>
        <v>0</v>
      </c>
      <c r="I16" s="240"/>
    </row>
    <row r="17" spans="1:9" ht="15.9" customHeight="1">
      <c r="A17" s="497"/>
      <c r="B17" s="102" t="s">
        <v>39</v>
      </c>
      <c r="C17" s="68" t="s">
        <v>205</v>
      </c>
      <c r="D17" s="68" t="s">
        <v>206</v>
      </c>
      <c r="E17" s="273" t="s">
        <v>200</v>
      </c>
      <c r="F17" s="263">
        <v>6</v>
      </c>
      <c r="G17" s="69">
        <v>196000</v>
      </c>
      <c r="H17" s="103">
        <f>IF(F17=0,G17,G17*F17)</f>
        <v>1176000</v>
      </c>
      <c r="I17" s="75" t="s">
        <v>259</v>
      </c>
    </row>
    <row r="18" spans="1:9" ht="15.9" customHeight="1">
      <c r="A18" s="497"/>
      <c r="B18" s="98"/>
      <c r="C18" s="68" t="s">
        <v>207</v>
      </c>
      <c r="D18" s="68" t="s">
        <v>208</v>
      </c>
      <c r="E18" s="273" t="s">
        <v>200</v>
      </c>
      <c r="F18" s="263">
        <v>6</v>
      </c>
      <c r="G18" s="69">
        <v>101000</v>
      </c>
      <c r="H18" s="99">
        <f t="shared" si="1"/>
        <v>606000</v>
      </c>
      <c r="I18" s="70" t="s">
        <v>259</v>
      </c>
    </row>
    <row r="19" spans="1:9" ht="15.9" customHeight="1">
      <c r="A19" s="497"/>
      <c r="B19" s="98"/>
      <c r="C19" s="68" t="s">
        <v>209</v>
      </c>
      <c r="D19" s="68" t="s">
        <v>210</v>
      </c>
      <c r="E19" s="273" t="s">
        <v>200</v>
      </c>
      <c r="F19" s="263">
        <v>6</v>
      </c>
      <c r="G19" s="69">
        <v>1950000</v>
      </c>
      <c r="H19" s="99">
        <f t="shared" si="1"/>
        <v>11700000</v>
      </c>
      <c r="I19" s="70" t="s">
        <v>259</v>
      </c>
    </row>
    <row r="20" spans="1:9" ht="15.9" customHeight="1">
      <c r="A20" s="497"/>
      <c r="B20" s="98"/>
      <c r="C20" s="68" t="s">
        <v>211</v>
      </c>
      <c r="D20" s="68" t="s">
        <v>212</v>
      </c>
      <c r="E20" s="273" t="s">
        <v>200</v>
      </c>
      <c r="F20" s="263">
        <v>6</v>
      </c>
      <c r="G20" s="69">
        <v>1104000</v>
      </c>
      <c r="H20" s="99">
        <f t="shared" si="1"/>
        <v>6624000</v>
      </c>
      <c r="I20" s="70" t="s">
        <v>259</v>
      </c>
    </row>
    <row r="21" spans="1:9" ht="15.9" customHeight="1">
      <c r="A21" s="497"/>
      <c r="B21" s="98"/>
      <c r="C21" s="68" t="s">
        <v>213</v>
      </c>
      <c r="D21" s="68" t="s">
        <v>214</v>
      </c>
      <c r="E21" s="273" t="s">
        <v>200</v>
      </c>
      <c r="F21" s="263">
        <v>6</v>
      </c>
      <c r="G21" s="69">
        <v>738000</v>
      </c>
      <c r="H21" s="99">
        <f t="shared" ref="H21:H29" si="2">IF(F21=0,G21,G21*F21)</f>
        <v>4428000</v>
      </c>
      <c r="I21" s="70" t="s">
        <v>259</v>
      </c>
    </row>
    <row r="22" spans="1:9" ht="15.9" customHeight="1">
      <c r="A22" s="497"/>
      <c r="B22" s="98"/>
      <c r="C22" s="68" t="s">
        <v>215</v>
      </c>
      <c r="D22" s="68" t="s">
        <v>216</v>
      </c>
      <c r="E22" s="273" t="s">
        <v>200</v>
      </c>
      <c r="F22" s="263">
        <v>3</v>
      </c>
      <c r="G22" s="69">
        <v>549000</v>
      </c>
      <c r="H22" s="99">
        <f t="shared" si="2"/>
        <v>1647000</v>
      </c>
      <c r="I22" s="70" t="s">
        <v>258</v>
      </c>
    </row>
    <row r="23" spans="1:9" ht="15.9" customHeight="1">
      <c r="A23" s="497"/>
      <c r="B23" s="98"/>
      <c r="C23" s="68" t="s">
        <v>217</v>
      </c>
      <c r="D23" s="68" t="s">
        <v>218</v>
      </c>
      <c r="E23" s="273" t="s">
        <v>200</v>
      </c>
      <c r="F23" s="263">
        <v>6</v>
      </c>
      <c r="G23" s="69">
        <v>179000</v>
      </c>
      <c r="H23" s="99">
        <f t="shared" si="2"/>
        <v>1074000</v>
      </c>
      <c r="I23" s="70" t="s">
        <v>259</v>
      </c>
    </row>
    <row r="24" spans="1:9" ht="15.9" customHeight="1">
      <c r="A24" s="497"/>
      <c r="B24" s="98"/>
      <c r="C24" s="68" t="s">
        <v>219</v>
      </c>
      <c r="D24" s="68" t="s">
        <v>220</v>
      </c>
      <c r="E24" s="273" t="s">
        <v>200</v>
      </c>
      <c r="F24" s="263">
        <v>15</v>
      </c>
      <c r="G24" s="69">
        <v>271000</v>
      </c>
      <c r="H24" s="99">
        <f t="shared" si="2"/>
        <v>4065000</v>
      </c>
      <c r="I24" s="70" t="s">
        <v>259</v>
      </c>
    </row>
    <row r="25" spans="1:9" ht="15.9" customHeight="1">
      <c r="A25" s="497"/>
      <c r="B25" s="98"/>
      <c r="C25" s="68" t="s">
        <v>221</v>
      </c>
      <c r="D25" s="68" t="s">
        <v>222</v>
      </c>
      <c r="E25" s="273" t="s">
        <v>200</v>
      </c>
      <c r="F25" s="263">
        <v>15</v>
      </c>
      <c r="G25" s="69">
        <v>271000</v>
      </c>
      <c r="H25" s="99">
        <f t="shared" si="2"/>
        <v>4065000</v>
      </c>
      <c r="I25" s="70" t="s">
        <v>259</v>
      </c>
    </row>
    <row r="26" spans="1:9" ht="15.9" customHeight="1">
      <c r="A26" s="497"/>
      <c r="B26" s="98"/>
      <c r="C26" s="68" t="s">
        <v>223</v>
      </c>
      <c r="D26" s="68" t="s">
        <v>224</v>
      </c>
      <c r="E26" s="273" t="s">
        <v>200</v>
      </c>
      <c r="F26" s="263">
        <v>6</v>
      </c>
      <c r="G26" s="69">
        <v>1678000</v>
      </c>
      <c r="H26" s="99">
        <f t="shared" si="2"/>
        <v>10068000</v>
      </c>
      <c r="I26" s="70" t="s">
        <v>259</v>
      </c>
    </row>
    <row r="27" spans="1:9" ht="15.9" customHeight="1">
      <c r="A27" s="497"/>
      <c r="B27" s="98"/>
      <c r="C27" s="68" t="s">
        <v>225</v>
      </c>
      <c r="D27" s="68" t="s">
        <v>226</v>
      </c>
      <c r="E27" s="273" t="s">
        <v>200</v>
      </c>
      <c r="F27" s="263">
        <v>6</v>
      </c>
      <c r="G27" s="69">
        <v>188000</v>
      </c>
      <c r="H27" s="99">
        <f t="shared" si="2"/>
        <v>1128000</v>
      </c>
      <c r="I27" s="70" t="s">
        <v>259</v>
      </c>
    </row>
    <row r="28" spans="1:9" ht="15.9" customHeight="1">
      <c r="A28" s="497"/>
      <c r="B28" s="98"/>
      <c r="C28" s="68" t="s">
        <v>227</v>
      </c>
      <c r="D28" s="68" t="s">
        <v>228</v>
      </c>
      <c r="E28" s="273" t="s">
        <v>200</v>
      </c>
      <c r="F28" s="263">
        <v>15</v>
      </c>
      <c r="G28" s="69">
        <v>186000</v>
      </c>
      <c r="H28" s="99">
        <f t="shared" si="2"/>
        <v>2790000</v>
      </c>
      <c r="I28" s="70" t="s">
        <v>259</v>
      </c>
    </row>
    <row r="29" spans="1:9" ht="15.9" customHeight="1">
      <c r="A29" s="497"/>
      <c r="B29" s="98"/>
      <c r="C29" s="68" t="s">
        <v>227</v>
      </c>
      <c r="D29" s="68" t="s">
        <v>229</v>
      </c>
      <c r="E29" s="273" t="s">
        <v>200</v>
      </c>
      <c r="F29" s="263">
        <v>15</v>
      </c>
      <c r="G29" s="69">
        <v>110000</v>
      </c>
      <c r="H29" s="99">
        <f t="shared" si="2"/>
        <v>1650000</v>
      </c>
      <c r="I29" s="70" t="s">
        <v>259</v>
      </c>
    </row>
    <row r="30" spans="1:9" ht="15.9" customHeight="1">
      <c r="A30" s="497"/>
      <c r="B30" s="98"/>
      <c r="C30" s="68" t="s">
        <v>227</v>
      </c>
      <c r="D30" s="68" t="s">
        <v>230</v>
      </c>
      <c r="E30" s="273" t="s">
        <v>200</v>
      </c>
      <c r="F30" s="263">
        <v>15</v>
      </c>
      <c r="G30" s="69">
        <v>111000</v>
      </c>
      <c r="H30" s="99">
        <f t="shared" ref="H30:H35" si="3">IF(F30=0,G30,G30*F30)</f>
        <v>1665000</v>
      </c>
      <c r="I30" s="70" t="s">
        <v>259</v>
      </c>
    </row>
    <row r="31" spans="1:9" ht="15.9" customHeight="1">
      <c r="A31" s="497"/>
      <c r="B31" s="98"/>
      <c r="C31" s="68" t="s">
        <v>227</v>
      </c>
      <c r="D31" s="68" t="s">
        <v>231</v>
      </c>
      <c r="E31" s="273" t="s">
        <v>200</v>
      </c>
      <c r="F31" s="263">
        <v>15</v>
      </c>
      <c r="G31" s="69">
        <v>153000</v>
      </c>
      <c r="H31" s="99">
        <f t="shared" si="3"/>
        <v>2295000</v>
      </c>
      <c r="I31" s="70" t="s">
        <v>259</v>
      </c>
    </row>
    <row r="32" spans="1:9" ht="15.9" customHeight="1">
      <c r="A32" s="497"/>
      <c r="B32" s="98"/>
      <c r="C32" s="68" t="s">
        <v>232</v>
      </c>
      <c r="D32" s="68" t="s">
        <v>233</v>
      </c>
      <c r="E32" s="273" t="s">
        <v>200</v>
      </c>
      <c r="F32" s="263">
        <v>6</v>
      </c>
      <c r="G32" s="69">
        <v>113000</v>
      </c>
      <c r="H32" s="99">
        <f t="shared" si="3"/>
        <v>678000</v>
      </c>
      <c r="I32" s="70" t="s">
        <v>260</v>
      </c>
    </row>
    <row r="33" spans="1:9" ht="15.9" customHeight="1">
      <c r="A33" s="497"/>
      <c r="B33" s="98"/>
      <c r="C33" s="68" t="s">
        <v>302</v>
      </c>
      <c r="D33" s="337" t="s">
        <v>278</v>
      </c>
      <c r="E33" s="273" t="s">
        <v>200</v>
      </c>
      <c r="F33" s="263">
        <v>6</v>
      </c>
      <c r="G33" s="69">
        <v>1000000</v>
      </c>
      <c r="H33" s="99">
        <f t="shared" si="3"/>
        <v>6000000</v>
      </c>
      <c r="I33" s="70" t="s">
        <v>303</v>
      </c>
    </row>
    <row r="34" spans="1:9" ht="15.9" customHeight="1">
      <c r="A34" s="497"/>
      <c r="B34" s="98"/>
      <c r="C34" s="68"/>
      <c r="D34" s="68"/>
      <c r="E34" s="273"/>
      <c r="F34" s="263"/>
      <c r="G34" s="69"/>
      <c r="H34" s="99">
        <f t="shared" si="3"/>
        <v>0</v>
      </c>
      <c r="I34" s="70"/>
    </row>
    <row r="35" spans="1:9" ht="15.9" customHeight="1">
      <c r="A35" s="497"/>
      <c r="B35" s="98"/>
      <c r="C35" s="68"/>
      <c r="D35" s="68"/>
      <c r="E35" s="273"/>
      <c r="F35" s="263"/>
      <c r="G35" s="69"/>
      <c r="H35" s="99">
        <f t="shared" si="3"/>
        <v>0</v>
      </c>
      <c r="I35" s="70"/>
    </row>
    <row r="36" spans="1:9" ht="15.9" customHeight="1">
      <c r="A36" s="497"/>
      <c r="B36" s="98"/>
      <c r="C36" s="68"/>
      <c r="D36" s="68"/>
      <c r="E36" s="273"/>
      <c r="F36" s="263"/>
      <c r="G36" s="69"/>
      <c r="H36" s="99">
        <f t="shared" ref="H36:H46" si="4">IF(F36=0,G36,G36*F36)</f>
        <v>0</v>
      </c>
      <c r="I36" s="70"/>
    </row>
    <row r="37" spans="1:9" ht="15.9" customHeight="1">
      <c r="A37" s="497"/>
      <c r="B37" s="98"/>
      <c r="C37" s="68"/>
      <c r="D37" s="68"/>
      <c r="E37" s="273"/>
      <c r="F37" s="263"/>
      <c r="G37" s="69"/>
      <c r="H37" s="99">
        <f t="shared" si="4"/>
        <v>0</v>
      </c>
      <c r="I37" s="70"/>
    </row>
    <row r="38" spans="1:9" ht="15.9" customHeight="1">
      <c r="A38" s="497"/>
      <c r="B38" s="98"/>
      <c r="C38" s="68"/>
      <c r="D38" s="68"/>
      <c r="E38" s="273"/>
      <c r="F38" s="263"/>
      <c r="G38" s="69"/>
      <c r="H38" s="99">
        <f t="shared" si="4"/>
        <v>0</v>
      </c>
      <c r="I38" s="70"/>
    </row>
    <row r="39" spans="1:9" ht="15.9" customHeight="1">
      <c r="A39" s="497"/>
      <c r="B39" s="98"/>
      <c r="C39" s="68"/>
      <c r="D39" s="68"/>
      <c r="E39" s="273"/>
      <c r="F39" s="263"/>
      <c r="G39" s="69"/>
      <c r="H39" s="99">
        <f t="shared" si="4"/>
        <v>0</v>
      </c>
      <c r="I39" s="70"/>
    </row>
    <row r="40" spans="1:9" ht="15.9" customHeight="1">
      <c r="A40" s="497"/>
      <c r="B40" s="98"/>
      <c r="C40" s="68"/>
      <c r="D40" s="68"/>
      <c r="E40" s="273"/>
      <c r="F40" s="263"/>
      <c r="G40" s="69"/>
      <c r="H40" s="99">
        <f t="shared" si="4"/>
        <v>0</v>
      </c>
      <c r="I40" s="70"/>
    </row>
    <row r="41" spans="1:9" ht="15.9" customHeight="1">
      <c r="A41" s="497"/>
      <c r="B41" s="98"/>
      <c r="C41" s="68"/>
      <c r="D41" s="68"/>
      <c r="E41" s="273"/>
      <c r="F41" s="263"/>
      <c r="G41" s="69"/>
      <c r="H41" s="99">
        <f t="shared" si="4"/>
        <v>0</v>
      </c>
      <c r="I41" s="70"/>
    </row>
    <row r="42" spans="1:9" ht="15.9" customHeight="1">
      <c r="A42" s="497"/>
      <c r="B42" s="98"/>
      <c r="C42" s="68"/>
      <c r="D42" s="68"/>
      <c r="E42" s="273"/>
      <c r="F42" s="263"/>
      <c r="G42" s="69"/>
      <c r="H42" s="99">
        <f t="shared" si="4"/>
        <v>0</v>
      </c>
      <c r="I42" s="70"/>
    </row>
    <row r="43" spans="1:9" ht="15.9" customHeight="1">
      <c r="A43" s="497"/>
      <c r="B43" s="98"/>
      <c r="C43" s="68"/>
      <c r="D43" s="68"/>
      <c r="E43" s="273"/>
      <c r="F43" s="263"/>
      <c r="G43" s="69"/>
      <c r="H43" s="99">
        <f t="shared" si="4"/>
        <v>0</v>
      </c>
      <c r="I43" s="70"/>
    </row>
    <row r="44" spans="1:9" ht="15.9" customHeight="1">
      <c r="A44" s="497"/>
      <c r="B44" s="98"/>
      <c r="C44" s="68"/>
      <c r="D44" s="68"/>
      <c r="E44" s="273"/>
      <c r="F44" s="263"/>
      <c r="G44" s="69"/>
      <c r="H44" s="99">
        <f t="shared" si="4"/>
        <v>0</v>
      </c>
      <c r="I44" s="70"/>
    </row>
    <row r="45" spans="1:9" ht="15.9" customHeight="1">
      <c r="A45" s="497"/>
      <c r="B45" s="98"/>
      <c r="C45" s="68"/>
      <c r="D45" s="68"/>
      <c r="E45" s="273"/>
      <c r="F45" s="263"/>
      <c r="G45" s="69"/>
      <c r="H45" s="99">
        <f t="shared" si="4"/>
        <v>0</v>
      </c>
      <c r="I45" s="70"/>
    </row>
    <row r="46" spans="1:9" ht="15.9" customHeight="1">
      <c r="A46" s="497"/>
      <c r="B46" s="98"/>
      <c r="C46" s="113"/>
      <c r="D46" s="113"/>
      <c r="E46" s="274"/>
      <c r="F46" s="264"/>
      <c r="G46" s="114"/>
      <c r="H46" s="104">
        <f t="shared" si="4"/>
        <v>0</v>
      </c>
      <c r="I46" s="71"/>
    </row>
    <row r="47" spans="1:9" ht="15.9" customHeight="1">
      <c r="A47" s="497"/>
      <c r="B47" s="72"/>
      <c r="C47" s="101"/>
      <c r="D47" s="91"/>
      <c r="E47" s="120"/>
      <c r="F47" s="265"/>
      <c r="G47" s="40"/>
      <c r="H47" s="30">
        <f>SUM(H17:H46)</f>
        <v>61659000</v>
      </c>
      <c r="I47" s="74"/>
    </row>
    <row r="48" spans="1:9" ht="15.9" customHeight="1">
      <c r="A48" s="76"/>
      <c r="B48" s="96" t="s">
        <v>41</v>
      </c>
      <c r="C48" s="73"/>
      <c r="D48" s="74"/>
      <c r="E48" s="121"/>
      <c r="F48" s="100"/>
      <c r="G48" s="56"/>
      <c r="H48" s="30">
        <f>SUM(H47,H9,H16)</f>
        <v>76759000</v>
      </c>
      <c r="I48" s="74"/>
    </row>
    <row r="49" spans="1:10" ht="15.9" customHeight="1">
      <c r="A49" s="494" t="s">
        <v>71</v>
      </c>
      <c r="B49" s="105" t="s">
        <v>69</v>
      </c>
      <c r="C49" s="73"/>
      <c r="D49" s="74"/>
      <c r="E49" s="52" t="s">
        <v>50</v>
      </c>
      <c r="F49" s="269">
        <v>50</v>
      </c>
      <c r="G49" s="260">
        <v>300000</v>
      </c>
      <c r="H49" s="53">
        <f t="shared" ref="H49:H55" si="5">F49*G49</f>
        <v>15000000</v>
      </c>
      <c r="I49" s="74"/>
    </row>
    <row r="50" spans="1:10" ht="15.9" customHeight="1">
      <c r="A50" s="495"/>
      <c r="B50" s="106" t="s">
        <v>173</v>
      </c>
      <c r="C50" s="133"/>
      <c r="D50" s="75"/>
      <c r="E50" s="276" t="s">
        <v>49</v>
      </c>
      <c r="F50" s="270">
        <v>100</v>
      </c>
      <c r="G50" s="112">
        <v>500000</v>
      </c>
      <c r="H50" s="103">
        <f t="shared" si="5"/>
        <v>50000000</v>
      </c>
      <c r="I50" s="75"/>
    </row>
    <row r="51" spans="1:10" ht="15.9" customHeight="1">
      <c r="A51" s="495"/>
      <c r="B51" s="107" t="s">
        <v>101</v>
      </c>
      <c r="C51" s="134"/>
      <c r="D51" s="70"/>
      <c r="E51" s="277" t="s">
        <v>49</v>
      </c>
      <c r="F51" s="262">
        <v>107</v>
      </c>
      <c r="G51" s="69">
        <v>300000</v>
      </c>
      <c r="H51" s="99">
        <f t="shared" si="5"/>
        <v>32100000</v>
      </c>
      <c r="I51" s="70"/>
    </row>
    <row r="52" spans="1:10" ht="15.9" customHeight="1">
      <c r="A52" s="495"/>
      <c r="B52" s="107" t="s">
        <v>102</v>
      </c>
      <c r="C52" s="134"/>
      <c r="D52" s="70"/>
      <c r="E52" s="277" t="s">
        <v>49</v>
      </c>
      <c r="F52" s="263">
        <v>100</v>
      </c>
      <c r="G52" s="69">
        <v>300000</v>
      </c>
      <c r="H52" s="99">
        <f>F52*G52</f>
        <v>30000000</v>
      </c>
      <c r="I52" s="70"/>
    </row>
    <row r="53" spans="1:10" ht="15.9" customHeight="1">
      <c r="A53" s="495"/>
      <c r="B53" s="107" t="s">
        <v>103</v>
      </c>
      <c r="C53" s="134"/>
      <c r="D53" s="70"/>
      <c r="E53" s="277" t="s">
        <v>49</v>
      </c>
      <c r="F53" s="263">
        <v>100</v>
      </c>
      <c r="G53" s="69">
        <v>300000</v>
      </c>
      <c r="H53" s="99">
        <f t="shared" si="5"/>
        <v>30000000</v>
      </c>
      <c r="I53" s="70"/>
    </row>
    <row r="54" spans="1:10" ht="15.9" customHeight="1">
      <c r="A54" s="495"/>
      <c r="B54" s="107" t="s">
        <v>104</v>
      </c>
      <c r="C54" s="134"/>
      <c r="D54" s="70"/>
      <c r="E54" s="277" t="s">
        <v>49</v>
      </c>
      <c r="F54" s="267">
        <v>98</v>
      </c>
      <c r="G54" s="235">
        <v>500000</v>
      </c>
      <c r="H54" s="99">
        <f t="shared" si="5"/>
        <v>49000000</v>
      </c>
      <c r="I54" s="70"/>
    </row>
    <row r="55" spans="1:10" ht="15.9" customHeight="1">
      <c r="A55" s="495"/>
      <c r="B55" s="108" t="s">
        <v>105</v>
      </c>
      <c r="C55" s="135"/>
      <c r="D55" s="71"/>
      <c r="E55" s="278" t="s">
        <v>49</v>
      </c>
      <c r="F55" s="264">
        <v>40</v>
      </c>
      <c r="G55" s="114">
        <v>500000</v>
      </c>
      <c r="H55" s="104">
        <f t="shared" si="5"/>
        <v>20000000</v>
      </c>
      <c r="I55" s="71"/>
      <c r="J55" s="31"/>
    </row>
    <row r="56" spans="1:10" ht="15.9" customHeight="1">
      <c r="A56" s="76"/>
      <c r="B56" s="95" t="s">
        <v>40</v>
      </c>
      <c r="C56" s="73"/>
      <c r="D56" s="74"/>
      <c r="E56" s="121"/>
      <c r="F56" s="265"/>
      <c r="G56" s="40"/>
      <c r="H56" s="30">
        <f>SUM(H49:H55)</f>
        <v>226100000</v>
      </c>
      <c r="I56" s="74"/>
    </row>
    <row r="57" spans="1:10" ht="15.9" customHeight="1">
      <c r="A57" s="52"/>
      <c r="B57" s="95" t="s">
        <v>47</v>
      </c>
      <c r="C57" s="73"/>
      <c r="D57" s="74"/>
      <c r="E57" s="121"/>
      <c r="F57" s="54"/>
      <c r="G57" s="138" t="s">
        <v>77</v>
      </c>
      <c r="H57" s="56">
        <v>0</v>
      </c>
      <c r="I57" s="74"/>
    </row>
    <row r="58" spans="1:10" ht="15.9" customHeight="1">
      <c r="A58" s="52"/>
      <c r="B58" s="95" t="s">
        <v>25</v>
      </c>
      <c r="C58" s="73"/>
      <c r="D58" s="74"/>
      <c r="E58" s="121"/>
      <c r="F58" s="54"/>
      <c r="G58" s="55"/>
      <c r="H58" s="115">
        <f>(H56+H48)*0.05</f>
        <v>15142950</v>
      </c>
      <c r="I58" s="73"/>
    </row>
    <row r="59" spans="1:10" ht="15.9" customHeight="1">
      <c r="A59" s="52"/>
      <c r="B59" s="95" t="s">
        <v>145</v>
      </c>
      <c r="C59" s="73"/>
      <c r="D59" s="74"/>
      <c r="E59" s="121"/>
      <c r="F59" s="54"/>
      <c r="G59" s="55"/>
      <c r="H59" s="115">
        <f>(H56+H48)*0.1</f>
        <v>30285900</v>
      </c>
      <c r="I59" s="73"/>
    </row>
    <row r="60" spans="1:10" ht="15.9" customHeight="1">
      <c r="A60" s="52"/>
      <c r="B60" s="95" t="s">
        <v>146</v>
      </c>
      <c r="C60" s="73"/>
      <c r="D60" s="74"/>
      <c r="E60" s="121"/>
      <c r="F60" s="54"/>
      <c r="G60" s="30"/>
      <c r="H60" s="40">
        <f>H48+H56+H57+H58+H59</f>
        <v>348287850</v>
      </c>
      <c r="I60" s="74"/>
    </row>
    <row r="61" spans="1:10">
      <c r="A61" s="29"/>
    </row>
  </sheetData>
  <mergeCells count="3">
    <mergeCell ref="A2:B2"/>
    <mergeCell ref="A49:A55"/>
    <mergeCell ref="A3:A47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74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D4EB-454D-4933-AC90-29733220FA10}">
  <sheetPr codeName="Sheet6">
    <tabColor rgb="FF00B050"/>
    <pageSetUpPr fitToPage="1"/>
  </sheetPr>
  <dimension ref="A1:K50"/>
  <sheetViews>
    <sheetView zoomScale="85" zoomScaleNormal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C4" sqref="C4"/>
    </sheetView>
  </sheetViews>
  <sheetFormatPr defaultColWidth="9" defaultRowHeight="14.4"/>
  <cols>
    <col min="1" max="1" width="5" style="28" customWidth="1"/>
    <col min="2" max="2" width="17.8984375" style="28" bestFit="1" customWidth="1"/>
    <col min="3" max="3" width="23.59765625" style="28" customWidth="1"/>
    <col min="4" max="4" width="18.19921875" style="28" customWidth="1"/>
    <col min="5" max="5" width="5.19921875" style="28" bestFit="1" customWidth="1"/>
    <col min="6" max="6" width="4.796875" style="351" customWidth="1"/>
    <col min="7" max="7" width="11.8984375" style="31" customWidth="1"/>
    <col min="8" max="8" width="18.69921875" style="31" customWidth="1"/>
    <col min="9" max="9" width="12.69921875" style="28" customWidth="1"/>
    <col min="10" max="10" width="9" style="28"/>
    <col min="11" max="11" width="10" style="28" bestFit="1" customWidth="1"/>
    <col min="12" max="16384" width="9" style="28"/>
  </cols>
  <sheetData>
    <row r="1" spans="1:11" ht="22.5" customHeight="1">
      <c r="B1" s="97" t="s">
        <v>78</v>
      </c>
      <c r="C1" s="139" t="s">
        <v>290</v>
      </c>
      <c r="F1" s="338"/>
      <c r="I1" s="28" t="s">
        <v>81</v>
      </c>
      <c r="K1" s="122"/>
    </row>
    <row r="2" spans="1:11" s="29" customFormat="1" ht="16.5" customHeight="1">
      <c r="A2" s="413" t="s">
        <v>30</v>
      </c>
      <c r="B2" s="493"/>
      <c r="C2" s="66" t="s">
        <v>43</v>
      </c>
      <c r="D2" s="32" t="s">
        <v>31</v>
      </c>
      <c r="E2" s="32" t="s">
        <v>32</v>
      </c>
      <c r="F2" s="339" t="s">
        <v>33</v>
      </c>
      <c r="G2" s="100" t="s">
        <v>34</v>
      </c>
      <c r="H2" s="100" t="s">
        <v>35</v>
      </c>
      <c r="I2" s="32" t="s">
        <v>45</v>
      </c>
    </row>
    <row r="3" spans="1:11" ht="15.9" customHeight="1">
      <c r="A3" s="496" t="s">
        <v>80</v>
      </c>
      <c r="B3" s="98" t="s">
        <v>36</v>
      </c>
      <c r="C3" s="285" t="s">
        <v>245</v>
      </c>
      <c r="D3" s="285" t="s">
        <v>245</v>
      </c>
      <c r="E3" s="283" t="s">
        <v>236</v>
      </c>
      <c r="F3" s="341">
        <v>1</v>
      </c>
      <c r="G3" s="295">
        <v>1420000</v>
      </c>
      <c r="H3" s="99">
        <f t="shared" ref="H3:H4" si="0">IF(F3=0,G3,G3*F3)</f>
        <v>1420000</v>
      </c>
      <c r="I3" s="70"/>
    </row>
    <row r="4" spans="1:11" ht="15.9" customHeight="1">
      <c r="A4" s="498"/>
      <c r="B4" s="98"/>
      <c r="C4" s="68" t="s">
        <v>252</v>
      </c>
      <c r="D4" s="285" t="s">
        <v>252</v>
      </c>
      <c r="E4" s="283" t="s">
        <v>236</v>
      </c>
      <c r="F4" s="341">
        <v>1</v>
      </c>
      <c r="G4" s="69">
        <v>2380000</v>
      </c>
      <c r="H4" s="99">
        <f t="shared" si="0"/>
        <v>2380000</v>
      </c>
      <c r="I4" s="70"/>
    </row>
    <row r="5" spans="1:11" ht="15.9" customHeight="1">
      <c r="A5" s="498"/>
      <c r="B5" s="98"/>
      <c r="C5" s="285"/>
      <c r="D5" s="285"/>
      <c r="E5" s="283"/>
      <c r="F5" s="341"/>
      <c r="G5" s="295"/>
      <c r="H5" s="99">
        <f>F5*G5</f>
        <v>0</v>
      </c>
      <c r="I5" s="119"/>
    </row>
    <row r="6" spans="1:11" ht="15.9" customHeight="1">
      <c r="A6" s="498"/>
      <c r="B6" s="98"/>
      <c r="C6" s="285"/>
      <c r="D6" s="285"/>
      <c r="E6" s="283"/>
      <c r="F6" s="341"/>
      <c r="G6" s="295"/>
      <c r="H6" s="99">
        <f>F6*G6</f>
        <v>0</v>
      </c>
      <c r="I6" s="70"/>
    </row>
    <row r="7" spans="1:11" ht="15.9" customHeight="1">
      <c r="A7" s="498"/>
      <c r="B7" s="98"/>
      <c r="C7" s="285"/>
      <c r="D7" s="285"/>
      <c r="E7" s="283"/>
      <c r="F7" s="341"/>
      <c r="G7" s="295"/>
      <c r="H7" s="99">
        <f>F7*G7</f>
        <v>0</v>
      </c>
      <c r="I7" s="70"/>
    </row>
    <row r="8" spans="1:11" ht="15.9" customHeight="1">
      <c r="A8" s="498"/>
      <c r="B8" s="98"/>
      <c r="C8" s="68"/>
      <c r="D8" s="68"/>
      <c r="E8" s="68"/>
      <c r="F8" s="342"/>
      <c r="G8" s="69"/>
      <c r="H8" s="99">
        <f t="shared" ref="H8:H33" si="1">IF(F8=0,G8,G8*F8)</f>
        <v>0</v>
      </c>
      <c r="I8" s="70"/>
    </row>
    <row r="9" spans="1:11" ht="15.9" customHeight="1">
      <c r="A9" s="498"/>
      <c r="B9" s="98"/>
      <c r="C9" s="113"/>
      <c r="D9" s="274"/>
      <c r="E9" s="274"/>
      <c r="F9" s="343"/>
      <c r="G9" s="114"/>
      <c r="H9" s="236">
        <f t="shared" si="1"/>
        <v>0</v>
      </c>
      <c r="I9" s="237"/>
    </row>
    <row r="10" spans="1:11" ht="15.9" customHeight="1">
      <c r="A10" s="498"/>
      <c r="B10" s="72"/>
      <c r="C10" s="240"/>
      <c r="D10" s="240"/>
      <c r="E10" s="240"/>
      <c r="F10" s="344"/>
      <c r="G10" s="241"/>
      <c r="H10" s="242">
        <f>SUM(H3:H9)</f>
        <v>3800000</v>
      </c>
      <c r="I10" s="240"/>
    </row>
    <row r="11" spans="1:11" ht="15.9" customHeight="1">
      <c r="A11" s="498"/>
      <c r="B11" s="98" t="s">
        <v>153</v>
      </c>
      <c r="C11" s="116"/>
      <c r="D11" s="116"/>
      <c r="E11" s="272"/>
      <c r="F11" s="345"/>
      <c r="G11" s="117"/>
      <c r="H11" s="118">
        <f t="shared" si="1"/>
        <v>0</v>
      </c>
      <c r="I11" s="119"/>
    </row>
    <row r="12" spans="1:11" ht="15.9" customHeight="1">
      <c r="A12" s="498"/>
      <c r="B12" s="98" t="s">
        <v>154</v>
      </c>
      <c r="C12" s="68"/>
      <c r="D12" s="68"/>
      <c r="E12" s="68"/>
      <c r="F12" s="340"/>
      <c r="G12" s="69"/>
      <c r="H12" s="99">
        <f t="shared" si="1"/>
        <v>0</v>
      </c>
      <c r="I12" s="70"/>
    </row>
    <row r="13" spans="1:11" ht="15.9" customHeight="1">
      <c r="A13" s="498"/>
      <c r="B13" s="98"/>
      <c r="C13" s="68"/>
      <c r="D13" s="68"/>
      <c r="E13" s="68"/>
      <c r="F13" s="340"/>
      <c r="G13" s="69"/>
      <c r="H13" s="99">
        <f t="shared" si="1"/>
        <v>0</v>
      </c>
      <c r="I13" s="70"/>
    </row>
    <row r="14" spans="1:11" ht="15.9" customHeight="1">
      <c r="A14" s="498"/>
      <c r="B14" s="98"/>
      <c r="C14" s="68"/>
      <c r="D14" s="68"/>
      <c r="E14" s="68"/>
      <c r="F14" s="340"/>
      <c r="G14" s="69"/>
      <c r="H14" s="99">
        <f t="shared" si="1"/>
        <v>0</v>
      </c>
      <c r="I14" s="70"/>
    </row>
    <row r="15" spans="1:11" ht="15.9" customHeight="1">
      <c r="A15" s="498"/>
      <c r="B15" s="98"/>
      <c r="C15" s="113"/>
      <c r="D15" s="113"/>
      <c r="E15" s="274"/>
      <c r="F15" s="343"/>
      <c r="G15" s="114"/>
      <c r="H15" s="99">
        <f t="shared" si="1"/>
        <v>0</v>
      </c>
      <c r="I15" s="71"/>
    </row>
    <row r="16" spans="1:11" ht="15.9" customHeight="1">
      <c r="A16" s="498"/>
      <c r="B16" s="72"/>
      <c r="C16" s="101"/>
      <c r="D16" s="91"/>
      <c r="E16" s="91"/>
      <c r="F16" s="346"/>
      <c r="G16" s="40"/>
      <c r="H16" s="30">
        <f>SUM(H11:H15)</f>
        <v>0</v>
      </c>
      <c r="I16" s="74"/>
    </row>
    <row r="17" spans="1:9" ht="15.9" customHeight="1">
      <c r="A17" s="498"/>
      <c r="B17" s="102" t="s">
        <v>37</v>
      </c>
      <c r="C17" s="285" t="s">
        <v>251</v>
      </c>
      <c r="D17" s="285" t="s">
        <v>256</v>
      </c>
      <c r="E17" s="283" t="s">
        <v>236</v>
      </c>
      <c r="F17" s="341">
        <v>1</v>
      </c>
      <c r="G17" s="295">
        <v>3600000</v>
      </c>
      <c r="H17" s="99">
        <f t="shared" ref="H17:H18" si="2">IF(F17=0,G17,G17*F17)</f>
        <v>3600000</v>
      </c>
      <c r="I17" s="75" t="s">
        <v>257</v>
      </c>
    </row>
    <row r="18" spans="1:9" ht="15.9" customHeight="1">
      <c r="A18" s="498"/>
      <c r="B18" s="98" t="s">
        <v>44</v>
      </c>
      <c r="C18" s="285" t="s">
        <v>244</v>
      </c>
      <c r="D18" s="285" t="s">
        <v>255</v>
      </c>
      <c r="E18" s="283" t="s">
        <v>236</v>
      </c>
      <c r="F18" s="341">
        <v>1</v>
      </c>
      <c r="G18" s="295">
        <v>840000</v>
      </c>
      <c r="H18" s="99">
        <f t="shared" si="2"/>
        <v>840000</v>
      </c>
      <c r="I18" s="70" t="s">
        <v>254</v>
      </c>
    </row>
    <row r="19" spans="1:9" ht="15.9" customHeight="1">
      <c r="A19" s="498"/>
      <c r="B19" s="98"/>
      <c r="C19" s="285"/>
      <c r="D19" s="285"/>
      <c r="E19" s="283"/>
      <c r="F19" s="341"/>
      <c r="G19" s="295"/>
      <c r="H19" s="99">
        <f t="shared" si="1"/>
        <v>0</v>
      </c>
      <c r="I19" s="294"/>
    </row>
    <row r="20" spans="1:9" ht="15.9" customHeight="1">
      <c r="A20" s="498"/>
      <c r="B20" s="98"/>
      <c r="C20" s="285"/>
      <c r="D20" s="285"/>
      <c r="E20" s="283"/>
      <c r="F20" s="341"/>
      <c r="G20" s="295"/>
      <c r="H20" s="99">
        <f t="shared" si="1"/>
        <v>0</v>
      </c>
      <c r="I20" s="294"/>
    </row>
    <row r="21" spans="1:9" ht="15.9" customHeight="1">
      <c r="A21" s="498"/>
      <c r="B21" s="98"/>
      <c r="C21" s="285"/>
      <c r="D21" s="285"/>
      <c r="E21" s="283"/>
      <c r="F21" s="341"/>
      <c r="G21" s="295"/>
      <c r="H21" s="99">
        <f t="shared" si="1"/>
        <v>0</v>
      </c>
      <c r="I21" s="294"/>
    </row>
    <row r="22" spans="1:9" ht="15.9" customHeight="1">
      <c r="A22" s="498"/>
      <c r="B22" s="98"/>
      <c r="C22" s="285"/>
      <c r="D22" s="285"/>
      <c r="E22" s="283"/>
      <c r="F22" s="341"/>
      <c r="G22" s="295"/>
      <c r="H22" s="99">
        <f t="shared" si="1"/>
        <v>0</v>
      </c>
      <c r="I22" s="294"/>
    </row>
    <row r="23" spans="1:9" ht="15.9" customHeight="1">
      <c r="A23" s="498"/>
      <c r="B23" s="98"/>
      <c r="C23" s="68"/>
      <c r="D23" s="285"/>
      <c r="E23" s="283"/>
      <c r="F23" s="341"/>
      <c r="G23" s="69"/>
      <c r="H23" s="99">
        <f t="shared" si="1"/>
        <v>0</v>
      </c>
      <c r="I23" s="70"/>
    </row>
    <row r="24" spans="1:9" ht="15.9" customHeight="1">
      <c r="A24" s="498"/>
      <c r="B24" s="98"/>
      <c r="C24" s="68"/>
      <c r="D24" s="285"/>
      <c r="E24" s="283"/>
      <c r="F24" s="341"/>
      <c r="G24" s="69"/>
      <c r="H24" s="99">
        <f t="shared" si="1"/>
        <v>0</v>
      </c>
      <c r="I24" s="70"/>
    </row>
    <row r="25" spans="1:9" ht="15.9" customHeight="1">
      <c r="A25" s="498"/>
      <c r="B25" s="98"/>
      <c r="C25" s="113"/>
      <c r="D25" s="113"/>
      <c r="E25" s="274"/>
      <c r="F25" s="343"/>
      <c r="G25" s="114"/>
      <c r="H25" s="236">
        <f t="shared" si="1"/>
        <v>0</v>
      </c>
      <c r="I25" s="237"/>
    </row>
    <row r="26" spans="1:9" ht="15.9" customHeight="1">
      <c r="A26" s="498"/>
      <c r="B26" s="72"/>
      <c r="C26" s="73"/>
      <c r="D26" s="74"/>
      <c r="E26" s="74"/>
      <c r="F26" s="347"/>
      <c r="G26" s="30"/>
      <c r="H26" s="30">
        <f>SUM(H17:H25)</f>
        <v>4440000</v>
      </c>
      <c r="I26" s="74"/>
    </row>
    <row r="27" spans="1:9" ht="15.9" customHeight="1">
      <c r="A27" s="498"/>
      <c r="B27" s="102" t="s">
        <v>38</v>
      </c>
      <c r="C27" s="285" t="s">
        <v>243</v>
      </c>
      <c r="D27" s="285" t="s">
        <v>357</v>
      </c>
      <c r="E27" s="283" t="s">
        <v>236</v>
      </c>
      <c r="F27" s="341">
        <v>1</v>
      </c>
      <c r="G27" s="295">
        <v>28440000</v>
      </c>
      <c r="H27" s="62">
        <f t="shared" ref="H27:H32" si="3">IF(F27=0,G27,G27*F27)</f>
        <v>28440000</v>
      </c>
      <c r="I27" s="75" t="s">
        <v>237</v>
      </c>
    </row>
    <row r="28" spans="1:9" ht="15.9" customHeight="1">
      <c r="A28" s="498"/>
      <c r="B28" s="98"/>
      <c r="C28" s="285" t="s">
        <v>247</v>
      </c>
      <c r="D28" s="285" t="s">
        <v>246</v>
      </c>
      <c r="E28" s="283" t="s">
        <v>236</v>
      </c>
      <c r="F28" s="341">
        <v>1</v>
      </c>
      <c r="G28" s="295">
        <v>2510000</v>
      </c>
      <c r="H28" s="99">
        <f t="shared" si="3"/>
        <v>2510000</v>
      </c>
      <c r="I28" s="70" t="s">
        <v>237</v>
      </c>
    </row>
    <row r="29" spans="1:9" ht="15.9" customHeight="1">
      <c r="A29" s="498"/>
      <c r="B29" s="98"/>
      <c r="C29" s="285" t="s">
        <v>248</v>
      </c>
      <c r="D29" s="285" t="s">
        <v>248</v>
      </c>
      <c r="E29" s="283" t="s">
        <v>236</v>
      </c>
      <c r="F29" s="341">
        <v>1</v>
      </c>
      <c r="G29" s="295">
        <v>920000</v>
      </c>
      <c r="H29" s="99">
        <f t="shared" si="3"/>
        <v>920000</v>
      </c>
      <c r="I29" s="70" t="s">
        <v>237</v>
      </c>
    </row>
    <row r="30" spans="1:9" ht="15.9" customHeight="1">
      <c r="A30" s="498"/>
      <c r="B30" s="98"/>
      <c r="C30" s="68" t="s">
        <v>253</v>
      </c>
      <c r="D30" s="285" t="s">
        <v>253</v>
      </c>
      <c r="E30" s="283" t="s">
        <v>236</v>
      </c>
      <c r="F30" s="341">
        <v>1</v>
      </c>
      <c r="G30" s="69">
        <v>14220000</v>
      </c>
      <c r="H30" s="99">
        <f t="shared" si="3"/>
        <v>14220000</v>
      </c>
      <c r="I30" s="70" t="s">
        <v>237</v>
      </c>
    </row>
    <row r="31" spans="1:9" ht="15.9" customHeight="1">
      <c r="A31" s="498"/>
      <c r="B31" s="98"/>
      <c r="C31" s="68" t="s">
        <v>249</v>
      </c>
      <c r="D31" s="285" t="s">
        <v>249</v>
      </c>
      <c r="E31" s="283" t="s">
        <v>236</v>
      </c>
      <c r="F31" s="341">
        <v>2</v>
      </c>
      <c r="G31" s="69">
        <v>3600000</v>
      </c>
      <c r="H31" s="99">
        <f t="shared" si="3"/>
        <v>7200000</v>
      </c>
      <c r="I31" s="70" t="s">
        <v>237</v>
      </c>
    </row>
    <row r="32" spans="1:9" ht="15.9" customHeight="1">
      <c r="A32" s="498"/>
      <c r="B32" s="98"/>
      <c r="C32" s="68" t="s">
        <v>250</v>
      </c>
      <c r="D32" s="285" t="s">
        <v>250</v>
      </c>
      <c r="E32" s="283" t="s">
        <v>236</v>
      </c>
      <c r="F32" s="341">
        <v>1</v>
      </c>
      <c r="G32" s="69">
        <v>10290000</v>
      </c>
      <c r="H32" s="99">
        <f t="shared" si="3"/>
        <v>10290000</v>
      </c>
      <c r="I32" s="70" t="s">
        <v>237</v>
      </c>
    </row>
    <row r="33" spans="1:9" ht="15.9" customHeight="1">
      <c r="A33" s="498"/>
      <c r="B33" s="98"/>
      <c r="C33" s="68" t="s">
        <v>266</v>
      </c>
      <c r="D33" s="285" t="s">
        <v>267</v>
      </c>
      <c r="E33" s="283" t="s">
        <v>236</v>
      </c>
      <c r="F33" s="341">
        <v>1</v>
      </c>
      <c r="G33" s="69">
        <v>3350000</v>
      </c>
      <c r="H33" s="99">
        <f t="shared" si="1"/>
        <v>3350000</v>
      </c>
      <c r="I33" s="70" t="s">
        <v>237</v>
      </c>
    </row>
    <row r="34" spans="1:9" ht="15.9" customHeight="1">
      <c r="A34" s="498"/>
      <c r="B34" s="98"/>
      <c r="C34" s="113"/>
      <c r="D34" s="298"/>
      <c r="E34" s="299"/>
      <c r="F34" s="364"/>
      <c r="G34" s="114"/>
      <c r="H34" s="104"/>
      <c r="I34" s="71"/>
    </row>
    <row r="35" spans="1:9" ht="15.9" customHeight="1">
      <c r="A35" s="498"/>
      <c r="B35" s="72"/>
      <c r="C35" s="101"/>
      <c r="D35" s="91"/>
      <c r="E35" s="91"/>
      <c r="F35" s="346"/>
      <c r="G35" s="40"/>
      <c r="H35" s="40">
        <f>SUM(H27:H34)</f>
        <v>66930000</v>
      </c>
      <c r="I35" s="91"/>
    </row>
    <row r="36" spans="1:9" ht="15.9" customHeight="1">
      <c r="A36" s="76"/>
      <c r="B36" s="96" t="s">
        <v>41</v>
      </c>
      <c r="C36" s="73"/>
      <c r="D36" s="74"/>
      <c r="E36" s="74"/>
      <c r="F36" s="348"/>
      <c r="G36" s="56"/>
      <c r="H36" s="30">
        <f>SUM(H35,H26,H16,H10)</f>
        <v>75170000</v>
      </c>
      <c r="I36" s="74"/>
    </row>
    <row r="37" spans="1:9" ht="15.9" customHeight="1">
      <c r="A37" s="496" t="s">
        <v>71</v>
      </c>
      <c r="B37" s="105" t="s">
        <v>69</v>
      </c>
      <c r="C37" s="73"/>
      <c r="D37" s="74"/>
      <c r="E37" s="105" t="s">
        <v>50</v>
      </c>
      <c r="F37" s="349"/>
      <c r="G37" s="260"/>
      <c r="H37" s="53">
        <f>G37*F37</f>
        <v>0</v>
      </c>
      <c r="I37" s="74"/>
    </row>
    <row r="38" spans="1:9" ht="15.9" customHeight="1">
      <c r="A38" s="498"/>
      <c r="B38" s="106" t="s">
        <v>106</v>
      </c>
      <c r="C38" s="133"/>
      <c r="D38" s="75"/>
      <c r="E38" s="106" t="s">
        <v>49</v>
      </c>
      <c r="F38" s="350"/>
      <c r="G38" s="112"/>
      <c r="H38" s="103">
        <f t="shared" ref="H38:H44" si="4">F38*G38</f>
        <v>0</v>
      </c>
      <c r="I38" s="75"/>
    </row>
    <row r="39" spans="1:9" ht="15.9" customHeight="1">
      <c r="A39" s="498"/>
      <c r="B39" s="107" t="s">
        <v>107</v>
      </c>
      <c r="C39" s="134"/>
      <c r="D39" s="70"/>
      <c r="E39" s="107" t="s">
        <v>49</v>
      </c>
      <c r="F39" s="341"/>
      <c r="G39" s="69"/>
      <c r="H39" s="99">
        <f t="shared" si="4"/>
        <v>0</v>
      </c>
      <c r="I39" s="70"/>
    </row>
    <row r="40" spans="1:9" ht="15.9" customHeight="1">
      <c r="A40" s="498"/>
      <c r="B40" s="107" t="s">
        <v>108</v>
      </c>
      <c r="C40" s="134"/>
      <c r="D40" s="70"/>
      <c r="E40" s="107" t="s">
        <v>49</v>
      </c>
      <c r="F40" s="341">
        <v>17</v>
      </c>
      <c r="G40" s="69">
        <v>250000</v>
      </c>
      <c r="H40" s="99">
        <f t="shared" si="4"/>
        <v>4250000</v>
      </c>
      <c r="I40" s="70"/>
    </row>
    <row r="41" spans="1:9" ht="15.9" customHeight="1">
      <c r="A41" s="498"/>
      <c r="B41" s="107" t="s">
        <v>109</v>
      </c>
      <c r="C41" s="134"/>
      <c r="D41" s="70"/>
      <c r="E41" s="107" t="s">
        <v>49</v>
      </c>
      <c r="F41" s="341">
        <v>17</v>
      </c>
      <c r="G41" s="69">
        <v>320000</v>
      </c>
      <c r="H41" s="99">
        <f t="shared" si="4"/>
        <v>5440000</v>
      </c>
      <c r="I41" s="357"/>
    </row>
    <row r="42" spans="1:9" ht="15.9" customHeight="1">
      <c r="A42" s="498"/>
      <c r="B42" s="107" t="s">
        <v>110</v>
      </c>
      <c r="C42" s="134"/>
      <c r="D42" s="70"/>
      <c r="E42" s="107" t="s">
        <v>49</v>
      </c>
      <c r="F42" s="341">
        <v>34</v>
      </c>
      <c r="G42" s="69">
        <v>500000</v>
      </c>
      <c r="H42" s="99">
        <f t="shared" si="4"/>
        <v>17000000</v>
      </c>
      <c r="I42" s="70"/>
    </row>
    <row r="43" spans="1:9" ht="15.9" customHeight="1">
      <c r="A43" s="498"/>
      <c r="B43" s="107" t="s">
        <v>111</v>
      </c>
      <c r="C43" s="134"/>
      <c r="D43" s="70"/>
      <c r="E43" s="107" t="s">
        <v>49</v>
      </c>
      <c r="F43" s="341"/>
      <c r="G43" s="69"/>
      <c r="H43" s="99">
        <f t="shared" si="4"/>
        <v>0</v>
      </c>
      <c r="I43" s="70"/>
    </row>
    <row r="44" spans="1:9" ht="15.9" customHeight="1">
      <c r="A44" s="498"/>
      <c r="B44" s="108" t="s">
        <v>112</v>
      </c>
      <c r="C44" s="135"/>
      <c r="D44" s="71"/>
      <c r="E44" s="108" t="s">
        <v>180</v>
      </c>
      <c r="F44" s="343"/>
      <c r="G44" s="114"/>
      <c r="H44" s="104">
        <f t="shared" si="4"/>
        <v>0</v>
      </c>
      <c r="I44" s="71"/>
    </row>
    <row r="45" spans="1:9" ht="15.9" customHeight="1">
      <c r="A45" s="76"/>
      <c r="B45" s="95" t="s">
        <v>40</v>
      </c>
      <c r="C45" s="73"/>
      <c r="D45" s="74"/>
      <c r="E45" s="74"/>
      <c r="F45" s="347"/>
      <c r="G45" s="30"/>
      <c r="H45" s="30">
        <f>SUM(H37:H44)</f>
        <v>26690000</v>
      </c>
      <c r="I45" s="91"/>
    </row>
    <row r="46" spans="1:9" ht="15.9" customHeight="1">
      <c r="A46" s="52"/>
      <c r="B46" s="95" t="s">
        <v>164</v>
      </c>
      <c r="C46" s="73"/>
      <c r="D46" s="74"/>
      <c r="E46" s="121" t="s">
        <v>115</v>
      </c>
      <c r="F46" s="347"/>
      <c r="G46" s="30"/>
      <c r="H46" s="56">
        <f>'단위공사별(집계)'!L7+'단위공사별(집계)'!I7</f>
        <v>781588.16298936761</v>
      </c>
      <c r="I46" s="74"/>
    </row>
    <row r="47" spans="1:9" ht="15.9" customHeight="1">
      <c r="A47" s="52"/>
      <c r="B47" s="95" t="s">
        <v>25</v>
      </c>
      <c r="C47" s="73"/>
      <c r="D47" s="74"/>
      <c r="E47" s="121"/>
      <c r="F47" s="347"/>
      <c r="G47" s="55"/>
      <c r="H47" s="115">
        <f>(H45+H36)*0.05</f>
        <v>5093000</v>
      </c>
      <c r="I47" s="73"/>
    </row>
    <row r="48" spans="1:9" ht="15.9" customHeight="1">
      <c r="A48" s="52"/>
      <c r="B48" s="95" t="s">
        <v>145</v>
      </c>
      <c r="C48" s="73"/>
      <c r="D48" s="74"/>
      <c r="E48" s="121"/>
      <c r="F48" s="347"/>
      <c r="G48" s="55"/>
      <c r="H48" s="115">
        <f>(H45+H36)*0.1</f>
        <v>10186000</v>
      </c>
      <c r="I48" s="73"/>
    </row>
    <row r="49" spans="1:9" ht="15.9" customHeight="1">
      <c r="A49" s="52"/>
      <c r="B49" s="95" t="s">
        <v>146</v>
      </c>
      <c r="C49" s="73"/>
      <c r="D49" s="74"/>
      <c r="E49" s="74"/>
      <c r="F49" s="347"/>
      <c r="G49" s="30"/>
      <c r="H49" s="40">
        <f>H36+H45+H46+H47+H48</f>
        <v>117920588.16298936</v>
      </c>
      <c r="I49" s="74"/>
    </row>
    <row r="50" spans="1:9">
      <c r="A50" s="29"/>
    </row>
  </sheetData>
  <mergeCells count="3">
    <mergeCell ref="A2:B2"/>
    <mergeCell ref="A37:A44"/>
    <mergeCell ref="A3:A3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1" orientation="portrait" horizontalDpi="4294967292" verticalDpi="120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F463-4E11-4C17-B34F-099217104306}">
  <sheetPr codeName="Sheet7">
    <tabColor rgb="FF00B050"/>
    <pageSetUpPr fitToPage="1"/>
  </sheetPr>
  <dimension ref="A1:K52"/>
  <sheetViews>
    <sheetView zoomScale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F36" sqref="F36"/>
    </sheetView>
  </sheetViews>
  <sheetFormatPr defaultColWidth="9" defaultRowHeight="14.4"/>
  <cols>
    <col min="1" max="1" width="5" style="28" customWidth="1"/>
    <col min="2" max="2" width="17.8984375" style="28" bestFit="1" customWidth="1"/>
    <col min="3" max="3" width="23.59765625" style="28" customWidth="1"/>
    <col min="4" max="4" width="18.19921875" style="28" customWidth="1"/>
    <col min="5" max="5" width="5.19921875" style="28" bestFit="1" customWidth="1"/>
    <col min="6" max="6" width="9" style="31"/>
    <col min="7" max="7" width="11.8984375" style="31" customWidth="1"/>
    <col min="8" max="8" width="13.59765625" style="31" customWidth="1"/>
    <col min="9" max="9" width="12.69921875" style="28" customWidth="1"/>
    <col min="10" max="10" width="11.296875" style="28" bestFit="1" customWidth="1"/>
    <col min="11" max="11" width="11.3984375" style="28" customWidth="1"/>
    <col min="12" max="12" width="10.09765625" style="28" bestFit="1" customWidth="1"/>
    <col min="13" max="16384" width="9" style="28"/>
  </cols>
  <sheetData>
    <row r="1" spans="1:9" ht="22.5" customHeight="1">
      <c r="B1" s="97" t="s">
        <v>79</v>
      </c>
      <c r="C1" s="139" t="s">
        <v>291</v>
      </c>
      <c r="F1" s="65"/>
      <c r="I1" s="28" t="s">
        <v>81</v>
      </c>
    </row>
    <row r="2" spans="1:9" s="29" customFormat="1" ht="16.5" customHeight="1">
      <c r="A2" s="413" t="s">
        <v>30</v>
      </c>
      <c r="B2" s="493"/>
      <c r="C2" s="66" t="s">
        <v>43</v>
      </c>
      <c r="D2" s="32" t="s">
        <v>31</v>
      </c>
      <c r="E2" s="32" t="s">
        <v>32</v>
      </c>
      <c r="F2" s="100" t="s">
        <v>33</v>
      </c>
      <c r="G2" s="100" t="s">
        <v>34</v>
      </c>
      <c r="H2" s="100" t="s">
        <v>35</v>
      </c>
      <c r="I2" s="32" t="s">
        <v>45</v>
      </c>
    </row>
    <row r="3" spans="1:9" ht="15.9" customHeight="1">
      <c r="A3" s="496" t="s">
        <v>80</v>
      </c>
      <c r="B3" s="98" t="s">
        <v>36</v>
      </c>
      <c r="C3" s="68"/>
      <c r="D3" s="283"/>
      <c r="E3" s="273"/>
      <c r="F3" s="263"/>
      <c r="G3" s="69"/>
      <c r="H3" s="99">
        <f>IF(F3=0,G3,G3*F3)</f>
        <v>0</v>
      </c>
      <c r="I3" s="280"/>
    </row>
    <row r="4" spans="1:9" ht="15.9" customHeight="1">
      <c r="A4" s="498"/>
      <c r="B4" s="98"/>
      <c r="C4" s="285"/>
      <c r="D4" s="282"/>
      <c r="E4" s="283"/>
      <c r="F4" s="311"/>
      <c r="G4" s="295"/>
      <c r="H4" s="99">
        <f>F4*G4</f>
        <v>0</v>
      </c>
      <c r="I4" s="70"/>
    </row>
    <row r="5" spans="1:9" ht="15.9" customHeight="1">
      <c r="A5" s="498"/>
      <c r="B5" s="98"/>
      <c r="C5" s="285"/>
      <c r="D5" s="282"/>
      <c r="E5" s="283"/>
      <c r="F5" s="310"/>
      <c r="G5" s="295"/>
      <c r="H5" s="99">
        <f>F5*G5</f>
        <v>0</v>
      </c>
      <c r="I5" s="70"/>
    </row>
    <row r="6" spans="1:9" ht="15.9" customHeight="1">
      <c r="A6" s="498"/>
      <c r="B6" s="98"/>
      <c r="C6" s="285"/>
      <c r="D6" s="285"/>
      <c r="E6" s="283"/>
      <c r="F6" s="310"/>
      <c r="G6" s="295"/>
      <c r="H6" s="99">
        <f>F6*G6</f>
        <v>0</v>
      </c>
      <c r="I6" s="70"/>
    </row>
    <row r="7" spans="1:9" ht="15.9" customHeight="1">
      <c r="A7" s="498"/>
      <c r="B7" s="98"/>
      <c r="C7" s="68"/>
      <c r="D7" s="68"/>
      <c r="E7" s="68"/>
      <c r="F7" s="69"/>
      <c r="G7" s="69"/>
      <c r="H7" s="99">
        <f t="shared" ref="H7:H32" si="0">IF(F7=0,G7,G7*F7)</f>
        <v>0</v>
      </c>
      <c r="I7" s="70"/>
    </row>
    <row r="8" spans="1:9" ht="15.9" customHeight="1">
      <c r="A8" s="498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" customHeight="1">
      <c r="A9" s="498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" customHeight="1">
      <c r="A10" s="498"/>
      <c r="B10" s="98"/>
      <c r="C10" s="113"/>
      <c r="D10" s="274"/>
      <c r="E10" s="274"/>
      <c r="F10" s="264"/>
      <c r="G10" s="114"/>
      <c r="H10" s="236">
        <f t="shared" si="0"/>
        <v>0</v>
      </c>
      <c r="I10" s="237"/>
    </row>
    <row r="11" spans="1:9" ht="15.9" customHeight="1">
      <c r="A11" s="498"/>
      <c r="B11" s="72"/>
      <c r="C11" s="240"/>
      <c r="D11" s="240"/>
      <c r="E11" s="240"/>
      <c r="F11" s="241"/>
      <c r="G11" s="241"/>
      <c r="H11" s="242">
        <f>SUM(H3:H10)</f>
        <v>0</v>
      </c>
      <c r="I11" s="240"/>
    </row>
    <row r="12" spans="1:9" ht="15.9" customHeight="1">
      <c r="A12" s="498"/>
      <c r="B12" s="98" t="s">
        <v>153</v>
      </c>
      <c r="C12" s="116"/>
      <c r="D12" s="116"/>
      <c r="E12" s="283"/>
      <c r="F12" s="284"/>
      <c r="G12" s="117"/>
      <c r="H12" s="118">
        <f t="shared" si="0"/>
        <v>0</v>
      </c>
      <c r="I12" s="119"/>
    </row>
    <row r="13" spans="1:9" ht="15.9" customHeight="1">
      <c r="A13" s="498"/>
      <c r="B13" s="98" t="s">
        <v>154</v>
      </c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" customHeight="1">
      <c r="A14" s="498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" customHeight="1">
      <c r="A15" s="498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" customHeight="1">
      <c r="A16" s="498"/>
      <c r="B16" s="98"/>
      <c r="C16" s="113"/>
      <c r="D16" s="113"/>
      <c r="E16" s="113"/>
      <c r="F16" s="114"/>
      <c r="G16" s="114"/>
      <c r="H16" s="99">
        <f t="shared" si="0"/>
        <v>0</v>
      </c>
      <c r="I16" s="71"/>
    </row>
    <row r="17" spans="1:10" ht="15.9" customHeight="1">
      <c r="A17" s="498"/>
      <c r="B17" s="72"/>
      <c r="C17" s="101"/>
      <c r="D17" s="91"/>
      <c r="E17" s="91"/>
      <c r="F17" s="140"/>
      <c r="G17" s="40"/>
      <c r="H17" s="30">
        <f>SUM(H12:H16)</f>
        <v>0</v>
      </c>
      <c r="I17" s="74"/>
    </row>
    <row r="18" spans="1:10" ht="15.9" customHeight="1">
      <c r="A18" s="498"/>
      <c r="B18" s="102" t="s">
        <v>37</v>
      </c>
      <c r="C18" s="285"/>
      <c r="D18" s="285"/>
      <c r="E18" s="283"/>
      <c r="F18" s="310"/>
      <c r="G18" s="295"/>
      <c r="H18" s="62">
        <f t="shared" ref="H18:H21" si="1">IF(F18=0,G18,G18*F18)</f>
        <v>0</v>
      </c>
      <c r="I18" s="75"/>
    </row>
    <row r="19" spans="1:10" ht="15.9" customHeight="1">
      <c r="A19" s="498"/>
      <c r="B19" s="98" t="s">
        <v>44</v>
      </c>
      <c r="C19" s="285"/>
      <c r="D19" s="285"/>
      <c r="E19" s="283"/>
      <c r="F19" s="310"/>
      <c r="G19" s="295"/>
      <c r="H19" s="99">
        <f t="shared" si="1"/>
        <v>0</v>
      </c>
      <c r="I19" s="70"/>
    </row>
    <row r="20" spans="1:10" ht="15.9" customHeight="1">
      <c r="A20" s="498"/>
      <c r="B20" s="98"/>
      <c r="C20" s="285"/>
      <c r="D20" s="285"/>
      <c r="E20" s="283"/>
      <c r="F20" s="310"/>
      <c r="G20" s="295"/>
      <c r="H20" s="99">
        <f t="shared" si="1"/>
        <v>0</v>
      </c>
      <c r="I20" s="70"/>
    </row>
    <row r="21" spans="1:10" ht="15.9" customHeight="1">
      <c r="A21" s="498"/>
      <c r="B21" s="98"/>
      <c r="C21" s="285"/>
      <c r="D21" s="285"/>
      <c r="E21" s="283"/>
      <c r="F21" s="310"/>
      <c r="G21" s="295"/>
      <c r="H21" s="99">
        <f t="shared" si="1"/>
        <v>0</v>
      </c>
      <c r="I21" s="70"/>
    </row>
    <row r="22" spans="1:10" ht="15.9" customHeight="1">
      <c r="A22" s="498"/>
      <c r="B22" s="98"/>
      <c r="C22" s="296"/>
      <c r="D22" s="296"/>
      <c r="E22" s="285"/>
      <c r="F22" s="297"/>
      <c r="G22" s="297"/>
      <c r="H22" s="99">
        <f t="shared" si="0"/>
        <v>0</v>
      </c>
      <c r="I22" s="70"/>
    </row>
    <row r="23" spans="1:10" ht="15.9" customHeight="1">
      <c r="A23" s="498"/>
      <c r="B23" s="98"/>
      <c r="C23" s="113"/>
      <c r="D23" s="113"/>
      <c r="E23" s="274"/>
      <c r="F23" s="264"/>
      <c r="G23" s="114"/>
      <c r="H23" s="104">
        <f t="shared" si="0"/>
        <v>0</v>
      </c>
      <c r="I23" s="71"/>
    </row>
    <row r="24" spans="1:10" ht="15.9" customHeight="1">
      <c r="A24" s="498"/>
      <c r="B24" s="72"/>
      <c r="C24" s="101"/>
      <c r="D24" s="91"/>
      <c r="E24" s="91"/>
      <c r="F24" s="40"/>
      <c r="G24" s="40"/>
      <c r="H24" s="30">
        <f>SUM(H18:H23)</f>
        <v>0</v>
      </c>
      <c r="I24" s="74"/>
    </row>
    <row r="25" spans="1:10" ht="15.9" customHeight="1">
      <c r="A25" s="498"/>
      <c r="B25" s="102" t="s">
        <v>38</v>
      </c>
      <c r="C25" s="68" t="s">
        <v>234</v>
      </c>
      <c r="D25" s="282" t="s">
        <v>235</v>
      </c>
      <c r="E25" s="283" t="s">
        <v>236</v>
      </c>
      <c r="F25" s="284">
        <v>1</v>
      </c>
      <c r="G25" s="69">
        <v>19110000</v>
      </c>
      <c r="H25" s="99">
        <f>IF(F25=0,G25,G25*F25)</f>
        <v>19110000</v>
      </c>
      <c r="I25" s="75" t="s">
        <v>237</v>
      </c>
    </row>
    <row r="26" spans="1:10" ht="15.9" customHeight="1">
      <c r="A26" s="498"/>
      <c r="B26" s="98"/>
      <c r="C26" s="234" t="s">
        <v>239</v>
      </c>
      <c r="D26" s="353" t="s">
        <v>238</v>
      </c>
      <c r="E26" s="354" t="s">
        <v>240</v>
      </c>
      <c r="F26" s="355">
        <v>16</v>
      </c>
      <c r="G26" s="235">
        <v>2310000</v>
      </c>
      <c r="H26" s="236">
        <f>IF(F26=0,G26,G26*F26)</f>
        <v>36960000</v>
      </c>
      <c r="I26" s="237" t="s">
        <v>237</v>
      </c>
    </row>
    <row r="27" spans="1:10" ht="15.9" customHeight="1">
      <c r="A27" s="498"/>
      <c r="B27" s="98"/>
      <c r="C27" s="68" t="s">
        <v>241</v>
      </c>
      <c r="D27" s="337" t="s">
        <v>242</v>
      </c>
      <c r="E27" s="283" t="s">
        <v>236</v>
      </c>
      <c r="F27" s="284">
        <v>3</v>
      </c>
      <c r="G27" s="69">
        <v>2650000</v>
      </c>
      <c r="H27" s="99">
        <f t="shared" si="0"/>
        <v>7950000</v>
      </c>
      <c r="I27" s="70" t="s">
        <v>237</v>
      </c>
      <c r="J27" s="31"/>
    </row>
    <row r="28" spans="1:10" ht="15.9" customHeight="1">
      <c r="A28" s="498"/>
      <c r="B28" s="98"/>
      <c r="C28" s="68" t="s">
        <v>268</v>
      </c>
      <c r="D28" s="337" t="s">
        <v>269</v>
      </c>
      <c r="E28" s="283" t="s">
        <v>236</v>
      </c>
      <c r="F28" s="284">
        <v>1</v>
      </c>
      <c r="G28" s="69">
        <v>12550000</v>
      </c>
      <c r="H28" s="99">
        <f t="shared" si="0"/>
        <v>12550000</v>
      </c>
      <c r="I28" s="70" t="s">
        <v>237</v>
      </c>
      <c r="J28" s="31"/>
    </row>
    <row r="29" spans="1:10" ht="15.9" customHeight="1">
      <c r="A29" s="498"/>
      <c r="B29" s="98"/>
      <c r="C29" s="337" t="s">
        <v>271</v>
      </c>
      <c r="D29" s="337" t="s">
        <v>271</v>
      </c>
      <c r="E29" s="283" t="s">
        <v>236</v>
      </c>
      <c r="F29" s="284">
        <v>1</v>
      </c>
      <c r="G29" s="69">
        <v>2510000</v>
      </c>
      <c r="H29" s="99">
        <f t="shared" si="0"/>
        <v>2510000</v>
      </c>
      <c r="I29" s="70" t="s">
        <v>237</v>
      </c>
      <c r="J29" s="31"/>
    </row>
    <row r="30" spans="1:10" ht="15.9" customHeight="1">
      <c r="A30" s="498"/>
      <c r="B30" s="98"/>
      <c r="C30" s="337" t="s">
        <v>273</v>
      </c>
      <c r="D30" s="337" t="s">
        <v>273</v>
      </c>
      <c r="E30" s="283" t="s">
        <v>236</v>
      </c>
      <c r="F30" s="284">
        <v>1</v>
      </c>
      <c r="G30" s="69">
        <v>2510000</v>
      </c>
      <c r="H30" s="99">
        <f t="shared" si="0"/>
        <v>2510000</v>
      </c>
      <c r="I30" s="70" t="s">
        <v>237</v>
      </c>
      <c r="J30" s="31"/>
    </row>
    <row r="31" spans="1:10" ht="15.9" customHeight="1">
      <c r="A31" s="498"/>
      <c r="B31" s="98"/>
      <c r="C31" s="337" t="s">
        <v>275</v>
      </c>
      <c r="D31" s="337" t="s">
        <v>274</v>
      </c>
      <c r="E31" s="283" t="s">
        <v>200</v>
      </c>
      <c r="F31" s="284">
        <v>70</v>
      </c>
      <c r="G31" s="69">
        <v>70000</v>
      </c>
      <c r="H31" s="99">
        <f t="shared" si="0"/>
        <v>4900000</v>
      </c>
      <c r="I31" s="70" t="s">
        <v>237</v>
      </c>
      <c r="J31" s="31"/>
    </row>
    <row r="32" spans="1:10" ht="15.9" customHeight="1">
      <c r="A32" s="498"/>
      <c r="B32" s="98"/>
      <c r="C32" s="337" t="s">
        <v>304</v>
      </c>
      <c r="D32" s="337" t="s">
        <v>262</v>
      </c>
      <c r="E32" s="283" t="s">
        <v>236</v>
      </c>
      <c r="F32" s="284">
        <v>1</v>
      </c>
      <c r="G32" s="69">
        <v>55000000</v>
      </c>
      <c r="H32" s="99">
        <f t="shared" si="0"/>
        <v>55000000</v>
      </c>
      <c r="I32" s="70" t="s">
        <v>237</v>
      </c>
      <c r="J32" s="31"/>
    </row>
    <row r="33" spans="1:11" ht="15.9" customHeight="1">
      <c r="A33" s="498"/>
      <c r="B33" s="98"/>
      <c r="C33" s="337"/>
      <c r="D33" s="337"/>
      <c r="E33" s="283"/>
      <c r="F33" s="284"/>
      <c r="G33" s="69"/>
      <c r="H33" s="99"/>
      <c r="I33" s="70"/>
      <c r="J33" s="31"/>
    </row>
    <row r="34" spans="1:11" ht="15.9" customHeight="1">
      <c r="A34" s="498"/>
      <c r="B34" s="98"/>
      <c r="C34" s="68"/>
      <c r="D34" s="356"/>
      <c r="E34" s="283"/>
      <c r="F34" s="284"/>
      <c r="G34" s="69"/>
      <c r="H34" s="99"/>
      <c r="I34" s="70"/>
    </row>
    <row r="35" spans="1:11" ht="15.9" customHeight="1">
      <c r="A35" s="498"/>
      <c r="B35" s="98"/>
      <c r="C35" s="113"/>
      <c r="D35" s="113"/>
      <c r="E35" s="283"/>
      <c r="F35" s="263"/>
      <c r="G35" s="114"/>
      <c r="H35" s="104"/>
      <c r="I35" s="70"/>
    </row>
    <row r="36" spans="1:11" ht="15.9" customHeight="1">
      <c r="A36" s="498"/>
      <c r="B36" s="72"/>
      <c r="C36" s="101"/>
      <c r="D36" s="91"/>
      <c r="E36" s="91"/>
      <c r="F36" s="40"/>
      <c r="G36" s="40"/>
      <c r="H36" s="30">
        <f>SUM(H25:H35)</f>
        <v>141490000</v>
      </c>
      <c r="I36" s="74"/>
    </row>
    <row r="37" spans="1:11" ht="15.9" customHeight="1">
      <c r="A37" s="76"/>
      <c r="B37" s="320" t="s">
        <v>41</v>
      </c>
      <c r="C37" s="321"/>
      <c r="D37" s="280"/>
      <c r="E37" s="280"/>
      <c r="F37" s="56"/>
      <c r="G37" s="56"/>
      <c r="H37" s="56">
        <f>SUM(H36,H24,H17,H11)</f>
        <v>141490000</v>
      </c>
      <c r="I37" s="280"/>
    </row>
    <row r="38" spans="1:11" ht="15.9" customHeight="1">
      <c r="A38" s="499" t="s">
        <v>71</v>
      </c>
      <c r="B38" s="106" t="s">
        <v>69</v>
      </c>
      <c r="C38" s="133"/>
      <c r="D38" s="75"/>
      <c r="E38" s="106" t="s">
        <v>50</v>
      </c>
      <c r="F38" s="358">
        <v>5</v>
      </c>
      <c r="G38" s="112">
        <v>320000</v>
      </c>
      <c r="H38" s="103">
        <f>G38*F38</f>
        <v>1600000</v>
      </c>
      <c r="I38" s="75"/>
    </row>
    <row r="39" spans="1:11" ht="15.9" customHeight="1">
      <c r="A39" s="498"/>
      <c r="B39" s="107" t="s">
        <v>106</v>
      </c>
      <c r="C39" s="134"/>
      <c r="D39" s="70"/>
      <c r="E39" s="107" t="s">
        <v>49</v>
      </c>
      <c r="F39" s="284"/>
      <c r="G39" s="69"/>
      <c r="H39" s="99">
        <f t="shared" ref="H39:H45" si="2">F39*G39</f>
        <v>0</v>
      </c>
      <c r="I39" s="70"/>
    </row>
    <row r="40" spans="1:11" ht="15.9" customHeight="1">
      <c r="A40" s="498"/>
      <c r="B40" s="158" t="s">
        <v>107</v>
      </c>
      <c r="C40" s="134"/>
      <c r="D40" s="70"/>
      <c r="E40" s="107" t="s">
        <v>49</v>
      </c>
      <c r="F40" s="284"/>
      <c r="G40" s="69"/>
      <c r="H40" s="99"/>
      <c r="I40" s="70"/>
    </row>
    <row r="41" spans="1:11" ht="15.9" customHeight="1">
      <c r="A41" s="498"/>
      <c r="B41" s="107" t="s">
        <v>108</v>
      </c>
      <c r="C41" s="134"/>
      <c r="D41" s="70"/>
      <c r="E41" s="107" t="s">
        <v>49</v>
      </c>
      <c r="F41" s="284">
        <v>48</v>
      </c>
      <c r="G41" s="69">
        <v>250000</v>
      </c>
      <c r="H41" s="99">
        <f t="shared" si="2"/>
        <v>12000000</v>
      </c>
      <c r="I41" s="70"/>
    </row>
    <row r="42" spans="1:11" ht="15.9" customHeight="1">
      <c r="A42" s="498"/>
      <c r="B42" s="107" t="s">
        <v>109</v>
      </c>
      <c r="C42" s="134"/>
      <c r="D42" s="70"/>
      <c r="E42" s="107" t="s">
        <v>49</v>
      </c>
      <c r="F42" s="284">
        <v>25</v>
      </c>
      <c r="G42" s="69">
        <v>320000</v>
      </c>
      <c r="H42" s="99">
        <f t="shared" si="2"/>
        <v>8000000</v>
      </c>
      <c r="I42" s="70"/>
    </row>
    <row r="43" spans="1:11" ht="15.9" customHeight="1">
      <c r="A43" s="498"/>
      <c r="B43" s="107" t="s">
        <v>110</v>
      </c>
      <c r="C43" s="134"/>
      <c r="D43" s="70"/>
      <c r="E43" s="107" t="s">
        <v>49</v>
      </c>
      <c r="F43" s="284">
        <v>25</v>
      </c>
      <c r="G43" s="69">
        <v>320000</v>
      </c>
      <c r="H43" s="99">
        <f t="shared" si="2"/>
        <v>8000000</v>
      </c>
      <c r="I43" s="70"/>
    </row>
    <row r="44" spans="1:11" ht="15.9" customHeight="1">
      <c r="A44" s="498"/>
      <c r="B44" s="107" t="s">
        <v>111</v>
      </c>
      <c r="C44" s="134"/>
      <c r="D44" s="70"/>
      <c r="E44" s="107" t="s">
        <v>49</v>
      </c>
      <c r="F44" s="284">
        <v>30</v>
      </c>
      <c r="G44" s="69">
        <v>320000</v>
      </c>
      <c r="H44" s="99">
        <f t="shared" si="2"/>
        <v>9600000</v>
      </c>
      <c r="I44" s="70"/>
    </row>
    <row r="45" spans="1:11" ht="15.9" customHeight="1">
      <c r="A45" s="498"/>
      <c r="B45" s="108" t="s">
        <v>112</v>
      </c>
      <c r="C45" s="322"/>
      <c r="D45" s="237"/>
      <c r="E45" s="323" t="s">
        <v>49</v>
      </c>
      <c r="F45" s="309"/>
      <c r="G45" s="235"/>
      <c r="H45" s="236">
        <f t="shared" si="2"/>
        <v>0</v>
      </c>
      <c r="I45" s="237"/>
    </row>
    <row r="46" spans="1:11" ht="15.9" customHeight="1">
      <c r="A46" s="76"/>
      <c r="B46" s="95" t="s">
        <v>40</v>
      </c>
      <c r="C46" s="73"/>
      <c r="D46" s="74"/>
      <c r="E46" s="74"/>
      <c r="F46" s="30"/>
      <c r="G46" s="30"/>
      <c r="H46" s="30">
        <f>SUM(H38:H45)</f>
        <v>39200000</v>
      </c>
      <c r="I46" s="74"/>
      <c r="K46" s="31"/>
    </row>
    <row r="47" spans="1:11" ht="15.9" customHeight="1">
      <c r="A47" s="52"/>
      <c r="B47" s="95" t="s">
        <v>164</v>
      </c>
      <c r="C47" s="73"/>
      <c r="D47" s="74"/>
      <c r="E47" s="74"/>
      <c r="F47" s="30"/>
      <c r="G47" s="30"/>
      <c r="H47" s="56">
        <f>'단위공사별(집계)'!L8+'단위공사별(집계)'!I8</f>
        <v>1386463.4318726568</v>
      </c>
      <c r="I47" s="74"/>
    </row>
    <row r="48" spans="1:11" ht="15.9" customHeight="1">
      <c r="A48" s="52"/>
      <c r="B48" s="95" t="s">
        <v>25</v>
      </c>
      <c r="C48" s="73"/>
      <c r="D48" s="74"/>
      <c r="E48" s="74"/>
      <c r="F48" s="30"/>
      <c r="G48" s="55"/>
      <c r="H48" s="115">
        <f>(H46+H37)*0.05</f>
        <v>9034500</v>
      </c>
      <c r="I48" s="73"/>
    </row>
    <row r="49" spans="1:9" ht="15.9" customHeight="1">
      <c r="A49" s="52"/>
      <c r="B49" s="95" t="s">
        <v>145</v>
      </c>
      <c r="C49" s="73"/>
      <c r="D49" s="74"/>
      <c r="E49" s="74"/>
      <c r="F49" s="30"/>
      <c r="G49" s="55"/>
      <c r="H49" s="115">
        <f>(H46+H37)*0.1</f>
        <v>18069000</v>
      </c>
      <c r="I49" s="73"/>
    </row>
    <row r="50" spans="1:9" ht="15.9" customHeight="1">
      <c r="A50" s="52"/>
      <c r="B50" s="95" t="s">
        <v>146</v>
      </c>
      <c r="C50" s="73"/>
      <c r="D50" s="74"/>
      <c r="E50" s="74"/>
      <c r="F50" s="30"/>
      <c r="G50" s="30"/>
      <c r="H50" s="40">
        <f>H37+H46+H47+H48+H49</f>
        <v>209179963.43187267</v>
      </c>
      <c r="I50" s="74"/>
    </row>
    <row r="51" spans="1:9">
      <c r="A51" s="29"/>
    </row>
    <row r="52" spans="1:9">
      <c r="H52" s="40"/>
    </row>
  </sheetData>
  <mergeCells count="3">
    <mergeCell ref="A2:B2"/>
    <mergeCell ref="A38:A45"/>
    <mergeCell ref="A3:A3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5870-8A00-41AC-AB3F-BD18E0206321}">
  <sheetPr codeName="Sheet8">
    <tabColor rgb="FF00B050"/>
    <pageSetUpPr fitToPage="1"/>
  </sheetPr>
  <dimension ref="A1:I62"/>
  <sheetViews>
    <sheetView zoomScale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D39" sqref="D39"/>
    </sheetView>
  </sheetViews>
  <sheetFormatPr defaultColWidth="9" defaultRowHeight="14.4"/>
  <cols>
    <col min="1" max="1" width="5" style="28" customWidth="1"/>
    <col min="2" max="2" width="17.8984375" style="28" bestFit="1" customWidth="1"/>
    <col min="3" max="3" width="23.59765625" style="28" customWidth="1"/>
    <col min="4" max="4" width="18.19921875" style="28" customWidth="1"/>
    <col min="5" max="5" width="5.19921875" style="28" bestFit="1" customWidth="1"/>
    <col min="6" max="6" width="9" style="31"/>
    <col min="7" max="7" width="11.8984375" style="31" customWidth="1"/>
    <col min="8" max="8" width="13.59765625" style="31" customWidth="1"/>
    <col min="9" max="9" width="12.69921875" style="28" customWidth="1"/>
    <col min="10" max="16384" width="9" style="28"/>
  </cols>
  <sheetData>
    <row r="1" spans="1:9" ht="22.5" customHeight="1">
      <c r="B1" s="97" t="s">
        <v>79</v>
      </c>
      <c r="C1" s="139" t="s">
        <v>289</v>
      </c>
      <c r="F1" s="65"/>
      <c r="I1" s="28" t="s">
        <v>81</v>
      </c>
    </row>
    <row r="2" spans="1:9" s="29" customFormat="1" ht="16.5" customHeight="1">
      <c r="A2" s="413" t="s">
        <v>30</v>
      </c>
      <c r="B2" s="493"/>
      <c r="C2" s="66" t="s">
        <v>43</v>
      </c>
      <c r="D2" s="32" t="s">
        <v>31</v>
      </c>
      <c r="E2" s="32" t="s">
        <v>32</v>
      </c>
      <c r="F2" s="100" t="s">
        <v>33</v>
      </c>
      <c r="G2" s="100" t="s">
        <v>34</v>
      </c>
      <c r="H2" s="100" t="s">
        <v>35</v>
      </c>
      <c r="I2" s="32" t="s">
        <v>45</v>
      </c>
    </row>
    <row r="3" spans="1:9" ht="15.9" customHeight="1">
      <c r="A3" s="496" t="s">
        <v>80</v>
      </c>
      <c r="B3" s="98" t="s">
        <v>36</v>
      </c>
      <c r="C3" s="285" t="s">
        <v>245</v>
      </c>
      <c r="D3" s="285" t="s">
        <v>245</v>
      </c>
      <c r="E3" s="283" t="s">
        <v>236</v>
      </c>
      <c r="F3" s="341">
        <v>2</v>
      </c>
      <c r="G3" s="295">
        <v>1420000</v>
      </c>
      <c r="H3" s="99">
        <f t="shared" ref="H3:H4" si="0">IF(F3=0,G3,G3*F3)</f>
        <v>2840000</v>
      </c>
      <c r="I3" s="70" t="s">
        <v>174</v>
      </c>
    </row>
    <row r="4" spans="1:9" ht="15.9" customHeight="1">
      <c r="A4" s="498"/>
      <c r="B4" s="98"/>
      <c r="C4" s="68" t="s">
        <v>252</v>
      </c>
      <c r="D4" s="285" t="s">
        <v>252</v>
      </c>
      <c r="E4" s="283" t="s">
        <v>236</v>
      </c>
      <c r="F4" s="341">
        <v>2</v>
      </c>
      <c r="G4" s="69">
        <v>2390000</v>
      </c>
      <c r="H4" s="99">
        <f t="shared" si="0"/>
        <v>4780000</v>
      </c>
      <c r="I4" s="70"/>
    </row>
    <row r="5" spans="1:9" ht="15.9" customHeight="1">
      <c r="A5" s="498"/>
      <c r="B5" s="98"/>
      <c r="C5" s="68"/>
      <c r="D5" s="68"/>
      <c r="E5" s="68"/>
      <c r="F5" s="69"/>
      <c r="G5" s="69"/>
      <c r="H5" s="99">
        <f t="shared" ref="H5:H31" si="1">IF(F5=0,G5,G5*F5)</f>
        <v>0</v>
      </c>
      <c r="I5" s="70"/>
    </row>
    <row r="6" spans="1:9" ht="15.9" customHeight="1">
      <c r="A6" s="498"/>
      <c r="B6" s="98"/>
      <c r="C6" s="68"/>
      <c r="D6" s="68"/>
      <c r="E6" s="68"/>
      <c r="F6" s="69"/>
      <c r="G6" s="69"/>
      <c r="H6" s="99">
        <f t="shared" si="1"/>
        <v>0</v>
      </c>
      <c r="I6" s="70"/>
    </row>
    <row r="7" spans="1:9" ht="15.9" customHeight="1">
      <c r="A7" s="498"/>
      <c r="B7" s="98"/>
      <c r="C7" s="68"/>
      <c r="D7" s="68"/>
      <c r="E7" s="68"/>
      <c r="F7" s="69"/>
      <c r="G7" s="69"/>
      <c r="H7" s="99">
        <f t="shared" si="1"/>
        <v>0</v>
      </c>
      <c r="I7" s="70"/>
    </row>
    <row r="8" spans="1:9" ht="15.9" customHeight="1">
      <c r="A8" s="498"/>
      <c r="B8" s="98"/>
      <c r="C8" s="68"/>
      <c r="D8" s="68"/>
      <c r="E8" s="68"/>
      <c r="F8" s="69"/>
      <c r="G8" s="69"/>
      <c r="H8" s="99">
        <f t="shared" si="1"/>
        <v>0</v>
      </c>
      <c r="I8" s="70"/>
    </row>
    <row r="9" spans="1:9" ht="15.9" customHeight="1">
      <c r="A9" s="498"/>
      <c r="B9" s="98"/>
      <c r="C9" s="68"/>
      <c r="D9" s="68"/>
      <c r="E9" s="68"/>
      <c r="F9" s="69"/>
      <c r="G9" s="69"/>
      <c r="H9" s="99">
        <f t="shared" si="1"/>
        <v>0</v>
      </c>
      <c r="I9" s="70"/>
    </row>
    <row r="10" spans="1:9" ht="15.9" customHeight="1">
      <c r="A10" s="498"/>
      <c r="B10" s="98"/>
      <c r="C10" s="68"/>
      <c r="D10" s="68"/>
      <c r="E10" s="68"/>
      <c r="F10" s="69"/>
      <c r="G10" s="69"/>
      <c r="H10" s="99">
        <f t="shared" si="1"/>
        <v>0</v>
      </c>
      <c r="I10" s="70"/>
    </row>
    <row r="11" spans="1:9" ht="15.9" customHeight="1">
      <c r="A11" s="498"/>
      <c r="B11" s="98"/>
      <c r="C11" s="68"/>
      <c r="D11" s="68"/>
      <c r="E11" s="68"/>
      <c r="F11" s="69"/>
      <c r="G11" s="69"/>
      <c r="H11" s="99">
        <f t="shared" si="1"/>
        <v>0</v>
      </c>
      <c r="I11" s="70"/>
    </row>
    <row r="12" spans="1:9" ht="15.9" customHeight="1">
      <c r="A12" s="498"/>
      <c r="B12" s="98"/>
      <c r="C12" s="68"/>
      <c r="D12" s="68"/>
      <c r="E12" s="68"/>
      <c r="F12" s="69"/>
      <c r="G12" s="69"/>
      <c r="H12" s="99">
        <f t="shared" si="1"/>
        <v>0</v>
      </c>
      <c r="I12" s="70"/>
    </row>
    <row r="13" spans="1:9" ht="15.9" customHeight="1">
      <c r="A13" s="498"/>
      <c r="B13" s="98"/>
      <c r="C13" s="113"/>
      <c r="D13" s="274"/>
      <c r="E13" s="274"/>
      <c r="F13" s="264"/>
      <c r="G13" s="114"/>
      <c r="H13" s="236">
        <f t="shared" si="1"/>
        <v>0</v>
      </c>
      <c r="I13" s="237"/>
    </row>
    <row r="14" spans="1:9" ht="15.9" customHeight="1">
      <c r="A14" s="498"/>
      <c r="B14" s="72"/>
      <c r="C14" s="240"/>
      <c r="D14" s="240"/>
      <c r="E14" s="240"/>
      <c r="F14" s="241"/>
      <c r="G14" s="241"/>
      <c r="H14" s="242">
        <f>SUM(H3:H13)</f>
        <v>7620000</v>
      </c>
      <c r="I14" s="240"/>
    </row>
    <row r="15" spans="1:9" ht="15.9" customHeight="1">
      <c r="A15" s="498"/>
      <c r="B15" s="98" t="s">
        <v>153</v>
      </c>
      <c r="C15" s="116"/>
      <c r="D15" s="116"/>
      <c r="E15" s="272"/>
      <c r="F15" s="262"/>
      <c r="G15" s="117"/>
      <c r="H15" s="118">
        <f t="shared" si="1"/>
        <v>0</v>
      </c>
      <c r="I15" s="119"/>
    </row>
    <row r="16" spans="1:9" ht="15.9" customHeight="1">
      <c r="A16" s="498"/>
      <c r="B16" s="98" t="s">
        <v>154</v>
      </c>
      <c r="C16" s="68"/>
      <c r="D16" s="68"/>
      <c r="E16" s="68"/>
      <c r="F16" s="69"/>
      <c r="G16" s="69"/>
      <c r="H16" s="99">
        <f t="shared" si="1"/>
        <v>0</v>
      </c>
      <c r="I16" s="70"/>
    </row>
    <row r="17" spans="1:9" ht="15.9" customHeight="1">
      <c r="A17" s="498"/>
      <c r="B17" s="98"/>
      <c r="C17" s="68"/>
      <c r="D17" s="68"/>
      <c r="E17" s="68"/>
      <c r="F17" s="69"/>
      <c r="G17" s="69"/>
      <c r="H17" s="99">
        <f t="shared" si="1"/>
        <v>0</v>
      </c>
      <c r="I17" s="70"/>
    </row>
    <row r="18" spans="1:9" ht="15.9" customHeight="1">
      <c r="A18" s="498"/>
      <c r="B18" s="98"/>
      <c r="C18" s="68"/>
      <c r="D18" s="68"/>
      <c r="E18" s="68"/>
      <c r="F18" s="69"/>
      <c r="G18" s="69"/>
      <c r="H18" s="99">
        <f t="shared" si="1"/>
        <v>0</v>
      </c>
      <c r="I18" s="70"/>
    </row>
    <row r="19" spans="1:9" ht="15.9" customHeight="1">
      <c r="A19" s="498"/>
      <c r="B19" s="98"/>
      <c r="C19" s="113"/>
      <c r="D19" s="113"/>
      <c r="E19" s="113"/>
      <c r="F19" s="114"/>
      <c r="G19" s="114"/>
      <c r="H19" s="99">
        <f t="shared" si="1"/>
        <v>0</v>
      </c>
      <c r="I19" s="71"/>
    </row>
    <row r="20" spans="1:9" ht="15.9" customHeight="1">
      <c r="A20" s="498"/>
      <c r="B20" s="72"/>
      <c r="C20" s="101"/>
      <c r="D20" s="91"/>
      <c r="E20" s="91"/>
      <c r="F20" s="140"/>
      <c r="G20" s="40"/>
      <c r="H20" s="30">
        <f>SUM(H15:H19)</f>
        <v>0</v>
      </c>
      <c r="I20" s="74"/>
    </row>
    <row r="21" spans="1:9" ht="15.9" customHeight="1">
      <c r="A21" s="498"/>
      <c r="B21" s="102" t="s">
        <v>37</v>
      </c>
      <c r="C21" s="285" t="s">
        <v>251</v>
      </c>
      <c r="D21" s="285" t="s">
        <v>256</v>
      </c>
      <c r="E21" s="283" t="s">
        <v>236</v>
      </c>
      <c r="F21" s="341">
        <v>2</v>
      </c>
      <c r="G21" s="295">
        <v>3600000</v>
      </c>
      <c r="H21" s="99">
        <f t="shared" ref="H21:H22" si="2">IF(F21=0,G21,G21*F21)</f>
        <v>7200000</v>
      </c>
      <c r="I21" s="75" t="s">
        <v>257</v>
      </c>
    </row>
    <row r="22" spans="1:9" ht="15.9" customHeight="1">
      <c r="A22" s="498"/>
      <c r="B22" s="98" t="s">
        <v>44</v>
      </c>
      <c r="C22" s="285" t="s">
        <v>244</v>
      </c>
      <c r="D22" s="285" t="s">
        <v>255</v>
      </c>
      <c r="E22" s="283" t="s">
        <v>236</v>
      </c>
      <c r="F22" s="341">
        <v>2</v>
      </c>
      <c r="G22" s="295">
        <v>840000</v>
      </c>
      <c r="H22" s="99">
        <f t="shared" si="2"/>
        <v>1680000</v>
      </c>
      <c r="I22" s="70" t="s">
        <v>254</v>
      </c>
    </row>
    <row r="23" spans="1:9" ht="15.9" customHeight="1">
      <c r="A23" s="498"/>
      <c r="B23" s="98"/>
      <c r="C23" s="68"/>
      <c r="D23" s="68"/>
      <c r="E23" s="273"/>
      <c r="F23" s="263"/>
      <c r="G23" s="69"/>
      <c r="H23" s="99">
        <f t="shared" si="1"/>
        <v>0</v>
      </c>
      <c r="I23" s="294"/>
    </row>
    <row r="24" spans="1:9" ht="15.9" customHeight="1">
      <c r="A24" s="498"/>
      <c r="B24" s="98"/>
      <c r="C24" s="68"/>
      <c r="D24" s="285"/>
      <c r="E24" s="273"/>
      <c r="F24" s="284"/>
      <c r="G24" s="69"/>
      <c r="H24" s="99">
        <f t="shared" si="1"/>
        <v>0</v>
      </c>
      <c r="I24" s="294"/>
    </row>
    <row r="25" spans="1:9" ht="15.9" customHeight="1">
      <c r="A25" s="498"/>
      <c r="B25" s="98"/>
      <c r="C25" s="68"/>
      <c r="D25" s="285"/>
      <c r="E25" s="273"/>
      <c r="F25" s="284"/>
      <c r="G25" s="69"/>
      <c r="H25" s="99">
        <f t="shared" si="1"/>
        <v>0</v>
      </c>
      <c r="I25" s="294"/>
    </row>
    <row r="26" spans="1:9" ht="15.9" customHeight="1">
      <c r="A26" s="498"/>
      <c r="B26" s="98"/>
      <c r="C26" s="68"/>
      <c r="D26" s="285"/>
      <c r="E26" s="273"/>
      <c r="F26" s="284"/>
      <c r="G26" s="69"/>
      <c r="H26" s="99">
        <f t="shared" si="1"/>
        <v>0</v>
      </c>
      <c r="I26" s="294"/>
    </row>
    <row r="27" spans="1:9" ht="15.9" customHeight="1">
      <c r="A27" s="498"/>
      <c r="B27" s="98"/>
      <c r="C27" s="68"/>
      <c r="D27" s="285"/>
      <c r="E27" s="273"/>
      <c r="F27" s="284"/>
      <c r="G27" s="69"/>
      <c r="H27" s="99">
        <f t="shared" si="1"/>
        <v>0</v>
      </c>
      <c r="I27" s="294"/>
    </row>
    <row r="28" spans="1:9" ht="15.9" customHeight="1">
      <c r="A28" s="498"/>
      <c r="B28" s="98"/>
      <c r="C28" s="234"/>
      <c r="D28" s="234"/>
      <c r="E28" s="68"/>
      <c r="F28" s="235"/>
      <c r="G28" s="235"/>
      <c r="H28" s="99">
        <f t="shared" si="1"/>
        <v>0</v>
      </c>
      <c r="I28" s="294"/>
    </row>
    <row r="29" spans="1:9" ht="15.9" customHeight="1">
      <c r="A29" s="498"/>
      <c r="B29" s="98"/>
      <c r="C29" s="68"/>
      <c r="D29" s="68"/>
      <c r="E29" s="68"/>
      <c r="F29" s="69"/>
      <c r="G29" s="69"/>
      <c r="H29" s="99">
        <f t="shared" si="1"/>
        <v>0</v>
      </c>
      <c r="I29" s="70"/>
    </row>
    <row r="30" spans="1:9" ht="15.9" customHeight="1">
      <c r="A30" s="498"/>
      <c r="B30" s="98"/>
      <c r="C30" s="234"/>
      <c r="D30" s="234"/>
      <c r="E30" s="68"/>
      <c r="F30" s="235"/>
      <c r="G30" s="235"/>
      <c r="H30" s="99">
        <f t="shared" si="1"/>
        <v>0</v>
      </c>
      <c r="I30" s="70"/>
    </row>
    <row r="31" spans="1:9" ht="15.9" customHeight="1">
      <c r="A31" s="498"/>
      <c r="B31" s="98"/>
      <c r="C31" s="113"/>
      <c r="D31" s="113"/>
      <c r="E31" s="274"/>
      <c r="F31" s="264"/>
      <c r="G31" s="114"/>
      <c r="H31" s="104">
        <f t="shared" si="1"/>
        <v>0</v>
      </c>
      <c r="I31" s="71"/>
    </row>
    <row r="32" spans="1:9" ht="15.9" customHeight="1">
      <c r="A32" s="498"/>
      <c r="B32" s="72"/>
      <c r="C32" s="101"/>
      <c r="D32" s="91"/>
      <c r="E32" s="91"/>
      <c r="F32" s="40"/>
      <c r="G32" s="40"/>
      <c r="H32" s="30">
        <f>SUM(H21:H31)</f>
        <v>8880000</v>
      </c>
      <c r="I32" s="74"/>
    </row>
    <row r="33" spans="1:9" ht="15.9" customHeight="1">
      <c r="A33" s="498"/>
      <c r="B33" s="102" t="s">
        <v>38</v>
      </c>
      <c r="C33" s="285" t="s">
        <v>243</v>
      </c>
      <c r="D33" s="285" t="s">
        <v>357</v>
      </c>
      <c r="E33" s="283" t="s">
        <v>236</v>
      </c>
      <c r="F33" s="341">
        <v>2</v>
      </c>
      <c r="G33" s="295">
        <v>28440000</v>
      </c>
      <c r="H33" s="62">
        <f t="shared" ref="H33:H46" si="3">IF(F33=0,G33,G33*F33)</f>
        <v>56880000</v>
      </c>
      <c r="I33" s="75" t="s">
        <v>237</v>
      </c>
    </row>
    <row r="34" spans="1:9" ht="15.9" customHeight="1">
      <c r="A34" s="498"/>
      <c r="B34" s="98"/>
      <c r="C34" s="285" t="s">
        <v>247</v>
      </c>
      <c r="D34" s="285" t="s">
        <v>246</v>
      </c>
      <c r="E34" s="283" t="s">
        <v>236</v>
      </c>
      <c r="F34" s="341">
        <v>2</v>
      </c>
      <c r="G34" s="295">
        <v>2510000</v>
      </c>
      <c r="H34" s="99">
        <f t="shared" si="3"/>
        <v>5020000</v>
      </c>
      <c r="I34" s="70" t="s">
        <v>237</v>
      </c>
    </row>
    <row r="35" spans="1:9" ht="15.9" customHeight="1">
      <c r="A35" s="498"/>
      <c r="B35" s="98"/>
      <c r="C35" s="285" t="s">
        <v>248</v>
      </c>
      <c r="D35" s="285" t="s">
        <v>248</v>
      </c>
      <c r="E35" s="283" t="s">
        <v>236</v>
      </c>
      <c r="F35" s="341">
        <v>2</v>
      </c>
      <c r="G35" s="295">
        <v>920000</v>
      </c>
      <c r="H35" s="99">
        <f t="shared" si="3"/>
        <v>1840000</v>
      </c>
      <c r="I35" s="70" t="s">
        <v>237</v>
      </c>
    </row>
    <row r="36" spans="1:9" ht="15.9" customHeight="1">
      <c r="A36" s="498"/>
      <c r="B36" s="98"/>
      <c r="C36" s="68" t="s">
        <v>253</v>
      </c>
      <c r="D36" s="285" t="s">
        <v>253</v>
      </c>
      <c r="E36" s="283" t="s">
        <v>236</v>
      </c>
      <c r="F36" s="341">
        <v>2</v>
      </c>
      <c r="G36" s="69">
        <v>14220000</v>
      </c>
      <c r="H36" s="99">
        <f t="shared" si="3"/>
        <v>28440000</v>
      </c>
      <c r="I36" s="70" t="s">
        <v>237</v>
      </c>
    </row>
    <row r="37" spans="1:9" ht="15.9" customHeight="1">
      <c r="A37" s="498"/>
      <c r="B37" s="98"/>
      <c r="C37" s="68" t="s">
        <v>249</v>
      </c>
      <c r="D37" s="285" t="s">
        <v>249</v>
      </c>
      <c r="E37" s="283" t="s">
        <v>236</v>
      </c>
      <c r="F37" s="341">
        <v>4</v>
      </c>
      <c r="G37" s="69">
        <v>3600000</v>
      </c>
      <c r="H37" s="99">
        <f t="shared" si="3"/>
        <v>14400000</v>
      </c>
      <c r="I37" s="70" t="s">
        <v>237</v>
      </c>
    </row>
    <row r="38" spans="1:9" ht="15.9" customHeight="1">
      <c r="A38" s="498"/>
      <c r="B38" s="98"/>
      <c r="C38" s="68" t="s">
        <v>250</v>
      </c>
      <c r="D38" s="285" t="s">
        <v>250</v>
      </c>
      <c r="E38" s="283" t="s">
        <v>236</v>
      </c>
      <c r="F38" s="341">
        <v>2</v>
      </c>
      <c r="G38" s="69">
        <v>10290000</v>
      </c>
      <c r="H38" s="99">
        <f t="shared" si="3"/>
        <v>20580000</v>
      </c>
      <c r="I38" s="70" t="s">
        <v>237</v>
      </c>
    </row>
    <row r="39" spans="1:9" ht="15.9" customHeight="1">
      <c r="A39" s="498"/>
      <c r="B39" s="98"/>
      <c r="C39" s="285" t="s">
        <v>266</v>
      </c>
      <c r="D39" s="285" t="s">
        <v>267</v>
      </c>
      <c r="E39" s="283" t="s">
        <v>236</v>
      </c>
      <c r="F39" s="341">
        <v>2</v>
      </c>
      <c r="G39" s="295">
        <v>3350000</v>
      </c>
      <c r="H39" s="99">
        <f t="shared" si="3"/>
        <v>6700000</v>
      </c>
      <c r="I39" s="70" t="s">
        <v>237</v>
      </c>
    </row>
    <row r="40" spans="1:9" ht="15.9" customHeight="1">
      <c r="A40" s="498"/>
      <c r="B40" s="98"/>
      <c r="C40" s="68" t="s">
        <v>281</v>
      </c>
      <c r="D40" s="285" t="s">
        <v>276</v>
      </c>
      <c r="E40" s="283" t="s">
        <v>279</v>
      </c>
      <c r="F40" s="341">
        <v>2</v>
      </c>
      <c r="G40" s="69">
        <v>3090000</v>
      </c>
      <c r="H40" s="99">
        <f t="shared" si="3"/>
        <v>6180000</v>
      </c>
      <c r="I40" s="70" t="s">
        <v>237</v>
      </c>
    </row>
    <row r="41" spans="1:9" ht="15.9" customHeight="1">
      <c r="A41" s="498"/>
      <c r="B41" s="98"/>
      <c r="C41" s="68" t="s">
        <v>282</v>
      </c>
      <c r="D41" s="285" t="s">
        <v>277</v>
      </c>
      <c r="E41" s="283" t="s">
        <v>279</v>
      </c>
      <c r="F41" s="341">
        <v>1</v>
      </c>
      <c r="G41" s="69">
        <v>2670000</v>
      </c>
      <c r="H41" s="99">
        <f t="shared" si="3"/>
        <v>2670000</v>
      </c>
      <c r="I41" s="70" t="s">
        <v>237</v>
      </c>
    </row>
    <row r="42" spans="1:9" ht="15.9" customHeight="1">
      <c r="A42" s="498"/>
      <c r="B42" s="98"/>
      <c r="C42" s="68" t="s">
        <v>283</v>
      </c>
      <c r="D42" s="285" t="s">
        <v>277</v>
      </c>
      <c r="E42" s="283" t="s">
        <v>279</v>
      </c>
      <c r="F42" s="341">
        <v>4</v>
      </c>
      <c r="G42" s="69">
        <v>2670000</v>
      </c>
      <c r="H42" s="99">
        <f t="shared" si="3"/>
        <v>10680000</v>
      </c>
      <c r="I42" s="70" t="s">
        <v>237</v>
      </c>
    </row>
    <row r="43" spans="1:9" ht="15.9" customHeight="1">
      <c r="A43" s="498"/>
      <c r="B43" s="98"/>
      <c r="C43" s="285" t="s">
        <v>284</v>
      </c>
      <c r="D43" s="285" t="s">
        <v>277</v>
      </c>
      <c r="E43" s="283" t="s">
        <v>279</v>
      </c>
      <c r="F43" s="341">
        <v>2</v>
      </c>
      <c r="G43" s="295">
        <v>2670000</v>
      </c>
      <c r="H43" s="99">
        <f t="shared" si="3"/>
        <v>5340000</v>
      </c>
      <c r="I43" s="70" t="s">
        <v>237</v>
      </c>
    </row>
    <row r="44" spans="1:9" ht="15.9" customHeight="1">
      <c r="A44" s="498"/>
      <c r="B44" s="98"/>
      <c r="C44" s="68" t="s">
        <v>285</v>
      </c>
      <c r="D44" s="285" t="s">
        <v>277</v>
      </c>
      <c r="E44" s="283" t="s">
        <v>279</v>
      </c>
      <c r="F44" s="341">
        <v>2</v>
      </c>
      <c r="G44" s="69">
        <v>2670000</v>
      </c>
      <c r="H44" s="99">
        <f t="shared" si="3"/>
        <v>5340000</v>
      </c>
      <c r="I44" s="70" t="s">
        <v>237</v>
      </c>
    </row>
    <row r="45" spans="1:9" ht="15.9" customHeight="1">
      <c r="A45" s="498"/>
      <c r="B45" s="98"/>
      <c r="C45" s="68" t="s">
        <v>286</v>
      </c>
      <c r="D45" s="285" t="s">
        <v>287</v>
      </c>
      <c r="E45" s="283" t="s">
        <v>279</v>
      </c>
      <c r="F45" s="341">
        <v>2</v>
      </c>
      <c r="G45" s="69">
        <v>2510000</v>
      </c>
      <c r="H45" s="99">
        <f t="shared" si="3"/>
        <v>5020000</v>
      </c>
      <c r="I45" s="70" t="s">
        <v>237</v>
      </c>
    </row>
    <row r="46" spans="1:9" ht="15.9" customHeight="1">
      <c r="A46" s="498"/>
      <c r="B46" s="98"/>
      <c r="C46" s="359" t="s">
        <v>272</v>
      </c>
      <c r="D46" s="360" t="s">
        <v>288</v>
      </c>
      <c r="E46" s="362" t="s">
        <v>279</v>
      </c>
      <c r="F46" s="363">
        <v>2</v>
      </c>
      <c r="G46" s="361">
        <v>2510000</v>
      </c>
      <c r="H46" s="99">
        <f t="shared" si="3"/>
        <v>5020000</v>
      </c>
      <c r="I46" s="70" t="s">
        <v>237</v>
      </c>
    </row>
    <row r="47" spans="1:9" ht="15.9" customHeight="1">
      <c r="A47" s="498"/>
      <c r="B47" s="72"/>
      <c r="C47" s="101"/>
      <c r="D47" s="91"/>
      <c r="E47" s="91"/>
      <c r="F47" s="40"/>
      <c r="G47" s="40"/>
      <c r="H47" s="30">
        <f>SUM(H33:H46)</f>
        <v>174110000</v>
      </c>
      <c r="I47" s="74"/>
    </row>
    <row r="48" spans="1:9" ht="15.9" customHeight="1">
      <c r="A48" s="76"/>
      <c r="B48" s="96" t="s">
        <v>41</v>
      </c>
      <c r="C48" s="73"/>
      <c r="D48" s="74"/>
      <c r="E48" s="74"/>
      <c r="F48" s="56"/>
      <c r="G48" s="56"/>
      <c r="H48" s="30">
        <f>SUM(H47,H32,H20,H14)</f>
        <v>190610000</v>
      </c>
      <c r="I48" s="74"/>
    </row>
    <row r="49" spans="1:9" ht="15.9" customHeight="1">
      <c r="A49" s="499" t="s">
        <v>71</v>
      </c>
      <c r="B49" s="106" t="s">
        <v>69</v>
      </c>
      <c r="C49" s="133"/>
      <c r="D49" s="75"/>
      <c r="E49" s="106" t="s">
        <v>50</v>
      </c>
      <c r="F49" s="266">
        <v>8</v>
      </c>
      <c r="G49" s="112">
        <v>320000</v>
      </c>
      <c r="H49" s="103">
        <f>F49*G49</f>
        <v>2560000</v>
      </c>
      <c r="I49" s="75"/>
    </row>
    <row r="50" spans="1:9" ht="15.9" customHeight="1">
      <c r="A50" s="498"/>
      <c r="B50" s="106" t="s">
        <v>106</v>
      </c>
      <c r="C50" s="133"/>
      <c r="D50" s="75"/>
      <c r="E50" s="106" t="s">
        <v>49</v>
      </c>
      <c r="F50" s="350"/>
      <c r="G50" s="112"/>
      <c r="H50" s="103">
        <f t="shared" ref="H50:H56" si="4">F50*G50</f>
        <v>0</v>
      </c>
      <c r="I50" s="70"/>
    </row>
    <row r="51" spans="1:9" ht="15.9" customHeight="1">
      <c r="A51" s="498"/>
      <c r="B51" s="107" t="s">
        <v>107</v>
      </c>
      <c r="C51" s="134"/>
      <c r="D51" s="70"/>
      <c r="E51" s="107" t="s">
        <v>49</v>
      </c>
      <c r="F51" s="341"/>
      <c r="G51" s="69"/>
      <c r="H51" s="99">
        <f t="shared" si="4"/>
        <v>0</v>
      </c>
      <c r="I51" s="70"/>
    </row>
    <row r="52" spans="1:9" ht="15.9" customHeight="1">
      <c r="A52" s="498"/>
      <c r="B52" s="107" t="s">
        <v>108</v>
      </c>
      <c r="C52" s="134"/>
      <c r="D52" s="70"/>
      <c r="E52" s="107" t="s">
        <v>49</v>
      </c>
      <c r="F52" s="341">
        <v>34</v>
      </c>
      <c r="G52" s="69">
        <v>250000</v>
      </c>
      <c r="H52" s="99">
        <f t="shared" si="4"/>
        <v>8500000</v>
      </c>
      <c r="I52" s="70"/>
    </row>
    <row r="53" spans="1:9" ht="15.9" customHeight="1">
      <c r="A53" s="498"/>
      <c r="B53" s="107" t="s">
        <v>109</v>
      </c>
      <c r="C53" s="134"/>
      <c r="D53" s="70"/>
      <c r="E53" s="107" t="s">
        <v>49</v>
      </c>
      <c r="F53" s="341">
        <v>34</v>
      </c>
      <c r="G53" s="69">
        <v>320000</v>
      </c>
      <c r="H53" s="99">
        <f t="shared" si="4"/>
        <v>10880000</v>
      </c>
      <c r="I53" s="357"/>
    </row>
    <row r="54" spans="1:9" ht="15.9" customHeight="1">
      <c r="A54" s="498"/>
      <c r="B54" s="107" t="s">
        <v>110</v>
      </c>
      <c r="C54" s="134"/>
      <c r="D54" s="70"/>
      <c r="E54" s="107" t="s">
        <v>49</v>
      </c>
      <c r="F54" s="341">
        <v>53</v>
      </c>
      <c r="G54" s="69">
        <v>500000</v>
      </c>
      <c r="H54" s="99">
        <f t="shared" si="4"/>
        <v>26500000</v>
      </c>
      <c r="I54" s="70"/>
    </row>
    <row r="55" spans="1:9" ht="15.9" customHeight="1">
      <c r="A55" s="498"/>
      <c r="B55" s="107" t="s">
        <v>111</v>
      </c>
      <c r="C55" s="134"/>
      <c r="D55" s="70"/>
      <c r="E55" s="107" t="s">
        <v>49</v>
      </c>
      <c r="F55" s="341"/>
      <c r="G55" s="69"/>
      <c r="H55" s="99">
        <f t="shared" si="4"/>
        <v>0</v>
      </c>
      <c r="I55" s="357"/>
    </row>
    <row r="56" spans="1:9" ht="15.9" customHeight="1">
      <c r="A56" s="498"/>
      <c r="B56" s="108" t="s">
        <v>112</v>
      </c>
      <c r="C56" s="135"/>
      <c r="D56" s="71"/>
      <c r="E56" s="108" t="s">
        <v>50</v>
      </c>
      <c r="F56" s="343"/>
      <c r="G56" s="114"/>
      <c r="H56" s="104">
        <f t="shared" si="4"/>
        <v>0</v>
      </c>
      <c r="I56" s="71"/>
    </row>
    <row r="57" spans="1:9" ht="15.9" customHeight="1">
      <c r="A57" s="76"/>
      <c r="B57" s="95" t="s">
        <v>40</v>
      </c>
      <c r="C57" s="73"/>
      <c r="D57" s="74"/>
      <c r="E57" s="74"/>
      <c r="F57" s="40"/>
      <c r="G57" s="40"/>
      <c r="H57" s="40">
        <f>SUM(H49:H56)</f>
        <v>48440000</v>
      </c>
      <c r="I57" s="91"/>
    </row>
    <row r="58" spans="1:9" ht="15.9" customHeight="1">
      <c r="A58" s="52"/>
      <c r="B58" s="95" t="s">
        <v>164</v>
      </c>
      <c r="C58" s="73"/>
      <c r="D58" s="74"/>
      <c r="E58" s="74"/>
      <c r="F58" s="30"/>
      <c r="G58" s="30"/>
      <c r="H58" s="56">
        <f>'단위공사별(집계)'!L9+'단위공사별(집계)'!I9</f>
        <v>1834269.0983959192</v>
      </c>
      <c r="I58" s="74"/>
    </row>
    <row r="59" spans="1:9" ht="15.9" customHeight="1">
      <c r="A59" s="52"/>
      <c r="B59" s="95" t="s">
        <v>25</v>
      </c>
      <c r="C59" s="73"/>
      <c r="D59" s="74"/>
      <c r="E59" s="74"/>
      <c r="F59" s="30"/>
      <c r="G59" s="55"/>
      <c r="H59" s="115">
        <f>(H57+H48)*0.05</f>
        <v>11952500</v>
      </c>
      <c r="I59" s="73"/>
    </row>
    <row r="60" spans="1:9" ht="15.9" customHeight="1">
      <c r="A60" s="52"/>
      <c r="B60" s="95" t="s">
        <v>145</v>
      </c>
      <c r="C60" s="73"/>
      <c r="D60" s="74"/>
      <c r="E60" s="74"/>
      <c r="F60" s="30"/>
      <c r="G60" s="55"/>
      <c r="H60" s="115">
        <f>(H57+H48)*0.1</f>
        <v>23905000</v>
      </c>
      <c r="I60" s="73"/>
    </row>
    <row r="61" spans="1:9" ht="15.9" customHeight="1">
      <c r="A61" s="52"/>
      <c r="B61" s="95" t="s">
        <v>146</v>
      </c>
      <c r="C61" s="73"/>
      <c r="D61" s="74"/>
      <c r="E61" s="74"/>
      <c r="F61" s="30"/>
      <c r="G61" s="30"/>
      <c r="H61" s="40">
        <f>H48+H57+H58+H59+H60</f>
        <v>276741769.09839594</v>
      </c>
      <c r="I61" s="74"/>
    </row>
    <row r="62" spans="1:9">
      <c r="A62" s="29"/>
    </row>
  </sheetData>
  <mergeCells count="3">
    <mergeCell ref="A2:B2"/>
    <mergeCell ref="A49:A56"/>
    <mergeCell ref="A3:A4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2BD37-F4C8-41E4-8F80-37FCDE428A86}">
  <sheetPr codeName="Sheet10">
    <tabColor rgb="FF00B050"/>
    <pageSetUpPr fitToPage="1"/>
  </sheetPr>
  <dimension ref="A1:I53"/>
  <sheetViews>
    <sheetView zoomScale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G27" sqref="G27"/>
    </sheetView>
  </sheetViews>
  <sheetFormatPr defaultColWidth="9" defaultRowHeight="14.4"/>
  <cols>
    <col min="1" max="1" width="5" style="28" customWidth="1"/>
    <col min="2" max="2" width="17.8984375" style="28" bestFit="1" customWidth="1"/>
    <col min="3" max="3" width="23.59765625" style="28" customWidth="1"/>
    <col min="4" max="4" width="18.19921875" style="28" customWidth="1"/>
    <col min="5" max="5" width="5.19921875" style="28" bestFit="1" customWidth="1"/>
    <col min="6" max="6" width="9" style="31"/>
    <col min="7" max="7" width="11.8984375" style="31" customWidth="1"/>
    <col min="8" max="8" width="13.59765625" style="31" customWidth="1"/>
    <col min="9" max="9" width="12.69921875" style="28" customWidth="1"/>
    <col min="10" max="16384" width="9" style="28"/>
  </cols>
  <sheetData>
    <row r="1" spans="1:9" ht="22.5" customHeight="1">
      <c r="B1" s="97" t="s">
        <v>79</v>
      </c>
      <c r="C1" s="139" t="s">
        <v>292</v>
      </c>
      <c r="F1" s="65"/>
      <c r="I1" s="28" t="s">
        <v>81</v>
      </c>
    </row>
    <row r="2" spans="1:9" s="29" customFormat="1" ht="16.5" customHeight="1">
      <c r="A2" s="413" t="s">
        <v>30</v>
      </c>
      <c r="B2" s="493"/>
      <c r="C2" s="66" t="s">
        <v>43</v>
      </c>
      <c r="D2" s="32" t="s">
        <v>31</v>
      </c>
      <c r="E2" s="32" t="s">
        <v>32</v>
      </c>
      <c r="F2" s="100" t="s">
        <v>33</v>
      </c>
      <c r="G2" s="100" t="s">
        <v>34</v>
      </c>
      <c r="H2" s="100" t="s">
        <v>35</v>
      </c>
      <c r="I2" s="32" t="s">
        <v>45</v>
      </c>
    </row>
    <row r="3" spans="1:9" ht="15.9" customHeight="1">
      <c r="A3" s="496" t="s">
        <v>80</v>
      </c>
      <c r="B3" s="98" t="s">
        <v>36</v>
      </c>
      <c r="C3" s="68"/>
      <c r="D3" s="282"/>
      <c r="E3" s="273"/>
      <c r="F3" s="263"/>
      <c r="G3" s="69"/>
      <c r="H3" s="103">
        <f>IF(F3=0,G3,G3*F3)</f>
        <v>0</v>
      </c>
      <c r="I3" s="75"/>
    </row>
    <row r="4" spans="1:9" ht="15.9" customHeight="1">
      <c r="A4" s="498"/>
      <c r="B4" s="98"/>
      <c r="C4" s="68"/>
      <c r="D4" s="68"/>
      <c r="E4" s="68"/>
      <c r="F4" s="69"/>
      <c r="G4" s="69"/>
      <c r="H4" s="99">
        <f>IF(F4=0,G4,G4*F4)</f>
        <v>0</v>
      </c>
      <c r="I4" s="70"/>
    </row>
    <row r="5" spans="1:9" ht="15.9" customHeight="1">
      <c r="A5" s="498"/>
      <c r="B5" s="98"/>
      <c r="C5" s="68"/>
      <c r="D5" s="68"/>
      <c r="E5" s="68"/>
      <c r="F5" s="69"/>
      <c r="G5" s="69"/>
      <c r="H5" s="99">
        <f t="shared" ref="H5:H35" si="0">IF(F5=0,G5,G5*F5)</f>
        <v>0</v>
      </c>
      <c r="I5" s="70"/>
    </row>
    <row r="6" spans="1:9" ht="15.9" customHeight="1">
      <c r="A6" s="498"/>
      <c r="B6" s="98"/>
      <c r="C6" s="68"/>
      <c r="D6" s="68"/>
      <c r="E6" s="68"/>
      <c r="F6" s="69"/>
      <c r="G6" s="69"/>
      <c r="H6" s="99">
        <f t="shared" si="0"/>
        <v>0</v>
      </c>
      <c r="I6" s="70"/>
    </row>
    <row r="7" spans="1:9" ht="15.9" customHeight="1">
      <c r="A7" s="498"/>
      <c r="B7" s="98"/>
      <c r="C7" s="68"/>
      <c r="D7" s="68"/>
      <c r="E7" s="68"/>
      <c r="F7" s="69"/>
      <c r="G7" s="69"/>
      <c r="H7" s="99">
        <f t="shared" si="0"/>
        <v>0</v>
      </c>
      <c r="I7" s="70"/>
    </row>
    <row r="8" spans="1:9" ht="15.9" customHeight="1">
      <c r="A8" s="498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" customHeight="1">
      <c r="A9" s="498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" customHeight="1">
      <c r="A10" s="498"/>
      <c r="B10" s="98"/>
      <c r="C10" s="113"/>
      <c r="D10" s="274"/>
      <c r="E10" s="274"/>
      <c r="F10" s="264"/>
      <c r="G10" s="114"/>
      <c r="H10" s="236">
        <f t="shared" si="0"/>
        <v>0</v>
      </c>
      <c r="I10" s="237"/>
    </row>
    <row r="11" spans="1:9" ht="15.9" customHeight="1">
      <c r="A11" s="498"/>
      <c r="B11" s="72"/>
      <c r="C11" s="240"/>
      <c r="D11" s="240"/>
      <c r="E11" s="240"/>
      <c r="F11" s="241"/>
      <c r="G11" s="241"/>
      <c r="H11" s="242">
        <f>SUM(H3:H10)</f>
        <v>0</v>
      </c>
      <c r="I11" s="240"/>
    </row>
    <row r="12" spans="1:9" ht="15.9" customHeight="1">
      <c r="A12" s="498"/>
      <c r="B12" s="98" t="s">
        <v>153</v>
      </c>
      <c r="C12" s="116"/>
      <c r="D12" s="116"/>
      <c r="E12" s="116"/>
      <c r="F12" s="117"/>
      <c r="G12" s="117"/>
      <c r="H12" s="118">
        <f t="shared" si="0"/>
        <v>0</v>
      </c>
      <c r="I12" s="119"/>
    </row>
    <row r="13" spans="1:9" ht="15.9" customHeight="1">
      <c r="A13" s="498"/>
      <c r="B13" s="98" t="s">
        <v>154</v>
      </c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" customHeight="1">
      <c r="A14" s="498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" customHeight="1">
      <c r="A15" s="498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" customHeight="1">
      <c r="A16" s="498"/>
      <c r="B16" s="98"/>
      <c r="C16" s="113"/>
      <c r="D16" s="113"/>
      <c r="E16" s="113"/>
      <c r="F16" s="114"/>
      <c r="G16" s="114"/>
      <c r="H16" s="99">
        <f t="shared" si="0"/>
        <v>0</v>
      </c>
      <c r="I16" s="71"/>
    </row>
    <row r="17" spans="1:9" ht="15.9" customHeight="1">
      <c r="A17" s="498"/>
      <c r="B17" s="72"/>
      <c r="C17" s="101"/>
      <c r="D17" s="91"/>
      <c r="E17" s="91"/>
      <c r="F17" s="140"/>
      <c r="G17" s="40"/>
      <c r="H17" s="30">
        <f>SUM(H12:H16)</f>
        <v>0</v>
      </c>
      <c r="I17" s="74"/>
    </row>
    <row r="18" spans="1:9" ht="15.9" customHeight="1">
      <c r="A18" s="498"/>
      <c r="B18" s="102" t="s">
        <v>37</v>
      </c>
      <c r="C18" s="111"/>
      <c r="D18" s="111"/>
      <c r="E18" s="270"/>
      <c r="F18" s="112"/>
      <c r="G18" s="112"/>
      <c r="H18" s="103">
        <f t="shared" si="0"/>
        <v>0</v>
      </c>
      <c r="I18" s="75"/>
    </row>
    <row r="19" spans="1:9" ht="15.9" customHeight="1">
      <c r="A19" s="498"/>
      <c r="B19" s="98" t="s">
        <v>44</v>
      </c>
      <c r="C19" s="68"/>
      <c r="D19" s="68"/>
      <c r="E19" s="273"/>
      <c r="F19" s="69"/>
      <c r="G19" s="69"/>
      <c r="H19" s="99">
        <f t="shared" si="0"/>
        <v>0</v>
      </c>
      <c r="I19" s="70"/>
    </row>
    <row r="20" spans="1:9" ht="15.9" customHeight="1">
      <c r="A20" s="498"/>
      <c r="B20" s="98"/>
      <c r="C20" s="68"/>
      <c r="D20" s="68"/>
      <c r="E20" s="273"/>
      <c r="F20" s="69"/>
      <c r="G20" s="69"/>
      <c r="H20" s="99">
        <f t="shared" si="0"/>
        <v>0</v>
      </c>
      <c r="I20" s="70"/>
    </row>
    <row r="21" spans="1:9" ht="15.9" customHeight="1">
      <c r="A21" s="498"/>
      <c r="B21" s="98"/>
      <c r="C21" s="68"/>
      <c r="D21" s="68"/>
      <c r="E21" s="273"/>
      <c r="F21" s="69"/>
      <c r="G21" s="69"/>
      <c r="H21" s="99">
        <f t="shared" si="0"/>
        <v>0</v>
      </c>
      <c r="I21" s="70"/>
    </row>
    <row r="22" spans="1:9" ht="15.9" customHeight="1">
      <c r="A22" s="498"/>
      <c r="B22" s="98"/>
      <c r="C22" s="68"/>
      <c r="D22" s="68"/>
      <c r="E22" s="273"/>
      <c r="F22" s="69"/>
      <c r="G22" s="69"/>
      <c r="H22" s="99">
        <f t="shared" si="0"/>
        <v>0</v>
      </c>
      <c r="I22" s="70"/>
    </row>
    <row r="23" spans="1:9" ht="15.9" customHeight="1">
      <c r="A23" s="498"/>
      <c r="B23" s="98"/>
      <c r="C23" s="68"/>
      <c r="D23" s="68"/>
      <c r="E23" s="273"/>
      <c r="F23" s="69"/>
      <c r="G23" s="69"/>
      <c r="H23" s="99">
        <f t="shared" si="0"/>
        <v>0</v>
      </c>
      <c r="I23" s="70"/>
    </row>
    <row r="24" spans="1:9" ht="15.9" customHeight="1">
      <c r="A24" s="498"/>
      <c r="B24" s="98"/>
      <c r="C24" s="68"/>
      <c r="D24" s="68"/>
      <c r="E24" s="273"/>
      <c r="F24" s="69"/>
      <c r="G24" s="69"/>
      <c r="H24" s="99">
        <f t="shared" si="0"/>
        <v>0</v>
      </c>
      <c r="I24" s="70"/>
    </row>
    <row r="25" spans="1:9" ht="15.9" customHeight="1">
      <c r="A25" s="498"/>
      <c r="B25" s="98"/>
      <c r="C25" s="68"/>
      <c r="D25" s="68"/>
      <c r="E25" s="273"/>
      <c r="F25" s="69"/>
      <c r="G25" s="69"/>
      <c r="H25" s="99">
        <f t="shared" si="0"/>
        <v>0</v>
      </c>
      <c r="I25" s="70"/>
    </row>
    <row r="26" spans="1:9" ht="15.9" customHeight="1">
      <c r="A26" s="498"/>
      <c r="B26" s="98"/>
      <c r="C26" s="113"/>
      <c r="D26" s="113"/>
      <c r="E26" s="274"/>
      <c r="F26" s="264"/>
      <c r="G26" s="114"/>
      <c r="H26" s="104">
        <f t="shared" si="0"/>
        <v>0</v>
      </c>
      <c r="I26" s="71"/>
    </row>
    <row r="27" spans="1:9" ht="15.9" customHeight="1">
      <c r="A27" s="498"/>
      <c r="B27" s="72"/>
      <c r="C27" s="101"/>
      <c r="D27" s="91"/>
      <c r="E27" s="91"/>
      <c r="F27" s="40"/>
      <c r="G27" s="40"/>
      <c r="H27" s="30">
        <f>SUM(H18:H26)</f>
        <v>0</v>
      </c>
      <c r="I27" s="74"/>
    </row>
    <row r="28" spans="1:9" ht="15.9" customHeight="1">
      <c r="A28" s="498"/>
      <c r="B28" s="102" t="s">
        <v>38</v>
      </c>
      <c r="C28" s="68" t="s">
        <v>293</v>
      </c>
      <c r="D28" s="283" t="s">
        <v>294</v>
      </c>
      <c r="E28" s="283" t="s">
        <v>279</v>
      </c>
      <c r="F28" s="284">
        <v>1</v>
      </c>
      <c r="G28" s="69">
        <v>19110000</v>
      </c>
      <c r="H28" s="103">
        <f t="shared" si="0"/>
        <v>19110000</v>
      </c>
      <c r="I28" s="75" t="s">
        <v>237</v>
      </c>
    </row>
    <row r="29" spans="1:9" ht="15.9" customHeight="1">
      <c r="A29" s="498"/>
      <c r="B29" s="98"/>
      <c r="C29" s="68" t="s">
        <v>295</v>
      </c>
      <c r="D29" s="283" t="s">
        <v>296</v>
      </c>
      <c r="E29" s="283" t="s">
        <v>297</v>
      </c>
      <c r="F29" s="284">
        <v>8</v>
      </c>
      <c r="G29" s="69">
        <v>2310000</v>
      </c>
      <c r="H29" s="99">
        <f t="shared" si="0"/>
        <v>18480000</v>
      </c>
      <c r="I29" s="70" t="s">
        <v>237</v>
      </c>
    </row>
    <row r="30" spans="1:9" ht="15.9" customHeight="1">
      <c r="A30" s="498"/>
      <c r="B30" s="98"/>
      <c r="C30" s="68" t="s">
        <v>298</v>
      </c>
      <c r="D30" s="68" t="s">
        <v>299</v>
      </c>
      <c r="E30" s="68" t="s">
        <v>279</v>
      </c>
      <c r="F30" s="69">
        <v>2</v>
      </c>
      <c r="G30" s="69">
        <v>2650000</v>
      </c>
      <c r="H30" s="99">
        <f t="shared" si="0"/>
        <v>5300000</v>
      </c>
      <c r="I30" s="70" t="s">
        <v>237</v>
      </c>
    </row>
    <row r="31" spans="1:9" ht="15.9" customHeight="1">
      <c r="A31" s="498"/>
      <c r="B31" s="98"/>
      <c r="C31" s="68" t="s">
        <v>300</v>
      </c>
      <c r="D31" s="68" t="s">
        <v>262</v>
      </c>
      <c r="E31" s="68" t="s">
        <v>279</v>
      </c>
      <c r="F31" s="69">
        <v>1</v>
      </c>
      <c r="G31" s="69">
        <v>43490000</v>
      </c>
      <c r="H31" s="99">
        <f t="shared" si="0"/>
        <v>43490000</v>
      </c>
      <c r="I31" s="70" t="s">
        <v>237</v>
      </c>
    </row>
    <row r="32" spans="1:9" ht="15.9" customHeight="1">
      <c r="A32" s="498"/>
      <c r="B32" s="98"/>
      <c r="C32" s="68" t="s">
        <v>261</v>
      </c>
      <c r="D32" s="68" t="s">
        <v>262</v>
      </c>
      <c r="E32" s="68" t="s">
        <v>279</v>
      </c>
      <c r="F32" s="69">
        <v>1</v>
      </c>
      <c r="G32" s="69">
        <v>43490000</v>
      </c>
      <c r="H32" s="99">
        <f t="shared" si="0"/>
        <v>43490000</v>
      </c>
      <c r="I32" s="70" t="s">
        <v>237</v>
      </c>
    </row>
    <row r="33" spans="1:9" ht="15.9" customHeight="1">
      <c r="A33" s="498"/>
      <c r="B33" s="98"/>
      <c r="C33" s="68" t="s">
        <v>301</v>
      </c>
      <c r="D33" s="68" t="s">
        <v>301</v>
      </c>
      <c r="E33" s="68" t="s">
        <v>279</v>
      </c>
      <c r="F33" s="69">
        <v>2</v>
      </c>
      <c r="G33" s="69">
        <v>3350000</v>
      </c>
      <c r="H33" s="99">
        <f t="shared" si="0"/>
        <v>6700000</v>
      </c>
      <c r="I33" s="70" t="s">
        <v>237</v>
      </c>
    </row>
    <row r="34" spans="1:9" ht="15.9" customHeight="1">
      <c r="A34" s="498"/>
      <c r="B34" s="98"/>
      <c r="C34" s="68" t="s">
        <v>270</v>
      </c>
      <c r="D34" s="68" t="s">
        <v>270</v>
      </c>
      <c r="E34" s="68" t="s">
        <v>279</v>
      </c>
      <c r="F34" s="69">
        <v>2</v>
      </c>
      <c r="G34" s="69">
        <v>2510000</v>
      </c>
      <c r="H34" s="99">
        <f t="shared" si="0"/>
        <v>5020000</v>
      </c>
      <c r="I34" s="70" t="s">
        <v>280</v>
      </c>
    </row>
    <row r="35" spans="1:9" ht="15.9" customHeight="1">
      <c r="A35" s="498"/>
      <c r="B35" s="98"/>
      <c r="C35" s="68" t="s">
        <v>272</v>
      </c>
      <c r="D35" s="68" t="s">
        <v>272</v>
      </c>
      <c r="E35" s="68" t="s">
        <v>279</v>
      </c>
      <c r="F35" s="69">
        <v>2</v>
      </c>
      <c r="G35" s="69">
        <v>2510000</v>
      </c>
      <c r="H35" s="99">
        <f t="shared" si="0"/>
        <v>5020000</v>
      </c>
      <c r="I35" s="70" t="s">
        <v>280</v>
      </c>
    </row>
    <row r="36" spans="1:9" ht="15.9" customHeight="1">
      <c r="A36" s="498"/>
      <c r="B36" s="98"/>
      <c r="C36" s="234"/>
      <c r="D36" s="234"/>
      <c r="E36" s="234"/>
      <c r="F36" s="235"/>
      <c r="G36" s="235"/>
      <c r="H36" s="236"/>
      <c r="I36" s="237"/>
    </row>
    <row r="37" spans="1:9" ht="15.9" customHeight="1">
      <c r="A37" s="498"/>
      <c r="B37" s="98"/>
      <c r="C37" s="113"/>
      <c r="D37" s="113"/>
      <c r="E37" s="113"/>
      <c r="F37" s="114"/>
      <c r="G37" s="114"/>
      <c r="H37" s="104"/>
      <c r="I37" s="71"/>
    </row>
    <row r="38" spans="1:9" ht="15.9" customHeight="1">
      <c r="A38" s="498"/>
      <c r="B38" s="72"/>
      <c r="C38" s="101"/>
      <c r="D38" s="91"/>
      <c r="E38" s="91"/>
      <c r="F38" s="40"/>
      <c r="G38" s="40"/>
      <c r="H38" s="30">
        <f>SUM(H28:H37)</f>
        <v>146610000</v>
      </c>
      <c r="I38" s="74"/>
    </row>
    <row r="39" spans="1:9" ht="15.9" customHeight="1">
      <c r="A39" s="76"/>
      <c r="B39" s="96" t="s">
        <v>41</v>
      </c>
      <c r="C39" s="73"/>
      <c r="D39" s="74"/>
      <c r="E39" s="74"/>
      <c r="F39" s="56"/>
      <c r="G39" s="56"/>
      <c r="H39" s="30">
        <f>SUM(H38,H27,H17,H11)</f>
        <v>146610000</v>
      </c>
      <c r="I39" s="74"/>
    </row>
    <row r="40" spans="1:9" ht="15.9" customHeight="1">
      <c r="A40" s="499" t="s">
        <v>71</v>
      </c>
      <c r="B40" s="106" t="s">
        <v>69</v>
      </c>
      <c r="C40" s="133"/>
      <c r="D40" s="75"/>
      <c r="E40" s="106" t="s">
        <v>50</v>
      </c>
      <c r="F40" s="112"/>
      <c r="G40" s="112"/>
      <c r="H40" s="103">
        <f>F40*G40</f>
        <v>0</v>
      </c>
      <c r="I40" s="75"/>
    </row>
    <row r="41" spans="1:9" ht="15.9" customHeight="1">
      <c r="A41" s="498"/>
      <c r="B41" s="107" t="s">
        <v>106</v>
      </c>
      <c r="C41" s="134"/>
      <c r="D41" s="70"/>
      <c r="E41" s="107" t="s">
        <v>49</v>
      </c>
      <c r="F41" s="69"/>
      <c r="G41" s="69"/>
      <c r="H41" s="99">
        <f t="shared" ref="H41:H47" si="1">F41*G41</f>
        <v>0</v>
      </c>
      <c r="I41" s="70"/>
    </row>
    <row r="42" spans="1:9" ht="15.9" customHeight="1">
      <c r="A42" s="498"/>
      <c r="B42" s="158" t="s">
        <v>107</v>
      </c>
      <c r="C42" s="134"/>
      <c r="D42" s="70"/>
      <c r="E42" s="107" t="s">
        <v>49</v>
      </c>
      <c r="F42" s="281"/>
      <c r="G42" s="69"/>
      <c r="H42" s="99">
        <f t="shared" si="1"/>
        <v>0</v>
      </c>
      <c r="I42" s="70"/>
    </row>
    <row r="43" spans="1:9" ht="15.9" customHeight="1">
      <c r="A43" s="498"/>
      <c r="B43" s="107" t="s">
        <v>108</v>
      </c>
      <c r="C43" s="134"/>
      <c r="D43" s="70"/>
      <c r="E43" s="107" t="s">
        <v>49</v>
      </c>
      <c r="F43" s="69">
        <v>36</v>
      </c>
      <c r="G43" s="69">
        <v>250000</v>
      </c>
      <c r="H43" s="99">
        <f t="shared" si="1"/>
        <v>9000000</v>
      </c>
      <c r="I43" s="70"/>
    </row>
    <row r="44" spans="1:9" ht="15.9" customHeight="1">
      <c r="A44" s="498"/>
      <c r="B44" s="107" t="s">
        <v>109</v>
      </c>
      <c r="C44" s="134"/>
      <c r="D44" s="70"/>
      <c r="E44" s="107" t="s">
        <v>49</v>
      </c>
      <c r="F44" s="69">
        <v>37</v>
      </c>
      <c r="G44" s="69">
        <v>320000</v>
      </c>
      <c r="H44" s="99">
        <f t="shared" si="1"/>
        <v>11840000</v>
      </c>
      <c r="I44" s="70"/>
    </row>
    <row r="45" spans="1:9" ht="15.9" customHeight="1">
      <c r="A45" s="498"/>
      <c r="B45" s="107" t="s">
        <v>110</v>
      </c>
      <c r="C45" s="134"/>
      <c r="D45" s="70"/>
      <c r="E45" s="107" t="s">
        <v>49</v>
      </c>
      <c r="F45" s="69">
        <v>16</v>
      </c>
      <c r="G45" s="69">
        <v>320000</v>
      </c>
      <c r="H45" s="99">
        <f t="shared" si="1"/>
        <v>5120000</v>
      </c>
      <c r="I45" s="70"/>
    </row>
    <row r="46" spans="1:9" ht="15.9" customHeight="1">
      <c r="A46" s="498"/>
      <c r="B46" s="107" t="s">
        <v>111</v>
      </c>
      <c r="C46" s="134"/>
      <c r="D46" s="70"/>
      <c r="E46" s="107" t="s">
        <v>49</v>
      </c>
      <c r="F46" s="69">
        <v>15</v>
      </c>
      <c r="G46" s="69">
        <v>320000</v>
      </c>
      <c r="H46" s="99">
        <f t="shared" si="1"/>
        <v>4800000</v>
      </c>
      <c r="I46" s="357"/>
    </row>
    <row r="47" spans="1:9" ht="15.9" customHeight="1">
      <c r="A47" s="498"/>
      <c r="B47" s="108" t="s">
        <v>112</v>
      </c>
      <c r="C47" s="135"/>
      <c r="D47" s="71"/>
      <c r="E47" s="108" t="s">
        <v>49</v>
      </c>
      <c r="F47" s="114"/>
      <c r="G47" s="114"/>
      <c r="H47" s="104">
        <f t="shared" si="1"/>
        <v>0</v>
      </c>
      <c r="I47" s="71"/>
    </row>
    <row r="48" spans="1:9" ht="15.9" customHeight="1">
      <c r="A48" s="76"/>
      <c r="B48" s="95" t="s">
        <v>40</v>
      </c>
      <c r="C48" s="73"/>
      <c r="D48" s="74"/>
      <c r="E48" s="74"/>
      <c r="F48" s="40"/>
      <c r="G48" s="40"/>
      <c r="H48" s="40">
        <f>SUM(H40:H47)</f>
        <v>30760000</v>
      </c>
      <c r="I48" s="91"/>
    </row>
    <row r="49" spans="1:9" ht="15.9" customHeight="1">
      <c r="A49" s="52"/>
      <c r="B49" s="95" t="s">
        <v>164</v>
      </c>
      <c r="C49" s="73"/>
      <c r="D49" s="74"/>
      <c r="E49" s="74"/>
      <c r="F49" s="30"/>
      <c r="G49" s="30"/>
      <c r="H49" s="56">
        <f>'단위공사별(집계)'!I10+'단위공사별(집계)'!L10</f>
        <v>1360988.5378894967</v>
      </c>
      <c r="I49" s="74"/>
    </row>
    <row r="50" spans="1:9" ht="15.9" customHeight="1">
      <c r="A50" s="52"/>
      <c r="B50" s="95" t="s">
        <v>25</v>
      </c>
      <c r="C50" s="73"/>
      <c r="D50" s="74"/>
      <c r="E50" s="74"/>
      <c r="F50" s="30"/>
      <c r="G50" s="55"/>
      <c r="H50" s="115">
        <f>(H48+H39)*0.05</f>
        <v>8868500</v>
      </c>
      <c r="I50" s="73"/>
    </row>
    <row r="51" spans="1:9" ht="15.9" customHeight="1">
      <c r="A51" s="52"/>
      <c r="B51" s="95" t="s">
        <v>145</v>
      </c>
      <c r="C51" s="73"/>
      <c r="D51" s="74"/>
      <c r="E51" s="74"/>
      <c r="F51" s="30"/>
      <c r="G51" s="55"/>
      <c r="H51" s="115">
        <f>(H48+H39)*0.1</f>
        <v>17737000</v>
      </c>
      <c r="I51" s="73"/>
    </row>
    <row r="52" spans="1:9" ht="15.9" customHeight="1">
      <c r="A52" s="52"/>
      <c r="B52" s="95" t="s">
        <v>146</v>
      </c>
      <c r="C52" s="73"/>
      <c r="D52" s="74"/>
      <c r="E52" s="74"/>
      <c r="F52" s="30"/>
      <c r="G52" s="30"/>
      <c r="H52" s="40">
        <f>H39+H48+H49+H50+H51</f>
        <v>205336488.53788951</v>
      </c>
      <c r="I52" s="74"/>
    </row>
    <row r="53" spans="1:9">
      <c r="A53" s="29"/>
    </row>
  </sheetData>
  <mergeCells count="3">
    <mergeCell ref="A2:B2"/>
    <mergeCell ref="A40:A47"/>
    <mergeCell ref="A3:A38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56A6-CD9C-48CA-9853-E4418E038404}">
  <sheetPr codeName="Sheet9">
    <tabColor rgb="FF00B050"/>
    <pageSetUpPr fitToPage="1"/>
  </sheetPr>
  <dimension ref="A1:I52"/>
  <sheetViews>
    <sheetView tabSelected="1" zoomScale="85" zoomScaleNormal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G16" sqref="G16"/>
    </sheetView>
  </sheetViews>
  <sheetFormatPr defaultColWidth="9" defaultRowHeight="14.4"/>
  <cols>
    <col min="1" max="1" width="5" style="28" customWidth="1"/>
    <col min="2" max="2" width="17.8984375" style="28" bestFit="1" customWidth="1"/>
    <col min="3" max="3" width="30.19921875" style="28" customWidth="1"/>
    <col min="4" max="4" width="14" style="28" customWidth="1"/>
    <col min="5" max="5" width="5.19921875" style="28" bestFit="1" customWidth="1"/>
    <col min="6" max="6" width="6.09765625" style="31" customWidth="1"/>
    <col min="7" max="7" width="11.8984375" style="31" customWidth="1"/>
    <col min="8" max="8" width="13.59765625" style="31" customWidth="1"/>
    <col min="9" max="9" width="12.69921875" style="28" customWidth="1"/>
    <col min="10" max="16384" width="9" style="28"/>
  </cols>
  <sheetData>
    <row r="1" spans="1:9" ht="22.5" customHeight="1">
      <c r="B1" s="97" t="s">
        <v>79</v>
      </c>
      <c r="C1" s="139" t="s">
        <v>305</v>
      </c>
      <c r="F1" s="65"/>
      <c r="I1" s="28" t="s">
        <v>81</v>
      </c>
    </row>
    <row r="2" spans="1:9" s="29" customFormat="1" ht="16.5" customHeight="1">
      <c r="A2" s="413" t="s">
        <v>30</v>
      </c>
      <c r="B2" s="493"/>
      <c r="C2" s="66" t="s">
        <v>43</v>
      </c>
      <c r="D2" s="32" t="s">
        <v>31</v>
      </c>
      <c r="E2" s="32" t="s">
        <v>32</v>
      </c>
      <c r="F2" s="100" t="s">
        <v>33</v>
      </c>
      <c r="G2" s="100" t="s">
        <v>34</v>
      </c>
      <c r="H2" s="100" t="s">
        <v>35</v>
      </c>
      <c r="I2" s="32" t="s">
        <v>45</v>
      </c>
    </row>
    <row r="3" spans="1:9" ht="15.9" customHeight="1">
      <c r="A3" s="496" t="s">
        <v>80</v>
      </c>
      <c r="B3" s="98" t="s">
        <v>36</v>
      </c>
      <c r="C3" s="307"/>
      <c r="D3" s="301"/>
      <c r="E3" s="302"/>
      <c r="F3" s="303"/>
      <c r="G3" s="303"/>
      <c r="H3" s="103">
        <f>IF(F3=0,G3,G3*F3)</f>
        <v>0</v>
      </c>
      <c r="I3" s="75"/>
    </row>
    <row r="4" spans="1:9" ht="15.9" customHeight="1">
      <c r="A4" s="498"/>
      <c r="B4" s="98"/>
      <c r="C4" s="307"/>
      <c r="D4" s="301"/>
      <c r="E4" s="302"/>
      <c r="F4" s="303"/>
      <c r="G4" s="303"/>
      <c r="H4" s="99">
        <f>IF(F4=0,G4,G4*F4)</f>
        <v>0</v>
      </c>
      <c r="I4" s="70"/>
    </row>
    <row r="5" spans="1:9" ht="15.9" customHeight="1">
      <c r="A5" s="498"/>
      <c r="B5" s="98"/>
      <c r="C5" s="307"/>
      <c r="D5" s="301"/>
      <c r="E5" s="302"/>
      <c r="F5" s="303"/>
      <c r="G5" s="303"/>
      <c r="H5" s="99">
        <f t="shared" ref="H5:H36" si="0">IF(F5=0,G5,G5*F5)</f>
        <v>0</v>
      </c>
      <c r="I5" s="70"/>
    </row>
    <row r="6" spans="1:9" ht="15.9" customHeight="1">
      <c r="A6" s="498"/>
      <c r="B6" s="98"/>
      <c r="C6" s="307"/>
      <c r="D6" s="301"/>
      <c r="E6" s="302"/>
      <c r="F6" s="303"/>
      <c r="G6" s="303"/>
      <c r="H6" s="99">
        <f t="shared" si="0"/>
        <v>0</v>
      </c>
      <c r="I6" s="70"/>
    </row>
    <row r="7" spans="1:9" ht="15.9" customHeight="1">
      <c r="A7" s="498"/>
      <c r="B7" s="98"/>
      <c r="C7" s="285"/>
      <c r="D7" s="285"/>
      <c r="E7" s="285"/>
      <c r="F7" s="69"/>
      <c r="G7" s="69"/>
      <c r="H7" s="99">
        <f t="shared" si="0"/>
        <v>0</v>
      </c>
      <c r="I7" s="70"/>
    </row>
    <row r="8" spans="1:9" ht="15.9" customHeight="1">
      <c r="A8" s="498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" customHeight="1">
      <c r="A9" s="498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" customHeight="1">
      <c r="A10" s="498"/>
      <c r="B10" s="98"/>
      <c r="C10" s="113"/>
      <c r="D10" s="274"/>
      <c r="E10" s="274"/>
      <c r="F10" s="264"/>
      <c r="G10" s="114"/>
      <c r="H10" s="236">
        <f t="shared" si="0"/>
        <v>0</v>
      </c>
      <c r="I10" s="237"/>
    </row>
    <row r="11" spans="1:9" ht="15.9" customHeight="1">
      <c r="A11" s="498"/>
      <c r="B11" s="72"/>
      <c r="C11" s="240"/>
      <c r="D11" s="240"/>
      <c r="E11" s="240"/>
      <c r="F11" s="241"/>
      <c r="G11" s="241"/>
      <c r="H11" s="242">
        <f>SUM(H3:H10)</f>
        <v>0</v>
      </c>
      <c r="I11" s="240"/>
    </row>
    <row r="12" spans="1:9" ht="15.9" customHeight="1">
      <c r="A12" s="498"/>
      <c r="B12" s="98" t="s">
        <v>153</v>
      </c>
      <c r="C12" s="116"/>
      <c r="D12" s="116"/>
      <c r="E12" s="116"/>
      <c r="F12" s="117"/>
      <c r="G12" s="117"/>
      <c r="H12" s="118">
        <f t="shared" si="0"/>
        <v>0</v>
      </c>
      <c r="I12" s="119"/>
    </row>
    <row r="13" spans="1:9" ht="15.9" customHeight="1">
      <c r="A13" s="498"/>
      <c r="B13" s="98" t="s">
        <v>154</v>
      </c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" customHeight="1">
      <c r="A14" s="498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" customHeight="1">
      <c r="A15" s="498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" customHeight="1">
      <c r="A16" s="498"/>
      <c r="B16" s="98"/>
      <c r="C16" s="113"/>
      <c r="D16" s="113"/>
      <c r="E16" s="113"/>
      <c r="F16" s="114"/>
      <c r="G16" s="114"/>
      <c r="H16" s="99">
        <f t="shared" si="0"/>
        <v>0</v>
      </c>
      <c r="I16" s="71"/>
    </row>
    <row r="17" spans="1:9" ht="15.9" customHeight="1">
      <c r="A17" s="498"/>
      <c r="B17" s="72"/>
      <c r="C17" s="101"/>
      <c r="D17" s="91"/>
      <c r="E17" s="91"/>
      <c r="F17" s="140"/>
      <c r="G17" s="40"/>
      <c r="H17" s="30">
        <f>SUM(H12:H16)</f>
        <v>0</v>
      </c>
      <c r="I17" s="74"/>
    </row>
    <row r="18" spans="1:9" ht="15.9" customHeight="1">
      <c r="A18" s="498"/>
      <c r="B18" s="102" t="s">
        <v>37</v>
      </c>
      <c r="C18" s="300"/>
      <c r="D18" s="301"/>
      <c r="E18" s="302"/>
      <c r="F18" s="303"/>
      <c r="G18" s="303"/>
      <c r="H18" s="103">
        <f t="shared" si="0"/>
        <v>0</v>
      </c>
      <c r="I18" s="75"/>
    </row>
    <row r="19" spans="1:9" ht="15.9" customHeight="1">
      <c r="A19" s="498"/>
      <c r="B19" s="98" t="s">
        <v>44</v>
      </c>
      <c r="C19" s="68"/>
      <c r="D19" s="68"/>
      <c r="E19" s="273"/>
      <c r="F19" s="69"/>
      <c r="G19" s="69"/>
      <c r="H19" s="99">
        <f t="shared" si="0"/>
        <v>0</v>
      </c>
      <c r="I19" s="70"/>
    </row>
    <row r="20" spans="1:9" ht="15.9" customHeight="1">
      <c r="A20" s="498"/>
      <c r="B20" s="98"/>
      <c r="C20" s="68"/>
      <c r="D20" s="68"/>
      <c r="E20" s="273"/>
      <c r="F20" s="69"/>
      <c r="G20" s="69"/>
      <c r="H20" s="99">
        <f t="shared" si="0"/>
        <v>0</v>
      </c>
      <c r="I20" s="70"/>
    </row>
    <row r="21" spans="1:9" ht="15.9" customHeight="1">
      <c r="A21" s="498"/>
      <c r="B21" s="98"/>
      <c r="C21" s="68"/>
      <c r="D21" s="68"/>
      <c r="E21" s="273"/>
      <c r="F21" s="69"/>
      <c r="G21" s="69"/>
      <c r="H21" s="99">
        <f t="shared" si="0"/>
        <v>0</v>
      </c>
      <c r="I21" s="70"/>
    </row>
    <row r="22" spans="1:9" ht="15.9" customHeight="1">
      <c r="A22" s="498"/>
      <c r="B22" s="98"/>
      <c r="C22" s="68"/>
      <c r="D22" s="68"/>
      <c r="E22" s="273"/>
      <c r="F22" s="69"/>
      <c r="G22" s="69"/>
      <c r="H22" s="99">
        <f t="shared" si="0"/>
        <v>0</v>
      </c>
      <c r="I22" s="70"/>
    </row>
    <row r="23" spans="1:9" ht="15.9" customHeight="1">
      <c r="A23" s="498"/>
      <c r="B23" s="98"/>
      <c r="C23" s="68"/>
      <c r="D23" s="68"/>
      <c r="E23" s="273"/>
      <c r="F23" s="69"/>
      <c r="G23" s="69"/>
      <c r="H23" s="99">
        <f t="shared" si="0"/>
        <v>0</v>
      </c>
      <c r="I23" s="70"/>
    </row>
    <row r="24" spans="1:9" ht="15.9" customHeight="1">
      <c r="A24" s="498"/>
      <c r="B24" s="98"/>
      <c r="C24" s="113"/>
      <c r="D24" s="274"/>
      <c r="E24" s="274"/>
      <c r="F24" s="264"/>
      <c r="G24" s="114"/>
      <c r="H24" s="104">
        <f t="shared" si="0"/>
        <v>0</v>
      </c>
      <c r="I24" s="71"/>
    </row>
    <row r="25" spans="1:9" ht="15.9" customHeight="1">
      <c r="A25" s="498"/>
      <c r="B25" s="72"/>
      <c r="C25" s="101"/>
      <c r="D25" s="91"/>
      <c r="E25" s="91"/>
      <c r="F25" s="40"/>
      <c r="G25" s="40"/>
      <c r="H25" s="30">
        <f>SUM(H18:H24)</f>
        <v>0</v>
      </c>
      <c r="I25" s="74"/>
    </row>
    <row r="26" spans="1:9" ht="15.9" customHeight="1">
      <c r="A26" s="498"/>
      <c r="B26" s="102" t="s">
        <v>38</v>
      </c>
      <c r="C26" s="68" t="s">
        <v>307</v>
      </c>
      <c r="D26" s="283" t="s">
        <v>310</v>
      </c>
      <c r="E26" s="283" t="s">
        <v>236</v>
      </c>
      <c r="F26" s="284">
        <v>8</v>
      </c>
      <c r="G26" s="69">
        <v>840000</v>
      </c>
      <c r="H26" s="103">
        <f t="shared" si="0"/>
        <v>6720000</v>
      </c>
      <c r="I26" s="75" t="s">
        <v>237</v>
      </c>
    </row>
    <row r="27" spans="1:9" ht="15.9" customHeight="1">
      <c r="A27" s="498"/>
      <c r="B27" s="98"/>
      <c r="C27" s="68" t="s">
        <v>308</v>
      </c>
      <c r="D27" s="304" t="s">
        <v>311</v>
      </c>
      <c r="E27" s="283" t="s">
        <v>313</v>
      </c>
      <c r="F27" s="284">
        <v>1</v>
      </c>
      <c r="G27" s="69">
        <v>4030000</v>
      </c>
      <c r="H27" s="99">
        <f t="shared" si="0"/>
        <v>4030000</v>
      </c>
      <c r="I27" s="70" t="s">
        <v>237</v>
      </c>
    </row>
    <row r="28" spans="1:9" ht="15.9" customHeight="1">
      <c r="A28" s="498"/>
      <c r="B28" s="98"/>
      <c r="C28" s="68" t="s">
        <v>309</v>
      </c>
      <c r="D28" s="304" t="s">
        <v>314</v>
      </c>
      <c r="E28" s="283" t="s">
        <v>313</v>
      </c>
      <c r="F28" s="284">
        <v>1</v>
      </c>
      <c r="G28" s="69">
        <v>35700000</v>
      </c>
      <c r="H28" s="99">
        <f t="shared" si="0"/>
        <v>35700000</v>
      </c>
      <c r="I28" s="70" t="s">
        <v>237</v>
      </c>
    </row>
    <row r="29" spans="1:9" ht="15.9" customHeight="1">
      <c r="A29" s="498"/>
      <c r="B29" s="98"/>
      <c r="C29" s="68" t="s">
        <v>315</v>
      </c>
      <c r="D29" s="304" t="s">
        <v>316</v>
      </c>
      <c r="E29" s="283" t="s">
        <v>313</v>
      </c>
      <c r="F29" s="284">
        <v>1</v>
      </c>
      <c r="G29" s="69">
        <v>3440000</v>
      </c>
      <c r="H29" s="99">
        <f t="shared" si="0"/>
        <v>3440000</v>
      </c>
      <c r="I29" s="70" t="s">
        <v>237</v>
      </c>
    </row>
    <row r="30" spans="1:9" ht="15.9" customHeight="1">
      <c r="A30" s="498"/>
      <c r="B30" s="98"/>
      <c r="C30" s="68" t="s">
        <v>317</v>
      </c>
      <c r="D30" s="304" t="s">
        <v>318</v>
      </c>
      <c r="E30" s="283" t="s">
        <v>313</v>
      </c>
      <c r="F30" s="284">
        <v>23</v>
      </c>
      <c r="G30" s="69">
        <v>1090000</v>
      </c>
      <c r="H30" s="99">
        <f t="shared" si="0"/>
        <v>25070000</v>
      </c>
      <c r="I30" s="70" t="s">
        <v>237</v>
      </c>
    </row>
    <row r="31" spans="1:9" ht="15.9" customHeight="1">
      <c r="A31" s="498"/>
      <c r="B31" s="98"/>
      <c r="C31" s="68" t="s">
        <v>319</v>
      </c>
      <c r="D31" s="304"/>
      <c r="E31" s="283" t="s">
        <v>313</v>
      </c>
      <c r="F31" s="284">
        <v>2</v>
      </c>
      <c r="G31" s="69">
        <v>800000</v>
      </c>
      <c r="H31" s="99">
        <f t="shared" si="0"/>
        <v>1600000</v>
      </c>
      <c r="I31" s="70" t="s">
        <v>237</v>
      </c>
    </row>
    <row r="32" spans="1:9" ht="15.9" customHeight="1">
      <c r="A32" s="498"/>
      <c r="B32" s="98"/>
      <c r="C32" s="68" t="s">
        <v>321</v>
      </c>
      <c r="D32" s="283" t="s">
        <v>323</v>
      </c>
      <c r="E32" s="283" t="s">
        <v>313</v>
      </c>
      <c r="F32" s="284">
        <v>1</v>
      </c>
      <c r="G32" s="69">
        <v>26880000</v>
      </c>
      <c r="H32" s="99">
        <f t="shared" si="0"/>
        <v>26880000</v>
      </c>
      <c r="I32" s="70" t="s">
        <v>237</v>
      </c>
    </row>
    <row r="33" spans="1:9" ht="15.9" customHeight="1">
      <c r="A33" s="498"/>
      <c r="B33" s="98"/>
      <c r="C33" s="68" t="s">
        <v>325</v>
      </c>
      <c r="D33" s="68" t="s">
        <v>327</v>
      </c>
      <c r="E33" s="283" t="s">
        <v>313</v>
      </c>
      <c r="F33" s="263">
        <v>1</v>
      </c>
      <c r="G33" s="69">
        <v>21000000</v>
      </c>
      <c r="H33" s="99">
        <f t="shared" si="0"/>
        <v>21000000</v>
      </c>
      <c r="I33" s="70" t="s">
        <v>237</v>
      </c>
    </row>
    <row r="34" spans="1:9" ht="15.9" customHeight="1">
      <c r="A34" s="498"/>
      <c r="B34" s="98"/>
      <c r="C34" s="68" t="s">
        <v>329</v>
      </c>
      <c r="D34" s="68"/>
      <c r="E34" s="283" t="s">
        <v>313</v>
      </c>
      <c r="F34" s="263">
        <v>1</v>
      </c>
      <c r="G34" s="69">
        <v>1680000</v>
      </c>
      <c r="H34" s="99">
        <f t="shared" si="0"/>
        <v>1680000</v>
      </c>
      <c r="I34" s="70" t="s">
        <v>237</v>
      </c>
    </row>
    <row r="35" spans="1:9" ht="15.9" customHeight="1">
      <c r="A35" s="498"/>
      <c r="B35" s="98"/>
      <c r="C35" s="68"/>
      <c r="D35" s="68"/>
      <c r="E35" s="283" t="s">
        <v>313</v>
      </c>
      <c r="F35" s="69"/>
      <c r="G35" s="69"/>
      <c r="H35" s="99">
        <f t="shared" si="0"/>
        <v>0</v>
      </c>
      <c r="I35" s="70"/>
    </row>
    <row r="36" spans="1:9" ht="15.9" customHeight="1">
      <c r="A36" s="498"/>
      <c r="B36" s="98"/>
      <c r="C36" s="113"/>
      <c r="D36" s="113"/>
      <c r="E36" s="113"/>
      <c r="F36" s="114"/>
      <c r="G36" s="114"/>
      <c r="H36" s="104">
        <f t="shared" si="0"/>
        <v>0</v>
      </c>
      <c r="I36" s="71"/>
    </row>
    <row r="37" spans="1:9" ht="15.9" customHeight="1">
      <c r="A37" s="498"/>
      <c r="B37" s="72"/>
      <c r="C37" s="101"/>
      <c r="D37" s="91"/>
      <c r="E37" s="91"/>
      <c r="F37" s="40"/>
      <c r="G37" s="40"/>
      <c r="H37" s="30">
        <f>SUM(H26:H36)</f>
        <v>126120000</v>
      </c>
      <c r="I37" s="74"/>
    </row>
    <row r="38" spans="1:9" ht="15.9" customHeight="1">
      <c r="A38" s="76"/>
      <c r="B38" s="96" t="s">
        <v>41</v>
      </c>
      <c r="C38" s="73"/>
      <c r="D38" s="74"/>
      <c r="E38" s="74"/>
      <c r="F38" s="56"/>
      <c r="G38" s="56"/>
      <c r="H38" s="30">
        <f>SUM(H37,H25,H17,H11)</f>
        <v>126120000</v>
      </c>
      <c r="I38" s="74"/>
    </row>
    <row r="39" spans="1:9" ht="15.9" customHeight="1">
      <c r="A39" s="499" t="s">
        <v>71</v>
      </c>
      <c r="B39" s="106" t="s">
        <v>69</v>
      </c>
      <c r="C39" s="133"/>
      <c r="D39" s="75"/>
      <c r="E39" s="106" t="s">
        <v>50</v>
      </c>
      <c r="F39" s="112">
        <v>57</v>
      </c>
      <c r="G39" s="112">
        <v>320000</v>
      </c>
      <c r="H39" s="103">
        <f>F39*G39</f>
        <v>18240000</v>
      </c>
      <c r="I39" s="75"/>
    </row>
    <row r="40" spans="1:9" ht="15.9" customHeight="1">
      <c r="A40" s="498"/>
      <c r="B40" s="107" t="s">
        <v>106</v>
      </c>
      <c r="C40" s="134"/>
      <c r="D40" s="70"/>
      <c r="E40" s="107" t="s">
        <v>49</v>
      </c>
      <c r="F40" s="69"/>
      <c r="G40" s="69"/>
      <c r="H40" s="99">
        <f t="shared" ref="H40:H46" si="1">F40*G40</f>
        <v>0</v>
      </c>
      <c r="I40" s="70"/>
    </row>
    <row r="41" spans="1:9" ht="15.9" customHeight="1">
      <c r="A41" s="498"/>
      <c r="B41" s="158" t="s">
        <v>107</v>
      </c>
      <c r="C41" s="134"/>
      <c r="D41" s="70"/>
      <c r="E41" s="107" t="s">
        <v>49</v>
      </c>
      <c r="F41" s="69"/>
      <c r="G41" s="69"/>
      <c r="H41" s="99">
        <f t="shared" si="1"/>
        <v>0</v>
      </c>
      <c r="I41" s="70"/>
    </row>
    <row r="42" spans="1:9" ht="15.9" customHeight="1">
      <c r="A42" s="498"/>
      <c r="B42" s="107" t="s">
        <v>108</v>
      </c>
      <c r="C42" s="134"/>
      <c r="D42" s="70"/>
      <c r="E42" s="107" t="s">
        <v>49</v>
      </c>
      <c r="F42" s="69"/>
      <c r="G42" s="69"/>
      <c r="H42" s="99">
        <f t="shared" si="1"/>
        <v>0</v>
      </c>
      <c r="I42" s="70"/>
    </row>
    <row r="43" spans="1:9" ht="15.9" customHeight="1">
      <c r="A43" s="498"/>
      <c r="B43" s="107" t="s">
        <v>109</v>
      </c>
      <c r="C43" s="134"/>
      <c r="D43" s="70"/>
      <c r="E43" s="107" t="s">
        <v>49</v>
      </c>
      <c r="F43" s="69">
        <v>47</v>
      </c>
      <c r="G43" s="69">
        <v>320000</v>
      </c>
      <c r="H43" s="99">
        <f t="shared" si="1"/>
        <v>15040000</v>
      </c>
      <c r="I43" s="70"/>
    </row>
    <row r="44" spans="1:9" ht="15.9" customHeight="1">
      <c r="A44" s="498"/>
      <c r="B44" s="107" t="s">
        <v>110</v>
      </c>
      <c r="C44" s="134"/>
      <c r="D44" s="70"/>
      <c r="E44" s="107" t="s">
        <v>49</v>
      </c>
      <c r="F44" s="69">
        <v>47</v>
      </c>
      <c r="G44" s="69">
        <v>320000</v>
      </c>
      <c r="H44" s="99">
        <f t="shared" si="1"/>
        <v>15040000</v>
      </c>
      <c r="I44" s="70"/>
    </row>
    <row r="45" spans="1:9" ht="15.9" customHeight="1">
      <c r="A45" s="498"/>
      <c r="B45" s="107" t="s">
        <v>111</v>
      </c>
      <c r="C45" s="134"/>
      <c r="D45" s="70"/>
      <c r="E45" s="107" t="s">
        <v>49</v>
      </c>
      <c r="F45" s="69">
        <v>24</v>
      </c>
      <c r="G45" s="69">
        <v>320000</v>
      </c>
      <c r="H45" s="99">
        <f t="shared" si="1"/>
        <v>7680000</v>
      </c>
      <c r="I45" s="70"/>
    </row>
    <row r="46" spans="1:9" ht="15.9" customHeight="1">
      <c r="A46" s="498"/>
      <c r="B46" s="108" t="s">
        <v>175</v>
      </c>
      <c r="C46" s="135" t="s">
        <v>176</v>
      </c>
      <c r="D46" s="71"/>
      <c r="E46" s="108" t="s">
        <v>49</v>
      </c>
      <c r="F46" s="69"/>
      <c r="G46" s="114"/>
      <c r="H46" s="104">
        <f t="shared" si="1"/>
        <v>0</v>
      </c>
      <c r="I46" s="71"/>
    </row>
    <row r="47" spans="1:9" ht="15.9" customHeight="1">
      <c r="A47" s="76"/>
      <c r="B47" s="95" t="s">
        <v>40</v>
      </c>
      <c r="C47" s="73"/>
      <c r="D47" s="74"/>
      <c r="E47" s="74"/>
      <c r="F47" s="40"/>
      <c r="G47" s="40"/>
      <c r="H47" s="40">
        <f>SUM(H39:H46)</f>
        <v>56000000</v>
      </c>
      <c r="I47" s="91"/>
    </row>
    <row r="48" spans="1:9" ht="15.9" customHeight="1">
      <c r="A48" s="52"/>
      <c r="B48" s="95" t="s">
        <v>164</v>
      </c>
      <c r="C48" s="73"/>
      <c r="D48" s="74"/>
      <c r="E48" s="74"/>
      <c r="F48" s="30"/>
      <c r="G48" s="30"/>
      <c r="H48" s="56">
        <f>'단위공사별(집계)'!L11+'단위공사별(집계)'!I11</f>
        <v>1397436.0518714278</v>
      </c>
      <c r="I48" s="74"/>
    </row>
    <row r="49" spans="1:9" ht="15.9" customHeight="1">
      <c r="A49" s="52"/>
      <c r="B49" s="95" t="s">
        <v>25</v>
      </c>
      <c r="C49" s="73"/>
      <c r="D49" s="74"/>
      <c r="E49" s="74"/>
      <c r="F49" s="30"/>
      <c r="G49" s="55"/>
      <c r="H49" s="115">
        <f>(H47+H38)*0.05</f>
        <v>9106000</v>
      </c>
      <c r="I49" s="73"/>
    </row>
    <row r="50" spans="1:9" ht="15.9" customHeight="1">
      <c r="A50" s="52"/>
      <c r="B50" s="95" t="s">
        <v>145</v>
      </c>
      <c r="C50" s="73"/>
      <c r="D50" s="74"/>
      <c r="E50" s="74"/>
      <c r="F50" s="30"/>
      <c r="G50" s="55"/>
      <c r="H50" s="115">
        <f>(H47+H38)*0.1</f>
        <v>18212000</v>
      </c>
      <c r="I50" s="73"/>
    </row>
    <row r="51" spans="1:9" ht="15.9" customHeight="1">
      <c r="A51" s="52"/>
      <c r="B51" s="95" t="s">
        <v>146</v>
      </c>
      <c r="C51" s="73"/>
      <c r="D51" s="74"/>
      <c r="E51" s="74"/>
      <c r="F51" s="30"/>
      <c r="G51" s="30"/>
      <c r="H51" s="40">
        <f>H38+H47+H48+H49+H50</f>
        <v>210835436.05187142</v>
      </c>
      <c r="I51" s="74"/>
    </row>
    <row r="52" spans="1:9">
      <c r="A52" s="29"/>
    </row>
  </sheetData>
  <mergeCells count="3">
    <mergeCell ref="A2:B2"/>
    <mergeCell ref="A39:A46"/>
    <mergeCell ref="A3:A3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7ADBC-5933-46F7-89F9-01DB0FC13C48}">
  <sheetPr codeName="Sheet11">
    <tabColor rgb="FF00B050"/>
    <pageSetUpPr fitToPage="1"/>
  </sheetPr>
  <dimension ref="A1:I64"/>
  <sheetViews>
    <sheetView zoomScale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J36" sqref="J36"/>
    </sheetView>
  </sheetViews>
  <sheetFormatPr defaultColWidth="9" defaultRowHeight="14.4"/>
  <cols>
    <col min="1" max="1" width="5" style="28" customWidth="1"/>
    <col min="2" max="2" width="17.8984375" style="28" bestFit="1" customWidth="1"/>
    <col min="3" max="3" width="23.59765625" style="28" customWidth="1"/>
    <col min="4" max="4" width="18.19921875" style="28" customWidth="1"/>
    <col min="5" max="5" width="5.19921875" style="28" bestFit="1" customWidth="1"/>
    <col min="6" max="6" width="5.796875" style="31" customWidth="1"/>
    <col min="7" max="7" width="11.8984375" style="31" customWidth="1"/>
    <col min="8" max="8" width="13.59765625" style="31" customWidth="1"/>
    <col min="9" max="9" width="12.69921875" style="28" customWidth="1"/>
    <col min="10" max="10" width="9" style="28"/>
    <col min="11" max="11" width="12.3984375" style="28" bestFit="1" customWidth="1"/>
    <col min="12" max="16384" width="9" style="28"/>
  </cols>
  <sheetData>
    <row r="1" spans="1:9" ht="22.5" customHeight="1">
      <c r="B1" s="97" t="s">
        <v>79</v>
      </c>
      <c r="C1" s="139" t="s">
        <v>306</v>
      </c>
      <c r="F1" s="65"/>
      <c r="I1" s="28" t="s">
        <v>81</v>
      </c>
    </row>
    <row r="2" spans="1:9" s="29" customFormat="1" ht="16.5" customHeight="1">
      <c r="A2" s="413" t="s">
        <v>30</v>
      </c>
      <c r="B2" s="493"/>
      <c r="C2" s="66" t="s">
        <v>43</v>
      </c>
      <c r="D2" s="32" t="s">
        <v>31</v>
      </c>
      <c r="E2" s="32" t="s">
        <v>32</v>
      </c>
      <c r="F2" s="100" t="s">
        <v>33</v>
      </c>
      <c r="G2" s="100" t="s">
        <v>34</v>
      </c>
      <c r="H2" s="100" t="s">
        <v>35</v>
      </c>
      <c r="I2" s="32" t="s">
        <v>45</v>
      </c>
    </row>
    <row r="3" spans="1:9" ht="15.9" customHeight="1">
      <c r="A3" s="496" t="s">
        <v>80</v>
      </c>
      <c r="B3" s="98" t="s">
        <v>36</v>
      </c>
      <c r="C3" s="111"/>
      <c r="D3" s="111"/>
      <c r="E3" s="270"/>
      <c r="F3" s="112"/>
      <c r="G3" s="112"/>
      <c r="H3" s="103">
        <f>IF(F3=0,G3,G3*F3)</f>
        <v>0</v>
      </c>
      <c r="I3" s="75"/>
    </row>
    <row r="4" spans="1:9" ht="15.9" customHeight="1">
      <c r="A4" s="498"/>
      <c r="B4" s="98"/>
      <c r="C4" s="300"/>
      <c r="D4" s="306"/>
      <c r="E4" s="302"/>
      <c r="F4" s="303"/>
      <c r="G4" s="303"/>
      <c r="H4" s="99">
        <f>IF(F4=0,G4,G4*F4)</f>
        <v>0</v>
      </c>
      <c r="I4" s="70"/>
    </row>
    <row r="5" spans="1:9" ht="15.9" customHeight="1">
      <c r="A5" s="498"/>
      <c r="B5" s="98"/>
      <c r="C5" s="68"/>
      <c r="D5" s="68"/>
      <c r="E5" s="273"/>
      <c r="F5" s="69"/>
      <c r="G5" s="69"/>
      <c r="H5" s="99">
        <f t="shared" ref="H5:H48" si="0">IF(F5=0,G5,G5*F5)</f>
        <v>0</v>
      </c>
      <c r="I5" s="70"/>
    </row>
    <row r="6" spans="1:9" ht="15.9" customHeight="1">
      <c r="A6" s="498"/>
      <c r="B6" s="98"/>
      <c r="C6" s="68"/>
      <c r="D6" s="68"/>
      <c r="E6" s="273"/>
      <c r="F6" s="69"/>
      <c r="G6" s="69"/>
      <c r="H6" s="99">
        <f t="shared" si="0"/>
        <v>0</v>
      </c>
      <c r="I6" s="70"/>
    </row>
    <row r="7" spans="1:9" ht="15.9" customHeight="1">
      <c r="A7" s="498"/>
      <c r="B7" s="98"/>
      <c r="C7" s="68"/>
      <c r="D7" s="68"/>
      <c r="E7" s="273"/>
      <c r="F7" s="69"/>
      <c r="G7" s="69"/>
      <c r="H7" s="99">
        <f t="shared" si="0"/>
        <v>0</v>
      </c>
      <c r="I7" s="70"/>
    </row>
    <row r="8" spans="1:9" ht="15.9" customHeight="1">
      <c r="A8" s="498"/>
      <c r="B8" s="98"/>
      <c r="C8" s="68"/>
      <c r="D8" s="68"/>
      <c r="E8" s="273"/>
      <c r="F8" s="69"/>
      <c r="G8" s="69"/>
      <c r="H8" s="99">
        <f t="shared" si="0"/>
        <v>0</v>
      </c>
      <c r="I8" s="70"/>
    </row>
    <row r="9" spans="1:9" ht="15.9" customHeight="1">
      <c r="A9" s="498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" customHeight="1">
      <c r="A10" s="498"/>
      <c r="B10" s="98"/>
      <c r="C10" s="68"/>
      <c r="D10" s="68"/>
      <c r="E10" s="68"/>
      <c r="F10" s="69"/>
      <c r="G10" s="69"/>
      <c r="H10" s="99">
        <f t="shared" si="0"/>
        <v>0</v>
      </c>
      <c r="I10" s="70"/>
    </row>
    <row r="11" spans="1:9" ht="15.9" customHeight="1">
      <c r="A11" s="498"/>
      <c r="B11" s="98"/>
      <c r="C11" s="113" t="s">
        <v>46</v>
      </c>
      <c r="D11" s="234"/>
      <c r="E11" s="234"/>
      <c r="F11" s="235"/>
      <c r="G11" s="235"/>
      <c r="H11" s="236">
        <f t="shared" si="0"/>
        <v>0</v>
      </c>
      <c r="I11" s="237"/>
    </row>
    <row r="12" spans="1:9" ht="15.9" customHeight="1">
      <c r="A12" s="498"/>
      <c r="B12" s="72"/>
      <c r="C12" s="240"/>
      <c r="D12" s="240"/>
      <c r="E12" s="240"/>
      <c r="F12" s="241"/>
      <c r="G12" s="241"/>
      <c r="H12" s="242">
        <f>SUM(H3:H11)</f>
        <v>0</v>
      </c>
      <c r="I12" s="240"/>
    </row>
    <row r="13" spans="1:9" ht="15.9" customHeight="1">
      <c r="A13" s="498"/>
      <c r="B13" s="98" t="s">
        <v>153</v>
      </c>
      <c r="C13" s="116"/>
      <c r="D13" s="116"/>
      <c r="E13" s="116"/>
      <c r="F13" s="117"/>
      <c r="G13" s="117"/>
      <c r="H13" s="118">
        <f t="shared" si="0"/>
        <v>0</v>
      </c>
      <c r="I13" s="119"/>
    </row>
    <row r="14" spans="1:9" ht="15.9" customHeight="1">
      <c r="A14" s="498"/>
      <c r="B14" s="98" t="s">
        <v>154</v>
      </c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" customHeight="1">
      <c r="A15" s="498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" customHeight="1">
      <c r="A16" s="498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" customHeight="1">
      <c r="A17" s="498"/>
      <c r="B17" s="98"/>
      <c r="C17" s="113" t="s">
        <v>46</v>
      </c>
      <c r="D17" s="113"/>
      <c r="E17" s="113"/>
      <c r="F17" s="114"/>
      <c r="G17" s="114"/>
      <c r="H17" s="99">
        <f t="shared" si="0"/>
        <v>0</v>
      </c>
      <c r="I17" s="71"/>
    </row>
    <row r="18" spans="1:9" ht="15.9" customHeight="1">
      <c r="A18" s="498"/>
      <c r="B18" s="72"/>
      <c r="C18" s="101"/>
      <c r="D18" s="91"/>
      <c r="E18" s="91"/>
      <c r="F18" s="140"/>
      <c r="G18" s="40"/>
      <c r="H18" s="30">
        <f>SUM(H13:H17)</f>
        <v>0</v>
      </c>
      <c r="I18" s="74"/>
    </row>
    <row r="19" spans="1:9" ht="15.9" customHeight="1">
      <c r="A19" s="498"/>
      <c r="B19" s="102" t="s">
        <v>37</v>
      </c>
      <c r="C19" s="111"/>
      <c r="D19" s="111"/>
      <c r="E19" s="270"/>
      <c r="F19" s="112"/>
      <c r="G19" s="112"/>
      <c r="H19" s="103">
        <f t="shared" si="0"/>
        <v>0</v>
      </c>
      <c r="I19" s="75"/>
    </row>
    <row r="20" spans="1:9" ht="15.9" customHeight="1">
      <c r="A20" s="498"/>
      <c r="B20" s="98" t="s">
        <v>44</v>
      </c>
      <c r="C20" s="68"/>
      <c r="D20" s="68"/>
      <c r="E20" s="273"/>
      <c r="F20" s="69"/>
      <c r="G20" s="69"/>
      <c r="H20" s="99">
        <f t="shared" si="0"/>
        <v>0</v>
      </c>
      <c r="I20" s="70"/>
    </row>
    <row r="21" spans="1:9" ht="15.9" customHeight="1">
      <c r="A21" s="498"/>
      <c r="B21" s="98"/>
      <c r="C21" s="68"/>
      <c r="D21" s="68"/>
      <c r="E21" s="273"/>
      <c r="F21" s="69"/>
      <c r="G21" s="69"/>
      <c r="H21" s="99">
        <f t="shared" si="0"/>
        <v>0</v>
      </c>
      <c r="I21" s="70"/>
    </row>
    <row r="22" spans="1:9" ht="15.9" customHeight="1">
      <c r="A22" s="498"/>
      <c r="B22" s="98"/>
      <c r="C22" s="68"/>
      <c r="D22" s="68"/>
      <c r="E22" s="273"/>
      <c r="F22" s="69"/>
      <c r="G22" s="69"/>
      <c r="H22" s="99">
        <f t="shared" si="0"/>
        <v>0</v>
      </c>
      <c r="I22" s="70"/>
    </row>
    <row r="23" spans="1:9" ht="15.9" customHeight="1">
      <c r="A23" s="498"/>
      <c r="B23" s="98"/>
      <c r="C23" s="68"/>
      <c r="D23" s="68"/>
      <c r="E23" s="273"/>
      <c r="F23" s="69"/>
      <c r="G23" s="69"/>
      <c r="H23" s="99">
        <f t="shared" si="0"/>
        <v>0</v>
      </c>
      <c r="I23" s="70"/>
    </row>
    <row r="24" spans="1:9" ht="15.9" customHeight="1">
      <c r="A24" s="498"/>
      <c r="B24" s="98"/>
      <c r="C24" s="113" t="s">
        <v>46</v>
      </c>
      <c r="D24" s="274"/>
      <c r="E24" s="274" t="s">
        <v>171</v>
      </c>
      <c r="F24" s="264"/>
      <c r="G24" s="114"/>
      <c r="H24" s="104">
        <f t="shared" si="0"/>
        <v>0</v>
      </c>
      <c r="I24" s="71"/>
    </row>
    <row r="25" spans="1:9" ht="15.9" customHeight="1">
      <c r="A25" s="498"/>
      <c r="B25" s="72"/>
      <c r="C25" s="101"/>
      <c r="D25" s="91"/>
      <c r="E25" s="91"/>
      <c r="F25" s="40"/>
      <c r="G25" s="40"/>
      <c r="H25" s="30">
        <f>SUM(H19:H24)</f>
        <v>0</v>
      </c>
      <c r="I25" s="74"/>
    </row>
    <row r="26" spans="1:9" ht="15.9" customHeight="1">
      <c r="A26" s="498"/>
      <c r="B26" s="102" t="s">
        <v>38</v>
      </c>
      <c r="C26" s="68" t="s">
        <v>335</v>
      </c>
      <c r="D26" s="283" t="s">
        <v>332</v>
      </c>
      <c r="E26" s="283" t="s">
        <v>279</v>
      </c>
      <c r="F26" s="284">
        <v>1</v>
      </c>
      <c r="G26" s="69">
        <v>37800000</v>
      </c>
      <c r="H26" s="103">
        <f t="shared" si="0"/>
        <v>37800000</v>
      </c>
      <c r="I26" s="75" t="s">
        <v>237</v>
      </c>
    </row>
    <row r="27" spans="1:9" ht="15.9" customHeight="1">
      <c r="A27" s="498"/>
      <c r="B27" s="98"/>
      <c r="C27" s="68" t="s">
        <v>334</v>
      </c>
      <c r="D27" s="283" t="s">
        <v>333</v>
      </c>
      <c r="E27" s="283" t="s">
        <v>236</v>
      </c>
      <c r="F27" s="284">
        <v>1</v>
      </c>
      <c r="G27" s="69">
        <v>35280000</v>
      </c>
      <c r="H27" s="118">
        <f>G27*F27</f>
        <v>35280000</v>
      </c>
      <c r="I27" s="119" t="s">
        <v>237</v>
      </c>
    </row>
    <row r="28" spans="1:9" ht="15.9" customHeight="1">
      <c r="A28" s="498"/>
      <c r="B28" s="98"/>
      <c r="C28" s="68" t="s">
        <v>331</v>
      </c>
      <c r="D28" s="283" t="s">
        <v>330</v>
      </c>
      <c r="E28" s="283" t="s">
        <v>236</v>
      </c>
      <c r="F28" s="284">
        <v>1</v>
      </c>
      <c r="G28" s="69">
        <v>4030000</v>
      </c>
      <c r="H28" s="118">
        <f t="shared" ref="H28:H40" si="1">G28*F28</f>
        <v>4030000</v>
      </c>
      <c r="I28" s="119" t="s">
        <v>237</v>
      </c>
    </row>
    <row r="29" spans="1:9" ht="15.9" customHeight="1">
      <c r="A29" s="498"/>
      <c r="B29" s="98"/>
      <c r="C29" s="68" t="s">
        <v>336</v>
      </c>
      <c r="D29" s="283" t="s">
        <v>337</v>
      </c>
      <c r="E29" s="283" t="s">
        <v>236</v>
      </c>
      <c r="F29" s="284">
        <v>1</v>
      </c>
      <c r="G29" s="69">
        <v>3780000</v>
      </c>
      <c r="H29" s="118">
        <f t="shared" si="1"/>
        <v>3780000</v>
      </c>
      <c r="I29" s="119" t="s">
        <v>237</v>
      </c>
    </row>
    <row r="30" spans="1:9" ht="15.9" customHeight="1">
      <c r="A30" s="498"/>
      <c r="B30" s="98"/>
      <c r="C30" s="68" t="s">
        <v>338</v>
      </c>
      <c r="D30" s="283" t="s">
        <v>311</v>
      </c>
      <c r="E30" s="283" t="s">
        <v>236</v>
      </c>
      <c r="F30" s="284">
        <v>2</v>
      </c>
      <c r="G30" s="69">
        <v>3440000</v>
      </c>
      <c r="H30" s="118">
        <f t="shared" si="1"/>
        <v>6880000</v>
      </c>
      <c r="I30" s="119" t="s">
        <v>237</v>
      </c>
    </row>
    <row r="31" spans="1:9" ht="15.9" customHeight="1">
      <c r="A31" s="498"/>
      <c r="B31" s="98"/>
      <c r="C31" s="68" t="s">
        <v>339</v>
      </c>
      <c r="D31" s="283"/>
      <c r="E31" s="283" t="s">
        <v>236</v>
      </c>
      <c r="F31" s="284">
        <v>8</v>
      </c>
      <c r="G31" s="69">
        <v>3020000</v>
      </c>
      <c r="H31" s="118">
        <f t="shared" si="1"/>
        <v>24160000</v>
      </c>
      <c r="I31" s="119" t="s">
        <v>237</v>
      </c>
    </row>
    <row r="32" spans="1:9" ht="15.9" customHeight="1">
      <c r="A32" s="498"/>
      <c r="B32" s="98"/>
      <c r="C32" s="68" t="s">
        <v>340</v>
      </c>
      <c r="D32" s="283" t="s">
        <v>341</v>
      </c>
      <c r="E32" s="283" t="s">
        <v>236</v>
      </c>
      <c r="F32" s="284">
        <v>1</v>
      </c>
      <c r="G32" s="69">
        <v>7980000</v>
      </c>
      <c r="H32" s="118">
        <f t="shared" si="1"/>
        <v>7980000</v>
      </c>
      <c r="I32" s="119" t="s">
        <v>237</v>
      </c>
    </row>
    <row r="33" spans="1:9" ht="15.9" customHeight="1">
      <c r="A33" s="498"/>
      <c r="B33" s="98"/>
      <c r="C33" s="68" t="s">
        <v>252</v>
      </c>
      <c r="D33" s="283"/>
      <c r="E33" s="283" t="s">
        <v>236</v>
      </c>
      <c r="F33" s="284">
        <v>1</v>
      </c>
      <c r="G33" s="69">
        <v>5460000</v>
      </c>
      <c r="H33" s="118">
        <f t="shared" si="1"/>
        <v>5460000</v>
      </c>
      <c r="I33" s="119" t="s">
        <v>237</v>
      </c>
    </row>
    <row r="34" spans="1:9" ht="15.9" customHeight="1">
      <c r="A34" s="498"/>
      <c r="B34" s="98"/>
      <c r="C34" s="68" t="s">
        <v>343</v>
      </c>
      <c r="D34" s="283" t="s">
        <v>342</v>
      </c>
      <c r="E34" s="283" t="s">
        <v>236</v>
      </c>
      <c r="F34" s="284">
        <v>1</v>
      </c>
      <c r="G34" s="69">
        <v>16800000</v>
      </c>
      <c r="H34" s="118">
        <f t="shared" si="1"/>
        <v>16800000</v>
      </c>
      <c r="I34" s="119" t="s">
        <v>237</v>
      </c>
    </row>
    <row r="35" spans="1:9" ht="15.9" customHeight="1">
      <c r="A35" s="498"/>
      <c r="B35" s="98"/>
      <c r="C35" s="68" t="s">
        <v>331</v>
      </c>
      <c r="D35" s="283" t="s">
        <v>344</v>
      </c>
      <c r="E35" s="283" t="s">
        <v>236</v>
      </c>
      <c r="F35" s="284">
        <v>1</v>
      </c>
      <c r="G35" s="69">
        <v>3440000</v>
      </c>
      <c r="H35" s="118">
        <f t="shared" si="1"/>
        <v>3440000</v>
      </c>
      <c r="I35" s="119" t="s">
        <v>237</v>
      </c>
    </row>
    <row r="36" spans="1:9" ht="15.9" customHeight="1">
      <c r="A36" s="498"/>
      <c r="B36" s="98"/>
      <c r="C36" s="68" t="s">
        <v>308</v>
      </c>
      <c r="D36" s="283" t="s">
        <v>311</v>
      </c>
      <c r="E36" s="283" t="s">
        <v>236</v>
      </c>
      <c r="F36" s="284">
        <v>1</v>
      </c>
      <c r="G36" s="69">
        <v>4030000</v>
      </c>
      <c r="H36" s="118">
        <f t="shared" si="1"/>
        <v>4030000</v>
      </c>
      <c r="I36" s="119" t="s">
        <v>237</v>
      </c>
    </row>
    <row r="37" spans="1:9" ht="15.9" customHeight="1">
      <c r="A37" s="498"/>
      <c r="B37" s="98"/>
      <c r="C37" s="68" t="s">
        <v>345</v>
      </c>
      <c r="D37" s="283"/>
      <c r="E37" s="283" t="s">
        <v>236</v>
      </c>
      <c r="F37" s="284">
        <v>1</v>
      </c>
      <c r="G37" s="69">
        <v>2100000</v>
      </c>
      <c r="H37" s="118">
        <f t="shared" si="1"/>
        <v>2100000</v>
      </c>
      <c r="I37" s="119" t="s">
        <v>237</v>
      </c>
    </row>
    <row r="38" spans="1:9" ht="15.9" customHeight="1">
      <c r="A38" s="498"/>
      <c r="B38" s="98"/>
      <c r="C38" s="68" t="s">
        <v>346</v>
      </c>
      <c r="D38" s="283"/>
      <c r="E38" s="283" t="s">
        <v>236</v>
      </c>
      <c r="F38" s="284">
        <v>2</v>
      </c>
      <c r="G38" s="69">
        <v>2520000</v>
      </c>
      <c r="H38" s="118">
        <f t="shared" si="1"/>
        <v>5040000</v>
      </c>
      <c r="I38" s="119" t="s">
        <v>237</v>
      </c>
    </row>
    <row r="39" spans="1:9" ht="15.9" customHeight="1">
      <c r="A39" s="498"/>
      <c r="B39" s="98"/>
      <c r="C39" s="68" t="s">
        <v>309</v>
      </c>
      <c r="D39" s="283" t="s">
        <v>347</v>
      </c>
      <c r="E39" s="283" t="s">
        <v>236</v>
      </c>
      <c r="F39" s="284">
        <v>1</v>
      </c>
      <c r="G39" s="69">
        <v>35700000</v>
      </c>
      <c r="H39" s="118">
        <f t="shared" si="1"/>
        <v>35700000</v>
      </c>
      <c r="I39" s="119" t="s">
        <v>237</v>
      </c>
    </row>
    <row r="40" spans="1:9" ht="15.9" customHeight="1">
      <c r="A40" s="498"/>
      <c r="B40" s="98"/>
      <c r="C40" s="68" t="s">
        <v>348</v>
      </c>
      <c r="D40" s="283" t="s">
        <v>316</v>
      </c>
      <c r="E40" s="283" t="s">
        <v>236</v>
      </c>
      <c r="F40" s="284">
        <v>1</v>
      </c>
      <c r="G40" s="69">
        <v>3440000</v>
      </c>
      <c r="H40" s="118">
        <f t="shared" si="1"/>
        <v>3440000</v>
      </c>
      <c r="I40" s="119" t="s">
        <v>237</v>
      </c>
    </row>
    <row r="41" spans="1:9" ht="15.9" customHeight="1">
      <c r="A41" s="498"/>
      <c r="B41" s="98"/>
      <c r="C41" s="68" t="s">
        <v>320</v>
      </c>
      <c r="D41" s="304" t="s">
        <v>322</v>
      </c>
      <c r="E41" s="283" t="s">
        <v>312</v>
      </c>
      <c r="F41" s="284">
        <v>1</v>
      </c>
      <c r="G41" s="69">
        <v>32760000</v>
      </c>
      <c r="H41" s="99">
        <f t="shared" si="0"/>
        <v>32760000</v>
      </c>
      <c r="I41" s="119" t="s">
        <v>237</v>
      </c>
    </row>
    <row r="42" spans="1:9" ht="15.9" customHeight="1">
      <c r="A42" s="498"/>
      <c r="B42" s="98"/>
      <c r="C42" s="68" t="s">
        <v>324</v>
      </c>
      <c r="D42" s="304" t="s">
        <v>326</v>
      </c>
      <c r="E42" s="283" t="s">
        <v>312</v>
      </c>
      <c r="F42" s="284">
        <v>1</v>
      </c>
      <c r="G42" s="69">
        <v>27720000</v>
      </c>
      <c r="H42" s="99">
        <f t="shared" si="0"/>
        <v>27720000</v>
      </c>
      <c r="I42" s="119" t="s">
        <v>237</v>
      </c>
    </row>
    <row r="43" spans="1:9" ht="15.9" customHeight="1">
      <c r="A43" s="498"/>
      <c r="B43" s="98"/>
      <c r="C43" s="68" t="s">
        <v>349</v>
      </c>
      <c r="D43" s="304"/>
      <c r="E43" s="283" t="s">
        <v>312</v>
      </c>
      <c r="F43" s="284">
        <v>1</v>
      </c>
      <c r="G43" s="69">
        <v>9660000</v>
      </c>
      <c r="H43" s="99">
        <f t="shared" si="0"/>
        <v>9660000</v>
      </c>
      <c r="I43" s="119" t="s">
        <v>237</v>
      </c>
    </row>
    <row r="44" spans="1:9" ht="15.9" customHeight="1">
      <c r="A44" s="498"/>
      <c r="B44" s="98"/>
      <c r="C44" s="68" t="s">
        <v>328</v>
      </c>
      <c r="D44" s="304"/>
      <c r="E44" s="283" t="s">
        <v>312</v>
      </c>
      <c r="F44" s="284">
        <v>1</v>
      </c>
      <c r="G44" s="69">
        <v>1680000</v>
      </c>
      <c r="H44" s="99">
        <f t="shared" si="0"/>
        <v>1680000</v>
      </c>
      <c r="I44" s="119" t="s">
        <v>237</v>
      </c>
    </row>
    <row r="45" spans="1:9" ht="15.9" customHeight="1">
      <c r="A45" s="498"/>
      <c r="B45" s="98"/>
      <c r="C45" s="68" t="s">
        <v>350</v>
      </c>
      <c r="D45" s="304" t="s">
        <v>351</v>
      </c>
      <c r="E45" s="283" t="s">
        <v>312</v>
      </c>
      <c r="F45" s="284">
        <v>2</v>
      </c>
      <c r="G45" s="69">
        <v>23520000</v>
      </c>
      <c r="H45" s="99">
        <f t="shared" si="0"/>
        <v>47040000</v>
      </c>
      <c r="I45" s="119" t="s">
        <v>237</v>
      </c>
    </row>
    <row r="46" spans="1:9" ht="15.9" customHeight="1">
      <c r="A46" s="498"/>
      <c r="B46" s="98"/>
      <c r="C46" s="68" t="s">
        <v>352</v>
      </c>
      <c r="D46" s="283"/>
      <c r="E46" s="283" t="s">
        <v>312</v>
      </c>
      <c r="F46" s="284">
        <v>5</v>
      </c>
      <c r="G46" s="69">
        <v>1680000</v>
      </c>
      <c r="H46" s="99">
        <f t="shared" si="0"/>
        <v>8400000</v>
      </c>
      <c r="I46" s="119" t="s">
        <v>237</v>
      </c>
    </row>
    <row r="47" spans="1:9" ht="15.9" customHeight="1">
      <c r="A47" s="498"/>
      <c r="B47" s="98"/>
      <c r="C47" s="68" t="s">
        <v>353</v>
      </c>
      <c r="D47" s="68" t="s">
        <v>354</v>
      </c>
      <c r="E47" s="283" t="s">
        <v>312</v>
      </c>
      <c r="F47" s="263">
        <v>1</v>
      </c>
      <c r="G47" s="69">
        <v>26880000</v>
      </c>
      <c r="H47" s="99">
        <f t="shared" si="0"/>
        <v>26880000</v>
      </c>
      <c r="I47" s="119" t="s">
        <v>237</v>
      </c>
    </row>
    <row r="48" spans="1:9" ht="15.9" customHeight="1">
      <c r="A48" s="498"/>
      <c r="B48" s="98"/>
      <c r="C48" s="68" t="s">
        <v>355</v>
      </c>
      <c r="D48" s="68" t="s">
        <v>356</v>
      </c>
      <c r="E48" s="283" t="s">
        <v>312</v>
      </c>
      <c r="F48" s="263">
        <v>23</v>
      </c>
      <c r="G48" s="69">
        <v>1090000</v>
      </c>
      <c r="H48" s="99">
        <f t="shared" si="0"/>
        <v>25070000</v>
      </c>
      <c r="I48" s="119" t="s">
        <v>237</v>
      </c>
    </row>
    <row r="49" spans="1:9" ht="15.9" customHeight="1">
      <c r="A49" s="498"/>
      <c r="B49" s="72"/>
      <c r="C49" s="101"/>
      <c r="D49" s="91"/>
      <c r="E49" s="91"/>
      <c r="F49" s="40"/>
      <c r="G49" s="40"/>
      <c r="H49" s="30">
        <f>SUM(H26:H48)</f>
        <v>375130000</v>
      </c>
      <c r="I49" s="74"/>
    </row>
    <row r="50" spans="1:9" ht="15.9" customHeight="1">
      <c r="A50" s="76"/>
      <c r="B50" s="96" t="s">
        <v>41</v>
      </c>
      <c r="C50" s="73"/>
      <c r="D50" s="74"/>
      <c r="E50" s="74"/>
      <c r="F50" s="56"/>
      <c r="G50" s="56"/>
      <c r="H50" s="30">
        <f>SUM(H49,H25,H18,H12)</f>
        <v>375130000</v>
      </c>
      <c r="I50" s="74"/>
    </row>
    <row r="51" spans="1:9" ht="15.9" customHeight="1">
      <c r="A51" s="499" t="s">
        <v>71</v>
      </c>
      <c r="B51" s="106" t="s">
        <v>69</v>
      </c>
      <c r="C51" s="133"/>
      <c r="D51" s="75"/>
      <c r="E51" s="106" t="s">
        <v>50</v>
      </c>
      <c r="F51" s="112"/>
      <c r="G51" s="112"/>
      <c r="H51" s="103">
        <f>F51*G51</f>
        <v>0</v>
      </c>
      <c r="I51" s="75"/>
    </row>
    <row r="52" spans="1:9" ht="15.9" customHeight="1">
      <c r="A52" s="498"/>
      <c r="B52" s="107" t="s">
        <v>106</v>
      </c>
      <c r="C52" s="134"/>
      <c r="D52" s="70"/>
      <c r="E52" s="107" t="s">
        <v>49</v>
      </c>
      <c r="F52" s="69"/>
      <c r="G52" s="69"/>
      <c r="H52" s="99">
        <f t="shared" ref="H52:H58" si="2">F52*G52</f>
        <v>0</v>
      </c>
      <c r="I52" s="70"/>
    </row>
    <row r="53" spans="1:9" ht="15.9" customHeight="1">
      <c r="A53" s="498"/>
      <c r="B53" s="158" t="s">
        <v>107</v>
      </c>
      <c r="C53" s="134"/>
      <c r="D53" s="70"/>
      <c r="E53" s="107" t="s">
        <v>49</v>
      </c>
      <c r="F53" s="69"/>
      <c r="G53" s="69"/>
      <c r="H53" s="99">
        <f t="shared" si="2"/>
        <v>0</v>
      </c>
      <c r="I53" s="70"/>
    </row>
    <row r="54" spans="1:9" ht="15.9" customHeight="1">
      <c r="A54" s="498"/>
      <c r="B54" s="107" t="s">
        <v>108</v>
      </c>
      <c r="C54" s="134"/>
      <c r="D54" s="70"/>
      <c r="E54" s="107" t="s">
        <v>49</v>
      </c>
      <c r="F54" s="69">
        <v>50</v>
      </c>
      <c r="G54" s="69">
        <v>250000</v>
      </c>
      <c r="H54" s="99">
        <f t="shared" si="2"/>
        <v>12500000</v>
      </c>
      <c r="I54" s="70"/>
    </row>
    <row r="55" spans="1:9" ht="15.9" customHeight="1">
      <c r="A55" s="498"/>
      <c r="B55" s="107" t="s">
        <v>109</v>
      </c>
      <c r="C55" s="134"/>
      <c r="D55" s="70"/>
      <c r="E55" s="107" t="s">
        <v>49</v>
      </c>
      <c r="F55" s="69">
        <v>39</v>
      </c>
      <c r="G55" s="69">
        <v>320000</v>
      </c>
      <c r="H55" s="99">
        <f t="shared" si="2"/>
        <v>12480000</v>
      </c>
      <c r="I55" s="70"/>
    </row>
    <row r="56" spans="1:9" ht="15.9" customHeight="1">
      <c r="A56" s="498"/>
      <c r="B56" s="107" t="s">
        <v>110</v>
      </c>
      <c r="C56" s="134"/>
      <c r="D56" s="70"/>
      <c r="E56" s="107" t="s">
        <v>49</v>
      </c>
      <c r="F56" s="69">
        <v>39</v>
      </c>
      <c r="G56" s="69">
        <v>320000</v>
      </c>
      <c r="H56" s="99">
        <f t="shared" si="2"/>
        <v>12480000</v>
      </c>
      <c r="I56" s="70"/>
    </row>
    <row r="57" spans="1:9" ht="15.9" customHeight="1">
      <c r="A57" s="498"/>
      <c r="B57" s="107" t="s">
        <v>111</v>
      </c>
      <c r="C57" s="134"/>
      <c r="D57" s="70"/>
      <c r="E57" s="107" t="s">
        <v>49</v>
      </c>
      <c r="F57" s="69">
        <v>25</v>
      </c>
      <c r="G57" s="69">
        <v>320000</v>
      </c>
      <c r="H57" s="99">
        <f t="shared" si="2"/>
        <v>8000000</v>
      </c>
      <c r="I57" s="70"/>
    </row>
    <row r="58" spans="1:9" ht="15.9" customHeight="1">
      <c r="A58" s="498"/>
      <c r="B58" s="108" t="s">
        <v>175</v>
      </c>
      <c r="C58" s="135" t="s">
        <v>176</v>
      </c>
      <c r="D58" s="71"/>
      <c r="E58" s="108" t="s">
        <v>49</v>
      </c>
      <c r="F58" s="305"/>
      <c r="G58" s="114"/>
      <c r="H58" s="104">
        <f t="shared" si="2"/>
        <v>0</v>
      </c>
      <c r="I58" s="71"/>
    </row>
    <row r="59" spans="1:9" ht="15.9" customHeight="1">
      <c r="A59" s="76"/>
      <c r="B59" s="95" t="s">
        <v>40</v>
      </c>
      <c r="C59" s="73"/>
      <c r="D59" s="74"/>
      <c r="E59" s="74"/>
      <c r="F59" s="40"/>
      <c r="G59" s="40"/>
      <c r="H59" s="40">
        <f>SUM(H51:H58)</f>
        <v>45460000</v>
      </c>
      <c r="I59" s="91"/>
    </row>
    <row r="60" spans="1:9" ht="15.9" customHeight="1">
      <c r="A60" s="52"/>
      <c r="B60" s="95" t="s">
        <v>164</v>
      </c>
      <c r="C60" s="73"/>
      <c r="D60" s="74"/>
      <c r="E60" s="74"/>
      <c r="F60" s="30"/>
      <c r="G60" s="30"/>
      <c r="H60" s="56">
        <f>'단위공사별(집계)'!L12+'단위공사별(집계)'!I12</f>
        <v>3227254.716981132</v>
      </c>
      <c r="I60" s="74"/>
    </row>
    <row r="61" spans="1:9" ht="15.9" customHeight="1">
      <c r="A61" s="52"/>
      <c r="B61" s="95" t="s">
        <v>25</v>
      </c>
      <c r="C61" s="73"/>
      <c r="D61" s="74"/>
      <c r="E61" s="74"/>
      <c r="F61" s="30"/>
      <c r="G61" s="55"/>
      <c r="H61" s="115">
        <f>(H59+H50)*0.05</f>
        <v>21029500</v>
      </c>
      <c r="I61" s="73"/>
    </row>
    <row r="62" spans="1:9" ht="15.9" customHeight="1">
      <c r="A62" s="52"/>
      <c r="B62" s="95" t="s">
        <v>145</v>
      </c>
      <c r="C62" s="73"/>
      <c r="D62" s="74"/>
      <c r="E62" s="74"/>
      <c r="F62" s="30"/>
      <c r="G62" s="55"/>
      <c r="H62" s="115">
        <f>(H59+H50)*0.1</f>
        <v>42059000</v>
      </c>
      <c r="I62" s="73"/>
    </row>
    <row r="63" spans="1:9" ht="15.9" customHeight="1">
      <c r="A63" s="52"/>
      <c r="B63" s="95" t="s">
        <v>146</v>
      </c>
      <c r="C63" s="73"/>
      <c r="D63" s="74"/>
      <c r="E63" s="74"/>
      <c r="F63" s="30"/>
      <c r="G63" s="30"/>
      <c r="H63" s="40">
        <f>H50+H59+H60+H61+H62</f>
        <v>486905754.71698111</v>
      </c>
      <c r="I63" s="74"/>
    </row>
    <row r="64" spans="1:9">
      <c r="A64" s="29"/>
    </row>
  </sheetData>
  <mergeCells count="3">
    <mergeCell ref="A2:B2"/>
    <mergeCell ref="A51:A58"/>
    <mergeCell ref="A3:A4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D625-21B6-401C-B452-CB2766FD771C}">
  <sheetPr codeName="Sheet12"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B69" sqref="B69"/>
      <selection pane="topRight" activeCell="B69" sqref="B69"/>
      <selection pane="bottomLeft" activeCell="B69" sqref="B69"/>
      <selection pane="bottomRight" activeCell="H66" sqref="H66"/>
    </sheetView>
  </sheetViews>
  <sheetFormatPr defaultColWidth="9" defaultRowHeight="14.4"/>
  <cols>
    <col min="1" max="1" width="5" style="28" customWidth="1"/>
    <col min="2" max="2" width="17.8984375" style="28" bestFit="1" customWidth="1"/>
    <col min="3" max="3" width="23.59765625" style="28" customWidth="1"/>
    <col min="4" max="4" width="18.19921875" style="28" customWidth="1"/>
    <col min="5" max="5" width="5.19921875" style="28" bestFit="1" customWidth="1"/>
    <col min="6" max="6" width="9" style="31"/>
    <col min="7" max="7" width="11.8984375" style="31" customWidth="1"/>
    <col min="8" max="8" width="13.59765625" style="31" customWidth="1"/>
    <col min="9" max="9" width="12.69921875" style="28" customWidth="1"/>
    <col min="10" max="16384" width="9" style="28"/>
  </cols>
  <sheetData>
    <row r="1" spans="1:9" ht="22.5" customHeight="1">
      <c r="B1" s="97" t="s">
        <v>79</v>
      </c>
      <c r="C1" s="139"/>
      <c r="F1" s="65"/>
      <c r="I1" s="28" t="s">
        <v>81</v>
      </c>
    </row>
    <row r="2" spans="1:9" s="29" customFormat="1" ht="16.5" customHeight="1">
      <c r="A2" s="413" t="s">
        <v>30</v>
      </c>
      <c r="B2" s="493"/>
      <c r="C2" s="66" t="s">
        <v>43</v>
      </c>
      <c r="D2" s="32" t="s">
        <v>31</v>
      </c>
      <c r="E2" s="32" t="s">
        <v>32</v>
      </c>
      <c r="F2" s="100" t="s">
        <v>33</v>
      </c>
      <c r="G2" s="100" t="s">
        <v>34</v>
      </c>
      <c r="H2" s="100" t="s">
        <v>35</v>
      </c>
      <c r="I2" s="32" t="s">
        <v>45</v>
      </c>
    </row>
    <row r="3" spans="1:9" ht="15.9" customHeight="1">
      <c r="A3" s="496" t="s">
        <v>80</v>
      </c>
      <c r="B3" s="98" t="s">
        <v>36</v>
      </c>
      <c r="C3" s="111"/>
      <c r="D3" s="111"/>
      <c r="E3" s="270"/>
      <c r="F3" s="112"/>
      <c r="G3" s="112"/>
      <c r="H3" s="103">
        <f>IF(F3=0,G3,G3*F3)</f>
        <v>0</v>
      </c>
      <c r="I3" s="75"/>
    </row>
    <row r="4" spans="1:9" ht="15.9" customHeight="1">
      <c r="A4" s="498"/>
      <c r="B4" s="98"/>
      <c r="C4" s="68"/>
      <c r="D4" s="68"/>
      <c r="E4" s="273"/>
      <c r="F4" s="69"/>
      <c r="G4" s="69"/>
      <c r="H4" s="99">
        <f>IF(F4=0,G4,G4*F4)</f>
        <v>0</v>
      </c>
      <c r="I4" s="70"/>
    </row>
    <row r="5" spans="1:9" ht="15.9" customHeight="1">
      <c r="A5" s="498"/>
      <c r="B5" s="98"/>
      <c r="C5" s="68"/>
      <c r="D5" s="68"/>
      <c r="E5" s="273"/>
      <c r="F5" s="69"/>
      <c r="G5" s="69"/>
      <c r="H5" s="99">
        <f t="shared" ref="H5:H54" si="0">IF(F5=0,G5,G5*F5)</f>
        <v>0</v>
      </c>
      <c r="I5" s="70"/>
    </row>
    <row r="6" spans="1:9" ht="15.9" customHeight="1">
      <c r="A6" s="498"/>
      <c r="B6" s="98"/>
      <c r="C6" s="68"/>
      <c r="D6" s="68"/>
      <c r="E6" s="273"/>
      <c r="F6" s="69"/>
      <c r="G6" s="69"/>
      <c r="H6" s="99">
        <f t="shared" si="0"/>
        <v>0</v>
      </c>
      <c r="I6" s="70"/>
    </row>
    <row r="7" spans="1:9" ht="15.9" customHeight="1">
      <c r="A7" s="498"/>
      <c r="B7" s="98"/>
      <c r="C7" s="68"/>
      <c r="D7" s="68"/>
      <c r="E7" s="273"/>
      <c r="F7" s="69"/>
      <c r="G7" s="69"/>
      <c r="H7" s="99">
        <f t="shared" si="0"/>
        <v>0</v>
      </c>
      <c r="I7" s="70"/>
    </row>
    <row r="8" spans="1:9" ht="15.9" customHeight="1">
      <c r="A8" s="498"/>
      <c r="B8" s="98"/>
      <c r="C8" s="68"/>
      <c r="D8" s="68"/>
      <c r="E8" s="273"/>
      <c r="F8" s="69"/>
      <c r="G8" s="69"/>
      <c r="H8" s="99">
        <f t="shared" si="0"/>
        <v>0</v>
      </c>
      <c r="I8" s="70"/>
    </row>
    <row r="9" spans="1:9" ht="15.9" customHeight="1">
      <c r="A9" s="498"/>
      <c r="B9" s="98"/>
      <c r="C9" s="68"/>
      <c r="D9" s="68"/>
      <c r="E9" s="273"/>
      <c r="F9" s="69"/>
      <c r="G9" s="69"/>
      <c r="H9" s="99">
        <f t="shared" si="0"/>
        <v>0</v>
      </c>
      <c r="I9" s="70"/>
    </row>
    <row r="10" spans="1:9" ht="15.9" customHeight="1">
      <c r="A10" s="498"/>
      <c r="B10" s="98"/>
      <c r="C10" s="68"/>
      <c r="D10" s="68"/>
      <c r="E10" s="273"/>
      <c r="F10" s="69"/>
      <c r="G10" s="69"/>
      <c r="H10" s="99">
        <f t="shared" si="0"/>
        <v>0</v>
      </c>
      <c r="I10" s="70"/>
    </row>
    <row r="11" spans="1:9" ht="15.9" customHeight="1">
      <c r="A11" s="498"/>
      <c r="B11" s="98"/>
      <c r="C11" s="68"/>
      <c r="D11" s="68"/>
      <c r="E11" s="273"/>
      <c r="F11" s="69"/>
      <c r="G11" s="69"/>
      <c r="H11" s="99">
        <f t="shared" si="0"/>
        <v>0</v>
      </c>
      <c r="I11" s="70"/>
    </row>
    <row r="12" spans="1:9" ht="15.9" customHeight="1">
      <c r="A12" s="498"/>
      <c r="B12" s="98"/>
      <c r="C12" s="68"/>
      <c r="D12" s="68"/>
      <c r="E12" s="273"/>
      <c r="F12" s="69"/>
      <c r="G12" s="69"/>
      <c r="H12" s="99">
        <f t="shared" si="0"/>
        <v>0</v>
      </c>
      <c r="I12" s="70"/>
    </row>
    <row r="13" spans="1:9" ht="15.9" customHeight="1">
      <c r="A13" s="498"/>
      <c r="B13" s="98"/>
      <c r="C13" s="68"/>
      <c r="D13" s="68"/>
      <c r="E13" s="273"/>
      <c r="F13" s="69"/>
      <c r="G13" s="69"/>
      <c r="H13" s="99">
        <f t="shared" si="0"/>
        <v>0</v>
      </c>
      <c r="I13" s="70"/>
    </row>
    <row r="14" spans="1:9" ht="15.9" customHeight="1">
      <c r="A14" s="498"/>
      <c r="B14" s="98"/>
      <c r="C14" s="68"/>
      <c r="D14" s="68"/>
      <c r="E14" s="273"/>
      <c r="F14" s="69"/>
      <c r="G14" s="69"/>
      <c r="H14" s="99">
        <f t="shared" si="0"/>
        <v>0</v>
      </c>
      <c r="I14" s="70"/>
    </row>
    <row r="15" spans="1:9" ht="15.9" customHeight="1">
      <c r="A15" s="498"/>
      <c r="B15" s="98"/>
      <c r="C15" s="68"/>
      <c r="D15" s="68"/>
      <c r="E15" s="273"/>
      <c r="F15" s="69"/>
      <c r="G15" s="69"/>
      <c r="H15" s="99">
        <f t="shared" si="0"/>
        <v>0</v>
      </c>
      <c r="I15" s="70"/>
    </row>
    <row r="16" spans="1:9" ht="15.9" customHeight="1">
      <c r="A16" s="498"/>
      <c r="B16" s="98"/>
      <c r="C16" s="68"/>
      <c r="D16" s="68"/>
      <c r="E16" s="273"/>
      <c r="F16" s="69"/>
      <c r="G16" s="69"/>
      <c r="H16" s="99">
        <f t="shared" si="0"/>
        <v>0</v>
      </c>
      <c r="I16" s="70"/>
    </row>
    <row r="17" spans="1:9" ht="15.9" customHeight="1">
      <c r="A17" s="498"/>
      <c r="B17" s="98"/>
      <c r="C17" s="68"/>
      <c r="D17" s="68"/>
      <c r="E17" s="273"/>
      <c r="F17" s="69"/>
      <c r="G17" s="69"/>
      <c r="H17" s="99">
        <f t="shared" si="0"/>
        <v>0</v>
      </c>
      <c r="I17" s="70"/>
    </row>
    <row r="18" spans="1:9" ht="15.9" customHeight="1">
      <c r="A18" s="498"/>
      <c r="B18" s="98"/>
      <c r="C18" s="68"/>
      <c r="D18" s="68"/>
      <c r="E18" s="273"/>
      <c r="F18" s="69"/>
      <c r="G18" s="69"/>
      <c r="H18" s="99">
        <f t="shared" si="0"/>
        <v>0</v>
      </c>
      <c r="I18" s="70"/>
    </row>
    <row r="19" spans="1:9" ht="15.9" customHeight="1">
      <c r="A19" s="498"/>
      <c r="B19" s="98"/>
      <c r="C19" s="68"/>
      <c r="D19" s="68"/>
      <c r="E19" s="273"/>
      <c r="F19" s="69"/>
      <c r="G19" s="69"/>
      <c r="H19" s="99">
        <f t="shared" si="0"/>
        <v>0</v>
      </c>
      <c r="I19" s="70"/>
    </row>
    <row r="20" spans="1:9" ht="15.9" customHeight="1">
      <c r="A20" s="498"/>
      <c r="B20" s="98"/>
      <c r="C20" s="68"/>
      <c r="D20" s="68"/>
      <c r="E20" s="273"/>
      <c r="F20" s="69"/>
      <c r="G20" s="69"/>
      <c r="H20" s="99">
        <f t="shared" si="0"/>
        <v>0</v>
      </c>
      <c r="I20" s="70"/>
    </row>
    <row r="21" spans="1:9" ht="15.9" customHeight="1">
      <c r="A21" s="498"/>
      <c r="B21" s="98"/>
      <c r="C21" s="68"/>
      <c r="D21" s="68"/>
      <c r="E21" s="273"/>
      <c r="F21" s="69"/>
      <c r="G21" s="69"/>
      <c r="H21" s="99">
        <f t="shared" si="0"/>
        <v>0</v>
      </c>
      <c r="I21" s="70"/>
    </row>
    <row r="22" spans="1:9" ht="15.9" customHeight="1">
      <c r="A22" s="498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" customHeight="1">
      <c r="A23" s="498"/>
      <c r="B23" s="98"/>
      <c r="C23" s="113" t="s">
        <v>46</v>
      </c>
      <c r="D23" s="274"/>
      <c r="E23" s="274" t="s">
        <v>171</v>
      </c>
      <c r="F23" s="264"/>
      <c r="G23" s="114"/>
      <c r="H23" s="236">
        <f t="shared" si="0"/>
        <v>0</v>
      </c>
      <c r="I23" s="237"/>
    </row>
    <row r="24" spans="1:9" ht="15.9" customHeight="1">
      <c r="A24" s="498"/>
      <c r="B24" s="72"/>
      <c r="C24" s="240"/>
      <c r="D24" s="240"/>
      <c r="E24" s="240"/>
      <c r="F24" s="241"/>
      <c r="G24" s="241"/>
      <c r="H24" s="242">
        <f>SUM(H3:H23)</f>
        <v>0</v>
      </c>
      <c r="I24" s="240"/>
    </row>
    <row r="25" spans="1:9" ht="15.9" customHeight="1">
      <c r="A25" s="498"/>
      <c r="B25" s="98" t="s">
        <v>153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" customHeight="1">
      <c r="A26" s="498"/>
      <c r="B26" s="98" t="s">
        <v>154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" customHeight="1">
      <c r="A27" s="498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" customHeight="1">
      <c r="A28" s="498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" customHeight="1">
      <c r="A29" s="498"/>
      <c r="B29" s="98"/>
      <c r="C29" s="113" t="s">
        <v>46</v>
      </c>
      <c r="D29" s="113"/>
      <c r="E29" s="113"/>
      <c r="F29" s="114"/>
      <c r="G29" s="114"/>
      <c r="H29" s="99">
        <f t="shared" si="0"/>
        <v>0</v>
      </c>
      <c r="I29" s="71"/>
    </row>
    <row r="30" spans="1:9" ht="15.9" customHeight="1">
      <c r="A30" s="498"/>
      <c r="B30" s="72"/>
      <c r="C30" s="101"/>
      <c r="D30" s="91"/>
      <c r="E30" s="91"/>
      <c r="F30" s="140"/>
      <c r="G30" s="40"/>
      <c r="H30" s="30">
        <f>SUM(H25:H29)</f>
        <v>0</v>
      </c>
      <c r="I30" s="74"/>
    </row>
    <row r="31" spans="1:9" ht="15.9" customHeight="1">
      <c r="A31" s="498"/>
      <c r="B31" s="102" t="s">
        <v>37</v>
      </c>
      <c r="C31" s="111"/>
      <c r="D31" s="111"/>
      <c r="E31" s="111"/>
      <c r="F31" s="112"/>
      <c r="G31" s="112"/>
      <c r="H31" s="103">
        <f t="shared" si="0"/>
        <v>0</v>
      </c>
      <c r="I31" s="75"/>
    </row>
    <row r="32" spans="1:9" ht="15.9" customHeight="1">
      <c r="A32" s="498"/>
      <c r="B32" s="98" t="s">
        <v>44</v>
      </c>
      <c r="C32" s="68"/>
      <c r="D32" s="68"/>
      <c r="E32" s="68"/>
      <c r="F32" s="69"/>
      <c r="G32" s="69"/>
      <c r="H32" s="99">
        <f t="shared" si="0"/>
        <v>0</v>
      </c>
      <c r="I32" s="70"/>
    </row>
    <row r="33" spans="1:9" ht="15.9" customHeight="1">
      <c r="A33" s="498"/>
      <c r="B33" s="98"/>
      <c r="C33" s="68"/>
      <c r="D33" s="68"/>
      <c r="E33" s="68"/>
      <c r="F33" s="69"/>
      <c r="G33" s="69"/>
      <c r="H33" s="99">
        <f t="shared" si="0"/>
        <v>0</v>
      </c>
      <c r="I33" s="70"/>
    </row>
    <row r="34" spans="1:9" ht="15.9" customHeight="1">
      <c r="A34" s="498"/>
      <c r="B34" s="98"/>
      <c r="C34" s="68"/>
      <c r="D34" s="68"/>
      <c r="E34" s="68"/>
      <c r="F34" s="69"/>
      <c r="G34" s="69"/>
      <c r="H34" s="99">
        <f t="shared" si="0"/>
        <v>0</v>
      </c>
      <c r="I34" s="70"/>
    </row>
    <row r="35" spans="1:9" ht="15.9" customHeight="1">
      <c r="A35" s="498"/>
      <c r="B35" s="98"/>
      <c r="C35" s="68"/>
      <c r="D35" s="68"/>
      <c r="E35" s="68"/>
      <c r="F35" s="69"/>
      <c r="G35" s="69"/>
      <c r="H35" s="99">
        <f t="shared" si="0"/>
        <v>0</v>
      </c>
      <c r="I35" s="70"/>
    </row>
    <row r="36" spans="1:9" ht="15.9" customHeight="1">
      <c r="A36" s="498"/>
      <c r="B36" s="98"/>
      <c r="C36" s="68"/>
      <c r="D36" s="68"/>
      <c r="E36" s="68"/>
      <c r="F36" s="69"/>
      <c r="G36" s="69"/>
      <c r="H36" s="99">
        <f t="shared" si="0"/>
        <v>0</v>
      </c>
      <c r="I36" s="70"/>
    </row>
    <row r="37" spans="1:9" ht="15.9" customHeight="1">
      <c r="A37" s="498"/>
      <c r="B37" s="98"/>
      <c r="C37" s="68"/>
      <c r="D37" s="68"/>
      <c r="E37" s="68"/>
      <c r="F37" s="69"/>
      <c r="G37" s="69"/>
      <c r="H37" s="99">
        <f t="shared" si="0"/>
        <v>0</v>
      </c>
      <c r="I37" s="70"/>
    </row>
    <row r="38" spans="1:9" ht="15.9" customHeight="1">
      <c r="A38" s="498"/>
      <c r="B38" s="98"/>
      <c r="C38" s="68"/>
      <c r="D38" s="68"/>
      <c r="E38" s="68"/>
      <c r="F38" s="69"/>
      <c r="G38" s="69"/>
      <c r="H38" s="99">
        <f t="shared" si="0"/>
        <v>0</v>
      </c>
      <c r="I38" s="70"/>
    </row>
    <row r="39" spans="1:9" ht="15.9" customHeight="1">
      <c r="A39" s="498"/>
      <c r="B39" s="98"/>
      <c r="C39" s="68"/>
      <c r="D39" s="68"/>
      <c r="E39" s="68"/>
      <c r="F39" s="69"/>
      <c r="G39" s="69"/>
      <c r="H39" s="99">
        <f t="shared" si="0"/>
        <v>0</v>
      </c>
      <c r="I39" s="70"/>
    </row>
    <row r="40" spans="1:9" ht="15.9" customHeight="1">
      <c r="A40" s="498"/>
      <c r="B40" s="98"/>
      <c r="C40" s="68"/>
      <c r="D40" s="68"/>
      <c r="E40" s="68"/>
      <c r="F40" s="69"/>
      <c r="G40" s="69"/>
      <c r="H40" s="99">
        <f t="shared" si="0"/>
        <v>0</v>
      </c>
      <c r="I40" s="70"/>
    </row>
    <row r="41" spans="1:9" ht="15.9" customHeight="1">
      <c r="A41" s="498"/>
      <c r="B41" s="98"/>
      <c r="C41" s="68"/>
      <c r="D41" s="68"/>
      <c r="E41" s="68"/>
      <c r="F41" s="69"/>
      <c r="G41" s="69"/>
      <c r="H41" s="99">
        <f t="shared" si="0"/>
        <v>0</v>
      </c>
      <c r="I41" s="70"/>
    </row>
    <row r="42" spans="1:9" ht="15.9" customHeight="1">
      <c r="A42" s="498"/>
      <c r="B42" s="98"/>
      <c r="C42" s="68"/>
      <c r="D42" s="68"/>
      <c r="E42" s="68"/>
      <c r="F42" s="69"/>
      <c r="G42" s="69"/>
      <c r="H42" s="99">
        <f t="shared" si="0"/>
        <v>0</v>
      </c>
      <c r="I42" s="70"/>
    </row>
    <row r="43" spans="1:9" ht="15.9" customHeight="1">
      <c r="A43" s="498"/>
      <c r="B43" s="98"/>
      <c r="C43" s="68"/>
      <c r="D43" s="68"/>
      <c r="E43" s="68"/>
      <c r="F43" s="69"/>
      <c r="G43" s="69"/>
      <c r="H43" s="99">
        <f t="shared" si="0"/>
        <v>0</v>
      </c>
      <c r="I43" s="70"/>
    </row>
    <row r="44" spans="1:9" ht="15.9" customHeight="1">
      <c r="A44" s="498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" customHeight="1">
      <c r="A45" s="498"/>
      <c r="B45" s="98"/>
      <c r="C45" s="68"/>
      <c r="D45" s="68"/>
      <c r="E45" s="68"/>
      <c r="F45" s="69"/>
      <c r="G45" s="69"/>
      <c r="H45" s="99">
        <f t="shared" si="0"/>
        <v>0</v>
      </c>
      <c r="I45" s="70"/>
    </row>
    <row r="46" spans="1:9" ht="15.9" customHeight="1">
      <c r="A46" s="498"/>
      <c r="B46" s="98"/>
      <c r="C46" s="113" t="s">
        <v>46</v>
      </c>
      <c r="D46" s="274"/>
      <c r="E46" s="274" t="s">
        <v>171</v>
      </c>
      <c r="F46" s="264"/>
      <c r="G46" s="114"/>
      <c r="H46" s="104">
        <f t="shared" si="0"/>
        <v>0</v>
      </c>
      <c r="I46" s="71"/>
    </row>
    <row r="47" spans="1:9" ht="15.9" customHeight="1">
      <c r="A47" s="498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" customHeight="1">
      <c r="A48" s="498"/>
      <c r="B48" s="102" t="s">
        <v>38</v>
      </c>
      <c r="C48" s="68"/>
      <c r="D48" s="283"/>
      <c r="E48" s="283"/>
      <c r="F48" s="284"/>
      <c r="G48" s="69"/>
      <c r="H48" s="103">
        <f t="shared" si="0"/>
        <v>0</v>
      </c>
      <c r="I48" s="75"/>
    </row>
    <row r="49" spans="1:9" ht="15.9" customHeight="1">
      <c r="A49" s="498"/>
      <c r="B49" s="98"/>
      <c r="C49" s="68"/>
      <c r="D49" s="283"/>
      <c r="E49" s="283"/>
      <c r="F49" s="284"/>
      <c r="G49" s="69"/>
      <c r="H49" s="99">
        <f t="shared" si="0"/>
        <v>0</v>
      </c>
      <c r="I49" s="70"/>
    </row>
    <row r="50" spans="1:9" ht="15.9" customHeight="1">
      <c r="A50" s="498"/>
      <c r="B50" s="98"/>
      <c r="C50" s="68"/>
      <c r="D50" s="283"/>
      <c r="E50" s="283"/>
      <c r="F50" s="284"/>
      <c r="G50" s="69"/>
      <c r="H50" s="99">
        <f t="shared" si="0"/>
        <v>0</v>
      </c>
      <c r="I50" s="70"/>
    </row>
    <row r="51" spans="1:9" ht="15.9" customHeight="1">
      <c r="A51" s="498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" customHeight="1">
      <c r="A52" s="498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" customHeight="1">
      <c r="A53" s="498"/>
      <c r="B53" s="98"/>
      <c r="C53" s="68"/>
      <c r="D53" s="68"/>
      <c r="E53" s="68"/>
      <c r="F53" s="69"/>
      <c r="G53" s="69"/>
      <c r="H53" s="99">
        <f t="shared" si="0"/>
        <v>0</v>
      </c>
      <c r="I53" s="70"/>
    </row>
    <row r="54" spans="1:9" ht="15.9" customHeight="1">
      <c r="A54" s="498"/>
      <c r="B54" s="98"/>
      <c r="C54" s="113" t="s">
        <v>46</v>
      </c>
      <c r="D54" s="113"/>
      <c r="E54" s="274" t="s">
        <v>171</v>
      </c>
      <c r="F54" s="264"/>
      <c r="G54" s="114"/>
      <c r="H54" s="104">
        <f t="shared" si="0"/>
        <v>0</v>
      </c>
      <c r="I54" s="71"/>
    </row>
    <row r="55" spans="1:9" ht="15.9" customHeight="1">
      <c r="A55" s="498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" customHeight="1">
      <c r="A56" s="76"/>
      <c r="B56" s="96" t="s">
        <v>41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" customHeight="1">
      <c r="A57" s="499" t="s">
        <v>71</v>
      </c>
      <c r="B57" s="106" t="s">
        <v>69</v>
      </c>
      <c r="C57" s="133"/>
      <c r="D57" s="75"/>
      <c r="E57" s="106" t="s">
        <v>50</v>
      </c>
      <c r="F57" s="112"/>
      <c r="G57" s="112"/>
      <c r="H57" s="103">
        <f>F57*G57</f>
        <v>0</v>
      </c>
      <c r="I57" s="75"/>
    </row>
    <row r="58" spans="1:9" ht="15.9" customHeight="1">
      <c r="A58" s="498"/>
      <c r="B58" s="107" t="s">
        <v>106</v>
      </c>
      <c r="C58" s="134"/>
      <c r="D58" s="70"/>
      <c r="E58" s="107" t="s">
        <v>49</v>
      </c>
      <c r="F58" s="69"/>
      <c r="G58" s="69"/>
      <c r="H58" s="99">
        <f t="shared" ref="H58:H64" si="1">F58*G58</f>
        <v>0</v>
      </c>
      <c r="I58" s="70"/>
    </row>
    <row r="59" spans="1:9" ht="15.9" customHeight="1">
      <c r="A59" s="498"/>
      <c r="B59" s="158" t="s">
        <v>107</v>
      </c>
      <c r="C59" s="134"/>
      <c r="D59" s="70"/>
      <c r="E59" s="107" t="s">
        <v>49</v>
      </c>
      <c r="F59" s="69"/>
      <c r="G59" s="69"/>
      <c r="H59" s="99">
        <f t="shared" si="1"/>
        <v>0</v>
      </c>
      <c r="I59" s="70"/>
    </row>
    <row r="60" spans="1:9" ht="15.9" customHeight="1">
      <c r="A60" s="498"/>
      <c r="B60" s="107" t="s">
        <v>108</v>
      </c>
      <c r="C60" s="134"/>
      <c r="D60" s="70"/>
      <c r="E60" s="107" t="s">
        <v>49</v>
      </c>
      <c r="F60" s="281"/>
      <c r="G60" s="69"/>
      <c r="H60" s="99">
        <f t="shared" si="1"/>
        <v>0</v>
      </c>
      <c r="I60" s="70"/>
    </row>
    <row r="61" spans="1:9" ht="15.9" customHeight="1">
      <c r="A61" s="498"/>
      <c r="B61" s="107" t="s">
        <v>109</v>
      </c>
      <c r="C61" s="134"/>
      <c r="D61" s="70"/>
      <c r="E61" s="107" t="s">
        <v>49</v>
      </c>
      <c r="F61" s="69"/>
      <c r="G61" s="69"/>
      <c r="H61" s="99">
        <f t="shared" si="1"/>
        <v>0</v>
      </c>
      <c r="I61" s="70"/>
    </row>
    <row r="62" spans="1:9" ht="15.9" customHeight="1">
      <c r="A62" s="498"/>
      <c r="B62" s="107" t="s">
        <v>110</v>
      </c>
      <c r="C62" s="134"/>
      <c r="D62" s="70"/>
      <c r="E62" s="107" t="s">
        <v>49</v>
      </c>
      <c r="F62" s="69"/>
      <c r="G62" s="69"/>
      <c r="H62" s="99">
        <f t="shared" si="1"/>
        <v>0</v>
      </c>
      <c r="I62" s="70"/>
    </row>
    <row r="63" spans="1:9" ht="15.9" customHeight="1">
      <c r="A63" s="498"/>
      <c r="B63" s="107" t="s">
        <v>111</v>
      </c>
      <c r="C63" s="134"/>
      <c r="D63" s="70"/>
      <c r="E63" s="107" t="s">
        <v>49</v>
      </c>
      <c r="F63" s="69"/>
      <c r="G63" s="69"/>
      <c r="H63" s="99">
        <f t="shared" si="1"/>
        <v>0</v>
      </c>
      <c r="I63" s="70"/>
    </row>
    <row r="64" spans="1:9" ht="15.9" customHeight="1">
      <c r="A64" s="498"/>
      <c r="B64" s="108" t="s">
        <v>112</v>
      </c>
      <c r="C64" s="135"/>
      <c r="D64" s="71"/>
      <c r="E64" s="108" t="s">
        <v>49</v>
      </c>
      <c r="F64" s="114"/>
      <c r="G64" s="114"/>
      <c r="H64" s="104">
        <f t="shared" si="1"/>
        <v>0</v>
      </c>
      <c r="I64" s="71"/>
    </row>
    <row r="65" spans="1:9" ht="15.9" customHeight="1">
      <c r="A65" s="76"/>
      <c r="B65" s="95" t="s">
        <v>40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" customHeight="1">
      <c r="A66" s="52"/>
      <c r="B66" s="95" t="s">
        <v>164</v>
      </c>
      <c r="C66" s="73"/>
      <c r="D66" s="74"/>
      <c r="E66" s="74"/>
      <c r="F66" s="30"/>
      <c r="G66" s="30"/>
      <c r="H66" s="56">
        <f>'단위공사별(집계)'!L13+'단위공사별(집계)'!I13</f>
        <v>0</v>
      </c>
      <c r="I66" s="74"/>
    </row>
    <row r="67" spans="1:9" ht="15.9" customHeight="1">
      <c r="A67" s="52"/>
      <c r="B67" s="95" t="s">
        <v>25</v>
      </c>
      <c r="C67" s="73"/>
      <c r="D67" s="74"/>
      <c r="E67" s="74"/>
      <c r="F67" s="30"/>
      <c r="G67" s="55"/>
      <c r="H67" s="115">
        <f>(H65+H56)*0.05</f>
        <v>0</v>
      </c>
      <c r="I67" s="73"/>
    </row>
    <row r="68" spans="1:9" ht="15.9" customHeight="1">
      <c r="A68" s="52"/>
      <c r="B68" s="95" t="s">
        <v>145</v>
      </c>
      <c r="C68" s="73"/>
      <c r="D68" s="74"/>
      <c r="E68" s="74"/>
      <c r="F68" s="30"/>
      <c r="G68" s="55"/>
      <c r="H68" s="115">
        <f>(H65+H56)*0.1</f>
        <v>0</v>
      </c>
      <c r="I68" s="73"/>
    </row>
    <row r="69" spans="1:9" ht="15.9" customHeight="1">
      <c r="A69" s="52"/>
      <c r="B69" s="95" t="s">
        <v>146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1D6FC-71DB-4DA1-AA7A-78DFA07B108D}">
  <sheetPr codeName="Sheet13"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B69" sqref="B69"/>
      <selection pane="topRight" activeCell="B69" sqref="B69"/>
      <selection pane="bottomLeft" activeCell="B69" sqref="B69"/>
      <selection pane="bottomRight" activeCell="C11" sqref="C11"/>
    </sheetView>
  </sheetViews>
  <sheetFormatPr defaultColWidth="9" defaultRowHeight="14.4"/>
  <cols>
    <col min="1" max="1" width="5" style="28" customWidth="1"/>
    <col min="2" max="2" width="17.8984375" style="28" bestFit="1" customWidth="1"/>
    <col min="3" max="3" width="23.59765625" style="28" customWidth="1"/>
    <col min="4" max="4" width="18.19921875" style="28" customWidth="1"/>
    <col min="5" max="5" width="5.19921875" style="28" bestFit="1" customWidth="1"/>
    <col min="6" max="6" width="9" style="31"/>
    <col min="7" max="7" width="11.8984375" style="31" customWidth="1"/>
    <col min="8" max="8" width="13.59765625" style="31" customWidth="1"/>
    <col min="9" max="9" width="12.69921875" style="28" customWidth="1"/>
    <col min="10" max="16384" width="9" style="28"/>
  </cols>
  <sheetData>
    <row r="1" spans="1:9" ht="22.5" customHeight="1">
      <c r="B1" s="97" t="s">
        <v>79</v>
      </c>
      <c r="C1" s="139"/>
      <c r="F1" s="65"/>
      <c r="I1" s="28" t="s">
        <v>81</v>
      </c>
    </row>
    <row r="2" spans="1:9" s="29" customFormat="1" ht="16.5" customHeight="1">
      <c r="A2" s="413" t="s">
        <v>30</v>
      </c>
      <c r="B2" s="493"/>
      <c r="C2" s="66" t="s">
        <v>43</v>
      </c>
      <c r="D2" s="32" t="s">
        <v>31</v>
      </c>
      <c r="E2" s="32" t="s">
        <v>32</v>
      </c>
      <c r="F2" s="100" t="s">
        <v>33</v>
      </c>
      <c r="G2" s="100" t="s">
        <v>34</v>
      </c>
      <c r="H2" s="100" t="s">
        <v>35</v>
      </c>
      <c r="I2" s="32" t="s">
        <v>45</v>
      </c>
    </row>
    <row r="3" spans="1:9" ht="15.9" customHeight="1">
      <c r="A3" s="496" t="s">
        <v>80</v>
      </c>
      <c r="B3" s="98" t="s">
        <v>36</v>
      </c>
      <c r="C3" s="111"/>
      <c r="D3" s="111"/>
      <c r="E3" s="111"/>
      <c r="F3" s="112"/>
      <c r="G3" s="112"/>
      <c r="H3" s="103">
        <f>IF(F3=0,G3,G3*F3)</f>
        <v>0</v>
      </c>
      <c r="I3" s="75"/>
    </row>
    <row r="4" spans="1:9" ht="15.9" customHeight="1">
      <c r="A4" s="498"/>
      <c r="B4" s="98"/>
      <c r="C4" s="68"/>
      <c r="D4" s="68"/>
      <c r="E4" s="68"/>
      <c r="F4" s="69"/>
      <c r="G4" s="69"/>
      <c r="H4" s="99">
        <f>IF(F4=0,G4,G4*F4)</f>
        <v>0</v>
      </c>
      <c r="I4" s="70"/>
    </row>
    <row r="5" spans="1:9" ht="15.9" customHeight="1">
      <c r="A5" s="498"/>
      <c r="B5" s="98"/>
      <c r="C5" s="68"/>
      <c r="D5" s="68"/>
      <c r="E5" s="68"/>
      <c r="F5" s="69"/>
      <c r="G5" s="69"/>
      <c r="H5" s="99">
        <f t="shared" ref="H5:H54" si="0">IF(F5=0,G5,G5*F5)</f>
        <v>0</v>
      </c>
      <c r="I5" s="70"/>
    </row>
    <row r="6" spans="1:9" ht="15.9" customHeight="1">
      <c r="A6" s="498"/>
      <c r="B6" s="98"/>
      <c r="C6" s="68"/>
      <c r="D6" s="68"/>
      <c r="E6" s="68"/>
      <c r="F6" s="69"/>
      <c r="G6" s="69"/>
      <c r="H6" s="99">
        <f t="shared" si="0"/>
        <v>0</v>
      </c>
      <c r="I6" s="70"/>
    </row>
    <row r="7" spans="1:9" ht="15.9" customHeight="1">
      <c r="A7" s="498"/>
      <c r="B7" s="98"/>
      <c r="C7" s="68"/>
      <c r="D7" s="68"/>
      <c r="E7" s="68"/>
      <c r="F7" s="69"/>
      <c r="G7" s="69"/>
      <c r="H7" s="99">
        <f t="shared" si="0"/>
        <v>0</v>
      </c>
      <c r="I7" s="70"/>
    </row>
    <row r="8" spans="1:9" ht="15.9" customHeight="1">
      <c r="A8" s="498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" customHeight="1">
      <c r="A9" s="498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" customHeight="1">
      <c r="A10" s="498"/>
      <c r="B10" s="98"/>
      <c r="C10" s="68"/>
      <c r="D10" s="68"/>
      <c r="E10" s="68"/>
      <c r="F10" s="69"/>
      <c r="G10" s="69"/>
      <c r="H10" s="99">
        <f t="shared" si="0"/>
        <v>0</v>
      </c>
      <c r="I10" s="70"/>
    </row>
    <row r="11" spans="1:9" ht="15.9" customHeight="1">
      <c r="A11" s="498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" customHeight="1">
      <c r="A12" s="498"/>
      <c r="B12" s="98"/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" customHeight="1">
      <c r="A13" s="498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" customHeight="1">
      <c r="A14" s="498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" customHeight="1">
      <c r="A15" s="498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" customHeight="1">
      <c r="A16" s="498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" customHeight="1">
      <c r="A17" s="498"/>
      <c r="B17" s="98"/>
      <c r="C17" s="68"/>
      <c r="D17" s="68"/>
      <c r="E17" s="68"/>
      <c r="F17" s="69"/>
      <c r="G17" s="69"/>
      <c r="H17" s="99">
        <f t="shared" si="0"/>
        <v>0</v>
      </c>
      <c r="I17" s="70"/>
    </row>
    <row r="18" spans="1:9" ht="15.9" customHeight="1">
      <c r="A18" s="498"/>
      <c r="B18" s="98"/>
      <c r="C18" s="68"/>
      <c r="D18" s="68"/>
      <c r="E18" s="68"/>
      <c r="F18" s="69"/>
      <c r="G18" s="69"/>
      <c r="H18" s="99">
        <f t="shared" si="0"/>
        <v>0</v>
      </c>
      <c r="I18" s="70"/>
    </row>
    <row r="19" spans="1:9" ht="15.9" customHeight="1">
      <c r="A19" s="498"/>
      <c r="B19" s="98"/>
      <c r="C19" s="68"/>
      <c r="D19" s="68"/>
      <c r="E19" s="68"/>
      <c r="F19" s="69"/>
      <c r="G19" s="69"/>
      <c r="H19" s="99">
        <f t="shared" si="0"/>
        <v>0</v>
      </c>
      <c r="I19" s="70"/>
    </row>
    <row r="20" spans="1:9" ht="15.9" customHeight="1">
      <c r="A20" s="498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" customHeight="1">
      <c r="A21" s="498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" customHeight="1">
      <c r="A22" s="498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" customHeight="1">
      <c r="A23" s="498"/>
      <c r="B23" s="98"/>
      <c r="C23" s="113" t="s">
        <v>46</v>
      </c>
      <c r="D23" s="234"/>
      <c r="E23" s="234"/>
      <c r="F23" s="235"/>
      <c r="G23" s="235"/>
      <c r="H23" s="236">
        <f t="shared" si="0"/>
        <v>0</v>
      </c>
      <c r="I23" s="237"/>
    </row>
    <row r="24" spans="1:9" ht="15.9" customHeight="1">
      <c r="A24" s="498"/>
      <c r="B24" s="72"/>
      <c r="C24" s="240"/>
      <c r="D24" s="240"/>
      <c r="E24" s="240"/>
      <c r="F24" s="241"/>
      <c r="G24" s="241"/>
      <c r="H24" s="242">
        <f>SUM(H3:H23)</f>
        <v>0</v>
      </c>
      <c r="I24" s="240"/>
    </row>
    <row r="25" spans="1:9" ht="15.9" customHeight="1">
      <c r="A25" s="498"/>
      <c r="B25" s="98" t="s">
        <v>153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" customHeight="1">
      <c r="A26" s="498"/>
      <c r="B26" s="98" t="s">
        <v>154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" customHeight="1">
      <c r="A27" s="498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" customHeight="1">
      <c r="A28" s="498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" customHeight="1">
      <c r="A29" s="498"/>
      <c r="B29" s="98"/>
      <c r="C29" s="113" t="s">
        <v>46</v>
      </c>
      <c r="D29" s="113"/>
      <c r="E29" s="113"/>
      <c r="F29" s="114"/>
      <c r="G29" s="114"/>
      <c r="H29" s="99">
        <f t="shared" si="0"/>
        <v>0</v>
      </c>
      <c r="I29" s="71"/>
    </row>
    <row r="30" spans="1:9" ht="15.9" customHeight="1">
      <c r="A30" s="498"/>
      <c r="B30" s="72"/>
      <c r="C30" s="101"/>
      <c r="D30" s="91"/>
      <c r="E30" s="91"/>
      <c r="F30" s="140"/>
      <c r="G30" s="40"/>
      <c r="H30" s="30">
        <f>SUM(H25:H29)</f>
        <v>0</v>
      </c>
      <c r="I30" s="74"/>
    </row>
    <row r="31" spans="1:9" ht="15.9" customHeight="1">
      <c r="A31" s="498"/>
      <c r="B31" s="102" t="s">
        <v>37</v>
      </c>
      <c r="C31" s="111"/>
      <c r="D31" s="111"/>
      <c r="E31" s="111"/>
      <c r="F31" s="112"/>
      <c r="G31" s="112"/>
      <c r="H31" s="103">
        <f t="shared" si="0"/>
        <v>0</v>
      </c>
      <c r="I31" s="75"/>
    </row>
    <row r="32" spans="1:9" ht="15.9" customHeight="1">
      <c r="A32" s="498"/>
      <c r="B32" s="98" t="s">
        <v>44</v>
      </c>
      <c r="C32" s="68"/>
      <c r="D32" s="68"/>
      <c r="E32" s="68"/>
      <c r="F32" s="69"/>
      <c r="G32" s="69"/>
      <c r="H32" s="99">
        <f t="shared" si="0"/>
        <v>0</v>
      </c>
      <c r="I32" s="70"/>
    </row>
    <row r="33" spans="1:9" ht="15.9" customHeight="1">
      <c r="A33" s="498"/>
      <c r="B33" s="98"/>
      <c r="C33" s="68"/>
      <c r="D33" s="68"/>
      <c r="E33" s="68"/>
      <c r="F33" s="69"/>
      <c r="G33" s="69"/>
      <c r="H33" s="99">
        <f t="shared" si="0"/>
        <v>0</v>
      </c>
      <c r="I33" s="70"/>
    </row>
    <row r="34" spans="1:9" ht="15.9" customHeight="1">
      <c r="A34" s="498"/>
      <c r="B34" s="98"/>
      <c r="C34" s="68"/>
      <c r="D34" s="68"/>
      <c r="E34" s="68"/>
      <c r="F34" s="69"/>
      <c r="G34" s="69"/>
      <c r="H34" s="99">
        <f t="shared" si="0"/>
        <v>0</v>
      </c>
      <c r="I34" s="70"/>
    </row>
    <row r="35" spans="1:9" ht="15.9" customHeight="1">
      <c r="A35" s="498"/>
      <c r="B35" s="98"/>
      <c r="C35" s="68"/>
      <c r="D35" s="68"/>
      <c r="E35" s="68"/>
      <c r="F35" s="69"/>
      <c r="G35" s="69"/>
      <c r="H35" s="99">
        <f t="shared" si="0"/>
        <v>0</v>
      </c>
      <c r="I35" s="70"/>
    </row>
    <row r="36" spans="1:9" ht="15.9" customHeight="1">
      <c r="A36" s="498"/>
      <c r="B36" s="98"/>
      <c r="C36" s="68"/>
      <c r="D36" s="68"/>
      <c r="E36" s="68"/>
      <c r="F36" s="69"/>
      <c r="G36" s="69"/>
      <c r="H36" s="99">
        <f t="shared" si="0"/>
        <v>0</v>
      </c>
      <c r="I36" s="70"/>
    </row>
    <row r="37" spans="1:9" ht="15.9" customHeight="1">
      <c r="A37" s="498"/>
      <c r="B37" s="98"/>
      <c r="C37" s="68"/>
      <c r="D37" s="68"/>
      <c r="E37" s="68"/>
      <c r="F37" s="69"/>
      <c r="G37" s="69"/>
      <c r="H37" s="99">
        <f t="shared" si="0"/>
        <v>0</v>
      </c>
      <c r="I37" s="70"/>
    </row>
    <row r="38" spans="1:9" ht="15.9" customHeight="1">
      <c r="A38" s="498"/>
      <c r="B38" s="98"/>
      <c r="C38" s="68"/>
      <c r="D38" s="68"/>
      <c r="E38" s="68"/>
      <c r="F38" s="69"/>
      <c r="G38" s="69"/>
      <c r="H38" s="99">
        <f t="shared" si="0"/>
        <v>0</v>
      </c>
      <c r="I38" s="70"/>
    </row>
    <row r="39" spans="1:9" ht="15.9" customHeight="1">
      <c r="A39" s="498"/>
      <c r="B39" s="98"/>
      <c r="C39" s="68"/>
      <c r="D39" s="68"/>
      <c r="E39" s="68"/>
      <c r="F39" s="69"/>
      <c r="G39" s="69"/>
      <c r="H39" s="99">
        <f t="shared" si="0"/>
        <v>0</v>
      </c>
      <c r="I39" s="70"/>
    </row>
    <row r="40" spans="1:9" ht="15.9" customHeight="1">
      <c r="A40" s="498"/>
      <c r="B40" s="98"/>
      <c r="C40" s="68"/>
      <c r="D40" s="68"/>
      <c r="E40" s="68"/>
      <c r="F40" s="69"/>
      <c r="G40" s="69"/>
      <c r="H40" s="99">
        <f t="shared" si="0"/>
        <v>0</v>
      </c>
      <c r="I40" s="70"/>
    </row>
    <row r="41" spans="1:9" ht="15.9" customHeight="1">
      <c r="A41" s="498"/>
      <c r="B41" s="98"/>
      <c r="C41" s="68"/>
      <c r="D41" s="68"/>
      <c r="E41" s="68"/>
      <c r="F41" s="69"/>
      <c r="G41" s="69"/>
      <c r="H41" s="99">
        <f t="shared" si="0"/>
        <v>0</v>
      </c>
      <c r="I41" s="70"/>
    </row>
    <row r="42" spans="1:9" ht="15.9" customHeight="1">
      <c r="A42" s="498"/>
      <c r="B42" s="98"/>
      <c r="C42" s="68"/>
      <c r="D42" s="68"/>
      <c r="E42" s="68"/>
      <c r="F42" s="69"/>
      <c r="G42" s="69"/>
      <c r="H42" s="99">
        <f t="shared" si="0"/>
        <v>0</v>
      </c>
      <c r="I42" s="70"/>
    </row>
    <row r="43" spans="1:9" ht="15.9" customHeight="1">
      <c r="A43" s="498"/>
      <c r="B43" s="98"/>
      <c r="C43" s="68"/>
      <c r="D43" s="68"/>
      <c r="E43" s="68"/>
      <c r="F43" s="69"/>
      <c r="G43" s="69"/>
      <c r="H43" s="99">
        <f t="shared" si="0"/>
        <v>0</v>
      </c>
      <c r="I43" s="70"/>
    </row>
    <row r="44" spans="1:9" ht="15.9" customHeight="1">
      <c r="A44" s="498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" customHeight="1">
      <c r="A45" s="498"/>
      <c r="B45" s="98"/>
      <c r="C45" s="68"/>
      <c r="D45" s="68"/>
      <c r="E45" s="68"/>
      <c r="F45" s="69"/>
      <c r="G45" s="69"/>
      <c r="H45" s="99">
        <f t="shared" si="0"/>
        <v>0</v>
      </c>
      <c r="I45" s="70"/>
    </row>
    <row r="46" spans="1:9" ht="15.9" customHeight="1">
      <c r="A46" s="498"/>
      <c r="B46" s="98"/>
      <c r="C46" s="113" t="s">
        <v>46</v>
      </c>
      <c r="D46" s="113"/>
      <c r="E46" s="113"/>
      <c r="F46" s="114"/>
      <c r="G46" s="114"/>
      <c r="H46" s="104">
        <f t="shared" si="0"/>
        <v>0</v>
      </c>
      <c r="I46" s="71"/>
    </row>
    <row r="47" spans="1:9" ht="15.9" customHeight="1">
      <c r="A47" s="498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" customHeight="1">
      <c r="A48" s="498"/>
      <c r="B48" s="102" t="s">
        <v>38</v>
      </c>
      <c r="C48" s="111"/>
      <c r="D48" s="111"/>
      <c r="E48" s="111"/>
      <c r="F48" s="112"/>
      <c r="G48" s="112"/>
      <c r="H48" s="103">
        <f t="shared" si="0"/>
        <v>0</v>
      </c>
      <c r="I48" s="75"/>
    </row>
    <row r="49" spans="1:9" ht="15.9" customHeight="1">
      <c r="A49" s="498"/>
      <c r="B49" s="98"/>
      <c r="C49" s="68"/>
      <c r="D49" s="68"/>
      <c r="E49" s="68"/>
      <c r="F49" s="69"/>
      <c r="G49" s="69"/>
      <c r="H49" s="99">
        <f t="shared" si="0"/>
        <v>0</v>
      </c>
      <c r="I49" s="70"/>
    </row>
    <row r="50" spans="1:9" ht="15.9" customHeight="1">
      <c r="A50" s="498"/>
      <c r="B50" s="98"/>
      <c r="C50" s="68"/>
      <c r="D50" s="68"/>
      <c r="E50" s="68"/>
      <c r="F50" s="69"/>
      <c r="G50" s="69"/>
      <c r="H50" s="99">
        <f t="shared" si="0"/>
        <v>0</v>
      </c>
      <c r="I50" s="70"/>
    </row>
    <row r="51" spans="1:9" ht="15.9" customHeight="1">
      <c r="A51" s="498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" customHeight="1">
      <c r="A52" s="498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" customHeight="1">
      <c r="A53" s="498"/>
      <c r="B53" s="98"/>
      <c r="C53" s="68"/>
      <c r="D53" s="68"/>
      <c r="E53" s="68"/>
      <c r="F53" s="69"/>
      <c r="G53" s="69"/>
      <c r="H53" s="99">
        <f t="shared" si="0"/>
        <v>0</v>
      </c>
      <c r="I53" s="70"/>
    </row>
    <row r="54" spans="1:9" ht="15.9" customHeight="1">
      <c r="A54" s="498"/>
      <c r="B54" s="98"/>
      <c r="C54" s="113" t="s">
        <v>46</v>
      </c>
      <c r="D54" s="113"/>
      <c r="E54" s="113"/>
      <c r="F54" s="114"/>
      <c r="G54" s="114"/>
      <c r="H54" s="104">
        <f t="shared" si="0"/>
        <v>0</v>
      </c>
      <c r="I54" s="71"/>
    </row>
    <row r="55" spans="1:9" ht="15.9" customHeight="1">
      <c r="A55" s="498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" customHeight="1">
      <c r="A56" s="76"/>
      <c r="B56" s="96" t="s">
        <v>41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" customHeight="1">
      <c r="A57" s="499" t="s">
        <v>71</v>
      </c>
      <c r="B57" s="106" t="s">
        <v>69</v>
      </c>
      <c r="C57" s="133"/>
      <c r="D57" s="75"/>
      <c r="E57" s="106" t="s">
        <v>50</v>
      </c>
      <c r="F57" s="112"/>
      <c r="G57" s="112"/>
      <c r="H57" s="103">
        <f>F57*G57</f>
        <v>0</v>
      </c>
      <c r="I57" s="75"/>
    </row>
    <row r="58" spans="1:9" ht="15.9" customHeight="1">
      <c r="A58" s="498"/>
      <c r="B58" s="107" t="s">
        <v>106</v>
      </c>
      <c r="C58" s="134"/>
      <c r="D58" s="70"/>
      <c r="E58" s="107" t="s">
        <v>49</v>
      </c>
      <c r="F58" s="69"/>
      <c r="G58" s="69"/>
      <c r="H58" s="99">
        <f t="shared" ref="H58:H64" si="1">F58*G58</f>
        <v>0</v>
      </c>
      <c r="I58" s="70"/>
    </row>
    <row r="59" spans="1:9" ht="15.9" customHeight="1">
      <c r="A59" s="498"/>
      <c r="B59" s="158" t="s">
        <v>107</v>
      </c>
      <c r="C59" s="134"/>
      <c r="D59" s="70"/>
      <c r="E59" s="107" t="s">
        <v>49</v>
      </c>
      <c r="F59" s="69"/>
      <c r="G59" s="69"/>
      <c r="H59" s="99">
        <f t="shared" si="1"/>
        <v>0</v>
      </c>
      <c r="I59" s="70"/>
    </row>
    <row r="60" spans="1:9" ht="15.9" customHeight="1">
      <c r="A60" s="498"/>
      <c r="B60" s="107" t="s">
        <v>108</v>
      </c>
      <c r="C60" s="134"/>
      <c r="D60" s="70"/>
      <c r="E60" s="107" t="s">
        <v>49</v>
      </c>
      <c r="F60" s="69"/>
      <c r="G60" s="69"/>
      <c r="H60" s="99">
        <f t="shared" si="1"/>
        <v>0</v>
      </c>
      <c r="I60" s="70"/>
    </row>
    <row r="61" spans="1:9" ht="15.9" customHeight="1">
      <c r="A61" s="498"/>
      <c r="B61" s="107" t="s">
        <v>109</v>
      </c>
      <c r="C61" s="134"/>
      <c r="D61" s="70"/>
      <c r="E61" s="107" t="s">
        <v>49</v>
      </c>
      <c r="F61" s="69"/>
      <c r="G61" s="69"/>
      <c r="H61" s="99">
        <f t="shared" si="1"/>
        <v>0</v>
      </c>
      <c r="I61" s="70"/>
    </row>
    <row r="62" spans="1:9" ht="15.9" customHeight="1">
      <c r="A62" s="498"/>
      <c r="B62" s="107" t="s">
        <v>110</v>
      </c>
      <c r="C62" s="134"/>
      <c r="D62" s="70"/>
      <c r="E62" s="107" t="s">
        <v>49</v>
      </c>
      <c r="F62" s="69"/>
      <c r="G62" s="69"/>
      <c r="H62" s="99">
        <f t="shared" si="1"/>
        <v>0</v>
      </c>
      <c r="I62" s="70"/>
    </row>
    <row r="63" spans="1:9" ht="15.9" customHeight="1">
      <c r="A63" s="498"/>
      <c r="B63" s="107" t="s">
        <v>111</v>
      </c>
      <c r="C63" s="134"/>
      <c r="D63" s="70"/>
      <c r="E63" s="107" t="s">
        <v>49</v>
      </c>
      <c r="F63" s="69"/>
      <c r="G63" s="69"/>
      <c r="H63" s="99">
        <f t="shared" si="1"/>
        <v>0</v>
      </c>
      <c r="I63" s="70"/>
    </row>
    <row r="64" spans="1:9" ht="15.9" customHeight="1">
      <c r="A64" s="498"/>
      <c r="B64" s="108" t="s">
        <v>112</v>
      </c>
      <c r="C64" s="135"/>
      <c r="D64" s="71"/>
      <c r="E64" s="108" t="s">
        <v>49</v>
      </c>
      <c r="F64" s="114"/>
      <c r="G64" s="114"/>
      <c r="H64" s="104">
        <f t="shared" si="1"/>
        <v>0</v>
      </c>
      <c r="I64" s="71"/>
    </row>
    <row r="65" spans="1:9" ht="15.9" customHeight="1">
      <c r="A65" s="76"/>
      <c r="B65" s="95" t="s">
        <v>40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" customHeight="1">
      <c r="A66" s="52"/>
      <c r="B66" s="95" t="s">
        <v>164</v>
      </c>
      <c r="C66" s="73"/>
      <c r="D66" s="74"/>
      <c r="E66" s="74"/>
      <c r="F66" s="30"/>
      <c r="G66" s="30"/>
      <c r="H66" s="56">
        <f>'단위공사별(집계)'!L14+'단위공사별(집계)'!I14</f>
        <v>0</v>
      </c>
      <c r="I66" s="74"/>
    </row>
    <row r="67" spans="1:9" ht="15.9" customHeight="1">
      <c r="A67" s="52"/>
      <c r="B67" s="95" t="s">
        <v>25</v>
      </c>
      <c r="C67" s="73"/>
      <c r="D67" s="74"/>
      <c r="E67" s="74"/>
      <c r="F67" s="30"/>
      <c r="G67" s="55"/>
      <c r="H67" s="115"/>
      <c r="I67" s="73"/>
    </row>
    <row r="68" spans="1:9" ht="15.9" customHeight="1">
      <c r="A68" s="52"/>
      <c r="B68" s="95" t="s">
        <v>145</v>
      </c>
      <c r="C68" s="73"/>
      <c r="D68" s="74"/>
      <c r="E68" s="74"/>
      <c r="F68" s="30"/>
      <c r="G68" s="55"/>
      <c r="H68" s="115"/>
      <c r="I68" s="73"/>
    </row>
    <row r="69" spans="1:9" ht="15.9" customHeight="1">
      <c r="A69" s="52"/>
      <c r="B69" s="95" t="s">
        <v>146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613C-1FA0-42FE-A156-DD0F6E353AA1}">
  <sheetPr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B69" sqref="B69"/>
      <selection pane="topRight" activeCell="B69" sqref="B69"/>
      <selection pane="bottomLeft" activeCell="B69" sqref="B69"/>
      <selection pane="bottomRight" activeCell="H66" sqref="H66"/>
    </sheetView>
  </sheetViews>
  <sheetFormatPr defaultColWidth="9" defaultRowHeight="14.4"/>
  <cols>
    <col min="1" max="1" width="5" style="28" customWidth="1"/>
    <col min="2" max="2" width="17.8984375" style="28" bestFit="1" customWidth="1"/>
    <col min="3" max="3" width="23.59765625" style="28" customWidth="1"/>
    <col min="4" max="4" width="18.19921875" style="28" customWidth="1"/>
    <col min="5" max="5" width="5.19921875" style="28" bestFit="1" customWidth="1"/>
    <col min="6" max="6" width="9" style="31"/>
    <col min="7" max="7" width="11.8984375" style="31" customWidth="1"/>
    <col min="8" max="8" width="13.59765625" style="31" customWidth="1"/>
    <col min="9" max="9" width="12.69921875" style="28" customWidth="1"/>
    <col min="10" max="16384" width="9" style="28"/>
  </cols>
  <sheetData>
    <row r="1" spans="1:9" ht="22.5" customHeight="1">
      <c r="B1" s="97" t="s">
        <v>79</v>
      </c>
      <c r="C1" s="139"/>
      <c r="F1" s="65"/>
      <c r="I1" s="28" t="s">
        <v>81</v>
      </c>
    </row>
    <row r="2" spans="1:9" s="29" customFormat="1" ht="16.5" customHeight="1">
      <c r="A2" s="413" t="s">
        <v>30</v>
      </c>
      <c r="B2" s="493"/>
      <c r="C2" s="66" t="s">
        <v>43</v>
      </c>
      <c r="D2" s="32" t="s">
        <v>31</v>
      </c>
      <c r="E2" s="32" t="s">
        <v>32</v>
      </c>
      <c r="F2" s="100" t="s">
        <v>33</v>
      </c>
      <c r="G2" s="100" t="s">
        <v>34</v>
      </c>
      <c r="H2" s="100" t="s">
        <v>35</v>
      </c>
      <c r="I2" s="32" t="s">
        <v>45</v>
      </c>
    </row>
    <row r="3" spans="1:9" ht="15.9" customHeight="1">
      <c r="A3" s="496" t="s">
        <v>80</v>
      </c>
      <c r="B3" s="98" t="s">
        <v>36</v>
      </c>
      <c r="C3" s="111"/>
      <c r="D3" s="111"/>
      <c r="E3" s="111"/>
      <c r="F3" s="112"/>
      <c r="G3" s="112"/>
      <c r="H3" s="103">
        <f>IF(F3=0,G3,G3*F3)</f>
        <v>0</v>
      </c>
      <c r="I3" s="75"/>
    </row>
    <row r="4" spans="1:9" ht="15.9" customHeight="1">
      <c r="A4" s="498"/>
      <c r="B4" s="98"/>
      <c r="C4" s="68"/>
      <c r="D4" s="68"/>
      <c r="E4" s="68"/>
      <c r="F4" s="69"/>
      <c r="G4" s="69"/>
      <c r="H4" s="99">
        <f>IF(F4=0,G4,G4*F4)</f>
        <v>0</v>
      </c>
      <c r="I4" s="70"/>
    </row>
    <row r="5" spans="1:9" ht="15.9" customHeight="1">
      <c r="A5" s="498"/>
      <c r="B5" s="98"/>
      <c r="C5" s="68"/>
      <c r="D5" s="68"/>
      <c r="E5" s="68"/>
      <c r="F5" s="69"/>
      <c r="G5" s="69"/>
      <c r="H5" s="99">
        <f t="shared" ref="H5:H54" si="0">IF(F5=0,G5,G5*F5)</f>
        <v>0</v>
      </c>
      <c r="I5" s="70"/>
    </row>
    <row r="6" spans="1:9" ht="15.9" customHeight="1">
      <c r="A6" s="498"/>
      <c r="B6" s="98"/>
      <c r="C6" s="68"/>
      <c r="D6" s="68"/>
      <c r="E6" s="68"/>
      <c r="F6" s="69"/>
      <c r="G6" s="69"/>
      <c r="H6" s="99">
        <f t="shared" si="0"/>
        <v>0</v>
      </c>
      <c r="I6" s="70"/>
    </row>
    <row r="7" spans="1:9" ht="15.9" customHeight="1">
      <c r="A7" s="498"/>
      <c r="B7" s="98"/>
      <c r="C7" s="68"/>
      <c r="D7" s="68"/>
      <c r="E7" s="68"/>
      <c r="F7" s="69"/>
      <c r="G7" s="69"/>
      <c r="H7" s="99">
        <f t="shared" si="0"/>
        <v>0</v>
      </c>
      <c r="I7" s="70"/>
    </row>
    <row r="8" spans="1:9" ht="15.9" customHeight="1">
      <c r="A8" s="498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" customHeight="1">
      <c r="A9" s="498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" customHeight="1">
      <c r="A10" s="498"/>
      <c r="B10" s="98"/>
      <c r="C10" s="68"/>
      <c r="D10" s="68"/>
      <c r="E10" s="68"/>
      <c r="F10" s="69"/>
      <c r="G10" s="69"/>
      <c r="H10" s="99">
        <f t="shared" si="0"/>
        <v>0</v>
      </c>
      <c r="I10" s="70"/>
    </row>
    <row r="11" spans="1:9" ht="15.9" customHeight="1">
      <c r="A11" s="498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" customHeight="1">
      <c r="A12" s="498"/>
      <c r="B12" s="98"/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" customHeight="1">
      <c r="A13" s="498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" customHeight="1">
      <c r="A14" s="498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" customHeight="1">
      <c r="A15" s="498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" customHeight="1">
      <c r="A16" s="498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" customHeight="1">
      <c r="A17" s="498"/>
      <c r="B17" s="98"/>
      <c r="C17" s="68"/>
      <c r="D17" s="68"/>
      <c r="E17" s="68"/>
      <c r="F17" s="69"/>
      <c r="G17" s="69"/>
      <c r="H17" s="99">
        <f t="shared" si="0"/>
        <v>0</v>
      </c>
      <c r="I17" s="70"/>
    </row>
    <row r="18" spans="1:9" ht="15.9" customHeight="1">
      <c r="A18" s="498"/>
      <c r="B18" s="98"/>
      <c r="C18" s="68"/>
      <c r="D18" s="68"/>
      <c r="E18" s="68"/>
      <c r="F18" s="69"/>
      <c r="G18" s="69"/>
      <c r="H18" s="99">
        <f t="shared" si="0"/>
        <v>0</v>
      </c>
      <c r="I18" s="70"/>
    </row>
    <row r="19" spans="1:9" ht="15.9" customHeight="1">
      <c r="A19" s="498"/>
      <c r="B19" s="98"/>
      <c r="C19" s="68"/>
      <c r="D19" s="68"/>
      <c r="E19" s="68"/>
      <c r="F19" s="69"/>
      <c r="G19" s="69"/>
      <c r="H19" s="99">
        <f t="shared" si="0"/>
        <v>0</v>
      </c>
      <c r="I19" s="70"/>
    </row>
    <row r="20" spans="1:9" ht="15.9" customHeight="1">
      <c r="A20" s="498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" customHeight="1">
      <c r="A21" s="498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" customHeight="1">
      <c r="A22" s="498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" customHeight="1">
      <c r="A23" s="498"/>
      <c r="B23" s="98"/>
      <c r="C23" s="113" t="s">
        <v>46</v>
      </c>
      <c r="D23" s="234"/>
      <c r="E23" s="234"/>
      <c r="F23" s="235"/>
      <c r="G23" s="235"/>
      <c r="H23" s="236">
        <f t="shared" si="0"/>
        <v>0</v>
      </c>
      <c r="I23" s="237"/>
    </row>
    <row r="24" spans="1:9" ht="15.9" customHeight="1">
      <c r="A24" s="498"/>
      <c r="B24" s="72"/>
      <c r="C24" s="240"/>
      <c r="D24" s="240"/>
      <c r="E24" s="240"/>
      <c r="F24" s="241"/>
      <c r="G24" s="241"/>
      <c r="H24" s="242">
        <f>SUM(H3:H23)</f>
        <v>0</v>
      </c>
      <c r="I24" s="240"/>
    </row>
    <row r="25" spans="1:9" ht="15.9" customHeight="1">
      <c r="A25" s="498"/>
      <c r="B25" s="98" t="s">
        <v>153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" customHeight="1">
      <c r="A26" s="498"/>
      <c r="B26" s="98" t="s">
        <v>154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" customHeight="1">
      <c r="A27" s="498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" customHeight="1">
      <c r="A28" s="498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" customHeight="1">
      <c r="A29" s="498"/>
      <c r="B29" s="98"/>
      <c r="C29" s="113" t="s">
        <v>46</v>
      </c>
      <c r="D29" s="113"/>
      <c r="E29" s="113"/>
      <c r="F29" s="114"/>
      <c r="G29" s="114"/>
      <c r="H29" s="99">
        <f t="shared" si="0"/>
        <v>0</v>
      </c>
      <c r="I29" s="71"/>
    </row>
    <row r="30" spans="1:9" ht="15.9" customHeight="1">
      <c r="A30" s="498"/>
      <c r="B30" s="72"/>
      <c r="C30" s="101"/>
      <c r="D30" s="91"/>
      <c r="E30" s="91"/>
      <c r="F30" s="140"/>
      <c r="G30" s="40"/>
      <c r="H30" s="30">
        <f>SUM(H25:H29)</f>
        <v>0</v>
      </c>
      <c r="I30" s="74"/>
    </row>
    <row r="31" spans="1:9" ht="15.9" customHeight="1">
      <c r="A31" s="498"/>
      <c r="B31" s="102" t="s">
        <v>37</v>
      </c>
      <c r="C31" s="111"/>
      <c r="D31" s="111"/>
      <c r="E31" s="111"/>
      <c r="F31" s="112"/>
      <c r="G31" s="112"/>
      <c r="H31" s="103">
        <f t="shared" si="0"/>
        <v>0</v>
      </c>
      <c r="I31" s="75"/>
    </row>
    <row r="32" spans="1:9" ht="15.9" customHeight="1">
      <c r="A32" s="498"/>
      <c r="B32" s="98" t="s">
        <v>44</v>
      </c>
      <c r="C32" s="68"/>
      <c r="D32" s="68"/>
      <c r="E32" s="68"/>
      <c r="F32" s="69"/>
      <c r="G32" s="69"/>
      <c r="H32" s="99">
        <f t="shared" si="0"/>
        <v>0</v>
      </c>
      <c r="I32" s="70"/>
    </row>
    <row r="33" spans="1:9" ht="15.9" customHeight="1">
      <c r="A33" s="498"/>
      <c r="B33" s="98"/>
      <c r="C33" s="68"/>
      <c r="D33" s="68"/>
      <c r="E33" s="68"/>
      <c r="F33" s="69"/>
      <c r="G33" s="69"/>
      <c r="H33" s="99">
        <f t="shared" si="0"/>
        <v>0</v>
      </c>
      <c r="I33" s="70"/>
    </row>
    <row r="34" spans="1:9" ht="15.9" customHeight="1">
      <c r="A34" s="498"/>
      <c r="B34" s="98"/>
      <c r="C34" s="68"/>
      <c r="D34" s="68"/>
      <c r="E34" s="68"/>
      <c r="F34" s="69"/>
      <c r="G34" s="69"/>
      <c r="H34" s="99">
        <f t="shared" si="0"/>
        <v>0</v>
      </c>
      <c r="I34" s="70"/>
    </row>
    <row r="35" spans="1:9" ht="15.9" customHeight="1">
      <c r="A35" s="498"/>
      <c r="B35" s="98"/>
      <c r="C35" s="68"/>
      <c r="D35" s="68"/>
      <c r="E35" s="68"/>
      <c r="F35" s="69"/>
      <c r="G35" s="69"/>
      <c r="H35" s="99">
        <f t="shared" si="0"/>
        <v>0</v>
      </c>
      <c r="I35" s="70"/>
    </row>
    <row r="36" spans="1:9" ht="15.9" customHeight="1">
      <c r="A36" s="498"/>
      <c r="B36" s="98"/>
      <c r="C36" s="68"/>
      <c r="D36" s="68"/>
      <c r="E36" s="68"/>
      <c r="F36" s="69"/>
      <c r="G36" s="69"/>
      <c r="H36" s="99">
        <f t="shared" si="0"/>
        <v>0</v>
      </c>
      <c r="I36" s="70"/>
    </row>
    <row r="37" spans="1:9" ht="15.9" customHeight="1">
      <c r="A37" s="498"/>
      <c r="B37" s="98"/>
      <c r="C37" s="68"/>
      <c r="D37" s="68"/>
      <c r="E37" s="68"/>
      <c r="F37" s="69"/>
      <c r="G37" s="69"/>
      <c r="H37" s="99">
        <f t="shared" si="0"/>
        <v>0</v>
      </c>
      <c r="I37" s="70"/>
    </row>
    <row r="38" spans="1:9" ht="15.9" customHeight="1">
      <c r="A38" s="498"/>
      <c r="B38" s="98"/>
      <c r="C38" s="68"/>
      <c r="D38" s="68"/>
      <c r="E38" s="68"/>
      <c r="F38" s="69"/>
      <c r="G38" s="69"/>
      <c r="H38" s="99">
        <f t="shared" si="0"/>
        <v>0</v>
      </c>
      <c r="I38" s="70"/>
    </row>
    <row r="39" spans="1:9" ht="15.9" customHeight="1">
      <c r="A39" s="498"/>
      <c r="B39" s="98"/>
      <c r="C39" s="68"/>
      <c r="D39" s="68"/>
      <c r="E39" s="68"/>
      <c r="F39" s="69"/>
      <c r="G39" s="69"/>
      <c r="H39" s="99">
        <f t="shared" si="0"/>
        <v>0</v>
      </c>
      <c r="I39" s="70"/>
    </row>
    <row r="40" spans="1:9" ht="15.9" customHeight="1">
      <c r="A40" s="498"/>
      <c r="B40" s="98"/>
      <c r="C40" s="68"/>
      <c r="D40" s="68"/>
      <c r="E40" s="68"/>
      <c r="F40" s="69"/>
      <c r="G40" s="69"/>
      <c r="H40" s="99">
        <f t="shared" si="0"/>
        <v>0</v>
      </c>
      <c r="I40" s="70"/>
    </row>
    <row r="41" spans="1:9" ht="15.9" customHeight="1">
      <c r="A41" s="498"/>
      <c r="B41" s="98"/>
      <c r="C41" s="68"/>
      <c r="D41" s="68"/>
      <c r="E41" s="68"/>
      <c r="F41" s="69"/>
      <c r="G41" s="69"/>
      <c r="H41" s="99">
        <f t="shared" si="0"/>
        <v>0</v>
      </c>
      <c r="I41" s="70"/>
    </row>
    <row r="42" spans="1:9" ht="15.9" customHeight="1">
      <c r="A42" s="498"/>
      <c r="B42" s="98"/>
      <c r="C42" s="68"/>
      <c r="D42" s="68"/>
      <c r="E42" s="68"/>
      <c r="F42" s="69"/>
      <c r="G42" s="69"/>
      <c r="H42" s="99">
        <f t="shared" si="0"/>
        <v>0</v>
      </c>
      <c r="I42" s="70"/>
    </row>
    <row r="43" spans="1:9" ht="15.9" customHeight="1">
      <c r="A43" s="498"/>
      <c r="B43" s="98"/>
      <c r="C43" s="68"/>
      <c r="D43" s="68"/>
      <c r="E43" s="68"/>
      <c r="F43" s="69"/>
      <c r="G43" s="69"/>
      <c r="H43" s="99">
        <f t="shared" si="0"/>
        <v>0</v>
      </c>
      <c r="I43" s="70"/>
    </row>
    <row r="44" spans="1:9" ht="15.9" customHeight="1">
      <c r="A44" s="498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" customHeight="1">
      <c r="A45" s="498"/>
      <c r="B45" s="98"/>
      <c r="C45" s="68"/>
      <c r="D45" s="68"/>
      <c r="E45" s="68"/>
      <c r="F45" s="69"/>
      <c r="G45" s="69"/>
      <c r="H45" s="99">
        <f t="shared" si="0"/>
        <v>0</v>
      </c>
      <c r="I45" s="70"/>
    </row>
    <row r="46" spans="1:9" ht="15.9" customHeight="1">
      <c r="A46" s="498"/>
      <c r="B46" s="98"/>
      <c r="C46" s="113" t="s">
        <v>46</v>
      </c>
      <c r="D46" s="113"/>
      <c r="E46" s="113"/>
      <c r="F46" s="114"/>
      <c r="G46" s="114"/>
      <c r="H46" s="104">
        <f t="shared" si="0"/>
        <v>0</v>
      </c>
      <c r="I46" s="71"/>
    </row>
    <row r="47" spans="1:9" ht="15.9" customHeight="1">
      <c r="A47" s="498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" customHeight="1">
      <c r="A48" s="498"/>
      <c r="B48" s="102" t="s">
        <v>38</v>
      </c>
      <c r="C48" s="111"/>
      <c r="D48" s="111"/>
      <c r="E48" s="111"/>
      <c r="F48" s="112"/>
      <c r="G48" s="112"/>
      <c r="H48" s="103">
        <f t="shared" si="0"/>
        <v>0</v>
      </c>
      <c r="I48" s="75"/>
    </row>
    <row r="49" spans="1:9" ht="15.9" customHeight="1">
      <c r="A49" s="498"/>
      <c r="B49" s="98"/>
      <c r="C49" s="68"/>
      <c r="D49" s="68"/>
      <c r="E49" s="68"/>
      <c r="F49" s="69"/>
      <c r="G49" s="69"/>
      <c r="H49" s="99">
        <f t="shared" si="0"/>
        <v>0</v>
      </c>
      <c r="I49" s="70"/>
    </row>
    <row r="50" spans="1:9" ht="15.9" customHeight="1">
      <c r="A50" s="498"/>
      <c r="B50" s="98"/>
      <c r="C50" s="68"/>
      <c r="D50" s="68"/>
      <c r="E50" s="68"/>
      <c r="F50" s="69"/>
      <c r="G50" s="69"/>
      <c r="H50" s="99">
        <f t="shared" si="0"/>
        <v>0</v>
      </c>
      <c r="I50" s="70"/>
    </row>
    <row r="51" spans="1:9" ht="15.9" customHeight="1">
      <c r="A51" s="498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" customHeight="1">
      <c r="A52" s="498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" customHeight="1">
      <c r="A53" s="498"/>
      <c r="B53" s="98"/>
      <c r="C53" s="68"/>
      <c r="D53" s="68"/>
      <c r="E53" s="68"/>
      <c r="F53" s="69"/>
      <c r="G53" s="69"/>
      <c r="H53" s="99">
        <f t="shared" si="0"/>
        <v>0</v>
      </c>
      <c r="I53" s="70"/>
    </row>
    <row r="54" spans="1:9" ht="15.9" customHeight="1">
      <c r="A54" s="498"/>
      <c r="B54" s="98"/>
      <c r="C54" s="113" t="s">
        <v>46</v>
      </c>
      <c r="D54" s="113"/>
      <c r="E54" s="113"/>
      <c r="F54" s="114"/>
      <c r="G54" s="114"/>
      <c r="H54" s="104">
        <f t="shared" si="0"/>
        <v>0</v>
      </c>
      <c r="I54" s="71"/>
    </row>
    <row r="55" spans="1:9" ht="15.9" customHeight="1">
      <c r="A55" s="498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" customHeight="1">
      <c r="A56" s="76"/>
      <c r="B56" s="96" t="s">
        <v>41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" customHeight="1">
      <c r="A57" s="499" t="s">
        <v>71</v>
      </c>
      <c r="B57" s="106" t="s">
        <v>69</v>
      </c>
      <c r="C57" s="133"/>
      <c r="D57" s="75"/>
      <c r="E57" s="106" t="s">
        <v>50</v>
      </c>
      <c r="F57" s="112"/>
      <c r="G57" s="112"/>
      <c r="H57" s="103">
        <f>F57*G57</f>
        <v>0</v>
      </c>
      <c r="I57" s="75"/>
    </row>
    <row r="58" spans="1:9" ht="15.9" customHeight="1">
      <c r="A58" s="498"/>
      <c r="B58" s="107" t="s">
        <v>106</v>
      </c>
      <c r="C58" s="134"/>
      <c r="D58" s="70"/>
      <c r="E58" s="107" t="s">
        <v>49</v>
      </c>
      <c r="F58" s="69"/>
      <c r="G58" s="69"/>
      <c r="H58" s="99">
        <f t="shared" ref="H58:H64" si="1">F58*G58</f>
        <v>0</v>
      </c>
      <c r="I58" s="70"/>
    </row>
    <row r="59" spans="1:9" ht="15.9" customHeight="1">
      <c r="A59" s="498"/>
      <c r="B59" s="158" t="s">
        <v>107</v>
      </c>
      <c r="C59" s="134"/>
      <c r="D59" s="70"/>
      <c r="E59" s="107" t="s">
        <v>49</v>
      </c>
      <c r="F59" s="69"/>
      <c r="G59" s="69"/>
      <c r="H59" s="99">
        <f t="shared" si="1"/>
        <v>0</v>
      </c>
      <c r="I59" s="70"/>
    </row>
    <row r="60" spans="1:9" ht="15.9" customHeight="1">
      <c r="A60" s="498"/>
      <c r="B60" s="107" t="s">
        <v>108</v>
      </c>
      <c r="C60" s="134"/>
      <c r="D60" s="70"/>
      <c r="E60" s="107" t="s">
        <v>49</v>
      </c>
      <c r="F60" s="69"/>
      <c r="G60" s="69"/>
      <c r="H60" s="99">
        <f t="shared" si="1"/>
        <v>0</v>
      </c>
      <c r="I60" s="70"/>
    </row>
    <row r="61" spans="1:9" ht="15.9" customHeight="1">
      <c r="A61" s="498"/>
      <c r="B61" s="107" t="s">
        <v>109</v>
      </c>
      <c r="C61" s="134"/>
      <c r="D61" s="70"/>
      <c r="E61" s="107" t="s">
        <v>49</v>
      </c>
      <c r="F61" s="69"/>
      <c r="G61" s="69"/>
      <c r="H61" s="99">
        <f t="shared" si="1"/>
        <v>0</v>
      </c>
      <c r="I61" s="70"/>
    </row>
    <row r="62" spans="1:9" ht="15.9" customHeight="1">
      <c r="A62" s="498"/>
      <c r="B62" s="107" t="s">
        <v>110</v>
      </c>
      <c r="C62" s="134"/>
      <c r="D62" s="70"/>
      <c r="E62" s="107" t="s">
        <v>49</v>
      </c>
      <c r="F62" s="69"/>
      <c r="G62" s="69"/>
      <c r="H62" s="99">
        <f t="shared" si="1"/>
        <v>0</v>
      </c>
      <c r="I62" s="70"/>
    </row>
    <row r="63" spans="1:9" ht="15.9" customHeight="1">
      <c r="A63" s="498"/>
      <c r="B63" s="107" t="s">
        <v>111</v>
      </c>
      <c r="C63" s="134"/>
      <c r="D63" s="70"/>
      <c r="E63" s="107" t="s">
        <v>49</v>
      </c>
      <c r="F63" s="69"/>
      <c r="G63" s="69"/>
      <c r="H63" s="99">
        <f t="shared" si="1"/>
        <v>0</v>
      </c>
      <c r="I63" s="70"/>
    </row>
    <row r="64" spans="1:9" ht="15.9" customHeight="1">
      <c r="A64" s="498"/>
      <c r="B64" s="108" t="s">
        <v>112</v>
      </c>
      <c r="C64" s="135"/>
      <c r="D64" s="71"/>
      <c r="E64" s="108" t="s">
        <v>49</v>
      </c>
      <c r="F64" s="114"/>
      <c r="G64" s="114"/>
      <c r="H64" s="104">
        <f t="shared" si="1"/>
        <v>0</v>
      </c>
      <c r="I64" s="71"/>
    </row>
    <row r="65" spans="1:9" ht="15.9" customHeight="1">
      <c r="A65" s="76"/>
      <c r="B65" s="95" t="s">
        <v>40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" customHeight="1">
      <c r="A66" s="52"/>
      <c r="B66" s="95" t="s">
        <v>164</v>
      </c>
      <c r="C66" s="73"/>
      <c r="D66" s="74"/>
      <c r="E66" s="74"/>
      <c r="F66" s="30"/>
      <c r="G66" s="30"/>
      <c r="H66" s="56">
        <f>'단위공사별(집계)'!L14+'단위공사별(집계)'!I14</f>
        <v>0</v>
      </c>
      <c r="I66" s="74"/>
    </row>
    <row r="67" spans="1:9" ht="15.9" customHeight="1">
      <c r="A67" s="52"/>
      <c r="B67" s="95" t="s">
        <v>25</v>
      </c>
      <c r="C67" s="73"/>
      <c r="D67" s="74"/>
      <c r="E67" s="74"/>
      <c r="F67" s="30"/>
      <c r="G67" s="55"/>
      <c r="H67" s="115"/>
      <c r="I67" s="73"/>
    </row>
    <row r="68" spans="1:9" ht="15.9" customHeight="1">
      <c r="A68" s="52"/>
      <c r="B68" s="95" t="s">
        <v>145</v>
      </c>
      <c r="C68" s="73"/>
      <c r="D68" s="74"/>
      <c r="E68" s="74"/>
      <c r="F68" s="30"/>
      <c r="G68" s="55"/>
      <c r="H68" s="115"/>
      <c r="I68" s="73"/>
    </row>
    <row r="69" spans="1:9" ht="15.9" customHeight="1">
      <c r="A69" s="52"/>
      <c r="B69" s="95" t="s">
        <v>146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192B-4922-4301-B96E-D0CA583E0785}">
  <sheetPr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B69" sqref="B69"/>
      <selection pane="topRight" activeCell="B69" sqref="B69"/>
      <selection pane="bottomLeft" activeCell="B69" sqref="B69"/>
      <selection pane="bottomRight" activeCell="B67" sqref="B67"/>
    </sheetView>
  </sheetViews>
  <sheetFormatPr defaultColWidth="9" defaultRowHeight="14.4"/>
  <cols>
    <col min="1" max="1" width="5" style="28" customWidth="1"/>
    <col min="2" max="2" width="17.8984375" style="28" bestFit="1" customWidth="1"/>
    <col min="3" max="3" width="23.59765625" style="28" customWidth="1"/>
    <col min="4" max="4" width="18.19921875" style="28" customWidth="1"/>
    <col min="5" max="5" width="5.19921875" style="28" bestFit="1" customWidth="1"/>
    <col min="6" max="6" width="9" style="31"/>
    <col min="7" max="7" width="11.8984375" style="31" customWidth="1"/>
    <col min="8" max="8" width="13.59765625" style="31" customWidth="1"/>
    <col min="9" max="9" width="12.69921875" style="28" customWidth="1"/>
    <col min="10" max="16384" width="9" style="28"/>
  </cols>
  <sheetData>
    <row r="1" spans="1:9" ht="22.5" customHeight="1">
      <c r="B1" s="97" t="s">
        <v>79</v>
      </c>
      <c r="C1" s="139"/>
      <c r="F1" s="65"/>
      <c r="I1" s="28" t="s">
        <v>81</v>
      </c>
    </row>
    <row r="2" spans="1:9" s="29" customFormat="1" ht="16.5" customHeight="1">
      <c r="A2" s="413" t="s">
        <v>30</v>
      </c>
      <c r="B2" s="493"/>
      <c r="C2" s="66" t="s">
        <v>43</v>
      </c>
      <c r="D2" s="32" t="s">
        <v>31</v>
      </c>
      <c r="E2" s="32" t="s">
        <v>32</v>
      </c>
      <c r="F2" s="100" t="s">
        <v>33</v>
      </c>
      <c r="G2" s="100" t="s">
        <v>34</v>
      </c>
      <c r="H2" s="100" t="s">
        <v>35</v>
      </c>
      <c r="I2" s="32" t="s">
        <v>45</v>
      </c>
    </row>
    <row r="3" spans="1:9" ht="15.9" customHeight="1">
      <c r="A3" s="496" t="s">
        <v>80</v>
      </c>
      <c r="B3" s="98" t="s">
        <v>36</v>
      </c>
      <c r="C3" s="111"/>
      <c r="D3" s="111"/>
      <c r="E3" s="111"/>
      <c r="F3" s="112"/>
      <c r="G3" s="112"/>
      <c r="H3" s="103">
        <f>IF(F3=0,G3,G3*F3)</f>
        <v>0</v>
      </c>
      <c r="I3" s="75"/>
    </row>
    <row r="4" spans="1:9" ht="15.9" customHeight="1">
      <c r="A4" s="498"/>
      <c r="B4" s="98"/>
      <c r="C4" s="68"/>
      <c r="D4" s="68"/>
      <c r="E4" s="68"/>
      <c r="F4" s="69"/>
      <c r="G4" s="69"/>
      <c r="H4" s="99">
        <f>IF(F4=0,G4,G4*F4)</f>
        <v>0</v>
      </c>
      <c r="I4" s="70"/>
    </row>
    <row r="5" spans="1:9" ht="15.9" customHeight="1">
      <c r="A5" s="498"/>
      <c r="B5" s="98"/>
      <c r="C5" s="68"/>
      <c r="D5" s="68"/>
      <c r="E5" s="68"/>
      <c r="F5" s="69"/>
      <c r="G5" s="69"/>
      <c r="H5" s="99">
        <f t="shared" ref="H5:H54" si="0">IF(F5=0,G5,G5*F5)</f>
        <v>0</v>
      </c>
      <c r="I5" s="70"/>
    </row>
    <row r="6" spans="1:9" ht="15.9" customHeight="1">
      <c r="A6" s="498"/>
      <c r="B6" s="98"/>
      <c r="C6" s="68"/>
      <c r="D6" s="68"/>
      <c r="E6" s="68"/>
      <c r="F6" s="69"/>
      <c r="G6" s="69"/>
      <c r="H6" s="99">
        <f t="shared" si="0"/>
        <v>0</v>
      </c>
      <c r="I6" s="70"/>
    </row>
    <row r="7" spans="1:9" ht="15.9" customHeight="1">
      <c r="A7" s="498"/>
      <c r="B7" s="98"/>
      <c r="C7" s="68"/>
      <c r="D7" s="68"/>
      <c r="E7" s="68"/>
      <c r="F7" s="69"/>
      <c r="G7" s="69"/>
      <c r="H7" s="99">
        <f t="shared" si="0"/>
        <v>0</v>
      </c>
      <c r="I7" s="70"/>
    </row>
    <row r="8" spans="1:9" ht="15.9" customHeight="1">
      <c r="A8" s="498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" customHeight="1">
      <c r="A9" s="498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" customHeight="1">
      <c r="A10" s="498"/>
      <c r="B10" s="98"/>
      <c r="C10" s="68"/>
      <c r="D10" s="68"/>
      <c r="E10" s="68"/>
      <c r="F10" s="69"/>
      <c r="G10" s="69"/>
      <c r="H10" s="99">
        <f t="shared" si="0"/>
        <v>0</v>
      </c>
      <c r="I10" s="70"/>
    </row>
    <row r="11" spans="1:9" ht="15.9" customHeight="1">
      <c r="A11" s="498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" customHeight="1">
      <c r="A12" s="498"/>
      <c r="B12" s="98"/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" customHeight="1">
      <c r="A13" s="498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" customHeight="1">
      <c r="A14" s="498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" customHeight="1">
      <c r="A15" s="498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" customHeight="1">
      <c r="A16" s="498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" customHeight="1">
      <c r="A17" s="498"/>
      <c r="B17" s="98"/>
      <c r="C17" s="68"/>
      <c r="D17" s="68"/>
      <c r="E17" s="68"/>
      <c r="F17" s="69"/>
      <c r="G17" s="69"/>
      <c r="H17" s="99">
        <f t="shared" si="0"/>
        <v>0</v>
      </c>
      <c r="I17" s="70"/>
    </row>
    <row r="18" spans="1:9" ht="15.9" customHeight="1">
      <c r="A18" s="498"/>
      <c r="B18" s="98"/>
      <c r="C18" s="68"/>
      <c r="D18" s="68"/>
      <c r="E18" s="68"/>
      <c r="F18" s="69"/>
      <c r="G18" s="69"/>
      <c r="H18" s="99">
        <f t="shared" si="0"/>
        <v>0</v>
      </c>
      <c r="I18" s="70"/>
    </row>
    <row r="19" spans="1:9" ht="15.9" customHeight="1">
      <c r="A19" s="498"/>
      <c r="B19" s="98"/>
      <c r="C19" s="68"/>
      <c r="D19" s="68"/>
      <c r="E19" s="68"/>
      <c r="F19" s="69"/>
      <c r="G19" s="69"/>
      <c r="H19" s="99">
        <f t="shared" si="0"/>
        <v>0</v>
      </c>
      <c r="I19" s="70"/>
    </row>
    <row r="20" spans="1:9" ht="15.9" customHeight="1">
      <c r="A20" s="498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" customHeight="1">
      <c r="A21" s="498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" customHeight="1">
      <c r="A22" s="498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" customHeight="1">
      <c r="A23" s="498"/>
      <c r="B23" s="98"/>
      <c r="C23" s="113" t="s">
        <v>46</v>
      </c>
      <c r="D23" s="234"/>
      <c r="E23" s="234"/>
      <c r="F23" s="235"/>
      <c r="G23" s="235"/>
      <c r="H23" s="236">
        <f t="shared" si="0"/>
        <v>0</v>
      </c>
      <c r="I23" s="237"/>
    </row>
    <row r="24" spans="1:9" ht="15.9" customHeight="1">
      <c r="A24" s="498"/>
      <c r="B24" s="72"/>
      <c r="C24" s="240"/>
      <c r="D24" s="240"/>
      <c r="E24" s="240"/>
      <c r="F24" s="241"/>
      <c r="G24" s="241"/>
      <c r="H24" s="242">
        <f>SUM(H3:H23)</f>
        <v>0</v>
      </c>
      <c r="I24" s="240"/>
    </row>
    <row r="25" spans="1:9" ht="15.9" customHeight="1">
      <c r="A25" s="498"/>
      <c r="B25" s="98" t="s">
        <v>153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" customHeight="1">
      <c r="A26" s="498"/>
      <c r="B26" s="98" t="s">
        <v>154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" customHeight="1">
      <c r="A27" s="498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" customHeight="1">
      <c r="A28" s="498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" customHeight="1">
      <c r="A29" s="498"/>
      <c r="B29" s="98"/>
      <c r="C29" s="113" t="s">
        <v>46</v>
      </c>
      <c r="D29" s="113"/>
      <c r="E29" s="113"/>
      <c r="F29" s="114"/>
      <c r="G29" s="114"/>
      <c r="H29" s="99">
        <f t="shared" si="0"/>
        <v>0</v>
      </c>
      <c r="I29" s="71"/>
    </row>
    <row r="30" spans="1:9" ht="15.9" customHeight="1">
      <c r="A30" s="498"/>
      <c r="B30" s="72"/>
      <c r="C30" s="101"/>
      <c r="D30" s="91"/>
      <c r="E30" s="91"/>
      <c r="F30" s="140"/>
      <c r="G30" s="40"/>
      <c r="H30" s="30">
        <f>SUM(H25:H29)</f>
        <v>0</v>
      </c>
      <c r="I30" s="74"/>
    </row>
    <row r="31" spans="1:9" ht="15.9" customHeight="1">
      <c r="A31" s="498"/>
      <c r="B31" s="102" t="s">
        <v>37</v>
      </c>
      <c r="C31" s="111"/>
      <c r="D31" s="111"/>
      <c r="E31" s="111"/>
      <c r="F31" s="112"/>
      <c r="G31" s="112"/>
      <c r="H31" s="103">
        <f t="shared" si="0"/>
        <v>0</v>
      </c>
      <c r="I31" s="75"/>
    </row>
    <row r="32" spans="1:9" ht="15.9" customHeight="1">
      <c r="A32" s="498"/>
      <c r="B32" s="98" t="s">
        <v>44</v>
      </c>
      <c r="C32" s="68"/>
      <c r="D32" s="68"/>
      <c r="E32" s="68"/>
      <c r="F32" s="69"/>
      <c r="G32" s="69"/>
      <c r="H32" s="99">
        <f t="shared" si="0"/>
        <v>0</v>
      </c>
      <c r="I32" s="70"/>
    </row>
    <row r="33" spans="1:9" ht="15.9" customHeight="1">
      <c r="A33" s="498"/>
      <c r="B33" s="98"/>
      <c r="C33" s="68"/>
      <c r="D33" s="68"/>
      <c r="E33" s="68"/>
      <c r="F33" s="69"/>
      <c r="G33" s="69"/>
      <c r="H33" s="99">
        <f t="shared" si="0"/>
        <v>0</v>
      </c>
      <c r="I33" s="70"/>
    </row>
    <row r="34" spans="1:9" ht="15.9" customHeight="1">
      <c r="A34" s="498"/>
      <c r="B34" s="98"/>
      <c r="C34" s="68"/>
      <c r="D34" s="68"/>
      <c r="E34" s="68"/>
      <c r="F34" s="69"/>
      <c r="G34" s="69"/>
      <c r="H34" s="99">
        <f t="shared" si="0"/>
        <v>0</v>
      </c>
      <c r="I34" s="70"/>
    </row>
    <row r="35" spans="1:9" ht="15.9" customHeight="1">
      <c r="A35" s="498"/>
      <c r="B35" s="98"/>
      <c r="C35" s="68"/>
      <c r="D35" s="68"/>
      <c r="E35" s="68"/>
      <c r="F35" s="69"/>
      <c r="G35" s="69"/>
      <c r="H35" s="99">
        <f t="shared" si="0"/>
        <v>0</v>
      </c>
      <c r="I35" s="70"/>
    </row>
    <row r="36" spans="1:9" ht="15.9" customHeight="1">
      <c r="A36" s="498"/>
      <c r="B36" s="98"/>
      <c r="C36" s="68"/>
      <c r="D36" s="68"/>
      <c r="E36" s="68"/>
      <c r="F36" s="69"/>
      <c r="G36" s="69"/>
      <c r="H36" s="99">
        <f t="shared" si="0"/>
        <v>0</v>
      </c>
      <c r="I36" s="70"/>
    </row>
    <row r="37" spans="1:9" ht="15.9" customHeight="1">
      <c r="A37" s="498"/>
      <c r="B37" s="98"/>
      <c r="C37" s="68"/>
      <c r="D37" s="68"/>
      <c r="E37" s="68"/>
      <c r="F37" s="69"/>
      <c r="G37" s="69"/>
      <c r="H37" s="99">
        <f t="shared" si="0"/>
        <v>0</v>
      </c>
      <c r="I37" s="70"/>
    </row>
    <row r="38" spans="1:9" ht="15.9" customHeight="1">
      <c r="A38" s="498"/>
      <c r="B38" s="98"/>
      <c r="C38" s="68"/>
      <c r="D38" s="68"/>
      <c r="E38" s="68"/>
      <c r="F38" s="69"/>
      <c r="G38" s="69"/>
      <c r="H38" s="99">
        <f t="shared" si="0"/>
        <v>0</v>
      </c>
      <c r="I38" s="70"/>
    </row>
    <row r="39" spans="1:9" ht="15.9" customHeight="1">
      <c r="A39" s="498"/>
      <c r="B39" s="98"/>
      <c r="C39" s="68"/>
      <c r="D39" s="68"/>
      <c r="E39" s="68"/>
      <c r="F39" s="69"/>
      <c r="G39" s="69"/>
      <c r="H39" s="99">
        <f t="shared" si="0"/>
        <v>0</v>
      </c>
      <c r="I39" s="70"/>
    </row>
    <row r="40" spans="1:9" ht="15.9" customHeight="1">
      <c r="A40" s="498"/>
      <c r="B40" s="98"/>
      <c r="C40" s="68"/>
      <c r="D40" s="68"/>
      <c r="E40" s="68"/>
      <c r="F40" s="69"/>
      <c r="G40" s="69"/>
      <c r="H40" s="99">
        <f t="shared" si="0"/>
        <v>0</v>
      </c>
      <c r="I40" s="70"/>
    </row>
    <row r="41" spans="1:9" ht="15.9" customHeight="1">
      <c r="A41" s="498"/>
      <c r="B41" s="98"/>
      <c r="C41" s="68"/>
      <c r="D41" s="68"/>
      <c r="E41" s="68"/>
      <c r="F41" s="69"/>
      <c r="G41" s="69"/>
      <c r="H41" s="99">
        <f t="shared" si="0"/>
        <v>0</v>
      </c>
      <c r="I41" s="70"/>
    </row>
    <row r="42" spans="1:9" ht="15.9" customHeight="1">
      <c r="A42" s="498"/>
      <c r="B42" s="98"/>
      <c r="C42" s="68"/>
      <c r="D42" s="68"/>
      <c r="E42" s="68"/>
      <c r="F42" s="69"/>
      <c r="G42" s="69"/>
      <c r="H42" s="99">
        <f t="shared" si="0"/>
        <v>0</v>
      </c>
      <c r="I42" s="70"/>
    </row>
    <row r="43" spans="1:9" ht="15.9" customHeight="1">
      <c r="A43" s="498"/>
      <c r="B43" s="98"/>
      <c r="C43" s="68"/>
      <c r="D43" s="68"/>
      <c r="E43" s="68"/>
      <c r="F43" s="69"/>
      <c r="G43" s="69"/>
      <c r="H43" s="99">
        <f t="shared" si="0"/>
        <v>0</v>
      </c>
      <c r="I43" s="70"/>
    </row>
    <row r="44" spans="1:9" ht="15.9" customHeight="1">
      <c r="A44" s="498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" customHeight="1">
      <c r="A45" s="498"/>
      <c r="B45" s="98"/>
      <c r="C45" s="68"/>
      <c r="D45" s="68"/>
      <c r="E45" s="68"/>
      <c r="F45" s="69"/>
      <c r="G45" s="69"/>
      <c r="H45" s="99">
        <f t="shared" si="0"/>
        <v>0</v>
      </c>
      <c r="I45" s="70"/>
    </row>
    <row r="46" spans="1:9" ht="15.9" customHeight="1">
      <c r="A46" s="498"/>
      <c r="B46" s="98"/>
      <c r="C46" s="113" t="s">
        <v>46</v>
      </c>
      <c r="D46" s="113"/>
      <c r="E46" s="113"/>
      <c r="F46" s="114"/>
      <c r="G46" s="114"/>
      <c r="H46" s="104">
        <f t="shared" si="0"/>
        <v>0</v>
      </c>
      <c r="I46" s="71"/>
    </row>
    <row r="47" spans="1:9" ht="15.9" customHeight="1">
      <c r="A47" s="498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" customHeight="1">
      <c r="A48" s="498"/>
      <c r="B48" s="102" t="s">
        <v>38</v>
      </c>
      <c r="C48" s="111"/>
      <c r="D48" s="111"/>
      <c r="E48" s="111"/>
      <c r="F48" s="112"/>
      <c r="G48" s="112"/>
      <c r="H48" s="103">
        <f t="shared" si="0"/>
        <v>0</v>
      </c>
      <c r="I48" s="75"/>
    </row>
    <row r="49" spans="1:9" ht="15.9" customHeight="1">
      <c r="A49" s="498"/>
      <c r="B49" s="98"/>
      <c r="C49" s="68"/>
      <c r="D49" s="68"/>
      <c r="E49" s="68"/>
      <c r="F49" s="69"/>
      <c r="G49" s="69"/>
      <c r="H49" s="99">
        <f t="shared" si="0"/>
        <v>0</v>
      </c>
      <c r="I49" s="70"/>
    </row>
    <row r="50" spans="1:9" ht="15.9" customHeight="1">
      <c r="A50" s="498"/>
      <c r="B50" s="98"/>
      <c r="C50" s="68"/>
      <c r="D50" s="68"/>
      <c r="E50" s="68"/>
      <c r="F50" s="69"/>
      <c r="G50" s="69"/>
      <c r="H50" s="99">
        <f t="shared" si="0"/>
        <v>0</v>
      </c>
      <c r="I50" s="70"/>
    </row>
    <row r="51" spans="1:9" ht="15.9" customHeight="1">
      <c r="A51" s="498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" customHeight="1">
      <c r="A52" s="498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" customHeight="1">
      <c r="A53" s="498"/>
      <c r="B53" s="98"/>
      <c r="C53" s="68"/>
      <c r="D53" s="68"/>
      <c r="E53" s="68"/>
      <c r="F53" s="69"/>
      <c r="G53" s="69"/>
      <c r="H53" s="99">
        <f t="shared" si="0"/>
        <v>0</v>
      </c>
      <c r="I53" s="70"/>
    </row>
    <row r="54" spans="1:9" ht="15.9" customHeight="1">
      <c r="A54" s="498"/>
      <c r="B54" s="98"/>
      <c r="C54" s="113" t="s">
        <v>46</v>
      </c>
      <c r="D54" s="113"/>
      <c r="E54" s="113"/>
      <c r="F54" s="114"/>
      <c r="G54" s="114"/>
      <c r="H54" s="104">
        <f t="shared" si="0"/>
        <v>0</v>
      </c>
      <c r="I54" s="71"/>
    </row>
    <row r="55" spans="1:9" ht="15.9" customHeight="1">
      <c r="A55" s="498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" customHeight="1">
      <c r="A56" s="76"/>
      <c r="B56" s="96" t="s">
        <v>41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" customHeight="1">
      <c r="A57" s="499" t="s">
        <v>71</v>
      </c>
      <c r="B57" s="106" t="s">
        <v>69</v>
      </c>
      <c r="C57" s="133"/>
      <c r="D57" s="75"/>
      <c r="E57" s="106" t="s">
        <v>50</v>
      </c>
      <c r="F57" s="112"/>
      <c r="G57" s="112"/>
      <c r="H57" s="103">
        <f>F57*G57</f>
        <v>0</v>
      </c>
      <c r="I57" s="75"/>
    </row>
    <row r="58" spans="1:9" ht="15.9" customHeight="1">
      <c r="A58" s="498"/>
      <c r="B58" s="107" t="s">
        <v>106</v>
      </c>
      <c r="C58" s="134"/>
      <c r="D58" s="70"/>
      <c r="E58" s="107" t="s">
        <v>49</v>
      </c>
      <c r="F58" s="69"/>
      <c r="G58" s="69"/>
      <c r="H58" s="99">
        <f t="shared" ref="H58:H64" si="1">F58*G58</f>
        <v>0</v>
      </c>
      <c r="I58" s="70"/>
    </row>
    <row r="59" spans="1:9" ht="15.9" customHeight="1">
      <c r="A59" s="498"/>
      <c r="B59" s="158" t="s">
        <v>107</v>
      </c>
      <c r="C59" s="134"/>
      <c r="D59" s="70"/>
      <c r="E59" s="107" t="s">
        <v>49</v>
      </c>
      <c r="F59" s="69"/>
      <c r="G59" s="69"/>
      <c r="H59" s="99">
        <f t="shared" si="1"/>
        <v>0</v>
      </c>
      <c r="I59" s="70"/>
    </row>
    <row r="60" spans="1:9" ht="15.9" customHeight="1">
      <c r="A60" s="498"/>
      <c r="B60" s="107" t="s">
        <v>108</v>
      </c>
      <c r="C60" s="134"/>
      <c r="D60" s="70"/>
      <c r="E60" s="107" t="s">
        <v>49</v>
      </c>
      <c r="F60" s="69"/>
      <c r="G60" s="69"/>
      <c r="H60" s="99">
        <f t="shared" si="1"/>
        <v>0</v>
      </c>
      <c r="I60" s="70"/>
    </row>
    <row r="61" spans="1:9" ht="15.9" customHeight="1">
      <c r="A61" s="498"/>
      <c r="B61" s="107" t="s">
        <v>109</v>
      </c>
      <c r="C61" s="134"/>
      <c r="D61" s="70"/>
      <c r="E61" s="107" t="s">
        <v>49</v>
      </c>
      <c r="F61" s="69"/>
      <c r="G61" s="69"/>
      <c r="H61" s="99">
        <f t="shared" si="1"/>
        <v>0</v>
      </c>
      <c r="I61" s="70"/>
    </row>
    <row r="62" spans="1:9" ht="15.9" customHeight="1">
      <c r="A62" s="498"/>
      <c r="B62" s="107" t="s">
        <v>110</v>
      </c>
      <c r="C62" s="134"/>
      <c r="D62" s="70"/>
      <c r="E62" s="107" t="s">
        <v>49</v>
      </c>
      <c r="F62" s="69"/>
      <c r="G62" s="69"/>
      <c r="H62" s="99">
        <f t="shared" si="1"/>
        <v>0</v>
      </c>
      <c r="I62" s="70"/>
    </row>
    <row r="63" spans="1:9" ht="15.9" customHeight="1">
      <c r="A63" s="498"/>
      <c r="B63" s="107" t="s">
        <v>111</v>
      </c>
      <c r="C63" s="134"/>
      <c r="D63" s="70"/>
      <c r="E63" s="107" t="s">
        <v>49</v>
      </c>
      <c r="F63" s="69"/>
      <c r="G63" s="69"/>
      <c r="H63" s="99">
        <f t="shared" si="1"/>
        <v>0</v>
      </c>
      <c r="I63" s="70"/>
    </row>
    <row r="64" spans="1:9" ht="15.9" customHeight="1">
      <c r="A64" s="498"/>
      <c r="B64" s="108" t="s">
        <v>112</v>
      </c>
      <c r="C64" s="135"/>
      <c r="D64" s="71"/>
      <c r="E64" s="108" t="s">
        <v>49</v>
      </c>
      <c r="F64" s="114"/>
      <c r="G64" s="114"/>
      <c r="H64" s="104">
        <f t="shared" si="1"/>
        <v>0</v>
      </c>
      <c r="I64" s="71"/>
    </row>
    <row r="65" spans="1:9" ht="15.9" customHeight="1">
      <c r="A65" s="76"/>
      <c r="B65" s="95" t="s">
        <v>40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" customHeight="1">
      <c r="A66" s="52"/>
      <c r="B66" s="95" t="s">
        <v>164</v>
      </c>
      <c r="C66" s="73"/>
      <c r="D66" s="74"/>
      <c r="E66" s="74"/>
      <c r="F66" s="30"/>
      <c r="G66" s="30"/>
      <c r="H66" s="56">
        <f>'단위공사별(집계)'!L14+'단위공사별(집계)'!I14</f>
        <v>0</v>
      </c>
      <c r="I66" s="74"/>
    </row>
    <row r="67" spans="1:9" ht="15.9" customHeight="1">
      <c r="A67" s="52"/>
      <c r="B67" s="95" t="s">
        <v>25</v>
      </c>
      <c r="C67" s="73"/>
      <c r="D67" s="74"/>
      <c r="E67" s="74"/>
      <c r="F67" s="30"/>
      <c r="G67" s="55"/>
      <c r="H67" s="115"/>
      <c r="I67" s="73"/>
    </row>
    <row r="68" spans="1:9" ht="15.9" customHeight="1">
      <c r="A68" s="52"/>
      <c r="B68" s="95" t="s">
        <v>145</v>
      </c>
      <c r="C68" s="73"/>
      <c r="D68" s="74"/>
      <c r="E68" s="74"/>
      <c r="F68" s="30"/>
      <c r="G68" s="55"/>
      <c r="H68" s="115"/>
      <c r="I68" s="73"/>
    </row>
    <row r="69" spans="1:9" ht="15.9" customHeight="1">
      <c r="A69" s="52"/>
      <c r="B69" s="95" t="s">
        <v>146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074E-4177-4EBE-B6E0-ADD60708B5C4}">
  <sheetPr codeName="Sheet2">
    <pageSetUpPr fitToPage="1"/>
  </sheetPr>
  <dimension ref="A1:D36"/>
  <sheetViews>
    <sheetView zoomScale="85" workbookViewId="0">
      <selection activeCell="C30" sqref="C30"/>
    </sheetView>
  </sheetViews>
  <sheetFormatPr defaultColWidth="9" defaultRowHeight="17.25" customHeight="1"/>
  <cols>
    <col min="1" max="1" width="16.5" style="28" customWidth="1"/>
    <col min="2" max="3" width="27.59765625" style="28" customWidth="1"/>
    <col min="4" max="4" width="11.5" style="28" customWidth="1"/>
    <col min="5" max="16384" width="9" style="28"/>
  </cols>
  <sheetData>
    <row r="1" spans="1:4" ht="17.25" customHeight="1">
      <c r="A1" s="28" t="s">
        <v>96</v>
      </c>
    </row>
    <row r="2" spans="1:4" ht="17.25" customHeight="1">
      <c r="D2" s="29" t="s">
        <v>97</v>
      </c>
    </row>
    <row r="3" spans="1:4" ht="24.75" customHeight="1">
      <c r="A3" s="88" t="s">
        <v>95</v>
      </c>
    </row>
    <row r="4" spans="1:4" ht="11.25" customHeight="1"/>
    <row r="5" spans="1:4" s="90" customFormat="1" ht="21" customHeight="1" thickBot="1">
      <c r="A5" s="89" t="s">
        <v>61</v>
      </c>
      <c r="B5" s="89" t="s">
        <v>51</v>
      </c>
      <c r="C5" s="89" t="s">
        <v>52</v>
      </c>
      <c r="D5" s="89" t="s">
        <v>27</v>
      </c>
    </row>
    <row r="6" spans="1:4" ht="17.25" customHeight="1" thickTop="1">
      <c r="A6" s="67"/>
      <c r="B6" s="67"/>
      <c r="C6" s="67"/>
      <c r="D6" s="67"/>
    </row>
    <row r="7" spans="1:4" ht="17.25" customHeight="1">
      <c r="A7" s="67"/>
      <c r="B7" s="67"/>
      <c r="C7" s="67"/>
      <c r="D7" s="67"/>
    </row>
    <row r="8" spans="1:4" ht="17.25" customHeight="1">
      <c r="A8" s="67"/>
      <c r="B8" s="67"/>
      <c r="C8" s="67"/>
      <c r="D8" s="67"/>
    </row>
    <row r="9" spans="1:4" ht="17.25" customHeight="1">
      <c r="A9" s="67"/>
      <c r="B9" s="67"/>
      <c r="C9" s="67"/>
      <c r="D9" s="67"/>
    </row>
    <row r="10" spans="1:4" ht="17.25" customHeight="1">
      <c r="A10" s="67"/>
      <c r="B10" s="67"/>
      <c r="C10" s="67"/>
      <c r="D10" s="67"/>
    </row>
    <row r="11" spans="1:4" ht="17.25" customHeight="1">
      <c r="A11" s="67"/>
      <c r="B11" s="67"/>
      <c r="C11" s="67"/>
      <c r="D11" s="67"/>
    </row>
    <row r="12" spans="1:4" ht="17.25" customHeight="1">
      <c r="A12" s="67"/>
      <c r="B12" s="67"/>
      <c r="C12" s="67"/>
      <c r="D12" s="67"/>
    </row>
    <row r="13" spans="1:4" ht="17.25" customHeight="1">
      <c r="A13" s="67"/>
      <c r="B13" s="67"/>
      <c r="C13" s="67"/>
      <c r="D13" s="67"/>
    </row>
    <row r="14" spans="1:4" ht="17.25" customHeight="1">
      <c r="A14" s="67"/>
      <c r="B14" s="67"/>
      <c r="C14" s="67"/>
      <c r="D14" s="67"/>
    </row>
    <row r="15" spans="1:4" ht="17.25" customHeight="1">
      <c r="A15" s="67"/>
      <c r="B15" s="67"/>
      <c r="C15" s="67"/>
      <c r="D15" s="67"/>
    </row>
    <row r="16" spans="1:4" ht="17.25" customHeight="1">
      <c r="A16" s="67"/>
      <c r="B16" s="67"/>
      <c r="C16" s="67"/>
      <c r="D16" s="67"/>
    </row>
    <row r="17" spans="1:4" ht="17.25" customHeight="1">
      <c r="A17" s="67"/>
      <c r="B17" s="67"/>
      <c r="C17" s="67"/>
      <c r="D17" s="67"/>
    </row>
    <row r="18" spans="1:4" ht="17.25" customHeight="1">
      <c r="A18" s="67"/>
      <c r="B18" s="67"/>
      <c r="C18" s="67"/>
      <c r="D18" s="67"/>
    </row>
    <row r="19" spans="1:4" ht="17.25" customHeight="1">
      <c r="A19" s="67"/>
      <c r="B19" s="67"/>
      <c r="C19" s="67"/>
      <c r="D19" s="67"/>
    </row>
    <row r="20" spans="1:4" ht="17.25" customHeight="1">
      <c r="A20" s="67"/>
      <c r="B20" s="67"/>
      <c r="C20" s="67"/>
      <c r="D20" s="67"/>
    </row>
    <row r="21" spans="1:4" ht="17.25" customHeight="1">
      <c r="A21" s="67"/>
      <c r="B21" s="67"/>
      <c r="C21" s="67"/>
      <c r="D21" s="67"/>
    </row>
    <row r="22" spans="1:4" ht="17.25" customHeight="1">
      <c r="A22" s="67"/>
      <c r="B22" s="67"/>
      <c r="C22" s="67"/>
      <c r="D22" s="67"/>
    </row>
    <row r="23" spans="1:4" ht="17.25" customHeight="1">
      <c r="A23" s="67"/>
      <c r="B23" s="67"/>
      <c r="C23" s="67"/>
      <c r="D23" s="67"/>
    </row>
    <row r="24" spans="1:4" ht="17.25" customHeight="1">
      <c r="A24" s="67"/>
      <c r="B24" s="67"/>
      <c r="C24" s="67"/>
      <c r="D24" s="67"/>
    </row>
    <row r="25" spans="1:4" ht="17.25" customHeight="1">
      <c r="A25" s="67"/>
      <c r="B25" s="67"/>
      <c r="C25" s="67"/>
      <c r="D25" s="67"/>
    </row>
    <row r="26" spans="1:4" ht="17.25" customHeight="1">
      <c r="A26" s="67"/>
      <c r="B26" s="67"/>
      <c r="C26" s="67"/>
      <c r="D26" s="67"/>
    </row>
    <row r="27" spans="1:4" ht="17.25" customHeight="1">
      <c r="A27" s="67"/>
      <c r="B27" s="67"/>
      <c r="C27" s="67"/>
      <c r="D27" s="67"/>
    </row>
    <row r="28" spans="1:4" ht="17.25" customHeight="1">
      <c r="A28" s="67"/>
      <c r="B28" s="67"/>
      <c r="C28" s="67"/>
      <c r="D28" s="67"/>
    </row>
    <row r="29" spans="1:4" ht="17.25" customHeight="1">
      <c r="A29" s="67"/>
      <c r="B29" s="67"/>
      <c r="C29" s="67"/>
      <c r="D29" s="67"/>
    </row>
    <row r="30" spans="1:4" ht="17.25" customHeight="1">
      <c r="A30" s="67"/>
      <c r="B30" s="67"/>
      <c r="C30" s="67"/>
      <c r="D30" s="67"/>
    </row>
    <row r="31" spans="1:4" ht="17.25" customHeight="1">
      <c r="A31" s="67"/>
      <c r="B31" s="67"/>
      <c r="C31" s="67"/>
      <c r="D31" s="67"/>
    </row>
    <row r="32" spans="1:4" ht="17.25" customHeight="1">
      <c r="A32" s="67"/>
      <c r="B32" s="67"/>
      <c r="C32" s="67"/>
      <c r="D32" s="67"/>
    </row>
    <row r="33" spans="1:4" ht="17.25" customHeight="1">
      <c r="A33" s="67"/>
      <c r="B33" s="67"/>
      <c r="C33" s="67"/>
      <c r="D33" s="67"/>
    </row>
    <row r="34" spans="1:4" ht="17.25" customHeight="1">
      <c r="A34" s="67"/>
      <c r="B34" s="67"/>
      <c r="C34" s="67"/>
      <c r="D34" s="67"/>
    </row>
    <row r="35" spans="1:4" ht="17.25" customHeight="1">
      <c r="A35" s="67"/>
      <c r="B35" s="67"/>
      <c r="C35" s="67"/>
      <c r="D35" s="67"/>
    </row>
    <row r="36" spans="1:4" ht="17.25" customHeight="1">
      <c r="A36" s="91"/>
      <c r="B36" s="91"/>
      <c r="C36" s="91"/>
      <c r="D36" s="91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072e89-4523-4537-ba2a-0afc19ac2fb1">
      <Terms xmlns="http://schemas.microsoft.com/office/infopath/2007/PartnerControls"/>
    </lcf76f155ced4ddcb4097134ff3c332f>
    <TaxCatchAll xmlns="ac81bacf-79d0-4aea-837c-13076957425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4EEACC2FBBAA64B8A9BB96350026B5F" ma:contentTypeVersion="17" ma:contentTypeDescription="새 문서를 만듭니다." ma:contentTypeScope="" ma:versionID="33d0c9f88fa4279297cd52745cad6c8c">
  <xsd:schema xmlns:xsd="http://www.w3.org/2001/XMLSchema" xmlns:xs="http://www.w3.org/2001/XMLSchema" xmlns:p="http://schemas.microsoft.com/office/2006/metadata/properties" xmlns:ns2="83072e89-4523-4537-ba2a-0afc19ac2fb1" xmlns:ns3="ac81bacf-79d0-4aea-837c-13076957425d" targetNamespace="http://schemas.microsoft.com/office/2006/metadata/properties" ma:root="true" ma:fieldsID="aa0e872deb2693b9d8db8791cdff6538" ns2:_="" ns3:_="">
    <xsd:import namespace="83072e89-4523-4537-ba2a-0afc19ac2fb1"/>
    <xsd:import namespace="ac81bacf-79d0-4aea-837c-130769574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72e89-4523-4537-ba2a-0afc19ac2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dc8d4fff-a70f-4a31-a840-a63830c0e0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1bacf-79d0-4aea-837c-13076957425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a6deb4d-ae6b-4a1f-aac4-1d9c4cf3f0fd}" ma:internalName="TaxCatchAll" ma:showField="CatchAllData" ma:web="ac81bacf-79d0-4aea-837c-130769574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0C1F76-38BE-4D5C-87FB-5A2A10575838}">
  <ds:schemaRefs>
    <ds:schemaRef ds:uri="http://schemas.microsoft.com/office/2006/metadata/properties"/>
    <ds:schemaRef ds:uri="http://schemas.microsoft.com/office/infopath/2007/PartnerControls"/>
    <ds:schemaRef ds:uri="83072e89-4523-4537-ba2a-0afc19ac2fb1"/>
    <ds:schemaRef ds:uri="ac81bacf-79d0-4aea-837c-13076957425d"/>
  </ds:schemaRefs>
</ds:datastoreItem>
</file>

<file path=customXml/itemProps2.xml><?xml version="1.0" encoding="utf-8"?>
<ds:datastoreItem xmlns:ds="http://schemas.openxmlformats.org/officeDocument/2006/customXml" ds:itemID="{98630C58-373E-4642-BE7D-9F494F02DF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072e89-4523-4537-ba2a-0afc19ac2fb1"/>
    <ds:schemaRef ds:uri="ac81bacf-79d0-4aea-837c-1307695742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259AFF-63CF-4C1F-822A-2DD7E116B67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6</vt:i4>
      </vt:variant>
    </vt:vector>
  </HeadingPairs>
  <TitlesOfParts>
    <vt:vector size="21" baseType="lpstr">
      <vt:lpstr>갑지</vt:lpstr>
      <vt:lpstr>원가항목별(집계)</vt:lpstr>
      <vt:lpstr>단위공사별(집계)</vt:lpstr>
      <vt:lpstr>전기</vt:lpstr>
      <vt:lpstr>단위장비1</vt:lpstr>
      <vt:lpstr>단위장비2</vt:lpstr>
      <vt:lpstr>단위장비3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Company>현대자동차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현대.기아차 설비견적 양식</dc:title>
  <dc:creator>조재일</dc:creator>
  <cp:lastModifiedBy>손철호 책임매니저 통합구매팀</cp:lastModifiedBy>
  <cp:lastPrinted>2025-06-09T02:48:04Z</cp:lastPrinted>
  <dcterms:created xsi:type="dcterms:W3CDTF">2001-06-04T06:04:44Z</dcterms:created>
  <dcterms:modified xsi:type="dcterms:W3CDTF">2026-07-20T05:40:24Z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0x01010084EEACC2FBBAA64B8A9BB96350026B5F</vt:lpwstr>
  </property>
  <property fmtid="{D5CDD505-2E9C-101B-9397-08002B2CF9AE}" pid="3" name="MediaServiceImageTags">
    <vt:lpwstr/>
  </property>
</Properties>
</file>