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WASTECH\관련업체\고객업체\현대위아\01.1공장-도금,에칭,수소취성\"/>
    </mc:Choice>
  </mc:AlternateContent>
  <xr:revisionPtr revIDLastSave="0" documentId="13_ncr:1_{48CBF04B-763C-4124-A838-7A0CAAE74409}" xr6:coauthVersionLast="47" xr6:coauthVersionMax="47" xr10:uidLastSave="{00000000-0000-0000-0000-000000000000}"/>
  <bookViews>
    <workbookView xWindow="5235" yWindow="150" windowWidth="19230" windowHeight="20880" tabRatio="1000" xr2:uid="{695B8375-A3C7-408C-8334-DDE388560720}"/>
  </bookViews>
  <sheets>
    <sheet name="갑지" sheetId="16" r:id="rId1"/>
    <sheet name="원가항목별(집계)" sheetId="1" r:id="rId2"/>
    <sheet name="단위공사별(집계)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7" r:id="rId8"/>
    <sheet name="단위장비5" sheetId="8" r:id="rId9"/>
    <sheet name="단위장비6" sheetId="6" r:id="rId10"/>
    <sheet name="단위장비7" sheetId="5" r:id="rId11"/>
    <sheet name="단위장비8" sheetId="4" r:id="rId12"/>
    <sheet name="단위장비9" sheetId="15" r:id="rId13"/>
    <sheet name="단위장비10" sheetId="14" r:id="rId14"/>
    <sheet name="첨부(견적조건차이내역)" sheetId="13" r:id="rId15"/>
  </sheets>
  <definedNames>
    <definedName name="_xlnm._FilterDatabase" localSheetId="4" hidden="1">단위장비1!$A$2:$I$54</definedName>
    <definedName name="_xlnm._FilterDatabase" localSheetId="5" hidden="1">단위장비2!$A$2:$I$69</definedName>
    <definedName name="_xlnm._FilterDatabase" localSheetId="6" hidden="1">단위장비3!$J$2:$J$70</definedName>
    <definedName name="_xlnm._FilterDatabase" localSheetId="7" hidden="1">단위장비4!$J$2:$J$73</definedName>
    <definedName name="_xlnm._FilterDatabase" localSheetId="8" hidden="1">단위장비5!$J$2:$J$68</definedName>
    <definedName name="_xlnm._FilterDatabase" localSheetId="9" hidden="1">단위장비6!$J$2:$J$69</definedName>
    <definedName name="_xlnm._FilterDatabase" localSheetId="10" hidden="1">단위장비7!$J$2:$J$69</definedName>
    <definedName name="_xlnm._FilterDatabase" localSheetId="11" hidden="1">단위장비8!$J$2:$J$69</definedName>
    <definedName name="_xlnm._FilterDatabase" localSheetId="3" hidden="1">전기!$A$2:$I$67</definedName>
    <definedName name="_xlnm.Print_Area" localSheetId="0">갑지!$B:$I</definedName>
    <definedName name="_xlnm.Print_Area" localSheetId="2">'단위공사별(집계)'!$A$1:$O$20</definedName>
    <definedName name="_xlnm.Print_Area" localSheetId="1">'원가항목별(집계)'!$A$1:$J$45</definedName>
    <definedName name="_xlnm.Print_Area" localSheetId="3">전기!$A:$I</definedName>
    <definedName name="_xlnm.Print_Area" localSheetId="14">'첨부(견적조건차이내역)'!$A$1:$D$36</definedName>
    <definedName name="_xlnm.Print_Titles" localSheetId="3">전기!$1:$2</definedName>
  </definedNames>
  <calcPr calcId="191029"/>
  <fileRecoveryPr autoRecover="0"/>
</workbook>
</file>

<file path=xl/calcChain.xml><?xml version="1.0" encoding="utf-8"?>
<calcChain xmlns="http://schemas.openxmlformats.org/spreadsheetml/2006/main">
  <c r="H67" i="6" l="1"/>
  <c r="H35" i="7"/>
  <c r="H34" i="7"/>
  <c r="H33" i="7"/>
  <c r="H32" i="7"/>
  <c r="H50" i="3"/>
  <c r="H5" i="3"/>
  <c r="H48" i="3"/>
  <c r="H44" i="3"/>
  <c r="H33" i="3"/>
  <c r="H30" i="3"/>
  <c r="H29" i="3"/>
  <c r="H28" i="3"/>
  <c r="H27" i="3"/>
  <c r="H26" i="3"/>
  <c r="H25" i="3"/>
  <c r="H41" i="3"/>
  <c r="H43" i="3"/>
  <c r="H42" i="3"/>
  <c r="H38" i="3"/>
  <c r="H37" i="3"/>
  <c r="H36" i="3"/>
  <c r="H52" i="3"/>
  <c r="H55" i="7"/>
  <c r="H54" i="7"/>
  <c r="H53" i="7"/>
  <c r="H7" i="7"/>
  <c r="H52" i="7"/>
  <c r="H51" i="7"/>
  <c r="H56" i="7"/>
  <c r="H46" i="7"/>
  <c r="H53" i="9"/>
  <c r="H48" i="10"/>
  <c r="H3" i="10"/>
  <c r="H4" i="10"/>
  <c r="H5" i="10"/>
  <c r="H6" i="10"/>
  <c r="H7" i="10"/>
  <c r="H8" i="10"/>
  <c r="D14" i="16" l="1"/>
  <c r="B9" i="2"/>
  <c r="A9" i="2" s="1"/>
  <c r="B8" i="2"/>
  <c r="B7" i="2"/>
  <c r="C27" i="16"/>
  <c r="C26" i="16"/>
  <c r="C25" i="16"/>
  <c r="C24" i="16"/>
  <c r="C23" i="16"/>
  <c r="C22" i="16"/>
  <c r="C21" i="16"/>
  <c r="C20" i="16"/>
  <c r="C19" i="16"/>
  <c r="H59" i="9"/>
  <c r="H60" i="9"/>
  <c r="H61" i="9"/>
  <c r="H62" i="9"/>
  <c r="H63" i="9"/>
  <c r="H3" i="11"/>
  <c r="H17" i="11"/>
  <c r="H32" i="11" s="1"/>
  <c r="H18" i="11"/>
  <c r="H5" i="11"/>
  <c r="H33" i="11"/>
  <c r="H38" i="10"/>
  <c r="H37" i="10"/>
  <c r="H36" i="10"/>
  <c r="H35" i="10"/>
  <c r="H34" i="10"/>
  <c r="H33" i="10"/>
  <c r="H32" i="10"/>
  <c r="H31" i="10"/>
  <c r="H47" i="10" s="1"/>
  <c r="H7" i="11"/>
  <c r="H6" i="11"/>
  <c r="H4" i="11"/>
  <c r="C18" i="16"/>
  <c r="B11" i="2"/>
  <c r="H3" i="8"/>
  <c r="H4" i="8"/>
  <c r="H5" i="8"/>
  <c r="H6" i="8"/>
  <c r="H7" i="8"/>
  <c r="H8" i="8"/>
  <c r="H23" i="8" s="1"/>
  <c r="H9" i="8"/>
  <c r="H49" i="10"/>
  <c r="B10" i="2"/>
  <c r="H21" i="11"/>
  <c r="H31" i="11"/>
  <c r="H3" i="14"/>
  <c r="H24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5" i="14"/>
  <c r="H30" i="14"/>
  <c r="H26" i="14"/>
  <c r="H27" i="14"/>
  <c r="H28" i="14"/>
  <c r="H29" i="14"/>
  <c r="H31" i="14"/>
  <c r="H47" i="14" s="1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8" i="14"/>
  <c r="H49" i="14"/>
  <c r="H55" i="14" s="1"/>
  <c r="H50" i="14"/>
  <c r="H51" i="14"/>
  <c r="H52" i="14"/>
  <c r="H53" i="14"/>
  <c r="H54" i="14"/>
  <c r="H57" i="14"/>
  <c r="H65" i="14" s="1"/>
  <c r="H16" i="2" s="1"/>
  <c r="H58" i="14"/>
  <c r="D16" i="2"/>
  <c r="H59" i="14"/>
  <c r="E16" i="2"/>
  <c r="H60" i="14"/>
  <c r="H61" i="14"/>
  <c r="H62" i="14"/>
  <c r="H63" i="14"/>
  <c r="H64" i="14"/>
  <c r="G16" i="2" s="1"/>
  <c r="H3" i="15"/>
  <c r="H4" i="15"/>
  <c r="H5" i="15"/>
  <c r="H6" i="15"/>
  <c r="H7" i="15"/>
  <c r="H24" i="15" s="1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5" i="15"/>
  <c r="H30" i="15"/>
  <c r="H26" i="15"/>
  <c r="H27" i="15"/>
  <c r="H28" i="15"/>
  <c r="H29" i="15"/>
  <c r="H31" i="15"/>
  <c r="H32" i="15"/>
  <c r="H33" i="15"/>
  <c r="H34" i="15"/>
  <c r="H35" i="15"/>
  <c r="H36" i="15"/>
  <c r="H37" i="15"/>
  <c r="H47" i="15" s="1"/>
  <c r="H38" i="15"/>
  <c r="H39" i="15"/>
  <c r="H40" i="15"/>
  <c r="H41" i="15"/>
  <c r="H42" i="15"/>
  <c r="H43" i="15"/>
  <c r="H44" i="15"/>
  <c r="H45" i="15"/>
  <c r="H46" i="15"/>
  <c r="H48" i="15"/>
  <c r="H49" i="15"/>
  <c r="H55" i="15" s="1"/>
  <c r="H50" i="15"/>
  <c r="H51" i="15"/>
  <c r="H52" i="15"/>
  <c r="H53" i="15"/>
  <c r="H54" i="15"/>
  <c r="H57" i="15"/>
  <c r="D15" i="2" s="1"/>
  <c r="H58" i="15"/>
  <c r="E15" i="2" s="1"/>
  <c r="H59" i="15"/>
  <c r="H60" i="15"/>
  <c r="H61" i="15"/>
  <c r="H62" i="15"/>
  <c r="G15" i="2"/>
  <c r="H63" i="15"/>
  <c r="H64" i="15"/>
  <c r="H15" i="2"/>
  <c r="H3" i="4"/>
  <c r="H24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5" i="4"/>
  <c r="H26" i="4"/>
  <c r="H30" i="4" s="1"/>
  <c r="H27" i="4"/>
  <c r="H28" i="4"/>
  <c r="H29" i="4"/>
  <c r="H31" i="4"/>
  <c r="H32" i="4"/>
  <c r="H47" i="4" s="1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49" i="4"/>
  <c r="H55" i="4" s="1"/>
  <c r="H50" i="4"/>
  <c r="H51" i="4"/>
  <c r="H52" i="4"/>
  <c r="H53" i="4"/>
  <c r="H54" i="4"/>
  <c r="H57" i="4"/>
  <c r="D14" i="2" s="1"/>
  <c r="H58" i="4"/>
  <c r="H59" i="4"/>
  <c r="H60" i="4"/>
  <c r="H61" i="4"/>
  <c r="H62" i="4"/>
  <c r="H63" i="4"/>
  <c r="H64" i="4"/>
  <c r="H3" i="5"/>
  <c r="H4" i="5"/>
  <c r="H5" i="5"/>
  <c r="H24" i="5" s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5" i="5"/>
  <c r="H30" i="5" s="1"/>
  <c r="H26" i="5"/>
  <c r="H27" i="5"/>
  <c r="H28" i="5"/>
  <c r="H29" i="5"/>
  <c r="H31" i="5"/>
  <c r="H32" i="5"/>
  <c r="H33" i="5"/>
  <c r="H47" i="5" s="1"/>
  <c r="H56" i="5" s="1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8" i="5"/>
  <c r="H49" i="5"/>
  <c r="H50" i="5"/>
  <c r="H51" i="5"/>
  <c r="H52" i="5"/>
  <c r="H53" i="5"/>
  <c r="H54" i="5"/>
  <c r="H57" i="5"/>
  <c r="E13" i="2"/>
  <c r="H58" i="5"/>
  <c r="H59" i="5"/>
  <c r="H60" i="5"/>
  <c r="H65" i="5" s="1"/>
  <c r="H61" i="5"/>
  <c r="G13" i="2" s="1"/>
  <c r="H62" i="5"/>
  <c r="H63" i="5"/>
  <c r="H13" i="2" s="1"/>
  <c r="H64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4" i="6" s="1"/>
  <c r="H20" i="6"/>
  <c r="H21" i="6"/>
  <c r="H22" i="6"/>
  <c r="H23" i="6"/>
  <c r="H25" i="6"/>
  <c r="H30" i="6" s="1"/>
  <c r="H26" i="6"/>
  <c r="H27" i="6"/>
  <c r="H28" i="6"/>
  <c r="H29" i="6"/>
  <c r="H31" i="6"/>
  <c r="H32" i="6"/>
  <c r="H33" i="6"/>
  <c r="H34" i="6"/>
  <c r="H35" i="6"/>
  <c r="H36" i="6"/>
  <c r="H37" i="6"/>
  <c r="H47" i="6" s="1"/>
  <c r="H38" i="6"/>
  <c r="H39" i="6"/>
  <c r="H40" i="6"/>
  <c r="H41" i="6"/>
  <c r="H42" i="6"/>
  <c r="H43" i="6"/>
  <c r="H44" i="6"/>
  <c r="H45" i="6"/>
  <c r="H46" i="6"/>
  <c r="H48" i="6"/>
  <c r="H49" i="6"/>
  <c r="H55" i="6" s="1"/>
  <c r="H50" i="6"/>
  <c r="H51" i="6"/>
  <c r="H52" i="6"/>
  <c r="H53" i="6"/>
  <c r="H54" i="6"/>
  <c r="H57" i="6"/>
  <c r="H58" i="6"/>
  <c r="F12" i="2" s="1"/>
  <c r="H59" i="6"/>
  <c r="H60" i="6"/>
  <c r="H61" i="6"/>
  <c r="G12" i="2" s="1"/>
  <c r="H62" i="6"/>
  <c r="H63" i="6"/>
  <c r="H12" i="2"/>
  <c r="H64" i="6"/>
  <c r="H3" i="7"/>
  <c r="H4" i="7"/>
  <c r="H5" i="7"/>
  <c r="H24" i="7" s="1"/>
  <c r="H6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5" i="7"/>
  <c r="H26" i="7"/>
  <c r="H27" i="7"/>
  <c r="H28" i="7"/>
  <c r="H29" i="7"/>
  <c r="H31" i="7"/>
  <c r="H37" i="7"/>
  <c r="H38" i="7"/>
  <c r="H39" i="7"/>
  <c r="H40" i="7"/>
  <c r="H41" i="7"/>
  <c r="H42" i="7"/>
  <c r="H43" i="7"/>
  <c r="H44" i="7"/>
  <c r="H47" i="7"/>
  <c r="H48" i="7"/>
  <c r="H49" i="7"/>
  <c r="H50" i="7"/>
  <c r="H57" i="7"/>
  <c r="H58" i="7"/>
  <c r="H61" i="7"/>
  <c r="H62" i="7"/>
  <c r="H63" i="7"/>
  <c r="H64" i="7"/>
  <c r="H65" i="7"/>
  <c r="H66" i="7"/>
  <c r="H67" i="7"/>
  <c r="H10" i="2" s="1"/>
  <c r="H68" i="7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4" i="8"/>
  <c r="H29" i="8" s="1"/>
  <c r="H25" i="8"/>
  <c r="H26" i="8"/>
  <c r="H27" i="8"/>
  <c r="H28" i="8"/>
  <c r="H30" i="8"/>
  <c r="H46" i="8" s="1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7" i="8"/>
  <c r="H48" i="8"/>
  <c r="H49" i="8"/>
  <c r="H50" i="8"/>
  <c r="H51" i="8"/>
  <c r="H52" i="8"/>
  <c r="H53" i="8"/>
  <c r="H56" i="8"/>
  <c r="H57" i="8"/>
  <c r="F11" i="2"/>
  <c r="H58" i="8"/>
  <c r="H59" i="8"/>
  <c r="H60" i="8"/>
  <c r="H61" i="8"/>
  <c r="H62" i="8"/>
  <c r="H11" i="2" s="1"/>
  <c r="H63" i="8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5" i="9"/>
  <c r="H26" i="9"/>
  <c r="H27" i="9"/>
  <c r="H28" i="9"/>
  <c r="H29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8" i="9"/>
  <c r="H49" i="9"/>
  <c r="H50" i="9"/>
  <c r="H51" i="9"/>
  <c r="H52" i="9"/>
  <c r="H54" i="9"/>
  <c r="H55" i="9"/>
  <c r="H58" i="9"/>
  <c r="H64" i="9"/>
  <c r="H9" i="2" s="1"/>
  <c r="H65" i="9"/>
  <c r="F9" i="2" s="1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5" i="10"/>
  <c r="H26" i="10"/>
  <c r="H27" i="10"/>
  <c r="H30" i="10" s="1"/>
  <c r="H28" i="10"/>
  <c r="H29" i="10"/>
  <c r="H39" i="10"/>
  <c r="H40" i="10"/>
  <c r="H41" i="10"/>
  <c r="H42" i="10"/>
  <c r="H43" i="10"/>
  <c r="H44" i="10"/>
  <c r="H45" i="10"/>
  <c r="H46" i="10"/>
  <c r="H50" i="10"/>
  <c r="H51" i="10"/>
  <c r="H55" i="10" s="1"/>
  <c r="H52" i="10"/>
  <c r="H53" i="10"/>
  <c r="H54" i="10"/>
  <c r="H57" i="10"/>
  <c r="H58" i="10"/>
  <c r="H59" i="10"/>
  <c r="H60" i="10"/>
  <c r="F8" i="2" s="1"/>
  <c r="H61" i="10"/>
  <c r="H62" i="10"/>
  <c r="H63" i="10"/>
  <c r="H8" i="2"/>
  <c r="H64" i="10"/>
  <c r="H8" i="11"/>
  <c r="H9" i="11"/>
  <c r="H11" i="11"/>
  <c r="H12" i="11"/>
  <c r="H16" i="11" s="1"/>
  <c r="H13" i="11"/>
  <c r="H14" i="11"/>
  <c r="H15" i="11"/>
  <c r="H19" i="11"/>
  <c r="H20" i="11"/>
  <c r="H22" i="11"/>
  <c r="H23" i="11"/>
  <c r="H24" i="11"/>
  <c r="H25" i="11"/>
  <c r="H26" i="11"/>
  <c r="H27" i="11"/>
  <c r="H28" i="11"/>
  <c r="H29" i="11"/>
  <c r="H30" i="11"/>
  <c r="H34" i="11"/>
  <c r="H40" i="11" s="1"/>
  <c r="H35" i="11"/>
  <c r="H36" i="11"/>
  <c r="H37" i="11"/>
  <c r="H38" i="11"/>
  <c r="H39" i="11"/>
  <c r="H42" i="11"/>
  <c r="E7" i="2" s="1"/>
  <c r="H43" i="11"/>
  <c r="H44" i="11"/>
  <c r="H45" i="11"/>
  <c r="H46" i="11"/>
  <c r="H47" i="11"/>
  <c r="H48" i="11"/>
  <c r="H7" i="2" s="1"/>
  <c r="H49" i="11"/>
  <c r="H3" i="3"/>
  <c r="H4" i="3"/>
  <c r="H7" i="3"/>
  <c r="H8" i="3"/>
  <c r="H10" i="3"/>
  <c r="H11" i="3"/>
  <c r="H12" i="3"/>
  <c r="H13" i="3"/>
  <c r="H14" i="3"/>
  <c r="H15" i="3"/>
  <c r="H17" i="3"/>
  <c r="H18" i="3"/>
  <c r="H19" i="3"/>
  <c r="H20" i="3"/>
  <c r="H21" i="3"/>
  <c r="H22" i="3"/>
  <c r="H23" i="3"/>
  <c r="H24" i="3"/>
  <c r="H31" i="3"/>
  <c r="H32" i="3"/>
  <c r="H34" i="3"/>
  <c r="H35" i="3"/>
  <c r="H39" i="3"/>
  <c r="H40" i="3"/>
  <c r="H45" i="3"/>
  <c r="H46" i="3"/>
  <c r="H47" i="3"/>
  <c r="H49" i="3"/>
  <c r="H51" i="3"/>
  <c r="H53" i="3"/>
  <c r="H56" i="3"/>
  <c r="I25" i="1" s="1"/>
  <c r="H57" i="3"/>
  <c r="I26" i="1" s="1"/>
  <c r="H58" i="3"/>
  <c r="H59" i="3"/>
  <c r="I28" i="1" s="1"/>
  <c r="H60" i="3"/>
  <c r="I29" i="1" s="1"/>
  <c r="H61" i="3"/>
  <c r="I30" i="1"/>
  <c r="H62" i="3"/>
  <c r="I31" i="1" s="1"/>
  <c r="B12" i="2"/>
  <c r="A12" i="2"/>
  <c r="B13" i="2"/>
  <c r="I13" i="2" s="1"/>
  <c r="B14" i="2"/>
  <c r="L14" i="2"/>
  <c r="H14" i="2"/>
  <c r="M14" i="2"/>
  <c r="B15" i="2"/>
  <c r="I15" i="2"/>
  <c r="L15" i="2"/>
  <c r="B16" i="2"/>
  <c r="I16" i="2" s="1"/>
  <c r="G7" i="1"/>
  <c r="G12" i="1"/>
  <c r="H12" i="1"/>
  <c r="G13" i="1"/>
  <c r="H13" i="1"/>
  <c r="H14" i="1"/>
  <c r="G15" i="1"/>
  <c r="H15" i="1"/>
  <c r="G16" i="1"/>
  <c r="H16" i="1"/>
  <c r="G17" i="1"/>
  <c r="H17" i="1"/>
  <c r="G18" i="1"/>
  <c r="H18" i="1"/>
  <c r="G19" i="1"/>
  <c r="H19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A15" i="2"/>
  <c r="K15" i="2"/>
  <c r="E12" i="2"/>
  <c r="E9" i="2"/>
  <c r="E11" i="2"/>
  <c r="A14" i="2"/>
  <c r="F14" i="2"/>
  <c r="L13" i="2"/>
  <c r="I14" i="2"/>
  <c r="K14" i="2"/>
  <c r="G8" i="2"/>
  <c r="H55" i="5"/>
  <c r="H65" i="6"/>
  <c r="H64" i="8"/>
  <c r="E10" i="2"/>
  <c r="A13" i="2"/>
  <c r="A7" i="2"/>
  <c r="A8" i="2"/>
  <c r="A10" i="2"/>
  <c r="I17" i="1" l="1"/>
  <c r="H63" i="3"/>
  <c r="H16" i="3"/>
  <c r="I24" i="1" s="1"/>
  <c r="I27" i="1"/>
  <c r="H54" i="3"/>
  <c r="H9" i="3"/>
  <c r="G11" i="2"/>
  <c r="H54" i="8"/>
  <c r="H45" i="7"/>
  <c r="H30" i="7"/>
  <c r="I14" i="1"/>
  <c r="F10" i="2"/>
  <c r="H69" i="7"/>
  <c r="H59" i="7"/>
  <c r="I15" i="1"/>
  <c r="H66" i="9"/>
  <c r="I12" i="1"/>
  <c r="H24" i="9"/>
  <c r="G9" i="2"/>
  <c r="H30" i="9"/>
  <c r="H56" i="9"/>
  <c r="H47" i="9"/>
  <c r="I19" i="1"/>
  <c r="H65" i="10"/>
  <c r="E8" i="2"/>
  <c r="H24" i="10"/>
  <c r="H56" i="10" s="1"/>
  <c r="H66" i="14"/>
  <c r="F16" i="2" s="1"/>
  <c r="J16" i="2" s="1"/>
  <c r="G7" i="2"/>
  <c r="I13" i="1"/>
  <c r="H10" i="11"/>
  <c r="H41" i="11" s="1"/>
  <c r="H66" i="4"/>
  <c r="A11" i="2"/>
  <c r="H56" i="6"/>
  <c r="H67" i="5"/>
  <c r="H68" i="5"/>
  <c r="J15" i="2"/>
  <c r="D13" i="2"/>
  <c r="P14" i="2"/>
  <c r="J14" i="2"/>
  <c r="N14" i="2" s="1"/>
  <c r="H55" i="8"/>
  <c r="H67" i="8" s="1"/>
  <c r="H66" i="5"/>
  <c r="H17" i="2"/>
  <c r="H18" i="2" s="1"/>
  <c r="H56" i="15"/>
  <c r="H56" i="14"/>
  <c r="H56" i="4"/>
  <c r="I32" i="1"/>
  <c r="I10" i="1"/>
  <c r="H66" i="15"/>
  <c r="H65" i="15"/>
  <c r="F15" i="2" s="1"/>
  <c r="L16" i="2"/>
  <c r="K13" i="2"/>
  <c r="F7" i="2"/>
  <c r="I16" i="1"/>
  <c r="K16" i="2"/>
  <c r="H50" i="11"/>
  <c r="I18" i="1"/>
  <c r="F13" i="2"/>
  <c r="A16" i="2"/>
  <c r="G10" i="2"/>
  <c r="E14" i="2"/>
  <c r="E17" i="2" s="1"/>
  <c r="E18" i="2" s="1"/>
  <c r="H65" i="4"/>
  <c r="H55" i="3" l="1"/>
  <c r="H65" i="3" s="1"/>
  <c r="G17" i="2"/>
  <c r="M12" i="2"/>
  <c r="H66" i="8"/>
  <c r="M11" i="2" s="1"/>
  <c r="I9" i="1"/>
  <c r="H60" i="7"/>
  <c r="H71" i="7" s="1"/>
  <c r="H57" i="9"/>
  <c r="H69" i="9" s="1"/>
  <c r="I8" i="1"/>
  <c r="I20" i="1"/>
  <c r="I36" i="1" s="1"/>
  <c r="H67" i="10"/>
  <c r="I7" i="1"/>
  <c r="H69" i="14"/>
  <c r="M16" i="2" s="1"/>
  <c r="P16" i="2" s="1"/>
  <c r="D8" i="2"/>
  <c r="H68" i="10"/>
  <c r="J49" i="1"/>
  <c r="I49" i="1" s="1"/>
  <c r="H69" i="15"/>
  <c r="M15" i="2" s="1"/>
  <c r="P15" i="2" s="1"/>
  <c r="D7" i="2"/>
  <c r="D12" i="2"/>
  <c r="M13" i="2"/>
  <c r="D9" i="2"/>
  <c r="H68" i="9"/>
  <c r="M9" i="2" s="1"/>
  <c r="E25" i="16"/>
  <c r="H25" i="16"/>
  <c r="G25" i="16"/>
  <c r="J39" i="1"/>
  <c r="J13" i="2"/>
  <c r="N13" i="2" s="1"/>
  <c r="P13" i="2"/>
  <c r="F17" i="2"/>
  <c r="H69" i="5"/>
  <c r="H52" i="11"/>
  <c r="H53" i="11"/>
  <c r="D11" i="2"/>
  <c r="H69" i="4"/>
  <c r="I23" i="1" l="1"/>
  <c r="H66" i="3"/>
  <c r="M8" i="2"/>
  <c r="P8" i="2" s="1"/>
  <c r="H72" i="7"/>
  <c r="M10" i="2" s="1"/>
  <c r="D10" i="2"/>
  <c r="I11" i="1"/>
  <c r="J48" i="1"/>
  <c r="I48" i="1" s="1"/>
  <c r="I39" i="1" s="1"/>
  <c r="N16" i="2"/>
  <c r="G27" i="16" s="1"/>
  <c r="I41" i="1"/>
  <c r="M7" i="2"/>
  <c r="I21" i="1"/>
  <c r="E24" i="16"/>
  <c r="H24" i="16"/>
  <c r="G24" i="16"/>
  <c r="N15" i="2"/>
  <c r="I40" i="1"/>
  <c r="D17" i="2"/>
  <c r="P9" i="2"/>
  <c r="P11" i="2"/>
  <c r="M17" i="2" l="1"/>
  <c r="I35" i="1"/>
  <c r="I37" i="1" s="1"/>
  <c r="H67" i="3"/>
  <c r="I33" i="1"/>
  <c r="I34" i="1" s="1"/>
  <c r="P10" i="2"/>
  <c r="P7" i="2"/>
  <c r="C34" i="16"/>
  <c r="I22" i="1"/>
  <c r="E27" i="16"/>
  <c r="H27" i="16"/>
  <c r="G13" i="16" s="1"/>
  <c r="P17" i="2"/>
  <c r="E26" i="16"/>
  <c r="H26" i="16"/>
  <c r="G26" i="16"/>
  <c r="I9" i="2" l="1"/>
  <c r="J9" i="2" s="1"/>
  <c r="I12" i="2"/>
  <c r="I42" i="1"/>
  <c r="J12" i="2"/>
  <c r="L12" i="2"/>
  <c r="K12" i="2"/>
  <c r="L11" i="2"/>
  <c r="K11" i="2"/>
  <c r="I11" i="2"/>
  <c r="L10" i="2"/>
  <c r="I10" i="2"/>
  <c r="K10" i="2"/>
  <c r="L9" i="2"/>
  <c r="H67" i="9" s="1"/>
  <c r="H70" i="9" s="1"/>
  <c r="K9" i="2"/>
  <c r="L7" i="2"/>
  <c r="L8" i="2"/>
  <c r="K8" i="2"/>
  <c r="I8" i="2"/>
  <c r="J8" i="2" s="1"/>
  <c r="I7" i="2"/>
  <c r="K7" i="2"/>
  <c r="H69" i="6" l="1"/>
  <c r="N12" i="2"/>
  <c r="H65" i="8"/>
  <c r="H68" i="8" s="1"/>
  <c r="J11" i="2"/>
  <c r="N11" i="2" s="1"/>
  <c r="L17" i="2"/>
  <c r="K17" i="2"/>
  <c r="H70" i="7"/>
  <c r="H73" i="7" s="1"/>
  <c r="J10" i="2"/>
  <c r="N10" i="2" s="1"/>
  <c r="H51" i="11"/>
  <c r="H54" i="11" s="1"/>
  <c r="N9" i="2"/>
  <c r="G20" i="16" s="1"/>
  <c r="J7" i="2"/>
  <c r="N7" i="2" s="1"/>
  <c r="E18" i="16" s="1"/>
  <c r="I17" i="2"/>
  <c r="J17" i="2" s="1"/>
  <c r="N8" i="2"/>
  <c r="G19" i="16" s="1"/>
  <c r="H66" i="10"/>
  <c r="H69" i="10" s="1"/>
  <c r="K45" i="16" l="1"/>
  <c r="H23" i="16"/>
  <c r="G23" i="16"/>
  <c r="E23" i="16"/>
  <c r="G22" i="16"/>
  <c r="H22" i="16"/>
  <c r="E22" i="16"/>
  <c r="E20" i="16"/>
  <c r="H20" i="16"/>
  <c r="H19" i="16"/>
  <c r="F18" i="16"/>
  <c r="F28" i="16" s="1"/>
  <c r="H21" i="16"/>
  <c r="G21" i="16"/>
  <c r="E21" i="16"/>
  <c r="E19" i="16"/>
  <c r="G18" i="16"/>
  <c r="H18" i="16"/>
  <c r="N17" i="2"/>
  <c r="I18" i="2" s="1"/>
  <c r="K18" i="2" l="1"/>
  <c r="H28" i="16"/>
  <c r="E28" i="16"/>
  <c r="G28" i="16"/>
  <c r="F18" i="2"/>
  <c r="G18" i="2"/>
  <c r="L18" i="2"/>
  <c r="N18" i="2"/>
  <c r="N20" i="2"/>
  <c r="D18" i="2"/>
  <c r="M18" i="2"/>
  <c r="J18" i="2"/>
</calcChain>
</file>

<file path=xl/sharedStrings.xml><?xml version="1.0" encoding="utf-8"?>
<sst xmlns="http://schemas.openxmlformats.org/spreadsheetml/2006/main" count="948" uniqueCount="380">
  <si>
    <t>표준안전관리비</t>
  </si>
  <si>
    <t>자재비</t>
    <phoneticPr fontId="2" type="noConversion"/>
  </si>
  <si>
    <t>외주제작품</t>
    <phoneticPr fontId="2" type="noConversion"/>
  </si>
  <si>
    <t>노무비</t>
    <phoneticPr fontId="2" type="noConversion"/>
  </si>
  <si>
    <t>설계</t>
    <phoneticPr fontId="2" type="noConversion"/>
  </si>
  <si>
    <t>제작</t>
    <phoneticPr fontId="2" type="noConversion"/>
  </si>
  <si>
    <t>조립</t>
    <phoneticPr fontId="2" type="noConversion"/>
  </si>
  <si>
    <t>설치</t>
    <phoneticPr fontId="2" type="noConversion"/>
  </si>
  <si>
    <t>시운전</t>
    <phoneticPr fontId="2" type="noConversion"/>
  </si>
  <si>
    <t>양산대응</t>
    <phoneticPr fontId="2" type="noConversion"/>
  </si>
  <si>
    <t>순번</t>
    <phoneticPr fontId="2" type="noConversion"/>
  </si>
  <si>
    <t>단위</t>
    <phoneticPr fontId="2" type="noConversion"/>
  </si>
  <si>
    <t>원가구분</t>
    <phoneticPr fontId="2" type="noConversion"/>
  </si>
  <si>
    <t>수량</t>
    <phoneticPr fontId="2" type="noConversion"/>
  </si>
  <si>
    <t>단가</t>
    <phoneticPr fontId="2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</si>
  <si>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2" type="noConversion"/>
  </si>
  <si>
    <t>기계/전기자재</t>
    <phoneticPr fontId="2" type="noConversion"/>
  </si>
  <si>
    <r>
      <t xml:space="preserve">이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윤</t>
    </r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</si>
  <si>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       </t>
    </r>
    <r>
      <rPr>
        <sz val="11"/>
        <rFont val="굴림"/>
        <family val="3"/>
        <charset val="129"/>
      </rPr>
      <t>계</t>
    </r>
    <phoneticPr fontId="2" type="noConversion"/>
  </si>
  <si>
    <t>제작(제관,가공)</t>
    <phoneticPr fontId="2" type="noConversion"/>
  </si>
  <si>
    <t>도장</t>
    <phoneticPr fontId="2" type="noConversion"/>
  </si>
  <si>
    <t>加工必要資材</t>
    <phoneticPr fontId="2" type="noConversion"/>
  </si>
  <si>
    <t>加工不要資材</t>
    <phoneticPr fontId="2" type="noConversion"/>
  </si>
  <si>
    <t>순번</t>
    <phoneticPr fontId="2" type="noConversion"/>
  </si>
  <si>
    <t>자재비</t>
    <phoneticPr fontId="2" type="noConversion"/>
  </si>
  <si>
    <t>일반관리비</t>
    <phoneticPr fontId="2" type="noConversion"/>
  </si>
  <si>
    <t>합  계</t>
    <phoneticPr fontId="2" type="noConversion"/>
  </si>
  <si>
    <t>비  고</t>
    <phoneticPr fontId="2" type="noConversion"/>
  </si>
  <si>
    <t>수량</t>
    <phoneticPr fontId="2" type="noConversion"/>
  </si>
  <si>
    <t>단위:원</t>
    <phoneticPr fontId="2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</si>
  <si>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2" type="noConversion"/>
  </si>
  <si>
    <t>구분</t>
    <phoneticPr fontId="2" type="noConversion"/>
  </si>
  <si>
    <t>규격</t>
    <phoneticPr fontId="2" type="noConversion"/>
  </si>
  <si>
    <t>단위</t>
    <phoneticPr fontId="2" type="noConversion"/>
  </si>
  <si>
    <t>수량</t>
    <phoneticPr fontId="2" type="noConversion"/>
  </si>
  <si>
    <t>단가(원)</t>
    <phoneticPr fontId="2" type="noConversion"/>
  </si>
  <si>
    <t>금액(원)</t>
    <phoneticPr fontId="2" type="noConversion"/>
  </si>
  <si>
    <t>철자재</t>
    <phoneticPr fontId="2" type="noConversion"/>
  </si>
  <si>
    <t>구매품</t>
    <phoneticPr fontId="2" type="noConversion"/>
  </si>
  <si>
    <t>외주제작품</t>
    <phoneticPr fontId="2" type="noConversion"/>
  </si>
  <si>
    <t>전기자재</t>
    <phoneticPr fontId="2" type="noConversion"/>
  </si>
  <si>
    <t>노무비 소계</t>
    <phoneticPr fontId="2" type="noConversion"/>
  </si>
  <si>
    <t>자재비 소계</t>
    <phoneticPr fontId="2" type="noConversion"/>
  </si>
  <si>
    <t>이윤</t>
    <phoneticPr fontId="2" type="noConversion"/>
  </si>
  <si>
    <t>품  명</t>
    <phoneticPr fontId="2" type="noConversion"/>
  </si>
  <si>
    <t>(유공압품외)</t>
    <phoneticPr fontId="2" type="noConversion"/>
  </si>
  <si>
    <t>原MAKER</t>
    <phoneticPr fontId="2" type="noConversion"/>
  </si>
  <si>
    <t>기타자재</t>
    <phoneticPr fontId="2" type="noConversion"/>
  </si>
  <si>
    <t>운반및중장비사용,표준안전관리비</t>
    <phoneticPr fontId="2" type="noConversion"/>
  </si>
  <si>
    <t>기계 소계</t>
    <phoneticPr fontId="2" type="noConversion"/>
  </si>
  <si>
    <t>M/D</t>
  </si>
  <si>
    <t>M/D</t>
    <phoneticPr fontId="2" type="noConversion"/>
  </si>
  <si>
    <t>현대/기아차 요구사양</t>
    <phoneticPr fontId="2" type="noConversion"/>
  </si>
  <si>
    <t>업체 견적기준 사양</t>
    <phoneticPr fontId="2" type="noConversion"/>
  </si>
  <si>
    <t>설치/시운전</t>
    <phoneticPr fontId="2" type="noConversion"/>
  </si>
  <si>
    <t>양산대응</t>
    <phoneticPr fontId="2" type="noConversion"/>
  </si>
  <si>
    <t>일반관리비</t>
    <phoneticPr fontId="2" type="noConversion"/>
  </si>
  <si>
    <t>자재비 합계</t>
    <phoneticPr fontId="2" type="noConversion"/>
  </si>
  <si>
    <t>노무비 합계</t>
    <phoneticPr fontId="2" type="noConversion"/>
  </si>
  <si>
    <r>
      <t xml:space="preserve">중간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합계</t>
    </r>
    <phoneticPr fontId="2" type="noConversion"/>
  </si>
  <si>
    <t>철거</t>
    <phoneticPr fontId="2" type="noConversion"/>
  </si>
  <si>
    <t>제작</t>
    <phoneticPr fontId="2" type="noConversion"/>
  </si>
  <si>
    <t>항   목</t>
    <phoneticPr fontId="2" type="noConversion"/>
  </si>
  <si>
    <t>3~7항 합계</t>
    <phoneticPr fontId="2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</si>
  <si>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2" type="noConversion"/>
  </si>
  <si>
    <t>정도검사포함</t>
    <phoneticPr fontId="2" type="noConversion"/>
  </si>
  <si>
    <t>개조공사時</t>
    <phoneticPr fontId="2" type="noConversion"/>
  </si>
  <si>
    <r>
      <t>소</t>
    </r>
    <r>
      <rPr>
        <sz val="11"/>
        <rFont val="굴림"/>
        <family val="3"/>
        <charset val="129"/>
      </rPr>
      <t>계</t>
    </r>
    <phoneticPr fontId="2" type="noConversion"/>
  </si>
  <si>
    <t>소계</t>
    <phoneticPr fontId="2" type="noConversion"/>
  </si>
  <si>
    <t>전기 소계</t>
    <phoneticPr fontId="2" type="noConversion"/>
  </si>
  <si>
    <t>기존설비 철거</t>
    <phoneticPr fontId="2" type="noConversion"/>
  </si>
  <si>
    <r>
      <t>A. 원가항목별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</si>
  <si>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노
무
비</t>
    <phoneticPr fontId="2" type="noConversion"/>
  </si>
  <si>
    <t>설계,프로그램</t>
    <phoneticPr fontId="2" type="noConversion"/>
  </si>
  <si>
    <t>표준안전</t>
    <phoneticPr fontId="2" type="noConversion"/>
  </si>
  <si>
    <t>관리비</t>
    <phoneticPr fontId="2" type="noConversion"/>
  </si>
  <si>
    <t>일반관리 및 이윤</t>
    <phoneticPr fontId="2" type="noConversion"/>
  </si>
  <si>
    <t>자
재
비</t>
    <phoneticPr fontId="2" type="noConversion"/>
  </si>
  <si>
    <t>* 기계부문에 포함시킴</t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</si>
  <si>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</si>
  <si>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r>
      <t>□ 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2" type="noConversion"/>
  </si>
  <si>
    <t>자
재
비</t>
    <phoneticPr fontId="2" type="noConversion"/>
  </si>
  <si>
    <t>(첨부)</t>
    <phoneticPr fontId="2" type="noConversion"/>
  </si>
  <si>
    <t>□ 전기부문:</t>
    <phoneticPr fontId="2" type="noConversion"/>
  </si>
  <si>
    <t>(첨부)</t>
    <phoneticPr fontId="2" type="noConversion"/>
  </si>
  <si>
    <t>포장/운송</t>
    <phoneticPr fontId="2" type="noConversion"/>
  </si>
  <si>
    <t>중장비사용</t>
    <phoneticPr fontId="2" type="noConversion"/>
  </si>
  <si>
    <t>포장,운송 및 중장비 사용료</t>
    <phoneticPr fontId="2" type="noConversion"/>
  </si>
  <si>
    <r>
      <t>철자재(</t>
    </r>
    <r>
      <rPr>
        <sz val="11"/>
        <rFont val="굴림"/>
        <family val="3"/>
        <charset val="129"/>
      </rPr>
      <t>SS.SUS등)</t>
    </r>
    <phoneticPr fontId="2" type="noConversion"/>
  </si>
  <si>
    <t>기존설비 철거</t>
    <phoneticPr fontId="2" type="noConversion"/>
  </si>
  <si>
    <t>기계
부문</t>
    <phoneticPr fontId="2" type="noConversion"/>
  </si>
  <si>
    <t>전기
부문</t>
    <phoneticPr fontId="2" type="noConversion"/>
  </si>
  <si>
    <r>
      <t>B. 단위장비별 견적가 종합</t>
    </r>
    <r>
      <rPr>
        <sz val="12"/>
        <color indexed="8"/>
        <rFont val="HY헤드라인M"/>
        <family val="1"/>
        <charset val="129"/>
      </rPr>
      <t>(상세견적 첨부)</t>
    </r>
    <phoneticPr fontId="2" type="noConversion"/>
  </si>
  <si>
    <t>단위장비명</t>
    <phoneticPr fontId="2" type="noConversion"/>
  </si>
  <si>
    <t>철거(개조시)</t>
    <phoneticPr fontId="2" type="noConversion"/>
  </si>
  <si>
    <r>
      <t>금  액</t>
    </r>
    <r>
      <rPr>
        <sz val="11"/>
        <rFont val="굴림"/>
        <family val="3"/>
        <charset val="129"/>
      </rPr>
      <t>(원)</t>
    </r>
    <phoneticPr fontId="2" type="noConversion"/>
  </si>
  <si>
    <t>현대/기아차 요구사양대비 견적조건 상이내역</t>
    <phoneticPr fontId="2" type="noConversion"/>
  </si>
  <si>
    <t>※ 현대/기아차의 요구사양과 업체견적사양이 다른경우만 작성</t>
    <phoneticPr fontId="2" type="noConversion"/>
  </si>
  <si>
    <t>(첨부)</t>
    <phoneticPr fontId="2" type="noConversion"/>
  </si>
  <si>
    <t>설치</t>
    <phoneticPr fontId="2" type="noConversion"/>
  </si>
  <si>
    <t>조립</t>
    <phoneticPr fontId="2" type="noConversion"/>
  </si>
  <si>
    <t xml:space="preserve"> 주) 전기비용은 턴키장비의 공통비용으로서 총 전기비용을 단위장비별 기계금액의 비율에 따라 배분함</t>
    <phoneticPr fontId="2" type="noConversion"/>
  </si>
  <si>
    <t>전기 제작</t>
    <phoneticPr fontId="2" type="noConversion"/>
  </si>
  <si>
    <t>전기 조립</t>
    <phoneticPr fontId="2" type="noConversion"/>
  </si>
  <si>
    <t>전기 설치</t>
    <phoneticPr fontId="2" type="noConversion"/>
  </si>
  <si>
    <t>전기 시운전</t>
    <phoneticPr fontId="2" type="noConversion"/>
  </si>
  <si>
    <t>전기 양산대응</t>
    <phoneticPr fontId="2" type="noConversion"/>
  </si>
  <si>
    <t>기계 설계</t>
    <phoneticPr fontId="2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</si>
  <si>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2" type="noConversion"/>
  </si>
  <si>
    <t>기계 조립</t>
    <phoneticPr fontId="2" type="noConversion"/>
  </si>
  <si>
    <t>기계 설치</t>
    <phoneticPr fontId="2" type="noConversion"/>
  </si>
  <si>
    <t>기계 시운전</t>
    <phoneticPr fontId="2" type="noConversion"/>
  </si>
  <si>
    <t>기계 양산대응</t>
    <phoneticPr fontId="2" type="noConversion"/>
  </si>
  <si>
    <t>기계 도장</t>
    <phoneticPr fontId="2" type="noConversion"/>
  </si>
  <si>
    <r>
      <t>□ 현대/기아 요구사양과 견적조건 일치여부 CHECK:</t>
    </r>
    <r>
      <rPr>
        <b/>
        <sz val="11"/>
        <rFont val="굴림"/>
        <family val="3"/>
        <charset val="129"/>
      </rPr>
      <t xml:space="preserve">  </t>
    </r>
    <r>
      <rPr>
        <b/>
        <sz val="11"/>
        <color indexed="12"/>
        <rFont val="굴림"/>
        <family val="3"/>
        <charset val="129"/>
      </rPr>
      <t>1.일치함  2.일부상이(상이내역 첨부참조)</t>
    </r>
    <phoneticPr fontId="2" type="noConversion"/>
  </si>
  <si>
    <t>M/D</t>
    <phoneticPr fontId="2" type="noConversion"/>
  </si>
  <si>
    <t>식</t>
    <phoneticPr fontId="2" type="noConversion"/>
  </si>
  <si>
    <t>kg</t>
    <phoneticPr fontId="2" type="noConversion"/>
  </si>
  <si>
    <t>식</t>
    <phoneticPr fontId="2" type="noConversion"/>
  </si>
  <si>
    <t>일반구매품</t>
    <phoneticPr fontId="2" type="noConversion"/>
  </si>
  <si>
    <t>번호</t>
    <phoneticPr fontId="2" type="noConversion"/>
  </si>
  <si>
    <t>1. VAT 제외</t>
    <phoneticPr fontId="2" type="noConversion"/>
  </si>
  <si>
    <t>2. 기본 유틸리티공사 제외</t>
    <phoneticPr fontId="2" type="noConversion"/>
  </si>
  <si>
    <t>특기사항</t>
    <phoneticPr fontId="2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</si>
  <si>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2" type="noConversion"/>
  </si>
  <si>
    <t>견적일자</t>
    <phoneticPr fontId="2" type="noConversion"/>
  </si>
  <si>
    <t>견적번호</t>
    <phoneticPr fontId="2" type="noConversion"/>
  </si>
  <si>
    <t>납기</t>
    <phoneticPr fontId="2" type="noConversion"/>
  </si>
  <si>
    <t>견적유효기간</t>
    <phoneticPr fontId="2" type="noConversion"/>
  </si>
  <si>
    <t>인도장소</t>
    <phoneticPr fontId="2" type="noConversion"/>
  </si>
  <si>
    <t>지불조건</t>
    <phoneticPr fontId="2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</si>
  <si>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2" type="noConversion"/>
  </si>
  <si>
    <t xml:space="preserve">見  積  書   </t>
    <phoneticPr fontId="2" type="noConversion"/>
  </si>
  <si>
    <r>
      <t>견적 합</t>
    </r>
    <r>
      <rPr>
        <sz val="11"/>
        <rFont val="굴림"/>
        <family val="3"/>
        <charset val="129"/>
      </rPr>
      <t>계</t>
    </r>
    <phoneticPr fontId="2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</si>
  <si>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2" type="noConversion"/>
  </si>
  <si>
    <t>입하</t>
    <phoneticPr fontId="2" type="noConversion"/>
  </si>
  <si>
    <t>최종검수</t>
    <phoneticPr fontId="2" type="noConversion"/>
  </si>
  <si>
    <t>(현대/기아차 설비협력업체 견적통일양식)</t>
    <phoneticPr fontId="2" type="noConversion"/>
  </si>
  <si>
    <t>기계소계</t>
    <phoneticPr fontId="2" type="noConversion"/>
  </si>
  <si>
    <t>전기소계</t>
    <phoneticPr fontId="2" type="noConversion"/>
  </si>
  <si>
    <t>1식</t>
  </si>
  <si>
    <t>1식</t>
    <phoneticPr fontId="2" type="noConversion"/>
  </si>
  <si>
    <t>1식</t>
    <phoneticPr fontId="2" type="noConversion"/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</si>
  <si>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2" type="noConversion"/>
  </si>
  <si>
    <t>상세품목내역</t>
    <phoneticPr fontId="2" type="noConversion"/>
  </si>
  <si>
    <t>합   계</t>
    <phoneticPr fontId="2" type="noConversion"/>
  </si>
  <si>
    <t>이         윤</t>
    <phoneticPr fontId="2" type="noConversion"/>
  </si>
  <si>
    <t>합         계</t>
    <phoneticPr fontId="2" type="noConversion"/>
  </si>
  <si>
    <t>식</t>
    <phoneticPr fontId="2" type="noConversion"/>
  </si>
  <si>
    <t>자재</t>
    <phoneticPr fontId="2" type="noConversion"/>
  </si>
  <si>
    <t>설치/해체/</t>
    <phoneticPr fontId="2" type="noConversion"/>
  </si>
  <si>
    <t>시운전 공사</t>
    <phoneticPr fontId="2" type="noConversion"/>
  </si>
  <si>
    <t>설치/해체 공사 자재</t>
    <phoneticPr fontId="2" type="noConversion"/>
  </si>
  <si>
    <t>시운전 자재 포함</t>
    <phoneticPr fontId="2" type="noConversion"/>
  </si>
  <si>
    <t>설치/해체/시운전</t>
    <phoneticPr fontId="2" type="noConversion"/>
  </si>
  <si>
    <t>공사 관련 자재</t>
    <phoneticPr fontId="2" type="noConversion"/>
  </si>
  <si>
    <t>계상기준1</t>
    <phoneticPr fontId="2" type="noConversion"/>
  </si>
  <si>
    <t>계상기준2</t>
    <phoneticPr fontId="2" type="noConversion"/>
  </si>
  <si>
    <t>제작/설치 전체</t>
    <phoneticPr fontId="2" type="noConversion"/>
  </si>
  <si>
    <t>당사내 설치비限</t>
    <phoneticPr fontId="2" type="noConversion"/>
  </si>
  <si>
    <t>대상액</t>
    <phoneticPr fontId="2" type="noConversion"/>
  </si>
  <si>
    <t>기준</t>
    <phoneticPr fontId="2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</si>
  <si>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2" type="noConversion"/>
  </si>
  <si>
    <t>안전관리비</t>
    <phoneticPr fontId="2" type="noConversion"/>
  </si>
  <si>
    <t>비고</t>
    <phoneticPr fontId="2" type="noConversion"/>
  </si>
  <si>
    <t>운반및중장비사용</t>
    <phoneticPr fontId="2" type="noConversion"/>
  </si>
  <si>
    <t>설치/철거/수리금액 기준</t>
    <phoneticPr fontId="2" type="noConversion"/>
  </si>
  <si>
    <t>설계외주</t>
    <phoneticPr fontId="2" type="noConversion"/>
  </si>
  <si>
    <t>제작외주</t>
    <phoneticPr fontId="2" type="noConversion"/>
  </si>
  <si>
    <t>전기외주</t>
    <phoneticPr fontId="2" type="noConversion"/>
  </si>
  <si>
    <t>설치외주</t>
    <phoneticPr fontId="2" type="noConversion"/>
  </si>
  <si>
    <t>산업안전관리비
[일반건설공사(을)]</t>
    <phoneticPr fontId="2" type="noConversion"/>
  </si>
  <si>
    <t>ST</t>
    <phoneticPr fontId="2" type="noConversion"/>
  </si>
  <si>
    <t>현대 위아 貴下</t>
    <phoneticPr fontId="2" type="noConversion"/>
  </si>
  <si>
    <t>작화. PROGRAM 비</t>
    <phoneticPr fontId="2" type="noConversion"/>
  </si>
  <si>
    <t>Manifold</t>
    <phoneticPr fontId="2" type="noConversion"/>
  </si>
  <si>
    <t>기계 가공</t>
    <phoneticPr fontId="2" type="noConversion"/>
  </si>
  <si>
    <t>견적금액</t>
    <phoneticPr fontId="2" type="noConversion"/>
  </si>
  <si>
    <t>)</t>
    <phoneticPr fontId="2" type="noConversion"/>
  </si>
  <si>
    <t>귀사 지정장소</t>
    <phoneticPr fontId="2" type="noConversion"/>
  </si>
  <si>
    <t>협의사항</t>
    <phoneticPr fontId="2" type="noConversion"/>
  </si>
  <si>
    <t>M/D</t>
    <phoneticPr fontId="2" type="noConversion"/>
  </si>
  <si>
    <t>제출후 30 일</t>
    <phoneticPr fontId="2" type="noConversion"/>
  </si>
  <si>
    <t>협력사명</t>
    <phoneticPr fontId="2" type="noConversion"/>
  </si>
  <si>
    <t xml:space="preserve">        ⓐ3.15%(5억원미만),ⓑ2.53%+기초액(5억원 이상 ~ 50억원 미만),ⓒ2.60%(50억 이상일경우)</t>
    <phoneticPr fontId="2" type="noConversion"/>
  </si>
  <si>
    <r>
      <t xml:space="preserve">주1. </t>
    </r>
    <r>
      <rPr>
        <sz val="11"/>
        <rFont val="굴림"/>
        <family val="3"/>
        <charset val="129"/>
      </rPr>
      <t>표준안전관리비:</t>
    </r>
    <r>
      <rPr>
        <sz val="11"/>
        <rFont val="굴림"/>
        <family val="3"/>
        <charset val="129"/>
      </rPr>
      <t>(설치/철거/시운전 공사 관련 금액)의</t>
    </r>
    <phoneticPr fontId="2" type="noConversion"/>
  </si>
  <si>
    <t>기계부문</t>
    <phoneticPr fontId="2" type="noConversion"/>
  </si>
  <si>
    <t>전기부문</t>
    <phoneticPr fontId="2" type="noConversion"/>
  </si>
  <si>
    <r>
      <rPr>
        <sz val="11"/>
        <color indexed="8"/>
        <rFont val="굴림"/>
        <family val="3"/>
        <charset val="129"/>
      </rPr>
      <t xml:space="preserve">관리/이윤
</t>
    </r>
    <r>
      <rPr>
        <sz val="8"/>
        <color indexed="8"/>
        <rFont val="굴림"/>
        <family val="3"/>
        <charset val="129"/>
      </rPr>
      <t>(안전관리비포함)</t>
    </r>
  </si>
  <si>
    <t>공 사 명</t>
    <phoneticPr fontId="2" type="noConversion"/>
  </si>
  <si>
    <t>整(\</t>
    <phoneticPr fontId="2" type="noConversion"/>
  </si>
  <si>
    <t>대표 : 주 해 옥</t>
  </si>
  <si>
    <t>전화: 055 - 345 - 0870</t>
  </si>
  <si>
    <t>Fax: 055 - 345 - 9450</t>
  </si>
  <si>
    <t>주소 : 경남 김해시 진례면 테크노밸리로 143</t>
    <phoneticPr fontId="2" type="noConversion"/>
  </si>
  <si>
    <t>견적담당: 김 철 권 부장</t>
    <phoneticPr fontId="2" type="noConversion"/>
  </si>
  <si>
    <t>연 락 처 : 010 -6519-7468</t>
    <phoneticPr fontId="2" type="noConversion"/>
  </si>
  <si>
    <t>2026 년 9월 30일</t>
    <phoneticPr fontId="2" type="noConversion"/>
  </si>
  <si>
    <t>2026 년 12월 31일</t>
    <phoneticPr fontId="2" type="noConversion"/>
  </si>
  <si>
    <t>포열 내경 크롬도금설비</t>
    <phoneticPr fontId="2" type="noConversion"/>
  </si>
  <si>
    <t>STRUCTURE (구조물)</t>
    <phoneticPr fontId="2" type="noConversion"/>
  </si>
  <si>
    <t>Stainless Steel P/L SUS304</t>
    <phoneticPr fontId="2" type="noConversion"/>
  </si>
  <si>
    <t>포스코</t>
    <phoneticPr fontId="2" type="noConversion"/>
  </si>
  <si>
    <t>Stainless Steel 형광류</t>
    <phoneticPr fontId="2" type="noConversion"/>
  </si>
  <si>
    <t>50x50-4t</t>
    <phoneticPr fontId="2" type="noConversion"/>
  </si>
  <si>
    <t>현대제철</t>
    <phoneticPr fontId="2" type="noConversion"/>
  </si>
  <si>
    <t>레이져 및 절단, 절곡 가공비</t>
    <phoneticPr fontId="2" type="noConversion"/>
  </si>
  <si>
    <t>3~10T</t>
    <phoneticPr fontId="2" type="noConversion"/>
  </si>
  <si>
    <t>3-10T</t>
    <phoneticPr fontId="2" type="noConversion"/>
  </si>
  <si>
    <t>LOT</t>
    <phoneticPr fontId="2" type="noConversion"/>
  </si>
  <si>
    <t>300x500x30</t>
    <phoneticPr fontId="2" type="noConversion"/>
  </si>
  <si>
    <t>EA</t>
    <phoneticPr fontId="2" type="noConversion"/>
  </si>
  <si>
    <t>그레이팅발판 (아연도금)</t>
    <phoneticPr fontId="2" type="noConversion"/>
  </si>
  <si>
    <t>제관, 절단, 용접</t>
    <phoneticPr fontId="2" type="noConversion"/>
  </si>
  <si>
    <t>PROCESS TANK</t>
    <phoneticPr fontId="2" type="noConversion"/>
  </si>
  <si>
    <t>3~8T</t>
    <phoneticPr fontId="2" type="noConversion"/>
  </si>
  <si>
    <t>50x50-4T</t>
    <phoneticPr fontId="2" type="noConversion"/>
  </si>
  <si>
    <t>ID1200x10000L</t>
    <phoneticPr fontId="2" type="noConversion"/>
  </si>
  <si>
    <t>SET</t>
    <phoneticPr fontId="2" type="noConversion"/>
  </si>
  <si>
    <t>TANK 내부 FRP LINING</t>
    <phoneticPr fontId="2" type="noConversion"/>
  </si>
  <si>
    <t>아성테크</t>
    <phoneticPr fontId="2" type="noConversion"/>
  </si>
  <si>
    <t>PROCESS TANK (SUS304 8T)</t>
    <phoneticPr fontId="2" type="noConversion"/>
  </si>
  <si>
    <t>한일강화</t>
    <phoneticPr fontId="2" type="noConversion"/>
  </si>
  <si>
    <t>TANK 내부 테프론 LINING</t>
    <phoneticPr fontId="2" type="noConversion"/>
  </si>
  <si>
    <t>제일이엔에스</t>
    <phoneticPr fontId="2" type="noConversion"/>
  </si>
  <si>
    <t>RECTIFIER (정류기)</t>
    <phoneticPr fontId="2" type="noConversion"/>
  </si>
  <si>
    <t>박리 RECTIFIER</t>
    <phoneticPr fontId="2" type="noConversion"/>
  </si>
  <si>
    <t>DC12V x 12,000A</t>
    <phoneticPr fontId="2" type="noConversion"/>
  </si>
  <si>
    <t>전해탈지 RECTIFIER</t>
    <phoneticPr fontId="2" type="noConversion"/>
  </si>
  <si>
    <t>DC12V x 6,000A</t>
    <phoneticPr fontId="2" type="noConversion"/>
  </si>
  <si>
    <t>전해연마 RECTIFIER</t>
    <phoneticPr fontId="2" type="noConversion"/>
  </si>
  <si>
    <t>DC12V x 15,000A</t>
    <phoneticPr fontId="2" type="noConversion"/>
  </si>
  <si>
    <t>크롬도금 RECTIFIER</t>
    <phoneticPr fontId="2" type="noConversion"/>
  </si>
  <si>
    <t>DC15~18V x 25,000A</t>
    <phoneticPr fontId="2" type="noConversion"/>
  </si>
  <si>
    <t>극전환스위치(공압): 크롬도금용</t>
    <phoneticPr fontId="2" type="noConversion"/>
  </si>
  <si>
    <t>DC25,000A</t>
    <phoneticPr fontId="2" type="noConversion"/>
  </si>
  <si>
    <t>정류기-극전환스위치간BUSBAR</t>
    <phoneticPr fontId="2" type="noConversion"/>
  </si>
  <si>
    <t>REMOTE PANEL</t>
    <phoneticPr fontId="2" type="noConversion"/>
  </si>
  <si>
    <t>정류기- REMOTE간 배선공사</t>
    <phoneticPr fontId="2" type="noConversion"/>
  </si>
  <si>
    <t>R/O SYSTEM</t>
    <phoneticPr fontId="2" type="noConversion"/>
  </si>
  <si>
    <t>이하 현성전기</t>
    <phoneticPr fontId="2" type="noConversion"/>
  </si>
  <si>
    <t>부대설비</t>
    <phoneticPr fontId="2" type="noConversion"/>
  </si>
  <si>
    <t>1TON/hr</t>
    <phoneticPr fontId="2" type="noConversion"/>
  </si>
  <si>
    <t xml:space="preserve"> -  원수저장통:2㎥, 처리수저장통:3㎥</t>
    <phoneticPr fontId="2" type="noConversion"/>
  </si>
  <si>
    <t>WT&amp;B</t>
    <phoneticPr fontId="2" type="noConversion"/>
  </si>
  <si>
    <t xml:space="preserve">GAS-SCRUBBER </t>
    <phoneticPr fontId="2" type="noConversion"/>
  </si>
  <si>
    <t>240㎥/min</t>
    <phoneticPr fontId="2" type="noConversion"/>
  </si>
  <si>
    <t>삼원</t>
    <phoneticPr fontId="2" type="noConversion"/>
  </si>
  <si>
    <t>DUCT</t>
    <phoneticPr fontId="2" type="noConversion"/>
  </si>
  <si>
    <t>PVC, FRP LINING</t>
    <phoneticPr fontId="2" type="noConversion"/>
  </si>
  <si>
    <t xml:space="preserve">HOOD </t>
    <phoneticPr fontId="2" type="noConversion"/>
  </si>
  <si>
    <t>Steel 형광류 SS400</t>
    <phoneticPr fontId="2" type="noConversion"/>
  </si>
  <si>
    <t>100x50 4t</t>
    <phoneticPr fontId="2" type="noConversion"/>
  </si>
  <si>
    <t>Kg</t>
    <phoneticPr fontId="2" type="noConversion"/>
  </si>
  <si>
    <t>3㎥</t>
    <phoneticPr fontId="2" type="noConversion"/>
  </si>
  <si>
    <t>전해연마용 보조탱크 FRP LINING</t>
    <phoneticPr fontId="2" type="noConversion"/>
  </si>
  <si>
    <t>크롬도금용 보조탱크 테프론 LINING</t>
    <phoneticPr fontId="2" type="noConversion"/>
  </si>
  <si>
    <t>E.G.I Plates</t>
    <phoneticPr fontId="2" type="noConversion"/>
  </si>
  <si>
    <t>2T</t>
    <phoneticPr fontId="2" type="noConversion"/>
  </si>
  <si>
    <t>100x50 4T</t>
    <phoneticPr fontId="2" type="noConversion"/>
  </si>
  <si>
    <t>MAGNET PUMP</t>
    <phoneticPr fontId="2" type="noConversion"/>
  </si>
  <si>
    <t>트라코월드</t>
    <phoneticPr fontId="2" type="noConversion"/>
  </si>
  <si>
    <t>NGSF403-AD6-F</t>
    <phoneticPr fontId="2" type="noConversion"/>
  </si>
  <si>
    <t>3-8T</t>
    <phoneticPr fontId="2" type="noConversion"/>
  </si>
  <si>
    <t>Stainless Steel Pipe</t>
    <phoneticPr fontId="2" type="noConversion"/>
  </si>
  <si>
    <t>1/4 QMFJ9040</t>
    <phoneticPr fontId="2" type="noConversion"/>
  </si>
  <si>
    <t>메코텍</t>
    <phoneticPr fontId="2" type="noConversion"/>
  </si>
  <si>
    <t>스프레이노즐</t>
    <phoneticPr fontId="2" type="noConversion"/>
  </si>
  <si>
    <t>세이브웨이</t>
    <phoneticPr fontId="2" type="noConversion"/>
  </si>
  <si>
    <t>HEATER (전해탈지용)</t>
    <phoneticPr fontId="2" type="noConversion"/>
  </si>
  <si>
    <t>HEATER (전해연마용)</t>
    <phoneticPr fontId="2" type="noConversion"/>
  </si>
  <si>
    <t>HEATER (크롬도금용)</t>
    <phoneticPr fontId="2" type="noConversion"/>
  </si>
  <si>
    <t>SUS, 150kW</t>
    <phoneticPr fontId="2" type="noConversion"/>
  </si>
  <si>
    <t>Ti, 150kW</t>
    <phoneticPr fontId="2" type="noConversion"/>
  </si>
  <si>
    <t>삼성히터</t>
    <phoneticPr fontId="2" type="noConversion"/>
  </si>
  <si>
    <t>CPVC PIPE</t>
    <phoneticPr fontId="2" type="noConversion"/>
  </si>
  <si>
    <t>25A~100A</t>
    <phoneticPr fontId="2" type="noConversion"/>
  </si>
  <si>
    <t>환경인허가 및 관련안전장치</t>
    <phoneticPr fontId="2" type="noConversion"/>
  </si>
  <si>
    <t>유해위험방지계획서</t>
    <phoneticPr fontId="2" type="noConversion"/>
  </si>
  <si>
    <t>환경인허가변경(대기,폐수,악취)</t>
    <phoneticPr fontId="2" type="noConversion"/>
  </si>
  <si>
    <t>화학사고예방관리계획서 : 설치검사,영업허가</t>
    <phoneticPr fontId="2" type="noConversion"/>
  </si>
  <si>
    <t>위험물제조소 등 허가 : 일반취급소 허가</t>
    <phoneticPr fontId="2" type="noConversion"/>
  </si>
  <si>
    <t>누액감지시스템(검지,경보장치)</t>
    <phoneticPr fontId="2" type="noConversion"/>
  </si>
  <si>
    <t>비상샤워장치</t>
    <phoneticPr fontId="2" type="noConversion"/>
  </si>
  <si>
    <t>900x900xH2350</t>
    <phoneticPr fontId="2" type="noConversion"/>
  </si>
  <si>
    <t>센서 4개소 설치</t>
    <phoneticPr fontId="2" type="noConversion"/>
  </si>
  <si>
    <t>테스트피스</t>
    <phoneticPr fontId="2" type="noConversion"/>
  </si>
  <si>
    <t>K-9 포열 소재</t>
    <phoneticPr fontId="2" type="noConversion"/>
  </si>
  <si>
    <t>K1A1 포열 소재</t>
    <phoneticPr fontId="2" type="noConversion"/>
  </si>
  <si>
    <t>MAIN PANEL</t>
    <phoneticPr fontId="2" type="noConversion"/>
  </si>
  <si>
    <t>15A~40A</t>
    <phoneticPr fontId="2" type="noConversion"/>
  </si>
  <si>
    <t>아성PVC</t>
    <phoneticPr fontId="2" type="noConversion"/>
  </si>
  <si>
    <t>2200x1900x500</t>
    <phoneticPr fontId="2" type="noConversion"/>
  </si>
  <si>
    <t>ST</t>
  </si>
  <si>
    <t>제작품</t>
    <phoneticPr fontId="2" type="noConversion"/>
  </si>
  <si>
    <t>NFB BOX</t>
    <phoneticPr fontId="2" type="noConversion"/>
  </si>
  <si>
    <t>400x700x200</t>
    <phoneticPr fontId="2" type="noConversion"/>
  </si>
  <si>
    <t>Q61P</t>
    <phoneticPr fontId="2" type="noConversion"/>
  </si>
  <si>
    <t>Q03UDVCPU</t>
    <phoneticPr fontId="2" type="noConversion"/>
  </si>
  <si>
    <t>BASE 12SLOT</t>
    <phoneticPr fontId="2" type="noConversion"/>
  </si>
  <si>
    <t>MITSUBISHI</t>
  </si>
  <si>
    <t>MITSUBISHI</t>
    <phoneticPr fontId="2" type="noConversion"/>
  </si>
  <si>
    <t>PLC CPU</t>
    <phoneticPr fontId="2" type="noConversion"/>
  </si>
  <si>
    <t>PLC BASE</t>
    <phoneticPr fontId="2" type="noConversion"/>
  </si>
  <si>
    <t>PLC 파워모듈</t>
    <phoneticPr fontId="2" type="noConversion"/>
  </si>
  <si>
    <t>QJ61BT11N</t>
  </si>
  <si>
    <t>CP</t>
    <phoneticPr fontId="2" type="noConversion"/>
  </si>
  <si>
    <t>통신케이블</t>
    <phoneticPr fontId="2" type="noConversion"/>
  </si>
  <si>
    <t>컨트롤케이블</t>
    <phoneticPr fontId="2" type="noConversion"/>
  </si>
  <si>
    <t>OEM</t>
    <phoneticPr fontId="2" type="noConversion"/>
  </si>
  <si>
    <t>MCCB</t>
    <phoneticPr fontId="2" type="noConversion"/>
  </si>
  <si>
    <t>LS</t>
    <phoneticPr fontId="2" type="noConversion"/>
  </si>
  <si>
    <t>LSE.MCCB_ABE33b_15A</t>
    <phoneticPr fontId="2" type="noConversion"/>
  </si>
  <si>
    <t>LSE.MCCB_ABE32b_5A</t>
    <phoneticPr fontId="2" type="noConversion"/>
  </si>
  <si>
    <t>TEMP CONTROLLER</t>
    <phoneticPr fontId="2" type="noConversion"/>
  </si>
  <si>
    <t>TK4H-14CN</t>
    <phoneticPr fontId="2" type="noConversion"/>
  </si>
  <si>
    <t>AUTONICS</t>
    <phoneticPr fontId="2" type="noConversion"/>
  </si>
  <si>
    <t>DIGITAL MULTIMETER</t>
    <phoneticPr fontId="2" type="noConversion"/>
  </si>
  <si>
    <t>KDX-C</t>
    <phoneticPr fontId="2" type="noConversion"/>
  </si>
  <si>
    <t>광성계측기</t>
    <phoneticPr fontId="2" type="noConversion"/>
  </si>
  <si>
    <t>TEMP 온도센서</t>
    <phoneticPr fontId="2" type="noConversion"/>
  </si>
  <si>
    <t>PT100옴, 테프론코팅</t>
    <phoneticPr fontId="2" type="noConversion"/>
  </si>
  <si>
    <t>AIRMAJOR</t>
    <phoneticPr fontId="2" type="noConversion"/>
  </si>
  <si>
    <t>NAME PLATE류</t>
    <phoneticPr fontId="2" type="noConversion"/>
  </si>
  <si>
    <t>MAIN ELB</t>
    <phoneticPr fontId="2" type="noConversion"/>
  </si>
  <si>
    <t>HEATER ELB</t>
    <phoneticPr fontId="2" type="noConversion"/>
  </si>
  <si>
    <t>EBS803C/800A</t>
    <phoneticPr fontId="2" type="noConversion"/>
  </si>
  <si>
    <t>EBS203C/200A</t>
    <phoneticPr fontId="2" type="noConversion"/>
  </si>
  <si>
    <t>POWER SUPPLY</t>
  </si>
  <si>
    <t>POWER SUPPLY</t>
    <phoneticPr fontId="2" type="noConversion"/>
  </si>
  <si>
    <t>S8VS-18024 (7.5A)</t>
    <phoneticPr fontId="2" type="noConversion"/>
  </si>
  <si>
    <t>OMRON</t>
  </si>
  <si>
    <t>OMRON</t>
    <phoneticPr fontId="2" type="noConversion"/>
  </si>
  <si>
    <t>TRANS</t>
    <phoneticPr fontId="2" type="noConversion"/>
  </si>
  <si>
    <t>AC440/220V,복권3kw</t>
    <phoneticPr fontId="2" type="noConversion"/>
  </si>
  <si>
    <t>WOONYOUNG</t>
    <phoneticPr fontId="2" type="noConversion"/>
  </si>
  <si>
    <t>2P/5A,보조접점형</t>
    <phoneticPr fontId="2" type="noConversion"/>
  </si>
  <si>
    <t>PLC 통신</t>
  </si>
  <si>
    <t>QJ71C24N-R4</t>
  </si>
  <si>
    <t>PLC BORD</t>
  </si>
  <si>
    <t>Q312B</t>
  </si>
  <si>
    <t>PLC CC LINK(CABLE포함)</t>
  </si>
  <si>
    <t>AJ65BTBI-32D</t>
  </si>
  <si>
    <t>AJ65SBTBI-32TE1</t>
  </si>
  <si>
    <t>PLC AXIS CARD</t>
  </si>
  <si>
    <t>QD77MS2</t>
  </si>
  <si>
    <t>PLC COMMUNICATION CARD</t>
  </si>
  <si>
    <t>QJ71E71-100</t>
  </si>
  <si>
    <t>COMMUNICATION CARD</t>
  </si>
  <si>
    <t>EC71330 COZY 131</t>
  </si>
  <si>
    <t>TOWER LAMP</t>
  </si>
  <si>
    <t>ST56L-3 (DC24V) (56Ø)</t>
  </si>
  <si>
    <t>S8VS-18024 (7A)</t>
  </si>
  <si>
    <t>BUZZER</t>
  </si>
  <si>
    <t>DC24V</t>
  </si>
  <si>
    <t>EWON</t>
  </si>
  <si>
    <t>Q-LIGHT</t>
  </si>
  <si>
    <t>KOINO</t>
  </si>
  <si>
    <t>근접센서(콘넥터용)</t>
  </si>
  <si>
    <t xml:space="preserve">E3Z-T66 </t>
  </si>
  <si>
    <t>PHOTO SENSOR</t>
  </si>
  <si>
    <t>BPS3M-TDT</t>
  </si>
  <si>
    <t>동력케이블</t>
    <phoneticPr fontId="2" type="noConversion"/>
  </si>
  <si>
    <t>TOUCH SCREEN</t>
  </si>
  <si>
    <t xml:space="preserve">PFXGP4501-TAD </t>
  </si>
  <si>
    <t>PROFACE</t>
    <phoneticPr fontId="2" type="noConversion"/>
  </si>
  <si>
    <t>COOLER</t>
    <phoneticPr fontId="2" type="noConversion"/>
  </si>
  <si>
    <t>AMPS-500F</t>
    <phoneticPr fontId="2" type="noConversion"/>
  </si>
  <si>
    <t>BUS BAR제작</t>
  </si>
  <si>
    <t>20mm,5t</t>
  </si>
  <si>
    <t>TRANSE COVER</t>
  </si>
  <si>
    <t>500x500x600</t>
  </si>
  <si>
    <t>CU</t>
    <phoneticPr fontId="2" type="noConversion"/>
  </si>
  <si>
    <t>통전 BUSBAR</t>
    <phoneticPr fontId="2" type="noConversion"/>
  </si>
  <si>
    <t>통전 BUSBAR 절단,절곡 가공비</t>
    <phoneticPr fontId="2" type="noConversion"/>
  </si>
  <si>
    <t>통전 구리선</t>
    <phoneticPr fontId="2" type="noConversion"/>
  </si>
  <si>
    <t>PNCT 1Cx240SQ</t>
    <phoneticPr fontId="2" type="noConversion"/>
  </si>
  <si>
    <t>M</t>
    <phoneticPr fontId="2" type="noConversion"/>
  </si>
  <si>
    <t>전선DUCT류</t>
    <phoneticPr fontId="2" type="noConversion"/>
  </si>
  <si>
    <t>WST251219-001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</si>
</sst>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\K\G"/>
    <numFmt numFmtId="177" formatCode="#,##0_);[Red]\(#,##0\)"/>
    <numFmt numFmtId="178" formatCode="#,##0_ "/>
    <numFmt numFmtId="179" formatCode="General&quot;상세견적&quot;"/>
    <numFmt numFmtId="180" formatCode="&quot;3.산업안전관리비&quot;\ #,##0_ &quot;원 포함&quot;"/>
    <numFmt numFmtId="181" formatCode="&quot;3. 산업안전관리비&quot;\ #,##0_ &quot;원 포함&quot;"/>
    <numFmt numFmtId="182" formatCode="#,##0.0_ "/>
    <numFmt numFmtId="183" formatCode="#,##0;[Red]#,##0"/>
    <numFmt numFmtId="184" formatCode="0.0_);[Red]\(0.0\)"/>
    <numFmt numFmtId="185" formatCode="0_);[Red]\(0\)"/>
  </numFmts>
  <fonts count="33"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HY헤드라인M"/>
      <family val="1"/>
      <charset val="129"/>
    </font>
    <font>
      <sz val="16"/>
      <color indexed="8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1"/>
      <name val="HY헤드라인M"/>
      <family val="1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sz val="14"/>
      <name val="HY헤드라인M"/>
      <family val="1"/>
      <charset val="129"/>
    </font>
    <font>
      <sz val="12"/>
      <color indexed="8"/>
      <name val="HY헤드라인M"/>
      <family val="1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HY헤드라인M"/>
      <family val="1"/>
      <charset val="129"/>
    </font>
    <font>
      <b/>
      <sz val="11"/>
      <color indexed="12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sz val="11"/>
      <name val="궁서"/>
      <family val="1"/>
      <charset val="129"/>
    </font>
    <font>
      <sz val="10"/>
      <name val="궁서"/>
      <family val="1"/>
      <charset val="129"/>
    </font>
    <font>
      <sz val="11"/>
      <name val="휴먼태각진그래픽"/>
      <family val="1"/>
      <charset val="129"/>
    </font>
    <font>
      <sz val="11"/>
      <name val="맑은 고딕"/>
      <family val="3"/>
      <charset val="129"/>
    </font>
    <font>
      <sz val="11"/>
      <name val="새굴림"/>
      <family val="1"/>
      <charset val="129"/>
    </font>
    <font>
      <b/>
      <u/>
      <sz val="11"/>
      <name val="굴림"/>
      <family val="3"/>
      <charset val="129"/>
    </font>
    <font>
      <sz val="11"/>
      <color indexed="8"/>
      <name val="굴림"/>
      <family val="3"/>
      <charset val="129"/>
    </font>
    <font>
      <sz val="8"/>
      <color indexed="8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</cellStyleXfs>
  <cellXfs count="5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3" fontId="5" fillId="0" borderId="10" xfId="0" applyNumberFormat="1" applyFont="1" applyBorder="1" applyAlignment="1">
      <alignment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8" fontId="0" fillId="0" borderId="15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6" xfId="0" applyBorder="1" applyAlignment="1">
      <alignment horizontal="center" vertical="center"/>
    </xf>
    <xf numFmtId="177" fontId="1" fillId="0" borderId="4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178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7" fontId="9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7" fontId="5" fillId="0" borderId="19" xfId="0" applyNumberFormat="1" applyFont="1" applyBorder="1" applyAlignment="1">
      <alignment horizontal="center" vertical="center"/>
    </xf>
    <xf numFmtId="177" fontId="5" fillId="0" borderId="17" xfId="0" applyNumberFormat="1" applyFont="1" applyBorder="1" applyAlignment="1">
      <alignment vertical="center"/>
    </xf>
    <xf numFmtId="177" fontId="4" fillId="0" borderId="4" xfId="0" applyNumberFormat="1" applyFont="1" applyBorder="1" applyAlignment="1">
      <alignment vertical="center"/>
    </xf>
    <xf numFmtId="177" fontId="4" fillId="0" borderId="23" xfId="0" applyNumberFormat="1" applyFont="1" applyBorder="1" applyAlignment="1">
      <alignment vertical="center"/>
    </xf>
    <xf numFmtId="177" fontId="4" fillId="0" borderId="3" xfId="0" applyNumberFormat="1" applyFont="1" applyBorder="1" applyAlignment="1">
      <alignment vertical="center"/>
    </xf>
    <xf numFmtId="177" fontId="4" fillId="0" borderId="24" xfId="0" applyNumberFormat="1" applyFont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7" xfId="0" applyNumberFormat="1" applyBorder="1" applyAlignment="1">
      <alignment vertical="center"/>
    </xf>
    <xf numFmtId="178" fontId="0" fillId="0" borderId="15" xfId="0" applyNumberFormat="1" applyBorder="1" applyAlignment="1">
      <alignment horizontal="center" vertical="center"/>
    </xf>
    <xf numFmtId="178" fontId="0" fillId="0" borderId="26" xfId="0" applyNumberFormat="1" applyBorder="1" applyAlignment="1">
      <alignment vertical="center"/>
    </xf>
    <xf numFmtId="178" fontId="0" fillId="0" borderId="16" xfId="0" applyNumberFormat="1" applyBorder="1" applyAlignment="1">
      <alignment vertical="center"/>
    </xf>
    <xf numFmtId="177" fontId="4" fillId="0" borderId="28" xfId="0" applyNumberFormat="1" applyFont="1" applyBorder="1" applyAlignment="1">
      <alignment vertical="center"/>
    </xf>
    <xf numFmtId="3" fontId="5" fillId="0" borderId="29" xfId="0" applyNumberFormat="1" applyFont="1" applyBorder="1" applyAlignment="1">
      <alignment vertical="center"/>
    </xf>
    <xf numFmtId="3" fontId="5" fillId="0" borderId="30" xfId="0" applyNumberFormat="1" applyFont="1" applyBorder="1" applyAlignment="1">
      <alignment horizontal="left" vertical="center"/>
    </xf>
    <xf numFmtId="177" fontId="4" fillId="0" borderId="31" xfId="0" applyNumberFormat="1" applyFont="1" applyBorder="1" applyAlignment="1">
      <alignment vertical="center"/>
    </xf>
    <xf numFmtId="0" fontId="0" fillId="0" borderId="32" xfId="0" applyBorder="1" applyAlignment="1">
      <alignment horizontal="center" vertical="center"/>
    </xf>
    <xf numFmtId="178" fontId="0" fillId="0" borderId="25" xfId="0" applyNumberFormat="1" applyBorder="1" applyAlignment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11" fillId="0" borderId="0" xfId="0" applyNumberFormat="1" applyFont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2" borderId="36" xfId="0" applyFill="1" applyBorder="1" applyAlignment="1">
      <alignment vertical="center"/>
    </xf>
    <xf numFmtId="178" fontId="0" fillId="2" borderId="36" xfId="0" applyNumberFormat="1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77" fontId="5" fillId="0" borderId="2" xfId="0" applyNumberFormat="1" applyFont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5" fillId="0" borderId="41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177" fontId="5" fillId="0" borderId="17" xfId="0" applyNumberFormat="1" applyFont="1" applyBorder="1" applyAlignment="1">
      <alignment horizontal="right" vertical="center"/>
    </xf>
    <xf numFmtId="177" fontId="5" fillId="0" borderId="4" xfId="1" applyNumberFormat="1" applyFont="1" applyFill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45" xfId="0" applyBorder="1" applyAlignment="1">
      <alignment vertical="center"/>
    </xf>
    <xf numFmtId="178" fontId="0" fillId="0" borderId="46" xfId="0" applyNumberFormat="1" applyBorder="1" applyAlignment="1">
      <alignment vertical="center"/>
    </xf>
    <xf numFmtId="178" fontId="0" fillId="0" borderId="1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178" fontId="0" fillId="0" borderId="49" xfId="0" applyNumberFormat="1" applyBorder="1" applyAlignment="1">
      <alignment vertical="center"/>
    </xf>
    <xf numFmtId="178" fontId="0" fillId="0" borderId="5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53" xfId="0" applyBorder="1" applyAlignment="1">
      <alignment vertical="center"/>
    </xf>
    <xf numFmtId="3" fontId="5" fillId="0" borderId="54" xfId="0" applyNumberFormat="1" applyFont="1" applyBorder="1" applyAlignment="1">
      <alignment vertical="center"/>
    </xf>
    <xf numFmtId="177" fontId="4" fillId="0" borderId="17" xfId="0" applyNumberFormat="1" applyFont="1" applyBorder="1" applyAlignment="1">
      <alignment vertical="center"/>
    </xf>
    <xf numFmtId="0" fontId="0" fillId="2" borderId="39" xfId="0" applyFill="1" applyBorder="1" applyAlignment="1">
      <alignment vertical="center"/>
    </xf>
    <xf numFmtId="178" fontId="0" fillId="2" borderId="39" xfId="0" applyNumberFormat="1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178" fontId="0" fillId="2" borderId="37" xfId="0" applyNumberFormat="1" applyFill="1" applyBorder="1" applyAlignment="1">
      <alignment vertical="center"/>
    </xf>
    <xf numFmtId="178" fontId="0" fillId="2" borderId="15" xfId="0" applyNumberFormat="1" applyFill="1" applyBorder="1" applyAlignment="1">
      <alignment vertical="center"/>
    </xf>
    <xf numFmtId="0" fontId="0" fillId="2" borderId="55" xfId="0" applyFill="1" applyBorder="1" applyAlignment="1">
      <alignment vertical="center"/>
    </xf>
    <xf numFmtId="178" fontId="0" fillId="2" borderId="55" xfId="0" applyNumberFormat="1" applyFill="1" applyBorder="1" applyAlignment="1">
      <alignment vertical="center"/>
    </xf>
    <xf numFmtId="178" fontId="0" fillId="0" borderId="54" xfId="0" applyNumberForma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0" xfId="0" applyNumberFormat="1" applyAlignment="1">
      <alignment vertical="center"/>
    </xf>
    <xf numFmtId="3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3" fontId="5" fillId="0" borderId="56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7" fontId="11" fillId="0" borderId="0" xfId="0" applyNumberFormat="1" applyFont="1" applyAlignment="1">
      <alignment vertical="center"/>
    </xf>
    <xf numFmtId="3" fontId="5" fillId="0" borderId="59" xfId="0" applyNumberFormat="1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0" fontId="0" fillId="0" borderId="49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50" xfId="0" applyBorder="1" applyAlignment="1">
      <alignment vertical="center"/>
    </xf>
    <xf numFmtId="179" fontId="17" fillId="0" borderId="60" xfId="0" applyNumberFormat="1" applyFont="1" applyBorder="1" applyAlignment="1">
      <alignment horizontal="center" vertical="center"/>
    </xf>
    <xf numFmtId="41" fontId="15" fillId="0" borderId="0" xfId="2" applyFont="1" applyAlignment="1">
      <alignment vertical="center"/>
    </xf>
    <xf numFmtId="0" fontId="0" fillId="0" borderId="15" xfId="0" applyBorder="1" applyAlignment="1">
      <alignment horizontal="right" vertical="center"/>
    </xf>
    <xf numFmtId="179" fontId="12" fillId="2" borderId="60" xfId="0" applyNumberFormat="1" applyFont="1" applyFill="1" applyBorder="1" applyAlignment="1">
      <alignment vertical="center"/>
    </xf>
    <xf numFmtId="176" fontId="0" fillId="0" borderId="21" xfId="0" applyNumberFormat="1" applyBorder="1" applyAlignment="1">
      <alignment vertical="center"/>
    </xf>
    <xf numFmtId="177" fontId="4" fillId="3" borderId="61" xfId="0" applyNumberFormat="1" applyFont="1" applyFill="1" applyBorder="1" applyAlignment="1">
      <alignment vertical="center"/>
    </xf>
    <xf numFmtId="178" fontId="0" fillId="0" borderId="62" xfId="0" applyNumberFormat="1" applyBorder="1" applyAlignment="1">
      <alignment horizontal="center" vertical="center"/>
    </xf>
    <xf numFmtId="178" fontId="0" fillId="0" borderId="62" xfId="0" applyNumberFormat="1" applyBorder="1" applyAlignment="1">
      <alignment horizontal="left" vertical="center"/>
    </xf>
    <xf numFmtId="178" fontId="1" fillId="0" borderId="63" xfId="0" applyNumberFormat="1" applyFont="1" applyBorder="1" applyAlignment="1">
      <alignment vertical="center"/>
    </xf>
    <xf numFmtId="178" fontId="0" fillId="0" borderId="64" xfId="0" applyNumberFormat="1" applyBorder="1" applyAlignment="1">
      <alignment vertical="center"/>
    </xf>
    <xf numFmtId="178" fontId="0" fillId="0" borderId="65" xfId="0" applyNumberFormat="1" applyBorder="1" applyAlignment="1">
      <alignment vertical="center"/>
    </xf>
    <xf numFmtId="178" fontId="0" fillId="0" borderId="66" xfId="0" applyNumberFormat="1" applyBorder="1" applyAlignment="1">
      <alignment vertical="center"/>
    </xf>
    <xf numFmtId="178" fontId="0" fillId="0" borderId="36" xfId="0" applyNumberFormat="1" applyBorder="1" applyAlignment="1">
      <alignment horizontal="center" vertical="center"/>
    </xf>
    <xf numFmtId="178" fontId="0" fillId="0" borderId="36" xfId="0" applyNumberFormat="1" applyBorder="1" applyAlignment="1">
      <alignment horizontal="left" vertical="center"/>
    </xf>
    <xf numFmtId="178" fontId="1" fillId="0" borderId="4" xfId="0" applyNumberFormat="1" applyFont="1" applyBorder="1" applyAlignment="1">
      <alignment vertical="center"/>
    </xf>
    <xf numFmtId="178" fontId="0" fillId="0" borderId="67" xfId="0" applyNumberFormat="1" applyBorder="1" applyAlignment="1">
      <alignment vertical="center"/>
    </xf>
    <xf numFmtId="178" fontId="0" fillId="0" borderId="68" xfId="0" applyNumberFormat="1" applyBorder="1" applyAlignment="1">
      <alignment vertical="center"/>
    </xf>
    <xf numFmtId="178" fontId="0" fillId="0" borderId="37" xfId="0" applyNumberFormat="1" applyBorder="1" applyAlignment="1">
      <alignment horizontal="center" vertical="center"/>
    </xf>
    <xf numFmtId="178" fontId="0" fillId="0" borderId="37" xfId="0" applyNumberFormat="1" applyBorder="1" applyAlignment="1">
      <alignment horizontal="left" vertical="center"/>
    </xf>
    <xf numFmtId="178" fontId="1" fillId="0" borderId="23" xfId="0" applyNumberFormat="1" applyFont="1" applyBorder="1" applyAlignment="1">
      <alignment vertical="center"/>
    </xf>
    <xf numFmtId="178" fontId="0" fillId="0" borderId="69" xfId="0" applyNumberFormat="1" applyBorder="1" applyAlignment="1">
      <alignment vertical="center"/>
    </xf>
    <xf numFmtId="178" fontId="0" fillId="0" borderId="70" xfId="0" applyNumberFormat="1" applyBorder="1" applyAlignment="1">
      <alignment vertical="center"/>
    </xf>
    <xf numFmtId="0" fontId="1" fillId="0" borderId="52" xfId="0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10" fontId="5" fillId="0" borderId="0" xfId="1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8" fontId="1" fillId="0" borderId="15" xfId="0" applyNumberFormat="1" applyFont="1" applyBorder="1" applyAlignment="1">
      <alignment vertical="center"/>
    </xf>
    <xf numFmtId="178" fontId="1" fillId="0" borderId="71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1" fillId="0" borderId="36" xfId="0" applyFont="1" applyBorder="1" applyAlignment="1">
      <alignment horizontal="center" vertical="center"/>
    </xf>
    <xf numFmtId="178" fontId="1" fillId="0" borderId="4" xfId="0" applyNumberFormat="1" applyFont="1" applyBorder="1" applyAlignment="1">
      <alignment horizontal="right" vertical="center"/>
    </xf>
    <xf numFmtId="0" fontId="1" fillId="0" borderId="36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178" fontId="1" fillId="0" borderId="72" xfId="0" applyNumberFormat="1" applyFont="1" applyBorder="1" applyAlignment="1">
      <alignment vertical="center"/>
    </xf>
    <xf numFmtId="178" fontId="1" fillId="0" borderId="73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59" xfId="0" applyFont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178" fontId="1" fillId="0" borderId="80" xfId="0" applyNumberFormat="1" applyFont="1" applyBorder="1" applyAlignment="1">
      <alignment vertical="center"/>
    </xf>
    <xf numFmtId="178" fontId="1" fillId="0" borderId="6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178" fontId="3" fillId="0" borderId="38" xfId="0" applyNumberFormat="1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47" xfId="0" applyNumberFormat="1" applyFont="1" applyBorder="1" applyAlignment="1">
      <alignment horizontal="center" vertical="center"/>
    </xf>
    <xf numFmtId="9" fontId="3" fillId="0" borderId="81" xfId="1" applyFont="1" applyBorder="1" applyAlignment="1">
      <alignment vertical="center"/>
    </xf>
    <xf numFmtId="9" fontId="3" fillId="0" borderId="82" xfId="1" applyFont="1" applyBorder="1" applyAlignment="1">
      <alignment vertical="center"/>
    </xf>
    <xf numFmtId="9" fontId="3" fillId="0" borderId="81" xfId="1" applyFont="1" applyFill="1" applyBorder="1" applyAlignment="1">
      <alignment vertical="center"/>
    </xf>
    <xf numFmtId="9" fontId="3" fillId="0" borderId="83" xfId="1" applyFont="1" applyBorder="1" applyAlignment="1">
      <alignment vertical="center"/>
    </xf>
    <xf numFmtId="9" fontId="3" fillId="0" borderId="84" xfId="1" applyFont="1" applyBorder="1" applyAlignment="1">
      <alignment vertical="center"/>
    </xf>
    <xf numFmtId="178" fontId="3" fillId="0" borderId="47" xfId="0" applyNumberFormat="1" applyFont="1" applyBorder="1" applyAlignment="1">
      <alignment vertical="center"/>
    </xf>
    <xf numFmtId="178" fontId="3" fillId="0" borderId="0" xfId="0" applyNumberFormat="1" applyFont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178" fontId="25" fillId="0" borderId="85" xfId="0" applyNumberFormat="1" applyFont="1" applyBorder="1" applyAlignment="1">
      <alignment vertical="center"/>
    </xf>
    <xf numFmtId="178" fontId="25" fillId="0" borderId="63" xfId="0" applyNumberFormat="1" applyFont="1" applyBorder="1" applyAlignment="1">
      <alignment vertical="center"/>
    </xf>
    <xf numFmtId="178" fontId="25" fillId="0" borderId="86" xfId="0" applyNumberFormat="1" applyFont="1" applyBorder="1" applyAlignment="1">
      <alignment vertical="center"/>
    </xf>
    <xf numFmtId="178" fontId="25" fillId="0" borderId="13" xfId="0" applyNumberFormat="1" applyFont="1" applyBorder="1" applyAlignment="1">
      <alignment vertical="center"/>
    </xf>
    <xf numFmtId="178" fontId="25" fillId="0" borderId="4" xfId="0" applyNumberFormat="1" applyFont="1" applyBorder="1" applyAlignment="1">
      <alignment vertical="center"/>
    </xf>
    <xf numFmtId="178" fontId="25" fillId="0" borderId="5" xfId="0" applyNumberFormat="1" applyFont="1" applyBorder="1" applyAlignment="1">
      <alignment vertical="center"/>
    </xf>
    <xf numFmtId="178" fontId="25" fillId="0" borderId="87" xfId="0" applyNumberFormat="1" applyFont="1" applyBorder="1" applyAlignment="1">
      <alignment vertical="center"/>
    </xf>
    <xf numFmtId="178" fontId="25" fillId="0" borderId="23" xfId="0" applyNumberFormat="1" applyFont="1" applyBorder="1" applyAlignment="1">
      <alignment vertical="center"/>
    </xf>
    <xf numFmtId="178" fontId="25" fillId="0" borderId="9" xfId="0" applyNumberFormat="1" applyFont="1" applyBorder="1" applyAlignment="1">
      <alignment vertical="center"/>
    </xf>
    <xf numFmtId="178" fontId="25" fillId="0" borderId="1" xfId="0" applyNumberFormat="1" applyFont="1" applyBorder="1" applyAlignment="1">
      <alignment vertical="center"/>
    </xf>
    <xf numFmtId="178" fontId="25" fillId="0" borderId="2" xfId="0" applyNumberFormat="1" applyFont="1" applyBorder="1" applyAlignment="1">
      <alignment vertical="center"/>
    </xf>
    <xf numFmtId="178" fontId="25" fillId="0" borderId="40" xfId="0" applyNumberFormat="1" applyFont="1" applyBorder="1" applyAlignment="1">
      <alignment vertical="center"/>
    </xf>
    <xf numFmtId="9" fontId="26" fillId="0" borderId="88" xfId="1" applyFont="1" applyBorder="1" applyAlignment="1">
      <alignment vertical="center"/>
    </xf>
    <xf numFmtId="9" fontId="26" fillId="0" borderId="81" xfId="1" applyFont="1" applyBorder="1" applyAlignment="1">
      <alignment vertical="center"/>
    </xf>
    <xf numFmtId="9" fontId="26" fillId="0" borderId="89" xfId="1" applyFont="1" applyBorder="1" applyAlignment="1">
      <alignment vertical="center"/>
    </xf>
    <xf numFmtId="178" fontId="4" fillId="0" borderId="90" xfId="0" applyNumberFormat="1" applyFont="1" applyBorder="1" applyAlignment="1">
      <alignment vertical="center"/>
    </xf>
    <xf numFmtId="178" fontId="4" fillId="0" borderId="2" xfId="0" applyNumberFormat="1" applyFont="1" applyBorder="1" applyAlignment="1">
      <alignment vertical="center"/>
    </xf>
    <xf numFmtId="178" fontId="4" fillId="0" borderId="57" xfId="0" applyNumberFormat="1" applyFont="1" applyBorder="1" applyAlignment="1">
      <alignment vertical="center"/>
    </xf>
    <xf numFmtId="178" fontId="4" fillId="0" borderId="91" xfId="0" applyNumberFormat="1" applyFont="1" applyBorder="1" applyAlignment="1">
      <alignment vertical="center"/>
    </xf>
    <xf numFmtId="3" fontId="0" fillId="4" borderId="4" xfId="0" applyNumberForma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vertical="center"/>
    </xf>
    <xf numFmtId="177" fontId="5" fillId="4" borderId="17" xfId="0" applyNumberFormat="1" applyFont="1" applyFill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2" borderId="92" xfId="0" applyFill="1" applyBorder="1" applyAlignment="1">
      <alignment vertical="center"/>
    </xf>
    <xf numFmtId="178" fontId="0" fillId="2" borderId="92" xfId="0" applyNumberFormat="1" applyFill="1" applyBorder="1" applyAlignment="1">
      <alignment vertical="center"/>
    </xf>
    <xf numFmtId="178" fontId="0" fillId="0" borderId="93" xfId="0" applyNumberFormat="1" applyBorder="1" applyAlignment="1">
      <alignment vertical="center"/>
    </xf>
    <xf numFmtId="0" fontId="0" fillId="0" borderId="92" xfId="0" applyBorder="1" applyAlignment="1">
      <alignment vertical="center"/>
    </xf>
    <xf numFmtId="0" fontId="0" fillId="5" borderId="27" xfId="0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178" fontId="0" fillId="5" borderId="15" xfId="0" applyNumberFormat="1" applyFill="1" applyBorder="1" applyAlignment="1">
      <alignment vertical="center"/>
    </xf>
    <xf numFmtId="178" fontId="0" fillId="5" borderId="27" xfId="0" applyNumberFormat="1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45" xfId="0" applyFill="1" applyBorder="1" applyAlignment="1">
      <alignment vertical="center"/>
    </xf>
    <xf numFmtId="3" fontId="0" fillId="0" borderId="5" xfId="0" applyNumberFormat="1" applyBorder="1" applyAlignment="1">
      <alignment vertical="center"/>
    </xf>
    <xf numFmtId="177" fontId="0" fillId="0" borderId="0" xfId="0" applyNumberFormat="1" applyAlignment="1">
      <alignment horizontal="left" vertical="center"/>
    </xf>
    <xf numFmtId="177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177" fontId="5" fillId="4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177" fontId="1" fillId="4" borderId="4" xfId="0" applyNumberFormat="1" applyFont="1" applyFill="1" applyBorder="1" applyAlignment="1">
      <alignment vertical="center"/>
    </xf>
    <xf numFmtId="3" fontId="3" fillId="4" borderId="17" xfId="0" applyNumberFormat="1" applyFont="1" applyFill="1" applyBorder="1" applyAlignment="1">
      <alignment horizontal="center" vertical="center"/>
    </xf>
    <xf numFmtId="3" fontId="5" fillId="4" borderId="4" xfId="0" applyNumberFormat="1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vertical="center" wrapText="1"/>
    </xf>
    <xf numFmtId="3" fontId="0" fillId="4" borderId="4" xfId="0" applyNumberFormat="1" applyFill="1" applyBorder="1" applyAlignment="1">
      <alignment vertical="center"/>
    </xf>
    <xf numFmtId="0" fontId="0" fillId="2" borderId="4" xfId="0" applyFill="1" applyBorder="1" applyAlignment="1">
      <alignment horizontal="left" vertical="center"/>
    </xf>
    <xf numFmtId="178" fontId="0" fillId="2" borderId="16" xfId="0" applyNumberFormat="1" applyFill="1" applyBorder="1" applyAlignment="1">
      <alignment vertical="center"/>
    </xf>
    <xf numFmtId="178" fontId="11" fillId="0" borderId="0" xfId="0" applyNumberFormat="1" applyFont="1" applyAlignment="1">
      <alignment horizontal="center" vertical="center"/>
    </xf>
    <xf numFmtId="178" fontId="0" fillId="2" borderId="55" xfId="0" applyNumberFormat="1" applyFill="1" applyBorder="1" applyAlignment="1">
      <alignment horizontal="center" vertical="center"/>
    </xf>
    <xf numFmtId="178" fontId="0" fillId="2" borderId="36" xfId="0" applyNumberFormat="1" applyFill="1" applyBorder="1" applyAlignment="1">
      <alignment horizontal="center" vertical="center"/>
    </xf>
    <xf numFmtId="178" fontId="0" fillId="2" borderId="37" xfId="0" applyNumberFormat="1" applyFill="1" applyBorder="1" applyAlignment="1">
      <alignment horizontal="center" vertical="center"/>
    </xf>
    <xf numFmtId="178" fontId="0" fillId="0" borderId="21" xfId="0" applyNumberFormat="1" applyBorder="1" applyAlignment="1">
      <alignment horizontal="center" vertical="center"/>
    </xf>
    <xf numFmtId="178" fontId="0" fillId="2" borderId="92" xfId="0" applyNumberFormat="1" applyFill="1" applyBorder="1" applyAlignment="1">
      <alignment horizontal="center" vertical="center"/>
    </xf>
    <xf numFmtId="178" fontId="0" fillId="2" borderId="16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78" fontId="16" fillId="3" borderId="27" xfId="0" applyNumberFormat="1" applyFont="1" applyFill="1" applyBorder="1" applyAlignment="1">
      <alignment vertical="center"/>
    </xf>
    <xf numFmtId="0" fontId="0" fillId="7" borderId="39" xfId="0" applyFill="1" applyBorder="1" applyAlignment="1">
      <alignment vertical="center"/>
    </xf>
    <xf numFmtId="0" fontId="0" fillId="7" borderId="39" xfId="0" applyFill="1" applyBorder="1" applyAlignment="1">
      <alignment horizontal="center" vertical="center"/>
    </xf>
    <xf numFmtId="178" fontId="0" fillId="7" borderId="39" xfId="0" applyNumberFormat="1" applyFill="1" applyBorder="1" applyAlignment="1">
      <alignment vertical="center"/>
    </xf>
    <xf numFmtId="0" fontId="0" fillId="7" borderId="36" xfId="0" applyFill="1" applyBorder="1" applyAlignment="1">
      <alignment vertical="center"/>
    </xf>
    <xf numFmtId="0" fontId="0" fillId="7" borderId="36" xfId="0" applyFill="1" applyBorder="1" applyAlignment="1">
      <alignment horizontal="center" vertical="center"/>
    </xf>
    <xf numFmtId="178" fontId="0" fillId="7" borderId="36" xfId="0" applyNumberFormat="1" applyFill="1" applyBorder="1" applyAlignment="1">
      <alignment vertical="center"/>
    </xf>
    <xf numFmtId="0" fontId="0" fillId="7" borderId="92" xfId="0" applyFill="1" applyBorder="1" applyAlignment="1">
      <alignment vertical="center"/>
    </xf>
    <xf numFmtId="0" fontId="0" fillId="7" borderId="92" xfId="0" applyFill="1" applyBorder="1" applyAlignment="1">
      <alignment horizontal="center" vertical="center"/>
    </xf>
    <xf numFmtId="41" fontId="1" fillId="7" borderId="92" xfId="3" applyFont="1" applyFill="1" applyBorder="1" applyAlignment="1">
      <alignment horizontal="center" vertical="center"/>
    </xf>
    <xf numFmtId="0" fontId="0" fillId="7" borderId="36" xfId="0" applyFill="1" applyBorder="1" applyAlignment="1">
      <alignment horizontal="left" vertical="center"/>
    </xf>
    <xf numFmtId="41" fontId="1" fillId="7" borderId="36" xfId="3" applyFont="1" applyFill="1" applyBorder="1" applyAlignment="1">
      <alignment horizontal="right" vertical="center"/>
    </xf>
    <xf numFmtId="41" fontId="1" fillId="7" borderId="92" xfId="3" applyFont="1" applyFill="1" applyBorder="1" applyAlignment="1">
      <alignment horizontal="right" vertical="center"/>
    </xf>
    <xf numFmtId="41" fontId="1" fillId="7" borderId="36" xfId="3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182" fontId="0" fillId="2" borderId="36" xfId="0" applyNumberFormat="1" applyFill="1" applyBorder="1" applyAlignment="1">
      <alignment vertical="center"/>
    </xf>
    <xf numFmtId="0" fontId="0" fillId="8" borderId="36" xfId="0" applyFill="1" applyBorder="1" applyAlignment="1">
      <alignment horizontal="left" vertical="center"/>
    </xf>
    <xf numFmtId="0" fontId="0" fillId="8" borderId="36" xfId="0" applyFill="1" applyBorder="1" applyAlignment="1">
      <alignment horizontal="center" vertical="center"/>
    </xf>
    <xf numFmtId="178" fontId="0" fillId="8" borderId="36" xfId="0" applyNumberFormat="1" applyFill="1" applyBorder="1" applyAlignment="1">
      <alignment horizontal="center" vertical="center"/>
    </xf>
    <xf numFmtId="0" fontId="0" fillId="8" borderId="36" xfId="0" applyFill="1" applyBorder="1" applyAlignment="1">
      <alignment vertical="center"/>
    </xf>
    <xf numFmtId="0" fontId="22" fillId="2" borderId="94" xfId="0" applyFont="1" applyFill="1" applyBorder="1" applyAlignment="1">
      <alignment horizontal="left" vertical="center"/>
    </xf>
    <xf numFmtId="0" fontId="19" fillId="2" borderId="95" xfId="0" applyFont="1" applyFill="1" applyBorder="1" applyAlignment="1">
      <alignment horizontal="left" vertical="center"/>
    </xf>
    <xf numFmtId="0" fontId="0" fillId="2" borderId="16" xfId="0" applyFill="1" applyBorder="1" applyAlignment="1">
      <alignment vertical="center"/>
    </xf>
    <xf numFmtId="0" fontId="0" fillId="2" borderId="16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78" fontId="0" fillId="8" borderId="36" xfId="0" applyNumberFormat="1" applyFill="1" applyBorder="1" applyAlignment="1">
      <alignment vertical="center"/>
    </xf>
    <xf numFmtId="0" fontId="0" fillId="8" borderId="92" xfId="0" applyFill="1" applyBorder="1" applyAlignment="1">
      <alignment vertical="center"/>
    </xf>
    <xf numFmtId="178" fontId="0" fillId="8" borderId="92" xfId="0" applyNumberFormat="1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29" fillId="8" borderId="52" xfId="0" applyFont="1" applyFill="1" applyBorder="1" applyAlignment="1">
      <alignment vertical="center"/>
    </xf>
    <xf numFmtId="0" fontId="29" fillId="8" borderId="36" xfId="0" applyFont="1" applyFill="1" applyBorder="1" applyAlignment="1">
      <alignment horizontal="center" vertical="center"/>
    </xf>
    <xf numFmtId="0" fontId="29" fillId="8" borderId="46" xfId="0" applyFont="1" applyFill="1" applyBorder="1" applyAlignment="1">
      <alignment horizontal="center" vertical="center"/>
    </xf>
    <xf numFmtId="183" fontId="29" fillId="8" borderId="36" xfId="0" applyNumberFormat="1" applyFont="1" applyFill="1" applyBorder="1" applyAlignment="1">
      <alignment vertical="center"/>
    </xf>
    <xf numFmtId="0" fontId="0" fillId="8" borderId="36" xfId="0" quotePrefix="1" applyFill="1" applyBorder="1" applyAlignment="1">
      <alignment horizontal="center" vertical="center"/>
    </xf>
    <xf numFmtId="183" fontId="0" fillId="0" borderId="0" xfId="0" applyNumberFormat="1" applyAlignment="1">
      <alignment vertical="center"/>
    </xf>
    <xf numFmtId="182" fontId="0" fillId="2" borderId="37" xfId="0" applyNumberFormat="1" applyFill="1" applyBorder="1" applyAlignment="1">
      <alignment vertical="center"/>
    </xf>
    <xf numFmtId="0" fontId="29" fillId="8" borderId="36" xfId="0" applyFont="1" applyFill="1" applyBorder="1" applyAlignment="1">
      <alignment horizontal="left" vertical="center"/>
    </xf>
    <xf numFmtId="0" fontId="0" fillId="8" borderId="46" xfId="0" applyFill="1" applyBorder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184" fontId="0" fillId="2" borderId="36" xfId="0" applyNumberFormat="1" applyFill="1" applyBorder="1" applyAlignment="1">
      <alignment vertical="center"/>
    </xf>
    <xf numFmtId="184" fontId="0" fillId="2" borderId="37" xfId="0" applyNumberForma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182" fontId="0" fillId="2" borderId="39" xfId="0" applyNumberFormat="1" applyFill="1" applyBorder="1" applyAlignment="1">
      <alignment horizontal="center" vertical="center"/>
    </xf>
    <xf numFmtId="182" fontId="0" fillId="8" borderId="36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right" vertical="center"/>
    </xf>
    <xf numFmtId="182" fontId="0" fillId="2" borderId="37" xfId="0" applyNumberFormat="1" applyFill="1" applyBorder="1" applyAlignment="1">
      <alignment horizontal="center" vertical="center"/>
    </xf>
    <xf numFmtId="182" fontId="0" fillId="2" borderId="15" xfId="0" applyNumberFormat="1" applyFill="1" applyBorder="1" applyAlignment="1">
      <alignment horizontal="center" vertical="center"/>
    </xf>
    <xf numFmtId="185" fontId="0" fillId="8" borderId="36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left" vertical="center"/>
    </xf>
    <xf numFmtId="49" fontId="0" fillId="8" borderId="36" xfId="0" applyNumberFormat="1" applyFill="1" applyBorder="1" applyAlignment="1">
      <alignment horizontal="center" vertical="center"/>
    </xf>
    <xf numFmtId="49" fontId="0" fillId="8" borderId="37" xfId="0" applyNumberForma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1" fillId="0" borderId="10" xfId="0" applyNumberFormat="1" applyFont="1" applyBorder="1" applyAlignment="1">
      <alignment horizontal="right" vertical="center"/>
    </xf>
    <xf numFmtId="0" fontId="0" fillId="0" borderId="39" xfId="0" applyBorder="1" applyAlignment="1">
      <alignment horizontal="center" vertical="center"/>
    </xf>
    <xf numFmtId="0" fontId="0" fillId="0" borderId="71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93" xfId="0" applyBorder="1" applyAlignment="1">
      <alignment vertical="center"/>
    </xf>
    <xf numFmtId="178" fontId="0" fillId="0" borderId="100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1" fillId="0" borderId="5" xfId="0" applyNumberFormat="1" applyFont="1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4" fillId="2" borderId="56" xfId="0" applyFont="1" applyFill="1" applyBorder="1" applyAlignment="1">
      <alignment vertical="center"/>
    </xf>
    <xf numFmtId="178" fontId="4" fillId="8" borderId="0" xfId="0" applyNumberFormat="1" applyFont="1" applyFill="1" applyAlignment="1">
      <alignment vertical="center"/>
    </xf>
    <xf numFmtId="178" fontId="0" fillId="2" borderId="39" xfId="0" applyNumberFormat="1" applyFill="1" applyBorder="1" applyAlignment="1">
      <alignment horizontal="center" vertical="center"/>
    </xf>
    <xf numFmtId="178" fontId="0" fillId="5" borderId="15" xfId="0" applyNumberFormat="1" applyFill="1" applyBorder="1" applyAlignment="1">
      <alignment horizontal="center" vertical="center"/>
    </xf>
    <xf numFmtId="0" fontId="0" fillId="2" borderId="96" xfId="0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96" xfId="0" applyFill="1" applyBorder="1" applyAlignment="1">
      <alignment vertical="center"/>
    </xf>
    <xf numFmtId="0" fontId="28" fillId="8" borderId="36" xfId="0" applyFont="1" applyFill="1" applyBorder="1" applyAlignment="1">
      <alignment vertical="center"/>
    </xf>
    <xf numFmtId="0" fontId="0" fillId="8" borderId="37" xfId="0" applyFill="1" applyBorder="1" applyAlignment="1">
      <alignment horizontal="center" vertical="center"/>
    </xf>
    <xf numFmtId="182" fontId="0" fillId="2" borderId="92" xfId="0" applyNumberFormat="1" applyFill="1" applyBorder="1" applyAlignment="1">
      <alignment horizontal="center" vertical="center"/>
    </xf>
    <xf numFmtId="0" fontId="0" fillId="8" borderId="35" xfId="0" applyFill="1" applyBorder="1" applyAlignment="1">
      <alignment vertical="center"/>
    </xf>
    <xf numFmtId="0" fontId="0" fillId="8" borderId="35" xfId="0" applyFill="1" applyBorder="1" applyAlignment="1">
      <alignment horizontal="center" vertical="center"/>
    </xf>
    <xf numFmtId="178" fontId="0" fillId="8" borderId="35" xfId="0" applyNumberForma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left" vertical="center"/>
    </xf>
    <xf numFmtId="0" fontId="1" fillId="2" borderId="78" xfId="0" applyFont="1" applyFill="1" applyBorder="1" applyAlignment="1">
      <alignment horizontal="left" vertical="center"/>
    </xf>
    <xf numFmtId="0" fontId="24" fillId="2" borderId="78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8" borderId="52" xfId="0" applyFill="1" applyBorder="1" applyAlignment="1">
      <alignment horizontal="center" vertical="center"/>
    </xf>
    <xf numFmtId="0" fontId="0" fillId="8" borderId="53" xfId="0" applyFill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82" fontId="0" fillId="2" borderId="39" xfId="0" applyNumberFormat="1" applyFill="1" applyBorder="1" applyAlignment="1">
      <alignment vertical="center"/>
    </xf>
    <xf numFmtId="176" fontId="0" fillId="0" borderId="21" xfId="0" applyNumberFormat="1" applyBorder="1" applyAlignment="1">
      <alignment horizontal="center" vertical="center"/>
    </xf>
    <xf numFmtId="185" fontId="0" fillId="7" borderId="39" xfId="0" applyNumberFormat="1" applyFill="1" applyBorder="1" applyAlignment="1">
      <alignment horizontal="center" vertical="center"/>
    </xf>
    <xf numFmtId="185" fontId="0" fillId="7" borderId="36" xfId="0" applyNumberFormat="1" applyFill="1" applyBorder="1" applyAlignment="1">
      <alignment horizontal="center" vertical="center"/>
    </xf>
    <xf numFmtId="185" fontId="1" fillId="7" borderId="92" xfId="0" applyNumberFormat="1" applyFont="1" applyFill="1" applyBorder="1" applyAlignment="1">
      <alignment horizontal="center" vertical="center"/>
    </xf>
    <xf numFmtId="185" fontId="0" fillId="7" borderId="92" xfId="0" applyNumberFormat="1" applyFill="1" applyBorder="1" applyAlignment="1">
      <alignment horizontal="center" vertical="center"/>
    </xf>
    <xf numFmtId="185" fontId="1" fillId="7" borderId="36" xfId="0" applyNumberFormat="1" applyFont="1" applyFill="1" applyBorder="1" applyAlignment="1">
      <alignment horizontal="center" vertical="center"/>
    </xf>
    <xf numFmtId="185" fontId="0" fillId="2" borderId="36" xfId="0" applyNumberFormat="1" applyFill="1" applyBorder="1" applyAlignment="1">
      <alignment horizontal="center" vertical="center"/>
    </xf>
    <xf numFmtId="185" fontId="0" fillId="2" borderId="37" xfId="0" applyNumberFormat="1" applyFill="1" applyBorder="1" applyAlignment="1">
      <alignment horizontal="center" vertical="center"/>
    </xf>
    <xf numFmtId="41" fontId="4" fillId="8" borderId="0" xfId="2" applyFont="1" applyFill="1" applyAlignment="1">
      <alignment vertical="center"/>
    </xf>
    <xf numFmtId="0" fontId="1" fillId="2" borderId="59" xfId="0" applyFont="1" applyFill="1" applyBorder="1" applyAlignment="1">
      <alignment vertical="center"/>
    </xf>
    <xf numFmtId="0" fontId="1" fillId="2" borderId="102" xfId="0" applyFont="1" applyFill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50" xfId="0" applyFont="1" applyFill="1" applyBorder="1" applyAlignment="1">
      <alignment vertical="center"/>
    </xf>
    <xf numFmtId="0" fontId="1" fillId="0" borderId="52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2" borderId="48" xfId="0" applyFont="1" applyFill="1" applyBorder="1" applyAlignment="1">
      <alignment vertical="center"/>
    </xf>
    <xf numFmtId="0" fontId="1" fillId="2" borderId="71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4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77" xfId="0" applyFont="1" applyFill="1" applyBorder="1" applyAlignment="1">
      <alignment vertical="center"/>
    </xf>
    <xf numFmtId="178" fontId="1" fillId="0" borderId="26" xfId="0" applyNumberFormat="1" applyFont="1" applyBorder="1" applyAlignment="1">
      <alignment horizontal="center" vertical="center" wrapText="1"/>
    </xf>
    <xf numFmtId="178" fontId="1" fillId="0" borderId="2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104" xfId="0" applyFont="1" applyFill="1" applyBorder="1" applyAlignment="1">
      <alignment vertical="center"/>
    </xf>
    <xf numFmtId="0" fontId="1" fillId="2" borderId="105" xfId="0" applyFont="1" applyFill="1" applyBorder="1" applyAlignment="1">
      <alignment vertical="center"/>
    </xf>
    <xf numFmtId="0" fontId="1" fillId="2" borderId="49" xfId="0" applyFont="1" applyFill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23" xfId="0" applyNumberForma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35" xfId="0" applyFont="1" applyBorder="1" applyAlignment="1">
      <alignment horizontal="center" vertical="center" textRotation="255"/>
    </xf>
    <xf numFmtId="0" fontId="1" fillId="0" borderId="21" xfId="0" applyFont="1" applyBorder="1" applyAlignment="1">
      <alignment horizontal="center" vertical="center" textRotation="255"/>
    </xf>
    <xf numFmtId="178" fontId="1" fillId="0" borderId="26" xfId="0" applyNumberFormat="1" applyFont="1" applyBorder="1" applyAlignment="1">
      <alignment horizontal="center" vertical="center"/>
    </xf>
    <xf numFmtId="178" fontId="1" fillId="0" borderId="44" xfId="0" applyNumberFormat="1" applyFont="1" applyBorder="1" applyAlignment="1">
      <alignment horizontal="center" vertical="center"/>
    </xf>
    <xf numFmtId="178" fontId="1" fillId="0" borderId="27" xfId="0" applyNumberFormat="1" applyFont="1" applyBorder="1" applyAlignment="1">
      <alignment horizontal="center" vertical="center"/>
    </xf>
    <xf numFmtId="181" fontId="1" fillId="2" borderId="45" xfId="0" applyNumberFormat="1" applyFont="1" applyFill="1" applyBorder="1" applyAlignment="1">
      <alignment horizontal="left" vertical="center"/>
    </xf>
    <xf numFmtId="181" fontId="1" fillId="2" borderId="0" xfId="0" applyNumberFormat="1" applyFont="1" applyFill="1" applyAlignment="1">
      <alignment horizontal="left" vertical="center"/>
    </xf>
    <xf numFmtId="181" fontId="1" fillId="2" borderId="77" xfId="0" applyNumberFormat="1" applyFont="1" applyFill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180" fontId="0" fillId="2" borderId="45" xfId="0" applyNumberFormat="1" applyFill="1" applyBorder="1" applyAlignment="1">
      <alignment vertical="center"/>
    </xf>
    <xf numFmtId="180" fontId="1" fillId="2" borderId="0" xfId="0" applyNumberFormat="1" applyFont="1" applyFill="1" applyAlignment="1">
      <alignment vertical="center"/>
    </xf>
    <xf numFmtId="180" fontId="1" fillId="2" borderId="77" xfId="0" applyNumberFormat="1" applyFont="1" applyFill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47" xfId="0" applyFont="1" applyFill="1" applyBorder="1" applyAlignment="1">
      <alignment vertical="center"/>
    </xf>
    <xf numFmtId="0" fontId="30" fillId="8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 textRotation="255"/>
    </xf>
    <xf numFmtId="178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2" borderId="96" xfId="0" applyFill="1" applyBorder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0" fillId="0" borderId="78" xfId="0" applyBorder="1" applyAlignment="1">
      <alignment horizontal="left" vertical="center" shrinkToFit="1"/>
    </xf>
    <xf numFmtId="3" fontId="5" fillId="0" borderId="59" xfId="0" applyNumberFormat="1" applyFont="1" applyBorder="1" applyAlignment="1">
      <alignment horizontal="center" vertical="center"/>
    </xf>
    <xf numFmtId="3" fontId="5" fillId="0" borderId="10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3" fontId="6" fillId="0" borderId="102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5" fillId="0" borderId="10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04" xfId="0" applyNumberFormat="1" applyFont="1" applyBorder="1" applyAlignment="1">
      <alignment horizontal="center" vertical="center"/>
    </xf>
    <xf numFmtId="3" fontId="5" fillId="0" borderId="105" xfId="0" applyNumberFormat="1" applyFont="1" applyBorder="1" applyAlignment="1">
      <alignment horizontal="center" vertical="center"/>
    </xf>
    <xf numFmtId="3" fontId="5" fillId="0" borderId="106" xfId="0" applyNumberFormat="1" applyFont="1" applyBorder="1" applyAlignment="1">
      <alignment horizontal="center" vertical="center"/>
    </xf>
    <xf numFmtId="3" fontId="5" fillId="0" borderId="107" xfId="0" applyNumberFormat="1" applyFont="1" applyBorder="1" applyAlignment="1">
      <alignment horizontal="center" vertical="center"/>
    </xf>
    <xf numFmtId="3" fontId="5" fillId="0" borderId="108" xfId="0" applyNumberFormat="1" applyFont="1" applyBorder="1" applyAlignment="1">
      <alignment horizontal="center" vertical="center"/>
    </xf>
    <xf numFmtId="3" fontId="5" fillId="0" borderId="109" xfId="0" applyNumberFormat="1" applyFont="1" applyBorder="1" applyAlignment="1">
      <alignment horizontal="center" vertical="center"/>
    </xf>
    <xf numFmtId="3" fontId="5" fillId="0" borderId="110" xfId="0" applyNumberFormat="1" applyFont="1" applyBorder="1" applyAlignment="1">
      <alignment horizontal="center" vertical="center"/>
    </xf>
    <xf numFmtId="3" fontId="5" fillId="0" borderId="111" xfId="0" applyNumberFormat="1" applyFont="1" applyBorder="1" applyAlignment="1">
      <alignment horizontal="center" vertical="center"/>
    </xf>
    <xf numFmtId="3" fontId="5" fillId="0" borderId="112" xfId="0" applyNumberFormat="1" applyFont="1" applyBorder="1" applyAlignment="1">
      <alignment horizontal="center" vertical="center"/>
    </xf>
    <xf numFmtId="3" fontId="3" fillId="4" borderId="59" xfId="0" applyNumberFormat="1" applyFont="1" applyFill="1" applyBorder="1" applyAlignment="1">
      <alignment horizontal="left" vertical="center"/>
    </xf>
    <xf numFmtId="3" fontId="3" fillId="4" borderId="102" xfId="0" applyNumberFormat="1" applyFont="1" applyFill="1" applyBorder="1" applyAlignment="1">
      <alignment horizontal="left" vertical="center"/>
    </xf>
    <xf numFmtId="3" fontId="3" fillId="4" borderId="6" xfId="0" applyNumberFormat="1" applyFont="1" applyFill="1" applyBorder="1" applyAlignment="1">
      <alignment horizontal="left" vertical="center"/>
    </xf>
    <xf numFmtId="3" fontId="5" fillId="0" borderId="113" xfId="0" applyNumberFormat="1" applyFont="1" applyBorder="1" applyAlignment="1">
      <alignment horizontal="center" vertical="center"/>
    </xf>
    <xf numFmtId="3" fontId="5" fillId="0" borderId="88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14" xfId="0" applyNumberFormat="1" applyFont="1" applyBorder="1" applyAlignment="1">
      <alignment horizontal="center" vertical="center"/>
    </xf>
    <xf numFmtId="3" fontId="5" fillId="0" borderId="71" xfId="0" applyNumberFormat="1" applyFont="1" applyBorder="1" applyAlignment="1">
      <alignment horizontal="center" vertical="center"/>
    </xf>
    <xf numFmtId="3" fontId="5" fillId="0" borderId="90" xfId="0" applyNumberFormat="1" applyFont="1" applyBorder="1" applyAlignment="1">
      <alignment horizontal="center" vertical="center"/>
    </xf>
    <xf numFmtId="3" fontId="5" fillId="0" borderId="115" xfId="0" applyNumberFormat="1" applyFont="1" applyBorder="1" applyAlignment="1">
      <alignment horizontal="center" vertical="center"/>
    </xf>
    <xf numFmtId="3" fontId="5" fillId="0" borderId="116" xfId="0" applyNumberFormat="1" applyFont="1" applyBorder="1" applyAlignment="1">
      <alignment horizontal="center" vertical="center"/>
    </xf>
    <xf numFmtId="3" fontId="5" fillId="0" borderId="79" xfId="0" applyNumberFormat="1" applyFont="1" applyBorder="1" applyAlignment="1">
      <alignment horizontal="center" vertical="center"/>
    </xf>
    <xf numFmtId="3" fontId="5" fillId="0" borderId="48" xfId="0" applyNumberFormat="1" applyFont="1" applyBorder="1" applyAlignment="1">
      <alignment horizontal="center" vertical="center"/>
    </xf>
    <xf numFmtId="3" fontId="5" fillId="0" borderId="45" xfId="0" applyNumberFormat="1" applyFont="1" applyBorder="1" applyAlignment="1">
      <alignment horizontal="center" vertical="center"/>
    </xf>
    <xf numFmtId="3" fontId="5" fillId="0" borderId="117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 wrapText="1"/>
    </xf>
    <xf numFmtId="3" fontId="5" fillId="0" borderId="74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/>
    </xf>
    <xf numFmtId="3" fontId="5" fillId="0" borderId="118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96" xfId="0" applyNumberFormat="1" applyFont="1" applyBorder="1" applyAlignment="1">
      <alignment horizontal="center" vertical="center" wrapText="1"/>
    </xf>
    <xf numFmtId="3" fontId="5" fillId="0" borderId="97" xfId="0" applyNumberFormat="1" applyFont="1" applyBorder="1" applyAlignment="1">
      <alignment horizontal="center" vertical="center"/>
    </xf>
    <xf numFmtId="3" fontId="5" fillId="0" borderId="94" xfId="0" applyNumberFormat="1" applyFont="1" applyBorder="1" applyAlignment="1">
      <alignment horizontal="center" vertical="center"/>
    </xf>
    <xf numFmtId="3" fontId="5" fillId="0" borderId="119" xfId="0" applyNumberFormat="1" applyFont="1" applyBorder="1" applyAlignment="1">
      <alignment horizontal="center" vertical="center"/>
    </xf>
    <xf numFmtId="3" fontId="5" fillId="0" borderId="98" xfId="0" applyNumberFormat="1" applyFont="1" applyBorder="1" applyAlignment="1">
      <alignment horizontal="center" vertical="center"/>
    </xf>
    <xf numFmtId="3" fontId="5" fillId="0" borderId="101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10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 wrapText="1"/>
    </xf>
    <xf numFmtId="3" fontId="0" fillId="0" borderId="74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" fontId="3" fillId="0" borderId="31" xfId="0" quotePrefix="1" applyNumberFormat="1" applyFont="1" applyBorder="1" applyAlignment="1">
      <alignment horizontal="left" vertical="center"/>
    </xf>
    <xf numFmtId="3" fontId="3" fillId="0" borderId="119" xfId="0" quotePrefix="1" applyNumberFormat="1" applyFont="1" applyBorder="1" applyAlignment="1">
      <alignment horizontal="left" vertical="center"/>
    </xf>
    <xf numFmtId="3" fontId="3" fillId="0" borderId="120" xfId="0" quotePrefix="1" applyNumberFormat="1" applyFont="1" applyBorder="1" applyAlignment="1">
      <alignment horizontal="left" vertical="center"/>
    </xf>
    <xf numFmtId="3" fontId="0" fillId="0" borderId="103" xfId="0" quotePrefix="1" applyNumberFormat="1" applyBorder="1" applyAlignment="1">
      <alignment horizontal="left" vertical="center"/>
    </xf>
    <xf numFmtId="3" fontId="0" fillId="0" borderId="7" xfId="0" quotePrefix="1" applyNumberFormat="1" applyBorder="1" applyAlignment="1">
      <alignment horizontal="left" vertical="center"/>
    </xf>
    <xf numFmtId="3" fontId="0" fillId="0" borderId="8" xfId="0" quotePrefix="1" applyNumberFormat="1" applyBorder="1" applyAlignment="1">
      <alignment horizontal="left" vertical="center"/>
    </xf>
    <xf numFmtId="3" fontId="3" fillId="0" borderId="59" xfId="0" applyNumberFormat="1" applyFont="1" applyBorder="1" applyAlignment="1">
      <alignment horizontal="left" vertical="center"/>
    </xf>
    <xf numFmtId="3" fontId="3" fillId="0" borderId="102" xfId="0" applyNumberFormat="1" applyFont="1" applyBorder="1" applyAlignment="1">
      <alignment horizontal="left" vertical="center"/>
    </xf>
    <xf numFmtId="3" fontId="3" fillId="0" borderId="6" xfId="0" applyNumberFormat="1" applyFont="1" applyBorder="1" applyAlignment="1">
      <alignment horizontal="left" vertical="center"/>
    </xf>
    <xf numFmtId="178" fontId="0" fillId="0" borderId="48" xfId="0" applyNumberFormat="1" applyBorder="1" applyAlignment="1">
      <alignment horizontal="center" vertical="center"/>
    </xf>
    <xf numFmtId="178" fontId="0" fillId="0" borderId="71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1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</cellXfs>
  <cellStyles count="6">
    <cellStyle name="백분율" xfId="1" builtinId="5"/>
    <cellStyle name="쉼표 [0]" xfId="2" builtinId="6"/>
    <cellStyle name="쉼표 [0] 2" xfId="4" xr:uid="{469B9F44-C73A-4DDE-A589-86D82C519AF8}"/>
    <cellStyle name="쉼표 [0] 3" xfId="3" xr:uid="{4DBFDB26-3436-4CE8-A712-41DFD00E39E8}"/>
    <cellStyle name="쉼표 [0] 3 2" xfId="5" xr:uid="{DC34D93F-A5C1-4B9D-A258-93C009E0A55A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15</xdr:row>
      <xdr:rowOff>28575</xdr:rowOff>
    </xdr:from>
    <xdr:to>
      <xdr:col>14</xdr:col>
      <xdr:colOff>9525</xdr:colOff>
      <xdr:row>16</xdr:row>
      <xdr:rowOff>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9910DA4-6754-2118-AEB2-EF5828A560E5}"/>
            </a:ext>
          </a:extLst>
        </xdr:cNvPr>
        <xdr:cNvSpPr>
          <a:spLocks/>
        </xdr:cNvSpPr>
      </xdr:nvSpPr>
      <xdr:spPr bwMode="auto">
        <a:xfrm>
          <a:off x="7648575" y="3609975"/>
          <a:ext cx="3009900" cy="219075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</a:p>
      </xdr:txBody>
    </xdr:sp>
    <xdr:clientData fPrintsWithSheet="0"/>
  </xdr:twoCellAnchor>
  <xdr:twoCellAnchor>
    <xdr:from>
      <xdr:col>10</xdr:col>
      <xdr:colOff>266700</xdr:colOff>
      <xdr:row>11</xdr:row>
      <xdr:rowOff>9525</xdr:rowOff>
    </xdr:from>
    <xdr:to>
      <xdr:col>14</xdr:col>
      <xdr:colOff>28575</xdr:colOff>
      <xdr:row>12</xdr:row>
      <xdr:rowOff>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3FDFAB10-1973-4999-4249-F04E2621CA83}"/>
            </a:ext>
          </a:extLst>
        </xdr:cNvPr>
        <xdr:cNvSpPr>
          <a:spLocks/>
        </xdr:cNvSpPr>
      </xdr:nvSpPr>
      <xdr:spPr bwMode="auto">
        <a:xfrm>
          <a:off x="7667625" y="2600325"/>
          <a:ext cx="3009900" cy="238125"/>
        </a:xfrm>
        <a:prstGeom prst="borderCallout1">
          <a:avLst>
            <a:gd name="adj1" fmla="val 48000"/>
            <a:gd name="adj2" fmla="val -2532"/>
            <a:gd name="adj3" fmla="val 48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개조공사시 기존설비 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처리비용</a:t>
          </a:r>
        </a:p>
      </xdr:txBody>
    </xdr:sp>
    <xdr:clientData fPrintsWithSheet="0"/>
  </xdr:twoCellAnchor>
  <xdr:twoCellAnchor>
    <xdr:from>
      <xdr:col>10</xdr:col>
      <xdr:colOff>266700</xdr:colOff>
      <xdr:row>17</xdr:row>
      <xdr:rowOff>9525</xdr:rowOff>
    </xdr:from>
    <xdr:to>
      <xdr:col>14</xdr:col>
      <xdr:colOff>28575</xdr:colOff>
      <xdr:row>18</xdr:row>
      <xdr:rowOff>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6C723BF-DE49-ECB3-2AEE-FA3913A924CC}"/>
            </a:ext>
          </a:extLst>
        </xdr:cNvPr>
        <xdr:cNvSpPr>
          <a:spLocks/>
        </xdr:cNvSpPr>
      </xdr:nvSpPr>
      <xdr:spPr bwMode="auto">
        <a:xfrm>
          <a:off x="7667625" y="4086225"/>
          <a:ext cx="3009900" cy="238125"/>
        </a:xfrm>
        <a:prstGeom prst="borderCallout1">
          <a:avLst>
            <a:gd name="adj1" fmla="val 48000"/>
            <a:gd name="adj2" fmla="val -2532"/>
            <a:gd name="adj3" fmla="val 44000"/>
            <a:gd name="adj4" fmla="val -759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시운전후 양산안정시까지 대응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필요시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  <xdr:twoCellAnchor>
    <xdr:from>
      <xdr:col>10</xdr:col>
      <xdr:colOff>276225</xdr:colOff>
      <xdr:row>7</xdr:row>
      <xdr:rowOff>147640</xdr:rowOff>
    </xdr:from>
    <xdr:to>
      <xdr:col>14</xdr:col>
      <xdr:colOff>38100</xdr:colOff>
      <xdr:row>8</xdr:row>
      <xdr:rowOff>190501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88CC7FB4-1683-B54D-97C1-AE12851930DF}"/>
            </a:ext>
          </a:extLst>
        </xdr:cNvPr>
        <xdr:cNvSpPr>
          <a:spLocks/>
        </xdr:cNvSpPr>
      </xdr:nvSpPr>
      <xdr:spPr bwMode="auto">
        <a:xfrm>
          <a:off x="7741444" y="2005015"/>
          <a:ext cx="3024187" cy="292892"/>
        </a:xfrm>
        <a:prstGeom prst="borderCallout1">
          <a:avLst>
            <a:gd name="adj1" fmla="val 48000"/>
            <a:gd name="adj2" fmla="val -2532"/>
            <a:gd name="adj3" fmla="val 72455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제작을 전량 하청업체에 외주할경우 제외</a:t>
          </a:r>
        </a:p>
      </xdr:txBody>
    </xdr:sp>
    <xdr:clientData fPrintsWithSheet="0"/>
  </xdr:twoCellAnchor>
  <xdr:twoCellAnchor>
    <xdr:from>
      <xdr:col>10</xdr:col>
      <xdr:colOff>250026</xdr:colOff>
      <xdr:row>14</xdr:row>
      <xdr:rowOff>0</xdr:rowOff>
    </xdr:from>
    <xdr:to>
      <xdr:col>14</xdr:col>
      <xdr:colOff>11901</xdr:colOff>
      <xdr:row>14</xdr:row>
      <xdr:rowOff>221456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C445ED36-91CC-840F-E738-4E693C7306E9}"/>
            </a:ext>
          </a:extLst>
        </xdr:cNvPr>
        <xdr:cNvSpPr>
          <a:spLocks/>
        </xdr:cNvSpPr>
      </xdr:nvSpPr>
      <xdr:spPr bwMode="auto">
        <a:xfrm>
          <a:off x="7655714" y="3607594"/>
          <a:ext cx="3024187" cy="221456"/>
        </a:xfrm>
        <a:prstGeom prst="borderCallout1">
          <a:avLst>
            <a:gd name="adj1" fmla="val 48000"/>
            <a:gd name="adj2" fmla="val -2532"/>
            <a:gd name="adj3" fmla="val 44000"/>
            <a:gd name="adj4" fmla="val -7912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업체內 가설치 및 을의 공장內 자체시운전 포함</a:t>
          </a:r>
        </a:p>
      </xdr:txBody>
    </xdr:sp>
    <xdr:clientData fPrintsWithSheet="0"/>
  </xdr:twoCellAnchor>
  <xdr:twoCellAnchor>
    <xdr:from>
      <xdr:col>10</xdr:col>
      <xdr:colOff>261932</xdr:colOff>
      <xdr:row>8</xdr:row>
      <xdr:rowOff>226218</xdr:rowOff>
    </xdr:from>
    <xdr:to>
      <xdr:col>14</xdr:col>
      <xdr:colOff>23807</xdr:colOff>
      <xdr:row>10</xdr:row>
      <xdr:rowOff>190500</xdr:rowOff>
    </xdr:to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4C307A80-6C4C-257F-0193-BB31C6E513D0}"/>
            </a:ext>
          </a:extLst>
        </xdr:cNvPr>
        <xdr:cNvSpPr>
          <a:spLocks/>
        </xdr:cNvSpPr>
      </xdr:nvSpPr>
      <xdr:spPr bwMode="auto">
        <a:xfrm>
          <a:off x="7727151" y="2333624"/>
          <a:ext cx="3024187" cy="464345"/>
        </a:xfrm>
        <a:prstGeom prst="borderCallout1">
          <a:avLst>
            <a:gd name="adj1" fmla="val 48000"/>
            <a:gd name="adj2" fmla="val -2532"/>
            <a:gd name="adj3" fmla="val 44000"/>
            <a:gd name="adj4" fmla="val -82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갑의 공장내 설치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해체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수리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/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시운전 공사에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들어가는 자재비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6</xdr:col>
      <xdr:colOff>295275</xdr:colOff>
      <xdr:row>0</xdr:row>
      <xdr:rowOff>276225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12D41B4B-479D-2B90-36BE-114255AD5D46}"/>
            </a:ext>
          </a:extLst>
        </xdr:cNvPr>
        <xdr:cNvSpPr>
          <a:spLocks noChangeArrowheads="1"/>
        </xdr:cNvSpPr>
      </xdr:nvSpPr>
      <xdr:spPr bwMode="auto">
        <a:xfrm>
          <a:off x="3371850" y="19050"/>
          <a:ext cx="24003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8</xdr:col>
      <xdr:colOff>962025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79D38949-BA40-5C60-9142-DC117BCB2982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19050</xdr:rowOff>
    </xdr:from>
    <xdr:to>
      <xdr:col>3</xdr:col>
      <xdr:colOff>1228725</xdr:colOff>
      <xdr:row>0</xdr:row>
      <xdr:rowOff>276225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9170C9C3-B5F2-552A-BBC7-DC27644A4CC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1266825</xdr:colOff>
      <xdr:row>0</xdr:row>
      <xdr:rowOff>276225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2DCFED41-A2FF-A9EA-7391-00F9C27987B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209550</xdr:colOff>
      <xdr:row>0</xdr:row>
      <xdr:rowOff>0</xdr:rowOff>
    </xdr:from>
    <xdr:to>
      <xdr:col>8</xdr:col>
      <xdr:colOff>714375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273D0EE4-D34C-8FFB-668E-BCDE26C08F40}"/>
            </a:ext>
          </a:extLst>
        </xdr:cNvPr>
        <xdr:cNvSpPr>
          <a:spLocks noChangeArrowheads="1"/>
        </xdr:cNvSpPr>
      </xdr:nvSpPr>
      <xdr:spPr bwMode="auto">
        <a:xfrm>
          <a:off x="51435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1285875</xdr:colOff>
      <xdr:row>0</xdr:row>
      <xdr:rowOff>276225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CC50C82C-F2A4-BB0C-A1FB-32B9F7B725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71DA1754-34C8-7232-7CE3-0314D5A47C9E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1E98C23E-4C1F-A18D-7DA8-D0794EA28E6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85725</xdr:colOff>
      <xdr:row>0</xdr:row>
      <xdr:rowOff>0</xdr:rowOff>
    </xdr:from>
    <xdr:to>
      <xdr:col>8</xdr:col>
      <xdr:colOff>590550</xdr:colOff>
      <xdr:row>1</xdr:row>
      <xdr:rowOff>0</xdr:rowOff>
    </xdr:to>
    <xdr:sp macro="" textlink="">
      <xdr:nvSpPr>
        <xdr:cNvPr id="8199" name="Rectangle 7">
          <a:extLst>
            <a:ext uri="{FF2B5EF4-FFF2-40B4-BE49-F238E27FC236}">
              <a16:creationId xmlns:a16="http://schemas.microsoft.com/office/drawing/2014/main" id="{0097B336-2DF8-05C3-7B25-5A3BEA118700}"/>
            </a:ext>
          </a:extLst>
        </xdr:cNvPr>
        <xdr:cNvSpPr>
          <a:spLocks noChangeArrowheads="1"/>
        </xdr:cNvSpPr>
      </xdr:nvSpPr>
      <xdr:spPr bwMode="auto">
        <a:xfrm>
          <a:off x="50196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1200150</xdr:colOff>
      <xdr:row>0</xdr:row>
      <xdr:rowOff>276225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284880A0-7185-2145-1411-DCA48F3CE67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180975</xdr:colOff>
      <xdr:row>0</xdr:row>
      <xdr:rowOff>0</xdr:rowOff>
    </xdr:from>
    <xdr:to>
      <xdr:col>8</xdr:col>
      <xdr:colOff>685800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5470CB00-04EE-A934-FCFF-7AD77884C0AC}"/>
            </a:ext>
          </a:extLst>
        </xdr:cNvPr>
        <xdr:cNvSpPr>
          <a:spLocks noChangeArrowheads="1"/>
        </xdr:cNvSpPr>
      </xdr:nvSpPr>
      <xdr:spPr bwMode="auto">
        <a:xfrm>
          <a:off x="51149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1247775</xdr:colOff>
      <xdr:row>0</xdr:row>
      <xdr:rowOff>276225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BCE35A20-1DCF-54CF-C6D0-90903871DF68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295275</xdr:colOff>
      <xdr:row>0</xdr:row>
      <xdr:rowOff>0</xdr:rowOff>
    </xdr:from>
    <xdr:to>
      <xdr:col>8</xdr:col>
      <xdr:colOff>800100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9233541C-9958-560C-A8D6-6CE67CED2A39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1181100</xdr:colOff>
      <xdr:row>0</xdr:row>
      <xdr:rowOff>276225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B2F7A1AD-F291-51D8-7E4B-BD927B690B3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171450</xdr:colOff>
      <xdr:row>0</xdr:row>
      <xdr:rowOff>0</xdr:rowOff>
    </xdr:from>
    <xdr:to>
      <xdr:col>8</xdr:col>
      <xdr:colOff>676275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88E29C83-B879-8ED6-D1BB-92EA81CFCF78}"/>
            </a:ext>
          </a:extLst>
        </xdr:cNvPr>
        <xdr:cNvSpPr>
          <a:spLocks noChangeArrowheads="1"/>
        </xdr:cNvSpPr>
      </xdr:nvSpPr>
      <xdr:spPr bwMode="auto">
        <a:xfrm>
          <a:off x="51054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6A5961C2-A26A-D652-1C8F-FDA3048955E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1270" name="Rectangle 6">
          <a:extLst>
            <a:ext uri="{FF2B5EF4-FFF2-40B4-BE49-F238E27FC236}">
              <a16:creationId xmlns:a16="http://schemas.microsoft.com/office/drawing/2014/main" id="{CD53661B-E699-3D14-87CB-30CF1A5BD1FB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4</xdr:col>
      <xdr:colOff>9525</xdr:colOff>
      <xdr:row>0</xdr:row>
      <xdr:rowOff>0</xdr:rowOff>
    </xdr:from>
    <xdr:to>
      <xdr:col>8</xdr:col>
      <xdr:colOff>514350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C563F323-2C4A-0FA0-7416-CB40A7CB32AB}"/>
            </a:ext>
          </a:extLst>
        </xdr:cNvPr>
        <xdr:cNvSpPr>
          <a:spLocks noChangeArrowheads="1"/>
        </xdr:cNvSpPr>
      </xdr:nvSpPr>
      <xdr:spPr bwMode="auto">
        <a:xfrm>
          <a:off x="494347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D3415606-EDD5-C1B4-9B87-5C56E33EA24D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3315" name="Rectangle 3">
          <a:extLst>
            <a:ext uri="{FF2B5EF4-FFF2-40B4-BE49-F238E27FC236}">
              <a16:creationId xmlns:a16="http://schemas.microsoft.com/office/drawing/2014/main" id="{93B5669B-89F0-56FF-9602-DA37542831EA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1371600</xdr:colOff>
      <xdr:row>0</xdr:row>
      <xdr:rowOff>0</xdr:rowOff>
    </xdr:from>
    <xdr:to>
      <xdr:col>8</xdr:col>
      <xdr:colOff>485775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5B83546C-D90B-6D86-4A01-48F215A1A066}"/>
            </a:ext>
          </a:extLst>
        </xdr:cNvPr>
        <xdr:cNvSpPr>
          <a:spLocks noChangeArrowheads="1"/>
        </xdr:cNvSpPr>
      </xdr:nvSpPr>
      <xdr:spPr bwMode="auto">
        <a:xfrm>
          <a:off x="4914900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19050</xdr:rowOff>
    </xdr:from>
    <xdr:to>
      <xdr:col>3</xdr:col>
      <xdr:colOff>1162050</xdr:colOff>
      <xdr:row>0</xdr:row>
      <xdr:rowOff>276225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7C4A9D76-A359-C360-7838-BAEE4AB3235E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2</xdr:col>
      <xdr:colOff>9525</xdr:colOff>
      <xdr:row>55</xdr:row>
      <xdr:rowOff>0</xdr:rowOff>
    </xdr:from>
    <xdr:to>
      <xdr:col>9</xdr:col>
      <xdr:colOff>0</xdr:colOff>
      <xdr:row>55</xdr:row>
      <xdr:rowOff>0</xdr:rowOff>
    </xdr:to>
    <xdr:sp macro="" textlink="">
      <xdr:nvSpPr>
        <xdr:cNvPr id="14339" name="Rectangle 3">
          <a:extLst>
            <a:ext uri="{FF2B5EF4-FFF2-40B4-BE49-F238E27FC236}">
              <a16:creationId xmlns:a16="http://schemas.microsoft.com/office/drawing/2014/main" id="{390D5F30-2EBE-FE71-C9ED-B4D559837029}"/>
            </a:ext>
          </a:extLst>
        </xdr:cNvPr>
        <xdr:cNvSpPr>
          <a:spLocks noChangeArrowheads="1"/>
        </xdr:cNvSpPr>
      </xdr:nvSpPr>
      <xdr:spPr bwMode="auto">
        <a:xfrm>
          <a:off x="1752600" y="11096625"/>
          <a:ext cx="718185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  <xdr:twoCellAnchor>
    <xdr:from>
      <xdr:col>3</xdr:col>
      <xdr:colOff>1343025</xdr:colOff>
      <xdr:row>0</xdr:row>
      <xdr:rowOff>0</xdr:rowOff>
    </xdr:from>
    <xdr:to>
      <xdr:col>8</xdr:col>
      <xdr:colOff>457200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963F27CF-F9BC-3EB9-58A3-9102BFE2E8AD}"/>
            </a:ext>
          </a:extLst>
        </xdr:cNvPr>
        <xdr:cNvSpPr>
          <a:spLocks noChangeArrowheads="1"/>
        </xdr:cNvSpPr>
      </xdr:nvSpPr>
      <xdr:spPr bwMode="auto">
        <a:xfrm>
          <a:off x="4886325" y="0"/>
          <a:ext cx="3533775" cy="2857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BD71-5A84-49D5-A728-0B565038F202}">
  <sheetPr>
    <pageSetUpPr fitToPage="1"/>
  </sheetPr>
  <dimension ref="B1:K45"/>
  <sheetViews>
    <sheetView tabSelected="1" zoomScale="90" zoomScaleNormal="90" zoomScaleSheetLayoutView="90" workbookViewId="0">
      <selection activeCell="K21" sqref="K21"/>
    </sheetView>
  </sheetViews>
  <sheetFormatPr defaultRowHeight="13.5"/>
  <cols>
    <col min="1" max="1" width="2" style="165" customWidth="1"/>
    <col min="2" max="2" width="4.875" style="165" customWidth="1"/>
    <col min="3" max="3" width="8.5" style="165" customWidth="1"/>
    <col min="4" max="4" width="14.75" style="165" customWidth="1"/>
    <col min="5" max="6" width="11.125" style="165" customWidth="1"/>
    <col min="7" max="7" width="14.125" style="165" customWidth="1"/>
    <col min="8" max="8" width="16.5" style="165" customWidth="1"/>
    <col min="9" max="9" width="8.75" style="165" customWidth="1"/>
    <col min="10" max="10" width="9" style="165"/>
    <col min="11" max="11" width="33.25" style="165" customWidth="1"/>
    <col min="12" max="16384" width="9" style="165"/>
  </cols>
  <sheetData>
    <row r="1" spans="2:9">
      <c r="B1" s="165" t="s">
        <v>137</v>
      </c>
    </row>
    <row r="2" spans="2:9" ht="38.25">
      <c r="B2" s="428" t="s">
        <v>132</v>
      </c>
      <c r="C2" s="428"/>
      <c r="D2" s="428"/>
      <c r="E2" s="428"/>
      <c r="F2" s="428"/>
      <c r="G2" s="428"/>
      <c r="H2" s="428"/>
      <c r="I2" s="428"/>
    </row>
    <row r="4" spans="2:9" s="171" customFormat="1" ht="24" customHeight="1">
      <c r="B4" s="429" t="s">
        <v>173</v>
      </c>
      <c r="C4" s="429"/>
      <c r="D4" s="429"/>
      <c r="G4" s="299" t="s">
        <v>183</v>
      </c>
      <c r="H4" s="300"/>
      <c r="I4" s="345"/>
    </row>
    <row r="5" spans="2:9" s="171" customFormat="1" ht="21.75" customHeight="1">
      <c r="B5" s="432" t="s">
        <v>125</v>
      </c>
      <c r="C5" s="433"/>
      <c r="D5" s="328">
        <v>46010</v>
      </c>
      <c r="E5" s="181"/>
      <c r="G5" s="349" t="s">
        <v>191</v>
      </c>
      <c r="H5" s="350"/>
      <c r="I5" s="359"/>
    </row>
    <row r="6" spans="2:9" s="171" customFormat="1" ht="21.75" customHeight="1">
      <c r="B6" s="412" t="s">
        <v>126</v>
      </c>
      <c r="C6" s="413"/>
      <c r="D6" s="261" t="s">
        <v>379</v>
      </c>
      <c r="E6" s="182"/>
      <c r="G6" s="437" t="s">
        <v>194</v>
      </c>
      <c r="H6" s="438"/>
      <c r="I6" s="439"/>
    </row>
    <row r="7" spans="2:9" s="171" customFormat="1" ht="21.75" customHeight="1">
      <c r="B7" s="434" t="s">
        <v>127</v>
      </c>
      <c r="C7" s="187" t="s">
        <v>135</v>
      </c>
      <c r="D7" s="261" t="s">
        <v>197</v>
      </c>
      <c r="E7" s="182"/>
      <c r="G7" s="352"/>
      <c r="H7" s="351"/>
      <c r="I7" s="360"/>
    </row>
    <row r="8" spans="2:9" s="171" customFormat="1" ht="21.75" customHeight="1">
      <c r="B8" s="434"/>
      <c r="C8" s="187" t="s">
        <v>136</v>
      </c>
      <c r="D8" s="261" t="s">
        <v>198</v>
      </c>
      <c r="E8" s="182"/>
      <c r="G8" s="352" t="s">
        <v>192</v>
      </c>
      <c r="H8" s="351"/>
      <c r="I8" s="360"/>
    </row>
    <row r="9" spans="2:9" s="171" customFormat="1" ht="21.75" customHeight="1">
      <c r="B9" s="412" t="s">
        <v>128</v>
      </c>
      <c r="C9" s="413"/>
      <c r="D9" s="261" t="s">
        <v>182</v>
      </c>
      <c r="E9" s="182"/>
      <c r="G9" s="349" t="s">
        <v>193</v>
      </c>
      <c r="H9" s="351"/>
      <c r="I9" s="360"/>
    </row>
    <row r="10" spans="2:9" s="171" customFormat="1" ht="21.75" customHeight="1">
      <c r="B10" s="412" t="s">
        <v>129</v>
      </c>
      <c r="C10" s="413"/>
      <c r="D10" s="261" t="s">
        <v>179</v>
      </c>
      <c r="E10" s="182"/>
      <c r="G10" s="349" t="s">
        <v>195</v>
      </c>
      <c r="H10" s="351"/>
      <c r="I10" s="361"/>
    </row>
    <row r="11" spans="2:9" s="171" customFormat="1" ht="21.75" customHeight="1">
      <c r="B11" s="412" t="s">
        <v>130</v>
      </c>
      <c r="C11" s="413"/>
      <c r="D11" s="261" t="s">
        <v>180</v>
      </c>
      <c r="E11" s="182"/>
      <c r="G11" s="349" t="s">
        <v>196</v>
      </c>
      <c r="H11" s="349"/>
      <c r="I11" s="362"/>
    </row>
    <row r="12" spans="2:9" s="172" customFormat="1" ht="10.5" customHeight="1">
      <c r="B12" s="174"/>
      <c r="I12" s="173"/>
    </row>
    <row r="13" spans="2:9" s="172" customFormat="1" ht="24.95" customHeight="1">
      <c r="B13" s="424" t="s">
        <v>189</v>
      </c>
      <c r="C13" s="424"/>
      <c r="D13" s="426" t="s">
        <v>199</v>
      </c>
      <c r="E13" s="427"/>
      <c r="F13" s="427"/>
      <c r="G13" s="435" t="str">
        <f>H27</f>
        <v/>
      </c>
      <c r="H13" s="436"/>
      <c r="I13" s="321"/>
    </row>
    <row r="14" spans="2:9" s="172" customFormat="1" ht="24.95" customHeight="1">
      <c r="B14" s="424" t="s">
        <v>177</v>
      </c>
      <c r="C14" s="424"/>
      <c r="D14" s="425" t="str">
        <f>"一金"&amp;NUMBERSTRING(H14,1)&amp;"원"</f>
        <v>一金이십오억칠천육백팔십만원</v>
      </c>
      <c r="E14" s="425"/>
      <c r="F14" s="425"/>
      <c r="G14" s="346" t="s">
        <v>190</v>
      </c>
      <c r="H14" s="375">
        <v>2576800000</v>
      </c>
      <c r="I14" s="321" t="s">
        <v>178</v>
      </c>
    </row>
    <row r="15" spans="2:9" s="171" customFormat="1" ht="8.25" customHeight="1"/>
    <row r="16" spans="2:9" s="166" customFormat="1" ht="24.95" customHeight="1">
      <c r="B16" s="431" t="s">
        <v>120</v>
      </c>
      <c r="C16" s="414" t="s">
        <v>144</v>
      </c>
      <c r="D16" s="415"/>
      <c r="E16" s="430" t="s">
        <v>131</v>
      </c>
      <c r="F16" s="430"/>
      <c r="G16" s="430"/>
      <c r="H16" s="430"/>
      <c r="I16" s="431" t="s">
        <v>27</v>
      </c>
    </row>
    <row r="17" spans="2:9" s="166" customFormat="1" ht="29.25" customHeight="1">
      <c r="B17" s="430"/>
      <c r="C17" s="416"/>
      <c r="D17" s="417"/>
      <c r="E17" s="332" t="s">
        <v>186</v>
      </c>
      <c r="F17" s="333" t="s">
        <v>187</v>
      </c>
      <c r="G17" s="344" t="s">
        <v>188</v>
      </c>
      <c r="H17" s="331" t="s">
        <v>124</v>
      </c>
      <c r="I17" s="430"/>
    </row>
    <row r="18" spans="2:9" ht="24.95" customHeight="1">
      <c r="B18" s="334">
        <v>1</v>
      </c>
      <c r="C18" s="401" t="str">
        <f>단위장비1!C1</f>
        <v>STRUCTURE (구조물)</v>
      </c>
      <c r="D18" s="402"/>
      <c r="E18" s="341">
        <f>IF('단위공사별(집계)'!N7&gt;1,('단위공사별(집계)'!D7+'단위공사별(집계)'!E7+'단위공사별(집계)'!F7+'단위공사별(집계)'!G7+'단위공사별(집계)'!H7+'단위공사별(집계)'!I7)/1000," ")</f>
        <v>93498.479357307719</v>
      </c>
      <c r="F18" s="398">
        <f>IF('단위공사별(집계)'!N7&gt;0,'단위공사별(집계)'!K17/1000,"")</f>
        <v>73458.205000000002</v>
      </c>
      <c r="G18" s="335">
        <f>IF('단위공사별(집계)'!N7&gt;0,('단위공사별(집계)'!L7+'단위공사별(집계)'!M7)/1000,"")</f>
        <v>14091.931565258044</v>
      </c>
      <c r="H18" s="336">
        <f>IF('단위공사별(집계)'!N7&gt;0,'단위공사별(집계)'!N7/1000,"")</f>
        <v>111011.6510016847</v>
      </c>
      <c r="I18" s="337"/>
    </row>
    <row r="19" spans="2:9" ht="24.95" customHeight="1">
      <c r="B19" s="175">
        <v>2</v>
      </c>
      <c r="C19" s="382" t="str">
        <f>단위장비2!C1</f>
        <v>PROCESS TANK</v>
      </c>
      <c r="D19" s="383"/>
      <c r="E19" s="342">
        <f>IF('단위공사별(집계)'!N8&gt;1,('단위공사별(집계)'!D8+'단위공사별(집계)'!E8+'단위공사별(집계)'!F8+'단위공사별(집계)'!G8+'단위공사별(집계)'!H8+'단위공사별(집계)'!I8)/1000," ")</f>
        <v>525232.6343707802</v>
      </c>
      <c r="F19" s="399"/>
      <c r="G19" s="176">
        <f>IF('단위공사별(집계)'!N8&gt;0,('단위공사별(집계)'!L8+'단위공사별(집계)'!M8)/1000,"")</f>
        <v>79162.168093750297</v>
      </c>
      <c r="H19" s="343">
        <f>IF('단위공사별(집계)'!N8&gt;0,'단위공사별(집계)'!N8/1000,"")</f>
        <v>623613.79887947149</v>
      </c>
      <c r="I19" s="70"/>
    </row>
    <row r="20" spans="2:9" ht="24.95" customHeight="1">
      <c r="B20" s="175">
        <v>3</v>
      </c>
      <c r="C20" s="382" t="str">
        <f>단위장비3!C1</f>
        <v>RECTIFIER (정류기)</v>
      </c>
      <c r="D20" s="383"/>
      <c r="E20" s="342">
        <f>IF('단위공사별(집계)'!N9&gt;1,('단위공사별(집계)'!D9+'단위공사별(집계)'!E9+'단위공사별(집계)'!F9+'단위공사별(집계)'!G9+'단위공사별(집계)'!H9+'단위공사별(집계)'!I9)/1000," ")</f>
        <v>761688.32611347188</v>
      </c>
      <c r="F20" s="399"/>
      <c r="G20" s="176">
        <f>IF('단위공사별(집계)'!N9&gt;0,('단위공사별(집계)'!L9+'단위공사별(집계)'!M9)/1000,"")</f>
        <v>114800.3672298021</v>
      </c>
      <c r="H20" s="343">
        <f>IF('단위공사별(집계)'!N9&gt;0,'단위공사별(집계)'!N9/1000,"")</f>
        <v>904359.93410578754</v>
      </c>
      <c r="I20" s="177"/>
    </row>
    <row r="21" spans="2:9" ht="24.95" customHeight="1">
      <c r="B21" s="175">
        <v>4</v>
      </c>
      <c r="C21" s="382" t="str">
        <f>단위장비4!C1</f>
        <v>부대설비</v>
      </c>
      <c r="D21" s="383"/>
      <c r="E21" s="342">
        <f>IF('단위공사별(집계)'!N10&gt;1,('단위공사별(집계)'!D10+'단위공사별(집계)'!E10+'단위공사별(집계)'!F10+'단위공사별(집계)'!G10+'단위공사별(집계)'!H10+'단위공사별(집계)'!I10)/1000," ")</f>
        <v>550948.42817467707</v>
      </c>
      <c r="F21" s="399"/>
      <c r="G21" s="176">
        <f>IF('단위공사별(집계)'!N10&gt;0,('단위공사별(집계)'!L10+'단위공사별(집계)'!M10)/1000,"")</f>
        <v>83038.008737595766</v>
      </c>
      <c r="H21" s="343">
        <f>IF('단위공사별(집계)'!N10&gt;0,'단위공사별(집계)'!N10/1000,"")</f>
        <v>654146.4101755328</v>
      </c>
      <c r="I21" s="177"/>
    </row>
    <row r="22" spans="2:9" ht="24.95" customHeight="1">
      <c r="B22" s="175">
        <v>5</v>
      </c>
      <c r="C22" s="382" t="str">
        <f>단위장비5!C1</f>
        <v>환경인허가 및 관련안전장치</v>
      </c>
      <c r="D22" s="383"/>
      <c r="E22" s="342">
        <f>IF('단위공사별(집계)'!N11&gt;1,('단위공사별(집계)'!D11+'단위공사별(집계)'!E11+'단위공사별(집계)'!F11+'단위공사별(집계)'!G11+'단위공사별(집계)'!H11+'단위공사별(집계)'!I11)/1000," ")</f>
        <v>76158.731983763122</v>
      </c>
      <c r="F22" s="399"/>
      <c r="G22" s="176">
        <f>IF('단위공사별(집계)'!N11&gt;0,('단위공사별(집계)'!L11+'단위공사별(집계)'!M11)/1000,"")</f>
        <v>11478.514373593793</v>
      </c>
      <c r="H22" s="343">
        <f>IF('단위공사별(집계)'!N11&gt;0,'단위공사별(집계)'!N11/1000,"")</f>
        <v>90424.000837523374</v>
      </c>
      <c r="I22" s="177"/>
    </row>
    <row r="23" spans="2:9" ht="24.95" customHeight="1">
      <c r="B23" s="175">
        <v>6</v>
      </c>
      <c r="C23" s="382" t="str">
        <f>단위장비6!C1</f>
        <v>테스트피스</v>
      </c>
      <c r="D23" s="383"/>
      <c r="E23" s="342">
        <f>IF('단위공사별(집계)'!N12&gt;1,('단위공사별(집계)'!D12+'단위공사별(집계)'!E12+'단위공사별(집계)'!F12+'단위공사별(집계)'!G12+'단위공사별(집계)'!H12+'단위공사별(집계)'!I12)/1000," ")</f>
        <v>184100</v>
      </c>
      <c r="F23" s="399"/>
      <c r="G23" s="176">
        <f>IF('단위공사별(집계)'!N12&gt;0,('단위공사별(집계)'!L12+'단위공사별(집계)'!M12)/1000,"")</f>
        <v>9205</v>
      </c>
      <c r="H23" s="343">
        <f>IF('단위공사별(집계)'!N12&gt;0,'단위공사별(집계)'!N12/1000,"")</f>
        <v>193305</v>
      </c>
      <c r="I23" s="177"/>
    </row>
    <row r="24" spans="2:9" ht="24.95" customHeight="1">
      <c r="B24" s="175">
        <v>7</v>
      </c>
      <c r="C24" s="382">
        <f>단위장비7!C1</f>
        <v>0</v>
      </c>
      <c r="D24" s="383"/>
      <c r="E24" s="342" t="str">
        <f>IF('단위공사별(집계)'!N13&gt;1,('단위공사별(집계)'!D13+'단위공사별(집계)'!E13+'단위공사별(집계)'!F13+'단위공사별(집계)'!G13+'단위공사별(집계)'!H13+'단위공사별(집계)'!I13)/1000," ")</f>
        <v xml:space="preserve"> </v>
      </c>
      <c r="F24" s="399"/>
      <c r="G24" s="176" t="str">
        <f>IF('단위공사별(집계)'!N13&gt;0,('단위공사별(집계)'!L13+'단위공사별(집계)'!M13)/1000,"")</f>
        <v/>
      </c>
      <c r="H24" s="343" t="str">
        <f>IF('단위공사별(집계)'!N13&gt;0,'단위공사별(집계)'!N13/1000,"")</f>
        <v/>
      </c>
      <c r="I24" s="177"/>
    </row>
    <row r="25" spans="2:9" ht="24.95" customHeight="1">
      <c r="B25" s="178">
        <v>8</v>
      </c>
      <c r="C25" s="382">
        <f>단위장비8!C1</f>
        <v>0</v>
      </c>
      <c r="D25" s="383"/>
      <c r="E25" s="342" t="str">
        <f>IF('단위공사별(집계)'!N14&gt;1,('단위공사별(집계)'!D14+'단위공사별(집계)'!E14+'단위공사별(집계)'!F14+'단위공사별(집계)'!G14+'단위공사별(집계)'!H14+'단위공사별(집계)'!I14)/1000," ")</f>
        <v xml:space="preserve"> </v>
      </c>
      <c r="F25" s="399"/>
      <c r="G25" s="176" t="str">
        <f>IF('단위공사별(집계)'!N14&gt;0,('단위공사별(집계)'!L14+'단위공사별(집계)'!M14)/1000,"")</f>
        <v/>
      </c>
      <c r="H25" s="343" t="str">
        <f>IF('단위공사별(집계)'!N14&gt;0,'단위공사별(집계)'!N14/1000,"")</f>
        <v/>
      </c>
      <c r="I25" s="177"/>
    </row>
    <row r="26" spans="2:9" ht="24.95" customHeight="1">
      <c r="B26" s="178">
        <v>9</v>
      </c>
      <c r="C26" s="382">
        <f>단위장비9!C1</f>
        <v>0</v>
      </c>
      <c r="D26" s="383"/>
      <c r="E26" s="342" t="str">
        <f>IF('단위공사별(집계)'!N15&gt;1,('단위공사별(집계)'!D15+'단위공사별(집계)'!E15+'단위공사별(집계)'!F15+'단위공사별(집계)'!G15+'단위공사별(집계)'!H15+'단위공사별(집계)'!I15)/1000," ")</f>
        <v xml:space="preserve"> </v>
      </c>
      <c r="F26" s="399"/>
      <c r="G26" s="176" t="str">
        <f>IF('단위공사별(집계)'!N15&gt;0,('단위공사별(집계)'!L15+'단위공사별(집계)'!M15)/1000,"")</f>
        <v/>
      </c>
      <c r="H26" s="343" t="str">
        <f>IF('단위공사별(집계)'!N15&gt;0,'단위공사별(집계)'!N15/1000,"")</f>
        <v/>
      </c>
      <c r="I26" s="177"/>
    </row>
    <row r="27" spans="2:9" ht="24.95" customHeight="1">
      <c r="B27" s="179">
        <v>10</v>
      </c>
      <c r="C27" s="382">
        <f>단위장비10!C1</f>
        <v>0</v>
      </c>
      <c r="D27" s="383"/>
      <c r="E27" s="342" t="str">
        <f>IF('단위공사별(집계)'!N16&gt;1,('단위공사별(집계)'!D16+'단위공사별(집계)'!E16+'단위공사별(집계)'!F16+'단위공사별(집계)'!G16+'단위공사별(집계)'!H16+'단위공사별(집계)'!I16)/1000," ")</f>
        <v xml:space="preserve"> </v>
      </c>
      <c r="F27" s="400"/>
      <c r="G27" s="176" t="str">
        <f>IF('단위공사별(집계)'!N16&gt;0,('단위공사별(집계)'!L16+'단위공사별(집계)'!M16)/1000,"")</f>
        <v/>
      </c>
      <c r="H27" s="343" t="str">
        <f>IF('단위공사별(집계)'!N16&gt;0,'단위공사별(집계)'!N16/1000,"")</f>
        <v/>
      </c>
      <c r="I27" s="180"/>
    </row>
    <row r="28" spans="2:9" ht="24.95" customHeight="1">
      <c r="B28" s="406" t="s">
        <v>133</v>
      </c>
      <c r="C28" s="407"/>
      <c r="D28" s="408"/>
      <c r="E28" s="184">
        <f>SUM(E18:E27)</f>
        <v>2191626.5999999996</v>
      </c>
      <c r="F28" s="185">
        <f>SUM(F18)</f>
        <v>73458.205000000002</v>
      </c>
      <c r="G28" s="185">
        <f>SUM(G18:G27)</f>
        <v>311775.99</v>
      </c>
      <c r="H28" s="279">
        <f>SUM(H18:H27)</f>
        <v>2576860.7949999999</v>
      </c>
      <c r="I28" s="186"/>
    </row>
    <row r="29" spans="2:9" ht="4.5" customHeight="1">
      <c r="B29" s="168"/>
      <c r="C29" s="169"/>
      <c r="D29" s="169"/>
      <c r="E29" s="170"/>
      <c r="F29" s="170"/>
      <c r="G29" s="170"/>
      <c r="H29" s="170"/>
    </row>
    <row r="30" spans="2:9" ht="24" customHeight="1">
      <c r="B30" s="169"/>
      <c r="C30" s="169"/>
      <c r="D30" s="169"/>
      <c r="E30" s="170"/>
      <c r="F30" s="390" t="s">
        <v>134</v>
      </c>
      <c r="G30" s="391"/>
      <c r="H30" s="167"/>
    </row>
    <row r="31" spans="2:9" ht="15" customHeight="1">
      <c r="B31" s="169"/>
      <c r="C31" s="169"/>
      <c r="D31" s="169"/>
      <c r="E31" s="170"/>
      <c r="F31" s="170"/>
      <c r="G31" s="170"/>
      <c r="H31" s="170"/>
    </row>
    <row r="32" spans="2:9" ht="22.5" customHeight="1">
      <c r="B32" s="403" t="s">
        <v>123</v>
      </c>
      <c r="C32" s="384" t="s">
        <v>121</v>
      </c>
      <c r="D32" s="385"/>
      <c r="E32" s="386"/>
      <c r="F32" s="392" t="s">
        <v>143</v>
      </c>
      <c r="G32" s="393"/>
      <c r="H32" s="393"/>
      <c r="I32" s="394"/>
    </row>
    <row r="33" spans="2:11" ht="22.5" customHeight="1">
      <c r="B33" s="404"/>
      <c r="C33" s="387" t="s">
        <v>122</v>
      </c>
      <c r="D33" s="388"/>
      <c r="E33" s="389"/>
      <c r="F33" s="183" t="s">
        <v>167</v>
      </c>
      <c r="G33" s="395"/>
      <c r="H33" s="396"/>
      <c r="I33" s="397"/>
    </row>
    <row r="34" spans="2:11" ht="22.5" customHeight="1">
      <c r="B34" s="404"/>
      <c r="C34" s="409">
        <f>'원가항목별(집계)'!I39</f>
        <v>4442000</v>
      </c>
      <c r="D34" s="410"/>
      <c r="E34" s="411"/>
      <c r="F34" s="178" t="s">
        <v>168</v>
      </c>
      <c r="G34" s="376"/>
      <c r="H34" s="377"/>
      <c r="I34" s="378"/>
    </row>
    <row r="35" spans="2:11" ht="22.5" customHeight="1">
      <c r="B35" s="404"/>
      <c r="C35" s="418"/>
      <c r="D35" s="419"/>
      <c r="E35" s="420"/>
      <c r="F35" s="178" t="s">
        <v>169</v>
      </c>
      <c r="G35" s="376"/>
      <c r="H35" s="377"/>
      <c r="I35" s="378"/>
    </row>
    <row r="36" spans="2:11" ht="22.5" customHeight="1">
      <c r="B36" s="405"/>
      <c r="C36" s="421"/>
      <c r="D36" s="422"/>
      <c r="E36" s="423"/>
      <c r="F36" s="179" t="s">
        <v>170</v>
      </c>
      <c r="G36" s="379"/>
      <c r="H36" s="380"/>
      <c r="I36" s="381"/>
    </row>
    <row r="45" spans="2:11">
      <c r="K45" s="165">
        <f>전기!H67+단위장비1!H54+단위장비2!H69+단위장비3!H70+단위장비5!H68+단위장비4!H73+단위장비6!H69+단위장비7!H69+단위장비8!H69+단위장비9!H69+단위장비10!H69</f>
        <v>2576860795</v>
      </c>
    </row>
  </sheetData>
  <mergeCells count="42">
    <mergeCell ref="B2:I2"/>
    <mergeCell ref="B4:D4"/>
    <mergeCell ref="E16:H16"/>
    <mergeCell ref="B16:B17"/>
    <mergeCell ref="I16:I17"/>
    <mergeCell ref="B5:C5"/>
    <mergeCell ref="B6:C6"/>
    <mergeCell ref="B9:C9"/>
    <mergeCell ref="B10:C10"/>
    <mergeCell ref="B7:B8"/>
    <mergeCell ref="G13:H13"/>
    <mergeCell ref="G6:I6"/>
    <mergeCell ref="B32:B36"/>
    <mergeCell ref="B28:D28"/>
    <mergeCell ref="C34:E34"/>
    <mergeCell ref="B11:C11"/>
    <mergeCell ref="C16:D17"/>
    <mergeCell ref="C21:D21"/>
    <mergeCell ref="C22:D22"/>
    <mergeCell ref="C35:E35"/>
    <mergeCell ref="C36:E36"/>
    <mergeCell ref="B14:C14"/>
    <mergeCell ref="D14:F14"/>
    <mergeCell ref="B13:C13"/>
    <mergeCell ref="D13:F13"/>
    <mergeCell ref="C24:D24"/>
    <mergeCell ref="G35:I35"/>
    <mergeCell ref="G36:I36"/>
    <mergeCell ref="C19:D19"/>
    <mergeCell ref="C32:E32"/>
    <mergeCell ref="C33:E33"/>
    <mergeCell ref="F30:G30"/>
    <mergeCell ref="C20:D20"/>
    <mergeCell ref="F32:I32"/>
    <mergeCell ref="G33:I33"/>
    <mergeCell ref="G34:I34"/>
    <mergeCell ref="C25:D25"/>
    <mergeCell ref="C26:D26"/>
    <mergeCell ref="C27:D27"/>
    <mergeCell ref="F18:F27"/>
    <mergeCell ref="C18:D18"/>
    <mergeCell ref="C23:D23"/>
  </mergeCells>
  <phoneticPr fontId="2" type="noConversion"/>
  <printOptions horizontalCentered="1"/>
  <pageMargins left="0.39370078740157483" right="0.39370078740157483" top="0.56000000000000005" bottom="0.39370078740157483" header="0.51181102362204722" footer="0.39370078740157483"/>
  <pageSetup paperSize="9" scale="94" orientation="portrait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A2BF-A86B-4BC7-A46C-85CFB782BEFA}">
  <sheetPr codeName="Sheet3">
    <pageSetUpPr fitToPage="1"/>
  </sheetPr>
  <dimension ref="B1:M50"/>
  <sheetViews>
    <sheetView showGridLines="0" zoomScale="80" workbookViewId="0">
      <pane ySplit="6" topLeftCell="A10" activePane="bottomLeft" state="frozen"/>
      <selection activeCell="H28" sqref="H28"/>
      <selection pane="bottomLeft" activeCell="I16" sqref="I16"/>
    </sheetView>
  </sheetViews>
  <sheetFormatPr defaultRowHeight="19.5" customHeight="1"/>
  <cols>
    <col min="1" max="1" width="0.5" style="7" customWidth="1"/>
    <col min="2" max="2" width="5.25" style="7" bestFit="1" customWidth="1"/>
    <col min="3" max="3" width="7.375" style="7" customWidth="1"/>
    <col min="4" max="4" width="8.875" style="7" customWidth="1"/>
    <col min="5" max="5" width="17.75" style="7" customWidth="1"/>
    <col min="6" max="6" width="6.375" style="8" customWidth="1"/>
    <col min="7" max="7" width="8.875" style="27" customWidth="1"/>
    <col min="8" max="8" width="9.75" style="44" customWidth="1"/>
    <col min="9" max="9" width="17.5" style="44" bestFit="1" customWidth="1"/>
    <col min="10" max="10" width="15.625" style="7" customWidth="1"/>
    <col min="11" max="11" width="13.75" style="80" bestFit="1" customWidth="1"/>
    <col min="12" max="12" width="10.875" style="7" bestFit="1" customWidth="1"/>
    <col min="13" max="16384" width="9" style="7"/>
  </cols>
  <sheetData>
    <row r="1" spans="2:11" s="1" customFormat="1" ht="19.5" customHeight="1">
      <c r="F1" s="2"/>
      <c r="G1" s="25"/>
      <c r="H1" s="42"/>
      <c r="I1" s="42"/>
      <c r="K1" s="77"/>
    </row>
    <row r="2" spans="2:11" s="79" customFormat="1" ht="26.25" customHeight="1">
      <c r="B2" s="3"/>
      <c r="C2" s="4" t="s">
        <v>71</v>
      </c>
      <c r="D2" s="5"/>
      <c r="E2" s="5"/>
      <c r="F2" s="6"/>
      <c r="G2" s="26"/>
      <c r="H2" s="43"/>
      <c r="I2" s="43"/>
      <c r="J2" s="5"/>
      <c r="K2" s="78"/>
    </row>
    <row r="3" spans="2:11" s="79" customFormat="1" ht="19.5" customHeight="1">
      <c r="B3" s="3"/>
      <c r="C3" s="4"/>
      <c r="D3" s="5"/>
      <c r="E3" s="5"/>
      <c r="F3" s="6"/>
      <c r="G3" s="26"/>
      <c r="H3" s="43"/>
      <c r="I3" s="43"/>
      <c r="J3" s="5"/>
      <c r="K3" s="78"/>
    </row>
    <row r="4" spans="2:11" ht="30" customHeight="1">
      <c r="B4" s="160" t="s">
        <v>114</v>
      </c>
      <c r="D4" s="123"/>
      <c r="J4" s="8"/>
    </row>
    <row r="5" spans="2:11" s="8" customFormat="1" ht="8.25" customHeight="1">
      <c r="B5" s="9"/>
      <c r="C5" s="464"/>
      <c r="D5" s="465"/>
      <c r="E5" s="466"/>
      <c r="F5" s="10"/>
      <c r="G5" s="81"/>
      <c r="H5" s="81"/>
      <c r="I5" s="81"/>
      <c r="J5" s="82"/>
      <c r="K5" s="83"/>
    </row>
    <row r="6" spans="2:11" s="8" customFormat="1" ht="22.5" customHeight="1" thickBot="1">
      <c r="B6" s="37" t="s">
        <v>10</v>
      </c>
      <c r="C6" s="467" t="s">
        <v>12</v>
      </c>
      <c r="D6" s="468"/>
      <c r="E6" s="469"/>
      <c r="F6" s="38" t="s">
        <v>11</v>
      </c>
      <c r="G6" s="45" t="s">
        <v>13</v>
      </c>
      <c r="H6" s="45" t="s">
        <v>14</v>
      </c>
      <c r="I6" s="45" t="s">
        <v>95</v>
      </c>
      <c r="J6" s="39" t="s">
        <v>15</v>
      </c>
      <c r="K6" s="83"/>
    </row>
    <row r="7" spans="2:11" ht="19.5" customHeight="1" thickTop="1">
      <c r="B7" s="461">
        <v>1</v>
      </c>
      <c r="C7" s="480" t="s">
        <v>90</v>
      </c>
      <c r="D7" s="476" t="s">
        <v>1</v>
      </c>
      <c r="E7" s="36" t="s">
        <v>88</v>
      </c>
      <c r="F7" s="163" t="s">
        <v>117</v>
      </c>
      <c r="G7" s="92">
        <f>단위장비1!F16+단위장비2!F30+단위장비3!F30+단위장비5!F29+단위장비4!F30+단위장비6!F30+단위장비7!F30+단위장비8!F30+단위장비9!F30+단위장비10!F30</f>
        <v>0</v>
      </c>
      <c r="H7" s="46"/>
      <c r="I7" s="46">
        <f>단위장비1!H10+단위장비2!H24+단위장비3!H24+단위장비5!H23+단위장비4!H24+단위장비6!H24+단위장비7!H24+단위장비8!H24+단위장비9!H24+단위장비10!H24</f>
        <v>50940600</v>
      </c>
      <c r="J7" s="22" t="s">
        <v>21</v>
      </c>
    </row>
    <row r="8" spans="2:11" ht="19.5" customHeight="1">
      <c r="B8" s="461"/>
      <c r="C8" s="476"/>
      <c r="D8" s="476"/>
      <c r="E8" s="12" t="s">
        <v>119</v>
      </c>
      <c r="F8" s="161" t="s">
        <v>118</v>
      </c>
      <c r="G8" s="93">
        <v>1</v>
      </c>
      <c r="H8" s="35"/>
      <c r="I8" s="35">
        <f>단위장비1!H32+단위장비2!H47+단위장비3!H47+단위장비5!H46+단위장비4!H45+단위장비6!H47+단위장비7!H47+단위장비8!H47+단위장비9!H47+단위장비10!H47</f>
        <v>364086000</v>
      </c>
      <c r="J8" s="13" t="s">
        <v>22</v>
      </c>
    </row>
    <row r="9" spans="2:11" ht="19.5" customHeight="1">
      <c r="B9" s="461"/>
      <c r="C9" s="476"/>
      <c r="D9" s="476"/>
      <c r="E9" s="12" t="s">
        <v>2</v>
      </c>
      <c r="F9" s="161" t="s">
        <v>118</v>
      </c>
      <c r="G9" s="94">
        <v>1</v>
      </c>
      <c r="H9" s="35"/>
      <c r="I9" s="35">
        <f>단위장비1!H40+단위장비2!H55+단위장비3!H56+단위장비5!H54+단위장비4!H59+단위장비6!H55+단위장비7!H55+단위장비8!H55+단위장비9!H55+단위장비10!H55</f>
        <v>1497600000</v>
      </c>
      <c r="J9" s="13" t="s">
        <v>30</v>
      </c>
    </row>
    <row r="10" spans="2:11" ht="19.5" customHeight="1">
      <c r="B10" s="461"/>
      <c r="C10" s="476"/>
      <c r="D10" s="476"/>
      <c r="E10" s="232" t="s">
        <v>152</v>
      </c>
      <c r="F10" s="253" t="s">
        <v>148</v>
      </c>
      <c r="G10" s="254">
        <v>1</v>
      </c>
      <c r="H10" s="233"/>
      <c r="I10" s="233">
        <f>단위장비1!H16+단위장비2!H30+단위장비3!H30+단위장비5!H29+단위장비4!H30+단위장비6!H30+단위장비7!H30+단위장비8!H30+단위장비9!H30+단위장비10!H30</f>
        <v>0</v>
      </c>
      <c r="J10" s="247" t="s">
        <v>153</v>
      </c>
    </row>
    <row r="11" spans="2:11" ht="19.5" customHeight="1">
      <c r="B11" s="461"/>
      <c r="C11" s="476"/>
      <c r="D11" s="481"/>
      <c r="E11" s="14" t="s">
        <v>67</v>
      </c>
      <c r="F11" s="440"/>
      <c r="G11" s="441"/>
      <c r="H11" s="442"/>
      <c r="I11" s="47">
        <f>SUM(I7:I10)</f>
        <v>1912626600</v>
      </c>
      <c r="J11" s="13"/>
    </row>
    <row r="12" spans="2:11" ht="19.5" customHeight="1">
      <c r="B12" s="461"/>
      <c r="C12" s="476"/>
      <c r="D12" s="482" t="s">
        <v>3</v>
      </c>
      <c r="E12" s="255" t="s">
        <v>89</v>
      </c>
      <c r="F12" s="253" t="s">
        <v>115</v>
      </c>
      <c r="G12" s="256">
        <f>단위장비1!F42+단위장비2!F57+단위장비3!F58+단위장비5!F56+단위장비4!F61+단위장비6!F57+단위장비7!F57+단위장비8!F57+단위장비9!F57+단위장비10!F57</f>
        <v>0</v>
      </c>
      <c r="H12" s="256" t="str">
        <f>IF(단위장비1!G42&gt;0,단위장비1!G42,"")</f>
        <v/>
      </c>
      <c r="I12" s="256">
        <f>단위장비1!H42+단위장비2!H57+단위장비3!H58+단위장비5!H56+단위장비4!H61+단위장비6!H57+단위장비7!H57+단위장비8!H57+단위장비9!H57+단위장비10!H57</f>
        <v>0</v>
      </c>
      <c r="J12" s="16" t="s">
        <v>66</v>
      </c>
    </row>
    <row r="13" spans="2:11" s="85" customFormat="1" ht="19.5" customHeight="1">
      <c r="B13" s="461"/>
      <c r="C13" s="476"/>
      <c r="D13" s="476"/>
      <c r="E13" s="12" t="s">
        <v>4</v>
      </c>
      <c r="F13" s="161" t="s">
        <v>115</v>
      </c>
      <c r="G13" s="33">
        <f>단위장비1!F43+단위장비2!F58+단위장비3!F59+단위장비5!F57+단위장비4!F62+단위장비6!F58+단위장비7!F58+단위장비8!F58+단위장비9!F58+단위장비10!F58</f>
        <v>110</v>
      </c>
      <c r="H13" s="33">
        <f>IF(단위장비1!G43&gt;0,단위장비1!G43,"")</f>
        <v>200000</v>
      </c>
      <c r="I13" s="33">
        <f>단위장비1!H43+단위장비2!H58+단위장비3!H59+단위장비5!H57+단위장비4!H62+단위장비6!H58+단위장비7!H58+단위장비8!H58+단위장비9!H58+단위장비10!H58</f>
        <v>22000000</v>
      </c>
      <c r="J13" s="16"/>
      <c r="K13" s="84"/>
    </row>
    <row r="14" spans="2:11" s="85" customFormat="1" ht="19.5" customHeight="1">
      <c r="B14" s="461"/>
      <c r="C14" s="476"/>
      <c r="D14" s="476"/>
      <c r="E14" s="15" t="s">
        <v>19</v>
      </c>
      <c r="F14" s="161" t="s">
        <v>115</v>
      </c>
      <c r="G14" s="33"/>
      <c r="H14" s="33">
        <f>IF(단위장비1!G44&gt;0,단위장비1!G44,"")</f>
        <v>200000</v>
      </c>
      <c r="I14" s="33">
        <f>단위장비1!H44+단위장비2!H59+단위장비3!H60+단위장비5!H58+단위장비4!H63+단위장비6!H59+단위장비7!H59+단위장비8!H59+단위장비9!H59+단위장비10!H59</f>
        <v>60000000</v>
      </c>
      <c r="J14" s="16"/>
      <c r="K14" s="84"/>
    </row>
    <row r="15" spans="2:11" s="85" customFormat="1" ht="19.5" customHeight="1">
      <c r="B15" s="461"/>
      <c r="C15" s="476"/>
      <c r="D15" s="476"/>
      <c r="E15" s="15" t="s">
        <v>6</v>
      </c>
      <c r="F15" s="161" t="s">
        <v>115</v>
      </c>
      <c r="G15" s="33">
        <f>단위장비1!F45+단위장비2!F60+단위장비3!F61+단위장비5!F59+단위장비4!F64+단위장비6!F60+단위장비7!F60+단위장비8!F60+단위장비9!F60+단위장비10!F60</f>
        <v>290</v>
      </c>
      <c r="H15" s="33">
        <f>IF(단위장비1!G45&gt;0,단위장비1!G45,"")</f>
        <v>200000</v>
      </c>
      <c r="I15" s="33">
        <f>단위장비1!H45+단위장비2!H60+단위장비3!H61+단위장비5!H59+단위장비4!H64+단위장비6!H60+단위장비7!H60+단위장비8!H60+단위장비9!H60+단위장비10!H60</f>
        <v>58000000</v>
      </c>
      <c r="J15" s="16" t="s">
        <v>65</v>
      </c>
      <c r="K15" s="84"/>
    </row>
    <row r="16" spans="2:11" s="85" customFormat="1" ht="19.5" customHeight="1">
      <c r="B16" s="461"/>
      <c r="C16" s="476"/>
      <c r="D16" s="476"/>
      <c r="E16" s="255" t="s">
        <v>7</v>
      </c>
      <c r="F16" s="253" t="s">
        <v>115</v>
      </c>
      <c r="G16" s="256">
        <f>단위장비1!F46+단위장비2!F61+단위장비3!F62+단위장비5!F60+단위장비4!F65+단위장비6!F61+단위장비7!F61+단위장비8!F61+단위장비9!F61+단위장비10!F61</f>
        <v>340</v>
      </c>
      <c r="H16" s="256">
        <f>IF(단위장비1!G46&gt;0,단위장비1!G46,"")</f>
        <v>200000</v>
      </c>
      <c r="I16" s="256">
        <f>단위장비1!H46+단위장비2!H61+단위장비3!H62+단위장비5!H60+단위장비4!H65+단위장비6!H61+단위장비7!H61+단위장비8!H61+단위장비9!H61+단위장비10!H61</f>
        <v>68000000</v>
      </c>
      <c r="J16" s="16"/>
      <c r="K16" s="84"/>
    </row>
    <row r="17" spans="2:10" ht="19.5" customHeight="1">
      <c r="B17" s="461"/>
      <c r="C17" s="476"/>
      <c r="D17" s="476"/>
      <c r="E17" s="255" t="s">
        <v>8</v>
      </c>
      <c r="F17" s="253" t="s">
        <v>115</v>
      </c>
      <c r="G17" s="256">
        <f>단위장비1!F47+단위장비2!F62+단위장비3!F63+단위장비5!F61+단위장비4!F66+단위장비6!F62+단위장비7!F62+단위장비8!F62+단위장비9!F62+단위장비10!F62</f>
        <v>150</v>
      </c>
      <c r="H17" s="256">
        <f>IF(단위장비1!G47&gt;0,단위장비1!G47,"")</f>
        <v>200000</v>
      </c>
      <c r="I17" s="256">
        <f>단위장비1!H47+단위장비2!H62+단위장비3!H63+단위장비5!H61+단위장비4!H66+단위장비6!H62+단위장비7!H62+단위장비8!H62+단위장비9!H62+단위장비10!H62</f>
        <v>30000000</v>
      </c>
      <c r="J17" s="13"/>
    </row>
    <row r="18" spans="2:10" ht="19.5" customHeight="1">
      <c r="B18" s="461"/>
      <c r="C18" s="476"/>
      <c r="D18" s="476"/>
      <c r="E18" s="12" t="s">
        <v>9</v>
      </c>
      <c r="F18" s="161" t="s">
        <v>115</v>
      </c>
      <c r="G18" s="33">
        <f>단위장비1!F48+단위장비2!F63+단위장비3!F64+단위장비5!F62+단위장비4!F67+단위장비6!F63+단위장비7!F63+단위장비8!F63+단위장비9!F63+단위장비10!F63</f>
        <v>0</v>
      </c>
      <c r="H18" s="33" t="str">
        <f>IF(단위장비1!G48&gt;0,단위장비1!G48,"")</f>
        <v/>
      </c>
      <c r="I18" s="33">
        <f>단위장비1!H48+단위장비2!H63+단위장비3!H64+단위장비5!H62+단위장비4!H67+단위장비6!H63+단위장비7!H63+단위장비8!H63+단위장비9!H63+단위장비10!H63</f>
        <v>0</v>
      </c>
      <c r="J18" s="13"/>
    </row>
    <row r="19" spans="2:10" ht="19.5" customHeight="1">
      <c r="B19" s="461"/>
      <c r="C19" s="476"/>
      <c r="D19" s="476"/>
      <c r="E19" s="12" t="s">
        <v>20</v>
      </c>
      <c r="F19" s="161" t="s">
        <v>115</v>
      </c>
      <c r="G19" s="33">
        <f>단위장비1!F49+단위장비2!F64+단위장비3!F65+단위장비5!F63+단위장비4!F68+단위장비6!F64+단위장비7!F64+단위장비8!F64+단위장비9!F64+단위장비10!F64</f>
        <v>70</v>
      </c>
      <c r="H19" s="33" t="str">
        <f>IF(단위장비1!G49&gt;0,단위장비1!G49,"")</f>
        <v/>
      </c>
      <c r="I19" s="33">
        <f>단위장비1!H49+단위장비2!H64+단위장비3!H65+단위장비5!H63+단위장비4!H68+단위장비6!H64+단위장비7!H64+단위장비8!H64+단위장비9!H64+단위장비10!H64</f>
        <v>21000000</v>
      </c>
      <c r="J19" s="13"/>
    </row>
    <row r="20" spans="2:10" ht="19.5" customHeight="1">
      <c r="B20" s="461"/>
      <c r="C20" s="476"/>
      <c r="D20" s="481"/>
      <c r="E20" s="14" t="s">
        <v>67</v>
      </c>
      <c r="F20" s="440"/>
      <c r="G20" s="441"/>
      <c r="H20" s="442"/>
      <c r="I20" s="47">
        <f>SUM(I12:I19)</f>
        <v>259000000</v>
      </c>
      <c r="J20" s="13"/>
    </row>
    <row r="21" spans="2:10" ht="19.5" customHeight="1">
      <c r="B21" s="461"/>
      <c r="C21" s="476"/>
      <c r="D21" s="132" t="s">
        <v>76</v>
      </c>
      <c r="E21" s="125"/>
      <c r="F21" s="440"/>
      <c r="G21" s="441"/>
      <c r="H21" s="442"/>
      <c r="I21" s="50">
        <f>단위장비1!H52+단위장비1!H53+단위장비2!H67+단위장비2!H68+단위장비3!H68+단위장비3!H69+단위장비5!H66+단위장비5!H67+단위장비4!H71+단위장비4!H72+단위장비6!H67+단위장비6!H68+단위장비7!H67+단위장비7!H68+단위장비8!H67+단위장비8!H68+단위장비9!H67+단위장비9!H68+단위장비10!H67+단위장비10!H68</f>
        <v>307333990</v>
      </c>
      <c r="J21" s="86"/>
    </row>
    <row r="22" spans="2:10" ht="19.5" customHeight="1">
      <c r="B22" s="462"/>
      <c r="C22" s="477"/>
      <c r="D22" s="17"/>
      <c r="E22" s="18" t="s">
        <v>49</v>
      </c>
      <c r="F22" s="446"/>
      <c r="G22" s="447"/>
      <c r="H22" s="448"/>
      <c r="I22" s="48">
        <f>I20+I11+I21</f>
        <v>2478960590</v>
      </c>
      <c r="J22" s="19"/>
    </row>
    <row r="23" spans="2:10" ht="19.5" customHeight="1">
      <c r="B23" s="463">
        <v>2</v>
      </c>
      <c r="C23" s="473" t="s">
        <v>91</v>
      </c>
      <c r="D23" s="478" t="s">
        <v>1</v>
      </c>
      <c r="E23" s="11" t="s">
        <v>16</v>
      </c>
      <c r="F23" s="162" t="s">
        <v>116</v>
      </c>
      <c r="G23" s="34">
        <v>1</v>
      </c>
      <c r="H23" s="34"/>
      <c r="I23" s="34">
        <f>전기!H55-I24</f>
        <v>26876700</v>
      </c>
      <c r="J23" s="20"/>
    </row>
    <row r="24" spans="2:10" ht="19.5" customHeight="1">
      <c r="B24" s="461"/>
      <c r="C24" s="474"/>
      <c r="D24" s="479"/>
      <c r="E24" s="232" t="s">
        <v>152</v>
      </c>
      <c r="F24" s="257" t="s">
        <v>148</v>
      </c>
      <c r="G24" s="234">
        <v>1</v>
      </c>
      <c r="H24" s="234"/>
      <c r="I24" s="234">
        <f>전기!H16</f>
        <v>0</v>
      </c>
      <c r="J24" s="247" t="s">
        <v>153</v>
      </c>
    </row>
    <row r="25" spans="2:10" ht="19.5" customHeight="1">
      <c r="B25" s="461"/>
      <c r="C25" s="475"/>
      <c r="D25" s="482" t="s">
        <v>3</v>
      </c>
      <c r="E25" s="255" t="s">
        <v>94</v>
      </c>
      <c r="F25" s="253" t="s">
        <v>115</v>
      </c>
      <c r="G25" s="256">
        <f>전기!F56</f>
        <v>0</v>
      </c>
      <c r="H25" s="233" t="str">
        <f>IF(전기!G56&gt;0,전기!G56,"")</f>
        <v/>
      </c>
      <c r="I25" s="256">
        <f>전기!H56</f>
        <v>0</v>
      </c>
      <c r="J25" s="16"/>
    </row>
    <row r="26" spans="2:10" ht="19.5" customHeight="1">
      <c r="B26" s="461"/>
      <c r="C26" s="475"/>
      <c r="D26" s="476"/>
      <c r="E26" s="12" t="s">
        <v>73</v>
      </c>
      <c r="F26" s="161" t="s">
        <v>115</v>
      </c>
      <c r="G26" s="35">
        <f>전기!F57</f>
        <v>20</v>
      </c>
      <c r="H26" s="35">
        <f>IF(전기!G57&gt;0,전기!G57,"")</f>
        <v>250000</v>
      </c>
      <c r="I26" s="35">
        <f>전기!H57</f>
        <v>5000000</v>
      </c>
      <c r="J26" s="13"/>
    </row>
    <row r="27" spans="2:10" ht="19.5" customHeight="1">
      <c r="B27" s="461"/>
      <c r="C27" s="475"/>
      <c r="D27" s="476"/>
      <c r="E27" s="12" t="s">
        <v>5</v>
      </c>
      <c r="F27" s="161" t="s">
        <v>115</v>
      </c>
      <c r="G27" s="35">
        <f>전기!F58</f>
        <v>20</v>
      </c>
      <c r="H27" s="35">
        <f>IF(전기!G58&gt;0,전기!G58,"")</f>
        <v>250000</v>
      </c>
      <c r="I27" s="35">
        <f>전기!H58</f>
        <v>5000000</v>
      </c>
      <c r="J27" s="13"/>
    </row>
    <row r="28" spans="2:10" ht="19.5" customHeight="1">
      <c r="B28" s="461"/>
      <c r="C28" s="475"/>
      <c r="D28" s="476"/>
      <c r="E28" s="12" t="s">
        <v>100</v>
      </c>
      <c r="F28" s="161" t="s">
        <v>115</v>
      </c>
      <c r="G28" s="35">
        <f>전기!F59</f>
        <v>30</v>
      </c>
      <c r="H28" s="35">
        <f>IF(전기!G59&gt;0,전기!G59,"")</f>
        <v>250000</v>
      </c>
      <c r="I28" s="35">
        <f>전기!H59</f>
        <v>7500000</v>
      </c>
      <c r="J28" s="13"/>
    </row>
    <row r="29" spans="2:10" ht="19.5" customHeight="1">
      <c r="B29" s="461"/>
      <c r="C29" s="475"/>
      <c r="D29" s="476"/>
      <c r="E29" s="258" t="s">
        <v>99</v>
      </c>
      <c r="F29" s="253" t="s">
        <v>115</v>
      </c>
      <c r="G29" s="233">
        <f>전기!F60</f>
        <v>48</v>
      </c>
      <c r="H29" s="233">
        <f>IF(전기!G60&gt;0,전기!G60,"")</f>
        <v>250000</v>
      </c>
      <c r="I29" s="233">
        <f>전기!H60</f>
        <v>12000000</v>
      </c>
      <c r="J29" s="13"/>
    </row>
    <row r="30" spans="2:10" ht="19.5" customHeight="1">
      <c r="B30" s="461"/>
      <c r="C30" s="475"/>
      <c r="D30" s="476"/>
      <c r="E30" s="258" t="s">
        <v>8</v>
      </c>
      <c r="F30" s="253" t="s">
        <v>115</v>
      </c>
      <c r="G30" s="233">
        <f>전기!F61</f>
        <v>30</v>
      </c>
      <c r="H30" s="233">
        <f>IF(전기!G61&gt;0,전기!G61,"")</f>
        <v>250000</v>
      </c>
      <c r="I30" s="233">
        <f>전기!H61</f>
        <v>7500000</v>
      </c>
      <c r="J30" s="13"/>
    </row>
    <row r="31" spans="2:10" ht="19.5" customHeight="1">
      <c r="B31" s="461"/>
      <c r="C31" s="475"/>
      <c r="D31" s="476"/>
      <c r="E31" s="12" t="s">
        <v>9</v>
      </c>
      <c r="F31" s="161" t="s">
        <v>115</v>
      </c>
      <c r="G31" s="35">
        <f>전기!F62</f>
        <v>0</v>
      </c>
      <c r="H31" s="35" t="str">
        <f>IF(전기!G62&gt;0,전기!G62,"")</f>
        <v/>
      </c>
      <c r="I31" s="35">
        <f>전기!H62</f>
        <v>0</v>
      </c>
      <c r="J31" s="13"/>
    </row>
    <row r="32" spans="2:10" ht="19.5" customHeight="1">
      <c r="B32" s="461"/>
      <c r="C32" s="475"/>
      <c r="D32" s="481"/>
      <c r="E32" s="14" t="s">
        <v>68</v>
      </c>
      <c r="F32" s="443"/>
      <c r="G32" s="444"/>
      <c r="H32" s="445"/>
      <c r="I32" s="47">
        <f>SUM(I25:I31)</f>
        <v>37000000</v>
      </c>
      <c r="J32" s="13"/>
    </row>
    <row r="33" spans="2:13" ht="19.5" customHeight="1">
      <c r="B33" s="461"/>
      <c r="C33" s="476"/>
      <c r="D33" s="132" t="s">
        <v>76</v>
      </c>
      <c r="E33" s="125"/>
      <c r="F33" s="440"/>
      <c r="G33" s="441"/>
      <c r="H33" s="442"/>
      <c r="I33" s="50">
        <f>전기!H65+전기!H66</f>
        <v>9581505</v>
      </c>
      <c r="J33" s="86"/>
    </row>
    <row r="34" spans="2:13" ht="19.5" customHeight="1">
      <c r="B34" s="462"/>
      <c r="C34" s="477"/>
      <c r="D34" s="17"/>
      <c r="E34" s="18" t="s">
        <v>69</v>
      </c>
      <c r="F34" s="446"/>
      <c r="G34" s="447"/>
      <c r="H34" s="448"/>
      <c r="I34" s="48">
        <f>I32+I23+I33+I24</f>
        <v>73458205</v>
      </c>
      <c r="J34" s="19"/>
    </row>
    <row r="35" spans="2:13" ht="19.5" customHeight="1">
      <c r="B35" s="470">
        <v>3</v>
      </c>
      <c r="C35" s="449" t="s">
        <v>57</v>
      </c>
      <c r="D35" s="450"/>
      <c r="E35" s="451"/>
      <c r="F35" s="449"/>
      <c r="G35" s="450"/>
      <c r="H35" s="451"/>
      <c r="I35" s="49">
        <f>I23+I11+I24</f>
        <v>1939503300</v>
      </c>
      <c r="J35" s="20"/>
    </row>
    <row r="36" spans="2:13" ht="19.5" customHeight="1">
      <c r="B36" s="471"/>
      <c r="C36" s="440" t="s">
        <v>58</v>
      </c>
      <c r="D36" s="441"/>
      <c r="E36" s="442"/>
      <c r="F36" s="440"/>
      <c r="G36" s="441"/>
      <c r="H36" s="442"/>
      <c r="I36" s="47">
        <f>I32+I20</f>
        <v>296000000</v>
      </c>
      <c r="J36" s="13"/>
    </row>
    <row r="37" spans="2:13" ht="19.5" customHeight="1" thickBot="1">
      <c r="B37" s="472"/>
      <c r="C37" s="453" t="s">
        <v>59</v>
      </c>
      <c r="D37" s="453"/>
      <c r="E37" s="454"/>
      <c r="F37" s="452"/>
      <c r="G37" s="453"/>
      <c r="H37" s="454"/>
      <c r="I37" s="57">
        <f>I36+I35</f>
        <v>2235503300</v>
      </c>
      <c r="J37" s="58"/>
    </row>
    <row r="38" spans="2:13" ht="20.25" customHeight="1">
      <c r="B38" s="21">
        <v>4</v>
      </c>
      <c r="C38" s="481" t="s">
        <v>87</v>
      </c>
      <c r="D38" s="484"/>
      <c r="E38" s="485"/>
      <c r="F38" s="455"/>
      <c r="G38" s="456"/>
      <c r="H38" s="457"/>
      <c r="I38" s="142">
        <v>20000000</v>
      </c>
      <c r="J38" s="109"/>
    </row>
    <row r="39" spans="2:13" ht="22.5" customHeight="1">
      <c r="B39" s="23">
        <v>5</v>
      </c>
      <c r="C39" s="440" t="s">
        <v>0</v>
      </c>
      <c r="D39" s="441"/>
      <c r="E39" s="442"/>
      <c r="F39" s="458" t="s">
        <v>166</v>
      </c>
      <c r="G39" s="459"/>
      <c r="H39" s="460"/>
      <c r="I39" s="110">
        <f>CEILING(MIN(I48:I49),1000)</f>
        <v>4442000</v>
      </c>
      <c r="J39" s="259">
        <f>I30+I29+I25+I24+I17+I16+I12+I10</f>
        <v>117500000</v>
      </c>
      <c r="K39" s="164"/>
      <c r="M39" s="164"/>
    </row>
    <row r="40" spans="2:13" ht="20.25" customHeight="1">
      <c r="B40" s="23">
        <v>6</v>
      </c>
      <c r="C40" s="440" t="s">
        <v>25</v>
      </c>
      <c r="D40" s="441"/>
      <c r="E40" s="442"/>
      <c r="F40" s="500"/>
      <c r="G40" s="501"/>
      <c r="H40" s="502"/>
      <c r="I40" s="47">
        <f>전기!H65+단위장비1!H52+단위장비2!H67+단위장비3!H68+단위장비5!H66+단위장비4!H71+단위장비6!H67+단위장비7!H67+단위장비8!H67+단위장비9!H67+단위장비10!H67</f>
        <v>111775165</v>
      </c>
      <c r="J40" s="13"/>
    </row>
    <row r="41" spans="2:13" ht="20.25" customHeight="1">
      <c r="B41" s="24">
        <v>7</v>
      </c>
      <c r="C41" s="446" t="s">
        <v>17</v>
      </c>
      <c r="D41" s="447"/>
      <c r="E41" s="448"/>
      <c r="F41" s="497"/>
      <c r="G41" s="498"/>
      <c r="H41" s="499"/>
      <c r="I41" s="50">
        <f>전기!H66+단위장비1!H53+단위장비2!H68+단위장비3!H69+단위장비5!H67+단위장비4!H72+단위장비6!H68+단위장비7!H68+단위장비8!H68+단위장비9!H68+단위장비10!H68</f>
        <v>205140330</v>
      </c>
      <c r="J41" s="86"/>
      <c r="K41" s="7"/>
    </row>
    <row r="42" spans="2:13" ht="28.5" customHeight="1" thickBot="1">
      <c r="B42" s="59"/>
      <c r="C42" s="483" t="s">
        <v>18</v>
      </c>
      <c r="D42" s="483"/>
      <c r="E42" s="483"/>
      <c r="F42" s="494" t="s">
        <v>63</v>
      </c>
      <c r="G42" s="495"/>
      <c r="H42" s="496"/>
      <c r="I42" s="60">
        <f>I22+I34+I38+I39</f>
        <v>2576860795</v>
      </c>
      <c r="J42" s="87"/>
      <c r="K42" s="7"/>
    </row>
    <row r="43" spans="2:13" ht="19.5" customHeight="1">
      <c r="B43" s="235" t="s">
        <v>185</v>
      </c>
      <c r="C43" s="8"/>
      <c r="D43" s="8"/>
      <c r="E43" s="8"/>
    </row>
    <row r="44" spans="2:13" ht="19.5" customHeight="1">
      <c r="B44" s="235" t="s">
        <v>184</v>
      </c>
      <c r="C44" s="8"/>
      <c r="D44" s="8"/>
      <c r="E44" s="8"/>
    </row>
    <row r="45" spans="2:13" ht="19.5" customHeight="1">
      <c r="B45" s="7" t="s">
        <v>64</v>
      </c>
      <c r="C45" s="8"/>
      <c r="D45" s="8"/>
      <c r="E45" s="8"/>
    </row>
    <row r="46" spans="2:13" ht="19.5" customHeight="1">
      <c r="C46" s="8"/>
      <c r="D46" s="8"/>
      <c r="E46" s="8"/>
    </row>
    <row r="47" spans="2:13" ht="19.5" customHeight="1">
      <c r="C47" s="8"/>
      <c r="D47" s="8"/>
      <c r="E47" s="491" t="s">
        <v>171</v>
      </c>
      <c r="F47" s="488" t="s">
        <v>161</v>
      </c>
      <c r="G47" s="489"/>
      <c r="H47" s="490"/>
      <c r="I47" s="249" t="s">
        <v>163</v>
      </c>
      <c r="J47" s="251" t="s">
        <v>160</v>
      </c>
      <c r="K47" s="252" t="s">
        <v>164</v>
      </c>
    </row>
    <row r="48" spans="2:13" ht="19.5" customHeight="1">
      <c r="C48" s="8"/>
      <c r="D48" s="8"/>
      <c r="E48" s="492"/>
      <c r="F48" s="486" t="s">
        <v>156</v>
      </c>
      <c r="G48" s="487"/>
      <c r="H48" s="487"/>
      <c r="I48" s="47">
        <f>IF(J48&lt;500000000,J48*0.0315,1)+IF(J48&gt;500000000,J48*0.0253+3300000)*IF(J48&gt;5000000000,0,1)+IF(J48&gt;5000000000,J48*0.026,0)</f>
        <v>60364234.490000002</v>
      </c>
      <c r="J48" s="250">
        <f>SUM(I7:I10,I12:I19,I23:I31,I38)</f>
        <v>2255503300</v>
      </c>
      <c r="K48" s="250" t="s">
        <v>158</v>
      </c>
    </row>
    <row r="49" spans="5:11" ht="19.5" customHeight="1">
      <c r="E49" s="493"/>
      <c r="F49" s="486" t="s">
        <v>157</v>
      </c>
      <c r="G49" s="487"/>
      <c r="H49" s="487"/>
      <c r="I49" s="47">
        <f>(IF(J49&lt;500000000,J49*0.0315,1)+IF(J49&gt;500000000,J49*0.0253+3300000)*IF(J49&gt;5000000000,0,1)+IF(J49&gt;5000000000,J49*0.026,0))*1.2</f>
        <v>4441500</v>
      </c>
      <c r="J49" s="260">
        <f>SUM(I10,I24,I12,I16:I17,I25,I29:I30)</f>
        <v>117500000</v>
      </c>
      <c r="K49" s="250" t="s">
        <v>159</v>
      </c>
    </row>
    <row r="50" spans="5:11" ht="19.5" customHeight="1">
      <c r="G50" s="248" t="s">
        <v>162</v>
      </c>
    </row>
  </sheetData>
  <mergeCells count="38">
    <mergeCell ref="C41:E41"/>
    <mergeCell ref="C42:E42"/>
    <mergeCell ref="C38:E38"/>
    <mergeCell ref="F48:H48"/>
    <mergeCell ref="F49:H49"/>
    <mergeCell ref="F47:H47"/>
    <mergeCell ref="E47:E49"/>
    <mergeCell ref="F42:H42"/>
    <mergeCell ref="F41:H41"/>
    <mergeCell ref="C39:E39"/>
    <mergeCell ref="C40:E40"/>
    <mergeCell ref="F40:H40"/>
    <mergeCell ref="B7:B22"/>
    <mergeCell ref="B23:B34"/>
    <mergeCell ref="C5:E5"/>
    <mergeCell ref="C6:E6"/>
    <mergeCell ref="B35:B37"/>
    <mergeCell ref="C35:E35"/>
    <mergeCell ref="C36:E36"/>
    <mergeCell ref="C37:E37"/>
    <mergeCell ref="C23:C34"/>
    <mergeCell ref="D23:D24"/>
    <mergeCell ref="C7:C22"/>
    <mergeCell ref="D7:D11"/>
    <mergeCell ref="D25:D32"/>
    <mergeCell ref="D12:D20"/>
    <mergeCell ref="F35:H35"/>
    <mergeCell ref="F36:H36"/>
    <mergeCell ref="F37:H37"/>
    <mergeCell ref="F38:H38"/>
    <mergeCell ref="F39:H39"/>
    <mergeCell ref="F11:H11"/>
    <mergeCell ref="F32:H32"/>
    <mergeCell ref="F33:H33"/>
    <mergeCell ref="F34:H34"/>
    <mergeCell ref="F20:H20"/>
    <mergeCell ref="F21:H21"/>
    <mergeCell ref="F22:H22"/>
  </mergeCells>
  <phoneticPr fontId="2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4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982D-98AA-44C7-AA9F-0B5FB46F21F9}">
  <sheetPr codeName="Sheet4">
    <pageSetUpPr fitToPage="1"/>
  </sheetPr>
  <dimension ref="A2:P22"/>
  <sheetViews>
    <sheetView zoomScale="74" zoomScaleNormal="74" workbookViewId="0">
      <selection activeCell="K23" sqref="K23"/>
    </sheetView>
  </sheetViews>
  <sheetFormatPr defaultRowHeight="17.25" customHeight="1"/>
  <cols>
    <col min="1" max="1" width="5" style="28" customWidth="1"/>
    <col min="2" max="2" width="20.125" style="28" customWidth="1"/>
    <col min="3" max="3" width="6.25" style="28" customWidth="1"/>
    <col min="4" max="4" width="13.75" style="28" customWidth="1"/>
    <col min="5" max="8" width="11.875" style="28" customWidth="1"/>
    <col min="9" max="9" width="13" style="28" customWidth="1"/>
    <col min="10" max="10" width="17" style="28" customWidth="1"/>
    <col min="11" max="11" width="13.875" style="28" customWidth="1"/>
    <col min="12" max="12" width="12.5" style="28" bestFit="1" customWidth="1"/>
    <col min="13" max="13" width="15" style="28" bestFit="1" customWidth="1"/>
    <col min="14" max="14" width="15.625" style="28" customWidth="1"/>
    <col min="15" max="15" width="9.625" style="28" customWidth="1"/>
    <col min="16" max="16" width="1.375" style="28" customWidth="1"/>
    <col min="17" max="17" width="10" style="28" customWidth="1"/>
    <col min="18" max="16384" width="9" style="28"/>
  </cols>
  <sheetData>
    <row r="2" spans="1:16" ht="31.5" customHeight="1">
      <c r="A2" s="4" t="s">
        <v>92</v>
      </c>
    </row>
    <row r="3" spans="1:16" ht="17.25" customHeight="1" thickBot="1">
      <c r="N3" s="28" t="s">
        <v>29</v>
      </c>
    </row>
    <row r="4" spans="1:16" s="29" customFormat="1" ht="8.25" customHeight="1">
      <c r="A4" s="32"/>
      <c r="B4" s="32"/>
      <c r="C4" s="32"/>
      <c r="D4" s="506"/>
      <c r="E4" s="507"/>
      <c r="F4" s="507"/>
      <c r="G4" s="507"/>
      <c r="H4" s="507"/>
      <c r="I4" s="507"/>
      <c r="J4" s="508"/>
      <c r="K4" s="127"/>
      <c r="L4" s="127"/>
      <c r="M4" s="128"/>
      <c r="N4" s="63"/>
      <c r="O4" s="51"/>
    </row>
    <row r="5" spans="1:16" s="29" customFormat="1" ht="25.5" customHeight="1">
      <c r="A5" s="66"/>
      <c r="B5" s="66"/>
      <c r="C5" s="66"/>
      <c r="D5" s="207"/>
      <c r="E5" s="208"/>
      <c r="F5" s="208"/>
      <c r="G5" s="208"/>
      <c r="H5" s="208"/>
      <c r="I5" s="209" t="s">
        <v>85</v>
      </c>
      <c r="J5" s="192"/>
      <c r="K5" s="188"/>
      <c r="L5" s="188" t="s">
        <v>74</v>
      </c>
      <c r="M5" s="189" t="s">
        <v>56</v>
      </c>
      <c r="N5" s="190"/>
      <c r="O5" s="191"/>
    </row>
    <row r="6" spans="1:16" s="29" customFormat="1" ht="25.5" customHeight="1" thickBot="1">
      <c r="A6" s="41" t="s">
        <v>23</v>
      </c>
      <c r="B6" s="41" t="s">
        <v>93</v>
      </c>
      <c r="C6" s="41" t="s">
        <v>28</v>
      </c>
      <c r="D6" s="210" t="s">
        <v>24</v>
      </c>
      <c r="E6" s="211" t="s">
        <v>60</v>
      </c>
      <c r="F6" s="211" t="s">
        <v>61</v>
      </c>
      <c r="G6" s="211" t="s">
        <v>54</v>
      </c>
      <c r="H6" s="211" t="s">
        <v>55</v>
      </c>
      <c r="I6" s="212" t="s">
        <v>86</v>
      </c>
      <c r="J6" s="193" t="s">
        <v>138</v>
      </c>
      <c r="K6" s="126" t="s">
        <v>139</v>
      </c>
      <c r="L6" s="126" t="s">
        <v>75</v>
      </c>
      <c r="M6" s="129" t="s">
        <v>43</v>
      </c>
      <c r="N6" s="64" t="s">
        <v>26</v>
      </c>
      <c r="O6" s="61" t="s">
        <v>27</v>
      </c>
    </row>
    <row r="7" spans="1:16" s="31" customFormat="1" ht="25.5" customHeight="1" thickTop="1">
      <c r="A7" s="143">
        <f>IF(B7&gt;0,1,"")</f>
        <v>1</v>
      </c>
      <c r="B7" s="144" t="str">
        <f>단위장비1!C$1</f>
        <v>STRUCTURE (구조물)</v>
      </c>
      <c r="C7" s="143" t="s">
        <v>141</v>
      </c>
      <c r="D7" s="213">
        <f>단위장비1!H41</f>
        <v>48567000</v>
      </c>
      <c r="E7" s="214">
        <f>단위장비1!H42</f>
        <v>0</v>
      </c>
      <c r="F7" s="214">
        <f>단위장비1!H43+단위장비1!H44+단위장비1!H45+단위장비1!H49</f>
        <v>30000000</v>
      </c>
      <c r="G7" s="214">
        <f>단위장비1!H46+단위장비1!H47</f>
        <v>14000000</v>
      </c>
      <c r="H7" s="214">
        <f>단위장비1!H48</f>
        <v>0</v>
      </c>
      <c r="I7" s="215">
        <f>IF($B7&gt;0,'원가항목별(집계)'!I$38*$P7/$P$17,0)</f>
        <v>931479.35730772105</v>
      </c>
      <c r="J7" s="194">
        <f>SUM(D7:I7)</f>
        <v>93498479.357307717</v>
      </c>
      <c r="K7" s="145">
        <f>IF(B7&gt;0,'원가항목별(집계)'!I$34*P7/P$17,0)</f>
        <v>3421240.079118941</v>
      </c>
      <c r="L7" s="145">
        <f>IF($B7&gt;0,'원가항목별(집계)'!I$39*$P7/$P$17,0)</f>
        <v>206881.56525804484</v>
      </c>
      <c r="M7" s="146">
        <f>단위장비1!H52+단위장비1!H53</f>
        <v>13885050</v>
      </c>
      <c r="N7" s="147">
        <f>SUM(J7:M7)</f>
        <v>111011651.0016847</v>
      </c>
      <c r="O7" s="148"/>
      <c r="P7" s="31">
        <f>D7+E7+F7+G7+H7+M7</f>
        <v>106452050</v>
      </c>
    </row>
    <row r="8" spans="1:16" s="31" customFormat="1" ht="25.5" customHeight="1">
      <c r="A8" s="149">
        <f t="shared" ref="A8:A16" si="0">IF(B8&gt;0,A7+1,"")</f>
        <v>2</v>
      </c>
      <c r="B8" s="150" t="str">
        <f>단위장비2!C$1</f>
        <v>PROCESS TANK</v>
      </c>
      <c r="C8" s="149" t="s">
        <v>142</v>
      </c>
      <c r="D8" s="216">
        <f>단위장비2!H56</f>
        <v>460000000</v>
      </c>
      <c r="E8" s="217">
        <f>단위장비2!H57</f>
        <v>0</v>
      </c>
      <c r="F8" s="217">
        <f>단위장비2!H58+단위장비2!H59+단위장비2!H60+단위장비2!H64</f>
        <v>42000000</v>
      </c>
      <c r="G8" s="217">
        <f>단위장비2!H61+단위장비2!H62</f>
        <v>18000000</v>
      </c>
      <c r="H8" s="217">
        <f>단위장비2!H63</f>
        <v>0</v>
      </c>
      <c r="I8" s="218">
        <f>IF($B8&gt;0,'원가항목별(집계)'!I$38*$P8/$P$17,0)</f>
        <v>5232634.3707802454</v>
      </c>
      <c r="J8" s="195">
        <f>SUM(D8:I8)</f>
        <v>525232634.37078023</v>
      </c>
      <c r="K8" s="151">
        <f>IF(B8&gt;0,'원가항목별(집계)'!I$34*P8/P$17,0)</f>
        <v>19218996.414941061</v>
      </c>
      <c r="L8" s="151">
        <f>IF($B8&gt;0,'원가항목별(집계)'!I$39*$P8/$P$17,0)</f>
        <v>1162168.0937502924</v>
      </c>
      <c r="M8" s="152">
        <f>단위장비2!H67+단위장비2!H68</f>
        <v>78000000</v>
      </c>
      <c r="N8" s="153">
        <f t="shared" ref="N8:N16" si="1">SUM(J8:M8)</f>
        <v>623613798.87947154</v>
      </c>
      <c r="O8" s="99"/>
      <c r="P8" s="31">
        <f t="shared" ref="P8:P16" si="2">D8+E8+F8+G8+H8+M8</f>
        <v>598000000</v>
      </c>
    </row>
    <row r="9" spans="1:16" s="31" customFormat="1" ht="25.5" customHeight="1">
      <c r="A9" s="149">
        <f t="shared" si="0"/>
        <v>3</v>
      </c>
      <c r="B9" s="150" t="str">
        <f>단위장비3!C$1</f>
        <v>RECTIFIER (정류기)</v>
      </c>
      <c r="C9" s="149" t="s">
        <v>140</v>
      </c>
      <c r="D9" s="216">
        <f>단위장비3!H57</f>
        <v>734100000</v>
      </c>
      <c r="E9" s="217">
        <f>단위장비3!H58</f>
        <v>0</v>
      </c>
      <c r="F9" s="217">
        <f>단위장비3!H59+단위장비3!H60+단위장비3!H61+단위장비3!H65</f>
        <v>0</v>
      </c>
      <c r="G9" s="217">
        <f>단위장비3!H62+단위장비3!H63</f>
        <v>20000000</v>
      </c>
      <c r="H9" s="217">
        <f>단위장비3!H64</f>
        <v>0</v>
      </c>
      <c r="I9" s="218">
        <f>IF($B9&gt;0,'원가항목별(집계)'!I$38*$P9/$P$17,0)</f>
        <v>7588326.1134718899</v>
      </c>
      <c r="J9" s="195">
        <f t="shared" ref="J9:J14" si="3">SUM(D9:I9)</f>
        <v>761688326.11347187</v>
      </c>
      <c r="K9" s="151">
        <f>IF(B9&gt;0,'원가항목별(집계)'!I$34*P9/P$17,0)</f>
        <v>27871240.762513567</v>
      </c>
      <c r="L9" s="151">
        <f>IF($B9&gt;0,'원가항목별(집계)'!I$39*$P9/$P$17,0)</f>
        <v>1685367.2298021067</v>
      </c>
      <c r="M9" s="152">
        <f>단위장비3!H68+단위장비3!H69</f>
        <v>113115000</v>
      </c>
      <c r="N9" s="153">
        <f t="shared" si="1"/>
        <v>904359934.10578752</v>
      </c>
      <c r="O9" s="99"/>
      <c r="P9" s="31">
        <f t="shared" si="2"/>
        <v>867215000</v>
      </c>
    </row>
    <row r="10" spans="1:16" s="31" customFormat="1" ht="25.5" customHeight="1">
      <c r="A10" s="149">
        <f t="shared" si="0"/>
        <v>4</v>
      </c>
      <c r="B10" s="150" t="str">
        <f>단위장비4!C1</f>
        <v>부대설비</v>
      </c>
      <c r="C10" s="149" t="s">
        <v>140</v>
      </c>
      <c r="D10" s="216">
        <f>단위장비4!H60</f>
        <v>422459600</v>
      </c>
      <c r="E10" s="217">
        <f>단위장비4!H61</f>
        <v>0</v>
      </c>
      <c r="F10" s="217">
        <f>단위장비4!H62+단위장비4!H63+단위장비4!H64+단위장비4!H68</f>
        <v>89000000</v>
      </c>
      <c r="G10" s="217">
        <f>단위장비4!H65+단위장비4!H66</f>
        <v>34000000</v>
      </c>
      <c r="H10" s="217">
        <f>단위장비4!H67</f>
        <v>0</v>
      </c>
      <c r="I10" s="218">
        <f>IF($B10&gt;0,'원가항목별(집계)'!I$38*$P10/$P$17,0)</f>
        <v>5488828.1746770078</v>
      </c>
      <c r="J10" s="195">
        <f t="shared" si="3"/>
        <v>550948428.17467701</v>
      </c>
      <c r="K10" s="151">
        <f>IF(B10&gt;0,'원가항목별(집계)'!I$34*P10/P$17,0)</f>
        <v>20159973.263259973</v>
      </c>
      <c r="L10" s="151">
        <f>IF($B10&gt;0,'원가항목별(집계)'!I$39*$P10/$P$17,0)</f>
        <v>1219068.7375957635</v>
      </c>
      <c r="M10" s="152">
        <f>단위장비4!H71+단위장비4!H72</f>
        <v>81818940</v>
      </c>
      <c r="N10" s="153">
        <f t="shared" si="1"/>
        <v>654146410.17553282</v>
      </c>
      <c r="O10" s="99"/>
      <c r="P10" s="31">
        <f t="shared" si="2"/>
        <v>627278540</v>
      </c>
    </row>
    <row r="11" spans="1:16" s="31" customFormat="1" ht="25.5" customHeight="1">
      <c r="A11" s="149">
        <f t="shared" si="0"/>
        <v>5</v>
      </c>
      <c r="B11" s="150" t="str">
        <f>단위장비5!C1</f>
        <v>환경인허가 및 관련안전장치</v>
      </c>
      <c r="C11" s="149" t="s">
        <v>140</v>
      </c>
      <c r="D11" s="216">
        <f>단위장비5!H55</f>
        <v>63400000</v>
      </c>
      <c r="E11" s="217">
        <f>단위장비5!H56</f>
        <v>0</v>
      </c>
      <c r="F11" s="217">
        <f>단위장비5!H57+단위장비5!H58+단위장비5!H59+단위장비5!H63</f>
        <v>0</v>
      </c>
      <c r="G11" s="217">
        <f>단위장비5!H60+단위장비5!H61</f>
        <v>12000000</v>
      </c>
      <c r="H11" s="217">
        <f>단위장비5!H62</f>
        <v>0</v>
      </c>
      <c r="I11" s="218">
        <f>IF($B11&gt;0,'원가항목별(집계)'!I$38*$P11/$P$17,0)</f>
        <v>758731.9837631355</v>
      </c>
      <c r="J11" s="195">
        <f t="shared" si="3"/>
        <v>76158731.983763129</v>
      </c>
      <c r="K11" s="151">
        <f>IF(B11&gt;0,'원가항목별(집계)'!I$34*P11/P$17,0)</f>
        <v>2786754.4801664543</v>
      </c>
      <c r="L11" s="151">
        <f>IF($B11&gt;0,'원가항목별(집계)'!I$39*$P11/$P$17,0)</f>
        <v>168514.37359379241</v>
      </c>
      <c r="M11" s="152">
        <f>단위장비5!H66+단위장비5!H67</f>
        <v>11310000</v>
      </c>
      <c r="N11" s="153">
        <f t="shared" si="1"/>
        <v>90424000.837523371</v>
      </c>
      <c r="O11" s="99"/>
      <c r="P11" s="31">
        <f t="shared" si="2"/>
        <v>86710000</v>
      </c>
    </row>
    <row r="12" spans="1:16" s="31" customFormat="1" ht="25.5" customHeight="1">
      <c r="A12" s="149">
        <f t="shared" si="0"/>
        <v>6</v>
      </c>
      <c r="B12" s="150" t="str">
        <f>단위장비6!C$1</f>
        <v>테스트피스</v>
      </c>
      <c r="C12" s="149" t="s">
        <v>140</v>
      </c>
      <c r="D12" s="216">
        <f>단위장비6!H56</f>
        <v>184100000</v>
      </c>
      <c r="E12" s="217">
        <f>단위장비6!H57</f>
        <v>0</v>
      </c>
      <c r="F12" s="217">
        <f>단위장비6!H58+단위장비6!H59+단위장비6!H60+단위장비6!H64</f>
        <v>0</v>
      </c>
      <c r="G12" s="217">
        <f>단위장비6!H61+단위장비6!H62</f>
        <v>0</v>
      </c>
      <c r="H12" s="217">
        <f>단위장비6!H63</f>
        <v>0</v>
      </c>
      <c r="I12" s="218">
        <f>IF($B12&gt;0,'원가항목별(집계)'!I$38*$P12/$P$17,0)</f>
        <v>0</v>
      </c>
      <c r="J12" s="195">
        <f t="shared" si="3"/>
        <v>184100000</v>
      </c>
      <c r="K12" s="151">
        <f>IF(B12&gt;0,'원가항목별(집계)'!I$34*P12/P$17,0)</f>
        <v>0</v>
      </c>
      <c r="L12" s="151">
        <f>IF($B12&gt;0,'원가항목별(집계)'!I$39*$P12/$P$17,0)</f>
        <v>0</v>
      </c>
      <c r="M12" s="152">
        <f>단위장비6!H67+단위장비6!H68</f>
        <v>9205000</v>
      </c>
      <c r="N12" s="153">
        <f t="shared" si="1"/>
        <v>193305000</v>
      </c>
      <c r="O12" s="99"/>
    </row>
    <row r="13" spans="1:16" s="31" customFormat="1" ht="25.5" customHeight="1">
      <c r="A13" s="149" t="str">
        <f t="shared" si="0"/>
        <v/>
      </c>
      <c r="B13" s="150">
        <f>단위장비7!C$1</f>
        <v>0</v>
      </c>
      <c r="C13" s="149" t="s">
        <v>140</v>
      </c>
      <c r="D13" s="216">
        <f>단위장비7!H56</f>
        <v>0</v>
      </c>
      <c r="E13" s="217">
        <f>단위장비7!H57</f>
        <v>0</v>
      </c>
      <c r="F13" s="217">
        <f>단위장비7!H58+단위장비7!H59+단위장비7!H60+단위장비7!H64</f>
        <v>0</v>
      </c>
      <c r="G13" s="217">
        <f>단위장비7!H61+단위장비7!H62</f>
        <v>0</v>
      </c>
      <c r="H13" s="217">
        <f>단위장비7!H63</f>
        <v>0</v>
      </c>
      <c r="I13" s="218">
        <f>IF($B13&gt;0,'원가항목별(집계)'!I$38*$P13/$P$17,0)</f>
        <v>0</v>
      </c>
      <c r="J13" s="195">
        <f t="shared" si="3"/>
        <v>0</v>
      </c>
      <c r="K13" s="151">
        <f>IF(B13&gt;0,'원가항목별(집계)'!I$34*P13/P$17,0)</f>
        <v>0</v>
      </c>
      <c r="L13" s="151">
        <f>IF($B13&gt;0,'원가항목별(집계)'!I$39*$P13/$P$17,0)</f>
        <v>0</v>
      </c>
      <c r="M13" s="152">
        <f>단위장비7!H67+단위장비7!H68</f>
        <v>0</v>
      </c>
      <c r="N13" s="153">
        <f t="shared" si="1"/>
        <v>0</v>
      </c>
      <c r="O13" s="99"/>
      <c r="P13" s="31">
        <f t="shared" si="2"/>
        <v>0</v>
      </c>
    </row>
    <row r="14" spans="1:16" s="31" customFormat="1" ht="25.5" customHeight="1">
      <c r="A14" s="149" t="str">
        <f t="shared" si="0"/>
        <v/>
      </c>
      <c r="B14" s="150">
        <f>단위장비8!C$1</f>
        <v>0</v>
      </c>
      <c r="C14" s="149" t="s">
        <v>140</v>
      </c>
      <c r="D14" s="216">
        <f>단위장비8!H57</f>
        <v>0</v>
      </c>
      <c r="E14" s="217">
        <f>단위장비8!H57</f>
        <v>0</v>
      </c>
      <c r="F14" s="217">
        <f>단위장비8!H58+단위장비8!H59+단위장비8!H60+단위장비8!H64</f>
        <v>0</v>
      </c>
      <c r="G14" s="217"/>
      <c r="H14" s="217">
        <f>단위장비8!H63</f>
        <v>0</v>
      </c>
      <c r="I14" s="218">
        <f>IF($B14&gt;0,'원가항목별(집계)'!I$38*$P14/$P$17,0)</f>
        <v>0</v>
      </c>
      <c r="J14" s="195">
        <f t="shared" si="3"/>
        <v>0</v>
      </c>
      <c r="K14" s="151">
        <f>IF(B14&gt;0,'원가항목별(집계)'!I$34*P14/P$17,0)</f>
        <v>0</v>
      </c>
      <c r="L14" s="151">
        <f>IF($B14&gt;0,'원가항목별(집계)'!I$39*$P14/$P$17,0)</f>
        <v>0</v>
      </c>
      <c r="M14" s="152">
        <f>단위장비8!H67+단위장비8!H68</f>
        <v>0</v>
      </c>
      <c r="N14" s="153">
        <f t="shared" si="1"/>
        <v>0</v>
      </c>
      <c r="O14" s="99"/>
      <c r="P14" s="31">
        <f t="shared" si="2"/>
        <v>0</v>
      </c>
    </row>
    <row r="15" spans="1:16" s="31" customFormat="1" ht="25.5" customHeight="1">
      <c r="A15" s="149" t="str">
        <f t="shared" si="0"/>
        <v/>
      </c>
      <c r="B15" s="150">
        <f>단위장비9!C$1</f>
        <v>0</v>
      </c>
      <c r="C15" s="149" t="s">
        <v>140</v>
      </c>
      <c r="D15" s="216">
        <f>단위장비9!H57</f>
        <v>0</v>
      </c>
      <c r="E15" s="217">
        <f>단위장비9!H58</f>
        <v>0</v>
      </c>
      <c r="F15" s="217">
        <f>단위장비9!H59+단위장비9!H60+단위장비9!H61+단위장비9!H65</f>
        <v>0</v>
      </c>
      <c r="G15" s="217">
        <f>단위장비9!H62+단위장비9!H63</f>
        <v>0</v>
      </c>
      <c r="H15" s="217">
        <f>단위장비9!H64</f>
        <v>0</v>
      </c>
      <c r="I15" s="218">
        <f>IF($B15&gt;0,'원가항목별(집계)'!I$38*$P15/$P$17,0)</f>
        <v>0</v>
      </c>
      <c r="J15" s="195">
        <f>SUM(D15:I15)</f>
        <v>0</v>
      </c>
      <c r="K15" s="151">
        <f>IF(B15&gt;0,'원가항목별(집계)'!I$34*P15/P$17,0)</f>
        <v>0</v>
      </c>
      <c r="L15" s="151">
        <f>IF($B15&gt;0,'원가항목별(집계)'!I$39*$P15/$P$17,0)</f>
        <v>0</v>
      </c>
      <c r="M15" s="152">
        <f>단위장비9!H68+단위장비9!H69</f>
        <v>0</v>
      </c>
      <c r="N15" s="153">
        <f t="shared" si="1"/>
        <v>0</v>
      </c>
      <c r="O15" s="99"/>
      <c r="P15" s="31">
        <f t="shared" si="2"/>
        <v>0</v>
      </c>
    </row>
    <row r="16" spans="1:16" s="31" customFormat="1" ht="25.5" customHeight="1">
      <c r="A16" s="154" t="str">
        <f t="shared" si="0"/>
        <v/>
      </c>
      <c r="B16" s="155">
        <f>단위장비10!C$1</f>
        <v>0</v>
      </c>
      <c r="C16" s="154" t="s">
        <v>140</v>
      </c>
      <c r="D16" s="219">
        <f>단위장비10!H58</f>
        <v>0</v>
      </c>
      <c r="E16" s="220">
        <f>단위장비10!H59</f>
        <v>0</v>
      </c>
      <c r="F16" s="220">
        <f>단위장비10!H60+단위장비10!H61+단위장비10!H62+단위장비10!H66</f>
        <v>0</v>
      </c>
      <c r="G16" s="220">
        <f>단위장비10!H63+단위장비10!H64</f>
        <v>0</v>
      </c>
      <c r="H16" s="220">
        <f>단위장비10!H65</f>
        <v>0</v>
      </c>
      <c r="I16" s="221">
        <f>IF($B16&gt;0,'원가항목별(집계)'!I$38*$P16/$P$17,0)</f>
        <v>0</v>
      </c>
      <c r="J16" s="196">
        <f>SUM(D16:I16)</f>
        <v>0</v>
      </c>
      <c r="K16" s="156">
        <f>IF(B16&gt;0,'원가항목별(집계)'!I$34*P16/P$17,0)</f>
        <v>0</v>
      </c>
      <c r="L16" s="156">
        <f>IF($B16&gt;0,'원가항목별(집계)'!I$39*$P16/$P$17,0)</f>
        <v>0</v>
      </c>
      <c r="M16" s="157">
        <f>단위장비10!H69+단위장비10!H70</f>
        <v>0</v>
      </c>
      <c r="N16" s="158">
        <f t="shared" si="1"/>
        <v>0</v>
      </c>
      <c r="O16" s="104"/>
      <c r="P16" s="31">
        <f t="shared" si="2"/>
        <v>0</v>
      </c>
    </row>
    <row r="17" spans="1:16" s="31" customFormat="1" ht="33" customHeight="1">
      <c r="A17" s="503" t="s">
        <v>145</v>
      </c>
      <c r="B17" s="504"/>
      <c r="C17" s="505"/>
      <c r="D17" s="222">
        <f t="shared" ref="D17:I17" si="4">SUM(D7:D16)</f>
        <v>1912626600</v>
      </c>
      <c r="E17" s="223">
        <f t="shared" si="4"/>
        <v>0</v>
      </c>
      <c r="F17" s="223">
        <f t="shared" si="4"/>
        <v>161000000</v>
      </c>
      <c r="G17" s="223">
        <f t="shared" si="4"/>
        <v>98000000</v>
      </c>
      <c r="H17" s="223">
        <f t="shared" si="4"/>
        <v>0</v>
      </c>
      <c r="I17" s="224">
        <f t="shared" si="4"/>
        <v>20000000</v>
      </c>
      <c r="J17" s="228">
        <f>SUM(D17:I17)</f>
        <v>2191626600</v>
      </c>
      <c r="K17" s="229">
        <f>SUM(K7:K16)</f>
        <v>73458205</v>
      </c>
      <c r="L17" s="229">
        <f>SUM(L7:L16)</f>
        <v>4442000</v>
      </c>
      <c r="M17" s="230">
        <f>SUM(M7:M16)</f>
        <v>307333990</v>
      </c>
      <c r="N17" s="231">
        <f>SUM(N7:N16)</f>
        <v>2576860795</v>
      </c>
      <c r="O17" s="62"/>
      <c r="P17" s="31">
        <f>SUM(P7:P16)</f>
        <v>2285655590</v>
      </c>
    </row>
    <row r="18" spans="1:16" s="206" customFormat="1" ht="18.75" customHeight="1">
      <c r="A18" s="197"/>
      <c r="B18" s="198"/>
      <c r="C18" s="199"/>
      <c r="D18" s="225">
        <f t="shared" ref="D18:N18" si="5">IF(D17=0,"",D17/$N17)</f>
        <v>0.74223124652723038</v>
      </c>
      <c r="E18" s="226" t="str">
        <f t="shared" si="5"/>
        <v/>
      </c>
      <c r="F18" s="226">
        <f t="shared" si="5"/>
        <v>6.2479122004725912E-2</v>
      </c>
      <c r="G18" s="226">
        <f t="shared" si="5"/>
        <v>3.8030769915920117E-2</v>
      </c>
      <c r="H18" s="226" t="str">
        <f t="shared" si="5"/>
        <v/>
      </c>
      <c r="I18" s="227">
        <f t="shared" si="5"/>
        <v>7.7613816154939019E-3</v>
      </c>
      <c r="J18" s="201">
        <f t="shared" si="5"/>
        <v>0.85050252006337035</v>
      </c>
      <c r="K18" s="202">
        <f t="shared" si="5"/>
        <v>2.8506858089709111E-2</v>
      </c>
      <c r="L18" s="200">
        <f t="shared" si="5"/>
        <v>1.7238028568011955E-3</v>
      </c>
      <c r="M18" s="203">
        <f t="shared" si="5"/>
        <v>0.11926681899011933</v>
      </c>
      <c r="N18" s="204">
        <f t="shared" si="5"/>
        <v>1</v>
      </c>
      <c r="O18" s="205"/>
    </row>
    <row r="19" spans="1:16" ht="28.5" customHeight="1">
      <c r="A19" s="28" t="s">
        <v>101</v>
      </c>
      <c r="H19" s="133"/>
      <c r="I19" s="133"/>
      <c r="J19" s="133"/>
      <c r="K19" s="133"/>
      <c r="L19" s="133"/>
    </row>
    <row r="20" spans="1:16" ht="17.25" customHeight="1">
      <c r="H20" s="130"/>
      <c r="I20" s="130"/>
      <c r="J20" s="130"/>
      <c r="K20" s="130"/>
      <c r="L20" s="130"/>
      <c r="M20" s="124"/>
      <c r="N20" s="138" t="str">
        <f>IF('원가항목별(집계)'!I42='단위공사별(집계)'!N17,"","DATA오류입니다!")</f>
        <v/>
      </c>
    </row>
    <row r="21" spans="1:16" ht="17.25" customHeight="1">
      <c r="H21" s="131"/>
      <c r="I21" s="131"/>
      <c r="J21" s="131"/>
      <c r="K21" s="131"/>
      <c r="L21" s="131"/>
      <c r="N21" s="131"/>
    </row>
    <row r="22" spans="1:16" ht="17.25" customHeight="1">
      <c r="H22" s="31"/>
      <c r="I22" s="31"/>
      <c r="J22" s="31"/>
      <c r="L22" s="31"/>
    </row>
  </sheetData>
  <mergeCells count="2">
    <mergeCell ref="A17:C17"/>
    <mergeCell ref="D4:J4"/>
  </mergeCells>
  <phoneticPr fontId="2" type="noConversion"/>
  <printOptions horizontalCentered="1"/>
  <pageMargins left="0.39370078740157483" right="0.39370078740157483" top="0.66" bottom="0.39370078740157483" header="0.51181102362204722" footer="0.19685039370078741"/>
  <pageSetup paperSize="9" scale="65" orientation="landscape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CA9A-1744-4BFE-8946-7591C082891A}">
  <sheetPr codeName="Sheet5">
    <tabColor rgb="FF00B050"/>
    <pageSetUpPr fitToPage="1"/>
  </sheetPr>
  <dimension ref="A1:K68"/>
  <sheetViews>
    <sheetView zoomScale="85" workbookViewId="0">
      <pane xSplit="3" ySplit="2" topLeftCell="D9" activePane="bottomRight" state="frozen"/>
      <selection activeCell="H28" sqref="H28"/>
      <selection pane="topRight" activeCell="H28" sqref="H28"/>
      <selection pane="bottomLeft" activeCell="H28" sqref="H28"/>
      <selection pane="bottomRight" activeCell="G14" sqref="G14"/>
    </sheetView>
  </sheetViews>
  <sheetFormatPr defaultRowHeight="13.5"/>
  <cols>
    <col min="1" max="1" width="5" style="28" customWidth="1"/>
    <col min="2" max="2" width="13" style="28" customWidth="1"/>
    <col min="3" max="3" width="23.625" style="28" customWidth="1"/>
    <col min="4" max="4" width="18.25" style="28" customWidth="1"/>
    <col min="5" max="5" width="5.25" style="29" bestFit="1" customWidth="1"/>
    <col min="6" max="6" width="6.75" style="271" customWidth="1"/>
    <col min="7" max="7" width="11.875" style="31" customWidth="1"/>
    <col min="8" max="8" width="13.625" style="31" customWidth="1"/>
    <col min="9" max="9" width="12.75" style="28" customWidth="1"/>
    <col min="10" max="10" width="9.25" style="28" customWidth="1"/>
    <col min="11" max="11" width="11.5" style="28" bestFit="1" customWidth="1"/>
    <col min="12" max="16384" width="9" style="28"/>
  </cols>
  <sheetData>
    <row r="1" spans="1:9" ht="22.5" customHeight="1">
      <c r="B1" s="97" t="s">
        <v>83</v>
      </c>
      <c r="C1" s="137"/>
      <c r="F1" s="263"/>
      <c r="I1" s="28" t="s">
        <v>84</v>
      </c>
    </row>
    <row r="2" spans="1:9" s="29" customFormat="1" ht="16.5" customHeight="1">
      <c r="A2" s="392" t="s">
        <v>31</v>
      </c>
      <c r="B2" s="509"/>
      <c r="C2" s="120" t="s">
        <v>44</v>
      </c>
      <c r="D2" s="121" t="s">
        <v>32</v>
      </c>
      <c r="E2" s="121" t="s">
        <v>33</v>
      </c>
      <c r="F2" s="54" t="s">
        <v>34</v>
      </c>
      <c r="G2" s="54" t="s">
        <v>35</v>
      </c>
      <c r="H2" s="54" t="s">
        <v>36</v>
      </c>
      <c r="I2" s="121" t="s">
        <v>46</v>
      </c>
    </row>
    <row r="3" spans="1:9" ht="15.95" customHeight="1">
      <c r="A3" s="512" t="s">
        <v>77</v>
      </c>
      <c r="B3" s="98" t="s">
        <v>37</v>
      </c>
      <c r="C3" s="116" t="s">
        <v>289</v>
      </c>
      <c r="D3" s="116" t="s">
        <v>292</v>
      </c>
      <c r="E3" s="272" t="s">
        <v>218</v>
      </c>
      <c r="F3" s="264">
        <v>1</v>
      </c>
      <c r="G3" s="117">
        <v>2600000</v>
      </c>
      <c r="H3" s="118">
        <f t="shared" ref="H3:H8" si="0">IF(F3=0,G3,G3*F3)</f>
        <v>2600000</v>
      </c>
      <c r="I3" s="119" t="s">
        <v>294</v>
      </c>
    </row>
    <row r="4" spans="1:9" ht="15.95" customHeight="1">
      <c r="A4" s="513"/>
      <c r="B4" s="98"/>
      <c r="C4" s="68" t="s">
        <v>295</v>
      </c>
      <c r="D4" s="116" t="s">
        <v>296</v>
      </c>
      <c r="E4" s="272" t="s">
        <v>218</v>
      </c>
      <c r="F4" s="264">
        <v>2</v>
      </c>
      <c r="G4" s="117">
        <v>250000</v>
      </c>
      <c r="H4" s="99">
        <f t="shared" si="0"/>
        <v>500000</v>
      </c>
      <c r="I4" s="70" t="s">
        <v>294</v>
      </c>
    </row>
    <row r="5" spans="1:9" ht="15.95" customHeight="1">
      <c r="A5" s="513"/>
      <c r="B5" s="98"/>
      <c r="C5" s="68" t="s">
        <v>370</v>
      </c>
      <c r="D5" s="116" t="s">
        <v>371</v>
      </c>
      <c r="E5" s="272" t="s">
        <v>293</v>
      </c>
      <c r="F5" s="264">
        <v>1</v>
      </c>
      <c r="G5" s="117">
        <v>350000</v>
      </c>
      <c r="H5" s="99">
        <f t="shared" si="0"/>
        <v>350000</v>
      </c>
      <c r="I5" s="70" t="s">
        <v>294</v>
      </c>
    </row>
    <row r="6" spans="1:9" ht="15.95" customHeight="1">
      <c r="A6" s="513"/>
      <c r="B6" s="98"/>
      <c r="C6" s="68"/>
      <c r="D6" s="116"/>
      <c r="E6" s="272"/>
      <c r="F6" s="264"/>
      <c r="G6" s="117"/>
      <c r="H6" s="99"/>
      <c r="I6" s="70"/>
    </row>
    <row r="7" spans="1:9" ht="15.95" customHeight="1">
      <c r="A7" s="513"/>
      <c r="B7" s="98"/>
      <c r="C7" s="68"/>
      <c r="D7" s="68"/>
      <c r="E7" s="273"/>
      <c r="F7" s="265"/>
      <c r="G7" s="69"/>
      <c r="H7" s="99">
        <f t="shared" si="0"/>
        <v>0</v>
      </c>
      <c r="I7" s="70"/>
    </row>
    <row r="8" spans="1:9" ht="15.95" customHeight="1">
      <c r="A8" s="513"/>
      <c r="B8" s="98"/>
      <c r="C8" s="113"/>
      <c r="D8" s="113"/>
      <c r="E8" s="274"/>
      <c r="F8" s="266"/>
      <c r="G8" s="114"/>
      <c r="H8" s="99">
        <f t="shared" si="0"/>
        <v>0</v>
      </c>
      <c r="I8" s="71"/>
    </row>
    <row r="9" spans="1:9" ht="15.95" customHeight="1">
      <c r="A9" s="513"/>
      <c r="B9" s="72"/>
      <c r="C9" s="101"/>
      <c r="D9" s="91"/>
      <c r="E9" s="120"/>
      <c r="F9" s="267"/>
      <c r="G9" s="40"/>
      <c r="H9" s="30">
        <f>SUM(H3:H8)</f>
        <v>3450000</v>
      </c>
      <c r="I9" s="74"/>
    </row>
    <row r="10" spans="1:9" ht="15.95" customHeight="1">
      <c r="A10" s="513"/>
      <c r="B10" s="245" t="s">
        <v>150</v>
      </c>
      <c r="C10" s="111"/>
      <c r="D10" s="111"/>
      <c r="E10" s="270"/>
      <c r="F10" s="347"/>
      <c r="G10" s="112"/>
      <c r="H10" s="103">
        <f t="shared" ref="H10:H21" si="1">IF(F10=0,G10,G10*F10)</f>
        <v>0</v>
      </c>
      <c r="I10" s="75"/>
    </row>
    <row r="11" spans="1:9" ht="15.95" customHeight="1">
      <c r="A11" s="513"/>
      <c r="B11" s="246" t="s">
        <v>151</v>
      </c>
      <c r="C11" s="68"/>
      <c r="D11" s="68"/>
      <c r="E11" s="273"/>
      <c r="F11" s="265"/>
      <c r="G11" s="69"/>
      <c r="H11" s="99">
        <f t="shared" si="1"/>
        <v>0</v>
      </c>
      <c r="I11" s="70"/>
    </row>
    <row r="12" spans="1:9" ht="15.95" customHeight="1">
      <c r="A12" s="513"/>
      <c r="B12" s="246" t="s">
        <v>149</v>
      </c>
      <c r="C12" s="68"/>
      <c r="D12" s="68"/>
      <c r="E12" s="273"/>
      <c r="F12" s="265"/>
      <c r="G12" s="69"/>
      <c r="H12" s="99">
        <f t="shared" si="1"/>
        <v>0</v>
      </c>
      <c r="I12" s="70"/>
    </row>
    <row r="13" spans="1:9" ht="15.95" customHeight="1">
      <c r="A13" s="513"/>
      <c r="B13" s="98"/>
      <c r="C13" s="68"/>
      <c r="D13" s="68"/>
      <c r="E13" s="273"/>
      <c r="F13" s="265"/>
      <c r="G13" s="69"/>
      <c r="H13" s="99">
        <f t="shared" si="1"/>
        <v>0</v>
      </c>
      <c r="I13" s="70"/>
    </row>
    <row r="14" spans="1:9" ht="15.95" customHeight="1">
      <c r="A14" s="513"/>
      <c r="B14" s="98"/>
      <c r="C14" s="68"/>
      <c r="D14" s="68"/>
      <c r="E14" s="273"/>
      <c r="F14" s="265"/>
      <c r="G14" s="69"/>
      <c r="H14" s="99">
        <f t="shared" si="1"/>
        <v>0</v>
      </c>
      <c r="I14" s="70"/>
    </row>
    <row r="15" spans="1:9" ht="15.95" customHeight="1">
      <c r="A15" s="513"/>
      <c r="B15" s="98"/>
      <c r="C15" s="113" t="s">
        <v>47</v>
      </c>
      <c r="D15" s="236"/>
      <c r="E15" s="274" t="s">
        <v>172</v>
      </c>
      <c r="F15" s="268"/>
      <c r="G15" s="237"/>
      <c r="H15" s="238">
        <f t="shared" si="1"/>
        <v>0</v>
      </c>
      <c r="I15" s="239"/>
    </row>
    <row r="16" spans="1:9" ht="15.95" customHeight="1">
      <c r="A16" s="513"/>
      <c r="B16" s="98"/>
      <c r="C16" s="240"/>
      <c r="D16" s="241"/>
      <c r="E16" s="275"/>
      <c r="F16" s="348"/>
      <c r="G16" s="243"/>
      <c r="H16" s="244">
        <f>SUM(H10:H15)</f>
        <v>0</v>
      </c>
      <c r="I16" s="242"/>
    </row>
    <row r="17" spans="1:9" ht="15.95" customHeight="1">
      <c r="A17" s="513"/>
      <c r="B17" s="102" t="s">
        <v>40</v>
      </c>
      <c r="C17" s="280" t="s">
        <v>302</v>
      </c>
      <c r="D17" s="280" t="s">
        <v>298</v>
      </c>
      <c r="E17" s="281" t="s">
        <v>211</v>
      </c>
      <c r="F17" s="368">
        <v>1</v>
      </c>
      <c r="G17" s="282">
        <v>580000</v>
      </c>
      <c r="H17" s="103">
        <f>IF(F17=0,G17,G17*F17)</f>
        <v>580000</v>
      </c>
      <c r="I17" s="75" t="s">
        <v>301</v>
      </c>
    </row>
    <row r="18" spans="1:9" ht="15.95" customHeight="1">
      <c r="A18" s="513"/>
      <c r="B18" s="98"/>
      <c r="C18" s="283" t="s">
        <v>303</v>
      </c>
      <c r="D18" s="283" t="s">
        <v>299</v>
      </c>
      <c r="E18" s="284" t="s">
        <v>211</v>
      </c>
      <c r="F18" s="369">
        <v>1</v>
      </c>
      <c r="G18" s="285">
        <v>220000</v>
      </c>
      <c r="H18" s="99">
        <f t="shared" si="1"/>
        <v>220000</v>
      </c>
      <c r="I18" s="70" t="s">
        <v>301</v>
      </c>
    </row>
    <row r="19" spans="1:9" ht="15.95" customHeight="1">
      <c r="A19" s="513"/>
      <c r="B19" s="98"/>
      <c r="C19" s="283" t="s">
        <v>304</v>
      </c>
      <c r="D19" s="283" t="s">
        <v>297</v>
      </c>
      <c r="E19" s="284" t="s">
        <v>211</v>
      </c>
      <c r="F19" s="369">
        <v>1</v>
      </c>
      <c r="G19" s="285">
        <v>450000</v>
      </c>
      <c r="H19" s="99">
        <f t="shared" si="1"/>
        <v>450000</v>
      </c>
      <c r="I19" s="70" t="s">
        <v>301</v>
      </c>
    </row>
    <row r="20" spans="1:9" ht="15.95" customHeight="1">
      <c r="A20" s="513"/>
      <c r="B20" s="98"/>
      <c r="C20" s="283" t="s">
        <v>337</v>
      </c>
      <c r="D20" s="283" t="s">
        <v>338</v>
      </c>
      <c r="E20" s="284" t="s">
        <v>211</v>
      </c>
      <c r="F20" s="369">
        <v>1</v>
      </c>
      <c r="G20" s="285">
        <v>1200000</v>
      </c>
      <c r="H20" s="99">
        <f t="shared" si="1"/>
        <v>1200000</v>
      </c>
      <c r="I20" s="70" t="s">
        <v>301</v>
      </c>
    </row>
    <row r="21" spans="1:9" ht="15.95" customHeight="1">
      <c r="A21" s="513"/>
      <c r="B21" s="98"/>
      <c r="C21" s="283" t="s">
        <v>339</v>
      </c>
      <c r="D21" s="283" t="s">
        <v>340</v>
      </c>
      <c r="E21" s="284" t="s">
        <v>211</v>
      </c>
      <c r="F21" s="369">
        <v>1</v>
      </c>
      <c r="G21" s="285">
        <v>235000</v>
      </c>
      <c r="H21" s="99">
        <f t="shared" si="1"/>
        <v>235000</v>
      </c>
      <c r="I21" s="70" t="s">
        <v>301</v>
      </c>
    </row>
    <row r="22" spans="1:9" ht="15.95" customHeight="1">
      <c r="A22" s="513"/>
      <c r="B22" s="98"/>
      <c r="C22" s="283" t="s">
        <v>341</v>
      </c>
      <c r="D22" s="283" t="s">
        <v>305</v>
      </c>
      <c r="E22" s="284" t="s">
        <v>211</v>
      </c>
      <c r="F22" s="369">
        <v>1</v>
      </c>
      <c r="G22" s="285">
        <v>235000</v>
      </c>
      <c r="H22" s="99">
        <f t="shared" ref="H22:H44" si="2">IF(F22=0,G22,G22*F22)</f>
        <v>235000</v>
      </c>
      <c r="I22" s="70" t="s">
        <v>301</v>
      </c>
    </row>
    <row r="23" spans="1:9" ht="15.95" customHeight="1">
      <c r="A23" s="513"/>
      <c r="B23" s="98"/>
      <c r="C23" s="283" t="s">
        <v>341</v>
      </c>
      <c r="D23" s="283" t="s">
        <v>342</v>
      </c>
      <c r="E23" s="284" t="s">
        <v>211</v>
      </c>
      <c r="F23" s="369">
        <v>4</v>
      </c>
      <c r="G23" s="285">
        <v>235000</v>
      </c>
      <c r="H23" s="99">
        <f t="shared" si="2"/>
        <v>940000</v>
      </c>
      <c r="I23" s="70" t="s">
        <v>301</v>
      </c>
    </row>
    <row r="24" spans="1:9" ht="15.95" customHeight="1">
      <c r="A24" s="513"/>
      <c r="B24" s="98"/>
      <c r="C24" s="286" t="s">
        <v>341</v>
      </c>
      <c r="D24" s="286" t="s">
        <v>343</v>
      </c>
      <c r="E24" s="284" t="s">
        <v>211</v>
      </c>
      <c r="F24" s="370">
        <v>4</v>
      </c>
      <c r="G24" s="288">
        <v>235000</v>
      </c>
      <c r="H24" s="99">
        <f t="shared" si="2"/>
        <v>940000</v>
      </c>
      <c r="I24" s="70" t="s">
        <v>301</v>
      </c>
    </row>
    <row r="25" spans="1:9" ht="15.95" customHeight="1">
      <c r="A25" s="513"/>
      <c r="B25" s="98"/>
      <c r="C25" s="286" t="s">
        <v>344</v>
      </c>
      <c r="D25" s="289" t="s">
        <v>345</v>
      </c>
      <c r="E25" s="284" t="s">
        <v>211</v>
      </c>
      <c r="F25" s="371">
        <v>1</v>
      </c>
      <c r="G25" s="291">
        <v>530000</v>
      </c>
      <c r="H25" s="99">
        <f t="shared" ref="H25:H30" si="3">IF(F25=0,G25,G25*F25)</f>
        <v>530000</v>
      </c>
      <c r="I25" s="70" t="s">
        <v>300</v>
      </c>
    </row>
    <row r="26" spans="1:9" ht="15.95" customHeight="1">
      <c r="A26" s="513"/>
      <c r="B26" s="98"/>
      <c r="C26" s="289" t="s">
        <v>346</v>
      </c>
      <c r="D26" s="289" t="s">
        <v>347</v>
      </c>
      <c r="E26" s="284" t="s">
        <v>211</v>
      </c>
      <c r="F26" s="369">
        <v>1</v>
      </c>
      <c r="G26" s="290">
        <v>957500</v>
      </c>
      <c r="H26" s="99">
        <f t="shared" si="3"/>
        <v>957500</v>
      </c>
      <c r="I26" s="70" t="s">
        <v>300</v>
      </c>
    </row>
    <row r="27" spans="1:9" ht="15.95" customHeight="1">
      <c r="A27" s="513"/>
      <c r="B27" s="98"/>
      <c r="C27" s="289" t="s">
        <v>348</v>
      </c>
      <c r="D27" s="289" t="s">
        <v>349</v>
      </c>
      <c r="E27" s="284" t="s">
        <v>211</v>
      </c>
      <c r="F27" s="369">
        <v>1</v>
      </c>
      <c r="G27" s="290">
        <v>1250000</v>
      </c>
      <c r="H27" s="99">
        <f t="shared" si="3"/>
        <v>1250000</v>
      </c>
      <c r="I27" s="70" t="s">
        <v>355</v>
      </c>
    </row>
    <row r="28" spans="1:9" ht="15.95" customHeight="1">
      <c r="A28" s="513"/>
      <c r="B28" s="98"/>
      <c r="C28" s="289" t="s">
        <v>350</v>
      </c>
      <c r="D28" s="289" t="s">
        <v>351</v>
      </c>
      <c r="E28" s="284" t="s">
        <v>211</v>
      </c>
      <c r="F28" s="369">
        <v>1</v>
      </c>
      <c r="G28" s="290">
        <v>98000</v>
      </c>
      <c r="H28" s="99">
        <f t="shared" si="3"/>
        <v>98000</v>
      </c>
      <c r="I28" s="70" t="s">
        <v>356</v>
      </c>
    </row>
    <row r="29" spans="1:9" ht="15.95" customHeight="1">
      <c r="A29" s="513"/>
      <c r="B29" s="98"/>
      <c r="C29" s="283" t="s">
        <v>328</v>
      </c>
      <c r="D29" s="283" t="s">
        <v>352</v>
      </c>
      <c r="E29" s="284" t="s">
        <v>211</v>
      </c>
      <c r="F29" s="369">
        <v>1</v>
      </c>
      <c r="G29" s="285">
        <v>220000</v>
      </c>
      <c r="H29" s="99">
        <f t="shared" si="3"/>
        <v>220000</v>
      </c>
      <c r="I29" s="70" t="s">
        <v>331</v>
      </c>
    </row>
    <row r="30" spans="1:9" ht="15.95" customHeight="1">
      <c r="A30" s="513"/>
      <c r="B30" s="98"/>
      <c r="C30" s="283" t="s">
        <v>353</v>
      </c>
      <c r="D30" s="283" t="s">
        <v>354</v>
      </c>
      <c r="E30" s="284" t="s">
        <v>211</v>
      </c>
      <c r="F30" s="372">
        <v>1</v>
      </c>
      <c r="G30" s="292">
        <v>60000</v>
      </c>
      <c r="H30" s="99">
        <f t="shared" si="3"/>
        <v>60000</v>
      </c>
      <c r="I30" s="70" t="s">
        <v>357</v>
      </c>
    </row>
    <row r="31" spans="1:9" ht="15.95" customHeight="1">
      <c r="A31" s="513"/>
      <c r="B31" s="98"/>
      <c r="C31" s="289" t="s">
        <v>307</v>
      </c>
      <c r="D31" s="289"/>
      <c r="E31" s="284" t="s">
        <v>209</v>
      </c>
      <c r="F31" s="369">
        <v>1</v>
      </c>
      <c r="G31" s="290">
        <v>240000</v>
      </c>
      <c r="H31" s="99">
        <f t="shared" si="2"/>
        <v>240000</v>
      </c>
      <c r="I31" s="70" t="s">
        <v>309</v>
      </c>
    </row>
    <row r="32" spans="1:9" ht="15.95" customHeight="1">
      <c r="A32" s="513"/>
      <c r="B32" s="98"/>
      <c r="C32" s="289" t="s">
        <v>308</v>
      </c>
      <c r="D32" s="289"/>
      <c r="E32" s="284" t="s">
        <v>209</v>
      </c>
      <c r="F32" s="369">
        <v>1</v>
      </c>
      <c r="G32" s="290">
        <v>120000</v>
      </c>
      <c r="H32" s="99">
        <f t="shared" si="2"/>
        <v>120000</v>
      </c>
      <c r="I32" s="70" t="s">
        <v>309</v>
      </c>
    </row>
    <row r="33" spans="1:9" ht="15.95" customHeight="1">
      <c r="A33" s="513"/>
      <c r="B33" s="98"/>
      <c r="C33" s="283" t="s">
        <v>362</v>
      </c>
      <c r="D33" s="289"/>
      <c r="E33" s="284" t="s">
        <v>209</v>
      </c>
      <c r="F33" s="369">
        <v>1</v>
      </c>
      <c r="G33" s="290">
        <v>1800000</v>
      </c>
      <c r="H33" s="99">
        <f t="shared" si="2"/>
        <v>1800000</v>
      </c>
      <c r="I33" s="70" t="s">
        <v>309</v>
      </c>
    </row>
    <row r="34" spans="1:9" ht="15.95" customHeight="1">
      <c r="A34" s="513"/>
      <c r="B34" s="98"/>
      <c r="C34" s="283" t="s">
        <v>324</v>
      </c>
      <c r="D34" s="289" t="s">
        <v>326</v>
      </c>
      <c r="E34" s="284" t="s">
        <v>211</v>
      </c>
      <c r="F34" s="369">
        <v>1</v>
      </c>
      <c r="G34" s="290">
        <v>980000</v>
      </c>
      <c r="H34" s="99">
        <f t="shared" si="2"/>
        <v>980000</v>
      </c>
      <c r="I34" s="70" t="s">
        <v>311</v>
      </c>
    </row>
    <row r="35" spans="1:9" ht="15.95" customHeight="1">
      <c r="A35" s="513"/>
      <c r="B35" s="98"/>
      <c r="C35" s="283" t="s">
        <v>325</v>
      </c>
      <c r="D35" s="289" t="s">
        <v>327</v>
      </c>
      <c r="E35" s="284" t="s">
        <v>211</v>
      </c>
      <c r="F35" s="369">
        <v>3</v>
      </c>
      <c r="G35" s="291">
        <v>256000</v>
      </c>
      <c r="H35" s="99">
        <f t="shared" si="2"/>
        <v>768000</v>
      </c>
      <c r="I35" s="70" t="s">
        <v>311</v>
      </c>
    </row>
    <row r="36" spans="1:9" ht="15.95" customHeight="1">
      <c r="A36" s="513"/>
      <c r="B36" s="98"/>
      <c r="C36" s="283" t="s">
        <v>310</v>
      </c>
      <c r="D36" s="289" t="s">
        <v>312</v>
      </c>
      <c r="E36" s="287" t="s">
        <v>211</v>
      </c>
      <c r="F36" s="371">
        <v>12</v>
      </c>
      <c r="G36" s="291">
        <v>30300</v>
      </c>
      <c r="H36" s="99">
        <f t="shared" ref="H36:H38" si="4">IF(F36=0,G36,G36*F36)</f>
        <v>363600</v>
      </c>
      <c r="I36" s="70" t="s">
        <v>311</v>
      </c>
    </row>
    <row r="37" spans="1:9" ht="15.95" customHeight="1">
      <c r="A37" s="513"/>
      <c r="B37" s="98"/>
      <c r="C37" s="283" t="s">
        <v>310</v>
      </c>
      <c r="D37" s="289" t="s">
        <v>313</v>
      </c>
      <c r="E37" s="287" t="s">
        <v>211</v>
      </c>
      <c r="F37" s="371">
        <v>6</v>
      </c>
      <c r="G37" s="291">
        <v>15900</v>
      </c>
      <c r="H37" s="99">
        <f t="shared" si="4"/>
        <v>95400</v>
      </c>
      <c r="I37" s="70" t="s">
        <v>311</v>
      </c>
    </row>
    <row r="38" spans="1:9" ht="15.95" customHeight="1">
      <c r="A38" s="513"/>
      <c r="B38" s="98"/>
      <c r="C38" s="286" t="s">
        <v>329</v>
      </c>
      <c r="D38" s="289" t="s">
        <v>330</v>
      </c>
      <c r="E38" s="287" t="s">
        <v>211</v>
      </c>
      <c r="F38" s="371">
        <v>3</v>
      </c>
      <c r="G38" s="291">
        <v>66500</v>
      </c>
      <c r="H38" s="99">
        <f t="shared" si="4"/>
        <v>199500</v>
      </c>
      <c r="I38" s="70" t="s">
        <v>332</v>
      </c>
    </row>
    <row r="39" spans="1:9" ht="15.95" customHeight="1">
      <c r="A39" s="513"/>
      <c r="B39" s="98"/>
      <c r="C39" s="283" t="s">
        <v>333</v>
      </c>
      <c r="D39" s="289" t="s">
        <v>334</v>
      </c>
      <c r="E39" s="287" t="s">
        <v>211</v>
      </c>
      <c r="F39" s="371">
        <v>1</v>
      </c>
      <c r="G39" s="291">
        <v>320000</v>
      </c>
      <c r="H39" s="99">
        <f t="shared" si="2"/>
        <v>320000</v>
      </c>
      <c r="I39" s="70" t="s">
        <v>335</v>
      </c>
    </row>
    <row r="40" spans="1:9" ht="15.95" customHeight="1">
      <c r="A40" s="513"/>
      <c r="B40" s="98"/>
      <c r="C40" s="283" t="s">
        <v>306</v>
      </c>
      <c r="D40" s="289" t="s">
        <v>336</v>
      </c>
      <c r="E40" s="287" t="s">
        <v>211</v>
      </c>
      <c r="F40" s="371">
        <v>6</v>
      </c>
      <c r="G40" s="291">
        <v>38000</v>
      </c>
      <c r="H40" s="99">
        <f t="shared" si="2"/>
        <v>228000</v>
      </c>
      <c r="I40" s="70" t="s">
        <v>311</v>
      </c>
    </row>
    <row r="41" spans="1:9" ht="15.95" customHeight="1">
      <c r="A41" s="513"/>
      <c r="B41" s="98"/>
      <c r="C41" s="286" t="s">
        <v>358</v>
      </c>
      <c r="D41" s="289" t="s">
        <v>359</v>
      </c>
      <c r="E41" s="287" t="s">
        <v>293</v>
      </c>
      <c r="F41" s="371">
        <v>10</v>
      </c>
      <c r="G41" s="291">
        <v>60000</v>
      </c>
      <c r="H41" s="99">
        <f t="shared" si="2"/>
        <v>600000</v>
      </c>
      <c r="I41" s="70" t="s">
        <v>331</v>
      </c>
    </row>
    <row r="42" spans="1:9" ht="15.95" customHeight="1">
      <c r="A42" s="513"/>
      <c r="B42" s="98"/>
      <c r="C42" s="289" t="s">
        <v>360</v>
      </c>
      <c r="D42" s="289" t="s">
        <v>361</v>
      </c>
      <c r="E42" s="284" t="s">
        <v>293</v>
      </c>
      <c r="F42" s="369">
        <v>4</v>
      </c>
      <c r="G42" s="290">
        <v>48000</v>
      </c>
      <c r="H42" s="99">
        <f t="shared" si="2"/>
        <v>192000</v>
      </c>
      <c r="I42" s="70" t="s">
        <v>331</v>
      </c>
    </row>
    <row r="43" spans="1:9" ht="15.95" customHeight="1">
      <c r="A43" s="513"/>
      <c r="B43" s="98"/>
      <c r="C43" s="289" t="s">
        <v>363</v>
      </c>
      <c r="D43" s="289" t="s">
        <v>364</v>
      </c>
      <c r="E43" s="284" t="s">
        <v>293</v>
      </c>
      <c r="F43" s="369">
        <v>1</v>
      </c>
      <c r="G43" s="290">
        <v>3750000</v>
      </c>
      <c r="H43" s="99">
        <f t="shared" si="2"/>
        <v>3750000</v>
      </c>
      <c r="I43" s="70" t="s">
        <v>365</v>
      </c>
    </row>
    <row r="44" spans="1:9" ht="15.95" customHeight="1">
      <c r="A44" s="513"/>
      <c r="B44" s="98"/>
      <c r="C44" s="289" t="s">
        <v>366</v>
      </c>
      <c r="D44" s="289" t="s">
        <v>367</v>
      </c>
      <c r="E44" s="284" t="s">
        <v>211</v>
      </c>
      <c r="F44" s="369">
        <v>1</v>
      </c>
      <c r="G44" s="290">
        <v>1800000</v>
      </c>
      <c r="H44" s="99">
        <f t="shared" si="2"/>
        <v>1800000</v>
      </c>
      <c r="I44" s="70" t="s">
        <v>322</v>
      </c>
    </row>
    <row r="45" spans="1:9" ht="15.95" customHeight="1">
      <c r="A45" s="513"/>
      <c r="B45" s="98"/>
      <c r="C45" s="286" t="s">
        <v>314</v>
      </c>
      <c r="D45" s="289" t="s">
        <v>315</v>
      </c>
      <c r="E45" s="287" t="s">
        <v>211</v>
      </c>
      <c r="F45" s="371">
        <v>3</v>
      </c>
      <c r="G45" s="291">
        <v>66500</v>
      </c>
      <c r="H45" s="99">
        <f t="shared" ref="H45:H52" si="5">IF(F45=0,G45,G45*F45)</f>
        <v>199500</v>
      </c>
      <c r="I45" s="70" t="s">
        <v>316</v>
      </c>
    </row>
    <row r="46" spans="1:9" ht="15.95" customHeight="1">
      <c r="A46" s="513"/>
      <c r="B46" s="98"/>
      <c r="C46" s="289" t="s">
        <v>317</v>
      </c>
      <c r="D46" s="289" t="s">
        <v>318</v>
      </c>
      <c r="E46" s="284" t="s">
        <v>211</v>
      </c>
      <c r="F46" s="369">
        <v>1</v>
      </c>
      <c r="G46" s="290">
        <v>150200</v>
      </c>
      <c r="H46" s="99">
        <f t="shared" si="5"/>
        <v>150200</v>
      </c>
      <c r="I46" s="70" t="s">
        <v>319</v>
      </c>
    </row>
    <row r="47" spans="1:9" ht="15.95" customHeight="1">
      <c r="A47" s="513"/>
      <c r="B47" s="98"/>
      <c r="C47" s="289" t="s">
        <v>320</v>
      </c>
      <c r="D47" s="289" t="s">
        <v>321</v>
      </c>
      <c r="E47" s="284" t="s">
        <v>211</v>
      </c>
      <c r="F47" s="369">
        <v>3</v>
      </c>
      <c r="G47" s="290">
        <v>135000</v>
      </c>
      <c r="H47" s="99">
        <f t="shared" si="5"/>
        <v>405000</v>
      </c>
      <c r="I47" s="70" t="s">
        <v>5</v>
      </c>
    </row>
    <row r="48" spans="1:9" ht="15.95" customHeight="1">
      <c r="A48" s="513"/>
      <c r="B48" s="98"/>
      <c r="C48" s="289" t="s">
        <v>368</v>
      </c>
      <c r="D48" s="289" t="s">
        <v>369</v>
      </c>
      <c r="E48" s="284" t="s">
        <v>293</v>
      </c>
      <c r="F48" s="369">
        <v>1</v>
      </c>
      <c r="G48" s="290">
        <v>350000</v>
      </c>
      <c r="H48" s="99">
        <f t="shared" si="5"/>
        <v>350000</v>
      </c>
      <c r="I48" s="70" t="s">
        <v>5</v>
      </c>
    </row>
    <row r="49" spans="1:9" ht="15.95" customHeight="1">
      <c r="A49" s="513"/>
      <c r="B49" s="98"/>
      <c r="C49" s="283" t="s">
        <v>323</v>
      </c>
      <c r="D49" s="283"/>
      <c r="E49" s="284" t="s">
        <v>209</v>
      </c>
      <c r="F49" s="369">
        <v>1</v>
      </c>
      <c r="G49" s="285">
        <v>450000</v>
      </c>
      <c r="H49" s="99">
        <f t="shared" si="5"/>
        <v>450000</v>
      </c>
      <c r="I49" s="70" t="s">
        <v>309</v>
      </c>
    </row>
    <row r="50" spans="1:9" ht="15.95" customHeight="1">
      <c r="A50" s="513"/>
      <c r="B50" s="98"/>
      <c r="C50" s="283" t="s">
        <v>378</v>
      </c>
      <c r="D50" s="283"/>
      <c r="E50" s="284" t="s">
        <v>209</v>
      </c>
      <c r="F50" s="369">
        <v>1</v>
      </c>
      <c r="G50" s="285">
        <v>1600000</v>
      </c>
      <c r="H50" s="99">
        <f t="shared" ref="H50" si="6">IF(F50=0,G50,G50*F50)</f>
        <v>1600000</v>
      </c>
      <c r="I50" s="70" t="s">
        <v>309</v>
      </c>
    </row>
    <row r="51" spans="1:9" ht="15.95" customHeight="1">
      <c r="A51" s="513"/>
      <c r="B51" s="98"/>
      <c r="C51" s="283" t="s">
        <v>47</v>
      </c>
      <c r="D51" s="283"/>
      <c r="E51" s="284" t="s">
        <v>209</v>
      </c>
      <c r="F51" s="372">
        <v>1</v>
      </c>
      <c r="G51" s="285">
        <v>900000</v>
      </c>
      <c r="H51" s="99">
        <f t="shared" si="5"/>
        <v>900000</v>
      </c>
      <c r="I51" s="70" t="s">
        <v>309</v>
      </c>
    </row>
    <row r="52" spans="1:9" ht="15.95" customHeight="1">
      <c r="A52" s="513"/>
      <c r="B52" s="98"/>
      <c r="C52" s="68"/>
      <c r="D52" s="68"/>
      <c r="E52" s="273"/>
      <c r="F52" s="373"/>
      <c r="G52" s="69"/>
      <c r="H52" s="99">
        <f t="shared" si="5"/>
        <v>0</v>
      </c>
      <c r="I52" s="70"/>
    </row>
    <row r="53" spans="1:9" ht="15.95" customHeight="1">
      <c r="A53" s="513"/>
      <c r="B53" s="98"/>
      <c r="C53" s="113"/>
      <c r="D53" s="113"/>
      <c r="E53" s="274"/>
      <c r="F53" s="374"/>
      <c r="G53" s="114"/>
      <c r="H53" s="104">
        <f t="shared" ref="H53" si="7">IF(F53=0,G53,G53*F53)</f>
        <v>0</v>
      </c>
      <c r="I53" s="71"/>
    </row>
    <row r="54" spans="1:9" ht="15.95" customHeight="1">
      <c r="A54" s="513"/>
      <c r="B54" s="72"/>
      <c r="C54" s="101"/>
      <c r="D54" s="91"/>
      <c r="E54" s="120"/>
      <c r="F54" s="267"/>
      <c r="G54" s="40"/>
      <c r="H54" s="30">
        <f>SUM(H17:H53)</f>
        <v>23426700</v>
      </c>
      <c r="I54" s="74"/>
    </row>
    <row r="55" spans="1:9" ht="15.95" customHeight="1">
      <c r="A55" s="76"/>
      <c r="B55" s="96" t="s">
        <v>42</v>
      </c>
      <c r="C55" s="73"/>
      <c r="D55" s="74"/>
      <c r="E55" s="121"/>
      <c r="F55" s="100"/>
      <c r="G55" s="56"/>
      <c r="H55" s="30">
        <f>SUM(H54,H9,H16)</f>
        <v>26876700</v>
      </c>
      <c r="I55" s="74"/>
    </row>
    <row r="56" spans="1:9" ht="15.95" customHeight="1">
      <c r="A56" s="510" t="s">
        <v>72</v>
      </c>
      <c r="B56" s="105" t="s">
        <v>70</v>
      </c>
      <c r="C56" s="73"/>
      <c r="D56" s="74"/>
      <c r="E56" s="52" t="s">
        <v>51</v>
      </c>
      <c r="F56" s="269"/>
      <c r="G56" s="262"/>
      <c r="H56" s="53">
        <f t="shared" ref="H56:H62" si="8">F56*G56</f>
        <v>0</v>
      </c>
      <c r="I56" s="74"/>
    </row>
    <row r="57" spans="1:9" ht="15.95" customHeight="1">
      <c r="A57" s="511"/>
      <c r="B57" s="106" t="s">
        <v>174</v>
      </c>
      <c r="C57" s="134"/>
      <c r="D57" s="75"/>
      <c r="E57" s="276" t="s">
        <v>50</v>
      </c>
      <c r="F57" s="270">
        <v>20</v>
      </c>
      <c r="G57" s="112">
        <v>250000</v>
      </c>
      <c r="H57" s="103">
        <f t="shared" si="8"/>
        <v>5000000</v>
      </c>
      <c r="I57" s="75"/>
    </row>
    <row r="58" spans="1:9" ht="15.95" customHeight="1">
      <c r="A58" s="511"/>
      <c r="B58" s="107" t="s">
        <v>102</v>
      </c>
      <c r="C58" s="135"/>
      <c r="D58" s="70"/>
      <c r="E58" s="277" t="s">
        <v>50</v>
      </c>
      <c r="F58" s="264">
        <v>20</v>
      </c>
      <c r="G58" s="69">
        <v>250000</v>
      </c>
      <c r="H58" s="99">
        <f t="shared" si="8"/>
        <v>5000000</v>
      </c>
      <c r="I58" s="70"/>
    </row>
    <row r="59" spans="1:9" ht="15.95" customHeight="1">
      <c r="A59" s="511"/>
      <c r="B59" s="107" t="s">
        <v>103</v>
      </c>
      <c r="C59" s="135"/>
      <c r="D59" s="70"/>
      <c r="E59" s="277" t="s">
        <v>50</v>
      </c>
      <c r="F59" s="265">
        <v>30</v>
      </c>
      <c r="G59" s="69">
        <v>250000</v>
      </c>
      <c r="H59" s="99">
        <f>F59*G59</f>
        <v>7500000</v>
      </c>
      <c r="I59" s="70"/>
    </row>
    <row r="60" spans="1:9" ht="15.95" customHeight="1">
      <c r="A60" s="511"/>
      <c r="B60" s="107" t="s">
        <v>104</v>
      </c>
      <c r="C60" s="135"/>
      <c r="D60" s="70"/>
      <c r="E60" s="277" t="s">
        <v>50</v>
      </c>
      <c r="F60" s="265">
        <v>48</v>
      </c>
      <c r="G60" s="69">
        <v>250000</v>
      </c>
      <c r="H60" s="99">
        <f t="shared" si="8"/>
        <v>12000000</v>
      </c>
      <c r="I60" s="70"/>
    </row>
    <row r="61" spans="1:9" ht="15.95" customHeight="1">
      <c r="A61" s="511"/>
      <c r="B61" s="107" t="s">
        <v>105</v>
      </c>
      <c r="C61" s="135"/>
      <c r="D61" s="70"/>
      <c r="E61" s="277" t="s">
        <v>50</v>
      </c>
      <c r="F61" s="268">
        <v>30</v>
      </c>
      <c r="G61" s="237">
        <v>250000</v>
      </c>
      <c r="H61" s="99">
        <f t="shared" si="8"/>
        <v>7500000</v>
      </c>
      <c r="I61" s="70"/>
    </row>
    <row r="62" spans="1:9" ht="15.95" customHeight="1">
      <c r="A62" s="511"/>
      <c r="B62" s="108" t="s">
        <v>106</v>
      </c>
      <c r="C62" s="136"/>
      <c r="D62" s="71"/>
      <c r="E62" s="278" t="s">
        <v>50</v>
      </c>
      <c r="F62" s="266"/>
      <c r="G62" s="114"/>
      <c r="H62" s="104">
        <f t="shared" si="8"/>
        <v>0</v>
      </c>
      <c r="I62" s="71"/>
    </row>
    <row r="63" spans="1:9" ht="15.95" customHeight="1">
      <c r="A63" s="76"/>
      <c r="B63" s="95" t="s">
        <v>41</v>
      </c>
      <c r="C63" s="73"/>
      <c r="D63" s="74"/>
      <c r="E63" s="121"/>
      <c r="F63" s="267"/>
      <c r="G63" s="40"/>
      <c r="H63" s="30">
        <f>SUM(H56:H62)</f>
        <v>37000000</v>
      </c>
      <c r="I63" s="74"/>
    </row>
    <row r="64" spans="1:9" ht="15.95" customHeight="1">
      <c r="A64" s="52"/>
      <c r="B64" s="95" t="s">
        <v>48</v>
      </c>
      <c r="C64" s="73"/>
      <c r="D64" s="74"/>
      <c r="E64" s="121"/>
      <c r="F64" s="54"/>
      <c r="G64" s="139" t="s">
        <v>78</v>
      </c>
      <c r="H64" s="56">
        <v>0</v>
      </c>
      <c r="I64" s="74"/>
    </row>
    <row r="65" spans="1:11" ht="15.95" customHeight="1">
      <c r="A65" s="52"/>
      <c r="B65" s="95" t="s">
        <v>25</v>
      </c>
      <c r="C65" s="73"/>
      <c r="D65" s="74"/>
      <c r="E65" s="121"/>
      <c r="F65" s="54"/>
      <c r="G65" s="55"/>
      <c r="H65" s="115">
        <f>(H63+H55)*0.05</f>
        <v>3193835</v>
      </c>
      <c r="I65" s="73"/>
    </row>
    <row r="66" spans="1:11" ht="15.95" customHeight="1">
      <c r="A66" s="52"/>
      <c r="B66" s="95" t="s">
        <v>146</v>
      </c>
      <c r="C66" s="73"/>
      <c r="D66" s="74"/>
      <c r="E66" s="121"/>
      <c r="F66" s="54"/>
      <c r="G66" s="55"/>
      <c r="H66" s="115">
        <f>(H63+H55)*0.1</f>
        <v>6387670</v>
      </c>
      <c r="I66" s="73"/>
    </row>
    <row r="67" spans="1:11" ht="15.95" customHeight="1">
      <c r="A67" s="52"/>
      <c r="B67" s="95" t="s">
        <v>147</v>
      </c>
      <c r="C67" s="73"/>
      <c r="D67" s="74"/>
      <c r="E67" s="121"/>
      <c r="F67" s="54"/>
      <c r="G67" s="30"/>
      <c r="H67" s="40">
        <f>H55+H63+H64+H65+H66</f>
        <v>73458205</v>
      </c>
      <c r="I67" s="74"/>
      <c r="K67" s="31"/>
    </row>
    <row r="68" spans="1:11">
      <c r="A68" s="29"/>
    </row>
  </sheetData>
  <mergeCells count="3">
    <mergeCell ref="A2:B2"/>
    <mergeCell ref="A56:A62"/>
    <mergeCell ref="A3:A54"/>
  </mergeCells>
  <phoneticPr fontId="2" type="noConversion"/>
  <printOptions horizontalCentered="1"/>
  <pageMargins left="0.39370078740157483" right="0.39370078740157483" top="0.59055118110236227" bottom="0.2800000000000000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D4EB-454D-4933-AC90-29733220FA10}">
  <sheetPr codeName="Sheet6">
    <tabColor rgb="FF00B050"/>
    <pageSetUpPr fitToPage="1"/>
  </sheetPr>
  <dimension ref="A1:K55"/>
  <sheetViews>
    <sheetView zoomScale="85" zoomScaleNormal="85" workbookViewId="0">
      <pane xSplit="2" ySplit="2" topLeftCell="C3" activePane="bottomRight" state="frozen"/>
      <selection activeCell="H28" sqref="H28"/>
      <selection pane="topRight" activeCell="H28" sqref="H28"/>
      <selection pane="bottomLeft" activeCell="H28" sqref="H28"/>
      <selection pane="bottomRight" activeCell="H47" sqref="H4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10" style="28" bestFit="1" customWidth="1"/>
    <col min="12" max="16384" width="9" style="28"/>
  </cols>
  <sheetData>
    <row r="1" spans="1:11" ht="22.5" customHeight="1">
      <c r="B1" s="97" t="s">
        <v>79</v>
      </c>
      <c r="C1" s="140" t="s">
        <v>200</v>
      </c>
      <c r="F1" s="65"/>
      <c r="I1" s="28" t="s">
        <v>82</v>
      </c>
      <c r="K1" s="122"/>
    </row>
    <row r="2" spans="1:11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11" ht="15.95" customHeight="1">
      <c r="A3" s="512" t="s">
        <v>81</v>
      </c>
      <c r="B3" s="98" t="s">
        <v>37</v>
      </c>
      <c r="C3" s="68" t="s">
        <v>201</v>
      </c>
      <c r="D3" s="296" t="s">
        <v>207</v>
      </c>
      <c r="E3" s="273" t="s">
        <v>117</v>
      </c>
      <c r="F3" s="265">
        <v>4600</v>
      </c>
      <c r="G3" s="69">
        <v>5520</v>
      </c>
      <c r="H3" s="99">
        <f>IF(F3=0,G3,G3*F3)</f>
        <v>25392000</v>
      </c>
      <c r="I3" s="293" t="s">
        <v>202</v>
      </c>
    </row>
    <row r="4" spans="1:11" ht="15.95" customHeight="1">
      <c r="A4" s="514"/>
      <c r="B4" s="98"/>
      <c r="C4" s="298" t="s">
        <v>203</v>
      </c>
      <c r="D4" s="296" t="s">
        <v>204</v>
      </c>
      <c r="E4" s="296" t="s">
        <v>117</v>
      </c>
      <c r="F4" s="297">
        <v>650</v>
      </c>
      <c r="G4" s="304">
        <v>5800</v>
      </c>
      <c r="H4" s="99">
        <f>F4*G4</f>
        <v>3770000</v>
      </c>
      <c r="I4" s="70" t="s">
        <v>202</v>
      </c>
    </row>
    <row r="5" spans="1:11" ht="15.95" customHeight="1">
      <c r="A5" s="514"/>
      <c r="B5" s="98"/>
      <c r="C5" s="298" t="s">
        <v>251</v>
      </c>
      <c r="D5" s="296" t="s">
        <v>252</v>
      </c>
      <c r="E5" s="296" t="s">
        <v>253</v>
      </c>
      <c r="F5" s="297">
        <v>1500</v>
      </c>
      <c r="G5" s="304">
        <v>1770</v>
      </c>
      <c r="H5" s="99">
        <f>F5*G5</f>
        <v>2655000</v>
      </c>
      <c r="I5" s="119" t="s">
        <v>205</v>
      </c>
    </row>
    <row r="6" spans="1:11" ht="15.95" customHeight="1">
      <c r="A6" s="514"/>
      <c r="B6" s="98"/>
      <c r="C6" s="298"/>
      <c r="D6" s="296"/>
      <c r="E6" s="296"/>
      <c r="F6" s="297"/>
      <c r="G6" s="304"/>
      <c r="H6" s="99">
        <f>F6*G6</f>
        <v>0</v>
      </c>
      <c r="I6" s="70"/>
    </row>
    <row r="7" spans="1:11" ht="15.95" customHeight="1">
      <c r="A7" s="514"/>
      <c r="B7" s="98"/>
      <c r="C7" s="298"/>
      <c r="D7" s="296"/>
      <c r="E7" s="296"/>
      <c r="F7" s="297"/>
      <c r="G7" s="304"/>
      <c r="H7" s="99">
        <f>F7*G7</f>
        <v>0</v>
      </c>
      <c r="I7" s="70"/>
    </row>
    <row r="8" spans="1:11" ht="15.95" customHeight="1">
      <c r="A8" s="514"/>
      <c r="B8" s="98"/>
      <c r="C8" s="68"/>
      <c r="D8" s="273"/>
      <c r="E8" s="68"/>
      <c r="F8" s="69"/>
      <c r="G8" s="69"/>
      <c r="H8" s="99">
        <f t="shared" ref="H8:H39" si="0">IF(F8=0,G8,G8*F8)</f>
        <v>0</v>
      </c>
      <c r="I8" s="70"/>
    </row>
    <row r="9" spans="1:11" ht="15.95" customHeight="1">
      <c r="A9" s="514"/>
      <c r="B9" s="98"/>
      <c r="C9" s="113"/>
      <c r="D9" s="274"/>
      <c r="E9" s="274"/>
      <c r="F9" s="266"/>
      <c r="G9" s="114"/>
      <c r="H9" s="238">
        <f t="shared" si="0"/>
        <v>0</v>
      </c>
      <c r="I9" s="239"/>
    </row>
    <row r="10" spans="1:11" ht="15.95" customHeight="1">
      <c r="A10" s="514"/>
      <c r="B10" s="72"/>
      <c r="C10" s="242"/>
      <c r="D10" s="275"/>
      <c r="E10" s="242"/>
      <c r="F10" s="243"/>
      <c r="G10" s="243"/>
      <c r="H10" s="244">
        <f>SUM(H3:H9)</f>
        <v>31817000</v>
      </c>
      <c r="I10" s="242"/>
    </row>
    <row r="11" spans="1:11" ht="15.95" customHeight="1">
      <c r="A11" s="514"/>
      <c r="B11" s="98" t="s">
        <v>154</v>
      </c>
      <c r="C11" s="116"/>
      <c r="D11" s="272"/>
      <c r="E11" s="272"/>
      <c r="F11" s="264"/>
      <c r="G11" s="117"/>
      <c r="H11" s="118">
        <f t="shared" si="0"/>
        <v>0</v>
      </c>
      <c r="I11" s="119"/>
    </row>
    <row r="12" spans="1:11" ht="15.95" customHeight="1">
      <c r="A12" s="514"/>
      <c r="B12" s="98" t="s">
        <v>155</v>
      </c>
      <c r="C12" s="68"/>
      <c r="D12" s="273"/>
      <c r="E12" s="68"/>
      <c r="F12" s="265"/>
      <c r="G12" s="69"/>
      <c r="H12" s="99">
        <f t="shared" si="0"/>
        <v>0</v>
      </c>
      <c r="I12" s="70"/>
    </row>
    <row r="13" spans="1:11" ht="15.95" customHeight="1">
      <c r="A13" s="514"/>
      <c r="B13" s="98"/>
      <c r="C13" s="68"/>
      <c r="D13" s="273"/>
      <c r="E13" s="68"/>
      <c r="F13" s="265"/>
      <c r="G13" s="69"/>
      <c r="H13" s="99">
        <f t="shared" si="0"/>
        <v>0</v>
      </c>
      <c r="I13" s="70"/>
    </row>
    <row r="14" spans="1:11" ht="15.95" customHeight="1">
      <c r="A14" s="514"/>
      <c r="B14" s="98"/>
      <c r="C14" s="68"/>
      <c r="D14" s="273"/>
      <c r="E14" s="68"/>
      <c r="F14" s="265"/>
      <c r="G14" s="69"/>
      <c r="H14" s="99">
        <f t="shared" si="0"/>
        <v>0</v>
      </c>
      <c r="I14" s="70"/>
    </row>
    <row r="15" spans="1:11" ht="15.95" customHeight="1">
      <c r="A15" s="514"/>
      <c r="B15" s="98"/>
      <c r="C15" s="113"/>
      <c r="D15" s="274"/>
      <c r="E15" s="274"/>
      <c r="F15" s="266"/>
      <c r="G15" s="114"/>
      <c r="H15" s="99">
        <f t="shared" si="0"/>
        <v>0</v>
      </c>
      <c r="I15" s="71"/>
    </row>
    <row r="16" spans="1:11" ht="15.95" customHeight="1">
      <c r="A16" s="514"/>
      <c r="B16" s="72"/>
      <c r="C16" s="101"/>
      <c r="D16" s="120"/>
      <c r="E16" s="91"/>
      <c r="F16" s="141"/>
      <c r="G16" s="40"/>
      <c r="H16" s="30">
        <f>SUM(H11:H15)</f>
        <v>0</v>
      </c>
      <c r="I16" s="74"/>
    </row>
    <row r="17" spans="1:9" ht="15.95" customHeight="1">
      <c r="A17" s="514"/>
      <c r="B17" s="102" t="s">
        <v>38</v>
      </c>
      <c r="C17" s="298" t="s">
        <v>212</v>
      </c>
      <c r="D17" s="296" t="s">
        <v>210</v>
      </c>
      <c r="E17" s="296" t="s">
        <v>211</v>
      </c>
      <c r="F17" s="327">
        <v>250</v>
      </c>
      <c r="G17" s="304">
        <v>45000</v>
      </c>
      <c r="H17" s="62">
        <f t="shared" si="0"/>
        <v>11250000</v>
      </c>
      <c r="I17" s="75"/>
    </row>
    <row r="18" spans="1:9" ht="15.95" customHeight="1">
      <c r="A18" s="514"/>
      <c r="B18" s="98" t="s">
        <v>45</v>
      </c>
      <c r="C18" s="298"/>
      <c r="D18" s="296"/>
      <c r="E18" s="296"/>
      <c r="F18" s="327"/>
      <c r="G18" s="304"/>
      <c r="H18" s="99">
        <f t="shared" si="0"/>
        <v>0</v>
      </c>
      <c r="I18" s="303"/>
    </row>
    <row r="19" spans="1:9" ht="15.95" customHeight="1">
      <c r="A19" s="514"/>
      <c r="B19" s="98"/>
      <c r="C19" s="298"/>
      <c r="D19" s="296"/>
      <c r="E19" s="296"/>
      <c r="F19" s="327"/>
      <c r="G19" s="304"/>
      <c r="H19" s="99">
        <f t="shared" si="0"/>
        <v>0</v>
      </c>
      <c r="I19" s="303"/>
    </row>
    <row r="20" spans="1:9" ht="15.95" customHeight="1">
      <c r="A20" s="514"/>
      <c r="B20" s="98"/>
      <c r="C20" s="298"/>
      <c r="D20" s="296"/>
      <c r="E20" s="296"/>
      <c r="F20" s="327"/>
      <c r="G20" s="304"/>
      <c r="H20" s="99">
        <f t="shared" si="0"/>
        <v>0</v>
      </c>
      <c r="I20" s="303"/>
    </row>
    <row r="21" spans="1:9" ht="15.95" customHeight="1">
      <c r="A21" s="514"/>
      <c r="B21" s="98"/>
      <c r="C21" s="298"/>
      <c r="D21" s="296"/>
      <c r="E21" s="296"/>
      <c r="F21" s="327"/>
      <c r="G21" s="304"/>
      <c r="H21" s="99">
        <f t="shared" si="0"/>
        <v>0</v>
      </c>
      <c r="I21" s="303"/>
    </row>
    <row r="22" spans="1:9" ht="15.95" customHeight="1">
      <c r="A22" s="514"/>
      <c r="B22" s="98"/>
      <c r="C22" s="298"/>
      <c r="D22" s="296"/>
      <c r="E22" s="296"/>
      <c r="F22" s="327"/>
      <c r="G22" s="304"/>
      <c r="H22" s="99">
        <f t="shared" si="0"/>
        <v>0</v>
      </c>
      <c r="I22" s="303"/>
    </row>
    <row r="23" spans="1:9" ht="15.95" customHeight="1">
      <c r="A23" s="514"/>
      <c r="B23" s="98"/>
      <c r="C23" s="68"/>
      <c r="D23" s="296"/>
      <c r="E23" s="296"/>
      <c r="F23" s="297"/>
      <c r="G23" s="69"/>
      <c r="H23" s="99">
        <f t="shared" si="0"/>
        <v>0</v>
      </c>
      <c r="I23" s="70"/>
    </row>
    <row r="24" spans="1:9" ht="15.95" customHeight="1">
      <c r="A24" s="514"/>
      <c r="B24" s="98"/>
      <c r="C24" s="68"/>
      <c r="D24" s="296"/>
      <c r="E24" s="296"/>
      <c r="F24" s="297"/>
      <c r="G24" s="69"/>
      <c r="H24" s="99">
        <f t="shared" si="0"/>
        <v>0</v>
      </c>
      <c r="I24" s="70"/>
    </row>
    <row r="25" spans="1:9" ht="15.95" customHeight="1">
      <c r="A25" s="514"/>
      <c r="B25" s="98"/>
      <c r="C25" s="68"/>
      <c r="D25" s="296"/>
      <c r="E25" s="296"/>
      <c r="F25" s="297"/>
      <c r="G25" s="69"/>
      <c r="H25" s="99">
        <f t="shared" si="0"/>
        <v>0</v>
      </c>
      <c r="I25" s="70"/>
    </row>
    <row r="26" spans="1:9" ht="15.95" customHeight="1">
      <c r="A26" s="514"/>
      <c r="B26" s="98"/>
      <c r="C26" s="68"/>
      <c r="D26" s="296"/>
      <c r="E26" s="296"/>
      <c r="F26" s="297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296"/>
      <c r="E27" s="296"/>
      <c r="F27" s="297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296"/>
      <c r="E28" s="296"/>
      <c r="F28" s="297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68"/>
      <c r="D29" s="296"/>
      <c r="E29" s="296"/>
      <c r="F29" s="297"/>
      <c r="G29" s="69"/>
      <c r="H29" s="99">
        <f t="shared" si="0"/>
        <v>0</v>
      </c>
      <c r="I29" s="70"/>
    </row>
    <row r="30" spans="1:9" ht="15.95" customHeight="1">
      <c r="A30" s="514"/>
      <c r="B30" s="98"/>
      <c r="C30" s="68"/>
      <c r="D30" s="296"/>
      <c r="E30" s="296"/>
      <c r="F30" s="297"/>
      <c r="G30" s="69"/>
      <c r="H30" s="99">
        <f t="shared" si="0"/>
        <v>0</v>
      </c>
      <c r="I30" s="70"/>
    </row>
    <row r="31" spans="1:9" ht="15.95" customHeight="1">
      <c r="A31" s="514"/>
      <c r="B31" s="98"/>
      <c r="C31" s="113"/>
      <c r="D31" s="274"/>
      <c r="E31" s="274"/>
      <c r="F31" s="266"/>
      <c r="G31" s="114"/>
      <c r="H31" s="238">
        <f t="shared" si="0"/>
        <v>0</v>
      </c>
      <c r="I31" s="239"/>
    </row>
    <row r="32" spans="1:9" ht="15.95" customHeight="1">
      <c r="A32" s="514"/>
      <c r="B32" s="72"/>
      <c r="C32" s="73"/>
      <c r="D32" s="121"/>
      <c r="E32" s="74"/>
      <c r="F32" s="30"/>
      <c r="G32" s="30"/>
      <c r="H32" s="30">
        <f>SUM(H17:H31)</f>
        <v>11250000</v>
      </c>
      <c r="I32" s="74"/>
    </row>
    <row r="33" spans="1:9" ht="15.95" customHeight="1">
      <c r="A33" s="514"/>
      <c r="B33" s="102" t="s">
        <v>39</v>
      </c>
      <c r="C33" s="68" t="s">
        <v>206</v>
      </c>
      <c r="D33" s="296" t="s">
        <v>208</v>
      </c>
      <c r="E33" s="296" t="s">
        <v>209</v>
      </c>
      <c r="F33" s="297">
        <v>1</v>
      </c>
      <c r="G33" s="69">
        <v>5500000</v>
      </c>
      <c r="H33" s="99">
        <f t="shared" si="0"/>
        <v>5500000</v>
      </c>
      <c r="I33" s="75"/>
    </row>
    <row r="34" spans="1:9" ht="15.95" customHeight="1">
      <c r="A34" s="514"/>
      <c r="B34" s="98"/>
      <c r="C34" s="68"/>
      <c r="D34" s="296"/>
      <c r="E34" s="296"/>
      <c r="F34" s="297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273"/>
      <c r="F35" s="265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273"/>
      <c r="F36" s="265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296"/>
      <c r="E37" s="296"/>
      <c r="F37" s="297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296"/>
      <c r="E38" s="296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113"/>
      <c r="D39" s="113"/>
      <c r="E39" s="274"/>
      <c r="F39" s="114"/>
      <c r="G39" s="114"/>
      <c r="H39" s="104">
        <f t="shared" si="0"/>
        <v>0</v>
      </c>
      <c r="I39" s="71"/>
    </row>
    <row r="40" spans="1:9" ht="15.95" customHeight="1">
      <c r="A40" s="514"/>
      <c r="B40" s="72"/>
      <c r="C40" s="101"/>
      <c r="D40" s="91"/>
      <c r="E40" s="120"/>
      <c r="F40" s="40"/>
      <c r="G40" s="40"/>
      <c r="H40" s="30">
        <f>SUM(H33:H39)</f>
        <v>5500000</v>
      </c>
      <c r="I40" s="74"/>
    </row>
    <row r="41" spans="1:9" ht="15.95" customHeight="1">
      <c r="A41" s="76"/>
      <c r="B41" s="96" t="s">
        <v>42</v>
      </c>
      <c r="C41" s="73"/>
      <c r="D41" s="74"/>
      <c r="E41" s="121"/>
      <c r="F41" s="56"/>
      <c r="G41" s="56"/>
      <c r="H41" s="30">
        <f>SUM(H40,H32,H16,H10)</f>
        <v>48567000</v>
      </c>
      <c r="I41" s="74"/>
    </row>
    <row r="42" spans="1:9" ht="15.95" customHeight="1">
      <c r="A42" s="512" t="s">
        <v>72</v>
      </c>
      <c r="B42" s="105" t="s">
        <v>70</v>
      </c>
      <c r="C42" s="73"/>
      <c r="D42" s="74"/>
      <c r="E42" s="52" t="s">
        <v>51</v>
      </c>
      <c r="F42" s="326"/>
      <c r="G42" s="262"/>
      <c r="H42" s="53">
        <f>F42*G42</f>
        <v>0</v>
      </c>
      <c r="I42" s="74"/>
    </row>
    <row r="43" spans="1:9" ht="15.95" customHeight="1">
      <c r="A43" s="514"/>
      <c r="B43" s="106" t="s">
        <v>107</v>
      </c>
      <c r="C43" s="134"/>
      <c r="D43" s="75"/>
      <c r="E43" s="276" t="s">
        <v>50</v>
      </c>
      <c r="F43" s="322">
        <v>10</v>
      </c>
      <c r="G43" s="112">
        <v>200000</v>
      </c>
      <c r="H43" s="103">
        <f t="shared" ref="H43:H49" si="1">F43*G43</f>
        <v>2000000</v>
      </c>
      <c r="I43" s="75"/>
    </row>
    <row r="44" spans="1:9" ht="15.95" customHeight="1">
      <c r="A44" s="514"/>
      <c r="B44" s="107" t="s">
        <v>108</v>
      </c>
      <c r="C44" s="135" t="s">
        <v>213</v>
      </c>
      <c r="D44" s="70"/>
      <c r="E44" s="277" t="s">
        <v>50</v>
      </c>
      <c r="F44" s="323">
        <v>80</v>
      </c>
      <c r="G44" s="69">
        <v>200000</v>
      </c>
      <c r="H44" s="99">
        <f t="shared" si="1"/>
        <v>16000000</v>
      </c>
      <c r="I44" s="70"/>
    </row>
    <row r="45" spans="1:9" ht="15.95" customHeight="1">
      <c r="A45" s="514"/>
      <c r="B45" s="107" t="s">
        <v>109</v>
      </c>
      <c r="C45" s="135"/>
      <c r="D45" s="70"/>
      <c r="E45" s="277" t="s">
        <v>50</v>
      </c>
      <c r="F45" s="323">
        <v>60</v>
      </c>
      <c r="G45" s="69">
        <v>200000</v>
      </c>
      <c r="H45" s="99">
        <f t="shared" si="1"/>
        <v>12000000</v>
      </c>
      <c r="I45" s="70"/>
    </row>
    <row r="46" spans="1:9" ht="15.95" customHeight="1">
      <c r="A46" s="514"/>
      <c r="B46" s="107" t="s">
        <v>110</v>
      </c>
      <c r="C46" s="135"/>
      <c r="D46" s="70"/>
      <c r="E46" s="277" t="s">
        <v>50</v>
      </c>
      <c r="F46" s="323">
        <v>60</v>
      </c>
      <c r="G46" s="69">
        <v>200000</v>
      </c>
      <c r="H46" s="99">
        <f t="shared" si="1"/>
        <v>12000000</v>
      </c>
      <c r="I46" s="70"/>
    </row>
    <row r="47" spans="1:9" ht="15.95" customHeight="1">
      <c r="A47" s="514"/>
      <c r="B47" s="107" t="s">
        <v>111</v>
      </c>
      <c r="C47" s="135"/>
      <c r="D47" s="70"/>
      <c r="E47" s="277" t="s">
        <v>51</v>
      </c>
      <c r="F47" s="323">
        <v>10</v>
      </c>
      <c r="G47" s="69">
        <v>200000</v>
      </c>
      <c r="H47" s="99">
        <f t="shared" si="1"/>
        <v>2000000</v>
      </c>
      <c r="I47" s="70"/>
    </row>
    <row r="48" spans="1:9" ht="15.95" customHeight="1">
      <c r="A48" s="514"/>
      <c r="B48" s="107" t="s">
        <v>112</v>
      </c>
      <c r="C48" s="135"/>
      <c r="D48" s="70"/>
      <c r="E48" s="277"/>
      <c r="F48" s="323"/>
      <c r="G48" s="69"/>
      <c r="H48" s="99">
        <f t="shared" si="1"/>
        <v>0</v>
      </c>
      <c r="I48" s="70"/>
    </row>
    <row r="49" spans="1:9" ht="15.95" customHeight="1">
      <c r="A49" s="514"/>
      <c r="B49" s="108" t="s">
        <v>113</v>
      </c>
      <c r="C49" s="136"/>
      <c r="D49" s="71"/>
      <c r="E49" s="278" t="s">
        <v>181</v>
      </c>
      <c r="F49" s="325"/>
      <c r="G49" s="114"/>
      <c r="H49" s="104">
        <f t="shared" si="1"/>
        <v>0</v>
      </c>
      <c r="I49" s="71"/>
    </row>
    <row r="50" spans="1:9" ht="15.95" customHeight="1">
      <c r="A50" s="76"/>
      <c r="B50" s="95" t="s">
        <v>41</v>
      </c>
      <c r="C50" s="73"/>
      <c r="D50" s="74"/>
      <c r="E50" s="121"/>
      <c r="F50" s="30"/>
      <c r="G50" s="30"/>
      <c r="H50" s="30">
        <f>SUM(H42:H49)</f>
        <v>44000000</v>
      </c>
      <c r="I50" s="91"/>
    </row>
    <row r="51" spans="1:9" ht="15.95" customHeight="1">
      <c r="A51" s="52"/>
      <c r="B51" s="95" t="s">
        <v>165</v>
      </c>
      <c r="C51" s="73"/>
      <c r="D51" s="74"/>
      <c r="E51" s="121" t="s">
        <v>116</v>
      </c>
      <c r="F51" s="30"/>
      <c r="G51" s="30"/>
      <c r="H51" s="56">
        <f>'단위공사별(집계)'!L7+'단위공사별(집계)'!I7</f>
        <v>1138360.9225657659</v>
      </c>
      <c r="I51" s="74"/>
    </row>
    <row r="52" spans="1:9" ht="15.95" customHeight="1">
      <c r="A52" s="52"/>
      <c r="B52" s="95" t="s">
        <v>25</v>
      </c>
      <c r="C52" s="73"/>
      <c r="D52" s="74"/>
      <c r="E52" s="121"/>
      <c r="F52" s="30"/>
      <c r="G52" s="55"/>
      <c r="H52" s="115">
        <f>(H50+H41)*0.05</f>
        <v>4628350</v>
      </c>
      <c r="I52" s="73"/>
    </row>
    <row r="53" spans="1:9" ht="15.95" customHeight="1">
      <c r="A53" s="52"/>
      <c r="B53" s="95" t="s">
        <v>146</v>
      </c>
      <c r="C53" s="73"/>
      <c r="D53" s="74"/>
      <c r="E53" s="121"/>
      <c r="F53" s="30"/>
      <c r="G53" s="55"/>
      <c r="H53" s="115">
        <f>(H50+H41)*0.1</f>
        <v>9256700</v>
      </c>
      <c r="I53" s="73"/>
    </row>
    <row r="54" spans="1:9" ht="15.95" customHeight="1">
      <c r="A54" s="52"/>
      <c r="B54" s="95" t="s">
        <v>147</v>
      </c>
      <c r="C54" s="73"/>
      <c r="D54" s="74"/>
      <c r="E54" s="74"/>
      <c r="F54" s="30"/>
      <c r="G54" s="30"/>
      <c r="H54" s="40">
        <f>H41+H50+H51+H52+H53</f>
        <v>107590410.92256577</v>
      </c>
      <c r="I54" s="74"/>
    </row>
    <row r="55" spans="1:9">
      <c r="A55" s="29"/>
    </row>
  </sheetData>
  <mergeCells count="3">
    <mergeCell ref="A2:B2"/>
    <mergeCell ref="A42:A49"/>
    <mergeCell ref="A3:A40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2" orientation="portrait" horizontalDpi="4294967292" verticalDpi="120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F463-4E11-4C17-B34F-099217104306}">
  <sheetPr codeName="Sheet7">
    <tabColor rgb="FF00B050"/>
    <pageSetUpPr fitToPage="1"/>
  </sheetPr>
  <dimension ref="A1:I70"/>
  <sheetViews>
    <sheetView zoomScale="85" workbookViewId="0">
      <pane xSplit="2" ySplit="2" topLeftCell="C12" activePane="bottomRight" state="frozen"/>
      <selection activeCell="H28" sqref="H28"/>
      <selection pane="topRight" activeCell="H28" sqref="H28"/>
      <selection pane="bottomLeft" activeCell="H28" sqref="H28"/>
      <selection pane="bottomRight" activeCell="H61" sqref="H61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 t="s">
        <v>214</v>
      </c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68"/>
      <c r="D3" s="296"/>
      <c r="E3" s="273"/>
      <c r="F3" s="265"/>
      <c r="G3" s="69"/>
      <c r="H3" s="99">
        <f>IF(F3=0,G3,G3*F3)</f>
        <v>0</v>
      </c>
      <c r="I3" s="293"/>
    </row>
    <row r="4" spans="1:9" ht="15.95" customHeight="1">
      <c r="A4" s="514"/>
      <c r="B4" s="98"/>
      <c r="C4" s="356"/>
      <c r="D4" s="357"/>
      <c r="E4" s="357"/>
      <c r="F4" s="297"/>
      <c r="G4" s="304"/>
      <c r="H4" s="99">
        <f>F4*G4</f>
        <v>0</v>
      </c>
      <c r="I4" s="70"/>
    </row>
    <row r="5" spans="1:9" ht="15.95" customHeight="1">
      <c r="A5" s="514"/>
      <c r="B5" s="98"/>
      <c r="C5" s="68"/>
      <c r="D5" s="295"/>
      <c r="E5" s="296"/>
      <c r="F5" s="297"/>
      <c r="G5" s="304"/>
      <c r="H5" s="99">
        <f>F5*G5</f>
        <v>0</v>
      </c>
      <c r="I5" s="70"/>
    </row>
    <row r="6" spans="1:9" ht="15.95" customHeight="1">
      <c r="A6" s="514"/>
      <c r="B6" s="98"/>
      <c r="C6" s="298"/>
      <c r="D6" s="295"/>
      <c r="E6" s="296"/>
      <c r="F6" s="297"/>
      <c r="G6" s="304"/>
      <c r="H6" s="99">
        <f>F6*G6</f>
        <v>0</v>
      </c>
      <c r="I6" s="70"/>
    </row>
    <row r="7" spans="1:9" ht="15.95" customHeight="1">
      <c r="A7" s="514"/>
      <c r="B7" s="98"/>
      <c r="C7" s="298"/>
      <c r="D7" s="298"/>
      <c r="E7" s="296"/>
      <c r="F7" s="297"/>
      <c r="G7" s="304"/>
      <c r="H7" s="99">
        <f>F7*G7</f>
        <v>0</v>
      </c>
      <c r="I7" s="70"/>
    </row>
    <row r="8" spans="1:9" ht="15.95" customHeight="1">
      <c r="A8" s="514"/>
      <c r="B8" s="98"/>
      <c r="C8" s="298"/>
      <c r="D8" s="298"/>
      <c r="E8" s="296"/>
      <c r="F8" s="297"/>
      <c r="G8" s="304"/>
      <c r="H8" s="99">
        <f t="shared" ref="H8:H54" si="0">IF(F8=0,G8,G8*F8)</f>
        <v>0</v>
      </c>
      <c r="I8" s="70"/>
    </row>
    <row r="9" spans="1:9" ht="15.95" customHeight="1">
      <c r="A9" s="514"/>
      <c r="B9" s="98"/>
      <c r="C9" s="298"/>
      <c r="D9" s="298"/>
      <c r="E9" s="298"/>
      <c r="F9" s="297"/>
      <c r="G9" s="304"/>
      <c r="H9" s="99">
        <f t="shared" si="0"/>
        <v>0</v>
      </c>
      <c r="I9" s="70"/>
    </row>
    <row r="10" spans="1:9" ht="15.95" customHeight="1">
      <c r="A10" s="514"/>
      <c r="B10" s="98"/>
      <c r="C10" s="298"/>
      <c r="D10" s="298"/>
      <c r="E10" s="298"/>
      <c r="F10" s="297"/>
      <c r="G10" s="304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68"/>
      <c r="F11" s="265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68"/>
      <c r="F12" s="265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68"/>
      <c r="F13" s="265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68"/>
      <c r="F14" s="265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68"/>
      <c r="F15" s="265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68"/>
      <c r="F16" s="265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68"/>
      <c r="F17" s="265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68"/>
      <c r="F18" s="265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68"/>
      <c r="F19" s="265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68"/>
      <c r="F20" s="265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265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265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/>
      <c r="D23" s="274"/>
      <c r="E23" s="274"/>
      <c r="F23" s="266"/>
      <c r="G23" s="114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272"/>
      <c r="F25" s="264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298"/>
      <c r="D31" s="298"/>
      <c r="E31" s="296"/>
      <c r="F31" s="324"/>
      <c r="G31" s="304"/>
      <c r="H31" s="62">
        <f t="shared" ref="H31:H38" si="1">IF(F31=0,G31,G31*F31)</f>
        <v>0</v>
      </c>
      <c r="I31" s="75"/>
    </row>
    <row r="32" spans="1:9" ht="15.95" customHeight="1">
      <c r="A32" s="514"/>
      <c r="B32" s="98" t="s">
        <v>45</v>
      </c>
      <c r="C32" s="298"/>
      <c r="D32" s="298"/>
      <c r="E32" s="296"/>
      <c r="F32" s="324"/>
      <c r="G32" s="304"/>
      <c r="H32" s="99">
        <f t="shared" si="1"/>
        <v>0</v>
      </c>
      <c r="I32" s="70"/>
    </row>
    <row r="33" spans="1:9" ht="15.95" customHeight="1">
      <c r="A33" s="514"/>
      <c r="B33" s="98"/>
      <c r="C33" s="298"/>
      <c r="D33" s="298"/>
      <c r="E33" s="296"/>
      <c r="F33" s="324"/>
      <c r="G33" s="304"/>
      <c r="H33" s="99">
        <f t="shared" si="1"/>
        <v>0</v>
      </c>
      <c r="I33" s="70"/>
    </row>
    <row r="34" spans="1:9" ht="15.95" customHeight="1">
      <c r="A34" s="514"/>
      <c r="B34" s="98"/>
      <c r="C34" s="298"/>
      <c r="D34" s="298"/>
      <c r="E34" s="296"/>
      <c r="F34" s="324"/>
      <c r="G34" s="304"/>
      <c r="H34" s="99">
        <f t="shared" si="1"/>
        <v>0</v>
      </c>
      <c r="I34" s="70"/>
    </row>
    <row r="35" spans="1:9" ht="15.95" customHeight="1">
      <c r="A35" s="514"/>
      <c r="B35" s="98"/>
      <c r="C35" s="298"/>
      <c r="D35" s="298"/>
      <c r="E35" s="296"/>
      <c r="F35" s="324"/>
      <c r="G35" s="304"/>
      <c r="H35" s="99">
        <f t="shared" si="1"/>
        <v>0</v>
      </c>
      <c r="I35" s="70"/>
    </row>
    <row r="36" spans="1:9" ht="15.95" customHeight="1">
      <c r="A36" s="514"/>
      <c r="B36" s="98"/>
      <c r="C36" s="298"/>
      <c r="D36" s="298"/>
      <c r="E36" s="296"/>
      <c r="F36" s="324"/>
      <c r="G36" s="304"/>
      <c r="H36" s="99">
        <f t="shared" si="1"/>
        <v>0</v>
      </c>
      <c r="I36" s="70"/>
    </row>
    <row r="37" spans="1:9" ht="15.95" customHeight="1">
      <c r="A37" s="514"/>
      <c r="B37" s="98"/>
      <c r="C37" s="298"/>
      <c r="D37" s="298"/>
      <c r="E37" s="296"/>
      <c r="F37" s="324"/>
      <c r="G37" s="304"/>
      <c r="H37" s="99">
        <f t="shared" si="1"/>
        <v>0</v>
      </c>
      <c r="I37" s="70"/>
    </row>
    <row r="38" spans="1:9" ht="15.95" customHeight="1">
      <c r="A38" s="514"/>
      <c r="B38" s="98"/>
      <c r="C38" s="298"/>
      <c r="D38" s="298"/>
      <c r="E38" s="296"/>
      <c r="F38" s="324"/>
      <c r="G38" s="304"/>
      <c r="H38" s="99">
        <f t="shared" si="1"/>
        <v>0</v>
      </c>
      <c r="I38" s="70"/>
    </row>
    <row r="39" spans="1:9" ht="15.95" customHeight="1">
      <c r="A39" s="514"/>
      <c r="B39" s="98"/>
      <c r="C39" s="298"/>
      <c r="D39" s="298"/>
      <c r="E39" s="298"/>
      <c r="F39" s="304"/>
      <c r="G39" s="304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305"/>
      <c r="D45" s="305"/>
      <c r="E45" s="298"/>
      <c r="F45" s="306"/>
      <c r="G45" s="306"/>
      <c r="H45" s="99">
        <f t="shared" si="0"/>
        <v>0</v>
      </c>
      <c r="I45" s="70"/>
    </row>
    <row r="46" spans="1:9" ht="15.95" customHeight="1">
      <c r="A46" s="514"/>
      <c r="B46" s="98"/>
      <c r="C46" s="113"/>
      <c r="D46" s="113"/>
      <c r="E46" s="274"/>
      <c r="F46" s="266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4"/>
      <c r="B48" s="102" t="s">
        <v>39</v>
      </c>
      <c r="C48" s="68" t="s">
        <v>221</v>
      </c>
      <c r="D48" s="296" t="s">
        <v>217</v>
      </c>
      <c r="E48" s="296" t="s">
        <v>218</v>
      </c>
      <c r="F48" s="297">
        <v>8</v>
      </c>
      <c r="G48" s="69">
        <v>45000000</v>
      </c>
      <c r="H48" s="99">
        <f>IF(F48=0,G48,G48*F48)</f>
        <v>360000000</v>
      </c>
      <c r="I48" s="75" t="s">
        <v>220</v>
      </c>
    </row>
    <row r="49" spans="1:9" ht="15.95" customHeight="1">
      <c r="A49" s="514"/>
      <c r="B49" s="98"/>
      <c r="C49" s="68" t="s">
        <v>219</v>
      </c>
      <c r="D49" s="296" t="s">
        <v>217</v>
      </c>
      <c r="E49" s="296" t="s">
        <v>218</v>
      </c>
      <c r="F49" s="297">
        <v>5</v>
      </c>
      <c r="G49" s="69">
        <v>11000000</v>
      </c>
      <c r="H49" s="99">
        <f>IF(F49=0,G49,G49*F49)</f>
        <v>55000000</v>
      </c>
      <c r="I49" s="70" t="s">
        <v>222</v>
      </c>
    </row>
    <row r="50" spans="1:9" ht="15.95" customHeight="1">
      <c r="A50" s="514"/>
      <c r="B50" s="98"/>
      <c r="C50" s="68" t="s">
        <v>223</v>
      </c>
      <c r="D50" s="296" t="s">
        <v>217</v>
      </c>
      <c r="E50" s="273" t="s">
        <v>218</v>
      </c>
      <c r="F50" s="265">
        <v>1</v>
      </c>
      <c r="G50" s="69">
        <v>45000000</v>
      </c>
      <c r="H50" s="99">
        <f t="shared" si="0"/>
        <v>45000000</v>
      </c>
      <c r="I50" s="70" t="s">
        <v>224</v>
      </c>
    </row>
    <row r="51" spans="1:9" ht="15.95" customHeight="1">
      <c r="A51" s="514"/>
      <c r="B51" s="98"/>
      <c r="C51" s="68"/>
      <c r="D51" s="68"/>
      <c r="E51" s="273"/>
      <c r="F51" s="265"/>
      <c r="G51" s="69"/>
      <c r="H51" s="99">
        <f t="shared" si="0"/>
        <v>0</v>
      </c>
      <c r="I51" s="70"/>
    </row>
    <row r="52" spans="1:9" ht="15.95" customHeight="1">
      <c r="A52" s="514"/>
      <c r="B52" s="98"/>
      <c r="C52" s="68"/>
      <c r="D52" s="296"/>
      <c r="E52" s="296"/>
      <c r="F52" s="297"/>
      <c r="G52" s="69"/>
      <c r="H52" s="99">
        <f t="shared" si="0"/>
        <v>0</v>
      </c>
      <c r="I52" s="70"/>
    </row>
    <row r="53" spans="1:9" ht="15.95" customHeight="1">
      <c r="A53" s="514"/>
      <c r="B53" s="98"/>
      <c r="C53" s="68"/>
      <c r="D53" s="68"/>
      <c r="E53" s="273"/>
      <c r="F53" s="265"/>
      <c r="G53" s="69"/>
      <c r="H53" s="99">
        <f t="shared" si="0"/>
        <v>0</v>
      </c>
      <c r="I53" s="70"/>
    </row>
    <row r="54" spans="1:9" ht="15.95" customHeight="1">
      <c r="A54" s="514"/>
      <c r="B54" s="98"/>
      <c r="C54" s="113"/>
      <c r="D54" s="113"/>
      <c r="E54" s="274"/>
      <c r="F54" s="114"/>
      <c r="G54" s="114"/>
      <c r="H54" s="104">
        <f t="shared" si="0"/>
        <v>0</v>
      </c>
      <c r="I54" s="71"/>
    </row>
    <row r="55" spans="1:9" ht="15.95" customHeight="1">
      <c r="A55" s="514"/>
      <c r="B55" s="72"/>
      <c r="C55" s="101"/>
      <c r="D55" s="91"/>
      <c r="E55" s="120"/>
      <c r="F55" s="40"/>
      <c r="G55" s="40"/>
      <c r="H55" s="30">
        <f>SUM(H48:H54)</f>
        <v>460000000</v>
      </c>
      <c r="I55" s="74"/>
    </row>
    <row r="56" spans="1:9" ht="15.95" customHeight="1">
      <c r="A56" s="76"/>
      <c r="B56" s="338" t="s">
        <v>42</v>
      </c>
      <c r="C56" s="339"/>
      <c r="D56" s="293"/>
      <c r="E56" s="32"/>
      <c r="F56" s="56"/>
      <c r="G56" s="56"/>
      <c r="H56" s="56">
        <f>SUM(H55,H47,H30,H24)</f>
        <v>460000000</v>
      </c>
      <c r="I56" s="293"/>
    </row>
    <row r="57" spans="1:9" ht="15.95" customHeight="1">
      <c r="A57" s="515" t="s">
        <v>72</v>
      </c>
      <c r="B57" s="106" t="s">
        <v>70</v>
      </c>
      <c r="C57" s="134"/>
      <c r="D57" s="75"/>
      <c r="E57" s="276" t="s">
        <v>51</v>
      </c>
      <c r="F57" s="347"/>
      <c r="G57" s="112"/>
      <c r="H57" s="103">
        <f>F57*G57</f>
        <v>0</v>
      </c>
      <c r="I57" s="75"/>
    </row>
    <row r="58" spans="1:9" ht="15.95" customHeight="1">
      <c r="A58" s="514"/>
      <c r="B58" s="107" t="s">
        <v>107</v>
      </c>
      <c r="C58" s="135"/>
      <c r="D58" s="70"/>
      <c r="E58" s="277" t="s">
        <v>50</v>
      </c>
      <c r="F58" s="323">
        <v>60</v>
      </c>
      <c r="G58" s="69">
        <v>200000</v>
      </c>
      <c r="H58" s="99">
        <f t="shared" ref="H58:H64" si="2">F58*G58</f>
        <v>12000000</v>
      </c>
      <c r="I58" s="70"/>
    </row>
    <row r="59" spans="1:9" ht="15.95" customHeight="1">
      <c r="A59" s="514"/>
      <c r="B59" s="159" t="s">
        <v>108</v>
      </c>
      <c r="C59" s="135"/>
      <c r="D59" s="70"/>
      <c r="E59" s="277" t="s">
        <v>50</v>
      </c>
      <c r="F59" s="323"/>
      <c r="G59" s="69"/>
      <c r="H59" s="99">
        <f t="shared" si="2"/>
        <v>0</v>
      </c>
      <c r="I59" s="70"/>
    </row>
    <row r="60" spans="1:9" ht="15.95" customHeight="1">
      <c r="A60" s="514"/>
      <c r="B60" s="107" t="s">
        <v>109</v>
      </c>
      <c r="C60" s="135"/>
      <c r="D60" s="70"/>
      <c r="E60" s="277" t="s">
        <v>50</v>
      </c>
      <c r="F60" s="323">
        <v>90</v>
      </c>
      <c r="G60" s="69">
        <v>200000</v>
      </c>
      <c r="H60" s="99">
        <f t="shared" si="2"/>
        <v>18000000</v>
      </c>
      <c r="I60" s="70"/>
    </row>
    <row r="61" spans="1:9" ht="15.95" customHeight="1">
      <c r="A61" s="514"/>
      <c r="B61" s="107" t="s">
        <v>110</v>
      </c>
      <c r="C61" s="135"/>
      <c r="D61" s="70"/>
      <c r="E61" s="277" t="s">
        <v>50</v>
      </c>
      <c r="F61" s="323">
        <v>60</v>
      </c>
      <c r="G61" s="69">
        <v>200000</v>
      </c>
      <c r="H61" s="99">
        <f t="shared" si="2"/>
        <v>12000000</v>
      </c>
      <c r="I61" s="70"/>
    </row>
    <row r="62" spans="1:9" ht="15.95" customHeight="1">
      <c r="A62" s="514"/>
      <c r="B62" s="107" t="s">
        <v>111</v>
      </c>
      <c r="C62" s="135"/>
      <c r="D62" s="70"/>
      <c r="E62" s="277" t="s">
        <v>50</v>
      </c>
      <c r="F62" s="323">
        <v>30</v>
      </c>
      <c r="G62" s="69">
        <v>200000</v>
      </c>
      <c r="H62" s="99">
        <f t="shared" si="2"/>
        <v>6000000</v>
      </c>
      <c r="I62" s="70"/>
    </row>
    <row r="63" spans="1:9" ht="15.95" customHeight="1">
      <c r="A63" s="514"/>
      <c r="B63" s="107" t="s">
        <v>112</v>
      </c>
      <c r="C63" s="135"/>
      <c r="D63" s="70"/>
      <c r="E63" s="277" t="s">
        <v>50</v>
      </c>
      <c r="F63" s="323"/>
      <c r="G63" s="69"/>
      <c r="H63" s="99">
        <f t="shared" si="2"/>
        <v>0</v>
      </c>
      <c r="I63" s="70"/>
    </row>
    <row r="64" spans="1:9" ht="15.95" customHeight="1">
      <c r="A64" s="514"/>
      <c r="B64" s="108" t="s">
        <v>113</v>
      </c>
      <c r="C64" s="340"/>
      <c r="D64" s="239"/>
      <c r="E64" s="365" t="s">
        <v>50</v>
      </c>
      <c r="F64" s="355">
        <v>40</v>
      </c>
      <c r="G64" s="237">
        <v>300000</v>
      </c>
      <c r="H64" s="238">
        <f t="shared" si="2"/>
        <v>12000000</v>
      </c>
      <c r="I64" s="239"/>
    </row>
    <row r="65" spans="1:9" ht="15.95" customHeight="1">
      <c r="A65" s="76"/>
      <c r="B65" s="95" t="s">
        <v>41</v>
      </c>
      <c r="C65" s="73"/>
      <c r="D65" s="74"/>
      <c r="E65" s="74"/>
      <c r="F65" s="30"/>
      <c r="G65" s="30"/>
      <c r="H65" s="30">
        <f>SUM(H57:H64)</f>
        <v>60000000</v>
      </c>
      <c r="I65" s="74"/>
    </row>
    <row r="66" spans="1:9" ht="15.95" customHeight="1">
      <c r="A66" s="52"/>
      <c r="B66" s="95" t="s">
        <v>165</v>
      </c>
      <c r="C66" s="73"/>
      <c r="D66" s="74"/>
      <c r="E66" s="74"/>
      <c r="F66" s="30"/>
      <c r="G66" s="30"/>
      <c r="H66" s="56">
        <f>'단위공사별(집계)'!L8+'단위공사별(집계)'!I8</f>
        <v>6394802.4645305378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26000000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52000000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604394802.46453047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5870-8A00-41AC-AB3F-BD18E0206321}">
  <sheetPr codeName="Sheet8">
    <tabColor rgb="FF00B050"/>
    <pageSetUpPr fitToPage="1"/>
  </sheetPr>
  <dimension ref="A1:I71"/>
  <sheetViews>
    <sheetView zoomScale="85" workbookViewId="0">
      <pane xSplit="2" ySplit="2" topLeftCell="C18" activePane="bottomRight" state="frozen"/>
      <selection activeCell="H28" sqref="H28"/>
      <selection pane="topRight" activeCell="H28" sqref="H28"/>
      <selection pane="bottomLeft" activeCell="H28" sqref="H28"/>
      <selection pane="bottomRight" activeCell="H70" sqref="H70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 t="s">
        <v>225</v>
      </c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68"/>
      <c r="D3" s="296"/>
      <c r="E3" s="273"/>
      <c r="F3" s="265"/>
      <c r="G3" s="69"/>
      <c r="H3" s="99"/>
      <c r="I3" s="70" t="s">
        <v>175</v>
      </c>
    </row>
    <row r="4" spans="1:9" ht="15.95" customHeight="1">
      <c r="A4" s="514"/>
      <c r="B4" s="98"/>
      <c r="C4" s="68"/>
      <c r="D4" s="296"/>
      <c r="E4" s="273"/>
      <c r="F4" s="265"/>
      <c r="G4" s="69"/>
      <c r="H4" s="99">
        <f>IF(F4=0,G4,G4*F4)</f>
        <v>0</v>
      </c>
      <c r="I4" s="70"/>
    </row>
    <row r="5" spans="1:9" ht="15.95" customHeight="1">
      <c r="A5" s="514"/>
      <c r="B5" s="98"/>
      <c r="C5" s="68"/>
      <c r="D5" s="68"/>
      <c r="E5" s="68"/>
      <c r="F5" s="69"/>
      <c r="G5" s="69"/>
      <c r="H5" s="99">
        <f t="shared" ref="H5:H55" si="0">IF(F5=0,G5,G5*F5)</f>
        <v>0</v>
      </c>
      <c r="I5" s="70"/>
    </row>
    <row r="6" spans="1:9" ht="15.95" customHeight="1">
      <c r="A6" s="514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4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4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296"/>
      <c r="E12" s="273"/>
      <c r="F12" s="265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356"/>
      <c r="D13" s="357"/>
      <c r="E13" s="357"/>
      <c r="F13" s="358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/>
      <c r="D23" s="274"/>
      <c r="E23" s="274"/>
      <c r="F23" s="266"/>
      <c r="G23" s="114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272"/>
      <c r="F25" s="264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/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301"/>
      <c r="D31" s="301"/>
      <c r="E31" s="302"/>
      <c r="F31" s="269"/>
      <c r="G31" s="262"/>
      <c r="H31" s="103">
        <f t="shared" si="0"/>
        <v>0</v>
      </c>
      <c r="I31" s="75"/>
    </row>
    <row r="32" spans="1:9" ht="15.95" customHeight="1">
      <c r="A32" s="514"/>
      <c r="B32" s="98" t="s">
        <v>45</v>
      </c>
      <c r="C32" s="236"/>
      <c r="D32" s="68"/>
      <c r="E32" s="273"/>
      <c r="F32" s="265"/>
      <c r="G32" s="69"/>
      <c r="H32" s="99">
        <f t="shared" si="0"/>
        <v>0</v>
      </c>
      <c r="I32" s="303"/>
    </row>
    <row r="33" spans="1:9" ht="15.95" customHeight="1">
      <c r="A33" s="514"/>
      <c r="B33" s="98"/>
      <c r="C33" s="68"/>
      <c r="D33" s="68"/>
      <c r="E33" s="273"/>
      <c r="F33" s="265"/>
      <c r="G33" s="69"/>
      <c r="H33" s="99">
        <f t="shared" si="0"/>
        <v>0</v>
      </c>
      <c r="I33" s="303"/>
    </row>
    <row r="34" spans="1:9" ht="15.95" customHeight="1">
      <c r="A34" s="514"/>
      <c r="B34" s="98"/>
      <c r="C34" s="68"/>
      <c r="D34" s="298"/>
      <c r="E34" s="273"/>
      <c r="F34" s="297"/>
      <c r="G34" s="69"/>
      <c r="H34" s="99">
        <f t="shared" si="0"/>
        <v>0</v>
      </c>
      <c r="I34" s="303"/>
    </row>
    <row r="35" spans="1:9" ht="15.95" customHeight="1">
      <c r="A35" s="514"/>
      <c r="B35" s="98"/>
      <c r="C35" s="68"/>
      <c r="D35" s="298"/>
      <c r="E35" s="273"/>
      <c r="F35" s="297"/>
      <c r="G35" s="69"/>
      <c r="H35" s="99">
        <f t="shared" si="0"/>
        <v>0</v>
      </c>
      <c r="I35" s="303"/>
    </row>
    <row r="36" spans="1:9" ht="15.95" customHeight="1">
      <c r="A36" s="514"/>
      <c r="B36" s="98"/>
      <c r="C36" s="68"/>
      <c r="D36" s="298"/>
      <c r="E36" s="273"/>
      <c r="F36" s="297"/>
      <c r="G36" s="69"/>
      <c r="H36" s="99">
        <f t="shared" si="0"/>
        <v>0</v>
      </c>
      <c r="I36" s="303"/>
    </row>
    <row r="37" spans="1:9" ht="15.95" customHeight="1">
      <c r="A37" s="514"/>
      <c r="B37" s="98"/>
      <c r="C37" s="68"/>
      <c r="D37" s="298"/>
      <c r="E37" s="273"/>
      <c r="F37" s="297"/>
      <c r="G37" s="69"/>
      <c r="H37" s="99">
        <f t="shared" si="0"/>
        <v>0</v>
      </c>
      <c r="I37" s="303"/>
    </row>
    <row r="38" spans="1:9" ht="15.95" customHeight="1">
      <c r="A38" s="514"/>
      <c r="B38" s="98"/>
      <c r="C38" s="236"/>
      <c r="D38" s="236"/>
      <c r="E38" s="68"/>
      <c r="F38" s="237"/>
      <c r="G38" s="237"/>
      <c r="H38" s="99">
        <f t="shared" si="0"/>
        <v>0</v>
      </c>
      <c r="I38" s="303"/>
    </row>
    <row r="39" spans="1:9" ht="15.95" customHeight="1">
      <c r="A39" s="514"/>
      <c r="B39" s="98"/>
      <c r="C39" s="236"/>
      <c r="D39" s="236"/>
      <c r="E39" s="68"/>
      <c r="F39" s="237"/>
      <c r="G39" s="237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273"/>
      <c r="F40" s="265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298"/>
      <c r="E41" s="273"/>
      <c r="F41" s="297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298"/>
      <c r="E42" s="273"/>
      <c r="F42" s="297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298"/>
      <c r="E43" s="273"/>
      <c r="F43" s="297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236"/>
      <c r="D45" s="236"/>
      <c r="E45" s="68"/>
      <c r="F45" s="237"/>
      <c r="G45" s="237"/>
      <c r="H45" s="99">
        <f t="shared" si="0"/>
        <v>0</v>
      </c>
      <c r="I45" s="70"/>
    </row>
    <row r="46" spans="1:9" ht="15.95" customHeight="1">
      <c r="A46" s="514"/>
      <c r="B46" s="98"/>
      <c r="C46" s="113"/>
      <c r="D46" s="113"/>
      <c r="E46" s="274"/>
      <c r="F46" s="266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4"/>
      <c r="B48" s="102" t="s">
        <v>39</v>
      </c>
      <c r="C48" s="301" t="s">
        <v>226</v>
      </c>
      <c r="D48" s="302" t="s">
        <v>227</v>
      </c>
      <c r="E48" s="302" t="s">
        <v>218</v>
      </c>
      <c r="F48" s="269">
        <v>1</v>
      </c>
      <c r="G48" s="262">
        <v>102400000</v>
      </c>
      <c r="H48" s="103">
        <f t="shared" si="0"/>
        <v>102400000</v>
      </c>
      <c r="I48" s="75" t="s">
        <v>240</v>
      </c>
    </row>
    <row r="49" spans="1:9" ht="15.95" customHeight="1">
      <c r="A49" s="514"/>
      <c r="B49" s="98"/>
      <c r="C49" s="236" t="s">
        <v>228</v>
      </c>
      <c r="D49" s="273" t="s">
        <v>229</v>
      </c>
      <c r="E49" s="273" t="s">
        <v>218</v>
      </c>
      <c r="F49" s="265">
        <v>1</v>
      </c>
      <c r="G49" s="69">
        <v>59000000</v>
      </c>
      <c r="H49" s="99">
        <f t="shared" si="0"/>
        <v>59000000</v>
      </c>
      <c r="I49" s="70"/>
    </row>
    <row r="50" spans="1:9" ht="15.95" customHeight="1">
      <c r="A50" s="514"/>
      <c r="B50" s="98"/>
      <c r="C50" s="68" t="s">
        <v>230</v>
      </c>
      <c r="D50" s="273" t="s">
        <v>231</v>
      </c>
      <c r="E50" s="273" t="s">
        <v>218</v>
      </c>
      <c r="F50" s="265">
        <v>1</v>
      </c>
      <c r="G50" s="69">
        <v>124700000</v>
      </c>
      <c r="H50" s="99">
        <f t="shared" si="0"/>
        <v>124700000</v>
      </c>
      <c r="I50" s="70"/>
    </row>
    <row r="51" spans="1:9" ht="15.95" customHeight="1">
      <c r="A51" s="514"/>
      <c r="B51" s="98"/>
      <c r="C51" s="68" t="s">
        <v>232</v>
      </c>
      <c r="D51" s="296" t="s">
        <v>233</v>
      </c>
      <c r="E51" s="273" t="s">
        <v>218</v>
      </c>
      <c r="F51" s="297">
        <v>1</v>
      </c>
      <c r="G51" s="69">
        <v>348000000</v>
      </c>
      <c r="H51" s="99">
        <f t="shared" si="0"/>
        <v>348000000</v>
      </c>
      <c r="I51" s="70"/>
    </row>
    <row r="52" spans="1:9" ht="15.95" customHeight="1">
      <c r="A52" s="514"/>
      <c r="B52" s="98"/>
      <c r="C52" s="68" t="s">
        <v>234</v>
      </c>
      <c r="D52" s="296" t="s">
        <v>235</v>
      </c>
      <c r="E52" s="296" t="s">
        <v>218</v>
      </c>
      <c r="F52" s="297">
        <v>1</v>
      </c>
      <c r="G52" s="69">
        <v>65600000</v>
      </c>
      <c r="H52" s="99">
        <f t="shared" si="0"/>
        <v>65600000</v>
      </c>
      <c r="I52" s="70"/>
    </row>
    <row r="53" spans="1:9" ht="15.95" customHeight="1">
      <c r="A53" s="514"/>
      <c r="B53" s="98"/>
      <c r="C53" s="68" t="s">
        <v>236</v>
      </c>
      <c r="D53" s="273"/>
      <c r="E53" s="273" t="s">
        <v>218</v>
      </c>
      <c r="F53" s="265">
        <v>1</v>
      </c>
      <c r="G53" s="69">
        <v>16000000</v>
      </c>
      <c r="H53" s="99">
        <f t="shared" ref="H53" si="1">IF(F53=0,G53,G53*F53)</f>
        <v>16000000</v>
      </c>
      <c r="I53" s="70"/>
    </row>
    <row r="54" spans="1:9" ht="15.95" customHeight="1">
      <c r="A54" s="514"/>
      <c r="B54" s="98"/>
      <c r="C54" s="68" t="s">
        <v>237</v>
      </c>
      <c r="D54" s="68"/>
      <c r="E54" s="273" t="s">
        <v>218</v>
      </c>
      <c r="F54" s="265">
        <v>4</v>
      </c>
      <c r="G54" s="69">
        <v>3000000</v>
      </c>
      <c r="H54" s="99">
        <f t="shared" si="0"/>
        <v>12000000</v>
      </c>
      <c r="I54" s="70"/>
    </row>
    <row r="55" spans="1:9" ht="15.95" customHeight="1">
      <c r="A55" s="514"/>
      <c r="B55" s="98"/>
      <c r="C55" s="113" t="s">
        <v>238</v>
      </c>
      <c r="D55" s="113"/>
      <c r="E55" s="274" t="s">
        <v>218</v>
      </c>
      <c r="F55" s="266">
        <v>4</v>
      </c>
      <c r="G55" s="114">
        <v>1600000</v>
      </c>
      <c r="H55" s="104">
        <f t="shared" si="0"/>
        <v>6400000</v>
      </c>
      <c r="I55" s="71"/>
    </row>
    <row r="56" spans="1:9" ht="15.95" customHeight="1">
      <c r="A56" s="514"/>
      <c r="B56" s="72"/>
      <c r="C56" s="101"/>
      <c r="D56" s="91"/>
      <c r="E56" s="120"/>
      <c r="F56" s="40"/>
      <c r="G56" s="40"/>
      <c r="H56" s="30">
        <f>SUM(H48:H55)</f>
        <v>734100000</v>
      </c>
      <c r="I56" s="74"/>
    </row>
    <row r="57" spans="1:9" ht="15.95" customHeight="1">
      <c r="A57" s="76"/>
      <c r="B57" s="96" t="s">
        <v>42</v>
      </c>
      <c r="C57" s="73"/>
      <c r="D57" s="74"/>
      <c r="E57" s="121"/>
      <c r="F57" s="56"/>
      <c r="G57" s="56"/>
      <c r="H57" s="30">
        <f>SUM(H56,H47,H30,H24)</f>
        <v>734100000</v>
      </c>
      <c r="I57" s="74"/>
    </row>
    <row r="58" spans="1:9" ht="15.95" customHeight="1">
      <c r="A58" s="515" t="s">
        <v>72</v>
      </c>
      <c r="B58" s="106" t="s">
        <v>70</v>
      </c>
      <c r="C58" s="134"/>
      <c r="D58" s="75"/>
      <c r="E58" s="276" t="s">
        <v>51</v>
      </c>
      <c r="F58" s="112"/>
      <c r="G58" s="112"/>
      <c r="H58" s="103">
        <f>F58*G58</f>
        <v>0</v>
      </c>
      <c r="I58" s="75"/>
    </row>
    <row r="59" spans="1:9" ht="15.95" customHeight="1">
      <c r="A59" s="514"/>
      <c r="B59" s="107" t="s">
        <v>107</v>
      </c>
      <c r="C59" s="316"/>
      <c r="D59" s="298"/>
      <c r="E59" s="363" t="s">
        <v>50</v>
      </c>
      <c r="F59" s="323"/>
      <c r="G59" s="69"/>
      <c r="H59" s="99">
        <f t="shared" ref="H59:H65" si="2">F59*G59</f>
        <v>0</v>
      </c>
      <c r="I59" s="70"/>
    </row>
    <row r="60" spans="1:9" ht="15.95" customHeight="1">
      <c r="A60" s="514"/>
      <c r="B60" s="159" t="s">
        <v>108</v>
      </c>
      <c r="C60" s="316"/>
      <c r="D60" s="298"/>
      <c r="E60" s="363" t="s">
        <v>50</v>
      </c>
      <c r="F60" s="323"/>
      <c r="G60" s="69"/>
      <c r="H60" s="99">
        <f t="shared" si="2"/>
        <v>0</v>
      </c>
      <c r="I60" s="70"/>
    </row>
    <row r="61" spans="1:9" ht="15.95" customHeight="1">
      <c r="A61" s="514"/>
      <c r="B61" s="107" t="s">
        <v>109</v>
      </c>
      <c r="C61" s="316"/>
      <c r="D61" s="298"/>
      <c r="E61" s="363" t="s">
        <v>50</v>
      </c>
      <c r="F61" s="323"/>
      <c r="G61" s="69"/>
      <c r="H61" s="99">
        <f t="shared" si="2"/>
        <v>0</v>
      </c>
      <c r="I61" s="70"/>
    </row>
    <row r="62" spans="1:9" ht="15.95" customHeight="1">
      <c r="A62" s="514"/>
      <c r="B62" s="107" t="s">
        <v>110</v>
      </c>
      <c r="C62" s="316"/>
      <c r="D62" s="298"/>
      <c r="E62" s="363" t="s">
        <v>50</v>
      </c>
      <c r="F62" s="323">
        <v>60</v>
      </c>
      <c r="G62" s="69">
        <v>200000</v>
      </c>
      <c r="H62" s="99">
        <f t="shared" si="2"/>
        <v>12000000</v>
      </c>
      <c r="I62" s="70"/>
    </row>
    <row r="63" spans="1:9" ht="15.95" customHeight="1">
      <c r="A63" s="514"/>
      <c r="B63" s="107" t="s">
        <v>111</v>
      </c>
      <c r="C63" s="316"/>
      <c r="D63" s="298"/>
      <c r="E63" s="363" t="s">
        <v>50</v>
      </c>
      <c r="F63" s="323">
        <v>40</v>
      </c>
      <c r="G63" s="69">
        <v>200000</v>
      </c>
      <c r="H63" s="99">
        <f t="shared" si="2"/>
        <v>8000000</v>
      </c>
      <c r="I63" s="70"/>
    </row>
    <row r="64" spans="1:9" ht="15.95" customHeight="1">
      <c r="A64" s="514"/>
      <c r="B64" s="107" t="s">
        <v>112</v>
      </c>
      <c r="C64" s="316"/>
      <c r="D64" s="298"/>
      <c r="E64" s="363" t="s">
        <v>50</v>
      </c>
      <c r="F64" s="329"/>
      <c r="G64" s="69"/>
      <c r="H64" s="99">
        <f t="shared" si="2"/>
        <v>0</v>
      </c>
      <c r="I64" s="70"/>
    </row>
    <row r="65" spans="1:9" ht="15.95" customHeight="1">
      <c r="A65" s="514"/>
      <c r="B65" s="108" t="s">
        <v>113</v>
      </c>
      <c r="C65" s="318"/>
      <c r="D65" s="307"/>
      <c r="E65" s="364" t="s">
        <v>50</v>
      </c>
      <c r="F65" s="330"/>
      <c r="G65" s="114"/>
      <c r="H65" s="104">
        <f t="shared" si="2"/>
        <v>0</v>
      </c>
      <c r="I65" s="71"/>
    </row>
    <row r="66" spans="1:9" ht="15.95" customHeight="1">
      <c r="A66" s="76"/>
      <c r="B66" s="95" t="s">
        <v>41</v>
      </c>
      <c r="C66" s="73"/>
      <c r="D66" s="74"/>
      <c r="E66" s="74"/>
      <c r="F66" s="40"/>
      <c r="G66" s="40"/>
      <c r="H66" s="40">
        <f>SUM(H58:H65)</f>
        <v>20000000</v>
      </c>
      <c r="I66" s="91"/>
    </row>
    <row r="67" spans="1:9" ht="15.95" customHeight="1">
      <c r="A67" s="52"/>
      <c r="B67" s="95" t="s">
        <v>165</v>
      </c>
      <c r="C67" s="73"/>
      <c r="D67" s="74"/>
      <c r="E67" s="74"/>
      <c r="F67" s="30"/>
      <c r="G67" s="30"/>
      <c r="H67" s="56">
        <f>'단위공사별(집계)'!L9+'단위공사별(집계)'!I9</f>
        <v>9273693.3432739973</v>
      </c>
      <c r="I67" s="74"/>
    </row>
    <row r="68" spans="1:9" ht="15.95" customHeight="1">
      <c r="A68" s="52"/>
      <c r="B68" s="95" t="s">
        <v>25</v>
      </c>
      <c r="C68" s="73"/>
      <c r="D68" s="74"/>
      <c r="E68" s="74"/>
      <c r="F68" s="30"/>
      <c r="G68" s="55"/>
      <c r="H68" s="115">
        <f>(H66+H57)*0.05</f>
        <v>37705000</v>
      </c>
      <c r="I68" s="73"/>
    </row>
    <row r="69" spans="1:9" ht="15.95" customHeight="1">
      <c r="A69" s="52"/>
      <c r="B69" s="95" t="s">
        <v>146</v>
      </c>
      <c r="C69" s="73"/>
      <c r="D69" s="74"/>
      <c r="E69" s="74"/>
      <c r="F69" s="30"/>
      <c r="G69" s="55"/>
      <c r="H69" s="115">
        <f>(H66+H57)*0.1</f>
        <v>75410000</v>
      </c>
      <c r="I69" s="73"/>
    </row>
    <row r="70" spans="1:9" ht="15.95" customHeight="1">
      <c r="A70" s="52"/>
      <c r="B70" s="95" t="s">
        <v>147</v>
      </c>
      <c r="C70" s="73"/>
      <c r="D70" s="74"/>
      <c r="E70" s="74"/>
      <c r="F70" s="30"/>
      <c r="G70" s="30"/>
      <c r="H70" s="40">
        <f>H57+H66+H67+H68+H69</f>
        <v>876488693.343274</v>
      </c>
      <c r="I70" s="74"/>
    </row>
    <row r="71" spans="1:9">
      <c r="A71" s="29"/>
    </row>
  </sheetData>
  <mergeCells count="3">
    <mergeCell ref="A2:B2"/>
    <mergeCell ref="A58:A65"/>
    <mergeCell ref="A3:A56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8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BD37-F4C8-41E4-8F80-37FCDE428A86}">
  <sheetPr codeName="Sheet10">
    <tabColor rgb="FF00B050"/>
    <pageSetUpPr fitToPage="1"/>
  </sheetPr>
  <dimension ref="A1:I74"/>
  <sheetViews>
    <sheetView zoomScale="85" workbookViewId="0">
      <pane xSplit="2" ySplit="2" topLeftCell="C21" activePane="bottomRight" state="frozen"/>
      <selection activeCell="H28" sqref="H28"/>
      <selection pane="topRight" activeCell="H28" sqref="H28"/>
      <selection pane="bottomLeft" activeCell="H28" sqref="H28"/>
      <selection pane="bottomRight" activeCell="H70" sqref="H70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 t="s">
        <v>241</v>
      </c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68" t="s">
        <v>201</v>
      </c>
      <c r="D3" s="296" t="s">
        <v>215</v>
      </c>
      <c r="E3" s="273" t="s">
        <v>117</v>
      </c>
      <c r="F3" s="265">
        <v>2400</v>
      </c>
      <c r="G3" s="69">
        <v>5520</v>
      </c>
      <c r="H3" s="103">
        <f>IF(F3=0,G3,G3*F3)</f>
        <v>13248000</v>
      </c>
      <c r="I3" s="75" t="s">
        <v>202</v>
      </c>
    </row>
    <row r="4" spans="1:9" ht="15.95" customHeight="1">
      <c r="A4" s="514"/>
      <c r="B4" s="98"/>
      <c r="C4" s="298" t="s">
        <v>203</v>
      </c>
      <c r="D4" s="296" t="s">
        <v>216</v>
      </c>
      <c r="E4" s="296" t="s">
        <v>117</v>
      </c>
      <c r="F4" s="297">
        <v>220</v>
      </c>
      <c r="G4" s="304">
        <v>5800</v>
      </c>
      <c r="H4" s="99">
        <f>IF(F4=0,G4,G4*F4)</f>
        <v>1276000</v>
      </c>
      <c r="I4" s="70" t="s">
        <v>202</v>
      </c>
    </row>
    <row r="5" spans="1:9" ht="15.95" customHeight="1">
      <c r="A5" s="514"/>
      <c r="B5" s="98"/>
      <c r="C5" s="298" t="s">
        <v>251</v>
      </c>
      <c r="D5" s="296" t="s">
        <v>259</v>
      </c>
      <c r="E5" s="296" t="s">
        <v>117</v>
      </c>
      <c r="F5" s="297">
        <v>480</v>
      </c>
      <c r="G5" s="304">
        <v>1770</v>
      </c>
      <c r="H5" s="99">
        <f t="shared" ref="H5:H58" si="0">IF(F5=0,G5,G5*F5)</f>
        <v>849600</v>
      </c>
      <c r="I5" s="70" t="s">
        <v>205</v>
      </c>
    </row>
    <row r="6" spans="1:9" ht="15.95" customHeight="1">
      <c r="A6" s="514"/>
      <c r="B6" s="98"/>
      <c r="C6" s="68" t="s">
        <v>257</v>
      </c>
      <c r="D6" s="273" t="s">
        <v>258</v>
      </c>
      <c r="E6" s="273" t="s">
        <v>117</v>
      </c>
      <c r="F6" s="265">
        <v>420</v>
      </c>
      <c r="G6" s="69">
        <v>2300</v>
      </c>
      <c r="H6" s="99">
        <f t="shared" si="0"/>
        <v>966000</v>
      </c>
      <c r="I6" s="70" t="s">
        <v>202</v>
      </c>
    </row>
    <row r="7" spans="1:9" ht="15.95" customHeight="1">
      <c r="A7" s="514"/>
      <c r="B7" s="98"/>
      <c r="C7" s="298" t="s">
        <v>264</v>
      </c>
      <c r="D7" s="296" t="s">
        <v>290</v>
      </c>
      <c r="E7" s="296" t="s">
        <v>117</v>
      </c>
      <c r="F7" s="297">
        <v>480</v>
      </c>
      <c r="G7" s="304">
        <v>5800</v>
      </c>
      <c r="H7" s="99">
        <f>IF(F7=0,G7,G7*F7)</f>
        <v>2784000</v>
      </c>
      <c r="I7" s="70" t="s">
        <v>202</v>
      </c>
    </row>
    <row r="8" spans="1:9" ht="15.95" customHeight="1">
      <c r="A8" s="514"/>
      <c r="B8" s="98"/>
      <c r="C8" s="298"/>
      <c r="D8" s="273"/>
      <c r="E8" s="273"/>
      <c r="F8" s="265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273"/>
      <c r="E9" s="273"/>
      <c r="F9" s="265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273"/>
      <c r="E10" s="68"/>
      <c r="F10" s="265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273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273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273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273"/>
      <c r="F19" s="265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273"/>
      <c r="F20" s="265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273"/>
      <c r="F21" s="265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273"/>
      <c r="F22" s="265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/>
      <c r="D23" s="274"/>
      <c r="E23" s="274"/>
      <c r="F23" s="266"/>
      <c r="G23" s="114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75"/>
      <c r="F24" s="348"/>
      <c r="G24" s="243"/>
      <c r="H24" s="244">
        <f>SUM(H3:H23)</f>
        <v>19123600</v>
      </c>
      <c r="I24" s="242"/>
    </row>
    <row r="25" spans="1:9" ht="15.95" customHeight="1">
      <c r="A25" s="514"/>
      <c r="B25" s="98" t="s">
        <v>154</v>
      </c>
      <c r="C25" s="116"/>
      <c r="D25" s="116"/>
      <c r="E25" s="272"/>
      <c r="F25" s="264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273"/>
      <c r="F26" s="265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273"/>
      <c r="F27" s="265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273"/>
      <c r="F28" s="265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/>
      <c r="D29" s="113"/>
      <c r="E29" s="274"/>
      <c r="F29" s="266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120"/>
      <c r="F30" s="367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111" t="s">
        <v>260</v>
      </c>
      <c r="D31" s="111" t="s">
        <v>262</v>
      </c>
      <c r="E31" s="270" t="s">
        <v>218</v>
      </c>
      <c r="F31" s="347">
        <v>6</v>
      </c>
      <c r="G31" s="112">
        <v>3200000</v>
      </c>
      <c r="H31" s="103">
        <f t="shared" si="0"/>
        <v>19200000</v>
      </c>
      <c r="I31" s="75" t="s">
        <v>261</v>
      </c>
    </row>
    <row r="32" spans="1:9" ht="15.95" customHeight="1">
      <c r="A32" s="514"/>
      <c r="B32" s="98" t="s">
        <v>45</v>
      </c>
      <c r="C32" s="68" t="s">
        <v>267</v>
      </c>
      <c r="D32" s="68" t="s">
        <v>265</v>
      </c>
      <c r="E32" s="273" t="s">
        <v>211</v>
      </c>
      <c r="F32" s="265">
        <v>80</v>
      </c>
      <c r="G32" s="69">
        <v>4200</v>
      </c>
      <c r="H32" s="99">
        <f t="shared" ref="H32:H35" si="1">IF(F32=0,G32,G32*F32)</f>
        <v>336000</v>
      </c>
      <c r="I32" s="70" t="s">
        <v>268</v>
      </c>
    </row>
    <row r="33" spans="1:9" ht="15.95" customHeight="1">
      <c r="A33" s="514"/>
      <c r="B33" s="98"/>
      <c r="C33" s="68" t="s">
        <v>275</v>
      </c>
      <c r="D33" s="68" t="s">
        <v>276</v>
      </c>
      <c r="E33" s="273" t="s">
        <v>209</v>
      </c>
      <c r="F33" s="265">
        <v>1</v>
      </c>
      <c r="G33" s="69">
        <v>16000000</v>
      </c>
      <c r="H33" s="99">
        <f t="shared" si="1"/>
        <v>16000000</v>
      </c>
      <c r="I33" s="70" t="s">
        <v>291</v>
      </c>
    </row>
    <row r="34" spans="1:9" ht="15.95" customHeight="1">
      <c r="A34" s="514"/>
      <c r="B34" s="98"/>
      <c r="C34" s="68" t="s">
        <v>373</v>
      </c>
      <c r="D34" s="353" t="s">
        <v>372</v>
      </c>
      <c r="E34" s="273" t="s">
        <v>117</v>
      </c>
      <c r="F34" s="265">
        <v>6300</v>
      </c>
      <c r="G34" s="69">
        <v>20000</v>
      </c>
      <c r="H34" s="99">
        <f t="shared" si="1"/>
        <v>126000000</v>
      </c>
      <c r="I34" s="70" t="s">
        <v>309</v>
      </c>
    </row>
    <row r="35" spans="1:9" ht="15.95" customHeight="1">
      <c r="A35" s="514"/>
      <c r="B35" s="98"/>
      <c r="C35" s="68" t="s">
        <v>375</v>
      </c>
      <c r="D35" s="353" t="s">
        <v>376</v>
      </c>
      <c r="E35" s="273" t="s">
        <v>377</v>
      </c>
      <c r="F35" s="265">
        <v>80</v>
      </c>
      <c r="G35" s="69">
        <v>90000</v>
      </c>
      <c r="H35" s="99">
        <f t="shared" si="1"/>
        <v>7200000</v>
      </c>
      <c r="I35" s="70" t="s">
        <v>309</v>
      </c>
    </row>
    <row r="36" spans="1:9" ht="15.95" customHeight="1">
      <c r="A36" s="514"/>
      <c r="B36" s="98"/>
      <c r="C36" s="68"/>
      <c r="D36" s="353"/>
      <c r="E36" s="273"/>
      <c r="F36" s="265"/>
      <c r="G36" s="69"/>
      <c r="H36" s="99"/>
      <c r="I36" s="70"/>
    </row>
    <row r="37" spans="1:9" ht="15.95" customHeight="1">
      <c r="A37" s="514"/>
      <c r="B37" s="98"/>
      <c r="C37" s="236"/>
      <c r="D37" s="236"/>
      <c r="E37" s="273"/>
      <c r="F37" s="268"/>
      <c r="G37" s="237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273"/>
      <c r="F38" s="265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273"/>
      <c r="F39" s="265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273"/>
      <c r="F40" s="265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273"/>
      <c r="F41" s="265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273"/>
      <c r="F42" s="265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273"/>
      <c r="F43" s="265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113"/>
      <c r="D44" s="113"/>
      <c r="E44" s="274"/>
      <c r="F44" s="266"/>
      <c r="G44" s="114"/>
      <c r="H44" s="104">
        <f t="shared" si="0"/>
        <v>0</v>
      </c>
      <c r="I44" s="71"/>
    </row>
    <row r="45" spans="1:9" ht="15.95" customHeight="1">
      <c r="A45" s="514"/>
      <c r="B45" s="72"/>
      <c r="C45" s="101"/>
      <c r="D45" s="91"/>
      <c r="E45" s="120"/>
      <c r="F45" s="267"/>
      <c r="G45" s="40"/>
      <c r="H45" s="30">
        <f>SUM(H31:H44)</f>
        <v>168736000</v>
      </c>
      <c r="I45" s="74"/>
    </row>
    <row r="46" spans="1:9" ht="15.95" customHeight="1">
      <c r="A46" s="514"/>
      <c r="B46" s="102" t="s">
        <v>39</v>
      </c>
      <c r="C46" s="68" t="s">
        <v>239</v>
      </c>
      <c r="D46" s="296" t="s">
        <v>242</v>
      </c>
      <c r="E46" s="296" t="s">
        <v>218</v>
      </c>
      <c r="F46" s="297">
        <v>1</v>
      </c>
      <c r="G46" s="69">
        <v>62000000</v>
      </c>
      <c r="H46" s="103">
        <f t="shared" ref="H46" si="2">IF(F46=0,G46,G46*F46)</f>
        <v>62000000</v>
      </c>
      <c r="I46" s="75" t="s">
        <v>244</v>
      </c>
    </row>
    <row r="47" spans="1:9" ht="15.95" customHeight="1">
      <c r="A47" s="514"/>
      <c r="B47" s="98"/>
      <c r="C47" s="68" t="s">
        <v>243</v>
      </c>
      <c r="D47" s="296"/>
      <c r="E47" s="296"/>
      <c r="F47" s="297"/>
      <c r="G47" s="69"/>
      <c r="H47" s="99">
        <f t="shared" si="0"/>
        <v>0</v>
      </c>
      <c r="I47" s="70"/>
    </row>
    <row r="48" spans="1:9" ht="15.95" customHeight="1">
      <c r="A48" s="514"/>
      <c r="B48" s="98"/>
      <c r="C48" s="68" t="s">
        <v>245</v>
      </c>
      <c r="D48" s="68" t="s">
        <v>246</v>
      </c>
      <c r="E48" s="273" t="s">
        <v>218</v>
      </c>
      <c r="F48" s="265">
        <v>1</v>
      </c>
      <c r="G48" s="69">
        <v>70000000</v>
      </c>
      <c r="H48" s="99">
        <f t="shared" si="0"/>
        <v>70000000</v>
      </c>
      <c r="I48" s="70" t="s">
        <v>247</v>
      </c>
    </row>
    <row r="49" spans="1:9" ht="15.95" customHeight="1">
      <c r="A49" s="514"/>
      <c r="B49" s="98"/>
      <c r="C49" s="68" t="s">
        <v>250</v>
      </c>
      <c r="D49" s="68" t="s">
        <v>249</v>
      </c>
      <c r="E49" s="273" t="s">
        <v>209</v>
      </c>
      <c r="F49" s="265">
        <v>1</v>
      </c>
      <c r="G49" s="69">
        <v>16000000</v>
      </c>
      <c r="H49" s="99">
        <f t="shared" si="0"/>
        <v>16000000</v>
      </c>
      <c r="I49" s="70" t="s">
        <v>222</v>
      </c>
    </row>
    <row r="50" spans="1:9" ht="15.95" customHeight="1">
      <c r="A50" s="514"/>
      <c r="B50" s="98"/>
      <c r="C50" s="68" t="s">
        <v>248</v>
      </c>
      <c r="D50" s="68" t="s">
        <v>249</v>
      </c>
      <c r="E50" s="273" t="s">
        <v>209</v>
      </c>
      <c r="F50" s="265">
        <v>1</v>
      </c>
      <c r="G50" s="69">
        <v>18000000</v>
      </c>
      <c r="H50" s="99">
        <f t="shared" si="0"/>
        <v>18000000</v>
      </c>
      <c r="I50" s="70" t="s">
        <v>222</v>
      </c>
    </row>
    <row r="51" spans="1:9" ht="15.95" customHeight="1">
      <c r="A51" s="514"/>
      <c r="B51" s="98"/>
      <c r="C51" s="68" t="s">
        <v>255</v>
      </c>
      <c r="D51" s="68" t="s">
        <v>254</v>
      </c>
      <c r="E51" s="273" t="s">
        <v>218</v>
      </c>
      <c r="F51" s="265">
        <v>1</v>
      </c>
      <c r="G51" s="69">
        <v>4000000</v>
      </c>
      <c r="H51" s="99">
        <f t="shared" ref="H51:H55" si="3">IF(F51=0,G51,G51*F51)</f>
        <v>4000000</v>
      </c>
      <c r="I51" s="70" t="s">
        <v>222</v>
      </c>
    </row>
    <row r="52" spans="1:9" ht="15.95" customHeight="1">
      <c r="A52" s="514"/>
      <c r="B52" s="98"/>
      <c r="C52" s="68" t="s">
        <v>256</v>
      </c>
      <c r="D52" s="68" t="s">
        <v>254</v>
      </c>
      <c r="E52" s="273" t="s">
        <v>218</v>
      </c>
      <c r="F52" s="265">
        <v>1</v>
      </c>
      <c r="G52" s="69">
        <v>17000000</v>
      </c>
      <c r="H52" s="99">
        <f t="shared" si="3"/>
        <v>17000000</v>
      </c>
      <c r="I52" s="70" t="s">
        <v>224</v>
      </c>
    </row>
    <row r="53" spans="1:9" ht="15.95" customHeight="1">
      <c r="A53" s="514"/>
      <c r="B53" s="98"/>
      <c r="C53" s="68" t="s">
        <v>269</v>
      </c>
      <c r="D53" s="68" t="s">
        <v>272</v>
      </c>
      <c r="E53" s="273" t="s">
        <v>209</v>
      </c>
      <c r="F53" s="265">
        <v>1</v>
      </c>
      <c r="G53" s="69">
        <v>8600000</v>
      </c>
      <c r="H53" s="99">
        <f t="shared" si="3"/>
        <v>8600000</v>
      </c>
      <c r="I53" s="70" t="s">
        <v>274</v>
      </c>
    </row>
    <row r="54" spans="1:9" ht="15.95" customHeight="1">
      <c r="A54" s="514"/>
      <c r="B54" s="98"/>
      <c r="C54" s="68" t="s">
        <v>270</v>
      </c>
      <c r="D54" s="68" t="s">
        <v>273</v>
      </c>
      <c r="E54" s="273" t="s">
        <v>209</v>
      </c>
      <c r="F54" s="265">
        <v>1</v>
      </c>
      <c r="G54" s="69">
        <v>10600000</v>
      </c>
      <c r="H54" s="99">
        <f t="shared" si="3"/>
        <v>10600000</v>
      </c>
      <c r="I54" s="70" t="s">
        <v>266</v>
      </c>
    </row>
    <row r="55" spans="1:9" ht="15.95" customHeight="1">
      <c r="A55" s="514"/>
      <c r="B55" s="98"/>
      <c r="C55" s="68" t="s">
        <v>271</v>
      </c>
      <c r="D55" s="68" t="s">
        <v>273</v>
      </c>
      <c r="E55" s="273" t="s">
        <v>209</v>
      </c>
      <c r="F55" s="265">
        <v>1</v>
      </c>
      <c r="G55" s="69">
        <v>10600000</v>
      </c>
      <c r="H55" s="99">
        <f t="shared" si="3"/>
        <v>10600000</v>
      </c>
      <c r="I55" s="70" t="s">
        <v>266</v>
      </c>
    </row>
    <row r="56" spans="1:9" ht="15.95" customHeight="1">
      <c r="A56" s="514"/>
      <c r="B56" s="98"/>
      <c r="C56" s="68" t="s">
        <v>206</v>
      </c>
      <c r="D56" s="296" t="s">
        <v>263</v>
      </c>
      <c r="E56" s="296" t="s">
        <v>209</v>
      </c>
      <c r="F56" s="297">
        <v>1</v>
      </c>
      <c r="G56" s="69">
        <v>8800000</v>
      </c>
      <c r="H56" s="99">
        <f t="shared" ref="H56" si="4">IF(F56=0,G56,G56*F56)</f>
        <v>8800000</v>
      </c>
      <c r="I56" s="70"/>
    </row>
    <row r="57" spans="1:9" ht="15.95" customHeight="1">
      <c r="A57" s="514"/>
      <c r="B57" s="98"/>
      <c r="C57" s="68" t="s">
        <v>374</v>
      </c>
      <c r="D57" s="68" t="s">
        <v>372</v>
      </c>
      <c r="E57" s="273" t="s">
        <v>209</v>
      </c>
      <c r="F57" s="265">
        <v>1</v>
      </c>
      <c r="G57" s="69">
        <v>9000000</v>
      </c>
      <c r="H57" s="99">
        <f t="shared" si="0"/>
        <v>9000000</v>
      </c>
      <c r="I57" s="70"/>
    </row>
    <row r="58" spans="1:9" ht="15.95" customHeight="1">
      <c r="A58" s="514"/>
      <c r="B58" s="98"/>
      <c r="C58" s="113"/>
      <c r="D58" s="113"/>
      <c r="E58" s="274"/>
      <c r="F58" s="266"/>
      <c r="G58" s="114"/>
      <c r="H58" s="104">
        <f t="shared" si="0"/>
        <v>0</v>
      </c>
      <c r="I58" s="71"/>
    </row>
    <row r="59" spans="1:9" ht="15.95" customHeight="1">
      <c r="A59" s="514"/>
      <c r="B59" s="72"/>
      <c r="C59" s="101"/>
      <c r="D59" s="91"/>
      <c r="E59" s="91"/>
      <c r="F59" s="40"/>
      <c r="G59" s="40"/>
      <c r="H59" s="30">
        <f>SUM(H46:H58)</f>
        <v>234600000</v>
      </c>
      <c r="I59" s="74"/>
    </row>
    <row r="60" spans="1:9" ht="15.95" customHeight="1">
      <c r="A60" s="76"/>
      <c r="B60" s="96" t="s">
        <v>42</v>
      </c>
      <c r="C60" s="73"/>
      <c r="D60" s="74"/>
      <c r="E60" s="74"/>
      <c r="F60" s="56"/>
      <c r="G60" s="56"/>
      <c r="H60" s="30">
        <f>SUM(H59,H45,H30,H24)</f>
        <v>422459600</v>
      </c>
      <c r="I60" s="74"/>
    </row>
    <row r="61" spans="1:9" ht="15.95" customHeight="1">
      <c r="A61" s="515" t="s">
        <v>72</v>
      </c>
      <c r="B61" s="106" t="s">
        <v>70</v>
      </c>
      <c r="C61" s="134"/>
      <c r="D61" s="75"/>
      <c r="E61" s="106" t="s">
        <v>51</v>
      </c>
      <c r="F61" s="366"/>
      <c r="G61" s="112"/>
      <c r="H61" s="103">
        <f>F61*G61</f>
        <v>0</v>
      </c>
      <c r="I61" s="75"/>
    </row>
    <row r="62" spans="1:9" ht="15.95" customHeight="1">
      <c r="A62" s="514"/>
      <c r="B62" s="107" t="s">
        <v>107</v>
      </c>
      <c r="C62" s="135"/>
      <c r="D62" s="70"/>
      <c r="E62" s="107" t="s">
        <v>50</v>
      </c>
      <c r="F62" s="294">
        <v>40</v>
      </c>
      <c r="G62" s="69">
        <v>200000</v>
      </c>
      <c r="H62" s="99">
        <f t="shared" ref="H62:H68" si="5">F62*G62</f>
        <v>8000000</v>
      </c>
      <c r="I62" s="70"/>
    </row>
    <row r="63" spans="1:9" ht="15.95" customHeight="1">
      <c r="A63" s="514"/>
      <c r="B63" s="159" t="s">
        <v>108</v>
      </c>
      <c r="C63" s="135"/>
      <c r="D63" s="70"/>
      <c r="E63" s="107" t="s">
        <v>50</v>
      </c>
      <c r="F63" s="294">
        <v>220</v>
      </c>
      <c r="G63" s="69">
        <v>200000</v>
      </c>
      <c r="H63" s="99">
        <f t="shared" si="5"/>
        <v>44000000</v>
      </c>
      <c r="I63" s="70"/>
    </row>
    <row r="64" spans="1:9" ht="15.95" customHeight="1">
      <c r="A64" s="514"/>
      <c r="B64" s="107" t="s">
        <v>109</v>
      </c>
      <c r="C64" s="135"/>
      <c r="D64" s="70"/>
      <c r="E64" s="107" t="s">
        <v>50</v>
      </c>
      <c r="F64" s="294">
        <v>140</v>
      </c>
      <c r="G64" s="69">
        <v>200000</v>
      </c>
      <c r="H64" s="99">
        <f t="shared" si="5"/>
        <v>28000000</v>
      </c>
      <c r="I64" s="70"/>
    </row>
    <row r="65" spans="1:9" ht="15.95" customHeight="1">
      <c r="A65" s="514"/>
      <c r="B65" s="107" t="s">
        <v>110</v>
      </c>
      <c r="C65" s="135"/>
      <c r="D65" s="70"/>
      <c r="E65" s="107" t="s">
        <v>50</v>
      </c>
      <c r="F65" s="294">
        <v>130</v>
      </c>
      <c r="G65" s="69">
        <v>200000</v>
      </c>
      <c r="H65" s="99">
        <f t="shared" si="5"/>
        <v>26000000</v>
      </c>
      <c r="I65" s="70"/>
    </row>
    <row r="66" spans="1:9" ht="15.95" customHeight="1">
      <c r="A66" s="514"/>
      <c r="B66" s="107" t="s">
        <v>111</v>
      </c>
      <c r="C66" s="135"/>
      <c r="D66" s="70"/>
      <c r="E66" s="107" t="s">
        <v>50</v>
      </c>
      <c r="F66" s="294">
        <v>40</v>
      </c>
      <c r="G66" s="69">
        <v>200000</v>
      </c>
      <c r="H66" s="99">
        <f t="shared" si="5"/>
        <v>8000000</v>
      </c>
      <c r="I66" s="70"/>
    </row>
    <row r="67" spans="1:9" ht="15.95" customHeight="1">
      <c r="A67" s="514"/>
      <c r="B67" s="107" t="s">
        <v>112</v>
      </c>
      <c r="C67" s="135"/>
      <c r="D67" s="70"/>
      <c r="E67" s="107" t="s">
        <v>50</v>
      </c>
      <c r="F67" s="294"/>
      <c r="G67" s="69"/>
      <c r="H67" s="99">
        <f t="shared" si="5"/>
        <v>0</v>
      </c>
      <c r="I67" s="70"/>
    </row>
    <row r="68" spans="1:9" ht="15.95" customHeight="1">
      <c r="A68" s="514"/>
      <c r="B68" s="108" t="s">
        <v>113</v>
      </c>
      <c r="C68" s="136"/>
      <c r="D68" s="71"/>
      <c r="E68" s="108" t="s">
        <v>50</v>
      </c>
      <c r="F68" s="314">
        <v>30</v>
      </c>
      <c r="G68" s="114">
        <v>300000</v>
      </c>
      <c r="H68" s="104">
        <f t="shared" si="5"/>
        <v>9000000</v>
      </c>
      <c r="I68" s="71"/>
    </row>
    <row r="69" spans="1:9" ht="15.95" customHeight="1">
      <c r="A69" s="76"/>
      <c r="B69" s="95" t="s">
        <v>41</v>
      </c>
      <c r="C69" s="73"/>
      <c r="D69" s="74"/>
      <c r="E69" s="74"/>
      <c r="F69" s="40"/>
      <c r="G69" s="40"/>
      <c r="H69" s="40">
        <f>SUM(H61:H68)</f>
        <v>123000000</v>
      </c>
      <c r="I69" s="91"/>
    </row>
    <row r="70" spans="1:9" ht="15.95" customHeight="1">
      <c r="A70" s="52"/>
      <c r="B70" s="95" t="s">
        <v>165</v>
      </c>
      <c r="C70" s="73"/>
      <c r="D70" s="74"/>
      <c r="E70" s="74"/>
      <c r="F70" s="30"/>
      <c r="G70" s="30"/>
      <c r="H70" s="56">
        <f>'단위공사별(집계)'!I10+'단위공사별(집계)'!L10</f>
        <v>6707896.9122727718</v>
      </c>
      <c r="I70" s="74"/>
    </row>
    <row r="71" spans="1:9" ht="15.95" customHeight="1">
      <c r="A71" s="52"/>
      <c r="B71" s="95" t="s">
        <v>25</v>
      </c>
      <c r="C71" s="73"/>
      <c r="D71" s="74"/>
      <c r="E71" s="74"/>
      <c r="F71" s="30"/>
      <c r="G71" s="55"/>
      <c r="H71" s="115">
        <f>(H69+H60)*0.05</f>
        <v>27272980</v>
      </c>
      <c r="I71" s="73"/>
    </row>
    <row r="72" spans="1:9" ht="15.95" customHeight="1">
      <c r="A72" s="52"/>
      <c r="B72" s="95" t="s">
        <v>146</v>
      </c>
      <c r="C72" s="73"/>
      <c r="D72" s="74"/>
      <c r="E72" s="74"/>
      <c r="F72" s="30"/>
      <c r="G72" s="55"/>
      <c r="H72" s="115">
        <f>(H69+H60)*0.1</f>
        <v>54545960</v>
      </c>
      <c r="I72" s="73"/>
    </row>
    <row r="73" spans="1:9" ht="15.95" customHeight="1">
      <c r="A73" s="52"/>
      <c r="B73" s="95" t="s">
        <v>147</v>
      </c>
      <c r="C73" s="73"/>
      <c r="D73" s="74"/>
      <c r="E73" s="74"/>
      <c r="F73" s="30"/>
      <c r="G73" s="30"/>
      <c r="H73" s="40">
        <f>H60+H69+H70+H71+H72</f>
        <v>633986436.91227281</v>
      </c>
      <c r="I73" s="74"/>
    </row>
    <row r="74" spans="1:9">
      <c r="A74" s="29"/>
    </row>
  </sheetData>
  <mergeCells count="3">
    <mergeCell ref="A2:B2"/>
    <mergeCell ref="A61:A68"/>
    <mergeCell ref="A3:A59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5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56A6-CD9C-48CA-9853-E4418E038404}">
  <sheetPr codeName="Sheet9">
    <tabColor rgb="FF00B050"/>
    <pageSetUpPr fitToPage="1"/>
  </sheetPr>
  <dimension ref="A1:K69"/>
  <sheetViews>
    <sheetView zoomScale="85" zoomScaleNormal="85" workbookViewId="0">
      <pane xSplit="2" ySplit="2" topLeftCell="C21" activePane="bottomRight" state="frozen"/>
      <selection activeCell="H28" sqref="H28"/>
      <selection pane="topRight" activeCell="H28" sqref="H28"/>
      <selection pane="bottomLeft" activeCell="H28" sqref="H28"/>
      <selection pane="bottomRight" activeCell="H65" sqref="H65"/>
    </sheetView>
  </sheetViews>
  <sheetFormatPr defaultRowHeight="13.5"/>
  <cols>
    <col min="1" max="1" width="5" style="28" customWidth="1"/>
    <col min="2" max="2" width="17.875" style="28" bestFit="1" customWidth="1"/>
    <col min="3" max="3" width="30.25" style="28" customWidth="1"/>
    <col min="4" max="4" width="14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11" ht="22.5" customHeight="1">
      <c r="B1" s="97" t="s">
        <v>80</v>
      </c>
      <c r="C1" s="140" t="s">
        <v>277</v>
      </c>
      <c r="F1" s="65"/>
      <c r="I1" s="28" t="s">
        <v>82</v>
      </c>
    </row>
    <row r="2" spans="1:11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11" ht="15.95" customHeight="1">
      <c r="A3" s="512" t="s">
        <v>81</v>
      </c>
      <c r="B3" s="98" t="s">
        <v>37</v>
      </c>
      <c r="C3" s="317"/>
      <c r="D3" s="309"/>
      <c r="E3" s="310"/>
      <c r="F3" s="311"/>
      <c r="G3" s="311"/>
      <c r="H3" s="103">
        <f>IF(F3=0,G3,G3*F3)</f>
        <v>0</v>
      </c>
      <c r="I3" s="75"/>
    </row>
    <row r="4" spans="1:11" ht="15.95" customHeight="1">
      <c r="A4" s="514"/>
      <c r="B4" s="98"/>
      <c r="C4" s="317"/>
      <c r="D4" s="309"/>
      <c r="E4" s="310"/>
      <c r="F4" s="311"/>
      <c r="G4" s="311"/>
      <c r="H4" s="99">
        <f>IF(F4=0,G4,G4*F4)</f>
        <v>0</v>
      </c>
      <c r="I4" s="70"/>
    </row>
    <row r="5" spans="1:11" ht="15.95" customHeight="1">
      <c r="A5" s="514"/>
      <c r="B5" s="98"/>
      <c r="C5" s="317"/>
      <c r="D5" s="309"/>
      <c r="E5" s="310"/>
      <c r="F5" s="311"/>
      <c r="G5" s="311"/>
      <c r="H5" s="99">
        <f t="shared" ref="H5:H53" si="0">IF(F5=0,G5,G5*F5)</f>
        <v>0</v>
      </c>
      <c r="I5" s="70"/>
    </row>
    <row r="6" spans="1:11" ht="15.95" customHeight="1">
      <c r="A6" s="514"/>
      <c r="B6" s="98"/>
      <c r="C6" s="317"/>
      <c r="D6" s="309"/>
      <c r="E6" s="310"/>
      <c r="F6" s="311"/>
      <c r="G6" s="311"/>
      <c r="H6" s="99">
        <f t="shared" si="0"/>
        <v>0</v>
      </c>
      <c r="I6" s="70"/>
    </row>
    <row r="7" spans="1:11" ht="15.95" customHeight="1">
      <c r="A7" s="514"/>
      <c r="B7" s="98"/>
      <c r="C7" s="317"/>
      <c r="D7" s="309"/>
      <c r="E7" s="310"/>
      <c r="F7" s="311"/>
      <c r="G7" s="311"/>
      <c r="H7" s="99">
        <f t="shared" si="0"/>
        <v>0</v>
      </c>
      <c r="I7" s="70"/>
    </row>
    <row r="8" spans="1:11" ht="15.95" customHeight="1">
      <c r="A8" s="514"/>
      <c r="B8" s="98"/>
      <c r="C8" s="317"/>
      <c r="D8" s="309"/>
      <c r="E8" s="310"/>
      <c r="F8" s="311"/>
      <c r="G8" s="311"/>
      <c r="H8" s="99">
        <f t="shared" si="0"/>
        <v>0</v>
      </c>
      <c r="I8" s="70"/>
    </row>
    <row r="9" spans="1:11" ht="15.95" customHeight="1">
      <c r="A9" s="514"/>
      <c r="B9" s="98"/>
      <c r="C9" s="317"/>
      <c r="D9" s="309"/>
      <c r="E9" s="310"/>
      <c r="F9" s="311"/>
      <c r="G9" s="311"/>
      <c r="H9" s="99">
        <f t="shared" si="0"/>
        <v>0</v>
      </c>
      <c r="I9" s="70"/>
    </row>
    <row r="10" spans="1:11" ht="15.95" customHeight="1">
      <c r="A10" s="514"/>
      <c r="B10" s="98"/>
      <c r="C10" s="317"/>
      <c r="D10" s="298"/>
      <c r="E10" s="298"/>
      <c r="F10" s="69"/>
      <c r="G10" s="69"/>
      <c r="H10" s="99">
        <f t="shared" si="0"/>
        <v>0</v>
      </c>
      <c r="I10" s="70"/>
    </row>
    <row r="11" spans="1:11" ht="15.95" customHeight="1">
      <c r="A11" s="514"/>
      <c r="B11" s="98"/>
      <c r="C11" s="298"/>
      <c r="D11" s="298"/>
      <c r="E11" s="298"/>
      <c r="F11" s="69"/>
      <c r="G11" s="69"/>
      <c r="H11" s="99">
        <f t="shared" si="0"/>
        <v>0</v>
      </c>
      <c r="I11" s="70"/>
    </row>
    <row r="12" spans="1:11" ht="15.95" customHeight="1">
      <c r="A12" s="514"/>
      <c r="B12" s="98"/>
      <c r="C12" s="298"/>
      <c r="D12" s="298"/>
      <c r="E12" s="298"/>
      <c r="F12" s="69"/>
      <c r="G12" s="69"/>
      <c r="H12" s="99">
        <f t="shared" si="0"/>
        <v>0</v>
      </c>
      <c r="I12" s="70"/>
    </row>
    <row r="13" spans="1:11" ht="15.95" customHeight="1">
      <c r="A13" s="514"/>
      <c r="B13" s="98"/>
      <c r="C13" s="298"/>
      <c r="D13" s="298"/>
      <c r="E13" s="298"/>
      <c r="F13" s="69"/>
      <c r="G13" s="69"/>
      <c r="H13" s="99">
        <f t="shared" si="0"/>
        <v>0</v>
      </c>
      <c r="I13" s="70"/>
    </row>
    <row r="14" spans="1:11" ht="15.95" customHeight="1">
      <c r="A14" s="514"/>
      <c r="B14" s="98"/>
      <c r="C14" s="298"/>
      <c r="D14" s="298"/>
      <c r="E14" s="298"/>
      <c r="F14" s="69"/>
      <c r="G14" s="69"/>
      <c r="H14" s="99">
        <f t="shared" si="0"/>
        <v>0</v>
      </c>
      <c r="I14" s="70"/>
      <c r="K14" s="313"/>
    </row>
    <row r="15" spans="1:11" ht="15.95" customHeight="1">
      <c r="A15" s="514"/>
      <c r="B15" s="98"/>
      <c r="C15" s="298"/>
      <c r="D15" s="298"/>
      <c r="E15" s="298"/>
      <c r="F15" s="69"/>
      <c r="G15" s="69"/>
      <c r="H15" s="99">
        <f t="shared" si="0"/>
        <v>0</v>
      </c>
      <c r="I15" s="70"/>
    </row>
    <row r="16" spans="1:11" ht="15.95" customHeight="1">
      <c r="A16" s="514"/>
      <c r="B16" s="98"/>
      <c r="C16" s="298"/>
      <c r="D16" s="298"/>
      <c r="E16" s="298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298"/>
      <c r="D17" s="298"/>
      <c r="E17" s="298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298"/>
      <c r="D18" s="298"/>
      <c r="E18" s="298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298"/>
      <c r="D19" s="298"/>
      <c r="E19" s="298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113"/>
      <c r="D22" s="274"/>
      <c r="E22" s="274"/>
      <c r="F22" s="266"/>
      <c r="G22" s="114"/>
      <c r="H22" s="238">
        <f t="shared" si="0"/>
        <v>0</v>
      </c>
      <c r="I22" s="239"/>
    </row>
    <row r="23" spans="1:9" ht="15.95" customHeight="1">
      <c r="A23" s="514"/>
      <c r="B23" s="72"/>
      <c r="C23" s="242"/>
      <c r="D23" s="242"/>
      <c r="E23" s="242"/>
      <c r="F23" s="243"/>
      <c r="G23" s="243"/>
      <c r="H23" s="244">
        <f>SUM(H3:H22)</f>
        <v>0</v>
      </c>
      <c r="I23" s="242"/>
    </row>
    <row r="24" spans="1:9" ht="15.95" customHeight="1">
      <c r="A24" s="514"/>
      <c r="B24" s="98" t="s">
        <v>154</v>
      </c>
      <c r="C24" s="116"/>
      <c r="D24" s="116"/>
      <c r="E24" s="116"/>
      <c r="F24" s="117"/>
      <c r="G24" s="117"/>
      <c r="H24" s="118">
        <f t="shared" si="0"/>
        <v>0</v>
      </c>
      <c r="I24" s="119"/>
    </row>
    <row r="25" spans="1:9" ht="15.95" customHeight="1">
      <c r="A25" s="514"/>
      <c r="B25" s="98" t="s">
        <v>155</v>
      </c>
      <c r="C25" s="68"/>
      <c r="D25" s="68"/>
      <c r="E25" s="68"/>
      <c r="F25" s="69"/>
      <c r="G25" s="69"/>
      <c r="H25" s="99">
        <f t="shared" si="0"/>
        <v>0</v>
      </c>
      <c r="I25" s="70"/>
    </row>
    <row r="26" spans="1:9" ht="15.95" customHeight="1">
      <c r="A26" s="514"/>
      <c r="B26" s="98"/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113"/>
      <c r="D28" s="113"/>
      <c r="E28" s="113"/>
      <c r="F28" s="114"/>
      <c r="G28" s="114"/>
      <c r="H28" s="99">
        <f t="shared" si="0"/>
        <v>0</v>
      </c>
      <c r="I28" s="71"/>
    </row>
    <row r="29" spans="1:9" ht="15.95" customHeight="1">
      <c r="A29" s="514"/>
      <c r="B29" s="72"/>
      <c r="C29" s="101"/>
      <c r="D29" s="91"/>
      <c r="E29" s="91"/>
      <c r="F29" s="141"/>
      <c r="G29" s="40"/>
      <c r="H29" s="30">
        <f>SUM(H24:H28)</f>
        <v>0</v>
      </c>
      <c r="I29" s="74"/>
    </row>
    <row r="30" spans="1:9" ht="15.95" customHeight="1">
      <c r="A30" s="514"/>
      <c r="B30" s="102" t="s">
        <v>38</v>
      </c>
      <c r="C30" s="308"/>
      <c r="D30" s="309"/>
      <c r="E30" s="310"/>
      <c r="F30" s="311"/>
      <c r="G30" s="311"/>
      <c r="H30" s="103">
        <f t="shared" si="0"/>
        <v>0</v>
      </c>
      <c r="I30" s="75"/>
    </row>
    <row r="31" spans="1:9" ht="15.95" customHeight="1">
      <c r="A31" s="514"/>
      <c r="B31" s="98" t="s">
        <v>45</v>
      </c>
      <c r="C31" s="68"/>
      <c r="D31" s="68"/>
      <c r="E31" s="273"/>
      <c r="F31" s="69"/>
      <c r="G31" s="69"/>
      <c r="H31" s="99">
        <f t="shared" si="0"/>
        <v>0</v>
      </c>
      <c r="I31" s="70"/>
    </row>
    <row r="32" spans="1:9" ht="15.95" customHeight="1">
      <c r="A32" s="514"/>
      <c r="B32" s="98"/>
      <c r="C32" s="68"/>
      <c r="D32" s="68"/>
      <c r="E32" s="273"/>
      <c r="F32" s="69"/>
      <c r="G32" s="69"/>
      <c r="H32" s="99">
        <f t="shared" si="0"/>
        <v>0</v>
      </c>
      <c r="I32" s="70"/>
    </row>
    <row r="33" spans="1:9" ht="15.95" customHeight="1">
      <c r="A33" s="514"/>
      <c r="B33" s="98"/>
      <c r="C33" s="68"/>
      <c r="D33" s="68"/>
      <c r="E33" s="273"/>
      <c r="F33" s="69"/>
      <c r="G33" s="69"/>
      <c r="H33" s="99">
        <f t="shared" si="0"/>
        <v>0</v>
      </c>
      <c r="I33" s="70"/>
    </row>
    <row r="34" spans="1:9" ht="15.95" customHeight="1">
      <c r="A34" s="514"/>
      <c r="B34" s="98"/>
      <c r="C34" s="68"/>
      <c r="D34" s="68"/>
      <c r="E34" s="273"/>
      <c r="F34" s="69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273"/>
      <c r="F35" s="69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273"/>
      <c r="F36" s="69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68"/>
      <c r="E37" s="273"/>
      <c r="F37" s="69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273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273"/>
      <c r="F39" s="69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273"/>
      <c r="F40" s="265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273"/>
      <c r="F41" s="265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273"/>
      <c r="F42" s="265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273"/>
      <c r="F43" s="265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273"/>
      <c r="F44" s="265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113"/>
      <c r="D45" s="274"/>
      <c r="E45" s="274"/>
      <c r="F45" s="266"/>
      <c r="G45" s="114"/>
      <c r="H45" s="104">
        <f t="shared" si="0"/>
        <v>0</v>
      </c>
      <c r="I45" s="71"/>
    </row>
    <row r="46" spans="1:9" ht="15.95" customHeight="1">
      <c r="A46" s="514"/>
      <c r="B46" s="72"/>
      <c r="C46" s="101"/>
      <c r="D46" s="91"/>
      <c r="E46" s="120"/>
      <c r="F46" s="267"/>
      <c r="G46" s="40"/>
      <c r="H46" s="30">
        <f>SUM(H30:H45)</f>
        <v>0</v>
      </c>
      <c r="I46" s="74"/>
    </row>
    <row r="47" spans="1:9" ht="15.95" customHeight="1">
      <c r="A47" s="514"/>
      <c r="B47" s="102" t="s">
        <v>39</v>
      </c>
      <c r="C47" s="68" t="s">
        <v>278</v>
      </c>
      <c r="D47" s="296"/>
      <c r="E47" s="296" t="s">
        <v>218</v>
      </c>
      <c r="F47" s="297">
        <v>1</v>
      </c>
      <c r="G47" s="69">
        <v>15000000</v>
      </c>
      <c r="H47" s="103">
        <f t="shared" si="0"/>
        <v>15000000</v>
      </c>
      <c r="I47" s="75"/>
    </row>
    <row r="48" spans="1:9" ht="15.95" customHeight="1">
      <c r="A48" s="514"/>
      <c r="B48" s="98"/>
      <c r="C48" s="68" t="s">
        <v>279</v>
      </c>
      <c r="D48" s="312"/>
      <c r="E48" s="296" t="s">
        <v>218</v>
      </c>
      <c r="F48" s="297">
        <v>1</v>
      </c>
      <c r="G48" s="69">
        <v>600000</v>
      </c>
      <c r="H48" s="99">
        <f t="shared" si="0"/>
        <v>600000</v>
      </c>
      <c r="I48" s="70"/>
    </row>
    <row r="49" spans="1:9" ht="15.95" customHeight="1">
      <c r="A49" s="514"/>
      <c r="B49" s="98"/>
      <c r="C49" s="68" t="s">
        <v>280</v>
      </c>
      <c r="D49" s="296"/>
      <c r="E49" s="296" t="s">
        <v>218</v>
      </c>
      <c r="F49" s="297">
        <v>1</v>
      </c>
      <c r="G49" s="69">
        <v>25000000</v>
      </c>
      <c r="H49" s="99">
        <f t="shared" si="0"/>
        <v>25000000</v>
      </c>
      <c r="I49" s="70"/>
    </row>
    <row r="50" spans="1:9" ht="15.95" customHeight="1">
      <c r="A50" s="514"/>
      <c r="B50" s="98"/>
      <c r="C50" s="68" t="s">
        <v>281</v>
      </c>
      <c r="D50" s="68"/>
      <c r="E50" s="273" t="s">
        <v>218</v>
      </c>
      <c r="F50" s="265">
        <v>1</v>
      </c>
      <c r="G50" s="69">
        <v>9000000</v>
      </c>
      <c r="H50" s="99">
        <f t="shared" si="0"/>
        <v>9000000</v>
      </c>
      <c r="I50" s="70"/>
    </row>
    <row r="51" spans="1:9" ht="15.95" customHeight="1">
      <c r="A51" s="514"/>
      <c r="B51" s="98"/>
      <c r="C51" s="68" t="s">
        <v>282</v>
      </c>
      <c r="D51" s="68" t="s">
        <v>285</v>
      </c>
      <c r="E51" s="273" t="s">
        <v>218</v>
      </c>
      <c r="F51" s="265">
        <v>1</v>
      </c>
      <c r="G51" s="69">
        <v>9800000</v>
      </c>
      <c r="H51" s="99">
        <f t="shared" si="0"/>
        <v>9800000</v>
      </c>
      <c r="I51" s="70"/>
    </row>
    <row r="52" spans="1:9" ht="15.95" customHeight="1">
      <c r="A52" s="514"/>
      <c r="B52" s="98"/>
      <c r="C52" s="68" t="s">
        <v>283</v>
      </c>
      <c r="D52" s="68" t="s">
        <v>284</v>
      </c>
      <c r="E52" s="273" t="s">
        <v>218</v>
      </c>
      <c r="F52" s="265">
        <v>1</v>
      </c>
      <c r="G52" s="69">
        <v>4000000</v>
      </c>
      <c r="H52" s="99">
        <f t="shared" si="0"/>
        <v>4000000</v>
      </c>
      <c r="I52" s="70"/>
    </row>
    <row r="53" spans="1:9" ht="15.95" customHeight="1">
      <c r="A53" s="514"/>
      <c r="B53" s="98"/>
      <c r="C53" s="113"/>
      <c r="D53" s="113"/>
      <c r="E53" s="113"/>
      <c r="F53" s="266"/>
      <c r="G53" s="114"/>
      <c r="H53" s="104">
        <f t="shared" si="0"/>
        <v>0</v>
      </c>
      <c r="I53" s="71"/>
    </row>
    <row r="54" spans="1:9" ht="15.95" customHeight="1">
      <c r="A54" s="514"/>
      <c r="B54" s="72"/>
      <c r="C54" s="101"/>
      <c r="D54" s="91"/>
      <c r="E54" s="91"/>
      <c r="F54" s="40"/>
      <c r="G54" s="40"/>
      <c r="H54" s="30">
        <f>SUM(H47:H53)</f>
        <v>63400000</v>
      </c>
      <c r="I54" s="74"/>
    </row>
    <row r="55" spans="1:9" ht="15.95" customHeight="1">
      <c r="A55" s="76"/>
      <c r="B55" s="96" t="s">
        <v>42</v>
      </c>
      <c r="C55" s="73"/>
      <c r="D55" s="74"/>
      <c r="E55" s="74"/>
      <c r="F55" s="56"/>
      <c r="G55" s="56"/>
      <c r="H55" s="30">
        <f>SUM(H54,H46,H29,H23)</f>
        <v>63400000</v>
      </c>
      <c r="I55" s="74"/>
    </row>
    <row r="56" spans="1:9" ht="15.95" customHeight="1">
      <c r="A56" s="515" t="s">
        <v>72</v>
      </c>
      <c r="B56" s="106" t="s">
        <v>70</v>
      </c>
      <c r="C56" s="134"/>
      <c r="D56" s="75"/>
      <c r="E56" s="106" t="s">
        <v>51</v>
      </c>
      <c r="F56" s="112"/>
      <c r="G56" s="112"/>
      <c r="H56" s="103">
        <f>F56*G56</f>
        <v>0</v>
      </c>
      <c r="I56" s="75"/>
    </row>
    <row r="57" spans="1:9" ht="15.95" customHeight="1">
      <c r="A57" s="514"/>
      <c r="B57" s="107" t="s">
        <v>107</v>
      </c>
      <c r="C57" s="135"/>
      <c r="D57" s="70"/>
      <c r="E57" s="107" t="s">
        <v>50</v>
      </c>
      <c r="F57" s="69"/>
      <c r="G57" s="69"/>
      <c r="H57" s="99">
        <f t="shared" ref="H57:H63" si="1">F57*G57</f>
        <v>0</v>
      </c>
      <c r="I57" s="70"/>
    </row>
    <row r="58" spans="1:9" ht="15.95" customHeight="1">
      <c r="A58" s="514"/>
      <c r="B58" s="159" t="s">
        <v>108</v>
      </c>
      <c r="C58" s="135"/>
      <c r="D58" s="70"/>
      <c r="E58" s="107" t="s">
        <v>50</v>
      </c>
      <c r="F58" s="319"/>
      <c r="G58" s="69"/>
      <c r="H58" s="99">
        <f t="shared" si="1"/>
        <v>0</v>
      </c>
      <c r="I58" s="70"/>
    </row>
    <row r="59" spans="1:9" ht="15.95" customHeight="1">
      <c r="A59" s="514"/>
      <c r="B59" s="107" t="s">
        <v>109</v>
      </c>
      <c r="C59" s="135"/>
      <c r="D59" s="70"/>
      <c r="E59" s="107" t="s">
        <v>50</v>
      </c>
      <c r="F59" s="319"/>
      <c r="G59" s="69"/>
      <c r="H59" s="99">
        <f t="shared" si="1"/>
        <v>0</v>
      </c>
      <c r="I59" s="70"/>
    </row>
    <row r="60" spans="1:9" ht="15.95" customHeight="1">
      <c r="A60" s="514"/>
      <c r="B60" s="107" t="s">
        <v>110</v>
      </c>
      <c r="C60" s="135"/>
      <c r="D60" s="70"/>
      <c r="E60" s="107" t="s">
        <v>50</v>
      </c>
      <c r="F60" s="319">
        <v>30</v>
      </c>
      <c r="G60" s="69">
        <v>200000</v>
      </c>
      <c r="H60" s="99">
        <f t="shared" si="1"/>
        <v>6000000</v>
      </c>
      <c r="I60" s="70"/>
    </row>
    <row r="61" spans="1:9" ht="15.95" customHeight="1">
      <c r="A61" s="514"/>
      <c r="B61" s="107" t="s">
        <v>111</v>
      </c>
      <c r="C61" s="135"/>
      <c r="D61" s="70"/>
      <c r="E61" s="107" t="s">
        <v>50</v>
      </c>
      <c r="F61" s="319">
        <v>30</v>
      </c>
      <c r="G61" s="69">
        <v>200000</v>
      </c>
      <c r="H61" s="99">
        <f t="shared" si="1"/>
        <v>6000000</v>
      </c>
      <c r="I61" s="70"/>
    </row>
    <row r="62" spans="1:9" ht="15.95" customHeight="1">
      <c r="A62" s="514"/>
      <c r="B62" s="107" t="s">
        <v>112</v>
      </c>
      <c r="C62" s="135"/>
      <c r="D62" s="70"/>
      <c r="E62" s="107" t="s">
        <v>50</v>
      </c>
      <c r="F62" s="319"/>
      <c r="G62" s="69"/>
      <c r="H62" s="99">
        <f t="shared" si="1"/>
        <v>0</v>
      </c>
      <c r="I62" s="70"/>
    </row>
    <row r="63" spans="1:9" ht="15.95" customHeight="1">
      <c r="A63" s="514"/>
      <c r="B63" s="108" t="s">
        <v>176</v>
      </c>
      <c r="C63" s="136"/>
      <c r="D63" s="71"/>
      <c r="E63" s="108" t="s">
        <v>50</v>
      </c>
      <c r="F63" s="320"/>
      <c r="G63" s="114"/>
      <c r="H63" s="104">
        <f t="shared" si="1"/>
        <v>0</v>
      </c>
      <c r="I63" s="71"/>
    </row>
    <row r="64" spans="1:9" ht="15.95" customHeight="1">
      <c r="A64" s="76"/>
      <c r="B64" s="95" t="s">
        <v>41</v>
      </c>
      <c r="C64" s="73"/>
      <c r="D64" s="74"/>
      <c r="E64" s="74"/>
      <c r="F64" s="40"/>
      <c r="G64" s="40"/>
      <c r="H64" s="40">
        <f>SUM(H56:H63)</f>
        <v>12000000</v>
      </c>
      <c r="I64" s="91"/>
    </row>
    <row r="65" spans="1:9" ht="15.95" customHeight="1">
      <c r="A65" s="52"/>
      <c r="B65" s="95" t="s">
        <v>165</v>
      </c>
      <c r="C65" s="73"/>
      <c r="D65" s="74"/>
      <c r="E65" s="74"/>
      <c r="F65" s="30"/>
      <c r="G65" s="30"/>
      <c r="H65" s="56">
        <f>'단위공사별(집계)'!L11+'단위공사별(집계)'!I11</f>
        <v>927246.35735692794</v>
      </c>
      <c r="I65" s="74"/>
    </row>
    <row r="66" spans="1:9" ht="15.95" customHeight="1">
      <c r="A66" s="52"/>
      <c r="B66" s="95" t="s">
        <v>25</v>
      </c>
      <c r="C66" s="73"/>
      <c r="D66" s="74"/>
      <c r="E66" s="74"/>
      <c r="F66" s="30"/>
      <c r="G66" s="55"/>
      <c r="H66" s="115">
        <f>(H64+H55)*0.05</f>
        <v>3770000</v>
      </c>
      <c r="I66" s="73"/>
    </row>
    <row r="67" spans="1:9" ht="15.95" customHeight="1">
      <c r="A67" s="52"/>
      <c r="B67" s="95" t="s">
        <v>146</v>
      </c>
      <c r="C67" s="73"/>
      <c r="D67" s="74"/>
      <c r="E67" s="74"/>
      <c r="F67" s="30"/>
      <c r="G67" s="55"/>
      <c r="H67" s="115">
        <f>(H64+H55)*0.1</f>
        <v>7540000</v>
      </c>
      <c r="I67" s="73"/>
    </row>
    <row r="68" spans="1:9" ht="15.95" customHeight="1">
      <c r="A68" s="52"/>
      <c r="B68" s="95" t="s">
        <v>147</v>
      </c>
      <c r="C68" s="73"/>
      <c r="D68" s="74"/>
      <c r="E68" s="74"/>
      <c r="F68" s="30"/>
      <c r="G68" s="30"/>
      <c r="H68" s="40">
        <f>H55+H64+H65+H66+H67</f>
        <v>87637246.357356921</v>
      </c>
      <c r="I68" s="74"/>
    </row>
    <row r="69" spans="1:9">
      <c r="A69" s="29"/>
    </row>
  </sheetData>
  <mergeCells count="3">
    <mergeCell ref="A2:B2"/>
    <mergeCell ref="A56:A63"/>
    <mergeCell ref="A3:A54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70" orientation="portrait" horizontalDpi="4294967292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ADBC-5933-46F7-89F9-01DB0FC13C48}">
  <sheetPr codeName="Sheet11">
    <tabColor rgb="FF00B050"/>
    <pageSetUpPr fitToPage="1"/>
  </sheetPr>
  <dimension ref="A1:I70"/>
  <sheetViews>
    <sheetView zoomScale="85" workbookViewId="0">
      <pane xSplit="2" ySplit="2" topLeftCell="C18" activePane="bottomRight" state="frozen"/>
      <selection activeCell="H28" sqref="H28"/>
      <selection pane="topRight" activeCell="H28" sqref="H28"/>
      <selection pane="bottomLeft" activeCell="H28" sqref="H28"/>
      <selection pane="bottomRight" activeCell="R45" sqref="R45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0" width="9" style="28"/>
    <col min="11" max="11" width="9.5" style="28" bestFit="1" customWidth="1"/>
    <col min="12" max="16384" width="9" style="28"/>
  </cols>
  <sheetData>
    <row r="1" spans="1:9" ht="22.5" customHeight="1">
      <c r="B1" s="97" t="s">
        <v>80</v>
      </c>
      <c r="C1" s="140" t="s">
        <v>286</v>
      </c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111"/>
      <c r="D3" s="111"/>
      <c r="E3" s="270"/>
      <c r="F3" s="112"/>
      <c r="G3" s="112"/>
      <c r="H3" s="103">
        <f>IF(F3=0,G3,G3*F3)</f>
        <v>0</v>
      </c>
      <c r="I3" s="75"/>
    </row>
    <row r="4" spans="1:9" ht="15.95" customHeight="1">
      <c r="A4" s="514"/>
      <c r="B4" s="98"/>
      <c r="C4" s="308"/>
      <c r="D4" s="315"/>
      <c r="E4" s="310"/>
      <c r="F4" s="311"/>
      <c r="G4" s="311"/>
      <c r="H4" s="99">
        <f>IF(F4=0,G4,G4*F4)</f>
        <v>0</v>
      </c>
      <c r="I4" s="70"/>
    </row>
    <row r="5" spans="1:9" ht="15.95" customHeight="1">
      <c r="A5" s="514"/>
      <c r="B5" s="98"/>
      <c r="C5" s="68"/>
      <c r="D5" s="68"/>
      <c r="E5" s="273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4"/>
      <c r="B6" s="98"/>
      <c r="C6" s="68"/>
      <c r="D6" s="68"/>
      <c r="E6" s="273"/>
      <c r="F6" s="69"/>
      <c r="G6" s="69"/>
      <c r="H6" s="99">
        <f t="shared" si="0"/>
        <v>0</v>
      </c>
      <c r="I6" s="70"/>
    </row>
    <row r="7" spans="1:9" ht="15.95" customHeight="1">
      <c r="A7" s="514"/>
      <c r="B7" s="98"/>
      <c r="C7" s="68"/>
      <c r="D7" s="68"/>
      <c r="E7" s="273"/>
      <c r="F7" s="69"/>
      <c r="G7" s="69"/>
      <c r="H7" s="99">
        <f t="shared" si="0"/>
        <v>0</v>
      </c>
      <c r="I7" s="70"/>
    </row>
    <row r="8" spans="1:9" ht="15.95" customHeight="1">
      <c r="A8" s="514"/>
      <c r="B8" s="98"/>
      <c r="C8" s="68"/>
      <c r="D8" s="68"/>
      <c r="E8" s="273"/>
      <c r="F8" s="69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68"/>
      <c r="E9" s="273"/>
      <c r="F9" s="69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68"/>
      <c r="E10" s="273"/>
      <c r="F10" s="69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273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273"/>
      <c r="F12" s="69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273"/>
      <c r="F13" s="69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273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273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273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273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273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273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273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273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273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 t="s">
        <v>47</v>
      </c>
      <c r="D29" s="113"/>
      <c r="E29" s="274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120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111" t="s">
        <v>287</v>
      </c>
      <c r="D31" s="111"/>
      <c r="E31" s="270" t="s">
        <v>211</v>
      </c>
      <c r="F31" s="112">
        <v>1</v>
      </c>
      <c r="G31" s="112">
        <v>84300000</v>
      </c>
      <c r="H31" s="103">
        <f t="shared" si="0"/>
        <v>84300000</v>
      </c>
      <c r="I31" s="75"/>
    </row>
    <row r="32" spans="1:9" ht="15.95" customHeight="1">
      <c r="A32" s="514"/>
      <c r="B32" s="98" t="s">
        <v>45</v>
      </c>
      <c r="C32" s="68" t="s">
        <v>288</v>
      </c>
      <c r="D32" s="68"/>
      <c r="E32" s="273" t="s">
        <v>211</v>
      </c>
      <c r="F32" s="69">
        <v>2</v>
      </c>
      <c r="G32" s="69">
        <v>49900000</v>
      </c>
      <c r="H32" s="99">
        <f t="shared" si="0"/>
        <v>99800000</v>
      </c>
      <c r="I32" s="70"/>
    </row>
    <row r="33" spans="1:9" ht="15.95" customHeight="1">
      <c r="A33" s="514"/>
      <c r="B33" s="98"/>
      <c r="C33" s="68"/>
      <c r="D33" s="68"/>
      <c r="E33" s="273"/>
      <c r="F33" s="69"/>
      <c r="G33" s="69"/>
      <c r="H33" s="99">
        <f t="shared" si="0"/>
        <v>0</v>
      </c>
      <c r="I33" s="70"/>
    </row>
    <row r="34" spans="1:9" ht="15.95" customHeight="1">
      <c r="A34" s="514"/>
      <c r="B34" s="98"/>
      <c r="C34" s="68"/>
      <c r="D34" s="68"/>
      <c r="E34" s="273"/>
      <c r="F34" s="69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273"/>
      <c r="F35" s="69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273"/>
      <c r="F36" s="69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68"/>
      <c r="E37" s="273"/>
      <c r="F37" s="69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273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273"/>
      <c r="F39" s="69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273"/>
      <c r="F40" s="69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273"/>
      <c r="F41" s="69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273"/>
      <c r="F42" s="69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273"/>
      <c r="F43" s="69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273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68"/>
      <c r="D45" s="68"/>
      <c r="E45" s="273"/>
      <c r="F45" s="69"/>
      <c r="G45" s="69"/>
      <c r="H45" s="99">
        <f t="shared" si="0"/>
        <v>0</v>
      </c>
      <c r="I45" s="70"/>
    </row>
    <row r="46" spans="1:9" ht="15.95" customHeight="1">
      <c r="A46" s="514"/>
      <c r="B46" s="98"/>
      <c r="C46" s="113"/>
      <c r="D46" s="274"/>
      <c r="E46" s="274"/>
      <c r="F46" s="266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120"/>
      <c r="F47" s="40"/>
      <c r="G47" s="40"/>
      <c r="H47" s="30">
        <f>SUM(H31:H46)</f>
        <v>184100000</v>
      </c>
      <c r="I47" s="74"/>
    </row>
    <row r="48" spans="1:9" ht="15.95" customHeight="1">
      <c r="A48" s="514"/>
      <c r="B48" s="102" t="s">
        <v>39</v>
      </c>
      <c r="C48" s="68"/>
      <c r="D48" s="296"/>
      <c r="E48" s="296"/>
      <c r="F48" s="297"/>
      <c r="G48" s="69"/>
      <c r="H48" s="103">
        <f t="shared" si="0"/>
        <v>0</v>
      </c>
      <c r="I48" s="75"/>
    </row>
    <row r="49" spans="1:9" ht="15.95" customHeight="1">
      <c r="A49" s="514"/>
      <c r="B49" s="98"/>
      <c r="C49" s="68"/>
      <c r="D49" s="312"/>
      <c r="E49" s="296"/>
      <c r="F49" s="297"/>
      <c r="G49" s="69"/>
      <c r="H49" s="99">
        <f t="shared" si="0"/>
        <v>0</v>
      </c>
      <c r="I49" s="70"/>
    </row>
    <row r="50" spans="1:9" ht="15.95" customHeight="1">
      <c r="A50" s="514"/>
      <c r="B50" s="98"/>
      <c r="C50" s="68"/>
      <c r="D50" s="296"/>
      <c r="E50" s="296"/>
      <c r="F50" s="297"/>
      <c r="G50" s="69"/>
      <c r="H50" s="99">
        <f t="shared" si="0"/>
        <v>0</v>
      </c>
      <c r="I50" s="70"/>
    </row>
    <row r="51" spans="1:9" ht="15.95" customHeight="1">
      <c r="A51" s="514"/>
      <c r="B51" s="98"/>
      <c r="C51" s="68"/>
      <c r="D51" s="68"/>
      <c r="E51" s="296"/>
      <c r="F51" s="265"/>
      <c r="G51" s="69"/>
      <c r="H51" s="99">
        <f t="shared" si="0"/>
        <v>0</v>
      </c>
      <c r="I51" s="70"/>
    </row>
    <row r="52" spans="1:9" ht="15.95" customHeight="1">
      <c r="A52" s="514"/>
      <c r="B52" s="98"/>
      <c r="C52" s="68"/>
      <c r="D52" s="68"/>
      <c r="E52" s="296"/>
      <c r="F52" s="265"/>
      <c r="G52" s="69"/>
      <c r="H52" s="99">
        <f t="shared" si="0"/>
        <v>0</v>
      </c>
      <c r="I52" s="70"/>
    </row>
    <row r="53" spans="1:9" ht="15.95" customHeight="1">
      <c r="A53" s="514"/>
      <c r="B53" s="98"/>
      <c r="C53" s="68"/>
      <c r="D53" s="68"/>
      <c r="E53" s="296"/>
      <c r="F53" s="69"/>
      <c r="G53" s="69"/>
      <c r="H53" s="99">
        <f t="shared" si="0"/>
        <v>0</v>
      </c>
      <c r="I53" s="70"/>
    </row>
    <row r="54" spans="1:9" ht="15.95" customHeight="1">
      <c r="A54" s="514"/>
      <c r="B54" s="98"/>
      <c r="C54" s="113"/>
      <c r="D54" s="113"/>
      <c r="E54" s="354"/>
      <c r="F54" s="114"/>
      <c r="G54" s="114"/>
      <c r="H54" s="104">
        <f t="shared" si="0"/>
        <v>0</v>
      </c>
      <c r="I54" s="71"/>
    </row>
    <row r="55" spans="1:9" ht="15.95" customHeight="1">
      <c r="A55" s="514"/>
      <c r="B55" s="72"/>
      <c r="C55" s="101"/>
      <c r="D55" s="91"/>
      <c r="E55" s="120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121"/>
      <c r="F56" s="56"/>
      <c r="G56" s="56"/>
      <c r="H56" s="30">
        <f>SUM(H55,H47,H30,H24)</f>
        <v>184100000</v>
      </c>
      <c r="I56" s="74"/>
    </row>
    <row r="57" spans="1:9" ht="15.95" customHeight="1">
      <c r="A57" s="515" t="s">
        <v>72</v>
      </c>
      <c r="B57" s="106" t="s">
        <v>70</v>
      </c>
      <c r="C57" s="134"/>
      <c r="D57" s="75"/>
      <c r="E57" s="27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4"/>
      <c r="B58" s="107" t="s">
        <v>107</v>
      </c>
      <c r="C58" s="135"/>
      <c r="D58" s="70"/>
      <c r="E58" s="27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4"/>
      <c r="B59" s="159" t="s">
        <v>108</v>
      </c>
      <c r="C59" s="135"/>
      <c r="D59" s="70"/>
      <c r="E59" s="27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4"/>
      <c r="B60" s="107" t="s">
        <v>109</v>
      </c>
      <c r="C60" s="135"/>
      <c r="D60" s="70"/>
      <c r="E60" s="27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4"/>
      <c r="B61" s="107" t="s">
        <v>110</v>
      </c>
      <c r="C61" s="135"/>
      <c r="D61" s="70"/>
      <c r="E61" s="27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4"/>
      <c r="B62" s="107" t="s">
        <v>111</v>
      </c>
      <c r="C62" s="135"/>
      <c r="D62" s="70"/>
      <c r="E62" s="27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4"/>
      <c r="B63" s="107" t="s">
        <v>112</v>
      </c>
      <c r="C63" s="135"/>
      <c r="D63" s="70"/>
      <c r="E63" s="27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4"/>
      <c r="B64" s="108" t="s">
        <v>176</v>
      </c>
      <c r="C64" s="136"/>
      <c r="D64" s="71"/>
      <c r="E64" s="278" t="s">
        <v>50</v>
      </c>
      <c r="F64" s="3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121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165</v>
      </c>
      <c r="C66" s="73"/>
      <c r="D66" s="74"/>
      <c r="E66" s="121"/>
      <c r="F66" s="30"/>
      <c r="G66" s="30"/>
      <c r="H66" s="56"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9205000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193305000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2D625-21B6-401C-B452-CB2766FD771C}">
  <sheetPr codeName="Sheet12">
    <tabColor rgb="FF00B050"/>
    <pageSetUpPr fitToPage="1"/>
  </sheetPr>
  <dimension ref="A1:I70"/>
  <sheetViews>
    <sheetView zoomScale="85" workbookViewId="0">
      <pane xSplit="2" ySplit="2" topLeftCell="C15" activePane="bottomRight" state="frozen"/>
      <selection activeCell="B69" sqref="B69"/>
      <selection pane="topRight" activeCell="B69" sqref="B69"/>
      <selection pane="bottomLeft" activeCell="B69" sqref="B69"/>
      <selection pane="bottomRight" activeCell="J87" sqref="J8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111"/>
      <c r="D3" s="111"/>
      <c r="E3" s="270"/>
      <c r="F3" s="112"/>
      <c r="G3" s="112"/>
      <c r="H3" s="103">
        <f>IF(F3=0,G3,G3*F3)</f>
        <v>0</v>
      </c>
      <c r="I3" s="75"/>
    </row>
    <row r="4" spans="1:9" ht="15.95" customHeight="1">
      <c r="A4" s="514"/>
      <c r="B4" s="98"/>
      <c r="C4" s="68"/>
      <c r="D4" s="68"/>
      <c r="E4" s="273"/>
      <c r="F4" s="69"/>
      <c r="G4" s="69"/>
      <c r="H4" s="99">
        <f>IF(F4=0,G4,G4*F4)</f>
        <v>0</v>
      </c>
      <c r="I4" s="70"/>
    </row>
    <row r="5" spans="1:9" ht="15.95" customHeight="1">
      <c r="A5" s="514"/>
      <c r="B5" s="98"/>
      <c r="C5" s="68"/>
      <c r="D5" s="68"/>
      <c r="E5" s="273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4"/>
      <c r="B6" s="98"/>
      <c r="C6" s="68"/>
      <c r="D6" s="68"/>
      <c r="E6" s="273"/>
      <c r="F6" s="69"/>
      <c r="G6" s="69"/>
      <c r="H6" s="99">
        <f t="shared" si="0"/>
        <v>0</v>
      </c>
      <c r="I6" s="70"/>
    </row>
    <row r="7" spans="1:9" ht="15.95" customHeight="1">
      <c r="A7" s="514"/>
      <c r="B7" s="98"/>
      <c r="C7" s="68"/>
      <c r="D7" s="68"/>
      <c r="E7" s="273"/>
      <c r="F7" s="69"/>
      <c r="G7" s="69"/>
      <c r="H7" s="99">
        <f t="shared" si="0"/>
        <v>0</v>
      </c>
      <c r="I7" s="70"/>
    </row>
    <row r="8" spans="1:9" ht="15.95" customHeight="1">
      <c r="A8" s="514"/>
      <c r="B8" s="98"/>
      <c r="C8" s="68"/>
      <c r="D8" s="68"/>
      <c r="E8" s="273"/>
      <c r="F8" s="69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68"/>
      <c r="E9" s="273"/>
      <c r="F9" s="69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68"/>
      <c r="E10" s="273"/>
      <c r="F10" s="69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273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273"/>
      <c r="F12" s="69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273"/>
      <c r="F13" s="69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273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273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273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273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273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273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273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273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 t="s">
        <v>47</v>
      </c>
      <c r="D23" s="274"/>
      <c r="E23" s="274" t="s">
        <v>172</v>
      </c>
      <c r="F23" s="266"/>
      <c r="G23" s="114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4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4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4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4"/>
      <c r="B46" s="98"/>
      <c r="C46" s="113" t="s">
        <v>47</v>
      </c>
      <c r="D46" s="274"/>
      <c r="E46" s="274" t="s">
        <v>172</v>
      </c>
      <c r="F46" s="266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4"/>
      <c r="B48" s="102" t="s">
        <v>39</v>
      </c>
      <c r="C48" s="68"/>
      <c r="D48" s="296"/>
      <c r="E48" s="296"/>
      <c r="F48" s="297"/>
      <c r="G48" s="69"/>
      <c r="H48" s="103">
        <f t="shared" si="0"/>
        <v>0</v>
      </c>
      <c r="I48" s="75"/>
    </row>
    <row r="49" spans="1:9" ht="15.95" customHeight="1">
      <c r="A49" s="514"/>
      <c r="B49" s="98"/>
      <c r="C49" s="68"/>
      <c r="D49" s="296"/>
      <c r="E49" s="296"/>
      <c r="F49" s="297"/>
      <c r="G49" s="69"/>
      <c r="H49" s="99">
        <f t="shared" si="0"/>
        <v>0</v>
      </c>
      <c r="I49" s="70"/>
    </row>
    <row r="50" spans="1:9" ht="15.95" customHeight="1">
      <c r="A50" s="514"/>
      <c r="B50" s="98"/>
      <c r="C50" s="68"/>
      <c r="D50" s="296"/>
      <c r="E50" s="296"/>
      <c r="F50" s="297"/>
      <c r="G50" s="69"/>
      <c r="H50" s="99">
        <f t="shared" si="0"/>
        <v>0</v>
      </c>
      <c r="I50" s="70"/>
    </row>
    <row r="51" spans="1:9" ht="15.95" customHeight="1">
      <c r="A51" s="514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4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4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4"/>
      <c r="B54" s="98"/>
      <c r="C54" s="113" t="s">
        <v>47</v>
      </c>
      <c r="D54" s="113"/>
      <c r="E54" s="274" t="s">
        <v>172</v>
      </c>
      <c r="F54" s="266"/>
      <c r="G54" s="114"/>
      <c r="H54" s="104">
        <f t="shared" si="0"/>
        <v>0</v>
      </c>
      <c r="I54" s="71"/>
    </row>
    <row r="55" spans="1:9" ht="15.95" customHeight="1">
      <c r="A55" s="514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5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4"/>
      <c r="B58" s="107" t="s">
        <v>107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4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4"/>
      <c r="B60" s="107" t="s">
        <v>109</v>
      </c>
      <c r="C60" s="135"/>
      <c r="D60" s="70"/>
      <c r="E60" s="107" t="s">
        <v>50</v>
      </c>
      <c r="F60" s="294"/>
      <c r="G60" s="69"/>
      <c r="H60" s="99">
        <f t="shared" si="1"/>
        <v>0</v>
      </c>
      <c r="I60" s="70"/>
    </row>
    <row r="61" spans="1:9" ht="15.95" customHeight="1">
      <c r="A61" s="514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4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4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4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165</v>
      </c>
      <c r="C66" s="73"/>
      <c r="D66" s="74"/>
      <c r="E66" s="74"/>
      <c r="F66" s="30"/>
      <c r="G66" s="30"/>
      <c r="H66" s="56">
        <f>'단위공사별(집계)'!L13+'단위공사별(집계)'!I13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>
        <f>(H65+H56)*0.05</f>
        <v>0</v>
      </c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>
        <f>(H65+H56)*0.1</f>
        <v>0</v>
      </c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D6FC-71DB-4DA1-AA7A-78DFA07B108D}">
  <sheetPr codeName="Sheet13">
    <tabColor rgb="FF00B050"/>
    <pageSetUpPr fitToPage="1"/>
  </sheetPr>
  <dimension ref="A1:I70"/>
  <sheetViews>
    <sheetView zoomScale="85" workbookViewId="0">
      <pane xSplit="2" ySplit="2" topLeftCell="C40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14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4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4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4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4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4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4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4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4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4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14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14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4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4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4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4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4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5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4"/>
      <c r="B58" s="107" t="s">
        <v>107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4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4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4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4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4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4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165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57:A64"/>
    <mergeCell ref="A3:A55"/>
  </mergeCells>
  <phoneticPr fontId="2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613C-1FA0-42FE-A156-DD0F6E353AA1}">
  <sheetPr>
    <tabColor rgb="FF00B050"/>
    <pageSetUpPr fitToPage="1"/>
  </sheetPr>
  <dimension ref="A1:I70"/>
  <sheetViews>
    <sheetView zoomScale="85" workbookViewId="0">
      <pane xSplit="2" ySplit="2" topLeftCell="C39" activePane="bottomRight" state="frozen"/>
      <selection activeCell="B69" sqref="B69"/>
      <selection pane="topRight" activeCell="B69" sqref="B69"/>
      <selection pane="bottomLeft" activeCell="B69" sqref="B69"/>
      <selection pane="bottomRight" activeCell="H66" sqref="H66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14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4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4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4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4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4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4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4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4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4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14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14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4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4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4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4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4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5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4"/>
      <c r="B58" s="107" t="s">
        <v>107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4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4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4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4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4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4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165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192B-4922-4301-B96E-D0CA583E0785}">
  <sheetPr>
    <tabColor rgb="FF00B050"/>
    <pageSetUpPr fitToPage="1"/>
  </sheetPr>
  <dimension ref="A1:I70"/>
  <sheetViews>
    <sheetView zoomScale="85" workbookViewId="0">
      <pane xSplit="2" ySplit="2" topLeftCell="C35" activePane="bottomRight" state="frozen"/>
      <selection activeCell="B69" sqref="B69"/>
      <selection pane="topRight" activeCell="B69" sqref="B69"/>
      <selection pane="bottomLeft" activeCell="B69" sqref="B69"/>
      <selection pane="bottomRight" activeCell="B67" sqref="B67"/>
    </sheetView>
  </sheetViews>
  <sheetFormatPr defaultRowHeight="13.5"/>
  <cols>
    <col min="1" max="1" width="5" style="28" customWidth="1"/>
    <col min="2" max="2" width="17.875" style="28" bestFit="1" customWidth="1"/>
    <col min="3" max="3" width="23.625" style="28" customWidth="1"/>
    <col min="4" max="4" width="18.25" style="28" customWidth="1"/>
    <col min="5" max="5" width="5.25" style="28" bestFit="1" customWidth="1"/>
    <col min="6" max="6" width="9" style="31"/>
    <col min="7" max="7" width="11.875" style="31" customWidth="1"/>
    <col min="8" max="8" width="13.625" style="31" customWidth="1"/>
    <col min="9" max="9" width="12.75" style="28" customWidth="1"/>
    <col min="10" max="16384" width="9" style="28"/>
  </cols>
  <sheetData>
    <row r="1" spans="1:9" ht="22.5" customHeight="1">
      <c r="B1" s="97" t="s">
        <v>80</v>
      </c>
      <c r="C1" s="140"/>
      <c r="F1" s="65"/>
      <c r="I1" s="28" t="s">
        <v>82</v>
      </c>
    </row>
    <row r="2" spans="1:9" s="29" customFormat="1" ht="16.5" customHeight="1">
      <c r="A2" s="392" t="s">
        <v>31</v>
      </c>
      <c r="B2" s="509"/>
      <c r="C2" s="66" t="s">
        <v>44</v>
      </c>
      <c r="D2" s="32" t="s">
        <v>32</v>
      </c>
      <c r="E2" s="32" t="s">
        <v>33</v>
      </c>
      <c r="F2" s="100" t="s">
        <v>34</v>
      </c>
      <c r="G2" s="100" t="s">
        <v>35</v>
      </c>
      <c r="H2" s="100" t="s">
        <v>36</v>
      </c>
      <c r="I2" s="32" t="s">
        <v>46</v>
      </c>
    </row>
    <row r="3" spans="1:9" ht="15.95" customHeight="1">
      <c r="A3" s="512" t="s">
        <v>81</v>
      </c>
      <c r="B3" s="98" t="s">
        <v>37</v>
      </c>
      <c r="C3" s="111"/>
      <c r="D3" s="111"/>
      <c r="E3" s="111"/>
      <c r="F3" s="112"/>
      <c r="G3" s="112"/>
      <c r="H3" s="103">
        <f>IF(F3=0,G3,G3*F3)</f>
        <v>0</v>
      </c>
      <c r="I3" s="75"/>
    </row>
    <row r="4" spans="1:9" ht="15.95" customHeight="1">
      <c r="A4" s="514"/>
      <c r="B4" s="98"/>
      <c r="C4" s="68"/>
      <c r="D4" s="68"/>
      <c r="E4" s="68"/>
      <c r="F4" s="69"/>
      <c r="G4" s="69"/>
      <c r="H4" s="99">
        <f>IF(F4=0,G4,G4*F4)</f>
        <v>0</v>
      </c>
      <c r="I4" s="70"/>
    </row>
    <row r="5" spans="1:9" ht="15.95" customHeight="1">
      <c r="A5" s="514"/>
      <c r="B5" s="98"/>
      <c r="C5" s="68"/>
      <c r="D5" s="68"/>
      <c r="E5" s="68"/>
      <c r="F5" s="69"/>
      <c r="G5" s="69"/>
      <c r="H5" s="99">
        <f t="shared" ref="H5:H54" si="0">IF(F5=0,G5,G5*F5)</f>
        <v>0</v>
      </c>
      <c r="I5" s="70"/>
    </row>
    <row r="6" spans="1:9" ht="15.95" customHeight="1">
      <c r="A6" s="514"/>
      <c r="B6" s="98"/>
      <c r="C6" s="68"/>
      <c r="D6" s="68"/>
      <c r="E6" s="68"/>
      <c r="F6" s="69"/>
      <c r="G6" s="69"/>
      <c r="H6" s="99">
        <f t="shared" si="0"/>
        <v>0</v>
      </c>
      <c r="I6" s="70"/>
    </row>
    <row r="7" spans="1:9" ht="15.95" customHeight="1">
      <c r="A7" s="514"/>
      <c r="B7" s="98"/>
      <c r="C7" s="68"/>
      <c r="D7" s="68"/>
      <c r="E7" s="68"/>
      <c r="F7" s="69"/>
      <c r="G7" s="69"/>
      <c r="H7" s="99">
        <f t="shared" si="0"/>
        <v>0</v>
      </c>
      <c r="I7" s="70"/>
    </row>
    <row r="8" spans="1:9" ht="15.95" customHeight="1">
      <c r="A8" s="514"/>
      <c r="B8" s="98"/>
      <c r="C8" s="68"/>
      <c r="D8" s="68"/>
      <c r="E8" s="68"/>
      <c r="F8" s="69"/>
      <c r="G8" s="69"/>
      <c r="H8" s="99">
        <f t="shared" si="0"/>
        <v>0</v>
      </c>
      <c r="I8" s="70"/>
    </row>
    <row r="9" spans="1:9" ht="15.95" customHeight="1">
      <c r="A9" s="514"/>
      <c r="B9" s="98"/>
      <c r="C9" s="68"/>
      <c r="D9" s="68"/>
      <c r="E9" s="68"/>
      <c r="F9" s="69"/>
      <c r="G9" s="69"/>
      <c r="H9" s="99">
        <f t="shared" si="0"/>
        <v>0</v>
      </c>
      <c r="I9" s="70"/>
    </row>
    <row r="10" spans="1:9" ht="15.95" customHeight="1">
      <c r="A10" s="514"/>
      <c r="B10" s="98"/>
      <c r="C10" s="68"/>
      <c r="D10" s="68"/>
      <c r="E10" s="68"/>
      <c r="F10" s="69"/>
      <c r="G10" s="69"/>
      <c r="H10" s="99">
        <f t="shared" si="0"/>
        <v>0</v>
      </c>
      <c r="I10" s="70"/>
    </row>
    <row r="11" spans="1:9" ht="15.95" customHeight="1">
      <c r="A11" s="514"/>
      <c r="B11" s="98"/>
      <c r="C11" s="68"/>
      <c r="D11" s="68"/>
      <c r="E11" s="68"/>
      <c r="F11" s="69"/>
      <c r="G11" s="69"/>
      <c r="H11" s="99">
        <f t="shared" si="0"/>
        <v>0</v>
      </c>
      <c r="I11" s="70"/>
    </row>
    <row r="12" spans="1:9" ht="15.95" customHeight="1">
      <c r="A12" s="514"/>
      <c r="B12" s="98"/>
      <c r="C12" s="68"/>
      <c r="D12" s="68"/>
      <c r="E12" s="68"/>
      <c r="F12" s="69"/>
      <c r="G12" s="69"/>
      <c r="H12" s="99">
        <f t="shared" si="0"/>
        <v>0</v>
      </c>
      <c r="I12" s="70"/>
    </row>
    <row r="13" spans="1:9" ht="15.95" customHeight="1">
      <c r="A13" s="514"/>
      <c r="B13" s="98"/>
      <c r="C13" s="68"/>
      <c r="D13" s="68"/>
      <c r="E13" s="68"/>
      <c r="F13" s="69"/>
      <c r="G13" s="69"/>
      <c r="H13" s="99">
        <f t="shared" si="0"/>
        <v>0</v>
      </c>
      <c r="I13" s="70"/>
    </row>
    <row r="14" spans="1:9" ht="15.95" customHeight="1">
      <c r="A14" s="514"/>
      <c r="B14" s="98"/>
      <c r="C14" s="68"/>
      <c r="D14" s="68"/>
      <c r="E14" s="68"/>
      <c r="F14" s="69"/>
      <c r="G14" s="69"/>
      <c r="H14" s="99">
        <f t="shared" si="0"/>
        <v>0</v>
      </c>
      <c r="I14" s="70"/>
    </row>
    <row r="15" spans="1:9" ht="15.95" customHeight="1">
      <c r="A15" s="514"/>
      <c r="B15" s="98"/>
      <c r="C15" s="68"/>
      <c r="D15" s="68"/>
      <c r="E15" s="68"/>
      <c r="F15" s="69"/>
      <c r="G15" s="69"/>
      <c r="H15" s="99">
        <f t="shared" si="0"/>
        <v>0</v>
      </c>
      <c r="I15" s="70"/>
    </row>
    <row r="16" spans="1:9" ht="15.95" customHeight="1">
      <c r="A16" s="514"/>
      <c r="B16" s="98"/>
      <c r="C16" s="68"/>
      <c r="D16" s="68"/>
      <c r="E16" s="68"/>
      <c r="F16" s="69"/>
      <c r="G16" s="69"/>
      <c r="H16" s="99">
        <f t="shared" si="0"/>
        <v>0</v>
      </c>
      <c r="I16" s="70"/>
    </row>
    <row r="17" spans="1:9" ht="15.95" customHeight="1">
      <c r="A17" s="514"/>
      <c r="B17" s="98"/>
      <c r="C17" s="68"/>
      <c r="D17" s="68"/>
      <c r="E17" s="68"/>
      <c r="F17" s="69"/>
      <c r="G17" s="69"/>
      <c r="H17" s="99">
        <f t="shared" si="0"/>
        <v>0</v>
      </c>
      <c r="I17" s="70"/>
    </row>
    <row r="18" spans="1:9" ht="15.95" customHeight="1">
      <c r="A18" s="514"/>
      <c r="B18" s="98"/>
      <c r="C18" s="68"/>
      <c r="D18" s="68"/>
      <c r="E18" s="68"/>
      <c r="F18" s="69"/>
      <c r="G18" s="69"/>
      <c r="H18" s="99">
        <f t="shared" si="0"/>
        <v>0</v>
      </c>
      <c r="I18" s="70"/>
    </row>
    <row r="19" spans="1:9" ht="15.95" customHeight="1">
      <c r="A19" s="514"/>
      <c r="B19" s="98"/>
      <c r="C19" s="68"/>
      <c r="D19" s="68"/>
      <c r="E19" s="68"/>
      <c r="F19" s="69"/>
      <c r="G19" s="69"/>
      <c r="H19" s="99">
        <f t="shared" si="0"/>
        <v>0</v>
      </c>
      <c r="I19" s="70"/>
    </row>
    <row r="20" spans="1:9" ht="15.95" customHeight="1">
      <c r="A20" s="514"/>
      <c r="B20" s="98"/>
      <c r="C20" s="68"/>
      <c r="D20" s="68"/>
      <c r="E20" s="68"/>
      <c r="F20" s="69"/>
      <c r="G20" s="69"/>
      <c r="H20" s="99">
        <f t="shared" si="0"/>
        <v>0</v>
      </c>
      <c r="I20" s="70"/>
    </row>
    <row r="21" spans="1:9" ht="15.95" customHeight="1">
      <c r="A21" s="514"/>
      <c r="B21" s="98"/>
      <c r="C21" s="68"/>
      <c r="D21" s="68"/>
      <c r="E21" s="68"/>
      <c r="F21" s="69"/>
      <c r="G21" s="69"/>
      <c r="H21" s="99">
        <f t="shared" si="0"/>
        <v>0</v>
      </c>
      <c r="I21" s="70"/>
    </row>
    <row r="22" spans="1:9" ht="15.95" customHeight="1">
      <c r="A22" s="514"/>
      <c r="B22" s="98"/>
      <c r="C22" s="68"/>
      <c r="D22" s="68"/>
      <c r="E22" s="68"/>
      <c r="F22" s="69"/>
      <c r="G22" s="69"/>
      <c r="H22" s="99">
        <f t="shared" si="0"/>
        <v>0</v>
      </c>
      <c r="I22" s="70"/>
    </row>
    <row r="23" spans="1:9" ht="15.95" customHeight="1">
      <c r="A23" s="514"/>
      <c r="B23" s="98"/>
      <c r="C23" s="113" t="s">
        <v>47</v>
      </c>
      <c r="D23" s="236"/>
      <c r="E23" s="236"/>
      <c r="F23" s="237"/>
      <c r="G23" s="237"/>
      <c r="H23" s="238">
        <f t="shared" si="0"/>
        <v>0</v>
      </c>
      <c r="I23" s="239"/>
    </row>
    <row r="24" spans="1:9" ht="15.95" customHeight="1">
      <c r="A24" s="514"/>
      <c r="B24" s="72"/>
      <c r="C24" s="242"/>
      <c r="D24" s="242"/>
      <c r="E24" s="242"/>
      <c r="F24" s="243"/>
      <c r="G24" s="243"/>
      <c r="H24" s="244">
        <f>SUM(H3:H23)</f>
        <v>0</v>
      </c>
      <c r="I24" s="242"/>
    </row>
    <row r="25" spans="1:9" ht="15.95" customHeight="1">
      <c r="A25" s="514"/>
      <c r="B25" s="98" t="s">
        <v>154</v>
      </c>
      <c r="C25" s="116"/>
      <c r="D25" s="116"/>
      <c r="E25" s="116"/>
      <c r="F25" s="117"/>
      <c r="G25" s="117"/>
      <c r="H25" s="118">
        <f t="shared" si="0"/>
        <v>0</v>
      </c>
      <c r="I25" s="119"/>
    </row>
    <row r="26" spans="1:9" ht="15.95" customHeight="1">
      <c r="A26" s="514"/>
      <c r="B26" s="98" t="s">
        <v>155</v>
      </c>
      <c r="C26" s="68"/>
      <c r="D26" s="68"/>
      <c r="E26" s="68"/>
      <c r="F26" s="69"/>
      <c r="G26" s="69"/>
      <c r="H26" s="99">
        <f t="shared" si="0"/>
        <v>0</v>
      </c>
      <c r="I26" s="70"/>
    </row>
    <row r="27" spans="1:9" ht="15.95" customHeight="1">
      <c r="A27" s="514"/>
      <c r="B27" s="98"/>
      <c r="C27" s="68"/>
      <c r="D27" s="68"/>
      <c r="E27" s="68"/>
      <c r="F27" s="69"/>
      <c r="G27" s="69"/>
      <c r="H27" s="99">
        <f t="shared" si="0"/>
        <v>0</v>
      </c>
      <c r="I27" s="70"/>
    </row>
    <row r="28" spans="1:9" ht="15.95" customHeight="1">
      <c r="A28" s="514"/>
      <c r="B28" s="98"/>
      <c r="C28" s="68"/>
      <c r="D28" s="68"/>
      <c r="E28" s="68"/>
      <c r="F28" s="69"/>
      <c r="G28" s="69"/>
      <c r="H28" s="99">
        <f t="shared" si="0"/>
        <v>0</v>
      </c>
      <c r="I28" s="70"/>
    </row>
    <row r="29" spans="1:9" ht="15.95" customHeight="1">
      <c r="A29" s="514"/>
      <c r="B29" s="98"/>
      <c r="C29" s="113" t="s">
        <v>47</v>
      </c>
      <c r="D29" s="113"/>
      <c r="E29" s="113"/>
      <c r="F29" s="114"/>
      <c r="G29" s="114"/>
      <c r="H29" s="99">
        <f t="shared" si="0"/>
        <v>0</v>
      </c>
      <c r="I29" s="71"/>
    </row>
    <row r="30" spans="1:9" ht="15.95" customHeight="1">
      <c r="A30" s="514"/>
      <c r="B30" s="72"/>
      <c r="C30" s="101"/>
      <c r="D30" s="91"/>
      <c r="E30" s="91"/>
      <c r="F30" s="141"/>
      <c r="G30" s="40"/>
      <c r="H30" s="30">
        <f>SUM(H25:H29)</f>
        <v>0</v>
      </c>
      <c r="I30" s="74"/>
    </row>
    <row r="31" spans="1:9" ht="15.95" customHeight="1">
      <c r="A31" s="514"/>
      <c r="B31" s="102" t="s">
        <v>38</v>
      </c>
      <c r="C31" s="111"/>
      <c r="D31" s="111"/>
      <c r="E31" s="111"/>
      <c r="F31" s="112"/>
      <c r="G31" s="112"/>
      <c r="H31" s="103">
        <f t="shared" si="0"/>
        <v>0</v>
      </c>
      <c r="I31" s="75"/>
    </row>
    <row r="32" spans="1:9" ht="15.95" customHeight="1">
      <c r="A32" s="514"/>
      <c r="B32" s="98" t="s">
        <v>45</v>
      </c>
      <c r="C32" s="68"/>
      <c r="D32" s="68"/>
      <c r="E32" s="68"/>
      <c r="F32" s="69"/>
      <c r="G32" s="69"/>
      <c r="H32" s="99">
        <f t="shared" si="0"/>
        <v>0</v>
      </c>
      <c r="I32" s="70"/>
    </row>
    <row r="33" spans="1:9" ht="15.95" customHeight="1">
      <c r="A33" s="514"/>
      <c r="B33" s="98"/>
      <c r="C33" s="68"/>
      <c r="D33" s="68"/>
      <c r="E33" s="68"/>
      <c r="F33" s="69"/>
      <c r="G33" s="69"/>
      <c r="H33" s="99">
        <f t="shared" si="0"/>
        <v>0</v>
      </c>
      <c r="I33" s="70"/>
    </row>
    <row r="34" spans="1:9" ht="15.95" customHeight="1">
      <c r="A34" s="514"/>
      <c r="B34" s="98"/>
      <c r="C34" s="68"/>
      <c r="D34" s="68"/>
      <c r="E34" s="68"/>
      <c r="F34" s="69"/>
      <c r="G34" s="69"/>
      <c r="H34" s="99">
        <f t="shared" si="0"/>
        <v>0</v>
      </c>
      <c r="I34" s="70"/>
    </row>
    <row r="35" spans="1:9" ht="15.95" customHeight="1">
      <c r="A35" s="514"/>
      <c r="B35" s="98"/>
      <c r="C35" s="68"/>
      <c r="D35" s="68"/>
      <c r="E35" s="68"/>
      <c r="F35" s="69"/>
      <c r="G35" s="69"/>
      <c r="H35" s="99">
        <f t="shared" si="0"/>
        <v>0</v>
      </c>
      <c r="I35" s="70"/>
    </row>
    <row r="36" spans="1:9" ht="15.95" customHeight="1">
      <c r="A36" s="514"/>
      <c r="B36" s="98"/>
      <c r="C36" s="68"/>
      <c r="D36" s="68"/>
      <c r="E36" s="68"/>
      <c r="F36" s="69"/>
      <c r="G36" s="69"/>
      <c r="H36" s="99">
        <f t="shared" si="0"/>
        <v>0</v>
      </c>
      <c r="I36" s="70"/>
    </row>
    <row r="37" spans="1:9" ht="15.95" customHeight="1">
      <c r="A37" s="514"/>
      <c r="B37" s="98"/>
      <c r="C37" s="68"/>
      <c r="D37" s="68"/>
      <c r="E37" s="68"/>
      <c r="F37" s="69"/>
      <c r="G37" s="69"/>
      <c r="H37" s="99">
        <f t="shared" si="0"/>
        <v>0</v>
      </c>
      <c r="I37" s="70"/>
    </row>
    <row r="38" spans="1:9" ht="15.95" customHeight="1">
      <c r="A38" s="514"/>
      <c r="B38" s="98"/>
      <c r="C38" s="68"/>
      <c r="D38" s="68"/>
      <c r="E38" s="68"/>
      <c r="F38" s="69"/>
      <c r="G38" s="69"/>
      <c r="H38" s="99">
        <f t="shared" si="0"/>
        <v>0</v>
      </c>
      <c r="I38" s="70"/>
    </row>
    <row r="39" spans="1:9" ht="15.95" customHeight="1">
      <c r="A39" s="514"/>
      <c r="B39" s="98"/>
      <c r="C39" s="68"/>
      <c r="D39" s="68"/>
      <c r="E39" s="68"/>
      <c r="F39" s="69"/>
      <c r="G39" s="69"/>
      <c r="H39" s="99">
        <f t="shared" si="0"/>
        <v>0</v>
      </c>
      <c r="I39" s="70"/>
    </row>
    <row r="40" spans="1:9" ht="15.95" customHeight="1">
      <c r="A40" s="514"/>
      <c r="B40" s="98"/>
      <c r="C40" s="68"/>
      <c r="D40" s="68"/>
      <c r="E40" s="68"/>
      <c r="F40" s="69"/>
      <c r="G40" s="69"/>
      <c r="H40" s="99">
        <f t="shared" si="0"/>
        <v>0</v>
      </c>
      <c r="I40" s="70"/>
    </row>
    <row r="41" spans="1:9" ht="15.95" customHeight="1">
      <c r="A41" s="514"/>
      <c r="B41" s="98"/>
      <c r="C41" s="68"/>
      <c r="D41" s="68"/>
      <c r="E41" s="68"/>
      <c r="F41" s="69"/>
      <c r="G41" s="69"/>
      <c r="H41" s="99">
        <f t="shared" si="0"/>
        <v>0</v>
      </c>
      <c r="I41" s="70"/>
    </row>
    <row r="42" spans="1:9" ht="15.95" customHeight="1">
      <c r="A42" s="514"/>
      <c r="B42" s="98"/>
      <c r="C42" s="68"/>
      <c r="D42" s="68"/>
      <c r="E42" s="68"/>
      <c r="F42" s="69"/>
      <c r="G42" s="69"/>
      <c r="H42" s="99">
        <f t="shared" si="0"/>
        <v>0</v>
      </c>
      <c r="I42" s="70"/>
    </row>
    <row r="43" spans="1:9" ht="15.95" customHeight="1">
      <c r="A43" s="514"/>
      <c r="B43" s="98"/>
      <c r="C43" s="68"/>
      <c r="D43" s="68"/>
      <c r="E43" s="68"/>
      <c r="F43" s="69"/>
      <c r="G43" s="69"/>
      <c r="H43" s="99">
        <f t="shared" si="0"/>
        <v>0</v>
      </c>
      <c r="I43" s="70"/>
    </row>
    <row r="44" spans="1:9" ht="15.95" customHeight="1">
      <c r="A44" s="514"/>
      <c r="B44" s="98"/>
      <c r="C44" s="68"/>
      <c r="D44" s="68"/>
      <c r="E44" s="68"/>
      <c r="F44" s="69"/>
      <c r="G44" s="69"/>
      <c r="H44" s="99">
        <f t="shared" si="0"/>
        <v>0</v>
      </c>
      <c r="I44" s="70"/>
    </row>
    <row r="45" spans="1:9" ht="15.95" customHeight="1">
      <c r="A45" s="514"/>
      <c r="B45" s="98"/>
      <c r="C45" s="68"/>
      <c r="D45" s="68"/>
      <c r="E45" s="68"/>
      <c r="F45" s="69"/>
      <c r="G45" s="69"/>
      <c r="H45" s="99">
        <f t="shared" si="0"/>
        <v>0</v>
      </c>
      <c r="I45" s="70"/>
    </row>
    <row r="46" spans="1:9" ht="15.95" customHeight="1">
      <c r="A46" s="514"/>
      <c r="B46" s="98"/>
      <c r="C46" s="113" t="s">
        <v>47</v>
      </c>
      <c r="D46" s="113"/>
      <c r="E46" s="113"/>
      <c r="F46" s="114"/>
      <c r="G46" s="114"/>
      <c r="H46" s="104">
        <f t="shared" si="0"/>
        <v>0</v>
      </c>
      <c r="I46" s="71"/>
    </row>
    <row r="47" spans="1:9" ht="15.95" customHeight="1">
      <c r="A47" s="514"/>
      <c r="B47" s="72"/>
      <c r="C47" s="101"/>
      <c r="D47" s="91"/>
      <c r="E47" s="91"/>
      <c r="F47" s="40"/>
      <c r="G47" s="40"/>
      <c r="H47" s="30">
        <f>SUM(H31:H46)</f>
        <v>0</v>
      </c>
      <c r="I47" s="74"/>
    </row>
    <row r="48" spans="1:9" ht="15.95" customHeight="1">
      <c r="A48" s="514"/>
      <c r="B48" s="102" t="s">
        <v>39</v>
      </c>
      <c r="C48" s="111"/>
      <c r="D48" s="111"/>
      <c r="E48" s="111"/>
      <c r="F48" s="112"/>
      <c r="G48" s="112"/>
      <c r="H48" s="103">
        <f t="shared" si="0"/>
        <v>0</v>
      </c>
      <c r="I48" s="75"/>
    </row>
    <row r="49" spans="1:9" ht="15.95" customHeight="1">
      <c r="A49" s="514"/>
      <c r="B49" s="98"/>
      <c r="C49" s="68"/>
      <c r="D49" s="68"/>
      <c r="E49" s="68"/>
      <c r="F49" s="69"/>
      <c r="G49" s="69"/>
      <c r="H49" s="99">
        <f t="shared" si="0"/>
        <v>0</v>
      </c>
      <c r="I49" s="70"/>
    </row>
    <row r="50" spans="1:9" ht="15.95" customHeight="1">
      <c r="A50" s="514"/>
      <c r="B50" s="98"/>
      <c r="C50" s="68"/>
      <c r="D50" s="68"/>
      <c r="E50" s="68"/>
      <c r="F50" s="69"/>
      <c r="G50" s="69"/>
      <c r="H50" s="99">
        <f t="shared" si="0"/>
        <v>0</v>
      </c>
      <c r="I50" s="70"/>
    </row>
    <row r="51" spans="1:9" ht="15.95" customHeight="1">
      <c r="A51" s="514"/>
      <c r="B51" s="98"/>
      <c r="C51" s="68"/>
      <c r="D51" s="68"/>
      <c r="E51" s="68"/>
      <c r="F51" s="69"/>
      <c r="G51" s="69"/>
      <c r="H51" s="99">
        <f t="shared" si="0"/>
        <v>0</v>
      </c>
      <c r="I51" s="70"/>
    </row>
    <row r="52" spans="1:9" ht="15.95" customHeight="1">
      <c r="A52" s="514"/>
      <c r="B52" s="98"/>
      <c r="C52" s="68"/>
      <c r="D52" s="68"/>
      <c r="E52" s="68"/>
      <c r="F52" s="69"/>
      <c r="G52" s="69"/>
      <c r="H52" s="99">
        <f t="shared" si="0"/>
        <v>0</v>
      </c>
      <c r="I52" s="70"/>
    </row>
    <row r="53" spans="1:9" ht="15.95" customHeight="1">
      <c r="A53" s="514"/>
      <c r="B53" s="98"/>
      <c r="C53" s="68"/>
      <c r="D53" s="68"/>
      <c r="E53" s="68"/>
      <c r="F53" s="69"/>
      <c r="G53" s="69"/>
      <c r="H53" s="99">
        <f t="shared" si="0"/>
        <v>0</v>
      </c>
      <c r="I53" s="70"/>
    </row>
    <row r="54" spans="1:9" ht="15.95" customHeight="1">
      <c r="A54" s="514"/>
      <c r="B54" s="98"/>
      <c r="C54" s="113" t="s">
        <v>47</v>
      </c>
      <c r="D54" s="113"/>
      <c r="E54" s="113"/>
      <c r="F54" s="114"/>
      <c r="G54" s="114"/>
      <c r="H54" s="104">
        <f t="shared" si="0"/>
        <v>0</v>
      </c>
      <c r="I54" s="71"/>
    </row>
    <row r="55" spans="1:9" ht="15.95" customHeight="1">
      <c r="A55" s="514"/>
      <c r="B55" s="72"/>
      <c r="C55" s="101"/>
      <c r="D55" s="91"/>
      <c r="E55" s="91"/>
      <c r="F55" s="40"/>
      <c r="G55" s="40"/>
      <c r="H55" s="30">
        <f>SUM(H48:H54)</f>
        <v>0</v>
      </c>
      <c r="I55" s="74"/>
    </row>
    <row r="56" spans="1:9" ht="15.95" customHeight="1">
      <c r="A56" s="76"/>
      <c r="B56" s="96" t="s">
        <v>42</v>
      </c>
      <c r="C56" s="73"/>
      <c r="D56" s="74"/>
      <c r="E56" s="74"/>
      <c r="F56" s="56"/>
      <c r="G56" s="56"/>
      <c r="H56" s="30">
        <f>SUM(H55,H47,H30,H24)</f>
        <v>0</v>
      </c>
      <c r="I56" s="74"/>
    </row>
    <row r="57" spans="1:9" ht="15.95" customHeight="1">
      <c r="A57" s="515" t="s">
        <v>72</v>
      </c>
      <c r="B57" s="106" t="s">
        <v>70</v>
      </c>
      <c r="C57" s="134"/>
      <c r="D57" s="75"/>
      <c r="E57" s="106" t="s">
        <v>51</v>
      </c>
      <c r="F57" s="112"/>
      <c r="G57" s="112"/>
      <c r="H57" s="103">
        <f>F57*G57</f>
        <v>0</v>
      </c>
      <c r="I57" s="75"/>
    </row>
    <row r="58" spans="1:9" ht="15.95" customHeight="1">
      <c r="A58" s="514"/>
      <c r="B58" s="107" t="s">
        <v>107</v>
      </c>
      <c r="C58" s="135"/>
      <c r="D58" s="70"/>
      <c r="E58" s="107" t="s">
        <v>50</v>
      </c>
      <c r="F58" s="69"/>
      <c r="G58" s="69"/>
      <c r="H58" s="99">
        <f t="shared" ref="H58:H64" si="1">F58*G58</f>
        <v>0</v>
      </c>
      <c r="I58" s="70"/>
    </row>
    <row r="59" spans="1:9" ht="15.95" customHeight="1">
      <c r="A59" s="514"/>
      <c r="B59" s="159" t="s">
        <v>108</v>
      </c>
      <c r="C59" s="135"/>
      <c r="D59" s="70"/>
      <c r="E59" s="107" t="s">
        <v>50</v>
      </c>
      <c r="F59" s="69"/>
      <c r="G59" s="69"/>
      <c r="H59" s="99">
        <f t="shared" si="1"/>
        <v>0</v>
      </c>
      <c r="I59" s="70"/>
    </row>
    <row r="60" spans="1:9" ht="15.95" customHeight="1">
      <c r="A60" s="514"/>
      <c r="B60" s="107" t="s">
        <v>109</v>
      </c>
      <c r="C60" s="135"/>
      <c r="D60" s="70"/>
      <c r="E60" s="107" t="s">
        <v>50</v>
      </c>
      <c r="F60" s="69"/>
      <c r="G60" s="69"/>
      <c r="H60" s="99">
        <f t="shared" si="1"/>
        <v>0</v>
      </c>
      <c r="I60" s="70"/>
    </row>
    <row r="61" spans="1:9" ht="15.95" customHeight="1">
      <c r="A61" s="514"/>
      <c r="B61" s="107" t="s">
        <v>110</v>
      </c>
      <c r="C61" s="135"/>
      <c r="D61" s="70"/>
      <c r="E61" s="107" t="s">
        <v>50</v>
      </c>
      <c r="F61" s="69"/>
      <c r="G61" s="69"/>
      <c r="H61" s="99">
        <f t="shared" si="1"/>
        <v>0</v>
      </c>
      <c r="I61" s="70"/>
    </row>
    <row r="62" spans="1:9" ht="15.95" customHeight="1">
      <c r="A62" s="514"/>
      <c r="B62" s="107" t="s">
        <v>111</v>
      </c>
      <c r="C62" s="135"/>
      <c r="D62" s="70"/>
      <c r="E62" s="107" t="s">
        <v>50</v>
      </c>
      <c r="F62" s="69"/>
      <c r="G62" s="69"/>
      <c r="H62" s="99">
        <f t="shared" si="1"/>
        <v>0</v>
      </c>
      <c r="I62" s="70"/>
    </row>
    <row r="63" spans="1:9" ht="15.95" customHeight="1">
      <c r="A63" s="514"/>
      <c r="B63" s="107" t="s">
        <v>112</v>
      </c>
      <c r="C63" s="135"/>
      <c r="D63" s="70"/>
      <c r="E63" s="107" t="s">
        <v>50</v>
      </c>
      <c r="F63" s="69"/>
      <c r="G63" s="69"/>
      <c r="H63" s="99">
        <f t="shared" si="1"/>
        <v>0</v>
      </c>
      <c r="I63" s="70"/>
    </row>
    <row r="64" spans="1:9" ht="15.95" customHeight="1">
      <c r="A64" s="514"/>
      <c r="B64" s="108" t="s">
        <v>113</v>
      </c>
      <c r="C64" s="136"/>
      <c r="D64" s="71"/>
      <c r="E64" s="108" t="s">
        <v>50</v>
      </c>
      <c r="F64" s="114"/>
      <c r="G64" s="114"/>
      <c r="H64" s="104">
        <f t="shared" si="1"/>
        <v>0</v>
      </c>
      <c r="I64" s="71"/>
    </row>
    <row r="65" spans="1:9" ht="15.95" customHeight="1">
      <c r="A65" s="76"/>
      <c r="B65" s="95" t="s">
        <v>41</v>
      </c>
      <c r="C65" s="73"/>
      <c r="D65" s="74"/>
      <c r="E65" s="74"/>
      <c r="F65" s="40"/>
      <c r="G65" s="40"/>
      <c r="H65" s="40">
        <f>SUM(H57:H64)</f>
        <v>0</v>
      </c>
      <c r="I65" s="91"/>
    </row>
    <row r="66" spans="1:9" ht="15.95" customHeight="1">
      <c r="A66" s="52"/>
      <c r="B66" s="95" t="s">
        <v>165</v>
      </c>
      <c r="C66" s="73"/>
      <c r="D66" s="74"/>
      <c r="E66" s="74"/>
      <c r="F66" s="30"/>
      <c r="G66" s="30"/>
      <c r="H66" s="56">
        <f>'단위공사별(집계)'!L14+'단위공사별(집계)'!I14</f>
        <v>0</v>
      </c>
      <c r="I66" s="74"/>
    </row>
    <row r="67" spans="1:9" ht="15.95" customHeight="1">
      <c r="A67" s="52"/>
      <c r="B67" s="95" t="s">
        <v>25</v>
      </c>
      <c r="C67" s="73"/>
      <c r="D67" s="74"/>
      <c r="E67" s="74"/>
      <c r="F67" s="30"/>
      <c r="G67" s="55"/>
      <c r="H67" s="115"/>
      <c r="I67" s="73"/>
    </row>
    <row r="68" spans="1:9" ht="15.95" customHeight="1">
      <c r="A68" s="52"/>
      <c r="B68" s="95" t="s">
        <v>146</v>
      </c>
      <c r="C68" s="73"/>
      <c r="D68" s="74"/>
      <c r="E68" s="74"/>
      <c r="F68" s="30"/>
      <c r="G68" s="55"/>
      <c r="H68" s="115"/>
      <c r="I68" s="73"/>
    </row>
    <row r="69" spans="1:9" ht="15.95" customHeight="1">
      <c r="A69" s="52"/>
      <c r="B69" s="95" t="s">
        <v>147</v>
      </c>
      <c r="C69" s="73"/>
      <c r="D69" s="74"/>
      <c r="E69" s="74"/>
      <c r="F69" s="30"/>
      <c r="G69" s="30"/>
      <c r="H69" s="40">
        <f>H56+H65+H66+H67+H68</f>
        <v>0</v>
      </c>
      <c r="I69" s="74"/>
    </row>
    <row r="70" spans="1:9">
      <c r="A70" s="29"/>
    </row>
  </sheetData>
  <mergeCells count="3">
    <mergeCell ref="A2:B2"/>
    <mergeCell ref="A3:A55"/>
    <mergeCell ref="A57:A64"/>
  </mergeCells>
  <phoneticPr fontId="2" type="noConversion"/>
  <printOptions horizontalCentered="1"/>
  <pageMargins left="0.39370078740157483" right="0.39370078740157483" top="0.59055118110236227" bottom="0.39370078740157483" header="0.51181102362204722" footer="0.39370078740157483"/>
  <pageSetup paperSize="9" scale="6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074E-4177-4EBE-B6E0-ADD60708B5C4}">
  <sheetPr codeName="Sheet2">
    <pageSetUpPr fitToPage="1"/>
  </sheetPr>
  <dimension ref="A1:D36"/>
  <sheetViews>
    <sheetView zoomScale="85" workbookViewId="0">
      <selection activeCell="H34" sqref="H34"/>
    </sheetView>
  </sheetViews>
  <sheetFormatPr defaultRowHeight="17.25" customHeight="1"/>
  <cols>
    <col min="1" max="1" width="16.5" style="28" customWidth="1"/>
    <col min="2" max="3" width="27.625" style="28" customWidth="1"/>
    <col min="4" max="4" width="11.5" style="28" customWidth="1"/>
    <col min="5" max="16384" width="9" style="28"/>
  </cols>
  <sheetData>
    <row r="1" spans="1:4" ht="17.25" customHeight="1">
      <c r="A1" s="28" t="s">
        <v>97</v>
      </c>
    </row>
    <row r="2" spans="1:4" ht="17.25" customHeight="1">
      <c r="D2" s="29" t="s">
        <v>98</v>
      </c>
    </row>
    <row r="3" spans="1:4" ht="24.75" customHeight="1">
      <c r="A3" s="88" t="s">
        <v>96</v>
      </c>
    </row>
    <row r="4" spans="1:4" ht="11.25" customHeight="1"/>
    <row r="5" spans="1:4" s="90" customFormat="1" ht="21" customHeight="1" thickBot="1">
      <c r="A5" s="89" t="s">
        <v>62</v>
      </c>
      <c r="B5" s="89" t="s">
        <v>52</v>
      </c>
      <c r="C5" s="89" t="s">
        <v>53</v>
      </c>
      <c r="D5" s="89" t="s">
        <v>27</v>
      </c>
    </row>
    <row r="6" spans="1:4" ht="17.25" customHeight="1" thickTop="1">
      <c r="A6" s="67"/>
      <c r="B6" s="67"/>
      <c r="C6" s="67"/>
      <c r="D6" s="67"/>
    </row>
    <row r="7" spans="1:4" ht="17.25" customHeight="1">
      <c r="A7" s="67"/>
      <c r="B7" s="67"/>
      <c r="C7" s="67"/>
      <c r="D7" s="67"/>
    </row>
    <row r="8" spans="1:4" ht="17.25" customHeight="1">
      <c r="A8" s="67"/>
      <c r="B8" s="67"/>
      <c r="C8" s="67"/>
      <c r="D8" s="67"/>
    </row>
    <row r="9" spans="1:4" ht="17.25" customHeight="1">
      <c r="A9" s="67"/>
      <c r="B9" s="67"/>
      <c r="C9" s="67"/>
      <c r="D9" s="67"/>
    </row>
    <row r="10" spans="1:4" ht="17.25" customHeight="1">
      <c r="A10" s="67"/>
      <c r="B10" s="67"/>
      <c r="C10" s="67"/>
      <c r="D10" s="67"/>
    </row>
    <row r="11" spans="1:4" ht="17.25" customHeight="1">
      <c r="A11" s="67"/>
      <c r="B11" s="67"/>
      <c r="C11" s="67"/>
      <c r="D11" s="67"/>
    </row>
    <row r="12" spans="1:4" ht="17.25" customHeight="1">
      <c r="A12" s="67"/>
      <c r="B12" s="67"/>
      <c r="C12" s="67"/>
      <c r="D12" s="67"/>
    </row>
    <row r="13" spans="1:4" ht="17.25" customHeight="1">
      <c r="A13" s="67"/>
      <c r="B13" s="67"/>
      <c r="C13" s="67"/>
      <c r="D13" s="67"/>
    </row>
    <row r="14" spans="1:4" ht="17.25" customHeight="1">
      <c r="A14" s="67"/>
      <c r="B14" s="67"/>
      <c r="C14" s="67"/>
      <c r="D14" s="67"/>
    </row>
    <row r="15" spans="1:4" ht="17.25" customHeight="1">
      <c r="A15" s="67"/>
      <c r="B15" s="67"/>
      <c r="C15" s="67"/>
      <c r="D15" s="67"/>
    </row>
    <row r="16" spans="1:4" ht="17.25" customHeight="1">
      <c r="A16" s="67"/>
      <c r="B16" s="67"/>
      <c r="C16" s="67"/>
      <c r="D16" s="67"/>
    </row>
    <row r="17" spans="1:4" ht="17.25" customHeight="1">
      <c r="A17" s="67"/>
      <c r="B17" s="67"/>
      <c r="C17" s="67"/>
      <c r="D17" s="67"/>
    </row>
    <row r="18" spans="1:4" ht="17.25" customHeight="1">
      <c r="A18" s="67"/>
      <c r="B18" s="67"/>
      <c r="C18" s="67"/>
      <c r="D18" s="67"/>
    </row>
    <row r="19" spans="1:4" ht="17.25" customHeight="1">
      <c r="A19" s="67"/>
      <c r="B19" s="67"/>
      <c r="C19" s="67"/>
      <c r="D19" s="67"/>
    </row>
    <row r="20" spans="1:4" ht="17.25" customHeight="1">
      <c r="A20" s="67"/>
      <c r="B20" s="67"/>
      <c r="C20" s="67"/>
      <c r="D20" s="67"/>
    </row>
    <row r="21" spans="1:4" ht="17.25" customHeight="1">
      <c r="A21" s="67"/>
      <c r="B21" s="67"/>
      <c r="C21" s="67"/>
      <c r="D21" s="67"/>
    </row>
    <row r="22" spans="1:4" ht="17.25" customHeight="1">
      <c r="A22" s="67"/>
      <c r="B22" s="67"/>
      <c r="C22" s="67"/>
      <c r="D22" s="67"/>
    </row>
    <row r="23" spans="1:4" ht="17.25" customHeight="1">
      <c r="A23" s="67"/>
      <c r="B23" s="67"/>
      <c r="C23" s="67"/>
      <c r="D23" s="67"/>
    </row>
    <row r="24" spans="1:4" ht="17.25" customHeight="1">
      <c r="A24" s="67"/>
      <c r="B24" s="67"/>
      <c r="C24" s="67"/>
      <c r="D24" s="67"/>
    </row>
    <row r="25" spans="1:4" ht="17.25" customHeight="1">
      <c r="A25" s="67"/>
      <c r="B25" s="67"/>
      <c r="C25" s="67"/>
      <c r="D25" s="67"/>
    </row>
    <row r="26" spans="1:4" ht="17.25" customHeight="1">
      <c r="A26" s="67"/>
      <c r="B26" s="67"/>
      <c r="C26" s="67"/>
      <c r="D26" s="67"/>
    </row>
    <row r="27" spans="1:4" ht="17.25" customHeight="1">
      <c r="A27" s="67"/>
      <c r="B27" s="67"/>
      <c r="C27" s="67"/>
      <c r="D27" s="67"/>
    </row>
    <row r="28" spans="1:4" ht="17.25" customHeight="1">
      <c r="A28" s="67"/>
      <c r="B28" s="67"/>
      <c r="C28" s="67"/>
      <c r="D28" s="67"/>
    </row>
    <row r="29" spans="1:4" ht="17.25" customHeight="1">
      <c r="A29" s="67"/>
      <c r="B29" s="67"/>
      <c r="C29" s="67"/>
      <c r="D29" s="67"/>
    </row>
    <row r="30" spans="1:4" ht="17.25" customHeight="1">
      <c r="A30" s="67"/>
      <c r="B30" s="67"/>
      <c r="C30" s="67"/>
      <c r="D30" s="67"/>
    </row>
    <row r="31" spans="1:4" ht="17.25" customHeight="1">
      <c r="A31" s="67"/>
      <c r="B31" s="67"/>
      <c r="C31" s="67"/>
      <c r="D31" s="67"/>
    </row>
    <row r="32" spans="1:4" ht="17.25" customHeight="1">
      <c r="A32" s="67"/>
      <c r="B32" s="67"/>
      <c r="C32" s="67"/>
      <c r="D32" s="67"/>
    </row>
    <row r="33" spans="1:4" ht="17.25" customHeight="1">
      <c r="A33" s="67"/>
      <c r="B33" s="67"/>
      <c r="C33" s="67"/>
      <c r="D33" s="67"/>
    </row>
    <row r="34" spans="1:4" ht="17.25" customHeight="1">
      <c r="A34" s="67"/>
      <c r="B34" s="67"/>
      <c r="C34" s="67"/>
      <c r="D34" s="67"/>
    </row>
    <row r="35" spans="1:4" ht="17.25" customHeight="1">
      <c r="A35" s="67"/>
      <c r="B35" s="67"/>
      <c r="C35" s="67"/>
      <c r="D35" s="67"/>
    </row>
    <row r="36" spans="1:4" ht="17.25" customHeight="1">
      <c r="A36" s="91"/>
      <c r="B36" s="91"/>
      <c r="C36" s="91"/>
      <c r="D36" s="91"/>
    </row>
  </sheetData>
  <phoneticPr fontId="2" type="noConversion"/>
  <printOptions horizontalCentered="1"/>
  <pageMargins left="0.39370078740157483" right="0.39370078740157483" top="0.78740157480314965" bottom="0.39370078740157483" header="0.51181102362204722" footer="0.19685039370078741"/>
  <pageSetup paperSize="9" orientation="portrait" horizontalDpi="4294967292" verticalDpi="0" r:id="rId1"/>
  <headerFooter alignWithMargins="0">
    <oddHeader>&amp;C&amp;G</oddHeader>
    <oddFooter>&amp;L_x000D_&amp;1#&amp;"Malgun Gothic"&amp;6&amp;K000000 외부 전송용(No Protection) 박혜인 책임매니저 설비구매팀 hipark87@hyundai-wia.com 2025-04-24T10:48:50 본 문서는 현대위아(주)의 정보 자산으로써 무단으로 전제 및 복제할 수 없으며, 이를 위반할 시에는 당사 사규 및 관련 법규에 의해 제재를 받을 수 있습니다.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294981cf8a1756a200a00f3083da243f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bf1ae5d8a756e9fc4b55d1b2825d7567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3A164-FFB6-4062-A18A-71E32DD796EB}"/>
</file>

<file path=customXml/itemProps2.xml><?xml version="1.0" encoding="utf-8"?>
<ds:datastoreItem xmlns:ds="http://schemas.openxmlformats.org/officeDocument/2006/customXml" ds:itemID="{450C1F76-38BE-4D5C-87FB-5A2A10575838}">
  <ds:schemaRefs>
    <ds:schemaRef ds:uri="http://schemas.microsoft.com/office/2006/metadata/properties"/>
    <ds:schemaRef ds:uri="http://schemas.microsoft.com/office/infopath/2007/PartnerControls"/>
    <ds:schemaRef ds:uri="83072e89-4523-4537-ba2a-0afc19ac2fb1"/>
    <ds:schemaRef ds:uri="ac81bacf-79d0-4aea-837c-13076957425d"/>
  </ds:schemaRefs>
</ds:datastoreItem>
</file>

<file path=customXml/itemProps3.xml><?xml version="1.0" encoding="utf-8"?>
<ds:datastoreItem xmlns:ds="http://schemas.openxmlformats.org/officeDocument/2006/customXml" ds:itemID="{4C259AFF-63CF-4C1F-822A-2DD7E116B67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30cd02f-714d-4653-8382-0ecf5aacd0fa}" enabled="1" method="Privileged" siteId="{9682717c-e5aa-4e3f-ae88-3507a84b4611}" contentBits="6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6</vt:i4>
      </vt:variant>
    </vt:vector>
  </HeadingPairs>
  <TitlesOfParts>
    <vt:vector size="21" baseType="lpstr">
      <vt:lpstr>갑지</vt:lpstr>
      <vt:lpstr>원가항목별(집계)</vt:lpstr>
      <vt:lpstr>단위공사별(집계)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첨부(견적조건차이내역)</vt:lpstr>
      <vt:lpstr>갑지!Print_Area</vt:lpstr>
      <vt:lpstr>'단위공사별(집계)'!Print_Area</vt:lpstr>
      <vt:lpstr>'원가항목별(집계)'!Print_Area</vt:lpstr>
      <vt:lpstr>전기!Print_Area</vt:lpstr>
      <vt:lpstr>'첨부(견적조건차이내역)'!Print_Area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김철권</cp:lastModifiedBy>
  <cp:lastPrinted>2025-12-19T02:00:37Z</cp:lastPrinted>
  <dcterms:created xsi:type="dcterms:W3CDTF">2001-06-04T06:04:44Z</dcterms:created>
  <dcterms:modified xsi:type="dcterms:W3CDTF">2025-12-19T03:00:01Z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0x01010084EEACC2FBBAA64B8A9BB96350026B5F</vt:lpwstr>
  </property>
  <property fmtid="{D5CDD505-2E9C-101B-9397-08002B2CF9AE}" pid="3" name="MediaServiceImageTags">
    <vt:lpwstr/>
  </property>
</Properties>
</file>