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\Desktop\0720\"/>
    </mc:Choice>
  </mc:AlternateContent>
  <xr:revisionPtr revIDLastSave="0" documentId="13_ncr:101_{D9B27703-D0B3-4855-9A53-6D9D178AB374}" xr6:coauthVersionLast="47" xr6:coauthVersionMax="47" xr10:uidLastSave="{00000000-0000-0000-0000-000000000000}"/>
  <bookViews>
    <workbookView xWindow="-108" yWindow="-108" windowWidth="21864" windowHeight="13176" xr2:uid="{A03CDE4F-409C-4360-970C-5AD29A56716F}"/>
  </bookViews>
  <sheets>
    <sheet name="갑지" sheetId="2" r:id="rId1"/>
    <sheet name="원가항목별(집계)" sheetId="3" r:id="rId2"/>
    <sheet name="단위공사별(집계)" sheetId="4" r:id="rId3"/>
    <sheet name="전기" sheetId="5" r:id="rId4"/>
    <sheet name="#10" sheetId="6" r:id="rId5"/>
    <sheet name="#20" sheetId="7" r:id="rId6"/>
    <sheet name="#30" sheetId="8" r:id="rId7"/>
    <sheet name="#40" sheetId="9" r:id="rId8"/>
    <sheet name="#50" sheetId="10" r:id="rId9"/>
    <sheet name="#60" sheetId="11" r:id="rId10"/>
    <sheet name="#70" sheetId="12" r:id="rId11"/>
    <sheet name="#80" sheetId="13" r:id="rId12"/>
    <sheet name="#90" sheetId="14" r:id="rId13"/>
    <sheet name="#100" sheetId="15" r:id="rId14"/>
    <sheet name="#110" sheetId="16" r:id="rId15"/>
    <sheet name="#120" sheetId="17" r:id="rId16"/>
    <sheet name="#130" sheetId="18" r:id="rId17"/>
    <sheet name="#140" sheetId="19" r:id="rId18"/>
    <sheet name="#150" sheetId="20" r:id="rId19"/>
    <sheet name="#160" sheetId="21" r:id="rId20"/>
    <sheet name="#170" sheetId="22" r:id="rId21"/>
    <sheet name="#180" sheetId="23" r:id="rId22"/>
    <sheet name="#190" sheetId="24" r:id="rId23"/>
    <sheet name="#200" sheetId="25" r:id="rId24"/>
  </sheets>
  <externalReferences>
    <externalReference r:id="rId25"/>
  </externalReferences>
  <definedNames>
    <definedName name="_xlnm._FilterDatabase" localSheetId="4" hidden="1">'#10'!$A$2:$I$70</definedName>
    <definedName name="_xlnm._FilterDatabase" localSheetId="14" hidden="1">'#110'!$K$2:$K$120</definedName>
    <definedName name="_xlnm._FilterDatabase" localSheetId="15" hidden="1">'#120'!$J$2:$J$68</definedName>
    <definedName name="_xlnm._FilterDatabase" localSheetId="16" hidden="1">'#130'!$J$2:$J$68</definedName>
    <definedName name="_xlnm._FilterDatabase" localSheetId="17" hidden="1">'#140'!$J$2:$J$69</definedName>
    <definedName name="_xlnm._FilterDatabase" localSheetId="18" hidden="1">'#150'!$J$2:$J$69</definedName>
    <definedName name="_xlnm._FilterDatabase" localSheetId="19" hidden="1">'#160'!$J$2:$J$68</definedName>
    <definedName name="_xlnm._FilterDatabase" localSheetId="20" hidden="1">'#170'!$J$2:$J$69</definedName>
    <definedName name="_xlnm._FilterDatabase" localSheetId="21" hidden="1">'#180'!$J$2:$J$68</definedName>
    <definedName name="_xlnm._FilterDatabase" localSheetId="22" hidden="1">'#190'!$J$2:$J$68</definedName>
    <definedName name="_xlnm._FilterDatabase" localSheetId="5" hidden="1">'#20'!$A$2:$I$125</definedName>
    <definedName name="_xlnm._FilterDatabase" localSheetId="23" hidden="1">'#200'!$J$2:$J$68</definedName>
    <definedName name="_xlnm._FilterDatabase" localSheetId="6" hidden="1">'#30'!$J$2:$J$61</definedName>
    <definedName name="_xlnm._FilterDatabase" localSheetId="7" hidden="1">'#40'!$J$2:$J$62</definedName>
    <definedName name="_xlnm._FilterDatabase" localSheetId="8" hidden="1">'#50'!$J$2:$J$54</definedName>
    <definedName name="_xlnm._FilterDatabase" localSheetId="9" hidden="1">'#60'!$J$2:$J$69</definedName>
    <definedName name="_xlnm._FilterDatabase" localSheetId="10" hidden="1">'#70'!$J$2:$J$68</definedName>
    <definedName name="_xlnm._FilterDatabase" localSheetId="11" hidden="1">'#80'!$J$2:$J$64</definedName>
    <definedName name="_xlnm._FilterDatabase" localSheetId="3" hidden="1">전기!$A$2:$I$47</definedName>
    <definedName name="_xlnm.Print_Area" localSheetId="14">'#110'!$B$1:$J$120</definedName>
    <definedName name="_xlnm.Print_Area" localSheetId="0">갑지!$B:$I</definedName>
    <definedName name="_xlnm.Print_Area" localSheetId="2">'단위공사별(집계)'!$A$1:$O$30</definedName>
    <definedName name="_xlnm.Print_Area" localSheetId="1">'원가항목별(집계)'!$A$1:$J$44</definedName>
    <definedName name="_xlnm.Print_Area" localSheetId="3">전기!$A:$I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25" l="1"/>
  <c r="H62" i="25"/>
  <c r="H61" i="25"/>
  <c r="G26" i="4" s="1"/>
  <c r="H60" i="25"/>
  <c r="H59" i="25"/>
  <c r="H58" i="25"/>
  <c r="H57" i="25"/>
  <c r="H56" i="25"/>
  <c r="H64" i="25" s="1"/>
  <c r="H53" i="25"/>
  <c r="H52" i="25"/>
  <c r="H51" i="25"/>
  <c r="H50" i="25"/>
  <c r="H49" i="25"/>
  <c r="H48" i="25"/>
  <c r="H47" i="25"/>
  <c r="H54" i="25" s="1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46" i="25" s="1"/>
  <c r="H25" i="25"/>
  <c r="H24" i="25"/>
  <c r="H23" i="25"/>
  <c r="H22" i="25"/>
  <c r="H21" i="25"/>
  <c r="H26" i="25" s="1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0" i="25" s="1"/>
  <c r="H63" i="24"/>
  <c r="F25" i="4" s="1"/>
  <c r="H62" i="24"/>
  <c r="H61" i="24"/>
  <c r="H60" i="24"/>
  <c r="H59" i="24"/>
  <c r="H58" i="24"/>
  <c r="H57" i="24"/>
  <c r="H56" i="24"/>
  <c r="H64" i="24" s="1"/>
  <c r="H53" i="24"/>
  <c r="H52" i="24"/>
  <c r="H51" i="24"/>
  <c r="H50" i="24"/>
  <c r="H49" i="24"/>
  <c r="H48" i="24"/>
  <c r="H47" i="24"/>
  <c r="H54" i="24" s="1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46" i="24" s="1"/>
  <c r="H25" i="24"/>
  <c r="H24" i="24"/>
  <c r="H23" i="24"/>
  <c r="H22" i="24"/>
  <c r="H21" i="24"/>
  <c r="H26" i="24" s="1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0" i="24" s="1"/>
  <c r="H63" i="23"/>
  <c r="H62" i="23"/>
  <c r="H61" i="23"/>
  <c r="H60" i="23"/>
  <c r="H59" i="23"/>
  <c r="H58" i="23"/>
  <c r="H57" i="23"/>
  <c r="F24" i="4" s="1"/>
  <c r="H56" i="23"/>
  <c r="H64" i="23" s="1"/>
  <c r="H53" i="23"/>
  <c r="H52" i="23"/>
  <c r="H51" i="23"/>
  <c r="H50" i="23"/>
  <c r="H49" i="23"/>
  <c r="H48" i="23"/>
  <c r="H47" i="23"/>
  <c r="H54" i="23" s="1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46" i="23" s="1"/>
  <c r="H25" i="23"/>
  <c r="H24" i="23"/>
  <c r="H23" i="23"/>
  <c r="H22" i="23"/>
  <c r="H21" i="23"/>
  <c r="H26" i="23" s="1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0" i="23" s="1"/>
  <c r="H64" i="22"/>
  <c r="H63" i="22"/>
  <c r="H62" i="22"/>
  <c r="H61" i="22"/>
  <c r="H60" i="22"/>
  <c r="F23" i="4" s="1"/>
  <c r="H59" i="22"/>
  <c r="H58" i="22"/>
  <c r="H57" i="22"/>
  <c r="H65" i="22" s="1"/>
  <c r="H54" i="22"/>
  <c r="H53" i="22"/>
  <c r="H52" i="22"/>
  <c r="H51" i="22"/>
  <c r="H50" i="22"/>
  <c r="H49" i="22"/>
  <c r="H48" i="22"/>
  <c r="H55" i="22" s="1"/>
  <c r="H56" i="22" s="1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47" i="22" s="1"/>
  <c r="H26" i="22"/>
  <c r="H25" i="22"/>
  <c r="H24" i="22"/>
  <c r="H23" i="22"/>
  <c r="H22" i="22"/>
  <c r="H21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20" i="22" s="1"/>
  <c r="H3" i="22"/>
  <c r="H63" i="21"/>
  <c r="H62" i="21"/>
  <c r="H22" i="4" s="1"/>
  <c r="H61" i="21"/>
  <c r="H60" i="21"/>
  <c r="H59" i="21"/>
  <c r="H58" i="21"/>
  <c r="H57" i="21"/>
  <c r="H56" i="21"/>
  <c r="H64" i="21" s="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5" i="21"/>
  <c r="H24" i="21"/>
  <c r="H23" i="21"/>
  <c r="H22" i="21"/>
  <c r="H21" i="21"/>
  <c r="H26" i="21" s="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0" i="21" s="1"/>
  <c r="H64" i="20"/>
  <c r="H63" i="20"/>
  <c r="H62" i="20"/>
  <c r="H61" i="20"/>
  <c r="H60" i="20"/>
  <c r="H59" i="20"/>
  <c r="H58" i="20"/>
  <c r="H57" i="20"/>
  <c r="H65" i="20" s="1"/>
  <c r="H54" i="20"/>
  <c r="H53" i="20"/>
  <c r="H52" i="20"/>
  <c r="H51" i="20"/>
  <c r="H50" i="20"/>
  <c r="H49" i="20"/>
  <c r="H55" i="20" s="1"/>
  <c r="H48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47" i="20" s="1"/>
  <c r="H30" i="20"/>
  <c r="H29" i="20"/>
  <c r="H28" i="20"/>
  <c r="H27" i="20"/>
  <c r="H25" i="20"/>
  <c r="H24" i="20"/>
  <c r="H23" i="20"/>
  <c r="H26" i="20" s="1"/>
  <c r="H22" i="20"/>
  <c r="H21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20" i="20" s="1"/>
  <c r="H3" i="20"/>
  <c r="H64" i="19"/>
  <c r="H63" i="19"/>
  <c r="H62" i="19"/>
  <c r="H61" i="19"/>
  <c r="H60" i="19"/>
  <c r="H59" i="19"/>
  <c r="H58" i="19"/>
  <c r="F20" i="4" s="1"/>
  <c r="H57" i="19"/>
  <c r="H65" i="19" s="1"/>
  <c r="H54" i="19"/>
  <c r="H53" i="19"/>
  <c r="H52" i="19"/>
  <c r="H51" i="19"/>
  <c r="H50" i="19"/>
  <c r="H49" i="19"/>
  <c r="H48" i="19"/>
  <c r="H55" i="19" s="1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47" i="19" s="1"/>
  <c r="H26" i="19"/>
  <c r="H25" i="19"/>
  <c r="H24" i="19"/>
  <c r="H23" i="19"/>
  <c r="H22" i="19"/>
  <c r="H21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0" i="19" s="1"/>
  <c r="H63" i="18"/>
  <c r="H62" i="18"/>
  <c r="H61" i="18"/>
  <c r="H60" i="18"/>
  <c r="H59" i="18"/>
  <c r="H58" i="18"/>
  <c r="F19" i="4" s="1"/>
  <c r="H57" i="18"/>
  <c r="H56" i="18"/>
  <c r="H64" i="18" s="1"/>
  <c r="H53" i="18"/>
  <c r="H52" i="18"/>
  <c r="H51" i="18"/>
  <c r="H50" i="18"/>
  <c r="H49" i="18"/>
  <c r="H48" i="18"/>
  <c r="H47" i="18"/>
  <c r="H54" i="18" s="1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46" i="18" s="1"/>
  <c r="H25" i="18"/>
  <c r="H24" i="18"/>
  <c r="H23" i="18"/>
  <c r="H22" i="18"/>
  <c r="H21" i="18"/>
  <c r="H20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19" i="18" s="1"/>
  <c r="H63" i="17"/>
  <c r="H62" i="17"/>
  <c r="H61" i="17"/>
  <c r="H60" i="17"/>
  <c r="H59" i="17"/>
  <c r="H58" i="17"/>
  <c r="F18" i="4" s="1"/>
  <c r="H57" i="17"/>
  <c r="H56" i="17"/>
  <c r="H64" i="17" s="1"/>
  <c r="H53" i="17"/>
  <c r="H52" i="17"/>
  <c r="H51" i="17"/>
  <c r="H50" i="17"/>
  <c r="H49" i="17"/>
  <c r="H48" i="17"/>
  <c r="H47" i="17"/>
  <c r="H54" i="17" s="1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46" i="17" s="1"/>
  <c r="H24" i="17"/>
  <c r="H23" i="17"/>
  <c r="H22" i="17"/>
  <c r="H21" i="17"/>
  <c r="H25" i="17" s="1"/>
  <c r="H20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19" i="17" s="1"/>
  <c r="I115" i="16"/>
  <c r="I114" i="16"/>
  <c r="I113" i="16"/>
  <c r="I112" i="16"/>
  <c r="I111" i="16"/>
  <c r="I110" i="16"/>
  <c r="F17" i="4" s="1"/>
  <c r="I109" i="16"/>
  <c r="I108" i="16"/>
  <c r="I116" i="16" s="1"/>
  <c r="I106" i="16"/>
  <c r="I105" i="16"/>
  <c r="I104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103" i="16" s="1"/>
  <c r="I50" i="16"/>
  <c r="I49" i="16"/>
  <c r="I48" i="16"/>
  <c r="I51" i="16" s="1"/>
  <c r="I46" i="16"/>
  <c r="I44" i="16"/>
  <c r="I43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47" i="16" s="1"/>
  <c r="H62" i="15"/>
  <c r="H61" i="15"/>
  <c r="H60" i="15"/>
  <c r="H59" i="15"/>
  <c r="G16" i="4" s="1"/>
  <c r="H58" i="15"/>
  <c r="H57" i="15"/>
  <c r="H56" i="15"/>
  <c r="H55" i="15"/>
  <c r="H63" i="15" s="1"/>
  <c r="H52" i="15"/>
  <c r="H51" i="15"/>
  <c r="H50" i="15"/>
  <c r="H49" i="15"/>
  <c r="H48" i="15"/>
  <c r="H47" i="15"/>
  <c r="H46" i="15"/>
  <c r="H53" i="15" s="1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45" i="15" s="1"/>
  <c r="H22" i="15"/>
  <c r="H21" i="15"/>
  <c r="H20" i="15"/>
  <c r="H19" i="15"/>
  <c r="H18" i="15"/>
  <c r="H23" i="15" s="1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17" i="15" s="1"/>
  <c r="H71" i="14"/>
  <c r="H70" i="14"/>
  <c r="H69" i="14"/>
  <c r="H68" i="14"/>
  <c r="H67" i="14"/>
  <c r="H66" i="14"/>
  <c r="H65" i="14"/>
  <c r="F15" i="4" s="1"/>
  <c r="H64" i="14"/>
  <c r="H72" i="14" s="1"/>
  <c r="H61" i="14"/>
  <c r="H60" i="14"/>
  <c r="H59" i="14"/>
  <c r="H58" i="14"/>
  <c r="H57" i="14"/>
  <c r="H56" i="14"/>
  <c r="H55" i="14"/>
  <c r="H62" i="14" s="1"/>
  <c r="H63" i="14" s="1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4" i="14"/>
  <c r="H54" i="14" s="1"/>
  <c r="H23" i="14"/>
  <c r="H22" i="14"/>
  <c r="H21" i="14"/>
  <c r="H20" i="14"/>
  <c r="H19" i="14"/>
  <c r="H18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17" i="14" s="1"/>
  <c r="H59" i="13"/>
  <c r="H58" i="13"/>
  <c r="H14" i="4" s="1"/>
  <c r="H57" i="13"/>
  <c r="H56" i="13"/>
  <c r="H55" i="13"/>
  <c r="H54" i="13"/>
  <c r="H53" i="13"/>
  <c r="H52" i="13"/>
  <c r="H60" i="13" s="1"/>
  <c r="H50" i="13"/>
  <c r="H49" i="13"/>
  <c r="H48" i="13"/>
  <c r="H47" i="13"/>
  <c r="H46" i="13"/>
  <c r="H45" i="13"/>
  <c r="H44" i="13"/>
  <c r="H43" i="13"/>
  <c r="H42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7" i="13"/>
  <c r="H16" i="13"/>
  <c r="H15" i="13"/>
  <c r="H18" i="13" s="1"/>
  <c r="H14" i="13"/>
  <c r="H13" i="13"/>
  <c r="H10" i="13"/>
  <c r="H9" i="13"/>
  <c r="H8" i="13"/>
  <c r="H7" i="13"/>
  <c r="H6" i="13"/>
  <c r="H5" i="13"/>
  <c r="H4" i="13"/>
  <c r="H3" i="13"/>
  <c r="H12" i="13" s="1"/>
  <c r="H64" i="12"/>
  <c r="H63" i="12"/>
  <c r="H62" i="12"/>
  <c r="H61" i="12"/>
  <c r="H60" i="12"/>
  <c r="H59" i="12"/>
  <c r="H58" i="12"/>
  <c r="H57" i="12"/>
  <c r="H56" i="12"/>
  <c r="I12" i="3" s="1"/>
  <c r="H53" i="12"/>
  <c r="H52" i="12"/>
  <c r="H51" i="12"/>
  <c r="H50" i="12"/>
  <c r="H49" i="12"/>
  <c r="H48" i="12"/>
  <c r="H54" i="12" s="1"/>
  <c r="H47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46" i="12" s="1"/>
  <c r="H20" i="12"/>
  <c r="H18" i="12"/>
  <c r="H17" i="12"/>
  <c r="H16" i="12"/>
  <c r="H15" i="12"/>
  <c r="H19" i="12" s="1"/>
  <c r="H14" i="12"/>
  <c r="H11" i="12"/>
  <c r="H10" i="12"/>
  <c r="H9" i="12"/>
  <c r="H8" i="12"/>
  <c r="H7" i="12"/>
  <c r="H6" i="12"/>
  <c r="H5" i="12"/>
  <c r="H4" i="12"/>
  <c r="H13" i="12" s="1"/>
  <c r="H3" i="12"/>
  <c r="H64" i="11"/>
  <c r="H63" i="11"/>
  <c r="H12" i="4" s="1"/>
  <c r="H62" i="11"/>
  <c r="H61" i="11"/>
  <c r="H60" i="11"/>
  <c r="H59" i="11"/>
  <c r="H58" i="11"/>
  <c r="H57" i="11"/>
  <c r="H65" i="11" s="1"/>
  <c r="H55" i="11"/>
  <c r="H54" i="11"/>
  <c r="H53" i="11"/>
  <c r="H52" i="11"/>
  <c r="H51" i="11"/>
  <c r="H50" i="11"/>
  <c r="H49" i="11"/>
  <c r="H48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47" i="11" s="1"/>
  <c r="H20" i="11"/>
  <c r="H19" i="11"/>
  <c r="H18" i="11"/>
  <c r="H17" i="11"/>
  <c r="H16" i="11"/>
  <c r="H21" i="11" s="1"/>
  <c r="H13" i="11"/>
  <c r="H12" i="11"/>
  <c r="H11" i="11"/>
  <c r="H10" i="11"/>
  <c r="H9" i="11"/>
  <c r="H8" i="11"/>
  <c r="H7" i="11"/>
  <c r="H6" i="11"/>
  <c r="H5" i="11"/>
  <c r="H4" i="11"/>
  <c r="H3" i="11"/>
  <c r="H15" i="11" s="1"/>
  <c r="H49" i="10"/>
  <c r="H48" i="10"/>
  <c r="H47" i="10"/>
  <c r="H46" i="10"/>
  <c r="H45" i="10"/>
  <c r="H44" i="10"/>
  <c r="H43" i="10"/>
  <c r="H42" i="10"/>
  <c r="H50" i="10" s="1"/>
  <c r="H39" i="10"/>
  <c r="H38" i="10"/>
  <c r="H37" i="10"/>
  <c r="H36" i="10"/>
  <c r="H35" i="10"/>
  <c r="H34" i="10"/>
  <c r="H40" i="10" s="1"/>
  <c r="H33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32" i="10" s="1"/>
  <c r="H17" i="10"/>
  <c r="H16" i="10"/>
  <c r="H15" i="10"/>
  <c r="H14" i="10"/>
  <c r="H18" i="10" s="1"/>
  <c r="H13" i="10"/>
  <c r="H10" i="10"/>
  <c r="H9" i="10"/>
  <c r="H8" i="10"/>
  <c r="H7" i="10"/>
  <c r="H6" i="10"/>
  <c r="H5" i="10"/>
  <c r="H4" i="10"/>
  <c r="H3" i="10"/>
  <c r="H12" i="10" s="1"/>
  <c r="H57" i="9"/>
  <c r="H56" i="9"/>
  <c r="H55" i="9"/>
  <c r="G10" i="4" s="1"/>
  <c r="H54" i="9"/>
  <c r="H53" i="9"/>
  <c r="H52" i="9"/>
  <c r="H51" i="9"/>
  <c r="H50" i="9"/>
  <c r="H58" i="9" s="1"/>
  <c r="H47" i="9"/>
  <c r="H48" i="9" s="1"/>
  <c r="H46" i="9"/>
  <c r="H45" i="9"/>
  <c r="H44" i="9"/>
  <c r="H43" i="9"/>
  <c r="H42" i="9"/>
  <c r="H41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40" i="9" s="1"/>
  <c r="H21" i="9"/>
  <c r="H19" i="9"/>
  <c r="H18" i="9"/>
  <c r="H17" i="9"/>
  <c r="H16" i="9"/>
  <c r="H15" i="9"/>
  <c r="H20" i="9" s="1"/>
  <c r="H12" i="9"/>
  <c r="H11" i="9"/>
  <c r="H10" i="9"/>
  <c r="H9" i="9"/>
  <c r="H8" i="9"/>
  <c r="H7" i="9"/>
  <c r="H6" i="9"/>
  <c r="H5" i="9"/>
  <c r="H14" i="9" s="1"/>
  <c r="H4" i="9"/>
  <c r="H3" i="9"/>
  <c r="H56" i="8"/>
  <c r="H55" i="8"/>
  <c r="H54" i="8"/>
  <c r="G9" i="4" s="1"/>
  <c r="H53" i="8"/>
  <c r="H52" i="8"/>
  <c r="H51" i="8"/>
  <c r="H50" i="8"/>
  <c r="H49" i="8"/>
  <c r="H57" i="8" s="1"/>
  <c r="H46" i="8"/>
  <c r="H47" i="8" s="1"/>
  <c r="H45" i="8"/>
  <c r="H44" i="8"/>
  <c r="H43" i="8"/>
  <c r="H42" i="8"/>
  <c r="H41" i="8"/>
  <c r="H40" i="8"/>
  <c r="H37" i="8"/>
  <c r="H36" i="8"/>
  <c r="H35" i="8"/>
  <c r="H34" i="8"/>
  <c r="H33" i="8"/>
  <c r="H32" i="8"/>
  <c r="H31" i="8"/>
  <c r="H30" i="8"/>
  <c r="H29" i="8"/>
  <c r="H39" i="8" s="1"/>
  <c r="H28" i="8"/>
  <c r="H27" i="8"/>
  <c r="H26" i="8"/>
  <c r="H25" i="8"/>
  <c r="H24" i="8"/>
  <c r="H23" i="8"/>
  <c r="H21" i="8"/>
  <c r="H22" i="8" s="1"/>
  <c r="H20" i="8"/>
  <c r="H19" i="8"/>
  <c r="H18" i="8"/>
  <c r="H17" i="8"/>
  <c r="H14" i="8"/>
  <c r="H13" i="8"/>
  <c r="H12" i="8"/>
  <c r="H11" i="8"/>
  <c r="H10" i="8"/>
  <c r="H9" i="8"/>
  <c r="H8" i="8"/>
  <c r="H7" i="8"/>
  <c r="H6" i="8"/>
  <c r="H5" i="8"/>
  <c r="H4" i="8"/>
  <c r="H3" i="8"/>
  <c r="H16" i="8" s="1"/>
  <c r="H120" i="7"/>
  <c r="H119" i="7"/>
  <c r="H118" i="7"/>
  <c r="H117" i="7"/>
  <c r="G8" i="4" s="1"/>
  <c r="H116" i="7"/>
  <c r="H115" i="7"/>
  <c r="H114" i="7"/>
  <c r="H113" i="7"/>
  <c r="H121" i="7" s="1"/>
  <c r="H110" i="7"/>
  <c r="H109" i="7"/>
  <c r="H108" i="7"/>
  <c r="H107" i="7"/>
  <c r="H106" i="7"/>
  <c r="H105" i="7"/>
  <c r="H104" i="7"/>
  <c r="H111" i="7" s="1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103" i="7" s="1"/>
  <c r="H50" i="7"/>
  <c r="H49" i="7"/>
  <c r="H48" i="7"/>
  <c r="H51" i="7" s="1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47" i="7" s="1"/>
  <c r="H65" i="6"/>
  <c r="H64" i="6"/>
  <c r="H63" i="6"/>
  <c r="H62" i="6"/>
  <c r="H61" i="6"/>
  <c r="H60" i="6"/>
  <c r="H59" i="6"/>
  <c r="H58" i="6"/>
  <c r="H66" i="6" s="1"/>
  <c r="H55" i="6"/>
  <c r="H54" i="6"/>
  <c r="H53" i="6"/>
  <c r="H52" i="6"/>
  <c r="H51" i="6"/>
  <c r="H50" i="6"/>
  <c r="H49" i="6"/>
  <c r="H56" i="6" s="1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48" i="6" s="1"/>
  <c r="H26" i="6"/>
  <c r="H25" i="6"/>
  <c r="H24" i="6"/>
  <c r="H23" i="6"/>
  <c r="H22" i="6"/>
  <c r="H27" i="6" s="1"/>
  <c r="I10" i="3" s="1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1" i="6" s="1"/>
  <c r="H42" i="5"/>
  <c r="H41" i="5"/>
  <c r="H40" i="5"/>
  <c r="I29" i="3" s="1"/>
  <c r="H39" i="5"/>
  <c r="H38" i="5"/>
  <c r="H37" i="5"/>
  <c r="H36" i="5"/>
  <c r="H43" i="5" s="1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34" i="5" s="1"/>
  <c r="H16" i="5"/>
  <c r="I24" i="3" s="1"/>
  <c r="H15" i="5"/>
  <c r="H14" i="5"/>
  <c r="H13" i="5"/>
  <c r="H12" i="5"/>
  <c r="H11" i="5"/>
  <c r="H10" i="5"/>
  <c r="H8" i="5"/>
  <c r="H7" i="5"/>
  <c r="H6" i="5"/>
  <c r="H5" i="5"/>
  <c r="H4" i="5"/>
  <c r="H3" i="5"/>
  <c r="H9" i="5" s="1"/>
  <c r="H26" i="4"/>
  <c r="F26" i="4"/>
  <c r="E26" i="4"/>
  <c r="B26" i="4"/>
  <c r="L26" i="4" s="1"/>
  <c r="A26" i="4"/>
  <c r="H25" i="4"/>
  <c r="G25" i="4"/>
  <c r="E25" i="4"/>
  <c r="B25" i="4"/>
  <c r="A25" i="4" s="1"/>
  <c r="I24" i="4"/>
  <c r="H24" i="4"/>
  <c r="G24" i="4"/>
  <c r="E24" i="4"/>
  <c r="B24" i="4"/>
  <c r="L24" i="4" s="1"/>
  <c r="H65" i="23" s="1"/>
  <c r="L23" i="4"/>
  <c r="H66" i="22" s="1"/>
  <c r="I23" i="4"/>
  <c r="H23" i="4"/>
  <c r="G23" i="4"/>
  <c r="E23" i="4"/>
  <c r="B23" i="4"/>
  <c r="K23" i="4" s="1"/>
  <c r="A23" i="4"/>
  <c r="G22" i="4"/>
  <c r="F22" i="4"/>
  <c r="E22" i="4"/>
  <c r="B22" i="4"/>
  <c r="L22" i="4" s="1"/>
  <c r="A22" i="4"/>
  <c r="H21" i="4"/>
  <c r="G21" i="4"/>
  <c r="F21" i="4"/>
  <c r="B21" i="4"/>
  <c r="A21" i="4" s="1"/>
  <c r="M20" i="4"/>
  <c r="H20" i="4"/>
  <c r="G20" i="4"/>
  <c r="E20" i="4"/>
  <c r="B20" i="4"/>
  <c r="M19" i="4"/>
  <c r="H19" i="4"/>
  <c r="G19" i="4"/>
  <c r="E19" i="4"/>
  <c r="B19" i="4"/>
  <c r="M18" i="4"/>
  <c r="H18" i="4"/>
  <c r="G18" i="4"/>
  <c r="E18" i="4"/>
  <c r="B18" i="4"/>
  <c r="M17" i="4"/>
  <c r="H17" i="4"/>
  <c r="G17" i="4"/>
  <c r="E17" i="4"/>
  <c r="B17" i="4"/>
  <c r="M16" i="4"/>
  <c r="H16" i="4"/>
  <c r="F16" i="4"/>
  <c r="E16" i="4"/>
  <c r="B16" i="4"/>
  <c r="M15" i="4"/>
  <c r="H15" i="4"/>
  <c r="G15" i="4"/>
  <c r="E15" i="4"/>
  <c r="B15" i="4"/>
  <c r="M14" i="4"/>
  <c r="G14" i="4"/>
  <c r="F14" i="4"/>
  <c r="E14" i="4"/>
  <c r="B14" i="4"/>
  <c r="M13" i="4"/>
  <c r="H13" i="4"/>
  <c r="G13" i="4"/>
  <c r="F13" i="4"/>
  <c r="B13" i="4"/>
  <c r="M12" i="4"/>
  <c r="G12" i="4"/>
  <c r="F12" i="4"/>
  <c r="E12" i="4"/>
  <c r="B12" i="4"/>
  <c r="M11" i="4"/>
  <c r="H11" i="4"/>
  <c r="G11" i="4"/>
  <c r="F11" i="4"/>
  <c r="E11" i="4"/>
  <c r="B11" i="4"/>
  <c r="M10" i="4"/>
  <c r="H10" i="4"/>
  <c r="F10" i="4"/>
  <c r="E10" i="4"/>
  <c r="B10" i="4"/>
  <c r="M9" i="4"/>
  <c r="H9" i="4"/>
  <c r="F9" i="4"/>
  <c r="E9" i="4"/>
  <c r="B9" i="4"/>
  <c r="M8" i="4"/>
  <c r="H8" i="4"/>
  <c r="F8" i="4"/>
  <c r="E8" i="4"/>
  <c r="B8" i="4"/>
  <c r="M7" i="4"/>
  <c r="H7" i="4"/>
  <c r="G7" i="4"/>
  <c r="F7" i="4"/>
  <c r="E7" i="4"/>
  <c r="B7" i="4"/>
  <c r="I33" i="3"/>
  <c r="I31" i="3"/>
  <c r="H31" i="3"/>
  <c r="G31" i="3"/>
  <c r="I30" i="3"/>
  <c r="H30" i="3"/>
  <c r="G30" i="3"/>
  <c r="H29" i="3"/>
  <c r="G29" i="3"/>
  <c r="I28" i="3"/>
  <c r="H28" i="3"/>
  <c r="G28" i="3"/>
  <c r="I27" i="3"/>
  <c r="H27" i="3"/>
  <c r="G27" i="3"/>
  <c r="I26" i="3"/>
  <c r="I32" i="3" s="1"/>
  <c r="H26" i="3"/>
  <c r="G26" i="3"/>
  <c r="I25" i="3"/>
  <c r="H25" i="3"/>
  <c r="G25" i="3"/>
  <c r="H19" i="3"/>
  <c r="G19" i="3"/>
  <c r="H18" i="3"/>
  <c r="G18" i="3"/>
  <c r="H17" i="3"/>
  <c r="G17" i="3"/>
  <c r="I16" i="3"/>
  <c r="H16" i="3"/>
  <c r="G16" i="3"/>
  <c r="H15" i="3"/>
  <c r="G15" i="3"/>
  <c r="H14" i="3"/>
  <c r="G14" i="3"/>
  <c r="H13" i="3"/>
  <c r="G13" i="3"/>
  <c r="H12" i="3"/>
  <c r="G12" i="3"/>
  <c r="G7" i="3"/>
  <c r="H67" i="22" l="1"/>
  <c r="M23" i="4" s="1"/>
  <c r="H68" i="22"/>
  <c r="H55" i="23"/>
  <c r="H66" i="23" s="1"/>
  <c r="M24" i="4" s="1"/>
  <c r="H55" i="24"/>
  <c r="H55" i="18"/>
  <c r="H67" i="24"/>
  <c r="H66" i="24"/>
  <c r="M25" i="4" s="1"/>
  <c r="H66" i="25"/>
  <c r="D15" i="4"/>
  <c r="D23" i="4"/>
  <c r="H69" i="22"/>
  <c r="H55" i="25"/>
  <c r="H67" i="25" s="1"/>
  <c r="H67" i="23"/>
  <c r="H55" i="17"/>
  <c r="H56" i="19"/>
  <c r="H68" i="20"/>
  <c r="H67" i="20"/>
  <c r="H112" i="7"/>
  <c r="H41" i="10"/>
  <c r="I8" i="3"/>
  <c r="H55" i="21"/>
  <c r="I7" i="3"/>
  <c r="H48" i="8"/>
  <c r="H49" i="9"/>
  <c r="H56" i="11"/>
  <c r="H54" i="15"/>
  <c r="H56" i="20"/>
  <c r="I9" i="3"/>
  <c r="H57" i="6"/>
  <c r="H51" i="13"/>
  <c r="F27" i="4"/>
  <c r="G27" i="4"/>
  <c r="H35" i="5"/>
  <c r="H27" i="4"/>
  <c r="H55" i="12"/>
  <c r="I107" i="16"/>
  <c r="I19" i="3"/>
  <c r="L21" i="4"/>
  <c r="H66" i="20" s="1"/>
  <c r="A24" i="4"/>
  <c r="L25" i="4"/>
  <c r="I14" i="3"/>
  <c r="E13" i="4"/>
  <c r="E27" i="4" s="1"/>
  <c r="E28" i="4" s="1"/>
  <c r="E21" i="4"/>
  <c r="K24" i="4"/>
  <c r="I17" i="3"/>
  <c r="J48" i="3" s="1"/>
  <c r="I48" i="3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I22" i="4"/>
  <c r="H65" i="21" s="1"/>
  <c r="I26" i="4"/>
  <c r="H65" i="25" s="1"/>
  <c r="K25" i="4"/>
  <c r="I15" i="3"/>
  <c r="K21" i="4"/>
  <c r="I18" i="3"/>
  <c r="I21" i="4"/>
  <c r="K22" i="4"/>
  <c r="I25" i="4"/>
  <c r="K26" i="4"/>
  <c r="I13" i="3"/>
  <c r="I20" i="3" s="1"/>
  <c r="I36" i="3" l="1"/>
  <c r="D16" i="4"/>
  <c r="D7" i="4"/>
  <c r="D10" i="4"/>
  <c r="D20" i="4"/>
  <c r="D13" i="4"/>
  <c r="D14" i="4"/>
  <c r="D12" i="4"/>
  <c r="D22" i="4"/>
  <c r="D18" i="4"/>
  <c r="J23" i="4"/>
  <c r="N23" i="4" s="1"/>
  <c r="P23" i="4"/>
  <c r="D19" i="4"/>
  <c r="D9" i="4"/>
  <c r="P15" i="4"/>
  <c r="H68" i="24"/>
  <c r="D25" i="4"/>
  <c r="J47" i="3"/>
  <c r="I47" i="3" s="1"/>
  <c r="I39" i="3" s="1"/>
  <c r="I11" i="3"/>
  <c r="I22" i="3" s="1"/>
  <c r="M26" i="4"/>
  <c r="H65" i="24"/>
  <c r="H66" i="21"/>
  <c r="D11" i="4"/>
  <c r="I23" i="3"/>
  <c r="H47" i="5"/>
  <c r="H68" i="23"/>
  <c r="D24" i="4"/>
  <c r="H67" i="21"/>
  <c r="I41" i="3" s="1"/>
  <c r="D8" i="4"/>
  <c r="D17" i="4"/>
  <c r="I40" i="3"/>
  <c r="I21" i="3"/>
  <c r="M21" i="4"/>
  <c r="H69" i="20"/>
  <c r="D21" i="4"/>
  <c r="J39" i="3"/>
  <c r="H68" i="25"/>
  <c r="D26" i="4"/>
  <c r="P10" i="4" l="1"/>
  <c r="D27" i="4"/>
  <c r="P7" i="4"/>
  <c r="M22" i="4"/>
  <c r="P22" i="4" s="1"/>
  <c r="C33" i="2"/>
  <c r="E33" i="2"/>
  <c r="H33" i="2"/>
  <c r="G33" i="2"/>
  <c r="P14" i="4"/>
  <c r="P11" i="4"/>
  <c r="J21" i="4"/>
  <c r="N21" i="4" s="1"/>
  <c r="P21" i="4"/>
  <c r="M27" i="4"/>
  <c r="M28" i="4" s="1"/>
  <c r="P13" i="4"/>
  <c r="P8" i="4"/>
  <c r="J25" i="4"/>
  <c r="N25" i="4" s="1"/>
  <c r="P25" i="4"/>
  <c r="H68" i="21"/>
  <c r="P24" i="4"/>
  <c r="J24" i="4"/>
  <c r="N24" i="4" s="1"/>
  <c r="C43" i="2"/>
  <c r="J22" i="4"/>
  <c r="N22" i="4" s="1"/>
  <c r="P20" i="4"/>
  <c r="I37" i="3"/>
  <c r="P9" i="4"/>
  <c r="P18" i="4"/>
  <c r="P16" i="4"/>
  <c r="J26" i="4"/>
  <c r="N26" i="4" s="1"/>
  <c r="P26" i="4"/>
  <c r="P17" i="4"/>
  <c r="I35" i="3"/>
  <c r="I34" i="3"/>
  <c r="P19" i="4"/>
  <c r="P12" i="4"/>
  <c r="I8" i="4" l="1"/>
  <c r="J8" i="4" s="1"/>
  <c r="P27" i="4"/>
  <c r="I7" i="4"/>
  <c r="C35" i="2"/>
  <c r="E35" i="2"/>
  <c r="H35" i="2"/>
  <c r="G35" i="2"/>
  <c r="H36" i="2"/>
  <c r="G36" i="2"/>
  <c r="E36" i="2"/>
  <c r="C36" i="2"/>
  <c r="I19" i="4"/>
  <c r="J19" i="4" s="1"/>
  <c r="N19" i="4" s="1"/>
  <c r="L19" i="4"/>
  <c r="I13" i="4"/>
  <c r="J13" i="4" s="1"/>
  <c r="G32" i="2"/>
  <c r="H32" i="2"/>
  <c r="E32" i="2"/>
  <c r="C32" i="2"/>
  <c r="I10" i="4"/>
  <c r="J10" i="4" s="1"/>
  <c r="I18" i="4"/>
  <c r="J18" i="4" s="1"/>
  <c r="I17" i="4"/>
  <c r="J17" i="4" s="1"/>
  <c r="K17" i="4"/>
  <c r="K15" i="4"/>
  <c r="K9" i="4"/>
  <c r="K7" i="4"/>
  <c r="K14" i="4"/>
  <c r="K12" i="4"/>
  <c r="K18" i="4"/>
  <c r="K20" i="4"/>
  <c r="K13" i="4"/>
  <c r="K19" i="4"/>
  <c r="K10" i="4"/>
  <c r="K11" i="4"/>
  <c r="K16" i="4"/>
  <c r="K8" i="4"/>
  <c r="H34" i="2"/>
  <c r="G34" i="2"/>
  <c r="E34" i="2"/>
  <c r="C34" i="2"/>
  <c r="I9" i="4"/>
  <c r="J9" i="4" s="1"/>
  <c r="L18" i="4"/>
  <c r="H65" i="17" s="1"/>
  <c r="H68" i="17" s="1"/>
  <c r="C31" i="2"/>
  <c r="H31" i="2"/>
  <c r="E31" i="2"/>
  <c r="G31" i="2"/>
  <c r="I42" i="3"/>
  <c r="J7" i="4" l="1"/>
  <c r="K27" i="4"/>
  <c r="L20" i="4"/>
  <c r="L12" i="4"/>
  <c r="H66" i="11" s="1"/>
  <c r="H69" i="11" s="1"/>
  <c r="L8" i="4"/>
  <c r="H122" i="7" s="1"/>
  <c r="H125" i="7" s="1"/>
  <c r="L16" i="4"/>
  <c r="L13" i="4"/>
  <c r="H65" i="12" s="1"/>
  <c r="H68" i="12" s="1"/>
  <c r="L17" i="4"/>
  <c r="I117" i="16" s="1"/>
  <c r="I120" i="16" s="1"/>
  <c r="L11" i="4"/>
  <c r="I15" i="4"/>
  <c r="J15" i="4" s="1"/>
  <c r="L14" i="4"/>
  <c r="H61" i="13" s="1"/>
  <c r="H64" i="13" s="1"/>
  <c r="L15" i="4"/>
  <c r="H73" i="14" s="1"/>
  <c r="H76" i="14" s="1"/>
  <c r="L10" i="4"/>
  <c r="H59" i="9" s="1"/>
  <c r="H62" i="9" s="1"/>
  <c r="L9" i="4"/>
  <c r="H58" i="8" s="1"/>
  <c r="H61" i="8" s="1"/>
  <c r="L7" i="4"/>
  <c r="H67" i="6" s="1"/>
  <c r="H70" i="6" s="1"/>
  <c r="I14" i="4"/>
  <c r="J14" i="4" s="1"/>
  <c r="N13" i="4"/>
  <c r="I20" i="4"/>
  <c r="J20" i="4" s="1"/>
  <c r="N20" i="4" s="1"/>
  <c r="N17" i="4"/>
  <c r="H65" i="18"/>
  <c r="H68" i="18" s="1"/>
  <c r="I11" i="4"/>
  <c r="I27" i="4" s="1"/>
  <c r="C29" i="2"/>
  <c r="E29" i="2"/>
  <c r="H29" i="2"/>
  <c r="G29" i="2"/>
  <c r="N8" i="4"/>
  <c r="N18" i="4"/>
  <c r="I16" i="4"/>
  <c r="J16" i="4" s="1"/>
  <c r="N16" i="4" s="1"/>
  <c r="I12" i="4"/>
  <c r="J12" i="4" s="1"/>
  <c r="N12" i="4" s="1"/>
  <c r="J27" i="4" l="1"/>
  <c r="N15" i="4"/>
  <c r="G18" i="2"/>
  <c r="H18" i="2"/>
  <c r="E18" i="2"/>
  <c r="C18" i="2"/>
  <c r="H30" i="2"/>
  <c r="G30" i="2"/>
  <c r="E30" i="2"/>
  <c r="C30" i="2"/>
  <c r="H66" i="19"/>
  <c r="H69" i="19" s="1"/>
  <c r="C23" i="2"/>
  <c r="E23" i="2"/>
  <c r="H23" i="2"/>
  <c r="G23" i="2"/>
  <c r="N14" i="4"/>
  <c r="N7" i="4"/>
  <c r="C27" i="2"/>
  <c r="E27" i="2"/>
  <c r="H27" i="2"/>
  <c r="G27" i="2"/>
  <c r="L27" i="4"/>
  <c r="H28" i="2"/>
  <c r="G28" i="2"/>
  <c r="E28" i="2"/>
  <c r="C28" i="2"/>
  <c r="G22" i="2"/>
  <c r="E22" i="2"/>
  <c r="H22" i="2"/>
  <c r="C22" i="2"/>
  <c r="H51" i="10"/>
  <c r="H54" i="10" s="1"/>
  <c r="J11" i="4"/>
  <c r="N11" i="4" s="1"/>
  <c r="H64" i="15"/>
  <c r="H67" i="15" s="1"/>
  <c r="N9" i="4"/>
  <c r="H26" i="2"/>
  <c r="G26" i="2"/>
  <c r="E26" i="2"/>
  <c r="C26" i="2"/>
  <c r="N10" i="4"/>
  <c r="C19" i="2" l="1"/>
  <c r="H19" i="2"/>
  <c r="E19" i="2"/>
  <c r="G19" i="2"/>
  <c r="E17" i="2"/>
  <c r="C17" i="2"/>
  <c r="N27" i="4"/>
  <c r="F17" i="2"/>
  <c r="F37" i="2" s="1"/>
  <c r="H17" i="2"/>
  <c r="G17" i="2"/>
  <c r="C25" i="2"/>
  <c r="H25" i="2"/>
  <c r="G25" i="2"/>
  <c r="E25" i="2"/>
  <c r="H24" i="2"/>
  <c r="G24" i="2"/>
  <c r="E24" i="2"/>
  <c r="C24" i="2"/>
  <c r="C21" i="2"/>
  <c r="E21" i="2"/>
  <c r="H21" i="2"/>
  <c r="G21" i="2"/>
  <c r="H20" i="2"/>
  <c r="G20" i="2"/>
  <c r="E20" i="2"/>
  <c r="C20" i="2"/>
  <c r="N28" i="4" l="1"/>
  <c r="F28" i="4"/>
  <c r="H28" i="4"/>
  <c r="G28" i="4"/>
  <c r="D28" i="4"/>
  <c r="N30" i="4"/>
  <c r="I28" i="4"/>
  <c r="K28" i="4"/>
  <c r="L28" i="4"/>
  <c r="E37" i="2"/>
  <c r="J28" i="4"/>
  <c r="G37" i="2"/>
  <c r="H37" i="2"/>
</calcChain>
</file>

<file path=xl/sharedStrings.xml><?xml version="1.0" encoding="utf-8"?>
<sst xmlns="http://schemas.openxmlformats.org/spreadsheetml/2006/main" count="1747" uniqueCount="344">
  <si>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</si>
  <si>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</si>
  <si>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</si>
  <si>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㈜지이엠</t>
  </si>
  <si>
    <t>견적일자</t>
    <phoneticPr fontId="3" type="noConversion"/>
  </si>
  <si>
    <t>대표 : 송 칠 영 (인)</t>
    <phoneticPr fontId="3" type="noConversion"/>
  </si>
  <si>
    <t>견적번호</t>
    <phoneticPr fontId="3" type="noConversion"/>
  </si>
  <si>
    <t>GD1_191118-003</t>
    <phoneticPr fontId="3" type="noConversion"/>
  </si>
  <si>
    <t xml:space="preserve">주소 : 경남 창원시 성산구 </t>
    <phoneticPr fontId="3" type="noConversion"/>
  </si>
  <si>
    <t>납기</t>
    <phoneticPr fontId="3" type="noConversion"/>
  </si>
  <si>
    <t>입하</t>
    <phoneticPr fontId="3" type="noConversion"/>
  </si>
  <si>
    <t xml:space="preserve">         성산패총로24번길 1</t>
    <phoneticPr fontId="3" type="noConversion"/>
  </si>
  <si>
    <t>최종검수</t>
    <phoneticPr fontId="3" type="noConversion"/>
  </si>
  <si>
    <t>전화: 055-282-9488</t>
    <phoneticPr fontId="3" type="noConversion"/>
  </si>
  <si>
    <t>견적유효기간</t>
    <phoneticPr fontId="3" type="noConversion"/>
  </si>
  <si>
    <t>견적일로부터30일</t>
    <phoneticPr fontId="3" type="noConversion"/>
  </si>
  <si>
    <t>Fax: 055-282-9484 / 9490</t>
    <phoneticPr fontId="3" type="noConversion"/>
  </si>
  <si>
    <t>인도장소</t>
    <phoneticPr fontId="3" type="noConversion"/>
  </si>
  <si>
    <t>현대위아 공장</t>
    <phoneticPr fontId="3" type="noConversion"/>
  </si>
  <si>
    <t>견적담당:</t>
    <phoneticPr fontId="3" type="noConversion"/>
  </si>
  <si>
    <t>정대헌부장</t>
    <phoneticPr fontId="3" type="noConversion"/>
  </si>
  <si>
    <t>지불조건</t>
    <phoneticPr fontId="3" type="noConversion"/>
  </si>
  <si>
    <t>현대위아 기준</t>
    <phoneticPr fontId="3" type="noConversion"/>
  </si>
  <si>
    <t>연 락 처 :</t>
    <phoneticPr fontId="3" type="noConversion"/>
  </si>
  <si>
    <t>010-3452-0737</t>
    <phoneticPr fontId="3" type="noConversion"/>
  </si>
  <si>
    <t>견적금액: 一金일십일억일천삼백만원整(\1,113,000,000    )</t>
    <phoneticPr fontId="3" type="noConversion"/>
  </si>
  <si>
    <t>번호</t>
    <phoneticPr fontId="3" type="noConversion"/>
  </si>
  <si>
    <t>상세품목내역</t>
    <phoneticPr fontId="3" type="noConversion"/>
  </si>
  <si>
    <t>견적금액 (천원)</t>
    <phoneticPr fontId="3" type="noConversion"/>
  </si>
  <si>
    <t>비  고</t>
    <phoneticPr fontId="3" type="noConversion"/>
  </si>
  <si>
    <t>기계부분</t>
    <phoneticPr fontId="3" type="noConversion"/>
  </si>
  <si>
    <t>전기부문</t>
    <phoneticPr fontId="3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</si>
  <si>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</si>
  <si>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</si>
  <si>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r>
      <t>견적 합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</si>
  <si>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</si>
  <si>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</si>
  <si>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</si>
  <si>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</si>
  <si>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</si>
  <si>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</si>
  <si>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</si>
  <si>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</si>
  <si>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</si>
  <si>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</si>
  <si>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</si>
  <si>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</si>
  <si>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</si>
  <si>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</si>
  <si>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</si>
  <si>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</si>
  <si>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charset val="129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</si>
  <si>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charset val="129"/>
        <scheme val="minor"/>
      </rPr>
      <t xml:space="preserve"> 고</t>
    </r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</si>
  <si>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</si>
  <si>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</si>
  <si>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charset val="129"/>
        <scheme val="minor"/>
      </rPr>
      <t>SS.SUS등)</t>
    </r>
    <phoneticPr fontId="3" type="noConversion"/>
  </si>
  <si>
    <t>kg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</si>
  <si>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</si>
  <si>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</si>
  <si>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</si>
  <si>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</si>
  <si>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</si>
  <si>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charset val="129"/>
        <scheme val="minor"/>
      </rPr>
      <t>UB</t>
    </r>
    <r>
      <rPr>
        <sz val="11"/>
        <color theme="1"/>
        <rFont val="맑은 고딕"/>
        <family val="2"/>
        <charset val="129"/>
        <scheme val="minor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</si>
  <si>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</si>
  <si>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</si>
  <si>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</si>
  <si>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</si>
  <si>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</si>
  <si>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</si>
  <si>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</si>
  <si>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</si>
  <si>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</si>
  <si>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</si>
  <si>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</si>
  <si>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</si>
  <si>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</si>
  <si>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</si>
  <si>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</si>
  <si>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</si>
  <si>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</si>
  <si>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</si>
  <si>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</si>
  <si>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</si>
  <si>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</si>
  <si>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</si>
  <si>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</si>
  <si>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</si>
  <si>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</si>
  <si>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</si>
  <si>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</si>
  <si>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</si>
  <si>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</si>
  <si>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</si>
  <si>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</si>
  <si>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color theme="1"/>
        <rFont val="맑은 고딕"/>
        <family val="2"/>
        <charset val="129"/>
        <scheme val="minor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</si>
  <si>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</si>
  <si>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t>3~7항 합계</t>
    <phoneticPr fontId="3" type="noConversion"/>
  </si>
  <si>
    <r>
      <t>주</t>
    </r>
    <r>
      <rPr>
        <sz val="11"/>
        <color theme="1"/>
        <rFont val="맑은 고딕"/>
        <family val="2"/>
        <charset val="129"/>
        <scheme val="minor"/>
      </rPr>
      <t xml:space="preserve">1. </t>
    </r>
    <r>
      <rPr>
        <sz val="11"/>
        <color theme="1"/>
        <rFont val="맑은 고딕"/>
        <family val="2"/>
        <charset val="129"/>
        <scheme val="minor"/>
      </rPr>
      <t>표준안전관리비:</t>
    </r>
    <r>
      <rPr>
        <sz val="11"/>
        <color theme="1"/>
        <rFont val="맑은 고딕"/>
        <family val="2"/>
        <charset val="129"/>
        <scheme val="minor"/>
      </rPr>
      <t>(설치/철거/시운전 공사 관련 금액)의 ⓐ2.66%,ⓑ1.95%+기초액,ⓒ2.02%(50억 이상일경우)</t>
    </r>
    <phoneticPr fontId="3" type="noConversion"/>
  </si>
  <si>
    <r>
      <t>주2</t>
    </r>
    <r>
      <rPr>
        <sz val="11"/>
        <color theme="1"/>
        <rFont val="맑은 고딕"/>
        <family val="2"/>
        <charset val="129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</si>
  <si>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</si>
  <si>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</si>
  <si>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</si>
  <si>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</si>
  <si>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</si>
  <si>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</si>
  <si>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</si>
  <si>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</si>
  <si>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</si>
  <si>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charset val="129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</si>
  <si>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</si>
  <si>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</si>
  <si>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</si>
  <si>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</si>
  <si>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</si>
  <si>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</si>
  <si>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</si>
  <si>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</si>
  <si>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</si>
  <si>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</si>
  <si>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</si>
  <si>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</si>
  <si>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</si>
  <si>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</si>
  <si>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</si>
  <si>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</si>
  <si>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</si>
  <si>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t>□ 전기부문:</t>
    <phoneticPr fontId="3" type="noConversion"/>
  </si>
  <si>
    <t>전기부문(공통)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</si>
  <si>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</si>
  <si>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</si>
  <si>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</si>
  <si>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</si>
  <si>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</si>
  <si>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</si>
  <si>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</si>
  <si>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</si>
  <si>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</si>
  <si>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제작품</t>
    <phoneticPr fontId="3" type="noConversion"/>
  </si>
  <si>
    <t>콘트롤박스등</t>
    <phoneticPr fontId="3" type="noConversion"/>
  </si>
  <si>
    <t>설치/해체/</t>
    <phoneticPr fontId="3" type="noConversion"/>
  </si>
  <si>
    <t>시운전 공사</t>
    <phoneticPr fontId="3" type="noConversion"/>
  </si>
  <si>
    <t>자재</t>
    <phoneticPr fontId="3" type="noConversion"/>
  </si>
  <si>
    <t>전기자재</t>
    <phoneticPr fontId="3" type="noConversion"/>
  </si>
  <si>
    <t>■PLC구매품</t>
    <phoneticPr fontId="3" type="noConversion"/>
  </si>
  <si>
    <t>PLC등</t>
    <phoneticPr fontId="3" type="noConversion"/>
  </si>
  <si>
    <t>■PC구매품</t>
    <phoneticPr fontId="3" type="noConversion"/>
  </si>
  <si>
    <t>PC등</t>
    <phoneticPr fontId="3" type="noConversion"/>
  </si>
  <si>
    <t>■PC P/G</t>
    <phoneticPr fontId="3" type="noConversion"/>
  </si>
  <si>
    <t>기타 잡자재</t>
    <phoneticPr fontId="3" type="noConversion"/>
  </si>
  <si>
    <t>자재비 소계</t>
    <phoneticPr fontId="3" type="noConversion"/>
  </si>
  <si>
    <t>노
무
비</t>
    <phoneticPr fontId="3" type="noConversion"/>
  </si>
  <si>
    <t>전기 설계/프로그램</t>
    <phoneticPr fontId="3" type="noConversion"/>
  </si>
  <si>
    <t>M/D</t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</si>
  <si>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</si>
  <si>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</si>
  <si>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</si>
  <si>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</si>
  <si>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전기 양산대응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</si>
  <si>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</si>
  <si>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</si>
  <si>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* 기계부문에 포함시킴</t>
    <phoneticPr fontId="3" type="noConversion"/>
  </si>
  <si>
    <t>이         윤</t>
    <phoneticPr fontId="3" type="noConversion"/>
  </si>
  <si>
    <t>합         계</t>
    <phoneticPr fontId="3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</si>
  <si>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</si>
  <si>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OB 비젼검사/그리스 주입</t>
    <phoneticPr fontId="3" type="noConversion"/>
  </si>
  <si>
    <t>■BASE</t>
    <phoneticPr fontId="3" type="noConversion"/>
  </si>
  <si>
    <t>제관,가공</t>
    <phoneticPr fontId="3" type="noConversion"/>
  </si>
  <si>
    <t>■FRAME</t>
    <phoneticPr fontId="3" type="noConversion"/>
  </si>
  <si>
    <t>■상측 COVER</t>
    <phoneticPr fontId="3" type="noConversion"/>
  </si>
  <si>
    <t>■OP POST</t>
    <phoneticPr fontId="3" type="noConversion"/>
  </si>
  <si>
    <t>■비젼시스템</t>
    <phoneticPr fontId="3" type="noConversion"/>
  </si>
  <si>
    <t>■상하1축</t>
    <phoneticPr fontId="3" type="noConversion"/>
  </si>
  <si>
    <t>■WORK CLAMP</t>
    <phoneticPr fontId="3" type="noConversion"/>
  </si>
  <si>
    <t>■WORK 회전</t>
    <phoneticPr fontId="3" type="noConversion"/>
  </si>
  <si>
    <t>■보관함</t>
    <phoneticPr fontId="3" type="noConversion"/>
  </si>
  <si>
    <t>■LIFTER UNIT</t>
    <phoneticPr fontId="3" type="noConversion"/>
  </si>
  <si>
    <t>기타</t>
    <phoneticPr fontId="3" type="noConversion"/>
  </si>
  <si>
    <t>설치/해체/시운전</t>
    <phoneticPr fontId="3" type="noConversion"/>
  </si>
  <si>
    <t>공사 관련 자재</t>
    <phoneticPr fontId="3" type="noConversion"/>
  </si>
  <si>
    <t>구매품</t>
    <phoneticPr fontId="3" type="noConversion"/>
  </si>
  <si>
    <t>1600 X 1400 컬러</t>
    <phoneticPr fontId="3" type="noConversion"/>
  </si>
  <si>
    <t>(유공압품외)</t>
    <phoneticPr fontId="3" type="noConversion"/>
  </si>
  <si>
    <t>서보</t>
    <phoneticPr fontId="3" type="noConversion"/>
  </si>
  <si>
    <t>CLAMP 실린더</t>
    <phoneticPr fontId="3" type="noConversion"/>
  </si>
  <si>
    <t>회전 실린더</t>
    <phoneticPr fontId="3" type="noConversion"/>
  </si>
  <si>
    <t>■PROXIMITY SENSOR</t>
    <phoneticPr fontId="3" type="noConversion"/>
  </si>
  <si>
    <t>EA</t>
    <phoneticPr fontId="3" type="noConversion"/>
  </si>
  <si>
    <t>■소재 감지 센스</t>
    <phoneticPr fontId="3" type="noConversion"/>
  </si>
  <si>
    <t>서보1축</t>
    <phoneticPr fontId="3" type="noConversion"/>
  </si>
  <si>
    <t>■정량변</t>
    <phoneticPr fontId="3" type="noConversion"/>
  </si>
  <si>
    <t>GRACO</t>
    <phoneticPr fontId="3" type="noConversion"/>
  </si>
  <si>
    <t>■고속카운트</t>
    <phoneticPr fontId="3" type="noConversion"/>
  </si>
  <si>
    <t>■일반 자재류</t>
    <phoneticPr fontId="3" type="noConversion"/>
  </si>
  <si>
    <t xml:space="preserve">  F.R.L Unit</t>
    <phoneticPr fontId="3" type="noConversion"/>
  </si>
  <si>
    <t>AV4000</t>
    <phoneticPr fontId="3" type="noConversion"/>
  </si>
  <si>
    <t>식</t>
  </si>
  <si>
    <t xml:space="preserve">  SOL V/V</t>
    <phoneticPr fontId="3" type="noConversion"/>
  </si>
  <si>
    <t>VQC4201</t>
    <phoneticPr fontId="3" type="noConversion"/>
  </si>
  <si>
    <t xml:space="preserve">  Manifold</t>
    <phoneticPr fontId="3" type="noConversion"/>
  </si>
  <si>
    <t>VV5QC41</t>
    <phoneticPr fontId="3" type="noConversion"/>
  </si>
  <si>
    <t xml:space="preserve">  Speed Con</t>
    <phoneticPr fontId="3" type="noConversion"/>
  </si>
  <si>
    <t xml:space="preserve">  배관자재</t>
    <phoneticPr fontId="3" type="noConversion"/>
  </si>
  <si>
    <t xml:space="preserve">  잡자재</t>
    <phoneticPr fontId="3" type="noConversion"/>
  </si>
  <si>
    <t>기타자재</t>
    <phoneticPr fontId="3" type="noConversion"/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</si>
  <si>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</si>
  <si>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</si>
  <si>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</si>
  <si>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</si>
  <si>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</si>
  <si>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</si>
  <si>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</si>
  <si>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운반및중장비사용</t>
    <phoneticPr fontId="3" type="noConversion"/>
  </si>
  <si>
    <t>BOOT조립기</t>
    <phoneticPr fontId="3" type="noConversion"/>
  </si>
  <si>
    <t>■FRAME PART</t>
  </si>
  <si>
    <t xml:space="preserve">  M/C BED</t>
  </si>
  <si>
    <t xml:space="preserve">  FRAME</t>
  </si>
  <si>
    <t xml:space="preserve">  OP POST</t>
  </si>
  <si>
    <t xml:space="preserve">  SAFTY COVER</t>
  </si>
  <si>
    <t>■LIFTER UNIT</t>
  </si>
  <si>
    <t>■SHAFT공급부</t>
  </si>
  <si>
    <t xml:space="preserve">  폭조절장치</t>
  </si>
  <si>
    <t xml:space="preserve">  틸팅부</t>
  </si>
  <si>
    <t xml:space="preserve">  틸팅부 가변장치</t>
  </si>
  <si>
    <t xml:space="preserve">  오일팬</t>
  </si>
  <si>
    <t>■길이측정부</t>
  </si>
  <si>
    <t xml:space="preserve">  LVDT</t>
  </si>
  <si>
    <t xml:space="preserve">  서보1축(전후)</t>
  </si>
  <si>
    <t xml:space="preserve">  보조실린더1축(전후)</t>
  </si>
  <si>
    <t>■ROBOT</t>
  </si>
  <si>
    <t xml:space="preserve">  직교 로봇고정PART</t>
  </si>
  <si>
    <t xml:space="preserve">  그리퍼실린더</t>
  </si>
  <si>
    <t>■댐퍼 삽입부</t>
  </si>
  <si>
    <t xml:space="preserve">  삽입 PART</t>
  </si>
  <si>
    <t>■댐퍼 이송부</t>
  </si>
  <si>
    <t xml:space="preserve">  실린더1축(상하)</t>
  </si>
  <si>
    <t xml:space="preserve">  소재장착부</t>
  </si>
  <si>
    <t xml:space="preserve">  차종변경</t>
  </si>
  <si>
    <t>■댐퍼 CLAMP부</t>
  </si>
  <si>
    <t xml:space="preserve">  CLAMP 실린더 고정PART</t>
  </si>
  <si>
    <t xml:space="preserve">  소재 감지 센스</t>
  </si>
  <si>
    <t>■SHAFT+댐퍼 이송부</t>
  </si>
  <si>
    <t>■부트조립부</t>
  </si>
  <si>
    <t>■CIRCLIP조립부</t>
  </si>
  <si>
    <t xml:space="preserve">  압입부</t>
  </si>
  <si>
    <t>■구리스 도포부</t>
  </si>
  <si>
    <t>■밴드체결</t>
  </si>
  <si>
    <t xml:space="preserve">  공압부판넬</t>
  </si>
  <si>
    <t xml:space="preserve">  거치대고정PART</t>
  </si>
  <si>
    <t>기타자재</t>
  </si>
  <si>
    <t>■소재 공급부</t>
  </si>
  <si>
    <t xml:space="preserve">  기타</t>
  </si>
  <si>
    <t xml:space="preserve">  직교 로봇</t>
  </si>
  <si>
    <t>3축</t>
  </si>
  <si>
    <t xml:space="preserve">  직교로봇</t>
  </si>
  <si>
    <t>ROBOSTAR 2축 2,000ST</t>
  </si>
  <si>
    <t xml:space="preserve">  CLAMP 실린더</t>
  </si>
  <si>
    <t xml:space="preserve">  정량변</t>
  </si>
  <si>
    <t xml:space="preserve">  정량저울</t>
  </si>
  <si>
    <t xml:space="preserve">  밴드체결툴</t>
  </si>
  <si>
    <t xml:space="preserve">  부스트</t>
  </si>
  <si>
    <t xml:space="preserve">  공압부</t>
  </si>
  <si>
    <t xml:space="preserve">  거치대</t>
  </si>
  <si>
    <t>■일반 자재류</t>
  </si>
  <si>
    <t xml:space="preserve">  F.R.L Unit</t>
  </si>
  <si>
    <t>AV4000</t>
  </si>
  <si>
    <t xml:space="preserve">  SOL V/V</t>
  </si>
  <si>
    <t>VQC4201</t>
  </si>
  <si>
    <t xml:space="preserve">  Manifold</t>
  </si>
  <si>
    <t>VV5QC41</t>
  </si>
  <si>
    <t xml:space="preserve">  Speed Con</t>
  </si>
  <si>
    <t xml:space="preserve">  배관자재</t>
  </si>
  <si>
    <t xml:space="preserve">  잡자재</t>
  </si>
  <si>
    <t>D/SHAFT 가조립</t>
    <phoneticPr fontId="3" type="noConversion"/>
  </si>
  <si>
    <t>■가조립 UNIT</t>
    <phoneticPr fontId="3" type="noConversion"/>
  </si>
  <si>
    <t>■바코드리딩</t>
  </si>
  <si>
    <t>기타 가공물</t>
  </si>
  <si>
    <t>■부품적재랙</t>
    <phoneticPr fontId="3" type="noConversion"/>
  </si>
  <si>
    <t>BJ대경밴드,SPIDER</t>
    <phoneticPr fontId="3" type="noConversion"/>
  </si>
  <si>
    <t>SPIDER</t>
    <phoneticPr fontId="3" type="noConversion"/>
  </si>
  <si>
    <t>■바코드리더</t>
  </si>
  <si>
    <t xml:space="preserve">   바코드리더</t>
  </si>
  <si>
    <t>코그넥스</t>
  </si>
  <si>
    <t xml:space="preserve">  전후1축</t>
  </si>
  <si>
    <t>CYL'등</t>
  </si>
  <si>
    <t xml:space="preserve">   기타</t>
  </si>
  <si>
    <t xml:space="preserve"> 기타잡자재</t>
  </si>
  <si>
    <t>D/SHAFT 압입</t>
    <phoneticPr fontId="3" type="noConversion"/>
  </si>
  <si>
    <t>■서보프레스</t>
    <phoneticPr fontId="3" type="noConversion"/>
  </si>
  <si>
    <t>■압입UNIT</t>
    <phoneticPr fontId="3" type="noConversion"/>
  </si>
  <si>
    <t>기타</t>
  </si>
  <si>
    <t>3t</t>
    <phoneticPr fontId="3" type="noConversion"/>
  </si>
  <si>
    <t>I/B 가조립</t>
    <phoneticPr fontId="3" type="noConversion"/>
  </si>
  <si>
    <t>I/B 압입</t>
    <phoneticPr fontId="3" type="noConversion"/>
  </si>
  <si>
    <t>대경 밴드체결</t>
    <phoneticPr fontId="3" type="noConversion"/>
  </si>
  <si>
    <t>■밴드체결UNIT</t>
    <phoneticPr fontId="3" type="noConversion"/>
  </si>
  <si>
    <t>■밴드체결툴</t>
    <phoneticPr fontId="3" type="noConversion"/>
  </si>
  <si>
    <t>■공압클램프</t>
    <phoneticPr fontId="3" type="noConversion"/>
  </si>
  <si>
    <t>■리시버탱크</t>
    <phoneticPr fontId="3" type="noConversion"/>
  </si>
  <si>
    <t>■LM류</t>
    <phoneticPr fontId="3" type="noConversion"/>
  </si>
  <si>
    <t>■공압 CYL</t>
    <phoneticPr fontId="3" type="noConversion"/>
  </si>
  <si>
    <t>완성비젼</t>
    <phoneticPr fontId="3" type="noConversion"/>
  </si>
  <si>
    <t>■비젼 UNIT</t>
    <phoneticPr fontId="3" type="noConversion"/>
  </si>
  <si>
    <t>암실등</t>
    <phoneticPr fontId="3" type="noConversion"/>
  </si>
  <si>
    <t>■비젼</t>
    <phoneticPr fontId="3" type="noConversion"/>
  </si>
  <si>
    <t xml:space="preserve">  비젼시스템</t>
  </si>
  <si>
    <t>XG-HL04M,XG-X2800</t>
    <phoneticPr fontId="3" type="noConversion"/>
  </si>
  <si>
    <t xml:space="preserve">  직교 robot</t>
  </si>
  <si>
    <t>1축</t>
    <phoneticPr fontId="3" type="noConversion"/>
  </si>
  <si>
    <t xml:space="preserve">  기타(압쇼버/케이블베어등)</t>
    <phoneticPr fontId="3" type="noConversion"/>
  </si>
  <si>
    <t>UN-LOADING 배출 및 적재</t>
    <phoneticPr fontId="3" type="noConversion"/>
  </si>
  <si>
    <t>■다축로봇</t>
    <phoneticPr fontId="3" type="noConversion"/>
  </si>
  <si>
    <t>안전펜스</t>
    <phoneticPr fontId="3" type="noConversion"/>
  </si>
  <si>
    <t>■I팔레트 공급</t>
    <phoneticPr fontId="3" type="noConversion"/>
  </si>
  <si>
    <t>파레타이징</t>
    <phoneticPr fontId="3" type="noConversion"/>
  </si>
  <si>
    <t xml:space="preserve">  6축로봇</t>
    <phoneticPr fontId="3" type="noConversion"/>
  </si>
  <si>
    <t>가와사키 200Kg</t>
    <phoneticPr fontId="3" type="noConversion"/>
  </si>
  <si>
    <t>위아 사급</t>
    <phoneticPr fontId="3" type="noConversion"/>
  </si>
  <si>
    <t xml:space="preserve">  그리퍼</t>
    <phoneticPr fontId="3" type="noConversion"/>
  </si>
  <si>
    <t>■팔레트 공급</t>
    <phoneticPr fontId="3" type="noConversion"/>
  </si>
  <si>
    <t xml:space="preserve">  팔레트 투입/이송</t>
    <phoneticPr fontId="3" type="noConversion"/>
  </si>
  <si>
    <t>공압 CYL'류</t>
  </si>
  <si>
    <t>센스류</t>
  </si>
  <si>
    <t>기타(LM,압쇼버등)</t>
  </si>
  <si>
    <t xml:space="preserve">  팔레트 로딩</t>
    <phoneticPr fontId="3" type="noConversion"/>
  </si>
  <si>
    <t xml:space="preserve">  엘리베이트</t>
    <phoneticPr fontId="3" type="noConversion"/>
  </si>
  <si>
    <t>서보실린더</t>
  </si>
  <si>
    <t>서버모타 ASS'Y</t>
  </si>
  <si>
    <t>감속기</t>
  </si>
  <si>
    <t xml:space="preserve">  배출</t>
    <phoneticPr fontId="3" type="noConversion"/>
  </si>
  <si>
    <t>MAIN CONVEYOR</t>
    <phoneticPr fontId="3" type="noConversion"/>
  </si>
  <si>
    <t>■기타</t>
    <phoneticPr fontId="3" type="noConversion"/>
  </si>
  <si>
    <t xml:space="preserve">  DUCT</t>
    <phoneticPr fontId="3" type="noConversion"/>
  </si>
  <si>
    <t>M</t>
    <phoneticPr fontId="3" type="noConversion"/>
  </si>
  <si>
    <t xml:space="preserve">  계단</t>
    <phoneticPr fontId="3" type="noConversion"/>
  </si>
  <si>
    <t xml:space="preserve">  배관40APIPE</t>
    <phoneticPr fontId="3" type="noConversion"/>
  </si>
  <si>
    <t xml:space="preserve">  T/B BKT</t>
    <phoneticPr fontId="3" type="noConversion"/>
  </si>
  <si>
    <t xml:space="preserve">  NAME PLATE</t>
    <phoneticPr fontId="3" type="noConversion"/>
  </si>
  <si>
    <t>PALLETS</t>
    <phoneticPr fontId="3" type="noConversion"/>
  </si>
  <si>
    <t xml:space="preserve"> </t>
    <phoneticPr fontId="3" type="noConversion"/>
  </si>
  <si>
    <t>■PALLET</t>
    <phoneticPr fontId="3" type="noConversion"/>
  </si>
  <si>
    <t>GREASE PUMP SYSTEM</t>
    <phoneticPr fontId="3" type="noConversion"/>
  </si>
  <si>
    <t xml:space="preserve">구리스 펌프 </t>
    <phoneticPr fontId="3" type="noConversion"/>
  </si>
  <si>
    <t>LMS SYSTEM</t>
    <phoneticPr fontId="3" type="noConversion"/>
  </si>
  <si>
    <t>RFID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</si>
</sst>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44">
    <xf numFmtId="0" fontId="0" fillId="0" borderId="0" xfId="0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4" fontId="1" fillId="2" borderId="3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1" fillId="2" borderId="3" xfId="1" applyFill="1" applyBorder="1" applyAlignment="1">
      <alignment horizontal="left" vertical="center"/>
    </xf>
    <xf numFmtId="0" fontId="1" fillId="0" borderId="1" xfId="1" applyBorder="1" applyAlignment="1">
      <alignment horizontal="center" vertical="center" textRotation="255"/>
    </xf>
    <xf numFmtId="0" fontId="1" fillId="0" borderId="1" xfId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7" fillId="2" borderId="3" xfId="1" applyFont="1" applyFill="1" applyBorder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left" vertical="center" shrinkToFit="1"/>
    </xf>
    <xf numFmtId="0" fontId="1" fillId="0" borderId="15" xfId="1" applyBorder="1" applyAlignment="1">
      <alignment horizontal="left" vertical="center" shrinkToFit="1"/>
    </xf>
    <xf numFmtId="176" fontId="1" fillId="0" borderId="16" xfId="1" applyNumberFormat="1" applyBorder="1" applyAlignment="1">
      <alignment horizontal="right" vertical="center"/>
    </xf>
    <xf numFmtId="176" fontId="1" fillId="0" borderId="17" xfId="1" applyNumberFormat="1" applyBorder="1" applyAlignment="1">
      <alignment horizontal="right" vertical="center"/>
    </xf>
    <xf numFmtId="176" fontId="1" fillId="0" borderId="3" xfId="1" applyNumberFormat="1" applyBorder="1" applyAlignment="1">
      <alignment horizontal="right" vertical="center"/>
    </xf>
    <xf numFmtId="176" fontId="1" fillId="0" borderId="18" xfId="1" applyNumberFormat="1" applyBorder="1" applyAlignment="1">
      <alignment horizontal="right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left" vertical="center" shrinkToFit="1"/>
    </xf>
    <xf numFmtId="0" fontId="1" fillId="0" borderId="18" xfId="1" applyBorder="1" applyAlignment="1">
      <alignment horizontal="left" vertical="center" shrinkToFit="1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0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2" xfId="1" applyBorder="1" applyAlignment="1">
      <alignment horizontal="left" vertical="center" shrinkToFit="1"/>
    </xf>
    <xf numFmtId="0" fontId="1" fillId="0" borderId="23" xfId="1" applyBorder="1" applyAlignment="1">
      <alignment horizontal="left" vertical="center" shrinkToFit="1"/>
    </xf>
    <xf numFmtId="176" fontId="1" fillId="0" borderId="24" xfId="1" applyNumberFormat="1" applyBorder="1" applyAlignment="1">
      <alignment horizontal="right" vertical="center"/>
    </xf>
    <xf numFmtId="176" fontId="1" fillId="0" borderId="23" xfId="1" applyNumberFormat="1" applyBorder="1" applyAlignment="1">
      <alignment horizontal="right"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horizontal="left" vertical="center" shrinkToFit="1"/>
    </xf>
    <xf numFmtId="0" fontId="1" fillId="0" borderId="27" xfId="1" applyBorder="1" applyAlignment="1">
      <alignment horizontal="left" vertical="center" shrinkToFit="1"/>
    </xf>
    <xf numFmtId="176" fontId="1" fillId="0" borderId="28" xfId="1" applyNumberFormat="1" applyBorder="1" applyAlignment="1">
      <alignment horizontal="right" vertical="center"/>
    </xf>
    <xf numFmtId="0" fontId="1" fillId="0" borderId="29" xfId="1" applyBorder="1" applyAlignment="1">
      <alignment vertical="center"/>
    </xf>
    <xf numFmtId="176" fontId="1" fillId="0" borderId="30" xfId="1" applyNumberFormat="1" applyBorder="1" applyAlignment="1">
      <alignment horizontal="right" vertical="center"/>
    </xf>
    <xf numFmtId="176" fontId="1" fillId="0" borderId="27" xfId="1" applyNumberFormat="1" applyBorder="1" applyAlignment="1">
      <alignment horizontal="right" vertical="center"/>
    </xf>
    <xf numFmtId="0" fontId="1" fillId="0" borderId="31" xfId="1" applyBorder="1" applyAlignment="1">
      <alignment vertical="center"/>
    </xf>
    <xf numFmtId="176" fontId="1" fillId="0" borderId="0" xfId="1" applyNumberFormat="1" applyAlignment="1">
      <alignment vertical="center"/>
    </xf>
    <xf numFmtId="176" fontId="1" fillId="0" borderId="32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vertical="center"/>
    </xf>
    <xf numFmtId="176" fontId="1" fillId="0" borderId="36" xfId="1" applyNumberFormat="1" applyBorder="1" applyAlignment="1">
      <alignment vertical="center"/>
    </xf>
    <xf numFmtId="176" fontId="14" fillId="3" borderId="34" xfId="1" applyNumberFormat="1" applyFont="1" applyFill="1" applyBorder="1" applyAlignment="1">
      <alignment vertical="center"/>
    </xf>
    <xf numFmtId="0" fontId="1" fillId="0" borderId="4" xfId="1" applyBorder="1" applyAlignment="1">
      <alignment vertical="center"/>
    </xf>
    <xf numFmtId="176" fontId="1" fillId="0" borderId="37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32" xfId="1" applyNumberFormat="1" applyBorder="1" applyAlignment="1">
      <alignment horizontal="center" vertical="center" wrapText="1"/>
    </xf>
    <xf numFmtId="176" fontId="1" fillId="0" borderId="34" xfId="1" applyNumberFormat="1" applyBorder="1" applyAlignment="1">
      <alignment horizontal="center" vertical="center" wrapText="1"/>
    </xf>
    <xf numFmtId="176" fontId="1" fillId="0" borderId="4" xfId="1" applyNumberFormat="1" applyBorder="1" applyAlignment="1">
      <alignment vertical="center"/>
    </xf>
    <xf numFmtId="0" fontId="1" fillId="0" borderId="7" xfId="1" applyBorder="1" applyAlignment="1">
      <alignment horizontal="center" vertical="center" textRotation="255"/>
    </xf>
    <xf numFmtId="0" fontId="1" fillId="2" borderId="5" xfId="1" applyFill="1" applyBorder="1" applyAlignment="1">
      <alignment vertical="center"/>
    </xf>
    <xf numFmtId="0" fontId="1" fillId="2" borderId="37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8" xfId="1" applyBorder="1" applyAlignment="1">
      <alignment horizontal="center" vertical="center" textRotation="255"/>
    </xf>
    <xf numFmtId="0" fontId="1" fillId="2" borderId="39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40" xfId="1" applyFill="1" applyBorder="1" applyAlignment="1">
      <alignment vertical="center"/>
    </xf>
    <xf numFmtId="0" fontId="1" fillId="0" borderId="41" xfId="1" applyBorder="1" applyAlignment="1">
      <alignment horizontal="center" vertical="center"/>
    </xf>
    <xf numFmtId="0" fontId="1" fillId="2" borderId="42" xfId="1" applyFill="1" applyBorder="1" applyAlignment="1">
      <alignment vertical="center"/>
    </xf>
    <xf numFmtId="0" fontId="1" fillId="2" borderId="43" xfId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177" fontId="1" fillId="2" borderId="39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40" xfId="1" applyNumberFormat="1" applyFill="1" applyBorder="1" applyAlignment="1">
      <alignment horizontal="left"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178" fontId="1" fillId="2" borderId="39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40" xfId="1" applyNumberFormat="1" applyFill="1" applyBorder="1" applyAlignment="1">
      <alignment vertical="center"/>
    </xf>
    <xf numFmtId="0" fontId="1" fillId="0" borderId="45" xfId="1" applyBorder="1" applyAlignment="1">
      <alignment horizontal="center" vertical="center" textRotation="255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0" borderId="26" xfId="1" applyBorder="1" applyAlignment="1">
      <alignment horizontal="center" vertical="center"/>
    </xf>
    <xf numFmtId="0" fontId="1" fillId="2" borderId="49" xfId="1" applyFill="1" applyBorder="1" applyAlignment="1">
      <alignment vertical="center"/>
    </xf>
    <xf numFmtId="0" fontId="1" fillId="2" borderId="50" xfId="1" applyFill="1" applyBorder="1" applyAlignment="1">
      <alignment vertical="center"/>
    </xf>
    <xf numFmtId="0" fontId="1" fillId="2" borderId="27" xfId="1" applyFill="1" applyBorder="1" applyAlignment="1">
      <alignment vertical="center"/>
    </xf>
    <xf numFmtId="3" fontId="15" fillId="0" borderId="0" xfId="1" applyNumberFormat="1" applyFont="1" applyAlignment="1">
      <alignment vertical="center"/>
    </xf>
    <xf numFmtId="3" fontId="16" fillId="0" borderId="0" xfId="1" applyNumberFormat="1" applyFont="1" applyAlignment="1">
      <alignment vertical="center"/>
    </xf>
    <xf numFmtId="3" fontId="18" fillId="0" borderId="0" xfId="1" applyNumberFormat="1" applyFont="1" applyAlignment="1">
      <alignment vertical="center"/>
    </xf>
    <xf numFmtId="3" fontId="18" fillId="0" borderId="0" xfId="1" applyNumberFormat="1" applyFont="1" applyAlignment="1">
      <alignment horizontal="center" vertical="center"/>
    </xf>
    <xf numFmtId="179" fontId="18" fillId="0" borderId="0" xfId="1" applyNumberFormat="1" applyFont="1" applyAlignment="1">
      <alignment horizontal="center" vertical="center"/>
    </xf>
    <xf numFmtId="179" fontId="18" fillId="0" borderId="0" xfId="1" applyNumberFormat="1" applyFont="1" applyAlignment="1">
      <alignment vertical="center"/>
    </xf>
    <xf numFmtId="4" fontId="19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1" fillId="0" borderId="0" xfId="1" applyNumberForma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" fillId="0" borderId="51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37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179" fontId="1" fillId="0" borderId="54" xfId="1" applyNumberFormat="1" applyBorder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179" fontId="1" fillId="0" borderId="60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" fillId="0" borderId="63" xfId="1" applyNumberFormat="1" applyBorder="1" applyAlignment="1">
      <alignment horizontal="center" vertical="center" wrapText="1"/>
    </xf>
    <xf numFmtId="3" fontId="1" fillId="0" borderId="63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7" fillId="0" borderId="64" xfId="1" applyNumberFormat="1" applyFont="1" applyBorder="1" applyAlignment="1">
      <alignment horizontal="center" vertical="center"/>
    </xf>
    <xf numFmtId="179" fontId="1" fillId="0" borderId="64" xfId="1" applyNumberFormat="1" applyBorder="1" applyAlignment="1">
      <alignment horizontal="right" vertical="center"/>
    </xf>
    <xf numFmtId="179" fontId="1" fillId="0" borderId="64" xfId="1" applyNumberForma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3" xfId="1" applyNumberForma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1" applyNumberFormat="1" applyBorder="1" applyAlignment="1">
      <alignment vertical="center"/>
    </xf>
    <xf numFmtId="3" fontId="1" fillId="0" borderId="66" xfId="1" applyNumberFormat="1" applyBorder="1" applyAlignment="1">
      <alignment vertical="center"/>
    </xf>
    <xf numFmtId="179" fontId="1" fillId="0" borderId="3" xfId="1" applyNumberFormat="1" applyBorder="1" applyAlignment="1">
      <alignment horizontal="right" vertical="center"/>
    </xf>
    <xf numFmtId="3" fontId="1" fillId="4" borderId="3" xfId="1" applyNumberFormat="1" applyFill="1" applyBorder="1" applyAlignment="1">
      <alignment horizontal="center" vertical="center"/>
    </xf>
    <xf numFmtId="3" fontId="7" fillId="4" borderId="3" xfId="1" applyNumberFormat="1" applyFont="1" applyFill="1" applyBorder="1" applyAlignment="1">
      <alignment horizontal="center" vertical="center"/>
    </xf>
    <xf numFmtId="179" fontId="1" fillId="4" borderId="3" xfId="1" applyNumberFormat="1" applyFill="1" applyBorder="1" applyAlignment="1">
      <alignment horizontal="right" vertical="center"/>
    </xf>
    <xf numFmtId="179" fontId="1" fillId="4" borderId="3" xfId="1" applyNumberFormat="1" applyFill="1" applyBorder="1" applyAlignment="1">
      <alignment vertical="center"/>
    </xf>
    <xf numFmtId="3" fontId="1" fillId="0" borderId="67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2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" xfId="1" applyNumberFormat="1" applyFont="1" applyBorder="1" applyAlignment="1">
      <alignment vertical="center"/>
    </xf>
    <xf numFmtId="3" fontId="1" fillId="0" borderId="69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left" vertical="center"/>
    </xf>
    <xf numFmtId="3" fontId="1" fillId="0" borderId="70" xfId="1" applyNumberFormat="1" applyBorder="1" applyAlignment="1">
      <alignment horizontal="center" vertical="center"/>
    </xf>
    <xf numFmtId="179" fontId="6" fillId="0" borderId="17" xfId="1" applyNumberFormat="1" applyFont="1" applyBorder="1" applyAlignment="1">
      <alignment vertical="center"/>
    </xf>
    <xf numFmtId="3" fontId="1" fillId="0" borderId="71" xfId="1" applyNumberFormat="1" applyBorder="1" applyAlignment="1">
      <alignment vertical="center"/>
    </xf>
    <xf numFmtId="3" fontId="1" fillId="0" borderId="72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49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179" fontId="6" fillId="0" borderId="30" xfId="1" applyNumberFormat="1" applyFont="1" applyBorder="1" applyAlignment="1">
      <alignment vertical="center"/>
    </xf>
    <xf numFmtId="3" fontId="1" fillId="0" borderId="75" xfId="1" applyNumberFormat="1" applyBorder="1" applyAlignment="1">
      <alignment vertical="center"/>
    </xf>
    <xf numFmtId="3" fontId="1" fillId="0" borderId="51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 wrapText="1"/>
    </xf>
    <xf numFmtId="3" fontId="1" fillId="0" borderId="54" xfId="1" applyNumberFormat="1" applyBorder="1" applyAlignment="1">
      <alignment horizontal="center" vertical="center"/>
    </xf>
    <xf numFmtId="3" fontId="1" fillId="0" borderId="76" xfId="1" applyNumberFormat="1" applyBorder="1" applyAlignment="1">
      <alignment horizontal="center" vertical="center"/>
    </xf>
    <xf numFmtId="3" fontId="7" fillId="0" borderId="76" xfId="1" applyNumberFormat="1" applyFont="1" applyBorder="1" applyAlignment="1">
      <alignment horizontal="center" vertical="center"/>
    </xf>
    <xf numFmtId="179" fontId="1" fillId="0" borderId="76" xfId="1" applyNumberForma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21" xfId="1" applyNumberFormat="1" applyBorder="1" applyAlignment="1">
      <alignment horizontal="center" vertical="center" wrapText="1"/>
    </xf>
    <xf numFmtId="3" fontId="1" fillId="0" borderId="64" xfId="1" applyNumberFormat="1" applyBorder="1" applyAlignment="1">
      <alignment horizontal="center" vertical="center"/>
    </xf>
    <xf numFmtId="3" fontId="7" fillId="4" borderId="64" xfId="1" applyNumberFormat="1" applyFont="1" applyFill="1" applyBorder="1" applyAlignment="1">
      <alignment horizontal="center" vertical="center"/>
    </xf>
    <xf numFmtId="179" fontId="1" fillId="4" borderId="64" xfId="1" applyNumberFormat="1" applyFill="1" applyBorder="1" applyAlignment="1">
      <alignment vertical="center"/>
    </xf>
    <xf numFmtId="3" fontId="1" fillId="0" borderId="21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43" xfId="1" applyNumberFormat="1" applyBorder="1" applyAlignment="1">
      <alignment horizontal="center" vertical="center"/>
    </xf>
    <xf numFmtId="3" fontId="1" fillId="0" borderId="78" xfId="1" applyNumberFormat="1" applyBorder="1" applyAlignment="1">
      <alignment horizontal="center" vertical="center"/>
    </xf>
    <xf numFmtId="179" fontId="6" fillId="0" borderId="76" xfId="1" applyNumberFormat="1" applyFont="1" applyBorder="1" applyAlignment="1">
      <alignment vertical="center"/>
    </xf>
    <xf numFmtId="3" fontId="1" fillId="0" borderId="39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179" fontId="6" fillId="0" borderId="12" xfId="1" applyNumberFormat="1" applyFont="1" applyBorder="1" applyAlignment="1">
      <alignment vertical="center"/>
    </xf>
    <xf numFmtId="3" fontId="1" fillId="0" borderId="82" xfId="1" applyNumberFormat="1" applyBorder="1" applyAlignment="1">
      <alignment vertical="center"/>
    </xf>
    <xf numFmtId="3" fontId="1" fillId="0" borderId="83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center" vertical="center"/>
    </xf>
    <xf numFmtId="3" fontId="1" fillId="0" borderId="85" xfId="1" applyNumberFormat="1" applyBorder="1" applyAlignment="1">
      <alignment horizontal="center" vertical="center"/>
    </xf>
    <xf numFmtId="3" fontId="1" fillId="0" borderId="86" xfId="1" applyNumberFormat="1" applyBorder="1" applyAlignment="1">
      <alignment horizontal="center" vertical="center"/>
    </xf>
    <xf numFmtId="3" fontId="1" fillId="0" borderId="87" xfId="1" applyNumberFormat="1" applyBorder="1" applyAlignment="1">
      <alignment horizontal="center" vertical="center"/>
    </xf>
    <xf numFmtId="3" fontId="1" fillId="0" borderId="15" xfId="1" applyNumberFormat="1" applyBorder="1" applyAlignment="1">
      <alignment horizontal="center" vertical="center"/>
    </xf>
    <xf numFmtId="179" fontId="6" fillId="3" borderId="88" xfId="1" applyNumberFormat="1" applyFont="1" applyFill="1" applyBorder="1" applyAlignment="1">
      <alignment vertical="center"/>
    </xf>
    <xf numFmtId="3" fontId="1" fillId="0" borderId="89" xfId="1" applyNumberFormat="1" applyBorder="1" applyAlignment="1">
      <alignment vertical="center"/>
    </xf>
    <xf numFmtId="3" fontId="1" fillId="0" borderId="16" xfId="1" applyNumberFormat="1" applyBorder="1" applyAlignment="1">
      <alignment horizontal="center" vertical="center"/>
    </xf>
    <xf numFmtId="3" fontId="7" fillId="4" borderId="1" xfId="1" applyNumberFormat="1" applyFont="1" applyFill="1" applyBorder="1" applyAlignment="1">
      <alignment horizontal="left" vertical="center"/>
    </xf>
    <xf numFmtId="3" fontId="7" fillId="4" borderId="2" xfId="1" applyNumberFormat="1" applyFont="1" applyFill="1" applyBorder="1" applyAlignment="1">
      <alignment horizontal="left" vertical="center"/>
    </xf>
    <xf numFmtId="3" fontId="7" fillId="4" borderId="68" xfId="1" applyNumberFormat="1" applyFont="1" applyFill="1" applyBorder="1" applyAlignment="1">
      <alignment horizontal="left" vertical="center"/>
    </xf>
    <xf numFmtId="179" fontId="6" fillId="0" borderId="64" xfId="1" applyNumberFormat="1" applyFont="1" applyBorder="1" applyAlignment="1">
      <alignment vertical="center"/>
    </xf>
    <xf numFmtId="3" fontId="7" fillId="4" borderId="66" xfId="1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7" fillId="0" borderId="1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horizontal="left" vertical="center"/>
    </xf>
    <xf numFmtId="3" fontId="7" fillId="0" borderId="68" xfId="1" applyNumberFormat="1" applyFont="1" applyBorder="1" applyAlignment="1">
      <alignment horizontal="left" vertical="center"/>
    </xf>
    <xf numFmtId="3" fontId="1" fillId="0" borderId="24" xfId="1" applyNumberFormat="1" applyBorder="1" applyAlignment="1">
      <alignment horizontal="center" vertical="center"/>
    </xf>
    <xf numFmtId="3" fontId="1" fillId="0" borderId="49" xfId="1" quotePrefix="1" applyNumberFormat="1" applyBorder="1" applyAlignment="1">
      <alignment horizontal="left" vertical="center"/>
    </xf>
    <xf numFmtId="3" fontId="1" fillId="0" borderId="50" xfId="1" quotePrefix="1" applyNumberFormat="1" applyBorder="1" applyAlignment="1">
      <alignment horizontal="left" vertical="center"/>
    </xf>
    <xf numFmtId="3" fontId="1" fillId="0" borderId="74" xfId="1" quotePrefix="1" applyNumberFormat="1" applyBorder="1" applyAlignment="1">
      <alignment horizontal="left" vertical="center"/>
    </xf>
    <xf numFmtId="3" fontId="1" fillId="0" borderId="90" xfId="1" applyNumberFormat="1" applyBorder="1" applyAlignment="1">
      <alignment horizontal="left" vertical="center"/>
    </xf>
    <xf numFmtId="3" fontId="1" fillId="0" borderId="91" xfId="1" applyNumberFormat="1" applyBorder="1" applyAlignment="1">
      <alignment horizontal="center" vertical="center"/>
    </xf>
    <xf numFmtId="3" fontId="7" fillId="0" borderId="92" xfId="1" quotePrefix="1" applyNumberFormat="1" applyFont="1" applyBorder="1" applyAlignment="1">
      <alignment horizontal="left" vertical="center"/>
    </xf>
    <xf numFmtId="3" fontId="7" fillId="0" borderId="91" xfId="1" quotePrefix="1" applyNumberFormat="1" applyFont="1" applyBorder="1" applyAlignment="1">
      <alignment horizontal="left" vertical="center"/>
    </xf>
    <xf numFmtId="3" fontId="7" fillId="0" borderId="93" xfId="1" quotePrefix="1" applyNumberFormat="1" applyFont="1" applyBorder="1" applyAlignment="1">
      <alignment horizontal="left" vertical="center"/>
    </xf>
    <xf numFmtId="179" fontId="6" fillId="0" borderId="92" xfId="1" applyNumberFormat="1" applyFont="1" applyBorder="1" applyAlignment="1">
      <alignment vertical="center"/>
    </xf>
    <xf numFmtId="3" fontId="1" fillId="0" borderId="94" xfId="1" applyNumberFormat="1" applyBorder="1" applyAlignment="1">
      <alignment vertical="center"/>
    </xf>
    <xf numFmtId="3" fontId="1" fillId="0" borderId="17" xfId="1" applyNumberFormat="1" applyBorder="1" applyAlignment="1">
      <alignment horizontal="center" vertical="center" wrapText="1"/>
    </xf>
    <xf numFmtId="179" fontId="1" fillId="0" borderId="1" xfId="1" applyNumberFormat="1" applyBorder="1" applyAlignment="1">
      <alignment horizontal="center" vertical="center"/>
    </xf>
    <xf numFmtId="179" fontId="1" fillId="0" borderId="2" xfId="1" applyNumberFormat="1" applyBorder="1" applyAlignment="1">
      <alignment horizontal="center" vertical="center"/>
    </xf>
    <xf numFmtId="179" fontId="1" fillId="0" borderId="68" xfId="1" applyNumberFormat="1" applyBorder="1" applyAlignment="1">
      <alignment horizontal="center" vertical="center"/>
    </xf>
    <xf numFmtId="179" fontId="1" fillId="0" borderId="3" xfId="1" applyNumberFormat="1" applyBorder="1" applyAlignment="1">
      <alignment horizontal="center" vertical="center"/>
    </xf>
    <xf numFmtId="4" fontId="1" fillId="0" borderId="3" xfId="1" applyNumberFormat="1" applyBorder="1" applyAlignment="1">
      <alignment horizontal="center" vertical="center"/>
    </xf>
    <xf numFmtId="3" fontId="1" fillId="0" borderId="3" xfId="1" applyNumberFormat="1" applyBorder="1" applyAlignment="1">
      <alignment horizontal="center" vertical="center"/>
    </xf>
    <xf numFmtId="3" fontId="1" fillId="0" borderId="3" xfId="1" applyNumberFormat="1" applyBorder="1" applyAlignment="1">
      <alignment vertical="center"/>
    </xf>
    <xf numFmtId="3" fontId="1" fillId="4" borderId="3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7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21" fillId="0" borderId="51" xfId="1" applyFont="1" applyBorder="1" applyAlignment="1">
      <alignment horizontal="center" vertical="center"/>
    </xf>
    <xf numFmtId="0" fontId="21" fillId="0" borderId="54" xfId="1" applyFont="1" applyBorder="1" applyAlignment="1">
      <alignment horizontal="center" vertical="center"/>
    </xf>
    <xf numFmtId="0" fontId="21" fillId="0" borderId="55" xfId="1" applyFont="1" applyBorder="1" applyAlignment="1">
      <alignment horizontal="center" vertical="center"/>
    </xf>
    <xf numFmtId="0" fontId="1" fillId="0" borderId="97" xfId="1" applyBorder="1" applyAlignment="1">
      <alignment horizontal="center" vertical="center"/>
    </xf>
    <xf numFmtId="0" fontId="1" fillId="0" borderId="98" xfId="1" applyBorder="1" applyAlignment="1">
      <alignment horizontal="center" vertical="center"/>
    </xf>
    <xf numFmtId="0" fontId="1" fillId="0" borderId="9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100" xfId="1" applyBorder="1" applyAlignment="1">
      <alignment horizontal="center" vertical="center"/>
    </xf>
    <xf numFmtId="0" fontId="21" fillId="0" borderId="56" xfId="1" applyFont="1" applyBorder="1" applyAlignment="1">
      <alignment horizontal="center" vertical="center"/>
    </xf>
    <xf numFmtId="0" fontId="21" fillId="0" borderId="60" xfId="1" applyFont="1" applyBorder="1" applyAlignment="1">
      <alignment horizontal="center" vertical="center"/>
    </xf>
    <xf numFmtId="0" fontId="21" fillId="0" borderId="61" xfId="1" applyFont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101" xfId="1" applyBorder="1" applyAlignment="1">
      <alignment horizontal="center" vertical="center"/>
    </xf>
    <xf numFmtId="0" fontId="1" fillId="0" borderId="102" xfId="1" applyBorder="1" applyAlignment="1">
      <alignment horizontal="center" vertical="center"/>
    </xf>
    <xf numFmtId="0" fontId="1" fillId="0" borderId="103" xfId="1" applyBorder="1" applyAlignment="1">
      <alignment horizontal="center" vertical="center"/>
    </xf>
    <xf numFmtId="176" fontId="1" fillId="0" borderId="104" xfId="1" applyNumberFormat="1" applyBorder="1" applyAlignment="1">
      <alignment horizontal="center" vertical="center"/>
    </xf>
    <xf numFmtId="176" fontId="1" fillId="0" borderId="104" xfId="1" applyNumberFormat="1" applyBorder="1" applyAlignment="1">
      <alignment horizontal="left" vertical="center"/>
    </xf>
    <xf numFmtId="176" fontId="21" fillId="0" borderId="105" xfId="1" applyNumberFormat="1" applyFont="1" applyBorder="1" applyAlignment="1">
      <alignment vertical="center"/>
    </xf>
    <xf numFmtId="176" fontId="21" fillId="0" borderId="106" xfId="1" applyNumberFormat="1" applyFont="1" applyBorder="1" applyAlignment="1">
      <alignment vertical="center"/>
    </xf>
    <xf numFmtId="176" fontId="21" fillId="0" borderId="107" xfId="1" applyNumberFormat="1" applyFon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110" xfId="1" applyNumberFormat="1" applyBorder="1" applyAlignment="1">
      <alignment vertical="center"/>
    </xf>
    <xf numFmtId="176" fontId="1" fillId="0" borderId="111" xfId="1" applyNumberFormat="1" applyBorder="1" applyAlignment="1">
      <alignment vertical="center"/>
    </xf>
    <xf numFmtId="176" fontId="1" fillId="0" borderId="19" xfId="1" applyNumberFormat="1" applyBorder="1" applyAlignment="1">
      <alignment horizontal="center" vertical="center"/>
    </xf>
    <xf numFmtId="176" fontId="1" fillId="0" borderId="19" xfId="1" applyNumberFormat="1" applyBorder="1" applyAlignment="1">
      <alignment horizontal="left" vertical="center"/>
    </xf>
    <xf numFmtId="176" fontId="21" fillId="0" borderId="16" xfId="1" applyNumberFormat="1" applyFont="1" applyBorder="1" applyAlignment="1">
      <alignment vertical="center"/>
    </xf>
    <xf numFmtId="176" fontId="21" fillId="0" borderId="3" xfId="1" applyNumberFormat="1" applyFont="1" applyBorder="1" applyAlignment="1">
      <alignment vertical="center"/>
    </xf>
    <xf numFmtId="176" fontId="21" fillId="0" borderId="66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" xfId="1" applyNumberFormat="1" applyBorder="1" applyAlignment="1">
      <alignment vertical="center"/>
    </xf>
    <xf numFmtId="176" fontId="1" fillId="0" borderId="112" xfId="1" applyNumberFormat="1" applyBorder="1" applyAlignment="1">
      <alignment vertical="center"/>
    </xf>
    <xf numFmtId="176" fontId="1" fillId="0" borderId="113" xfId="1" applyNumberFormat="1" applyBorder="1" applyAlignment="1">
      <alignment vertical="center"/>
    </xf>
    <xf numFmtId="176" fontId="1" fillId="0" borderId="18" xfId="1" applyNumberFormat="1" applyBorder="1" applyAlignment="1">
      <alignment vertical="center"/>
    </xf>
    <xf numFmtId="176" fontId="1" fillId="0" borderId="25" xfId="1" applyNumberFormat="1" applyBorder="1" applyAlignment="1">
      <alignment horizontal="left" vertical="center"/>
    </xf>
    <xf numFmtId="176" fontId="1" fillId="0" borderId="25" xfId="1" applyNumberFormat="1" applyBorder="1" applyAlignment="1">
      <alignment horizontal="center" vertical="center"/>
    </xf>
    <xf numFmtId="176" fontId="21" fillId="0" borderId="24" xfId="1" applyNumberFormat="1" applyFont="1" applyBorder="1" applyAlignment="1">
      <alignment vertical="center"/>
    </xf>
    <xf numFmtId="176" fontId="21" fillId="0" borderId="17" xfId="1" applyNumberFormat="1" applyFont="1" applyBorder="1" applyAlignment="1">
      <alignment vertical="center"/>
    </xf>
    <xf numFmtId="176" fontId="21" fillId="0" borderId="71" xfId="1" applyNumberFormat="1" applyFont="1" applyBorder="1" applyAlignment="1">
      <alignment vertical="center"/>
    </xf>
    <xf numFmtId="176" fontId="1" fillId="0" borderId="70" xfId="1" applyNumberFormat="1" applyBorder="1" applyAlignment="1">
      <alignment vertical="center"/>
    </xf>
    <xf numFmtId="176" fontId="1" fillId="0" borderId="17" xfId="1" applyNumberFormat="1" applyBorder="1" applyAlignment="1">
      <alignment vertical="center"/>
    </xf>
    <xf numFmtId="176" fontId="1" fillId="0" borderId="114" xfId="1" applyNumberFormat="1" applyBorder="1" applyAlignment="1">
      <alignment vertical="center"/>
    </xf>
    <xf numFmtId="176" fontId="1" fillId="0" borderId="115" xfId="1" applyNumberFormat="1" applyBorder="1" applyAlignment="1">
      <alignment vertical="center"/>
    </xf>
    <xf numFmtId="176" fontId="1" fillId="0" borderId="23" xfId="1" applyNumberFormat="1" applyBorder="1" applyAlignment="1">
      <alignment vertical="center"/>
    </xf>
    <xf numFmtId="176" fontId="1" fillId="0" borderId="116" xfId="1" applyNumberFormat="1" applyBorder="1" applyAlignment="1">
      <alignment horizontal="left" vertical="center"/>
    </xf>
    <xf numFmtId="176" fontId="1" fillId="0" borderId="116" xfId="1" applyNumberFormat="1" applyBorder="1" applyAlignment="1">
      <alignment horizontal="center" vertical="center"/>
    </xf>
    <xf numFmtId="176" fontId="21" fillId="0" borderId="83" xfId="1" applyNumberFormat="1" applyFont="1" applyBorder="1" applyAlignment="1">
      <alignment vertical="center"/>
    </xf>
    <xf numFmtId="176" fontId="21" fillId="0" borderId="64" xfId="1" applyNumberFormat="1" applyFont="1" applyBorder="1" applyAlignment="1">
      <alignment vertical="center"/>
    </xf>
    <xf numFmtId="176" fontId="21" fillId="0" borderId="65" xfId="1" applyNumberFormat="1" applyFont="1" applyBorder="1" applyAlignment="1">
      <alignment vertical="center"/>
    </xf>
    <xf numFmtId="176" fontId="1" fillId="0" borderId="85" xfId="1" applyNumberForma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117" xfId="1" applyNumberFormat="1" applyBorder="1" applyAlignment="1">
      <alignment vertical="center"/>
    </xf>
    <xf numFmtId="176" fontId="1" fillId="0" borderId="118" xfId="1" applyNumberFormat="1" applyBorder="1" applyAlignment="1">
      <alignment vertical="center"/>
    </xf>
    <xf numFmtId="176" fontId="1" fillId="0" borderId="89" xfId="1" applyNumberFormat="1" applyBorder="1" applyAlignment="1">
      <alignment vertical="center"/>
    </xf>
    <xf numFmtId="176" fontId="1" fillId="0" borderId="31" xfId="1" applyNumberFormat="1" applyBorder="1" applyAlignment="1">
      <alignment horizontal="left" vertical="center"/>
    </xf>
    <xf numFmtId="176" fontId="1" fillId="0" borderId="31" xfId="1" applyNumberFormat="1" applyBorder="1" applyAlignment="1">
      <alignment horizontal="center" vertical="center"/>
    </xf>
    <xf numFmtId="176" fontId="21" fillId="0" borderId="28" xfId="1" applyNumberFormat="1" applyFont="1" applyBorder="1" applyAlignment="1">
      <alignment vertical="center"/>
    </xf>
    <xf numFmtId="176" fontId="21" fillId="0" borderId="30" xfId="1" applyNumberFormat="1" applyFont="1" applyBorder="1" applyAlignment="1">
      <alignment vertical="center"/>
    </xf>
    <xf numFmtId="176" fontId="21" fillId="0" borderId="75" xfId="1" applyNumberFormat="1" applyFont="1" applyBorder="1" applyAlignment="1">
      <alignment vertical="center"/>
    </xf>
    <xf numFmtId="176" fontId="1" fillId="0" borderId="74" xfId="1" applyNumberFormat="1" applyBorder="1" applyAlignment="1">
      <alignment vertical="center"/>
    </xf>
    <xf numFmtId="176" fontId="1" fillId="0" borderId="30" xfId="1" applyNumberFormat="1" applyBorder="1" applyAlignment="1">
      <alignment vertical="center"/>
    </xf>
    <xf numFmtId="176" fontId="1" fillId="0" borderId="119" xfId="1" applyNumberFormat="1" applyBorder="1" applyAlignment="1">
      <alignment vertical="center"/>
    </xf>
    <xf numFmtId="176" fontId="1" fillId="0" borderId="120" xfId="1" applyNumberFormat="1" applyBorder="1" applyAlignment="1">
      <alignment vertical="center"/>
    </xf>
    <xf numFmtId="176" fontId="1" fillId="0" borderId="27" xfId="1" applyNumberFormat="1" applyBorder="1" applyAlignment="1">
      <alignment vertical="center"/>
    </xf>
    <xf numFmtId="176" fontId="1" fillId="0" borderId="5" xfId="1" applyNumberFormat="1" applyBorder="1" applyAlignment="1">
      <alignment horizontal="center" vertical="center"/>
    </xf>
    <xf numFmtId="176" fontId="1" fillId="0" borderId="37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21" fillId="0" borderId="51" xfId="1" applyNumberFormat="1" applyFont="1" applyBorder="1" applyAlignment="1">
      <alignment vertical="center"/>
    </xf>
    <xf numFmtId="176" fontId="21" fillId="0" borderId="54" xfId="1" applyNumberFormat="1" applyFont="1" applyBorder="1" applyAlignment="1">
      <alignment vertical="center"/>
    </xf>
    <xf numFmtId="176" fontId="21" fillId="0" borderId="55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54" xfId="1" applyNumberFormat="1" applyFont="1" applyBorder="1" applyAlignment="1">
      <alignment vertical="center"/>
    </xf>
    <xf numFmtId="176" fontId="6" fillId="0" borderId="95" xfId="1" applyNumberFormat="1" applyFont="1" applyBorder="1" applyAlignment="1">
      <alignment vertical="center"/>
    </xf>
    <xf numFmtId="176" fontId="6" fillId="0" borderId="121" xfId="1" applyNumberFormat="1" applyFon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7" fillId="0" borderId="46" xfId="1" applyNumberFormat="1" applyFont="1" applyBorder="1" applyAlignment="1">
      <alignment horizontal="center" vertical="center"/>
    </xf>
    <xf numFmtId="176" fontId="7" fillId="0" borderId="47" xfId="1" applyNumberFormat="1" applyFont="1" applyBorder="1" applyAlignment="1">
      <alignment horizontal="center" vertical="center"/>
    </xf>
    <xf numFmtId="176" fontId="7" fillId="0" borderId="48" xfId="1" applyNumberFormat="1" applyFont="1" applyBorder="1" applyAlignment="1">
      <alignment horizontal="center" vertical="center"/>
    </xf>
    <xf numFmtId="9" fontId="22" fillId="0" borderId="72" xfId="2" applyFont="1" applyBorder="1" applyAlignment="1">
      <alignment vertical="center"/>
    </xf>
    <xf numFmtId="9" fontId="22" fillId="0" borderId="29" xfId="2" applyFont="1" applyBorder="1" applyAlignment="1">
      <alignment vertical="center"/>
    </xf>
    <xf numFmtId="9" fontId="22" fillId="0" borderId="122" xfId="2" applyFont="1" applyBorder="1" applyAlignment="1">
      <alignment vertical="center"/>
    </xf>
    <xf numFmtId="9" fontId="7" fillId="0" borderId="123" xfId="2" applyFont="1" applyBorder="1" applyAlignment="1">
      <alignment vertical="center"/>
    </xf>
    <xf numFmtId="9" fontId="7" fillId="0" borderId="29" xfId="2" applyFont="1" applyFill="1" applyBorder="1" applyAlignment="1">
      <alignment vertical="center"/>
    </xf>
    <xf numFmtId="9" fontId="7" fillId="0" borderId="29" xfId="2" applyFont="1" applyBorder="1" applyAlignment="1">
      <alignment vertical="center"/>
    </xf>
    <xf numFmtId="9" fontId="7" fillId="0" borderId="124" xfId="2" applyFont="1" applyBorder="1" applyAlignment="1">
      <alignment vertical="center"/>
    </xf>
    <xf numFmtId="9" fontId="7" fillId="0" borderId="125" xfId="2" applyFont="1" applyBorder="1" applyAlignment="1">
      <alignment vertical="center"/>
    </xf>
    <xf numFmtId="176" fontId="7" fillId="0" borderId="48" xfId="1" applyNumberFormat="1" applyFont="1" applyBorder="1" applyAlignment="1">
      <alignment vertical="center"/>
    </xf>
    <xf numFmtId="176" fontId="7" fillId="0" borderId="0" xfId="1" applyNumberFormat="1" applyFont="1" applyAlignment="1">
      <alignment vertical="center"/>
    </xf>
    <xf numFmtId="0" fontId="23" fillId="0" borderId="0" xfId="1" applyFont="1" applyAlignment="1">
      <alignment vertical="center"/>
    </xf>
    <xf numFmtId="41" fontId="23" fillId="0" borderId="0" xfId="3" applyFont="1" applyAlignment="1">
      <alignment vertical="center"/>
    </xf>
    <xf numFmtId="179" fontId="24" fillId="0" borderId="0" xfId="1" applyNumberFormat="1" applyFont="1" applyAlignment="1">
      <alignment vertical="center"/>
    </xf>
    <xf numFmtId="0" fontId="11" fillId="0" borderId="0" xfId="1" applyFont="1" applyAlignment="1">
      <alignment horizontal="right" vertical="center"/>
    </xf>
    <xf numFmtId="180" fontId="25" fillId="0" borderId="47" xfId="1" applyNumberFormat="1" applyFont="1" applyBorder="1" applyAlignment="1">
      <alignment horizontal="center" vertical="center"/>
    </xf>
    <xf numFmtId="176" fontId="24" fillId="0" borderId="0" xfId="1" applyNumberFormat="1" applyFont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176" fontId="1" fillId="0" borderId="4" xfId="1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 wrapText="1"/>
    </xf>
    <xf numFmtId="0" fontId="1" fillId="0" borderId="39" xfId="1" applyBorder="1" applyAlignment="1">
      <alignment vertical="center"/>
    </xf>
    <xf numFmtId="0" fontId="1" fillId="2" borderId="116" xfId="1" applyFill="1" applyBorder="1" applyAlignment="1">
      <alignment vertical="center"/>
    </xf>
    <xf numFmtId="0" fontId="1" fillId="2" borderId="116" xfId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vertical="center"/>
    </xf>
    <xf numFmtId="0" fontId="1" fillId="0" borderId="116" xfId="1" applyBorder="1" applyAlignment="1">
      <alignment vertical="center"/>
    </xf>
    <xf numFmtId="0" fontId="1" fillId="0" borderId="38" xfId="1" applyBorder="1" applyAlignment="1">
      <alignment horizontal="center" vertical="center" wrapText="1"/>
    </xf>
    <xf numFmtId="0" fontId="1" fillId="2" borderId="19" xfId="1" applyFill="1" applyBorder="1" applyAlignment="1">
      <alignment vertical="center"/>
    </xf>
    <xf numFmtId="0" fontId="1" fillId="2" borderId="19" xfId="1" applyFill="1" applyBorder="1" applyAlignment="1">
      <alignment horizontal="center" vertical="center"/>
    </xf>
    <xf numFmtId="176" fontId="1" fillId="2" borderId="19" xfId="1" applyNumberFormat="1" applyFill="1" applyBorder="1" applyAlignment="1">
      <alignment horizontal="center" vertical="center"/>
    </xf>
    <xf numFmtId="176" fontId="1" fillId="2" borderId="19" xfId="1" applyNumberFormat="1" applyFill="1" applyBorder="1" applyAlignment="1">
      <alignment vertical="center"/>
    </xf>
    <xf numFmtId="0" fontId="1" fillId="2" borderId="31" xfId="1" applyFill="1" applyBorder="1" applyAlignment="1">
      <alignment vertical="center"/>
    </xf>
    <xf numFmtId="0" fontId="1" fillId="2" borderId="31" xfId="1" applyFill="1" applyBorder="1" applyAlignment="1">
      <alignment horizontal="center" vertical="center"/>
    </xf>
    <xf numFmtId="176" fontId="1" fillId="2" borderId="31" xfId="1" applyNumberFormat="1" applyFill="1" applyBorder="1" applyAlignment="1">
      <alignment horizontal="center" vertical="center"/>
    </xf>
    <xf numFmtId="176" fontId="1" fillId="2" borderId="31" xfId="1" applyNumberFormat="1" applyFill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8" xfId="1" applyBorder="1" applyAlignment="1">
      <alignment vertical="center"/>
    </xf>
    <xf numFmtId="0" fontId="1" fillId="0" borderId="45" xfId="1" applyBorder="1" applyAlignment="1">
      <alignment vertical="center"/>
    </xf>
    <xf numFmtId="176" fontId="1" fillId="0" borderId="45" xfId="1" applyNumberFormat="1" applyBorder="1" applyAlignment="1">
      <alignment horizontal="center" vertical="center"/>
    </xf>
    <xf numFmtId="176" fontId="1" fillId="0" borderId="45" xfId="1" applyNumberFormat="1" applyBorder="1" applyAlignment="1">
      <alignment vertical="center"/>
    </xf>
    <xf numFmtId="0" fontId="1" fillId="5" borderId="5" xfId="1" applyFill="1" applyBorder="1" applyAlignment="1">
      <alignment vertical="center"/>
    </xf>
    <xf numFmtId="0" fontId="1" fillId="2" borderId="126" xfId="1" applyFill="1" applyBorder="1" applyAlignment="1">
      <alignment vertical="center"/>
    </xf>
    <xf numFmtId="0" fontId="1" fillId="2" borderId="126" xfId="1" applyFill="1" applyBorder="1" applyAlignment="1">
      <alignment horizontal="center" vertical="center"/>
    </xf>
    <xf numFmtId="176" fontId="1" fillId="2" borderId="126" xfId="1" applyNumberFormat="1" applyFill="1" applyBorder="1" applyAlignment="1">
      <alignment horizontal="center" vertical="center"/>
    </xf>
    <xf numFmtId="176" fontId="1" fillId="2" borderId="126" xfId="1" applyNumberFormat="1" applyFill="1" applyBorder="1" applyAlignment="1">
      <alignment vertical="center"/>
    </xf>
    <xf numFmtId="176" fontId="1" fillId="0" borderId="44" xfId="1" applyNumberFormat="1" applyBorder="1" applyAlignment="1">
      <alignment vertical="center"/>
    </xf>
    <xf numFmtId="0" fontId="1" fillId="0" borderId="126" xfId="1" applyBorder="1" applyAlignment="1">
      <alignment vertical="center"/>
    </xf>
    <xf numFmtId="0" fontId="1" fillId="5" borderId="39" xfId="1" applyFill="1" applyBorder="1" applyAlignment="1">
      <alignment vertical="center"/>
    </xf>
    <xf numFmtId="0" fontId="1" fillId="2" borderId="25" xfId="1" applyFill="1" applyBorder="1" applyAlignment="1">
      <alignment vertical="center"/>
    </xf>
    <xf numFmtId="176" fontId="1" fillId="2" borderId="25" xfId="1" applyNumberFormat="1" applyFill="1" applyBorder="1" applyAlignment="1">
      <alignment horizontal="center" vertical="center"/>
    </xf>
    <xf numFmtId="176" fontId="1" fillId="2" borderId="25" xfId="1" applyNumberFormat="1" applyFill="1" applyBorder="1" applyAlignment="1">
      <alignment vertical="center"/>
    </xf>
    <xf numFmtId="0" fontId="1" fillId="6" borderId="34" xfId="1" applyFill="1" applyBorder="1" applyAlignment="1">
      <alignment vertical="center"/>
    </xf>
    <xf numFmtId="0" fontId="1" fillId="6" borderId="4" xfId="1" applyFill="1" applyBorder="1" applyAlignment="1">
      <alignment vertical="center"/>
    </xf>
    <xf numFmtId="0" fontId="1" fillId="6" borderId="4" xfId="1" applyFill="1" applyBorder="1" applyAlignment="1">
      <alignment horizontal="center" vertical="center"/>
    </xf>
    <xf numFmtId="176" fontId="1" fillId="6" borderId="4" xfId="1" applyNumberFormat="1" applyFill="1" applyBorder="1" applyAlignment="1">
      <alignment horizontal="center" vertical="center"/>
    </xf>
    <xf numFmtId="176" fontId="1" fillId="6" borderId="4" xfId="1" applyNumberFormat="1" applyFill="1" applyBorder="1" applyAlignment="1">
      <alignment vertical="center"/>
    </xf>
    <xf numFmtId="176" fontId="1" fillId="6" borderId="34" xfId="1" applyNumberFormat="1" applyFill="1" applyBorder="1" applyAlignment="1">
      <alignment vertical="center"/>
    </xf>
    <xf numFmtId="0" fontId="1" fillId="0" borderId="5" xfId="1" applyBorder="1" applyAlignment="1">
      <alignment vertical="center"/>
    </xf>
    <xf numFmtId="0" fontId="1" fillId="7" borderId="126" xfId="1" applyFill="1" applyBorder="1" applyAlignment="1">
      <alignment vertical="center" wrapText="1"/>
    </xf>
    <xf numFmtId="41" fontId="0" fillId="7" borderId="19" xfId="3" applyFont="1" applyFill="1" applyBorder="1" applyAlignment="1">
      <alignment horizontal="center" vertical="center"/>
    </xf>
    <xf numFmtId="41" fontId="1" fillId="7" borderId="19" xfId="3" applyFont="1" applyFill="1" applyBorder="1" applyAlignment="1">
      <alignment horizontal="right" vertical="center"/>
    </xf>
    <xf numFmtId="0" fontId="1" fillId="2" borderId="25" xfId="1" applyFill="1" applyBorder="1" applyAlignment="1">
      <alignment horizontal="center" vertical="center"/>
    </xf>
    <xf numFmtId="0" fontId="0" fillId="7" borderId="19" xfId="3" applyNumberFormat="1" applyFont="1" applyFill="1" applyBorder="1" applyAlignment="1">
      <alignment horizontal="left" vertical="center"/>
    </xf>
    <xf numFmtId="0" fontId="1" fillId="0" borderId="46" xfId="1" applyBorder="1" applyAlignment="1">
      <alignment horizontal="center" vertical="center"/>
    </xf>
    <xf numFmtId="0" fontId="1" fillId="0" borderId="33" xfId="1" applyBorder="1" applyAlignment="1">
      <alignment horizontal="left" vertical="center"/>
    </xf>
    <xf numFmtId="0" fontId="1" fillId="0" borderId="34" xfId="1" applyBorder="1" applyAlignment="1">
      <alignment vertical="center"/>
    </xf>
    <xf numFmtId="176" fontId="1" fillId="0" borderId="7" xfId="1" applyNumberFormat="1" applyBorder="1" applyAlignment="1">
      <alignment horizontal="center" vertical="center"/>
    </xf>
    <xf numFmtId="176" fontId="1" fillId="0" borderId="7" xfId="1" applyNumberFormat="1" applyBorder="1" applyAlignment="1">
      <alignment vertical="center"/>
    </xf>
    <xf numFmtId="0" fontId="1" fillId="0" borderId="7" xfId="1" applyBorder="1" applyAlignment="1">
      <alignment horizontal="center" vertical="top" wrapText="1" shrinkToFit="1"/>
    </xf>
    <xf numFmtId="0" fontId="1" fillId="0" borderId="32" xfId="1" applyBorder="1" applyAlignment="1">
      <alignment vertical="center"/>
    </xf>
    <xf numFmtId="0" fontId="1" fillId="0" borderId="32" xfId="1" applyBorder="1" applyAlignment="1">
      <alignment horizontal="center" vertical="center"/>
    </xf>
    <xf numFmtId="176" fontId="1" fillId="2" borderId="7" xfId="1" applyNumberFormat="1" applyFill="1" applyBorder="1" applyAlignment="1">
      <alignment horizontal="center" vertical="center"/>
    </xf>
    <xf numFmtId="176" fontId="1" fillId="2" borderId="7" xfId="1" applyNumberFormat="1" applyFill="1" applyBorder="1" applyAlignment="1">
      <alignment vertical="center"/>
    </xf>
    <xf numFmtId="176" fontId="1" fillId="0" borderId="34" xfId="1" applyNumberFormat="1" applyBorder="1" applyAlignment="1">
      <alignment vertical="center"/>
    </xf>
    <xf numFmtId="0" fontId="1" fillId="0" borderId="38" xfId="1" applyBorder="1" applyAlignment="1">
      <alignment horizontal="center" vertical="top" wrapText="1" shrinkToFit="1"/>
    </xf>
    <xf numFmtId="0" fontId="1" fillId="0" borderId="41" xfId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33" xfId="1" applyBorder="1" applyAlignment="1">
      <alignment vertical="center"/>
    </xf>
    <xf numFmtId="0" fontId="1" fillId="0" borderId="4" xfId="1" applyBorder="1" applyAlignment="1">
      <alignment horizontal="right" vertical="center"/>
    </xf>
    <xf numFmtId="176" fontId="1" fillId="0" borderId="32" xfId="1" applyNumberFormat="1" applyBorder="1" applyAlignment="1">
      <alignment vertical="center"/>
    </xf>
    <xf numFmtId="176" fontId="1" fillId="2" borderId="4" xfId="1" applyNumberFormat="1" applyFill="1" applyBorder="1" applyAlignment="1">
      <alignment vertical="center"/>
    </xf>
    <xf numFmtId="180" fontId="11" fillId="2" borderId="47" xfId="1" applyNumberFormat="1" applyFont="1" applyFill="1" applyBorder="1" applyAlignment="1">
      <alignment vertical="center"/>
    </xf>
    <xf numFmtId="176" fontId="24" fillId="0" borderId="0" xfId="1" applyNumberFormat="1" applyFont="1" applyAlignment="1">
      <alignment vertical="center"/>
    </xf>
    <xf numFmtId="180" fontId="1" fillId="0" borderId="0" xfId="1" applyNumberFormat="1" applyAlignment="1">
      <alignment vertical="center"/>
    </xf>
    <xf numFmtId="0" fontId="1" fillId="0" borderId="38" xfId="1" applyBorder="1" applyAlignment="1">
      <alignment horizontal="center" vertical="center"/>
    </xf>
    <xf numFmtId="0" fontId="1" fillId="7" borderId="19" xfId="1" applyFill="1" applyBorder="1" applyAlignment="1">
      <alignment vertical="center"/>
    </xf>
    <xf numFmtId="0" fontId="1" fillId="7" borderId="19" xfId="1" applyFill="1" applyBorder="1" applyAlignment="1">
      <alignment horizontal="center" vertical="center"/>
    </xf>
    <xf numFmtId="176" fontId="1" fillId="7" borderId="19" xfId="1" applyNumberFormat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181" fontId="1" fillId="0" borderId="45" xfId="1" applyNumberFormat="1" applyBorder="1" applyAlignment="1">
      <alignment vertical="center"/>
    </xf>
    <xf numFmtId="176" fontId="1" fillId="2" borderId="19" xfId="1" applyNumberFormat="1" applyFill="1" applyBorder="1" applyAlignment="1">
      <alignment horizontal="right" vertical="center"/>
    </xf>
    <xf numFmtId="176" fontId="1" fillId="2" borderId="4" xfId="1" applyNumberFormat="1" applyFill="1" applyBorder="1" applyAlignment="1">
      <alignment horizontal="right" vertical="center"/>
    </xf>
    <xf numFmtId="176" fontId="1" fillId="7" borderId="126" xfId="1" applyNumberFormat="1" applyFill="1" applyBorder="1" applyAlignment="1">
      <alignment horizontal="right" vertical="center"/>
    </xf>
    <xf numFmtId="176" fontId="1" fillId="7" borderId="19" xfId="1" applyNumberFormat="1" applyFill="1" applyBorder="1" applyAlignment="1">
      <alignment horizontal="right" vertical="center"/>
    </xf>
    <xf numFmtId="176" fontId="1" fillId="7" borderId="31" xfId="1" applyNumberFormat="1" applyFill="1" applyBorder="1" applyAlignment="1">
      <alignment horizontal="right" vertical="center"/>
    </xf>
    <xf numFmtId="0" fontId="1" fillId="2" borderId="19" xfId="1" applyFill="1" applyBorder="1" applyAlignment="1">
      <alignment horizontal="left" vertical="center"/>
    </xf>
    <xf numFmtId="0" fontId="7" fillId="2" borderId="19" xfId="1" applyFont="1" applyFill="1" applyBorder="1" applyAlignment="1">
      <alignment horizontal="left" vertical="center"/>
    </xf>
    <xf numFmtId="176" fontId="1" fillId="2" borderId="25" xfId="1" applyNumberFormat="1" applyFill="1" applyBorder="1" applyAlignment="1">
      <alignment horizontal="right" vertical="center"/>
    </xf>
    <xf numFmtId="176" fontId="1" fillId="2" borderId="31" xfId="1" applyNumberFormat="1" applyFill="1" applyBorder="1" applyAlignment="1">
      <alignment horizontal="right" vertical="center"/>
    </xf>
    <xf numFmtId="176" fontId="1" fillId="2" borderId="4" xfId="1" applyNumberFormat="1" applyFill="1" applyBorder="1" applyAlignment="1">
      <alignment horizontal="center" vertical="center"/>
    </xf>
    <xf numFmtId="176" fontId="1" fillId="7" borderId="126" xfId="1" applyNumberFormat="1" applyFill="1" applyBorder="1" applyAlignment="1">
      <alignment horizontal="center" vertical="center"/>
    </xf>
    <xf numFmtId="176" fontId="1" fillId="7" borderId="19" xfId="1" applyNumberFormat="1" applyFill="1" applyBorder="1" applyAlignment="1">
      <alignment horizontal="center" vertical="center"/>
    </xf>
    <xf numFmtId="176" fontId="1" fillId="7" borderId="31" xfId="1" applyNumberFormat="1" applyFill="1" applyBorder="1" applyAlignment="1">
      <alignment horizontal="center" vertical="center"/>
    </xf>
    <xf numFmtId="41" fontId="1" fillId="7" borderId="19" xfId="3" applyFont="1" applyFill="1" applyBorder="1" applyAlignment="1">
      <alignment vertical="center"/>
    </xf>
    <xf numFmtId="176" fontId="1" fillId="7" borderId="126" xfId="1" applyNumberFormat="1" applyFill="1" applyBorder="1" applyAlignment="1">
      <alignment vertical="center"/>
    </xf>
    <xf numFmtId="176" fontId="1" fillId="7" borderId="31" xfId="1" applyNumberFormat="1" applyFill="1" applyBorder="1" applyAlignment="1">
      <alignment vertical="center"/>
    </xf>
    <xf numFmtId="0" fontId="1" fillId="0" borderId="7" xfId="1" applyBorder="1" applyAlignment="1">
      <alignment vertical="center"/>
    </xf>
    <xf numFmtId="0" fontId="1" fillId="8" borderId="4" xfId="1" applyFill="1" applyBorder="1" applyAlignment="1">
      <alignment vertical="center"/>
    </xf>
    <xf numFmtId="176" fontId="1" fillId="8" borderId="4" xfId="1" applyNumberFormat="1" applyFill="1" applyBorder="1" applyAlignment="1">
      <alignment vertical="center"/>
    </xf>
    <xf numFmtId="176" fontId="1" fillId="8" borderId="34" xfId="1" applyNumberFormat="1" applyFill="1" applyBorder="1" applyAlignment="1">
      <alignment vertical="center"/>
    </xf>
    <xf numFmtId="0" fontId="26" fillId="0" borderId="19" xfId="1" applyFont="1" applyBorder="1" applyAlignment="1">
      <alignment vertical="center"/>
    </xf>
  </cellXfs>
  <cellStyles count="4">
    <cellStyle name="백분율 2" xfId="2" xr:uid="{4CBAEEC3-3243-4A22-870E-86B41B85AB8D}"/>
    <cellStyle name="쉼표 [0] 2" xfId="3" xr:uid="{EDAB6571-3B2C-4A2D-8F29-04BB61AACC54}"/>
    <cellStyle name="표준" xfId="0" builtinId="0"/>
    <cellStyle name="표준 2" xfId="1" xr:uid="{25D73F4E-8E75-4147-AD56-42C61E9B1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5E5FB0C0-FA7B-47AD-B953-6117277F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4505" y="910590"/>
          <a:ext cx="470639" cy="538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DEAEE3D-E1AA-43CA-B18C-DF1D3AE8E76E}"/>
            </a:ext>
          </a:extLst>
        </xdr:cNvPr>
        <xdr:cNvSpPr>
          <a:spLocks/>
        </xdr:cNvSpPr>
      </xdr:nvSpPr>
      <xdr:spPr bwMode="auto">
        <a:xfrm>
          <a:off x="7700010" y="3800475"/>
          <a:ext cx="3084195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40DC827E-5EAE-437C-84A1-F414D28249BB}"/>
            </a:ext>
          </a:extLst>
        </xdr:cNvPr>
        <xdr:cNvSpPr>
          <a:spLocks/>
        </xdr:cNvSpPr>
      </xdr:nvSpPr>
      <xdr:spPr bwMode="auto">
        <a:xfrm>
          <a:off x="7719060" y="2806065"/>
          <a:ext cx="30841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C6E6507-80CB-4917-9A38-9E70E6EBFDBD}"/>
            </a:ext>
          </a:extLst>
        </xdr:cNvPr>
        <xdr:cNvSpPr>
          <a:spLocks/>
        </xdr:cNvSpPr>
      </xdr:nvSpPr>
      <xdr:spPr bwMode="auto">
        <a:xfrm>
          <a:off x="7719060" y="4269105"/>
          <a:ext cx="3084195" cy="23431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281D00E6-467D-4D60-B2FC-DE4D184FE65F}"/>
            </a:ext>
          </a:extLst>
        </xdr:cNvPr>
        <xdr:cNvSpPr>
          <a:spLocks/>
        </xdr:cNvSpPr>
      </xdr:nvSpPr>
      <xdr:spPr bwMode="auto">
        <a:xfrm>
          <a:off x="7728585" y="1968820"/>
          <a:ext cx="30841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11D9C073-17E8-4F94-9CD5-24CA7D99FEFC}"/>
            </a:ext>
          </a:extLst>
        </xdr:cNvPr>
        <xdr:cNvSpPr>
          <a:spLocks/>
        </xdr:cNvSpPr>
      </xdr:nvSpPr>
      <xdr:spPr bwMode="auto">
        <a:xfrm>
          <a:off x="7702386" y="3528060"/>
          <a:ext cx="3084195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A292634D-0584-4BD6-81B7-9E523CB4FBEE}"/>
            </a:ext>
          </a:extLst>
        </xdr:cNvPr>
        <xdr:cNvSpPr>
          <a:spLocks/>
        </xdr:cNvSpPr>
      </xdr:nvSpPr>
      <xdr:spPr bwMode="auto">
        <a:xfrm>
          <a:off x="7714292" y="2291238"/>
          <a:ext cx="3084195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9175F1-B4D3-42FD-90DA-1AB876D6DD33}"/>
            </a:ext>
          </a:extLst>
        </xdr:cNvPr>
        <xdr:cNvSpPr>
          <a:spLocks noChangeArrowheads="1"/>
        </xdr:cNvSpPr>
      </xdr:nvSpPr>
      <xdr:spPr bwMode="auto">
        <a:xfrm>
          <a:off x="6564630" y="0"/>
          <a:ext cx="1939290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id="{360C74D8-EDDA-4758-BA71-CBF5B54804FF}"/>
            </a:ext>
          </a:extLst>
        </xdr:cNvPr>
        <xdr:cNvSpPr>
          <a:spLocks noChangeArrowheads="1"/>
        </xdr:cNvSpPr>
      </xdr:nvSpPr>
      <xdr:spPr bwMode="auto">
        <a:xfrm>
          <a:off x="3369945" y="19050"/>
          <a:ext cx="238887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2AE069-9250-411F-B839-E4B2D0F6F2E5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3377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AA095E38-A11B-4BAE-9098-575D13B1D8E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A6FFE46E-0732-4157-A59C-E19C59028D2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86CEC76F-B93D-42DA-A746-E4AF09E399EC}"/>
            </a:ext>
          </a:extLst>
        </xdr:cNvPr>
        <xdr:cNvSpPr>
          <a:spLocks noChangeArrowheads="1"/>
        </xdr:cNvSpPr>
      </xdr:nvSpPr>
      <xdr:spPr bwMode="auto">
        <a:xfrm>
          <a:off x="51396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846FFF8-4BD3-426D-8067-702293847B8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D626E585-A3E4-40E3-9CBA-48D5860B0B3B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7E5CEDCE-AAAE-4624-9F33-E5A244ED564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17828434-98E8-4145-A7E4-FCE4B425921D}"/>
            </a:ext>
          </a:extLst>
        </xdr:cNvPr>
        <xdr:cNvSpPr>
          <a:spLocks noChangeArrowheads="1"/>
        </xdr:cNvSpPr>
      </xdr:nvSpPr>
      <xdr:spPr bwMode="auto">
        <a:xfrm>
          <a:off x="511111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B2ABDDA-2C5C-485D-87F4-35A17F64387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FFAAB1C7-C3B0-4836-8F0D-9BC224F0A4DB}"/>
            </a:ext>
          </a:extLst>
        </xdr:cNvPr>
        <xdr:cNvSpPr>
          <a:spLocks noChangeArrowheads="1"/>
        </xdr:cNvSpPr>
      </xdr:nvSpPr>
      <xdr:spPr bwMode="auto">
        <a:xfrm>
          <a:off x="501586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96F3494-C9D2-4902-9DB0-E46D430D406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6895282-9CFE-4614-8A09-9FE36E772456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0BDE317-018B-4D21-894A-A82A313E463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7771B419-4EC1-44DC-93B7-AD5CBB6C8CCB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01F8CB1-61E3-457E-A72B-22D83E21200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50</xdr:row>
      <xdr:rowOff>0</xdr:rowOff>
    </xdr:from>
    <xdr:to>
      <xdr:col>9</xdr:col>
      <xdr:colOff>0</xdr:colOff>
      <xdr:row>50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7700612E-523D-4922-9921-126932A2261F}"/>
            </a:ext>
          </a:extLst>
        </xdr:cNvPr>
        <xdr:cNvSpPr>
          <a:spLocks noChangeArrowheads="1"/>
        </xdr:cNvSpPr>
      </xdr:nvSpPr>
      <xdr:spPr bwMode="auto">
        <a:xfrm>
          <a:off x="1754505" y="9997440"/>
          <a:ext cx="71685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B6804441-0411-43B7-B2AD-D1D6D07F7580}"/>
            </a:ext>
          </a:extLst>
        </xdr:cNvPr>
        <xdr:cNvSpPr>
          <a:spLocks noChangeArrowheads="1"/>
        </xdr:cNvSpPr>
      </xdr:nvSpPr>
      <xdr:spPr bwMode="auto">
        <a:xfrm>
          <a:off x="493966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9D18DF2B-C190-4BBF-8C52-578460E3574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62</xdr:row>
      <xdr:rowOff>0</xdr:rowOff>
    </xdr:from>
    <xdr:to>
      <xdr:col>9</xdr:col>
      <xdr:colOff>0</xdr:colOff>
      <xdr:row>62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42263431-80F0-4AC4-B45D-106E0272E358}"/>
            </a:ext>
          </a:extLst>
        </xdr:cNvPr>
        <xdr:cNvSpPr>
          <a:spLocks noChangeArrowheads="1"/>
        </xdr:cNvSpPr>
      </xdr:nvSpPr>
      <xdr:spPr bwMode="auto">
        <a:xfrm>
          <a:off x="1754505" y="12374880"/>
          <a:ext cx="71685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3B9A7DE7-E9C3-472C-8302-7FC6889B1A7D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261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D6BE29D5-A368-44DC-9910-8D85F7F6FCC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53</xdr:row>
      <xdr:rowOff>0</xdr:rowOff>
    </xdr:from>
    <xdr:to>
      <xdr:col>9</xdr:col>
      <xdr:colOff>0</xdr:colOff>
      <xdr:row>53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95101048-0DE9-465A-AA14-385694A9A80A}"/>
            </a:ext>
          </a:extLst>
        </xdr:cNvPr>
        <xdr:cNvSpPr>
          <a:spLocks noChangeArrowheads="1"/>
        </xdr:cNvSpPr>
      </xdr:nvSpPr>
      <xdr:spPr bwMode="auto">
        <a:xfrm>
          <a:off x="1754505" y="10591800"/>
          <a:ext cx="71685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BACD05E-D191-457C-8C8B-AE0EDA5F7305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261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2CAB0BF-2C39-425E-84D3-C37EE1E8CAC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9DE4DFB-A304-41E6-B8D4-CB9D61C75A13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E8E9C3F-E48B-4AEE-9254-4119045D8FB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7C913DEE-E675-459B-BFE6-27CA246C36C8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4B6172F-2A07-4F9D-8FBC-341A510123C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CB92435-237F-4C5D-8A62-0ADAE8DCB9C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881F475-6219-4DAD-B0EC-FEB6B9707CA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3609CDDC-D76A-4C91-B89A-EB389E8C4368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F8B348-ECA8-4950-89B9-E1319677759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3A7F754E-472B-4C0D-BCD2-06F1E2381A53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01EC47F-31D7-42C7-95D8-09240B5E4E0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A5A815D-51CD-4737-905B-4600C171D392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93C387F-4EC2-49EF-BE17-53409F4ED90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322AABCB-12EB-4F45-986B-4DA1EC85D5A9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79801902-9413-488D-82C2-2503613A64D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50507C1-A346-48AA-BCA7-1C68C6C3EFEE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E86B20F1-8CBB-4EAC-A072-047E393BA8A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B6728EF-54CE-4361-9EB6-E359988ED809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F5BD-86E3-43CA-B4D3-66B5794E63F4}">
  <sheetPr>
    <pageSetUpPr fitToPage="1"/>
  </sheetPr>
  <dimension ref="B1:L45"/>
  <sheetViews>
    <sheetView showGridLines="0" tabSelected="1" zoomScale="115" zoomScaleNormal="115" workbookViewId="0">
      <selection activeCell="L2" sqref="L2"/>
    </sheetView>
  </sheetViews>
  <sheetFormatPr defaultColWidth="9" defaultRowHeight="14.4" x14ac:dyDescent="0.4"/>
  <cols>
    <col min="1" max="1" width="2" style="1" customWidth="1"/>
    <col min="2" max="2" width="4.8984375" style="1" customWidth="1"/>
    <col min="3" max="3" width="8.5" style="1" customWidth="1"/>
    <col min="4" max="4" width="16.8984375" style="1" customWidth="1"/>
    <col min="5" max="6" width="11.09765625" style="1" customWidth="1"/>
    <col min="7" max="7" width="12.3984375" style="1" customWidth="1"/>
    <col min="8" max="8" width="16" style="1" customWidth="1"/>
    <col min="9" max="9" width="8.5" style="1" customWidth="1"/>
    <col min="10" max="10" width="1.3984375" style="1" customWidth="1"/>
    <col min="11" max="11" width="9" style="1"/>
    <col min="12" max="12" width="33.19921875" style="1" customWidth="1"/>
    <col min="13" max="16384" width="9" style="1"/>
  </cols>
  <sheetData>
    <row r="1" spans="2:10" x14ac:dyDescent="0.4">
      <c r="B1" s="1" t="s">
        <v>0</v>
      </c>
    </row>
    <row r="2" spans="2:10" ht="38.4" x14ac:dyDescent="0.4">
      <c r="B2" s="2" t="s">
        <v>1</v>
      </c>
      <c r="C2" s="2"/>
      <c r="D2" s="2"/>
      <c r="E2" s="2"/>
      <c r="F2" s="2"/>
      <c r="G2" s="2"/>
      <c r="H2" s="2"/>
      <c r="I2" s="2"/>
    </row>
    <row r="4" spans="2:10" s="4" customFormat="1" ht="24" customHeight="1" x14ac:dyDescent="0.4">
      <c r="B4" s="3" t="s">
        <v>2</v>
      </c>
      <c r="C4" s="3"/>
      <c r="D4" s="3"/>
      <c r="G4" s="5" t="s">
        <v>3</v>
      </c>
      <c r="H4" s="5"/>
      <c r="I4" s="6"/>
    </row>
    <row r="5" spans="2:10" s="4" customFormat="1" ht="21.75" customHeight="1" x14ac:dyDescent="0.4">
      <c r="B5" s="7" t="s">
        <v>4</v>
      </c>
      <c r="C5" s="8"/>
      <c r="D5" s="9">
        <v>43787</v>
      </c>
      <c r="E5" s="10"/>
      <c r="G5" s="11" t="s">
        <v>5</v>
      </c>
      <c r="H5" s="12"/>
      <c r="I5" s="12"/>
    </row>
    <row r="6" spans="2:10" s="4" customFormat="1" ht="21.75" customHeight="1" x14ac:dyDescent="0.4">
      <c r="B6" s="7" t="s">
        <v>6</v>
      </c>
      <c r="C6" s="8"/>
      <c r="D6" s="13" t="s">
        <v>7</v>
      </c>
      <c r="E6" s="10"/>
      <c r="G6" s="11" t="s">
        <v>8</v>
      </c>
      <c r="H6" s="11"/>
      <c r="I6" s="11"/>
      <c r="J6" s="1"/>
    </row>
    <row r="7" spans="2:10" s="4" customFormat="1" ht="21.75" customHeight="1" x14ac:dyDescent="0.4">
      <c r="B7" s="14" t="s">
        <v>9</v>
      </c>
      <c r="C7" s="15" t="s">
        <v>10</v>
      </c>
      <c r="D7" s="13"/>
      <c r="E7" s="10"/>
      <c r="G7" s="16" t="s">
        <v>11</v>
      </c>
      <c r="H7" s="11"/>
      <c r="I7" s="11"/>
      <c r="J7" s="1"/>
    </row>
    <row r="8" spans="2:10" s="4" customFormat="1" ht="21.75" customHeight="1" x14ac:dyDescent="0.4">
      <c r="B8" s="14"/>
      <c r="C8" s="15" t="s">
        <v>12</v>
      </c>
      <c r="D8" s="13"/>
      <c r="E8" s="10"/>
      <c r="G8" s="16" t="s">
        <v>13</v>
      </c>
      <c r="H8" s="11"/>
      <c r="I8" s="11"/>
      <c r="J8" s="1"/>
    </row>
    <row r="9" spans="2:10" s="4" customFormat="1" ht="21.75" customHeight="1" x14ac:dyDescent="0.4">
      <c r="B9" s="7" t="s">
        <v>14</v>
      </c>
      <c r="C9" s="8"/>
      <c r="D9" s="17" t="s">
        <v>15</v>
      </c>
      <c r="E9" s="10"/>
      <c r="G9" s="11" t="s">
        <v>16</v>
      </c>
      <c r="H9" s="11"/>
      <c r="I9" s="11"/>
      <c r="J9" s="1"/>
    </row>
    <row r="10" spans="2:10" s="4" customFormat="1" ht="21.75" customHeight="1" x14ac:dyDescent="0.4">
      <c r="B10" s="7" t="s">
        <v>17</v>
      </c>
      <c r="C10" s="8"/>
      <c r="D10" s="13" t="s">
        <v>18</v>
      </c>
      <c r="E10" s="10"/>
      <c r="G10" s="18" t="s">
        <v>19</v>
      </c>
      <c r="H10" s="19" t="s">
        <v>20</v>
      </c>
      <c r="I10" s="20"/>
    </row>
    <row r="11" spans="2:10" s="4" customFormat="1" ht="21.75" customHeight="1" x14ac:dyDescent="0.4">
      <c r="B11" s="7" t="s">
        <v>21</v>
      </c>
      <c r="C11" s="8"/>
      <c r="D11" s="13" t="s">
        <v>22</v>
      </c>
      <c r="E11" s="10"/>
      <c r="G11" s="20" t="s">
        <v>23</v>
      </c>
      <c r="H11" s="19" t="s">
        <v>24</v>
      </c>
      <c r="I11" s="20"/>
    </row>
    <row r="12" spans="2:10" s="22" customFormat="1" ht="10.5" customHeight="1" x14ac:dyDescent="0.4">
      <c r="B12" s="21"/>
      <c r="I12" s="23"/>
    </row>
    <row r="13" spans="2:10" s="22" customFormat="1" ht="24.9" customHeight="1" x14ac:dyDescent="0.4">
      <c r="B13" s="24" t="s">
        <v>25</v>
      </c>
      <c r="C13" s="24"/>
      <c r="D13" s="24"/>
      <c r="E13" s="24"/>
      <c r="F13" s="25"/>
      <c r="G13" s="25"/>
      <c r="H13" s="25"/>
    </row>
    <row r="14" spans="2:10" s="4" customFormat="1" ht="8.25" customHeight="1" x14ac:dyDescent="0.4"/>
    <row r="15" spans="2:10" s="30" customFormat="1" ht="24.9" customHeight="1" x14ac:dyDescent="0.4">
      <c r="B15" s="26" t="s">
        <v>26</v>
      </c>
      <c r="C15" s="27" t="s">
        <v>27</v>
      </c>
      <c r="D15" s="28"/>
      <c r="E15" s="29" t="s">
        <v>28</v>
      </c>
      <c r="F15" s="29"/>
      <c r="G15" s="29"/>
      <c r="H15" s="29"/>
      <c r="I15" s="26" t="s">
        <v>29</v>
      </c>
    </row>
    <row r="16" spans="2:10" s="30" customFormat="1" ht="29.25" customHeight="1" thickBot="1" x14ac:dyDescent="0.45">
      <c r="B16" s="31"/>
      <c r="C16" s="32"/>
      <c r="D16" s="33"/>
      <c r="E16" s="34" t="s">
        <v>30</v>
      </c>
      <c r="F16" s="35" t="s">
        <v>31</v>
      </c>
      <c r="G16" s="36" t="s">
        <v>32</v>
      </c>
      <c r="H16" s="37" t="s">
        <v>33</v>
      </c>
      <c r="I16" s="31"/>
    </row>
    <row r="17" spans="2:9" ht="24.9" customHeight="1" x14ac:dyDescent="0.4">
      <c r="B17" s="38">
        <v>1</v>
      </c>
      <c r="C17" s="39" t="str">
        <f>IF('단위공사별(집계)'!N7&gt;0,'단위공사별(집계)'!B7,"")</f>
        <v>OB 비젼검사/그리스 주입</v>
      </c>
      <c r="D17" s="40"/>
      <c r="E17" s="41">
        <f>IF('단위공사별(집계)'!N7&gt;1,('단위공사별(집계)'!D7+'단위공사별(집계)'!E7+'단위공사별(집계)'!F7+'단위공사별(집계)'!G7+'단위공사별(집계)'!H7+'단위공사별(집계)'!I7)/1000," ")</f>
        <v>68745.810703928291</v>
      </c>
      <c r="F17" s="42">
        <f>IF('단위공사별(집계)'!N7&gt;0,'단위공사별(집계)'!K27/1000,"")</f>
        <v>198500.00000000003</v>
      </c>
      <c r="G17" s="43">
        <f>IF('단위공사별(집계)'!N7&gt;0,('단위공사별(집계)'!L7+'단위공사별(집계)'!M7)/1000,"")</f>
        <v>101.61481676773002</v>
      </c>
      <c r="H17" s="44">
        <f>IF('단위공사별(집계)'!N7&gt;0,'단위공사별(집계)'!N7/1000,"")</f>
        <v>83788.567097284482</v>
      </c>
      <c r="I17" s="38"/>
    </row>
    <row r="18" spans="2:9" ht="24.9" customHeight="1" x14ac:dyDescent="0.4">
      <c r="B18" s="45">
        <v>2</v>
      </c>
      <c r="C18" s="46" t="str">
        <f>IF('단위공사별(집계)'!N8&gt;0,'단위공사별(집계)'!B8,"")</f>
        <v>BOOT조립기</v>
      </c>
      <c r="D18" s="47"/>
      <c r="E18" s="41">
        <f>IF('단위공사별(집계)'!N8&gt;1,('단위공사별(집계)'!D8+'단위공사별(집계)'!E8+'단위공사별(집계)'!F8+'단위공사별(집계)'!G8+'단위공사별(집계)'!H8+'단위공사별(집계)'!I8)/1000," ")</f>
        <v>182338.93224360666</v>
      </c>
      <c r="F18" s="48"/>
      <c r="G18" s="43">
        <f>IF('단위공사별(집계)'!N8&gt;0,('단위공사별(집계)'!L8+'단위공사별(집계)'!M8)/1000,"")</f>
        <v>269.51950962298974</v>
      </c>
      <c r="H18" s="44">
        <f>IF('단위공사별(집계)'!N8&gt;0,'단위공사별(집계)'!N8/1000,"")</f>
        <v>222237.80187186925</v>
      </c>
      <c r="I18" s="49"/>
    </row>
    <row r="19" spans="2:9" ht="24.9" customHeight="1" x14ac:dyDescent="0.4">
      <c r="B19" s="45">
        <v>3</v>
      </c>
      <c r="C19" s="46" t="str">
        <f>IF('단위공사별(집계)'!N9&gt;0,'단위공사별(집계)'!B9,"")</f>
        <v>D/SHAFT 가조립</v>
      </c>
      <c r="D19" s="47"/>
      <c r="E19" s="41">
        <f>IF('단위공사별(집계)'!N9&gt;1,('단위공사별(집계)'!D9+'단위공사별(집계)'!E9+'단위공사별(집계)'!F9+'단위공사별(집계)'!G9+'단위공사별(집계)'!H9+'단위공사별(집계)'!I9)/1000," ")</f>
        <v>19614.427893488006</v>
      </c>
      <c r="F19" s="48"/>
      <c r="G19" s="43">
        <f>IF('단위공사별(집계)'!N9&gt;0,('단위공사별(집계)'!L9+'단위공사별(집계)'!M9)/1000,"")</f>
        <v>28.992552069601899</v>
      </c>
      <c r="H19" s="44">
        <f>IF('단위공사별(집계)'!N9&gt;0,'단위공사별(집계)'!N9/1000,"")</f>
        <v>23906.399398013888</v>
      </c>
      <c r="I19" s="49"/>
    </row>
    <row r="20" spans="2:9" ht="24.9" customHeight="1" x14ac:dyDescent="0.4">
      <c r="B20" s="45">
        <v>4</v>
      </c>
      <c r="C20" s="46" t="str">
        <f>IF('단위공사별(집계)'!N10&gt;0,'단위공사별(집계)'!B10,"")</f>
        <v>D/SHAFT 압입</v>
      </c>
      <c r="D20" s="47"/>
      <c r="E20" s="41">
        <f>IF('단위공사별(집계)'!N10&gt;1,('단위공사별(집계)'!D10+'단위공사별(집계)'!E10+'단위공사별(집계)'!F10+'단위공사별(집계)'!G10+'단위공사별(집계)'!H10+'단위공사별(집계)'!I10)/1000," ")</f>
        <v>49633.030582652253</v>
      </c>
      <c r="F20" s="50"/>
      <c r="G20" s="43">
        <f>IF('단위공사별(집계)'!N10&gt;0,('단위공사별(집계)'!L10+'단위공사별(집계)'!M10)/1000,"")</f>
        <v>73.363762193514376</v>
      </c>
      <c r="H20" s="44">
        <f>IF('단위공사별(집계)'!N10&gt;0,'단위공사별(집계)'!N10/1000,"")</f>
        <v>60493.584563669923</v>
      </c>
      <c r="I20" s="49"/>
    </row>
    <row r="21" spans="2:9" ht="24.9" customHeight="1" x14ac:dyDescent="0.4">
      <c r="B21" s="45">
        <v>5</v>
      </c>
      <c r="C21" s="46" t="str">
        <f>IF('단위공사별(집계)'!N11&gt;0,'단위공사별(집계)'!B11,"")</f>
        <v>I/B 가조립</v>
      </c>
      <c r="D21" s="47"/>
      <c r="E21" s="41">
        <f>IF('단위공사별(집계)'!N11&gt;1,('단위공사별(집계)'!D11+'단위공사별(집계)'!E11+'단위공사별(집계)'!F11+'단위공사별(집계)'!G11+'단위공사별(집계)'!H11+'단위공사별(집계)'!I11)/1000," ")</f>
        <v>24781.399947271286</v>
      </c>
      <c r="F21" s="50"/>
      <c r="G21" s="43">
        <f>IF('단위공사별(집계)'!N11&gt;0,('단위공사별(집계)'!L11+'단위공사별(집계)'!M11)/1000,"")</f>
        <v>36.629976272080143</v>
      </c>
      <c r="H21" s="44">
        <f>IF('단위공사별(집계)'!N11&gt;0,'단위공사별(집계)'!N11/1000,"")</f>
        <v>30203.993101327007</v>
      </c>
      <c r="I21" s="49"/>
    </row>
    <row r="22" spans="2:9" ht="24.9" customHeight="1" x14ac:dyDescent="0.4">
      <c r="B22" s="45">
        <v>6</v>
      </c>
      <c r="C22" s="46" t="str">
        <f>IF('단위공사별(집계)'!N12&gt;0,'단위공사별(집계)'!B12,"")</f>
        <v>I/B 압입</v>
      </c>
      <c r="D22" s="47"/>
      <c r="E22" s="41">
        <f>IF('단위공사별(집계)'!N12&gt;1,('단위공사별(집계)'!D12+'단위공사별(집계)'!E12+'단위공사별(집계)'!F12+'단위공사별(집계)'!G12+'단위공사별(집계)'!H12+'단위공사별(집계)'!I12)/1000," ")</f>
        <v>49552.766939098336</v>
      </c>
      <c r="F22" s="50"/>
      <c r="G22" s="43">
        <f>IF('단위공사별(집계)'!N12&gt;0,('단위공사별(집계)'!L12+'단위공사별(집계)'!M12)/1000,"")</f>
        <v>73.245122594252564</v>
      </c>
      <c r="H22" s="44">
        <f>IF('단위공사별(집계)'!N12&gt;0,'단위공사별(집계)'!N12/1000,"")</f>
        <v>60395.757865366017</v>
      </c>
      <c r="I22" s="49"/>
    </row>
    <row r="23" spans="2:9" ht="24.9" customHeight="1" x14ac:dyDescent="0.4">
      <c r="B23" s="45">
        <v>7</v>
      </c>
      <c r="C23" s="46" t="str">
        <f>IF('단위공사별(집계)'!N13&gt;0,'단위공사별(집계)'!B13,"")</f>
        <v>대경 밴드체결</v>
      </c>
      <c r="D23" s="47"/>
      <c r="E23" s="41">
        <f>IF('단위공사별(집계)'!N13&gt;1,('단위공사별(집계)'!D13+'단위공사별(집계)'!E13+'단위공사별(집계)'!F13+'단위공사별(집계)'!G13+'단위공사별(집계)'!H13+'단위공사별(집계)'!I13)/1000," ")</f>
        <v>34352.839441075666</v>
      </c>
      <c r="F23" s="50"/>
      <c r="G23" s="43">
        <f>IF('단위공사별(집계)'!N13&gt;0,('단위공사별(집계)'!L13+'단위공사별(집계)'!M13)/1000,"")</f>
        <v>50.777748484049567</v>
      </c>
      <c r="H23" s="44">
        <f>IF('단위공사별(집계)'!N13&gt;0,'단위공사별(집계)'!N13/1000,"")</f>
        <v>41869.826874066268</v>
      </c>
      <c r="I23" s="49"/>
    </row>
    <row r="24" spans="2:9" ht="24.9" customHeight="1" x14ac:dyDescent="0.4">
      <c r="B24" s="51">
        <v>8</v>
      </c>
      <c r="C24" s="46" t="str">
        <f>IF('단위공사별(집계)'!N14&gt;0,'단위공사별(집계)'!B14,"")</f>
        <v>완성비젼</v>
      </c>
      <c r="D24" s="47"/>
      <c r="E24" s="41">
        <f>IF('단위공사별(집계)'!N14&gt;1,('단위공사별(집계)'!D14+'단위공사별(집계)'!E14+'단위공사별(집계)'!F14+'단위공사별(집계)'!G14+'단위공사별(집계)'!H14+'단위공사별(집계)'!I14)/1000," ")</f>
        <v>69598.611916688635</v>
      </c>
      <c r="F24" s="50"/>
      <c r="G24" s="43">
        <f>IF('단위공사별(집계)'!N14&gt;0,('단위공사별(집계)'!L14+'단위공사별(집계)'!M14)/1000,"")</f>
        <v>102.87536250988663</v>
      </c>
      <c r="H24" s="44">
        <f>IF('단위공사별(집계)'!N14&gt;0,'단위공사별(집계)'!N14/1000,"")</f>
        <v>84827.975766763338</v>
      </c>
      <c r="I24" s="49"/>
    </row>
    <row r="25" spans="2:9" ht="24.9" customHeight="1" x14ac:dyDescent="0.4">
      <c r="B25" s="51">
        <v>9</v>
      </c>
      <c r="C25" s="46" t="str">
        <f>IF('단위공사별(집계)'!N15&gt;0,'단위공사별(집계)'!B15,"")</f>
        <v>UN-LOADING 배출 및 적재</v>
      </c>
      <c r="D25" s="47"/>
      <c r="E25" s="41">
        <f>IF('단위공사별(집계)'!N15&gt;1,('단위공사별(집계)'!D15+'단위공사별(집계)'!E15+'단위공사별(집계)'!F15+'단위공사별(집계)'!G15+'단위공사별(집계)'!H15+'단위공사별(집계)'!I15)/1000," ")</f>
        <v>104713.95597152651</v>
      </c>
      <c r="F25" s="50"/>
      <c r="G25" s="43">
        <f>IF('단위공사별(집계)'!N15&gt;0,('단위공사별(집계)'!L15+'단위공사별(집계)'!M15)/1000,"")</f>
        <v>154.78018718692329</v>
      </c>
      <c r="H25" s="44">
        <f>IF('단위공사별(집계)'!N15&gt;0,'단위공사별(집계)'!N15/1000,"")</f>
        <v>127627.15627471659</v>
      </c>
      <c r="I25" s="49"/>
    </row>
    <row r="26" spans="2:9" ht="24.9" customHeight="1" x14ac:dyDescent="0.4">
      <c r="B26" s="52">
        <v>10</v>
      </c>
      <c r="C26" s="53" t="str">
        <f>IF('단위공사별(집계)'!N16&gt;0,'단위공사별(집계)'!B16,"")</f>
        <v>MAIN CONVEYOR</v>
      </c>
      <c r="D26" s="54"/>
      <c r="E26" s="55">
        <f>IF('단위공사별(집계)'!N16&gt;1,('단위공사별(집계)'!D16+'단위공사별(집계)'!E16+'단위공사별(집계)'!F16+'단위공사별(집계)'!G16+'단위공사별(집계)'!H16+'단위공사별(집계)'!I16)/1000," ")</f>
        <v>117656.4684945953</v>
      </c>
      <c r="F26" s="50"/>
      <c r="G26" s="42">
        <f>IF('단위공사별(집계)'!N16&gt;0,('단위공사별(집계)'!L16+'단위공사별(집계)'!M16)/1000,"")</f>
        <v>173.9108225678882</v>
      </c>
      <c r="H26" s="56">
        <f>IF('단위공사별(집계)'!N16&gt;0,'단위공사별(집계)'!N16/1000,"")</f>
        <v>143401.71137621932</v>
      </c>
      <c r="I26" s="57"/>
    </row>
    <row r="27" spans="2:9" ht="24.9" customHeight="1" x14ac:dyDescent="0.4">
      <c r="B27" s="51">
        <v>11</v>
      </c>
      <c r="C27" s="46" t="str">
        <f>IF('단위공사별(집계)'!N17&gt;0,'단위공사별(집계)'!B17,"")</f>
        <v>PALLETS</v>
      </c>
      <c r="D27" s="47"/>
      <c r="E27" s="41">
        <f>IF('단위공사별(집계)'!N17&gt;1,('단위공사별(집계)'!D17+'단위공사별(집계)'!E17+'단위공사별(집계)'!F17+'단위공사별(집계)'!G17+'단위공사별(집계)'!H17+'단위공사별(집계)'!I17)/1000," ")</f>
        <v>103038.45241233852</v>
      </c>
      <c r="F27" s="50"/>
      <c r="G27" s="43">
        <f>IF('단위공사별(집계)'!N17&gt;0,('단위공사별(집계)'!L17+'단위공사별(집계)'!M17)/1000,"")</f>
        <v>152.30358555233323</v>
      </c>
      <c r="H27" s="44">
        <f>IF('단위공사별(집계)'!N17&gt;0,'단위공사별(집계)'!N17/1000,"")</f>
        <v>125585.02394762282</v>
      </c>
      <c r="I27" s="49"/>
    </row>
    <row r="28" spans="2:9" ht="24.9" customHeight="1" x14ac:dyDescent="0.4">
      <c r="B28" s="52">
        <v>12</v>
      </c>
      <c r="C28" s="46" t="str">
        <f>IF('단위공사별(집계)'!N18&gt;0,'단위공사별(집계)'!B18,"")</f>
        <v>GREASE PUMP SYSTEM</v>
      </c>
      <c r="D28" s="47"/>
      <c r="E28" s="55">
        <f>IF('단위공사별(집계)'!N18&gt;1,('단위공사별(집계)'!D18+'단위공사별(집계)'!E18+'단위공사별(집계)'!F18+'단위공사별(집계)'!G18+'단위공사별(집계)'!H18+'단위공사별(집계)'!I18)/1000," ")</f>
        <v>43141.708410229367</v>
      </c>
      <c r="F28" s="50"/>
      <c r="G28" s="42">
        <f>IF('단위공사별(집계)'!N18&gt;0,('단위공사별(집계)'!L18+'단위공사별(집계)'!M18)/1000,"")</f>
        <v>63.768784603216453</v>
      </c>
      <c r="H28" s="56">
        <f>IF('단위공사별(집계)'!N18&gt;0,'단위공사별(집계)'!N18/1000,"")</f>
        <v>52581.850338342563</v>
      </c>
      <c r="I28" s="57"/>
    </row>
    <row r="29" spans="2:9" ht="24.9" customHeight="1" x14ac:dyDescent="0.4">
      <c r="B29" s="51">
        <v>13</v>
      </c>
      <c r="C29" s="46" t="str">
        <f>IF('단위공사별(집계)'!N19&gt;0,'단위공사별(집계)'!B19,"")</f>
        <v>LMS SYSTEM</v>
      </c>
      <c r="D29" s="47"/>
      <c r="E29" s="55">
        <f>IF('단위공사별(집계)'!N19&gt;1,('단위공사별(집계)'!D19+'단위공사별(집계)'!E19+'단위공사별(집계)'!F19+'단위공사별(집계)'!G19+'단위공사별(집계)'!H19+'단위공사별(집계)'!I19)/1000," ")</f>
        <v>30098.866332718164</v>
      </c>
      <c r="F29" s="50"/>
      <c r="G29" s="42">
        <f>IF('단위공사별(집계)'!N19&gt;0,('단위공사별(집계)'!L19+'단위공사별(집계)'!M19)/1000,"")</f>
        <v>44.489849723174267</v>
      </c>
      <c r="H29" s="56">
        <f>IF('단위공사별(집계)'!N19&gt;0,'단위공사별(집계)'!N19/1000,"")</f>
        <v>36685.011863959924</v>
      </c>
      <c r="I29" s="49"/>
    </row>
    <row r="30" spans="2:9" ht="24.9" customHeight="1" x14ac:dyDescent="0.4">
      <c r="B30" s="52">
        <v>14</v>
      </c>
      <c r="C30" s="46" t="str">
        <f>IF('단위공사별(집계)'!N20&gt;0,'단위공사별(집계)'!B20,"")</f>
        <v>RFID</v>
      </c>
      <c r="D30" s="47"/>
      <c r="E30" s="55">
        <f>IF('단위공사별(집계)'!N20&gt;1,('단위공사별(집계)'!D20+'단위공사별(집계)'!E20+'단위공사별(집계)'!F20+'단위공사별(집계)'!G20+'단위공사별(집계)'!H20+'단위공사별(집계)'!I20)/1000," ")</f>
        <v>16052.728710783022</v>
      </c>
      <c r="F30" s="50"/>
      <c r="G30" s="42">
        <f>IF('단위공사별(집계)'!N20&gt;0,('단위공사별(집계)'!L20+'단위공사별(집계)'!M20)/1000,"")</f>
        <v>23.727919852359609</v>
      </c>
      <c r="H30" s="56">
        <f>IF('단위공사별(집계)'!N20&gt;0,'단위공사별(집계)'!N20/1000,"")</f>
        <v>19565.339660778631</v>
      </c>
      <c r="I30" s="49"/>
    </row>
    <row r="31" spans="2:9" ht="24.9" customHeight="1" x14ac:dyDescent="0.4">
      <c r="B31" s="51">
        <v>15</v>
      </c>
      <c r="C31" s="46" t="str">
        <f>IF('단위공사별(집계)'!N21&gt;0,'단위공사별(집계)'!B21,"")</f>
        <v/>
      </c>
      <c r="D31" s="47"/>
      <c r="E31" s="55" t="str">
        <f>IF('단위공사별(집계)'!N21&gt;1,('단위공사별(집계)'!D21+'단위공사별(집계)'!E21+'단위공사별(집계)'!F21+'단위공사별(집계)'!G21+'단위공사별(집계)'!H21+'단위공사별(집계)'!I21)/1000," ")</f>
        <v xml:space="preserve"> </v>
      </c>
      <c r="F31" s="50"/>
      <c r="G31" s="42" t="str">
        <f>IF('단위공사별(집계)'!N21&gt;0,('단위공사별(집계)'!L21+'단위공사별(집계)'!M21)/1000,"")</f>
        <v/>
      </c>
      <c r="H31" s="56" t="str">
        <f>IF('단위공사별(집계)'!N21&gt;0,'단위공사별(집계)'!N21/1000,"")</f>
        <v/>
      </c>
      <c r="I31" s="57"/>
    </row>
    <row r="32" spans="2:9" ht="24.9" customHeight="1" x14ac:dyDescent="0.4">
      <c r="B32" s="52">
        <v>16</v>
      </c>
      <c r="C32" s="46" t="str">
        <f>IF('단위공사별(집계)'!N22&gt;0,'단위공사별(집계)'!B22,"")</f>
        <v/>
      </c>
      <c r="D32" s="47"/>
      <c r="E32" s="55" t="str">
        <f>IF('단위공사별(집계)'!N22&gt;1,('단위공사별(집계)'!D22+'단위공사별(집계)'!E22+'단위공사별(집계)'!F22+'단위공사별(집계)'!G22+'단위공사별(집계)'!H22+'단위공사별(집계)'!I22)/1000," ")</f>
        <v xml:space="preserve"> </v>
      </c>
      <c r="F32" s="50"/>
      <c r="G32" s="42" t="str">
        <f>IF('단위공사별(집계)'!N22&gt;0,('단위공사별(집계)'!L22+'단위공사별(집계)'!M22)/1000,"")</f>
        <v/>
      </c>
      <c r="H32" s="56" t="str">
        <f>IF('단위공사별(집계)'!N22&gt;0,'단위공사별(집계)'!N22/1000,"")</f>
        <v/>
      </c>
      <c r="I32" s="49"/>
    </row>
    <row r="33" spans="2:12" ht="24.9" customHeight="1" x14ac:dyDescent="0.4">
      <c r="B33" s="51">
        <v>17</v>
      </c>
      <c r="C33" s="46" t="str">
        <f>IF('단위공사별(집계)'!N23&gt;0,'단위공사별(집계)'!B23,"")</f>
        <v/>
      </c>
      <c r="D33" s="47"/>
      <c r="E33" s="55" t="str">
        <f>IF('단위공사별(집계)'!N23&gt;1,('단위공사별(집계)'!D23+'단위공사별(집계)'!E23+'단위공사별(집계)'!F23+'단위공사별(집계)'!G23+'단위공사별(집계)'!H23+'단위공사별(집계)'!I23)/1000," ")</f>
        <v xml:space="preserve"> </v>
      </c>
      <c r="F33" s="50"/>
      <c r="G33" s="42" t="str">
        <f>IF('단위공사별(집계)'!N23&gt;0,('단위공사별(집계)'!L23+'단위공사별(집계)'!M23)/1000,"")</f>
        <v/>
      </c>
      <c r="H33" s="56" t="str">
        <f>IF('단위공사별(집계)'!N23&gt;0,'단위공사별(집계)'!N23/1000,"")</f>
        <v/>
      </c>
      <c r="I33" s="49"/>
    </row>
    <row r="34" spans="2:12" ht="24.9" customHeight="1" x14ac:dyDescent="0.4">
      <c r="B34" s="52">
        <v>18</v>
      </c>
      <c r="C34" s="53" t="str">
        <f>IF('단위공사별(집계)'!N24&gt;0,'단위공사별(집계)'!B24,"")</f>
        <v/>
      </c>
      <c r="D34" s="54"/>
      <c r="E34" s="55" t="str">
        <f>IF('단위공사별(집계)'!N24&gt;1,('단위공사별(집계)'!D24+'단위공사별(집계)'!E24+'단위공사별(집계)'!F24+'단위공사별(집계)'!G24+'단위공사별(집계)'!H24+'단위공사별(집계)'!I24)/1000," ")</f>
        <v xml:space="preserve"> </v>
      </c>
      <c r="F34" s="50"/>
      <c r="G34" s="42" t="str">
        <f>IF('단위공사별(집계)'!N24&gt;0,('단위공사별(집계)'!L24+'단위공사별(집계)'!M24)/1000,"")</f>
        <v/>
      </c>
      <c r="H34" s="56" t="str">
        <f>IF('단위공사별(집계)'!N24&gt;0,'단위공사별(집계)'!N24/1000,"")</f>
        <v/>
      </c>
      <c r="I34" s="57"/>
    </row>
    <row r="35" spans="2:12" ht="24.9" customHeight="1" x14ac:dyDescent="0.4">
      <c r="B35" s="51">
        <v>19</v>
      </c>
      <c r="C35" s="46" t="str">
        <f>IF('단위공사별(집계)'!N25&gt;0,'단위공사별(집계)'!B25,"")</f>
        <v/>
      </c>
      <c r="D35" s="47"/>
      <c r="E35" s="41" t="str">
        <f>IF('단위공사별(집계)'!N25&gt;1,('단위공사별(집계)'!D25+'단위공사별(집계)'!E25+'단위공사별(집계)'!F25+'단위공사별(집계)'!G25+'단위공사별(집계)'!H25+'단위공사별(집계)'!I25)/1000," ")</f>
        <v xml:space="preserve"> </v>
      </c>
      <c r="F35" s="50"/>
      <c r="G35" s="43" t="str">
        <f>IF('단위공사별(집계)'!N25&gt;0,('단위공사별(집계)'!L25+'단위공사별(집계)'!M25)/1000,"")</f>
        <v/>
      </c>
      <c r="H35" s="44" t="str">
        <f>IF('단위공사별(집계)'!N25&gt;0,'단위공사별(집계)'!N25/1000,"")</f>
        <v/>
      </c>
      <c r="I35" s="49"/>
    </row>
    <row r="36" spans="2:12" ht="24.9" customHeight="1" x14ac:dyDescent="0.4">
      <c r="B36" s="52">
        <v>20</v>
      </c>
      <c r="C36" s="58" t="str">
        <f>IF('단위공사별(집계)'!N26&gt;0,'단위공사별(집계)'!B26,"")</f>
        <v/>
      </c>
      <c r="D36" s="59"/>
      <c r="E36" s="60" t="str">
        <f>IF('단위공사별(집계)'!N26&gt;1,('단위공사별(집계)'!D26+'단위공사별(집계)'!E26+'단위공사별(집계)'!F26+'단위공사별(집계)'!G26+'단위공사별(집계)'!H26+'단위공사별(집계)'!I26)/1000," ")</f>
        <v xml:space="preserve"> </v>
      </c>
      <c r="F36" s="61"/>
      <c r="G36" s="62" t="str">
        <f>IF('단위공사별(집계)'!N26&gt;0,('단위공사별(집계)'!L26+'단위공사별(집계)'!M26)/1000,"")</f>
        <v/>
      </c>
      <c r="H36" s="63" t="str">
        <f>IF('단위공사별(집계)'!N26&gt;0,'단위공사별(집계)'!N26/1000,"")</f>
        <v/>
      </c>
      <c r="I36" s="64"/>
      <c r="L36" s="65"/>
    </row>
    <row r="37" spans="2:12" ht="24.9" customHeight="1" x14ac:dyDescent="0.4">
      <c r="B37" s="66" t="s">
        <v>34</v>
      </c>
      <c r="C37" s="67"/>
      <c r="D37" s="68"/>
      <c r="E37" s="69">
        <f>SUM(E17:E36)</f>
        <v>913320</v>
      </c>
      <c r="F37" s="70">
        <f>SUM(F17:F36)</f>
        <v>198500.00000000003</v>
      </c>
      <c r="G37" s="70">
        <f>SUM(G17:G36)</f>
        <v>1350.0000000000002</v>
      </c>
      <c r="H37" s="71">
        <f>ROUNDDOWN(SUM(H17:H36),-3)</f>
        <v>1113000</v>
      </c>
      <c r="I37" s="72"/>
      <c r="J37" s="65"/>
    </row>
    <row r="38" spans="2:12" ht="4.5" customHeight="1" x14ac:dyDescent="0.4">
      <c r="B38" s="73"/>
      <c r="C38" s="74"/>
      <c r="D38" s="74"/>
      <c r="E38" s="65"/>
      <c r="F38" s="65"/>
      <c r="G38" s="65"/>
      <c r="H38" s="65"/>
    </row>
    <row r="39" spans="2:12" ht="24" customHeight="1" x14ac:dyDescent="0.4">
      <c r="B39" s="74"/>
      <c r="C39" s="74"/>
      <c r="D39" s="74"/>
      <c r="E39" s="65"/>
      <c r="F39" s="75" t="s">
        <v>35</v>
      </c>
      <c r="G39" s="76"/>
      <c r="H39" s="77">
        <v>1113000</v>
      </c>
    </row>
    <row r="40" spans="2:12" ht="15" customHeight="1" x14ac:dyDescent="0.4">
      <c r="B40" s="74"/>
      <c r="C40" s="74"/>
      <c r="D40" s="74"/>
      <c r="E40" s="65"/>
      <c r="F40" s="65"/>
      <c r="G40" s="65"/>
      <c r="H40" s="65"/>
    </row>
    <row r="41" spans="2:12" ht="22.5" customHeight="1" x14ac:dyDescent="0.4">
      <c r="B41" s="78" t="s">
        <v>36</v>
      </c>
      <c r="C41" s="79" t="s">
        <v>37</v>
      </c>
      <c r="D41" s="80"/>
      <c r="E41" s="81"/>
      <c r="F41" s="82" t="s">
        <v>38</v>
      </c>
      <c r="G41" s="83"/>
      <c r="H41" s="83"/>
      <c r="I41" s="84"/>
    </row>
    <row r="42" spans="2:12" ht="22.5" customHeight="1" x14ac:dyDescent="0.4">
      <c r="B42" s="85"/>
      <c r="C42" s="86" t="s">
        <v>39</v>
      </c>
      <c r="D42" s="87"/>
      <c r="E42" s="88"/>
      <c r="F42" s="89" t="s">
        <v>40</v>
      </c>
      <c r="G42" s="90"/>
      <c r="H42" s="91"/>
      <c r="I42" s="92"/>
    </row>
    <row r="43" spans="2:12" ht="22.5" customHeight="1" x14ac:dyDescent="0.4">
      <c r="B43" s="85"/>
      <c r="C43" s="93">
        <f>'원가항목별(집계)'!I39</f>
        <v>1350000</v>
      </c>
      <c r="D43" s="94"/>
      <c r="E43" s="95"/>
      <c r="F43" s="51" t="s">
        <v>41</v>
      </c>
      <c r="G43" s="96"/>
      <c r="H43" s="97"/>
      <c r="I43" s="98"/>
    </row>
    <row r="44" spans="2:12" ht="22.5" customHeight="1" x14ac:dyDescent="0.4">
      <c r="B44" s="85"/>
      <c r="C44" s="99"/>
      <c r="D44" s="100"/>
      <c r="E44" s="101"/>
      <c r="F44" s="51" t="s">
        <v>42</v>
      </c>
      <c r="G44" s="96"/>
      <c r="H44" s="97"/>
      <c r="I44" s="98"/>
    </row>
    <row r="45" spans="2:12" ht="22.5" customHeight="1" x14ac:dyDescent="0.4">
      <c r="B45" s="102"/>
      <c r="C45" s="103"/>
      <c r="D45" s="104"/>
      <c r="E45" s="105"/>
      <c r="F45" s="106" t="s">
        <v>43</v>
      </c>
      <c r="G45" s="107"/>
      <c r="H45" s="108"/>
      <c r="I45" s="109"/>
    </row>
  </sheetData>
  <mergeCells count="45">
    <mergeCell ref="G43:I43"/>
    <mergeCell ref="C44:E44"/>
    <mergeCell ref="G44:I44"/>
    <mergeCell ref="C45:E45"/>
    <mergeCell ref="G45:I45"/>
    <mergeCell ref="C35:D35"/>
    <mergeCell ref="C36:D36"/>
    <mergeCell ref="B37:D37"/>
    <mergeCell ref="F39:G39"/>
    <mergeCell ref="B41:B45"/>
    <mergeCell ref="C41:E41"/>
    <mergeCell ref="F41:I41"/>
    <mergeCell ref="C42:E42"/>
    <mergeCell ref="G42:I42"/>
    <mergeCell ref="C43:E43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B10:C10"/>
    <mergeCell ref="B11:C11"/>
    <mergeCell ref="B15:B16"/>
    <mergeCell ref="C15:D16"/>
    <mergeCell ref="E15:H15"/>
    <mergeCell ref="I15:I16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75" orientation="portrait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D3D0-680C-4B57-8058-B49D13E7245D}">
  <sheetPr>
    <pageSetUpPr fitToPage="1"/>
  </sheetPr>
  <dimension ref="B2:M49"/>
  <sheetViews>
    <sheetView showGridLines="0" zoomScaleNormal="100" workbookViewId="0">
      <pane ySplit="6" topLeftCell="A23" activePane="bottomLeft" state="frozen"/>
      <selection activeCell="L18" sqref="L18"/>
      <selection pane="bottomLeft" activeCell="L18" sqref="L18"/>
    </sheetView>
  </sheetViews>
  <sheetFormatPr defaultColWidth="9" defaultRowHeight="19.5" customHeight="1" x14ac:dyDescent="0.4"/>
  <cols>
    <col min="1" max="1" width="0.5" style="119" customWidth="1"/>
    <col min="2" max="2" width="5.19921875" style="119" bestFit="1" customWidth="1"/>
    <col min="3" max="3" width="7.3984375" style="119" customWidth="1"/>
    <col min="4" max="4" width="8.8984375" style="119" customWidth="1"/>
    <col min="5" max="5" width="17.69921875" style="119" customWidth="1"/>
    <col min="6" max="6" width="6.3984375" style="121" customWidth="1"/>
    <col min="7" max="7" width="8.8984375" style="122" customWidth="1"/>
    <col min="8" max="8" width="9.69921875" style="123" customWidth="1"/>
    <col min="9" max="9" width="17.5" style="123" bestFit="1" customWidth="1"/>
    <col min="10" max="10" width="15.59765625" style="119" customWidth="1"/>
    <col min="11" max="11" width="13.69921875" style="124" bestFit="1" customWidth="1"/>
    <col min="12" max="12" width="11.8984375" style="119" bestFit="1" customWidth="1"/>
    <col min="13" max="16384" width="9" style="119"/>
  </cols>
  <sheetData>
    <row r="2" spans="2:11" s="117" customFormat="1" ht="26.25" customHeight="1" x14ac:dyDescent="0.4">
      <c r="B2" s="110"/>
      <c r="C2" s="111" t="s">
        <v>44</v>
      </c>
      <c r="D2" s="112"/>
      <c r="E2" s="112"/>
      <c r="F2" s="113"/>
      <c r="G2" s="114"/>
      <c r="H2" s="115"/>
      <c r="I2" s="115"/>
      <c r="J2" s="112"/>
      <c r="K2" s="116"/>
    </row>
    <row r="3" spans="2:11" s="117" customFormat="1" ht="19.5" customHeight="1" x14ac:dyDescent="0.4">
      <c r="B3" s="110"/>
      <c r="C3" s="111"/>
      <c r="D3" s="112"/>
      <c r="E3" s="112"/>
      <c r="F3" s="113"/>
      <c r="G3" s="114"/>
      <c r="H3" s="115"/>
      <c r="I3" s="115"/>
      <c r="J3" s="112"/>
      <c r="K3" s="116"/>
    </row>
    <row r="4" spans="2:11" ht="30" customHeight="1" x14ac:dyDescent="0.4">
      <c r="B4" s="118" t="s">
        <v>45</v>
      </c>
      <c r="D4" s="120"/>
      <c r="J4" s="121"/>
    </row>
    <row r="5" spans="2:11" s="121" customFormat="1" ht="8.25" customHeight="1" x14ac:dyDescent="0.4">
      <c r="B5" s="125"/>
      <c r="C5" s="126"/>
      <c r="D5" s="127"/>
      <c r="E5" s="128"/>
      <c r="F5" s="129"/>
      <c r="G5" s="130"/>
      <c r="H5" s="130"/>
      <c r="I5" s="130"/>
      <c r="J5" s="131"/>
      <c r="K5" s="132"/>
    </row>
    <row r="6" spans="2:11" s="121" customFormat="1" ht="22.5" customHeight="1" thickBot="1" x14ac:dyDescent="0.45">
      <c r="B6" s="133" t="s">
        <v>46</v>
      </c>
      <c r="C6" s="134" t="s">
        <v>47</v>
      </c>
      <c r="D6" s="135"/>
      <c r="E6" s="136"/>
      <c r="F6" s="137" t="s">
        <v>48</v>
      </c>
      <c r="G6" s="138" t="s">
        <v>49</v>
      </c>
      <c r="H6" s="138" t="s">
        <v>50</v>
      </c>
      <c r="I6" s="138" t="s">
        <v>51</v>
      </c>
      <c r="J6" s="139" t="s">
        <v>52</v>
      </c>
      <c r="K6" s="132"/>
    </row>
    <row r="7" spans="2:11" ht="19.5" customHeight="1" thickTop="1" x14ac:dyDescent="0.4">
      <c r="B7" s="140">
        <v>1</v>
      </c>
      <c r="C7" s="141" t="s">
        <v>53</v>
      </c>
      <c r="D7" s="142" t="s">
        <v>54</v>
      </c>
      <c r="E7" s="143" t="s">
        <v>55</v>
      </c>
      <c r="F7" s="144" t="s">
        <v>56</v>
      </c>
      <c r="G7" s="145">
        <f>'#10'!F27+'#20'!F51+'#30'!F22+'#40'!F20+'#50'!F18+'#60'!F21+'#70'!F19+'#80'!F18+'#90'!F23+'#100'!F23</f>
        <v>0</v>
      </c>
      <c r="H7" s="146"/>
      <c r="I7" s="146">
        <f>'#10'!H21+'#20'!H47+'#30'!H16+'#40'!H14+'#50'!H12+'#60'!H15+'#70'!H13+'#80'!H12+'#90'!H17+'#100'!H17+'#110'!I47+'#120'!H19+'#130'!H19+'#140'!H20+'#150'!H20+'#160'!H20+'#170'!H20+'#180'!H20+'#190'!H20+'#200'!H20</f>
        <v>246050000</v>
      </c>
      <c r="J7" s="147" t="s">
        <v>57</v>
      </c>
    </row>
    <row r="8" spans="2:11" ht="19.5" customHeight="1" x14ac:dyDescent="0.4">
      <c r="B8" s="140"/>
      <c r="C8" s="142"/>
      <c r="D8" s="142"/>
      <c r="E8" s="148" t="s">
        <v>58</v>
      </c>
      <c r="F8" s="149" t="s">
        <v>59</v>
      </c>
      <c r="G8" s="150">
        <v>1</v>
      </c>
      <c r="H8" s="151"/>
      <c r="I8" s="151">
        <f>'#10'!H48+'#20'!H103+'#30'!H39+'#40'!H40+'#50'!H32+'#60'!H47+'#70'!H46+'#80'!H42+'#90'!H54+'#100'!H45+'#110'!I103+'#120'!H46+'#130'!H46+'#140'!H47+'#150'!H47+'#160'!H46+'#170'!H47+'#180'!H46+'#190'!H46+'#200'!H46</f>
        <v>446970000</v>
      </c>
      <c r="J8" s="152" t="s">
        <v>60</v>
      </c>
    </row>
    <row r="9" spans="2:11" ht="19.5" customHeight="1" x14ac:dyDescent="0.4">
      <c r="B9" s="140"/>
      <c r="C9" s="142"/>
      <c r="D9" s="142"/>
      <c r="E9" s="148" t="s">
        <v>61</v>
      </c>
      <c r="F9" s="149" t="s">
        <v>59</v>
      </c>
      <c r="G9" s="153">
        <v>1</v>
      </c>
      <c r="H9" s="151"/>
      <c r="I9" s="151">
        <f>'#10'!H56+'#20'!H111+'#30'!H47+'#40'!H48+'#50'!H40+'#60'!H55+'#70'!H54+'#80'!H50+'#90'!H62+'#100'!H53+'#110'!I106+'#120'!H54+'#130'!H54+'#140'!H55+'#150'!H55+'#160'!H54+'#170'!H55+'#180'!H54+'#190'!H54+'#200'!H54</f>
        <v>85000000</v>
      </c>
      <c r="J9" s="152" t="s">
        <v>62</v>
      </c>
    </row>
    <row r="10" spans="2:11" ht="19.5" customHeight="1" x14ac:dyDescent="0.4">
      <c r="B10" s="140"/>
      <c r="C10" s="142"/>
      <c r="D10" s="142"/>
      <c r="E10" s="154" t="s">
        <v>63</v>
      </c>
      <c r="F10" s="155" t="s">
        <v>59</v>
      </c>
      <c r="G10" s="156">
        <v>1</v>
      </c>
      <c r="H10" s="157"/>
      <c r="I10" s="157">
        <f>'#10'!H27+'#20'!H51+'#30'!H22+'#40'!H20+'#50'!H18+'#60'!H21+'#70'!H19+'#80'!H18+'#90'!H23+'#100'!H23+'#110'!I51+'#120'!H25+'#130'!H25+'#140'!H26+'#150'!H26+'#160'!H26+'#170'!H26+'#180'!H26+'#190'!H26+'#200'!H26</f>
        <v>0</v>
      </c>
      <c r="J10" s="152" t="s">
        <v>64</v>
      </c>
    </row>
    <row r="11" spans="2:11" ht="19.5" customHeight="1" x14ac:dyDescent="0.4">
      <c r="B11" s="140"/>
      <c r="C11" s="142"/>
      <c r="D11" s="158"/>
      <c r="E11" s="159" t="s">
        <v>65</v>
      </c>
      <c r="F11" s="160"/>
      <c r="G11" s="161"/>
      <c r="H11" s="162"/>
      <c r="I11" s="163">
        <f>SUM(I7:I10)</f>
        <v>778020000</v>
      </c>
      <c r="J11" s="152"/>
    </row>
    <row r="12" spans="2:11" ht="19.5" customHeight="1" x14ac:dyDescent="0.4">
      <c r="B12" s="140"/>
      <c r="C12" s="142"/>
      <c r="D12" s="164" t="s">
        <v>66</v>
      </c>
      <c r="E12" s="154" t="s">
        <v>67</v>
      </c>
      <c r="F12" s="155" t="s">
        <v>68</v>
      </c>
      <c r="G12" s="157">
        <f>'#10'!F58+'#20'!F113+'#30'!F49+'#40'!F50+'#50'!F42+'#60'!F57+'#70'!F56+'#80'!F52+'#90'!F64+'#100'!F55+'#110'!G108+'#120'!F56+'#130'!F56+'#140'!F57+'#150'!F57+'#160'!F56+'#170'!F57+'#180'!F56</f>
        <v>0</v>
      </c>
      <c r="H12" s="157">
        <f>IF('#10'!G58&gt;0,'#10'!G58,"")</f>
        <v>250000</v>
      </c>
      <c r="I12" s="157">
        <f>'#10'!H58+'#20'!H113+'#30'!H49+'#40'!H50+'#50'!H42+'#60'!H57+'#70'!H56+'#80'!H52+'#90'!H64+'#100'!H55+'#110'!I108+'#120'!H56+'#130'!H56+'#140'!H57+'#150'!H57+'#160'!H56+'#170'!H57+'#180'!H56+'#190'!H56+'#200'!H56</f>
        <v>0</v>
      </c>
      <c r="J12" s="152" t="s">
        <v>69</v>
      </c>
    </row>
    <row r="13" spans="2:11" ht="19.5" customHeight="1" x14ac:dyDescent="0.4">
      <c r="B13" s="140"/>
      <c r="C13" s="142"/>
      <c r="D13" s="142"/>
      <c r="E13" s="148" t="s">
        <v>70</v>
      </c>
      <c r="F13" s="149" t="s">
        <v>68</v>
      </c>
      <c r="G13" s="151">
        <f>'#10'!F59+'#20'!F114+'#30'!F50+'#40'!F51+'#50'!F43+'#60'!F58+'#70'!F57+'#80'!F53+'#90'!F65+'#100'!F56+'#110'!G109+'#120'!F57+'#130'!F57+'#140'!F58+'#150'!F58+'#160'!F57+'#170'!F58+'#180'!F57</f>
        <v>160</v>
      </c>
      <c r="H13" s="151">
        <f>IF('#10'!G59&gt;0,'#10'!G59,"")</f>
        <v>300000</v>
      </c>
      <c r="I13" s="151">
        <f>'#10'!H59+'#20'!H114+'#30'!H50+'#40'!H51+'#50'!H43+'#60'!H58+'#70'!H57+'#80'!H53+'#90'!H65+'#100'!H56+'#110'!I109+'#120'!H57+'#130'!H57+'#140'!H58+'#150'!H58+'#160'!H57+'#170'!H58+'#180'!H57+'#190'!H57+'#200'!H57</f>
        <v>48000000</v>
      </c>
      <c r="J13" s="152"/>
    </row>
    <row r="14" spans="2:11" ht="19.5" customHeight="1" x14ac:dyDescent="0.4">
      <c r="B14" s="140"/>
      <c r="C14" s="142"/>
      <c r="D14" s="142"/>
      <c r="E14" s="148" t="s">
        <v>71</v>
      </c>
      <c r="F14" s="149" t="s">
        <v>68</v>
      </c>
      <c r="G14" s="151">
        <f>'#10'!F60+'#20'!F115+'#30'!F51+'#40'!F52+'#50'!F44+'#60'!F59+'#70'!F58+'#80'!F54+'#90'!F66+'#100'!F57+'#110'!G110+'#120'!F58+'#130'!F58+'#140'!F59+'#150'!F59+'#160'!F58+'#170'!F59+'#180'!F58</f>
        <v>33</v>
      </c>
      <c r="H14" s="151">
        <f>IF('#10'!G60&gt;0,'#10'!G60,"")</f>
        <v>250000</v>
      </c>
      <c r="I14" s="151">
        <f>'#10'!H60+'#20'!H115+'#30'!H51+'#40'!H52+'#50'!H44+'#60'!H59+'#70'!H58+'#80'!H54+'#90'!H66+'#100'!H57+'#110'!I110+'#120'!H58+'#130'!H58+'#140'!H59+'#150'!H59+'#160'!H58+'#170'!H59+'#180'!H58+'#190'!H58+'#200'!H58</f>
        <v>8250000</v>
      </c>
      <c r="J14" s="152"/>
    </row>
    <row r="15" spans="2:11" ht="19.5" customHeight="1" x14ac:dyDescent="0.4">
      <c r="B15" s="140"/>
      <c r="C15" s="142"/>
      <c r="D15" s="142"/>
      <c r="E15" s="148" t="s">
        <v>72</v>
      </c>
      <c r="F15" s="149" t="s">
        <v>68</v>
      </c>
      <c r="G15" s="151">
        <f>'#10'!F61+'#20'!F116+'#30'!F52+'#40'!F53+'#50'!F45+'#60'!F60+'#70'!F59+'#80'!F55+'#90'!F67+'#100'!F58+'#110'!G111+'#120'!F59+'#130'!F59+'#140'!F60+'#150'!F60+'#160'!F59+'#170'!F60+'#180'!F59</f>
        <v>175</v>
      </c>
      <c r="H15" s="151">
        <f>IF('#10'!G61&gt;0,'#10'!G61,"")</f>
        <v>250000</v>
      </c>
      <c r="I15" s="151">
        <f>'#10'!H61+'#20'!H116+'#30'!H52+'#40'!H53+'#50'!H45+'#60'!H60+'#70'!H59+'#80'!H55+'#90'!H67+'#100'!H58+'#110'!I111+'#120'!H59+'#130'!H59+'#140'!H60+'#150'!H60+'#160'!H59+'#170'!H60+'#180'!H59+'#190'!H59+'#200'!H59</f>
        <v>43750000</v>
      </c>
      <c r="J15" s="152" t="s">
        <v>73</v>
      </c>
    </row>
    <row r="16" spans="2:11" ht="19.5" customHeight="1" x14ac:dyDescent="0.4">
      <c r="B16" s="140"/>
      <c r="C16" s="142"/>
      <c r="D16" s="142"/>
      <c r="E16" s="154" t="s">
        <v>74</v>
      </c>
      <c r="F16" s="155" t="s">
        <v>68</v>
      </c>
      <c r="G16" s="157">
        <f>'#10'!F62+'#20'!F117+'#30'!F53+'#40'!F54+'#50'!F46+'#60'!F61+'#70'!F60+'#80'!F56+'#90'!F68+'#100'!F59+'#110'!G112+'#120'!F60+'#130'!F60+'#140'!F61+'#150'!F61+'#160'!F60+'#170'!F61+'#180'!F60</f>
        <v>36</v>
      </c>
      <c r="H16" s="157">
        <f>IF('#10'!G62&gt;0,'#10'!G62,"")</f>
        <v>300000</v>
      </c>
      <c r="I16" s="157">
        <f>'#10'!H62+'#20'!H117+'#30'!H53+'#40'!H54+'#50'!H46+'#60'!H61+'#70'!H60+'#80'!H56+'#90'!H68+'#100'!H59+'#110'!I112+'#120'!H60+'#130'!H60+'#140'!H61+'#150'!H61+'#160'!H60+'#170'!H61+'#180'!H60+'#190'!H60+'#200'!H60</f>
        <v>10800000</v>
      </c>
      <c r="J16" s="152"/>
    </row>
    <row r="17" spans="2:10" ht="19.5" customHeight="1" x14ac:dyDescent="0.4">
      <c r="B17" s="140"/>
      <c r="C17" s="142"/>
      <c r="D17" s="142"/>
      <c r="E17" s="154" t="s">
        <v>75</v>
      </c>
      <c r="F17" s="155" t="s">
        <v>68</v>
      </c>
      <c r="G17" s="157">
        <f>'#10'!F63+'#20'!F118+'#30'!F54+'#40'!F55+'#50'!F47+'#60'!F62+'#70'!F61+'#80'!F57+'#90'!F69+'#100'!F60+'#110'!G113+'#120'!F61+'#130'!F61+'#140'!F62+'#150'!F62+'#160'!F61+'#170'!F62+'#180'!F61</f>
        <v>37</v>
      </c>
      <c r="H17" s="157">
        <f>IF('#10'!G63&gt;0,'#10'!G63,"")</f>
        <v>300000</v>
      </c>
      <c r="I17" s="157">
        <f>'#10'!H63+'#20'!H118+'#30'!H54+'#40'!H55+'#50'!H47+'#60'!H62+'#70'!H61+'#80'!H57+'#90'!H69+'#100'!H60+'#110'!I113+'#120'!H61+'#130'!H61+'#140'!H62+'#150'!H62+'#160'!H61+'#170'!H62+'#180'!H61+'#190'!H61+'#200'!H61</f>
        <v>11100000</v>
      </c>
      <c r="J17" s="152"/>
    </row>
    <row r="18" spans="2:10" ht="19.5" customHeight="1" x14ac:dyDescent="0.4">
      <c r="B18" s="140"/>
      <c r="C18" s="142"/>
      <c r="D18" s="142"/>
      <c r="E18" s="148" t="s">
        <v>76</v>
      </c>
      <c r="F18" s="149" t="s">
        <v>68</v>
      </c>
      <c r="G18" s="151">
        <f>'#10'!F64+'#20'!F119+'#30'!F55+'#40'!F56+'#50'!F48+'#60'!F63+'#70'!F62+'#80'!F58+'#90'!F70+'#100'!F61+'#110'!G114+'#120'!F62+'#130'!F62+'#140'!F63+'#150'!F63+'#160'!F62+'#170'!F63+'#180'!F62</f>
        <v>13</v>
      </c>
      <c r="H18" s="151">
        <f>IF('#10'!G64&gt;0,'#10'!G64,"")</f>
        <v>300000</v>
      </c>
      <c r="I18" s="151">
        <f>'#10'!H64+'#20'!H119+'#30'!H55+'#40'!H56+'#50'!H48+'#60'!H63+'#70'!H62+'#80'!H58+'#90'!H70+'#100'!H61+'#110'!I114+'#120'!H62+'#130'!H62+'#140'!H63+'#150'!H63+'#160'!H62+'#170'!H63+'#180'!H62+'#190'!H62+'#200'!H62</f>
        <v>3900000</v>
      </c>
      <c r="J18" s="152"/>
    </row>
    <row r="19" spans="2:10" ht="19.5" customHeight="1" x14ac:dyDescent="0.4">
      <c r="B19" s="140"/>
      <c r="C19" s="142"/>
      <c r="D19" s="142"/>
      <c r="E19" s="148" t="s">
        <v>77</v>
      </c>
      <c r="F19" s="149" t="s">
        <v>68</v>
      </c>
      <c r="G19" s="151">
        <f>'#10'!F65+'#20'!F120+'#30'!F56+'#40'!F57+'#50'!F49+'#60'!F64+'#70'!F63+'#80'!F59+'#90'!F71+'#100'!F62+'#110'!G115+'#120'!F63+'#130'!F63+'#140'!F64+'#150'!F64+'#160'!F63+'#170'!F64+'#180'!F63</f>
        <v>26</v>
      </c>
      <c r="H19" s="151">
        <f>IF('#10'!G65&gt;0,'#10'!G65,"")</f>
        <v>250000</v>
      </c>
      <c r="I19" s="151">
        <f>'#10'!H65+'#20'!H120+'#30'!H56+'#40'!H57+'#50'!H49+'#60'!H64+'#70'!H63+'#80'!H59+'#90'!H71+'#100'!H62+'#110'!I115+'#120'!H63+'#130'!H63+'#140'!H64+'#150'!H64+'#160'!H63+'#170'!H64+'#180'!H63+'#190'!H63+'#200'!H63</f>
        <v>6500000</v>
      </c>
      <c r="J19" s="152"/>
    </row>
    <row r="20" spans="2:10" ht="19.5" customHeight="1" x14ac:dyDescent="0.4">
      <c r="B20" s="140"/>
      <c r="C20" s="142"/>
      <c r="D20" s="158"/>
      <c r="E20" s="159" t="s">
        <v>65</v>
      </c>
      <c r="F20" s="160"/>
      <c r="G20" s="161"/>
      <c r="H20" s="162"/>
      <c r="I20" s="163">
        <f>SUM(I12:I19)</f>
        <v>132300000</v>
      </c>
      <c r="J20" s="152"/>
    </row>
    <row r="21" spans="2:10" ht="19.5" customHeight="1" x14ac:dyDescent="0.4">
      <c r="B21" s="140"/>
      <c r="C21" s="142"/>
      <c r="D21" s="165" t="s">
        <v>78</v>
      </c>
      <c r="E21" s="166"/>
      <c r="F21" s="160"/>
      <c r="G21" s="161"/>
      <c r="H21" s="162"/>
      <c r="I21" s="167">
        <f>'#10'!H68+'#10'!H69+'#20'!H123+'#20'!H124+'#30'!H59+'#30'!H60+'#40'!H60+'#40'!H61+'#50'!H52+'#50'!H53+'#60'!H67+'#60'!H68+'#70'!H66+'#70'!H67+'#80'!H62+'#80'!H63+'#90'!H74+'#90'!H75+'#100'!H65+'#100'!H66+'#110'!I118+'#110'!I119+'#120'!H66+'#120'!H67+'#130'!H66+'#130'!H67+'#140'!H67+'#140'!H68+'#150'!H67+'#150'!H68+'#160'!H66+'#160'!H67+'#170'!H67+'#170'!H68+'#180'!H66+'#180'!H67+'#190'!H66+'#190'!H67+'#200'!H66+'#200'!H67</f>
        <v>0</v>
      </c>
      <c r="J21" s="168"/>
    </row>
    <row r="22" spans="2:10" ht="19.5" customHeight="1" x14ac:dyDescent="0.4">
      <c r="B22" s="169"/>
      <c r="C22" s="170"/>
      <c r="D22" s="171"/>
      <c r="E22" s="172" t="s">
        <v>79</v>
      </c>
      <c r="F22" s="173"/>
      <c r="G22" s="174"/>
      <c r="H22" s="175"/>
      <c r="I22" s="176">
        <f>I20+I11+I21</f>
        <v>910320000</v>
      </c>
      <c r="J22" s="177"/>
    </row>
    <row r="23" spans="2:10" ht="19.5" customHeight="1" x14ac:dyDescent="0.4">
      <c r="B23" s="178">
        <v>2</v>
      </c>
      <c r="C23" s="179" t="s">
        <v>80</v>
      </c>
      <c r="D23" s="180" t="s">
        <v>54</v>
      </c>
      <c r="E23" s="181" t="s">
        <v>81</v>
      </c>
      <c r="F23" s="182" t="s">
        <v>59</v>
      </c>
      <c r="G23" s="183">
        <v>1</v>
      </c>
      <c r="H23" s="183"/>
      <c r="I23" s="183">
        <f>전기!H35-I24</f>
        <v>145000000</v>
      </c>
      <c r="J23" s="184"/>
    </row>
    <row r="24" spans="2:10" ht="19.5" customHeight="1" x14ac:dyDescent="0.4">
      <c r="B24" s="140"/>
      <c r="C24" s="185"/>
      <c r="D24" s="186"/>
      <c r="E24" s="154" t="s">
        <v>63</v>
      </c>
      <c r="F24" s="187" t="s">
        <v>59</v>
      </c>
      <c r="G24" s="188">
        <v>1</v>
      </c>
      <c r="H24" s="188"/>
      <c r="I24" s="188">
        <f>전기!H16</f>
        <v>0</v>
      </c>
      <c r="J24" s="152" t="s">
        <v>64</v>
      </c>
    </row>
    <row r="25" spans="2:10" ht="19.5" customHeight="1" x14ac:dyDescent="0.4">
      <c r="B25" s="140"/>
      <c r="C25" s="189"/>
      <c r="D25" s="164" t="s">
        <v>66</v>
      </c>
      <c r="E25" s="154" t="s">
        <v>82</v>
      </c>
      <c r="F25" s="155" t="s">
        <v>68</v>
      </c>
      <c r="G25" s="157">
        <f>전기!F36</f>
        <v>10</v>
      </c>
      <c r="H25" s="157">
        <f>IF(전기!G36&gt;0,전기!G36,"")</f>
        <v>250000</v>
      </c>
      <c r="I25" s="157">
        <f>전기!H36</f>
        <v>2500000</v>
      </c>
      <c r="J25" s="152"/>
    </row>
    <row r="26" spans="2:10" ht="19.5" customHeight="1" x14ac:dyDescent="0.4">
      <c r="B26" s="140"/>
      <c r="C26" s="189"/>
      <c r="D26" s="142"/>
      <c r="E26" s="148" t="s">
        <v>83</v>
      </c>
      <c r="F26" s="149" t="s">
        <v>68</v>
      </c>
      <c r="G26" s="151">
        <f>전기!F37</f>
        <v>50</v>
      </c>
      <c r="H26" s="151">
        <f>IF(전기!G37&gt;0,전기!G37,"")</f>
        <v>300000</v>
      </c>
      <c r="I26" s="151">
        <f>전기!H37</f>
        <v>15000000</v>
      </c>
      <c r="J26" s="152"/>
    </row>
    <row r="27" spans="2:10" ht="19.5" customHeight="1" x14ac:dyDescent="0.4">
      <c r="B27" s="140"/>
      <c r="C27" s="189"/>
      <c r="D27" s="142"/>
      <c r="E27" s="148" t="s">
        <v>84</v>
      </c>
      <c r="F27" s="149" t="s">
        <v>68</v>
      </c>
      <c r="G27" s="151">
        <f>전기!F38</f>
        <v>30</v>
      </c>
      <c r="H27" s="151">
        <f>IF(전기!G38&gt;0,전기!G38,"")</f>
        <v>250000</v>
      </c>
      <c r="I27" s="151">
        <f>전기!H38</f>
        <v>7500000</v>
      </c>
      <c r="J27" s="152"/>
    </row>
    <row r="28" spans="2:10" ht="19.5" customHeight="1" x14ac:dyDescent="0.4">
      <c r="B28" s="140"/>
      <c r="C28" s="189"/>
      <c r="D28" s="142"/>
      <c r="E28" s="148" t="s">
        <v>72</v>
      </c>
      <c r="F28" s="149" t="s">
        <v>68</v>
      </c>
      <c r="G28" s="151">
        <f>전기!F39</f>
        <v>30</v>
      </c>
      <c r="H28" s="151">
        <f>IF(전기!G39&gt;0,전기!G39,"")</f>
        <v>250000</v>
      </c>
      <c r="I28" s="151">
        <f>전기!H39</f>
        <v>7500000</v>
      </c>
      <c r="J28" s="152"/>
    </row>
    <row r="29" spans="2:10" ht="19.5" customHeight="1" x14ac:dyDescent="0.4">
      <c r="B29" s="140"/>
      <c r="C29" s="189"/>
      <c r="D29" s="142"/>
      <c r="E29" s="154" t="s">
        <v>74</v>
      </c>
      <c r="F29" s="155" t="s">
        <v>68</v>
      </c>
      <c r="G29" s="157">
        <f>전기!F40</f>
        <v>20</v>
      </c>
      <c r="H29" s="157">
        <f>IF(전기!G40&gt;0,전기!G40,"")</f>
        <v>300000</v>
      </c>
      <c r="I29" s="157">
        <f>전기!H40</f>
        <v>6000000</v>
      </c>
      <c r="J29" s="152"/>
    </row>
    <row r="30" spans="2:10" ht="19.5" customHeight="1" x14ac:dyDescent="0.4">
      <c r="B30" s="140"/>
      <c r="C30" s="189"/>
      <c r="D30" s="142"/>
      <c r="E30" s="154" t="s">
        <v>75</v>
      </c>
      <c r="F30" s="155" t="s">
        <v>68</v>
      </c>
      <c r="G30" s="157">
        <f>전기!F41</f>
        <v>20</v>
      </c>
      <c r="H30" s="157">
        <f>IF(전기!G41&gt;0,전기!G41,"")</f>
        <v>300000</v>
      </c>
      <c r="I30" s="157">
        <f>전기!H41</f>
        <v>6000000</v>
      </c>
      <c r="J30" s="152"/>
    </row>
    <row r="31" spans="2:10" ht="19.5" customHeight="1" x14ac:dyDescent="0.4">
      <c r="B31" s="140"/>
      <c r="C31" s="189"/>
      <c r="D31" s="142"/>
      <c r="E31" s="148" t="s">
        <v>76</v>
      </c>
      <c r="F31" s="149" t="s">
        <v>68</v>
      </c>
      <c r="G31" s="151">
        <f>전기!F42</f>
        <v>30</v>
      </c>
      <c r="H31" s="151">
        <f>IF(전기!G42&gt;0,전기!G42,"")</f>
        <v>300000</v>
      </c>
      <c r="I31" s="151">
        <f>전기!H42</f>
        <v>9000000</v>
      </c>
      <c r="J31" s="152"/>
    </row>
    <row r="32" spans="2:10" ht="19.5" customHeight="1" x14ac:dyDescent="0.4">
      <c r="B32" s="140"/>
      <c r="C32" s="189"/>
      <c r="D32" s="158"/>
      <c r="E32" s="159" t="s">
        <v>85</v>
      </c>
      <c r="F32" s="160"/>
      <c r="G32" s="161"/>
      <c r="H32" s="162"/>
      <c r="I32" s="163">
        <f>SUM(I25:I31)</f>
        <v>53500000</v>
      </c>
      <c r="J32" s="152"/>
    </row>
    <row r="33" spans="2:13" ht="19.5" customHeight="1" x14ac:dyDescent="0.4">
      <c r="B33" s="140"/>
      <c r="C33" s="142"/>
      <c r="D33" s="165" t="s">
        <v>78</v>
      </c>
      <c r="E33" s="166"/>
      <c r="F33" s="160"/>
      <c r="G33" s="161"/>
      <c r="H33" s="162"/>
      <c r="I33" s="167">
        <f>전기!H45+전기!H46</f>
        <v>0</v>
      </c>
      <c r="J33" s="168"/>
    </row>
    <row r="34" spans="2:13" ht="19.5" customHeight="1" x14ac:dyDescent="0.4">
      <c r="B34" s="169"/>
      <c r="C34" s="170"/>
      <c r="D34" s="171"/>
      <c r="E34" s="172" t="s">
        <v>86</v>
      </c>
      <c r="F34" s="173"/>
      <c r="G34" s="174"/>
      <c r="H34" s="175"/>
      <c r="I34" s="176">
        <f>I32+I23+I33+I24</f>
        <v>198500000</v>
      </c>
      <c r="J34" s="177"/>
    </row>
    <row r="35" spans="2:13" ht="19.5" customHeight="1" x14ac:dyDescent="0.4">
      <c r="B35" s="190">
        <v>3</v>
      </c>
      <c r="C35" s="191" t="s">
        <v>87</v>
      </c>
      <c r="D35" s="192"/>
      <c r="E35" s="193"/>
      <c r="F35" s="191"/>
      <c r="G35" s="192"/>
      <c r="H35" s="193"/>
      <c r="I35" s="194">
        <f>I23+I11+I24</f>
        <v>923020000</v>
      </c>
      <c r="J35" s="184"/>
    </row>
    <row r="36" spans="2:13" ht="19.5" customHeight="1" x14ac:dyDescent="0.4">
      <c r="B36" s="195"/>
      <c r="C36" s="160" t="s">
        <v>88</v>
      </c>
      <c r="D36" s="161"/>
      <c r="E36" s="162"/>
      <c r="F36" s="160"/>
      <c r="G36" s="161"/>
      <c r="H36" s="162"/>
      <c r="I36" s="163">
        <f>I32+I20</f>
        <v>185800000</v>
      </c>
      <c r="J36" s="152"/>
    </row>
    <row r="37" spans="2:13" ht="19.5" customHeight="1" thickBot="1" x14ac:dyDescent="0.45">
      <c r="B37" s="196"/>
      <c r="C37" s="197" t="s">
        <v>89</v>
      </c>
      <c r="D37" s="197"/>
      <c r="E37" s="198"/>
      <c r="F37" s="199"/>
      <c r="G37" s="197"/>
      <c r="H37" s="198"/>
      <c r="I37" s="200">
        <f>I36+I35</f>
        <v>1108820000</v>
      </c>
      <c r="J37" s="201"/>
    </row>
    <row r="38" spans="2:13" ht="20.25" customHeight="1" x14ac:dyDescent="0.4">
      <c r="B38" s="202">
        <v>4</v>
      </c>
      <c r="C38" s="158" t="s">
        <v>90</v>
      </c>
      <c r="D38" s="203"/>
      <c r="E38" s="204"/>
      <c r="F38" s="205"/>
      <c r="G38" s="206"/>
      <c r="H38" s="207"/>
      <c r="I38" s="208">
        <v>3000000</v>
      </c>
      <c r="J38" s="209"/>
    </row>
    <row r="39" spans="2:13" ht="22.5" customHeight="1" x14ac:dyDescent="0.4">
      <c r="B39" s="210">
        <v>5</v>
      </c>
      <c r="C39" s="160" t="s">
        <v>91</v>
      </c>
      <c r="D39" s="161"/>
      <c r="E39" s="162"/>
      <c r="F39" s="211" t="s">
        <v>92</v>
      </c>
      <c r="G39" s="212"/>
      <c r="H39" s="213"/>
      <c r="I39" s="214">
        <f>CEILING(MIN(I47:I48),1000)</f>
        <v>1350000</v>
      </c>
      <c r="J39" s="215">
        <f>I30+I29+I25+I24+I17+I16+I12+I10</f>
        <v>36400000</v>
      </c>
      <c r="K39" s="216"/>
      <c r="M39" s="216"/>
    </row>
    <row r="40" spans="2:13" ht="20.25" customHeight="1" x14ac:dyDescent="0.4">
      <c r="B40" s="210">
        <v>6</v>
      </c>
      <c r="C40" s="160" t="s">
        <v>93</v>
      </c>
      <c r="D40" s="161"/>
      <c r="E40" s="162"/>
      <c r="F40" s="217"/>
      <c r="G40" s="218"/>
      <c r="H40" s="219"/>
      <c r="I40" s="163">
        <f>전기!H45+'#10'!H68+'#20'!H123+'#30'!H59+'#40'!H60+'#50'!H52+'#60'!H67+'#70'!H66+'#80'!H62+'#90'!H74+'#100'!H65+'#110'!I118+'#120'!H66+'#130'!H66+'#140'!H67+'#150'!H67+'#160'!H66+'#170'!H67+'#180'!H66+'#190'!H66+'#200'!H66</f>
        <v>0</v>
      </c>
      <c r="J40" s="152"/>
    </row>
    <row r="41" spans="2:13" ht="20.25" customHeight="1" x14ac:dyDescent="0.4">
      <c r="B41" s="220">
        <v>7</v>
      </c>
      <c r="C41" s="173" t="s">
        <v>94</v>
      </c>
      <c r="D41" s="174"/>
      <c r="E41" s="175"/>
      <c r="F41" s="221"/>
      <c r="G41" s="222"/>
      <c r="H41" s="223"/>
      <c r="I41" s="167">
        <f>전기!H46+'#10'!H69+'#20'!H124+'#30'!H60+'#40'!H61+'#50'!H53+'#60'!H68+'#70'!H67+'#80'!H63+'#90'!H75+'#100'!H66+'#110'!I119+'#120'!H67+'#130'!H67+'#140'!H68+'#150'!H68+'#160'!H67+'#170'!H68+'#180'!H67+'#190'!H67+'#200'!H67</f>
        <v>0</v>
      </c>
      <c r="J41" s="168"/>
      <c r="K41" s="119"/>
    </row>
    <row r="42" spans="2:13" ht="28.5" customHeight="1" thickBot="1" x14ac:dyDescent="0.45">
      <c r="B42" s="224"/>
      <c r="C42" s="225" t="s">
        <v>95</v>
      </c>
      <c r="D42" s="225"/>
      <c r="E42" s="225"/>
      <c r="F42" s="226" t="s">
        <v>96</v>
      </c>
      <c r="G42" s="227"/>
      <c r="H42" s="228"/>
      <c r="I42" s="229">
        <f>I22+I34+I38+I39</f>
        <v>1113170000</v>
      </c>
      <c r="J42" s="230"/>
      <c r="K42" s="119"/>
    </row>
    <row r="43" spans="2:13" ht="19.5" customHeight="1" x14ac:dyDescent="0.4">
      <c r="B43" s="119" t="s">
        <v>97</v>
      </c>
      <c r="C43" s="121"/>
      <c r="D43" s="121"/>
      <c r="E43" s="121"/>
    </row>
    <row r="44" spans="2:13" ht="19.5" customHeight="1" x14ac:dyDescent="0.4">
      <c r="B44" s="119" t="s">
        <v>98</v>
      </c>
      <c r="C44" s="121"/>
      <c r="D44" s="121"/>
      <c r="E44" s="121"/>
    </row>
    <row r="45" spans="2:13" ht="19.5" customHeight="1" x14ac:dyDescent="0.4">
      <c r="C45" s="121"/>
      <c r="D45" s="121"/>
      <c r="E45" s="121"/>
    </row>
    <row r="46" spans="2:13" ht="19.5" customHeight="1" x14ac:dyDescent="0.4">
      <c r="C46" s="121"/>
      <c r="D46" s="121"/>
      <c r="E46" s="231" t="s">
        <v>99</v>
      </c>
      <c r="F46" s="232" t="s">
        <v>100</v>
      </c>
      <c r="G46" s="233"/>
      <c r="H46" s="234"/>
      <c r="I46" s="235" t="s">
        <v>101</v>
      </c>
      <c r="J46" s="148" t="s">
        <v>102</v>
      </c>
      <c r="K46" s="236" t="s">
        <v>103</v>
      </c>
    </row>
    <row r="47" spans="2:13" ht="19.5" customHeight="1" x14ac:dyDescent="0.4">
      <c r="C47" s="121"/>
      <c r="D47" s="121"/>
      <c r="E47" s="189"/>
      <c r="F47" s="237" t="s">
        <v>104</v>
      </c>
      <c r="G47" s="237"/>
      <c r="H47" s="237"/>
      <c r="I47" s="163">
        <f>IF(J47&lt;500000000,J47*0.0309,1)+IF(J47&gt;500000000,J47*0.0199+5499000)*IF(J47&gt;5000000000,0,1)+IF(J47&gt;5000000000,J47*0.021,0)</f>
        <v>27624219</v>
      </c>
      <c r="J47" s="238">
        <f>SUM(I7:I10,I12:I19,I23:I31,I38)</f>
        <v>1111820000</v>
      </c>
      <c r="K47" s="238" t="s">
        <v>105</v>
      </c>
    </row>
    <row r="48" spans="2:13" ht="19.5" customHeight="1" x14ac:dyDescent="0.4">
      <c r="E48" s="186"/>
      <c r="F48" s="237" t="s">
        <v>106</v>
      </c>
      <c r="G48" s="237"/>
      <c r="H48" s="237"/>
      <c r="I48" s="163">
        <f>(IF(J48&lt;500000000,J48*0.0309,1)+IF(J48&gt;500000000,J48*0.0199+5499000)*IF(J48&gt;5000000000,0,1)+IF(J48&gt;5000000000,J48*0.021,0))*1.2</f>
        <v>1349712</v>
      </c>
      <c r="J48" s="239">
        <f>SUM(I10,I24,I12,I16:I17,I25,I29:I30)</f>
        <v>36400000</v>
      </c>
      <c r="K48" s="238" t="s">
        <v>107</v>
      </c>
    </row>
    <row r="49" spans="7:7" ht="19.5" customHeight="1" x14ac:dyDescent="0.4">
      <c r="G49" s="240" t="s">
        <v>108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FE69-D35B-40BE-8AE7-35F287AD820A}">
  <sheetPr>
    <pageSetUpPr fitToPage="1"/>
  </sheetPr>
  <dimension ref="A1:P32"/>
  <sheetViews>
    <sheetView topLeftCell="A17" zoomScale="90" zoomScaleNormal="90" workbookViewId="0">
      <selection activeCell="L18" sqref="L18"/>
    </sheetView>
  </sheetViews>
  <sheetFormatPr defaultColWidth="9" defaultRowHeight="17.25" customHeight="1" x14ac:dyDescent="0.4"/>
  <cols>
    <col min="1" max="1" width="5" style="1" customWidth="1"/>
    <col min="2" max="2" width="63.09765625" style="1" bestFit="1" customWidth="1"/>
    <col min="3" max="3" width="6.19921875" style="1" customWidth="1"/>
    <col min="4" max="8" width="11.8984375" style="1" customWidth="1"/>
    <col min="9" max="9" width="13" style="1" customWidth="1"/>
    <col min="10" max="10" width="16.59765625" style="1" bestFit="1" customWidth="1"/>
    <col min="11" max="11" width="13.8984375" style="1" customWidth="1"/>
    <col min="12" max="12" width="12.5" style="1" bestFit="1" customWidth="1"/>
    <col min="13" max="13" width="15" style="1" bestFit="1" customWidth="1"/>
    <col min="14" max="14" width="16.59765625" style="1" bestFit="1" customWidth="1"/>
    <col min="15" max="15" width="9.59765625" style="1" customWidth="1"/>
    <col min="16" max="16" width="12.59765625" style="1" hidden="1" customWidth="1"/>
    <col min="17" max="17" width="10" style="1" customWidth="1"/>
    <col min="18" max="16384" width="9" style="1"/>
  </cols>
  <sheetData>
    <row r="1" spans="1:16" ht="6.75" customHeight="1" x14ac:dyDescent="0.4"/>
    <row r="2" spans="1:16" ht="31.5" customHeight="1" x14ac:dyDescent="0.4">
      <c r="A2" s="111" t="s">
        <v>109</v>
      </c>
    </row>
    <row r="3" spans="1:16" ht="17.25" customHeight="1" thickBot="1" x14ac:dyDescent="0.45">
      <c r="N3" s="1" t="s">
        <v>110</v>
      </c>
    </row>
    <row r="4" spans="1:16" s="30" customFormat="1" ht="8.25" customHeight="1" x14ac:dyDescent="0.4">
      <c r="A4" s="241"/>
      <c r="B4" s="241"/>
      <c r="C4" s="241"/>
      <c r="D4" s="27"/>
      <c r="E4" s="242"/>
      <c r="F4" s="242"/>
      <c r="G4" s="242"/>
      <c r="H4" s="242"/>
      <c r="I4" s="242"/>
      <c r="J4" s="243"/>
      <c r="K4" s="244"/>
      <c r="L4" s="244"/>
      <c r="M4" s="245"/>
      <c r="N4" s="246"/>
      <c r="O4" s="247"/>
    </row>
    <row r="5" spans="1:16" s="30" customFormat="1" ht="25.5" customHeight="1" x14ac:dyDescent="0.4">
      <c r="A5" s="248"/>
      <c r="B5" s="248"/>
      <c r="C5" s="248"/>
      <c r="D5" s="249"/>
      <c r="E5" s="250"/>
      <c r="F5" s="250"/>
      <c r="G5" s="250"/>
      <c r="H5" s="250"/>
      <c r="I5" s="251" t="s">
        <v>111</v>
      </c>
      <c r="J5" s="252"/>
      <c r="K5" s="48"/>
      <c r="L5" s="48" t="s">
        <v>112</v>
      </c>
      <c r="M5" s="253" t="s">
        <v>93</v>
      </c>
      <c r="N5" s="254"/>
      <c r="O5" s="255"/>
    </row>
    <row r="6" spans="1:16" s="30" customFormat="1" ht="25.5" customHeight="1" thickBot="1" x14ac:dyDescent="0.45">
      <c r="A6" s="256" t="s">
        <v>46</v>
      </c>
      <c r="B6" s="256" t="s">
        <v>113</v>
      </c>
      <c r="C6" s="256" t="s">
        <v>49</v>
      </c>
      <c r="D6" s="257" t="s">
        <v>54</v>
      </c>
      <c r="E6" s="258" t="s">
        <v>114</v>
      </c>
      <c r="F6" s="258" t="s">
        <v>84</v>
      </c>
      <c r="G6" s="258" t="s">
        <v>115</v>
      </c>
      <c r="H6" s="258" t="s">
        <v>76</v>
      </c>
      <c r="I6" s="259" t="s">
        <v>116</v>
      </c>
      <c r="J6" s="260" t="s">
        <v>117</v>
      </c>
      <c r="K6" s="261" t="s">
        <v>118</v>
      </c>
      <c r="L6" s="261" t="s">
        <v>119</v>
      </c>
      <c r="M6" s="262" t="s">
        <v>120</v>
      </c>
      <c r="N6" s="263" t="s">
        <v>121</v>
      </c>
      <c r="O6" s="264" t="s">
        <v>29</v>
      </c>
    </row>
    <row r="7" spans="1:16" s="65" customFormat="1" ht="25.5" customHeight="1" thickTop="1" x14ac:dyDescent="0.4">
      <c r="A7" s="265">
        <f>IF(B7&gt;0,1,"")</f>
        <v>1</v>
      </c>
      <c r="B7" s="266" t="str">
        <f>'#10'!C$1</f>
        <v>OB 비젼검사/그리스 주입</v>
      </c>
      <c r="C7" s="265" t="s">
        <v>122</v>
      </c>
      <c r="D7" s="267">
        <f>'#10'!H57</f>
        <v>55570000</v>
      </c>
      <c r="E7" s="268">
        <f>'#10'!H58</f>
        <v>0</v>
      </c>
      <c r="F7" s="268">
        <f>'#10'!H59+'#10'!H60+'#10'!H61+'#10'!H65</f>
        <v>10250000</v>
      </c>
      <c r="G7" s="268">
        <f>'#10'!H62+'#10'!H63</f>
        <v>1800000</v>
      </c>
      <c r="H7" s="268">
        <f>'#10'!H64</f>
        <v>900000</v>
      </c>
      <c r="I7" s="269">
        <f>IF($B7&gt;0,'원가항목별(집계)'!I$38*$P7/$P$27,0)</f>
        <v>225810.70392828895</v>
      </c>
      <c r="J7" s="270">
        <f>SUM(D7:I7)</f>
        <v>68745810.703928292</v>
      </c>
      <c r="K7" s="271">
        <f>IF(B7&gt;0,'원가항목별(집계)'!I$34*P7/P$27,0)</f>
        <v>14941141.576588452</v>
      </c>
      <c r="L7" s="271">
        <f>IF($B7&gt;0,'원가항목별(집계)'!I$39*$P7/$P$27,0)</f>
        <v>101614.81676773002</v>
      </c>
      <c r="M7" s="272">
        <f>'#10'!H68+'#10'!H69</f>
        <v>0</v>
      </c>
      <c r="N7" s="273">
        <f>SUM(J7:M7)</f>
        <v>83788567.097284481</v>
      </c>
      <c r="O7" s="274"/>
      <c r="P7" s="65">
        <f>D7+E7+F7+G7+H7+M7</f>
        <v>68520000</v>
      </c>
    </row>
    <row r="8" spans="1:16" s="65" customFormat="1" ht="25.5" customHeight="1" x14ac:dyDescent="0.4">
      <c r="A8" s="275">
        <f>IF(B8&gt;0,A7+1,"")</f>
        <v>2</v>
      </c>
      <c r="B8" s="276" t="str">
        <f>'#20'!C$1</f>
        <v>BOOT조립기</v>
      </c>
      <c r="C8" s="275" t="s">
        <v>122</v>
      </c>
      <c r="D8" s="277">
        <f>'#20'!H112</f>
        <v>161040000</v>
      </c>
      <c r="E8" s="278">
        <f>'#20'!H113</f>
        <v>0</v>
      </c>
      <c r="F8" s="278">
        <f>'#20'!H114+'#20'!H115+'#20'!H116+'#20'!H120</f>
        <v>18000000</v>
      </c>
      <c r="G8" s="278">
        <f>'#20'!H117+'#20'!H118</f>
        <v>2400000</v>
      </c>
      <c r="H8" s="278">
        <f>'#20'!H119</f>
        <v>300000</v>
      </c>
      <c r="I8" s="279">
        <f>IF($B8&gt;0,'원가항목별(집계)'!I$38*$P8/$P$27,0)</f>
        <v>598932.24360664387</v>
      </c>
      <c r="J8" s="280">
        <f>SUM(D8:I8)</f>
        <v>182338932.24360666</v>
      </c>
      <c r="K8" s="281">
        <f>IF(B8&gt;0,'원가항목별(집계)'!I$34*P8/P$27,0)</f>
        <v>39629350.118639596</v>
      </c>
      <c r="L8" s="281">
        <f>IF($B8&gt;0,'원가항목별(집계)'!I$39*$P8/$P$27,0)</f>
        <v>269519.50962298975</v>
      </c>
      <c r="M8" s="282">
        <f>'#20'!H123+'#20'!H124</f>
        <v>0</v>
      </c>
      <c r="N8" s="283">
        <f t="shared" ref="N8:N26" si="0">SUM(J8:M8)</f>
        <v>222237801.87186924</v>
      </c>
      <c r="O8" s="284"/>
      <c r="P8" s="65">
        <f t="shared" ref="P8:P26" si="1">D8+E8+F8+G8+H8+M8</f>
        <v>181740000</v>
      </c>
    </row>
    <row r="9" spans="1:16" s="65" customFormat="1" ht="25.5" customHeight="1" x14ac:dyDescent="0.4">
      <c r="A9" s="275">
        <f>IF(B9&gt;0,A8+1,"")</f>
        <v>3</v>
      </c>
      <c r="B9" s="276" t="str">
        <f>'#30'!C$1</f>
        <v>D/SHAFT 가조립</v>
      </c>
      <c r="C9" s="275" t="s">
        <v>123</v>
      </c>
      <c r="D9" s="277">
        <f>'#30'!H48</f>
        <v>16800000</v>
      </c>
      <c r="E9" s="278">
        <f>'#30'!H49</f>
        <v>0</v>
      </c>
      <c r="F9" s="278">
        <f>'#30'!H50+'#30'!H51+'#30'!H52+'#30'!H56</f>
        <v>2750000</v>
      </c>
      <c r="G9" s="278">
        <f>'#30'!H53+'#30'!H54</f>
        <v>0</v>
      </c>
      <c r="H9" s="278">
        <f>'#30'!H55</f>
        <v>0</v>
      </c>
      <c r="I9" s="279">
        <f>IF($B9&gt;0,'원가항목별(집계)'!I$38*$P9/$P$27,0)</f>
        <v>64427.893488004222</v>
      </c>
      <c r="J9" s="280">
        <f t="shared" ref="J9:J26" si="2">SUM(D9:I9)</f>
        <v>19614427.893488005</v>
      </c>
      <c r="K9" s="281">
        <f>IF(B9&gt;0,'원가항목별(집계)'!I$34*P9/P$27,0)</f>
        <v>4262978.9524562787</v>
      </c>
      <c r="L9" s="281">
        <f>IF($B9&gt;0,'원가항목별(집계)'!I$39*$P9/$P$27,0)</f>
        <v>28992.552069601898</v>
      </c>
      <c r="M9" s="282">
        <f>'#30'!H59+'#30'!H60</f>
        <v>0</v>
      </c>
      <c r="N9" s="283">
        <f t="shared" si="0"/>
        <v>23906399.398013886</v>
      </c>
      <c r="O9" s="284"/>
      <c r="P9" s="65">
        <f t="shared" si="1"/>
        <v>19550000</v>
      </c>
    </row>
    <row r="10" spans="1:16" s="65" customFormat="1" ht="25.5" customHeight="1" x14ac:dyDescent="0.4">
      <c r="A10" s="275">
        <f>IF(B10&gt;0,A9+1,"")</f>
        <v>4</v>
      </c>
      <c r="B10" s="276" t="str">
        <f>'#40'!C$1</f>
        <v>D/SHAFT 압입</v>
      </c>
      <c r="C10" s="275" t="s">
        <v>123</v>
      </c>
      <c r="D10" s="277">
        <f>'#40'!H49</f>
        <v>37070000</v>
      </c>
      <c r="E10" s="278">
        <f>'#40'!H50</f>
        <v>0</v>
      </c>
      <c r="F10" s="278">
        <f>'#40'!H51+'#40'!H52+'#40'!H53+'#40'!H57</f>
        <v>10000000</v>
      </c>
      <c r="G10" s="278">
        <f>'#40'!H54+'#40'!H55</f>
        <v>1800000</v>
      </c>
      <c r="H10" s="278">
        <f>'#40'!H56</f>
        <v>600000</v>
      </c>
      <c r="I10" s="279">
        <f>IF($B10&gt;0,'원가항목별(집계)'!I$38*$P10/$P$27,0)</f>
        <v>163030.58265225415</v>
      </c>
      <c r="J10" s="280">
        <f t="shared" si="2"/>
        <v>49633030.582652256</v>
      </c>
      <c r="K10" s="281">
        <f>IF(B10&gt;0,'원가항목별(집계)'!I$34*P10/P$27,0)</f>
        <v>10787190.21882415</v>
      </c>
      <c r="L10" s="281">
        <f>IF($B10&gt;0,'원가항목별(집계)'!I$39*$P10/$P$27,0)</f>
        <v>73363.762193514369</v>
      </c>
      <c r="M10" s="282">
        <f>'#40'!H60+'#40'!H61</f>
        <v>0</v>
      </c>
      <c r="N10" s="283">
        <f t="shared" si="0"/>
        <v>60493584.56366992</v>
      </c>
      <c r="O10" s="284"/>
      <c r="P10" s="65">
        <f t="shared" si="1"/>
        <v>49470000</v>
      </c>
    </row>
    <row r="11" spans="1:16" s="65" customFormat="1" ht="25.5" customHeight="1" x14ac:dyDescent="0.4">
      <c r="A11" s="275">
        <f>IF(B11&gt;0,A10+1,"")</f>
        <v>5</v>
      </c>
      <c r="B11" s="276" t="str">
        <f>'#50'!C$1</f>
        <v>I/B 가조립</v>
      </c>
      <c r="C11" s="275" t="s">
        <v>123</v>
      </c>
      <c r="D11" s="277">
        <f>'#50'!H41</f>
        <v>16800000</v>
      </c>
      <c r="E11" s="278">
        <f>'#50'!H42</f>
        <v>0</v>
      </c>
      <c r="F11" s="278">
        <f>'#50'!H43+'#50'!H44+'#50'!H45+'#50'!H49</f>
        <v>5500000</v>
      </c>
      <c r="G11" s="278">
        <f>'#50'!H46+'#50'!H47</f>
        <v>1800000</v>
      </c>
      <c r="H11" s="278">
        <f>'#50'!H48</f>
        <v>600000</v>
      </c>
      <c r="I11" s="279">
        <f>IF($B11&gt;0,'원가항목별(집계)'!I$38*$P11/$P$27,0)</f>
        <v>81399.947271289217</v>
      </c>
      <c r="J11" s="280">
        <f t="shared" si="2"/>
        <v>24781399.947271287</v>
      </c>
      <c r="K11" s="281">
        <f>IF(B11&gt;0,'원가항목별(집계)'!I$34*P11/P$27,0)</f>
        <v>5385963.1777836364</v>
      </c>
      <c r="L11" s="281">
        <f>IF($B11&gt;0,'원가항목별(집계)'!I$39*$P11/$P$27,0)</f>
        <v>36629.976272080145</v>
      </c>
      <c r="M11" s="282">
        <f>'#50'!H52+'#50'!H53</f>
        <v>0</v>
      </c>
      <c r="N11" s="283">
        <f t="shared" si="0"/>
        <v>30203993.101327006</v>
      </c>
      <c r="O11" s="284"/>
      <c r="P11" s="65">
        <f t="shared" si="1"/>
        <v>24700000</v>
      </c>
    </row>
    <row r="12" spans="1:16" s="65" customFormat="1" ht="25.5" customHeight="1" x14ac:dyDescent="0.4">
      <c r="A12" s="275">
        <f>IF(B12&gt;0,A11+1,"")</f>
        <v>6</v>
      </c>
      <c r="B12" s="276" t="str">
        <f>'#60'!C$1</f>
        <v>I/B 압입</v>
      </c>
      <c r="C12" s="275" t="s">
        <v>123</v>
      </c>
      <c r="D12" s="277">
        <f>'#60'!H56</f>
        <v>36990000</v>
      </c>
      <c r="E12" s="278">
        <f>'#60'!H57</f>
        <v>0</v>
      </c>
      <c r="F12" s="278">
        <f>'#60'!H58+'#60'!H59+'#60'!H60+'#60'!H64</f>
        <v>10000000</v>
      </c>
      <c r="G12" s="278">
        <f>'#60'!H61+'#60'!H62</f>
        <v>1800000</v>
      </c>
      <c r="H12" s="278">
        <f>'#60'!H63</f>
        <v>600000</v>
      </c>
      <c r="I12" s="279">
        <f>IF($B12&gt;0,'원가항목별(집계)'!I$38*$P12/$P$27,0)</f>
        <v>162766.93909833903</v>
      </c>
      <c r="J12" s="280">
        <f t="shared" si="2"/>
        <v>49552766.939098336</v>
      </c>
      <c r="K12" s="281">
        <f>IF(B12&gt;0,'원가항목별(집계)'!I$34*P12/P$27,0)</f>
        <v>10769745.803673433</v>
      </c>
      <c r="L12" s="281">
        <f>IF($B12&gt;0,'원가항목별(집계)'!I$39*$P12/$P$27,0)</f>
        <v>73245.122594252563</v>
      </c>
      <c r="M12" s="282">
        <f>'#60'!H67+'#60'!H68</f>
        <v>0</v>
      </c>
      <c r="N12" s="283">
        <f t="shared" si="0"/>
        <v>60395757.865366019</v>
      </c>
      <c r="O12" s="284"/>
      <c r="P12" s="65">
        <f t="shared" si="1"/>
        <v>49390000</v>
      </c>
    </row>
    <row r="13" spans="1:16" s="65" customFormat="1" ht="25.5" customHeight="1" x14ac:dyDescent="0.4">
      <c r="A13" s="275">
        <f t="shared" ref="A13:A26" si="3">IF(B13&gt;0,A12+1,"")</f>
        <v>7</v>
      </c>
      <c r="B13" s="276" t="str">
        <f>'#70'!C$1</f>
        <v>대경 밴드체결</v>
      </c>
      <c r="C13" s="275" t="s">
        <v>123</v>
      </c>
      <c r="D13" s="277">
        <f>'#70'!H55</f>
        <v>23390000</v>
      </c>
      <c r="E13" s="278">
        <f>'#70'!H56</f>
        <v>0</v>
      </c>
      <c r="F13" s="278">
        <f>'#70'!H57+'#70'!H58+'#70'!H59+'#70'!H63</f>
        <v>8750000</v>
      </c>
      <c r="G13" s="278">
        <f>'#70'!H60+'#70'!H61</f>
        <v>1800000</v>
      </c>
      <c r="H13" s="278">
        <f>'#70'!H62</f>
        <v>300000</v>
      </c>
      <c r="I13" s="279">
        <f>IF($B13&gt;0,'원가항목별(집계)'!I$38*$P13/$P$27,0)</f>
        <v>112839.4410756657</v>
      </c>
      <c r="J13" s="280">
        <f t="shared" si="2"/>
        <v>34352839.441075668</v>
      </c>
      <c r="K13" s="281">
        <f>IF(B13&gt;0,'원가항목별(집계)'!I$34*P13/P$27,0)</f>
        <v>7466209.6845065467</v>
      </c>
      <c r="L13" s="281">
        <f>IF($B13&gt;0,'원가항목별(집계)'!I$39*$P13/$P$27,0)</f>
        <v>50777.748484049567</v>
      </c>
      <c r="M13" s="282">
        <f>'#70'!H66+'#70'!H67</f>
        <v>0</v>
      </c>
      <c r="N13" s="283">
        <f t="shared" si="0"/>
        <v>41869826.874066271</v>
      </c>
      <c r="O13" s="284"/>
      <c r="P13" s="65">
        <f t="shared" si="1"/>
        <v>34240000</v>
      </c>
    </row>
    <row r="14" spans="1:16" s="65" customFormat="1" ht="25.5" customHeight="1" x14ac:dyDescent="0.4">
      <c r="A14" s="275">
        <f t="shared" si="3"/>
        <v>8</v>
      </c>
      <c r="B14" s="276" t="str">
        <f>'#80'!C$1</f>
        <v>완성비젼</v>
      </c>
      <c r="C14" s="275" t="s">
        <v>123</v>
      </c>
      <c r="D14" s="277">
        <f>'#80'!H51</f>
        <v>54520000</v>
      </c>
      <c r="E14" s="278">
        <f>'#80'!H52</f>
        <v>0</v>
      </c>
      <c r="F14" s="278">
        <f>'#80'!H53+'#80'!H54+'#80'!H55+'#80'!H59</f>
        <v>12750000</v>
      </c>
      <c r="G14" s="278">
        <f>'#80'!H56+'#80'!H57</f>
        <v>1800000</v>
      </c>
      <c r="H14" s="278">
        <f>'#80'!H58</f>
        <v>300000</v>
      </c>
      <c r="I14" s="279">
        <f>IF($B14&gt;0,'원가항목별(집계)'!I$38*$P14/$P$27,0)</f>
        <v>228611.91668863696</v>
      </c>
      <c r="J14" s="280">
        <f t="shared" si="2"/>
        <v>69598611.916688636</v>
      </c>
      <c r="K14" s="281">
        <f>IF(B14&gt;0,'원가항목별(집계)'!I$34*P14/P$27,0)</f>
        <v>15126488.487564811</v>
      </c>
      <c r="L14" s="281">
        <f>IF($B14&gt;0,'원가항목별(집계)'!I$39*$P14/$P$27,0)</f>
        <v>102875.36250988663</v>
      </c>
      <c r="M14" s="282">
        <f>'#80'!H62+'#80'!H63</f>
        <v>0</v>
      </c>
      <c r="N14" s="283">
        <f t="shared" si="0"/>
        <v>84827975.766763344</v>
      </c>
      <c r="O14" s="284"/>
      <c r="P14" s="65">
        <f t="shared" si="1"/>
        <v>69370000</v>
      </c>
    </row>
    <row r="15" spans="1:16" s="65" customFormat="1" ht="25.5" customHeight="1" x14ac:dyDescent="0.4">
      <c r="A15" s="275">
        <f t="shared" si="3"/>
        <v>9</v>
      </c>
      <c r="B15" s="276" t="str">
        <f>'#90'!C$1</f>
        <v>UN-LOADING 배출 및 적재</v>
      </c>
      <c r="C15" s="275" t="s">
        <v>123</v>
      </c>
      <c r="D15" s="277">
        <f>'#90'!H63</f>
        <v>85120000</v>
      </c>
      <c r="E15" s="278">
        <f>'#90'!H64</f>
        <v>0</v>
      </c>
      <c r="F15" s="278">
        <f>'#90'!H65+'#90'!H66+'#90'!H67+'#90'!H71</f>
        <v>14750000</v>
      </c>
      <c r="G15" s="278">
        <f>'#90'!H68+'#90'!H69</f>
        <v>4200000</v>
      </c>
      <c r="H15" s="278">
        <f>'#90'!H70</f>
        <v>300000</v>
      </c>
      <c r="I15" s="279">
        <f>IF($B15&gt;0,'원가항목별(집계)'!I$38*$P15/$P$27,0)</f>
        <v>343955.97152649617</v>
      </c>
      <c r="J15" s="280">
        <f t="shared" si="2"/>
        <v>104713955.9715265</v>
      </c>
      <c r="K15" s="281">
        <f>IF(B15&gt;0,'원가항목별(집계)'!I$34*P15/P$27,0)</f>
        <v>22758420.116003163</v>
      </c>
      <c r="L15" s="281">
        <f>IF($B15&gt;0,'원가항목별(집계)'!I$39*$P15/$P$27,0)</f>
        <v>154780.18718692329</v>
      </c>
      <c r="M15" s="282">
        <f>'#90'!H74+'#90'!H75</f>
        <v>0</v>
      </c>
      <c r="N15" s="283">
        <f t="shared" si="0"/>
        <v>127627156.27471659</v>
      </c>
      <c r="O15" s="284"/>
      <c r="P15" s="65">
        <f t="shared" si="1"/>
        <v>104370000</v>
      </c>
    </row>
    <row r="16" spans="1:16" s="65" customFormat="1" ht="25.5" customHeight="1" x14ac:dyDescent="0.4">
      <c r="A16" s="275">
        <f t="shared" si="3"/>
        <v>10</v>
      </c>
      <c r="B16" s="276" t="str">
        <f>'#100'!C$1</f>
        <v>MAIN CONVEYOR</v>
      </c>
      <c r="C16" s="275" t="s">
        <v>123</v>
      </c>
      <c r="D16" s="277">
        <f>'#100'!H54</f>
        <v>106720000</v>
      </c>
      <c r="E16" s="278">
        <f>'#100'!H55</f>
        <v>0</v>
      </c>
      <c r="F16" s="278">
        <f>'#100'!H56+'#100'!H57+'#100'!H58+'#100'!H62</f>
        <v>7250000</v>
      </c>
      <c r="G16" s="278">
        <f>'#100'!H59+'#100'!H60</f>
        <v>3300000</v>
      </c>
      <c r="H16" s="278">
        <f>'#100'!H61</f>
        <v>0</v>
      </c>
      <c r="I16" s="279">
        <f>IF($B16&gt;0,'원가항목별(집계)'!I$38*$P16/$P$27,0)</f>
        <v>386468.49459530716</v>
      </c>
      <c r="J16" s="280">
        <f t="shared" si="2"/>
        <v>117656468.4945953</v>
      </c>
      <c r="K16" s="281">
        <f>IF(B16&gt;0,'원가항목별(집계)'!I$34*P16/P$27,0)</f>
        <v>25571332.059056155</v>
      </c>
      <c r="L16" s="281">
        <f>IF($B16&gt;0,'원가항목별(집계)'!I$39*$P16/$P$27,0)</f>
        <v>173910.82256788822</v>
      </c>
      <c r="M16" s="282">
        <f>'#100'!H65+'#100'!H66</f>
        <v>0</v>
      </c>
      <c r="N16" s="283">
        <f t="shared" si="0"/>
        <v>143401711.37621933</v>
      </c>
      <c r="O16" s="284"/>
      <c r="P16" s="65">
        <f t="shared" si="1"/>
        <v>117270000</v>
      </c>
    </row>
    <row r="17" spans="1:16" s="65" customFormat="1" ht="25.5" customHeight="1" x14ac:dyDescent="0.4">
      <c r="A17" s="275">
        <f t="shared" si="3"/>
        <v>11</v>
      </c>
      <c r="B17" s="276" t="str">
        <f>'#110'!D$1</f>
        <v>PALLETS</v>
      </c>
      <c r="C17" s="275" t="s">
        <v>123</v>
      </c>
      <c r="D17" s="277">
        <f>'#110'!I107</f>
        <v>95000000</v>
      </c>
      <c r="E17" s="278">
        <f>'#110'!I108</f>
        <v>0</v>
      </c>
      <c r="F17" s="278">
        <f>'#110'!I109+'#110'!I110+'#110'!I111+'#110'!I115</f>
        <v>6500000</v>
      </c>
      <c r="G17" s="278">
        <f>'#110'!I112+'#110'!I113</f>
        <v>1200000</v>
      </c>
      <c r="H17" s="278">
        <f>'#110'!I114</f>
        <v>0</v>
      </c>
      <c r="I17" s="279">
        <f>IF($B17&gt;0,'원가항목별(집계)'!I$38*$P17/$P$27,0)</f>
        <v>338452.4123385183</v>
      </c>
      <c r="J17" s="280">
        <f t="shared" si="2"/>
        <v>103038452.41233853</v>
      </c>
      <c r="K17" s="281">
        <f>IF(B17&gt;0,'원가항목별(집계)'!I$34*P17/P$27,0)</f>
        <v>22394267.949731961</v>
      </c>
      <c r="L17" s="281">
        <f>IF($B17&gt;0,'원가항목별(집계)'!I$39*$P17/$P$27,0)</f>
        <v>152303.58555233324</v>
      </c>
      <c r="M17" s="282">
        <f>'#110'!I118+'#110'!I119</f>
        <v>0</v>
      </c>
      <c r="N17" s="283">
        <f t="shared" si="0"/>
        <v>125585023.94762282</v>
      </c>
      <c r="O17" s="284"/>
      <c r="P17" s="65">
        <f t="shared" si="1"/>
        <v>102700000</v>
      </c>
    </row>
    <row r="18" spans="1:16" s="65" customFormat="1" ht="25.5" customHeight="1" x14ac:dyDescent="0.4">
      <c r="A18" s="275">
        <f t="shared" si="3"/>
        <v>12</v>
      </c>
      <c r="B18" s="276" t="str">
        <f>'#120'!C$1</f>
        <v>GREASE PUMP SYSTEM</v>
      </c>
      <c r="C18" s="275" t="s">
        <v>123</v>
      </c>
      <c r="D18" s="277">
        <f>'#120'!H55</f>
        <v>43000000</v>
      </c>
      <c r="E18" s="278">
        <f>'#120'!H56</f>
        <v>0</v>
      </c>
      <c r="F18" s="278">
        <f>'#120'!H57+'#120'!H58+'#120'!H59+'#120'!H63</f>
        <v>0</v>
      </c>
      <c r="G18" s="278">
        <f>'#120'!H60+'#120'!H61</f>
        <v>0</v>
      </c>
      <c r="H18" s="278">
        <f>'#120'!H62</f>
        <v>0</v>
      </c>
      <c r="I18" s="279">
        <f>IF($B18&gt;0,'원가항목별(집계)'!I$38*$P18/$P$27,0)</f>
        <v>141708.41022936988</v>
      </c>
      <c r="J18" s="280">
        <f t="shared" si="2"/>
        <v>43141708.41022937</v>
      </c>
      <c r="K18" s="281">
        <f>IF(B18&gt;0,'원가항목별(집계)'!I$34*P18/P$27,0)</f>
        <v>9376373.1435099747</v>
      </c>
      <c r="L18" s="281">
        <f>IF($B18&gt;0,'원가항목별(집계)'!I$39*$P18/$P$27,0)</f>
        <v>63768.784603216453</v>
      </c>
      <c r="M18" s="282">
        <f>'#120'!H66+'#120'!H67</f>
        <v>0</v>
      </c>
      <c r="N18" s="283">
        <f t="shared" si="0"/>
        <v>52581850.338342562</v>
      </c>
      <c r="O18" s="284"/>
      <c r="P18" s="65">
        <f t="shared" si="1"/>
        <v>43000000</v>
      </c>
    </row>
    <row r="19" spans="1:16" s="65" customFormat="1" ht="25.5" customHeight="1" x14ac:dyDescent="0.4">
      <c r="A19" s="275">
        <f t="shared" si="3"/>
        <v>13</v>
      </c>
      <c r="B19" s="285" t="str">
        <f>'#130'!C$1</f>
        <v>LMS SYSTEM</v>
      </c>
      <c r="C19" s="286" t="s">
        <v>123</v>
      </c>
      <c r="D19" s="287">
        <f>'#130'!H55</f>
        <v>30000000</v>
      </c>
      <c r="E19" s="288">
        <f>'#130'!H56</f>
        <v>0</v>
      </c>
      <c r="F19" s="288">
        <f>'#130'!H57+'#130'!H58+'#130'!H59+'#130'!H63</f>
        <v>0</v>
      </c>
      <c r="G19" s="288">
        <f>'#130'!H60+'#130'!H61</f>
        <v>0</v>
      </c>
      <c r="H19" s="288">
        <f>'#130'!H62</f>
        <v>0</v>
      </c>
      <c r="I19" s="289">
        <f>IF($B19&gt;0,'원가항목별(집계)'!I$38*$P19/$P$27,0)</f>
        <v>98866.332718165038</v>
      </c>
      <c r="J19" s="290">
        <f t="shared" si="2"/>
        <v>30098866.332718164</v>
      </c>
      <c r="K19" s="291">
        <f>IF(B19&gt;0,'원가항목별(집계)'!I$34*P19/P$27,0)</f>
        <v>6541655.6815185873</v>
      </c>
      <c r="L19" s="291">
        <f>IF($B19&gt;0,'원가항목별(집계)'!I$39*$P19/$P$27,0)</f>
        <v>44489.849723174266</v>
      </c>
      <c r="M19" s="292">
        <f>'#130'!H66+'#130'!H67</f>
        <v>0</v>
      </c>
      <c r="N19" s="293">
        <f t="shared" si="0"/>
        <v>36685011.863959923</v>
      </c>
      <c r="O19" s="294"/>
      <c r="P19" s="65">
        <f t="shared" si="1"/>
        <v>30000000</v>
      </c>
    </row>
    <row r="20" spans="1:16" s="65" customFormat="1" ht="25.5" customHeight="1" x14ac:dyDescent="0.4">
      <c r="A20" s="275">
        <f t="shared" si="3"/>
        <v>14</v>
      </c>
      <c r="B20" s="276" t="str">
        <f>'#140'!C$1</f>
        <v>RFID</v>
      </c>
      <c r="C20" s="275" t="s">
        <v>123</v>
      </c>
      <c r="D20" s="277">
        <f>'#140'!H56</f>
        <v>16000000</v>
      </c>
      <c r="E20" s="278">
        <f>'#140'!H57</f>
        <v>0</v>
      </c>
      <c r="F20" s="278">
        <f>'#140'!H58+'#140'!H59+'#140'!H60+'#140'!H64</f>
        <v>0</v>
      </c>
      <c r="G20" s="278">
        <f>'#140'!H61+'#140'!H62</f>
        <v>0</v>
      </c>
      <c r="H20" s="278">
        <f>'#140'!H63</f>
        <v>0</v>
      </c>
      <c r="I20" s="279">
        <f>IF($B20&gt;0,'원가항목별(집계)'!I$38*$P20/$P$27,0)</f>
        <v>52728.710783021357</v>
      </c>
      <c r="J20" s="280">
        <f t="shared" si="2"/>
        <v>16052728.710783022</v>
      </c>
      <c r="K20" s="281">
        <f>IF(B20&gt;0,'원가항목별(집계)'!I$34*P20/P$27,0)</f>
        <v>3488883.0301432465</v>
      </c>
      <c r="L20" s="281">
        <f>IF($B20&gt;0,'원가항목별(집계)'!I$39*$P20/$P$27,0)</f>
        <v>23727.91985235961</v>
      </c>
      <c r="M20" s="282">
        <f>'#140'!H67+'#140'!H68</f>
        <v>0</v>
      </c>
      <c r="N20" s="283">
        <f t="shared" si="0"/>
        <v>19565339.660778631</v>
      </c>
      <c r="O20" s="284"/>
      <c r="P20" s="65">
        <f t="shared" si="1"/>
        <v>16000000</v>
      </c>
    </row>
    <row r="21" spans="1:16" s="65" customFormat="1" ht="25.5" customHeight="1" x14ac:dyDescent="0.4">
      <c r="A21" s="275" t="str">
        <f t="shared" si="3"/>
        <v/>
      </c>
      <c r="B21" s="276">
        <f>'#150'!C$1</f>
        <v>0</v>
      </c>
      <c r="C21" s="275" t="s">
        <v>123</v>
      </c>
      <c r="D21" s="277">
        <f>'#150'!H56</f>
        <v>0</v>
      </c>
      <c r="E21" s="278">
        <f>'#150'!H57</f>
        <v>0</v>
      </c>
      <c r="F21" s="278">
        <f>'#150'!H58+'#150'!H59+'#150'!H60+'#150'!H64</f>
        <v>0</v>
      </c>
      <c r="G21" s="278">
        <f>'#150'!H61+'#150'!H62</f>
        <v>0</v>
      </c>
      <c r="H21" s="278">
        <f>'#150'!H63</f>
        <v>0</v>
      </c>
      <c r="I21" s="279">
        <f>IF($B21&gt;0,'원가항목별(집계)'!I$38*$P21/$P$27,0)</f>
        <v>0</v>
      </c>
      <c r="J21" s="280">
        <f t="shared" si="2"/>
        <v>0</v>
      </c>
      <c r="K21" s="281">
        <f>IF(B21&gt;0,'원가항목별(집계)'!I$34*P21/P$27,0)</f>
        <v>0</v>
      </c>
      <c r="L21" s="281">
        <f>IF($B21&gt;0,'원가항목별(집계)'!I$39*$P21/$P$27,0)</f>
        <v>0</v>
      </c>
      <c r="M21" s="282">
        <f>'#150'!H67+'#150'!H68</f>
        <v>0</v>
      </c>
      <c r="N21" s="283">
        <f t="shared" si="0"/>
        <v>0</v>
      </c>
      <c r="O21" s="284"/>
      <c r="P21" s="65">
        <f t="shared" si="1"/>
        <v>0</v>
      </c>
    </row>
    <row r="22" spans="1:16" s="65" customFormat="1" ht="25.5" customHeight="1" x14ac:dyDescent="0.4">
      <c r="A22" s="275" t="str">
        <f t="shared" si="3"/>
        <v/>
      </c>
      <c r="B22" s="276">
        <f>'#160'!C$1</f>
        <v>0</v>
      </c>
      <c r="C22" s="275" t="s">
        <v>123</v>
      </c>
      <c r="D22" s="277">
        <f>'#160'!H55</f>
        <v>0</v>
      </c>
      <c r="E22" s="278">
        <f>'#160'!H56</f>
        <v>0</v>
      </c>
      <c r="F22" s="278">
        <f>'#160'!H57+'#160'!H58+'#160'!H59+'#160'!H63</f>
        <v>0</v>
      </c>
      <c r="G22" s="278">
        <f>'#160'!H60+'#160'!H61</f>
        <v>0</v>
      </c>
      <c r="H22" s="278">
        <f>'#160'!H62</f>
        <v>0</v>
      </c>
      <c r="I22" s="279">
        <f>IF($B22&gt;0,'원가항목별(집계)'!I$38*$P22/$P$27,0)</f>
        <v>0</v>
      </c>
      <c r="J22" s="280">
        <f t="shared" si="2"/>
        <v>0</v>
      </c>
      <c r="K22" s="281">
        <f>IF(B22&gt;0,'원가항목별(집계)'!I$34*P22/P$27,0)</f>
        <v>0</v>
      </c>
      <c r="L22" s="281">
        <f>IF($B22&gt;0,'원가항목별(집계)'!I$39*$P22/$P$27,0)</f>
        <v>0</v>
      </c>
      <c r="M22" s="282">
        <f>'#160'!H66+'#160'!H67</f>
        <v>0</v>
      </c>
      <c r="N22" s="283">
        <f t="shared" si="0"/>
        <v>0</v>
      </c>
      <c r="O22" s="284"/>
      <c r="P22" s="65">
        <f t="shared" si="1"/>
        <v>0</v>
      </c>
    </row>
    <row r="23" spans="1:16" s="65" customFormat="1" ht="25.5" customHeight="1" x14ac:dyDescent="0.4">
      <c r="A23" s="275" t="str">
        <f t="shared" si="3"/>
        <v/>
      </c>
      <c r="B23" s="276">
        <f>'#170'!C$1</f>
        <v>0</v>
      </c>
      <c r="C23" s="275" t="s">
        <v>123</v>
      </c>
      <c r="D23" s="277">
        <f>'#170'!H56</f>
        <v>0</v>
      </c>
      <c r="E23" s="278">
        <f>'#170'!H57</f>
        <v>0</v>
      </c>
      <c r="F23" s="278">
        <f>'#170'!H58+'#170'!H59+'#170'!H60+'#170'!H64</f>
        <v>0</v>
      </c>
      <c r="G23" s="278">
        <f>'#170'!H61+'#170'!H62</f>
        <v>0</v>
      </c>
      <c r="H23" s="278">
        <f>'#170'!H63</f>
        <v>0</v>
      </c>
      <c r="I23" s="279">
        <f>IF($B23&gt;0,'원가항목별(집계)'!I$38*$P23/$P$27,0)</f>
        <v>0</v>
      </c>
      <c r="J23" s="280">
        <f t="shared" si="2"/>
        <v>0</v>
      </c>
      <c r="K23" s="281">
        <f>IF(B23&gt;0,'원가항목별(집계)'!I$34*P23/P$27,0)</f>
        <v>0</v>
      </c>
      <c r="L23" s="281">
        <f>IF($B23&gt;0,'원가항목별(집계)'!I$39*$P23/$P$27,0)</f>
        <v>0</v>
      </c>
      <c r="M23" s="282">
        <f>'#170'!H67+'#170'!H68</f>
        <v>0</v>
      </c>
      <c r="N23" s="283">
        <f t="shared" si="0"/>
        <v>0</v>
      </c>
      <c r="O23" s="284"/>
      <c r="P23" s="65">
        <f t="shared" si="1"/>
        <v>0</v>
      </c>
    </row>
    <row r="24" spans="1:16" s="65" customFormat="1" ht="25.5" customHeight="1" x14ac:dyDescent="0.4">
      <c r="A24" s="275" t="str">
        <f t="shared" si="3"/>
        <v/>
      </c>
      <c r="B24" s="276">
        <f>'#180'!C$1</f>
        <v>0</v>
      </c>
      <c r="C24" s="275" t="s">
        <v>123</v>
      </c>
      <c r="D24" s="277">
        <f>'#180'!H55</f>
        <v>0</v>
      </c>
      <c r="E24" s="278">
        <f>'#180'!H56</f>
        <v>0</v>
      </c>
      <c r="F24" s="278">
        <f>'#180'!H57+'#180'!H58+'#180'!H59+'#180'!H63</f>
        <v>0</v>
      </c>
      <c r="G24" s="278">
        <f>'#180'!H60+'#180'!H61</f>
        <v>0</v>
      </c>
      <c r="H24" s="278">
        <f>'#180'!H62</f>
        <v>0</v>
      </c>
      <c r="I24" s="279">
        <f>IF($B24&gt;0,'원가항목별(집계)'!I$38*$P24/$P$27,0)</f>
        <v>0</v>
      </c>
      <c r="J24" s="280">
        <f t="shared" si="2"/>
        <v>0</v>
      </c>
      <c r="K24" s="281">
        <f>IF(B24&gt;0,'원가항목별(집계)'!I$34*P24/P$27,0)</f>
        <v>0</v>
      </c>
      <c r="L24" s="281">
        <f>IF($B24&gt;0,'원가항목별(집계)'!I$39*$P24/$P$27,0)</f>
        <v>0</v>
      </c>
      <c r="M24" s="282">
        <f>'#180'!H66+'#180'!H67</f>
        <v>0</v>
      </c>
      <c r="N24" s="283">
        <f t="shared" si="0"/>
        <v>0</v>
      </c>
      <c r="O24" s="284"/>
      <c r="P24" s="65">
        <f t="shared" si="1"/>
        <v>0</v>
      </c>
    </row>
    <row r="25" spans="1:16" s="65" customFormat="1" ht="25.5" customHeight="1" x14ac:dyDescent="0.4">
      <c r="A25" s="275" t="str">
        <f t="shared" si="3"/>
        <v/>
      </c>
      <c r="B25" s="295">
        <f>'#190'!C$1</f>
        <v>0</v>
      </c>
      <c r="C25" s="296" t="s">
        <v>123</v>
      </c>
      <c r="D25" s="297">
        <f>'#190'!H55</f>
        <v>0</v>
      </c>
      <c r="E25" s="298">
        <f>'#190'!H56</f>
        <v>0</v>
      </c>
      <c r="F25" s="278">
        <f>'#190'!H57+'#190'!H58+'#190'!H59+'#190'!H63</f>
        <v>0</v>
      </c>
      <c r="G25" s="298">
        <f>'#190'!H60+'#190'!H61</f>
        <v>0</v>
      </c>
      <c r="H25" s="298">
        <f>'#190'!H62</f>
        <v>0</v>
      </c>
      <c r="I25" s="299">
        <f>IF($B25&gt;0,'원가항목별(집계)'!I$38*$P25/$P$27,0)</f>
        <v>0</v>
      </c>
      <c r="J25" s="300">
        <f t="shared" si="2"/>
        <v>0</v>
      </c>
      <c r="K25" s="301">
        <f>IF(B25&gt;0,'원가항목별(집계)'!I$34*P25/P$27,0)</f>
        <v>0</v>
      </c>
      <c r="L25" s="301">
        <f>IF($B25&gt;0,'원가항목별(집계)'!I$39*$P25/$P$27,0)</f>
        <v>0</v>
      </c>
      <c r="M25" s="302">
        <f>'#190'!H66+'#190'!H67</f>
        <v>0</v>
      </c>
      <c r="N25" s="303">
        <f t="shared" si="0"/>
        <v>0</v>
      </c>
      <c r="O25" s="304"/>
      <c r="P25" s="65">
        <f t="shared" si="1"/>
        <v>0</v>
      </c>
    </row>
    <row r="26" spans="1:16" s="65" customFormat="1" ht="25.5" customHeight="1" x14ac:dyDescent="0.4">
      <c r="A26" s="275" t="str">
        <f t="shared" si="3"/>
        <v/>
      </c>
      <c r="B26" s="305">
        <f>'#200'!C$1</f>
        <v>0</v>
      </c>
      <c r="C26" s="306" t="s">
        <v>123</v>
      </c>
      <c r="D26" s="307">
        <f>'#200'!H55</f>
        <v>0</v>
      </c>
      <c r="E26" s="308">
        <f>'#200'!H56</f>
        <v>0</v>
      </c>
      <c r="F26" s="278">
        <f>'#200'!H57+'#200'!H58+'#200'!H59+'#200'!H63</f>
        <v>0</v>
      </c>
      <c r="G26" s="308">
        <f>'#200'!H60+'#200'!H61</f>
        <v>0</v>
      </c>
      <c r="H26" s="308">
        <f>'#200'!H62</f>
        <v>0</v>
      </c>
      <c r="I26" s="309">
        <f>IF($B26&gt;0,'원가항목별(집계)'!I$38*$P26/$P$27,0)</f>
        <v>0</v>
      </c>
      <c r="J26" s="310">
        <f t="shared" si="2"/>
        <v>0</v>
      </c>
      <c r="K26" s="311">
        <f>IF(B26&gt;0,'원가항목별(집계)'!I$34*P26/P$27,0)</f>
        <v>0</v>
      </c>
      <c r="L26" s="311">
        <f>IF($B26&gt;0,'원가항목별(집계)'!I$39*$P26/$P$27,0)</f>
        <v>0</v>
      </c>
      <c r="M26" s="312">
        <f>'#200'!H66+'#200'!H67</f>
        <v>0</v>
      </c>
      <c r="N26" s="313">
        <f t="shared" si="0"/>
        <v>0</v>
      </c>
      <c r="O26" s="314"/>
      <c r="P26" s="65">
        <f t="shared" si="1"/>
        <v>0</v>
      </c>
    </row>
    <row r="27" spans="1:16" s="65" customFormat="1" ht="33" customHeight="1" x14ac:dyDescent="0.4">
      <c r="A27" s="315" t="s">
        <v>124</v>
      </c>
      <c r="B27" s="316"/>
      <c r="C27" s="317"/>
      <c r="D27" s="318">
        <f t="shared" ref="D27:I27" si="4">SUM(D7:D26)</f>
        <v>778020000</v>
      </c>
      <c r="E27" s="319">
        <f t="shared" si="4"/>
        <v>0</v>
      </c>
      <c r="F27" s="319">
        <f t="shared" si="4"/>
        <v>106500000</v>
      </c>
      <c r="G27" s="319">
        <f t="shared" si="4"/>
        <v>21900000</v>
      </c>
      <c r="H27" s="319">
        <f t="shared" si="4"/>
        <v>3900000</v>
      </c>
      <c r="I27" s="320">
        <f t="shared" si="4"/>
        <v>3000000.0000000005</v>
      </c>
      <c r="J27" s="321">
        <f>SUM(D27:I27)</f>
        <v>913320000</v>
      </c>
      <c r="K27" s="322">
        <f>SUM(K7:K26)</f>
        <v>198500000.00000003</v>
      </c>
      <c r="L27" s="322">
        <f>SUM(L7:L26)</f>
        <v>1350000</v>
      </c>
      <c r="M27" s="323">
        <f>SUM(M7:M26)</f>
        <v>0</v>
      </c>
      <c r="N27" s="324">
        <f>SUM(N7:N26)</f>
        <v>1113170000</v>
      </c>
      <c r="O27" s="325"/>
      <c r="P27" s="65">
        <f>SUM(P7:P26)</f>
        <v>910320000</v>
      </c>
    </row>
    <row r="28" spans="1:16" s="338" customFormat="1" ht="18.75" customHeight="1" x14ac:dyDescent="0.4">
      <c r="A28" s="326"/>
      <c r="B28" s="327"/>
      <c r="C28" s="328"/>
      <c r="D28" s="329">
        <f t="shared" ref="D28:N28" si="5">IF(D27=0,"",D27/$N27)</f>
        <v>0.69892289587394563</v>
      </c>
      <c r="E28" s="330" t="str">
        <f t="shared" si="5"/>
        <v/>
      </c>
      <c r="F28" s="330">
        <f t="shared" si="5"/>
        <v>9.5672718452707139E-2</v>
      </c>
      <c r="G28" s="330">
        <f t="shared" si="5"/>
        <v>1.9673544921260902E-2</v>
      </c>
      <c r="H28" s="330">
        <f t="shared" si="5"/>
        <v>3.5035079996765992E-3</v>
      </c>
      <c r="I28" s="331">
        <f t="shared" si="5"/>
        <v>2.6950061535973846E-3</v>
      </c>
      <c r="J28" s="332">
        <f t="shared" si="5"/>
        <v>0.82046767340118765</v>
      </c>
      <c r="K28" s="333">
        <f t="shared" si="5"/>
        <v>0.1783195738296936</v>
      </c>
      <c r="L28" s="334">
        <f t="shared" si="5"/>
        <v>1.2127527691188228E-3</v>
      </c>
      <c r="M28" s="335" t="str">
        <f t="shared" si="5"/>
        <v/>
      </c>
      <c r="N28" s="336">
        <f t="shared" si="5"/>
        <v>1</v>
      </c>
      <c r="O28" s="337"/>
    </row>
    <row r="29" spans="1:16" ht="28.5" customHeight="1" x14ac:dyDescent="0.4">
      <c r="A29" s="1" t="s">
        <v>125</v>
      </c>
      <c r="H29" s="122"/>
      <c r="I29" s="122"/>
      <c r="J29" s="122"/>
      <c r="K29" s="122"/>
      <c r="L29" s="122"/>
    </row>
    <row r="30" spans="1:16" ht="17.25" customHeight="1" x14ac:dyDescent="0.4">
      <c r="H30" s="123"/>
      <c r="I30" s="123"/>
      <c r="J30" s="123"/>
      <c r="K30" s="123"/>
      <c r="L30" s="123"/>
      <c r="M30" s="339"/>
      <c r="N30" s="340" t="str">
        <f>IF('원가항목별(집계)'!I42='단위공사별(집계)'!N27,"","DATA오류입니다!")</f>
        <v/>
      </c>
    </row>
    <row r="31" spans="1:16" ht="17.25" customHeight="1" x14ac:dyDescent="0.4">
      <c r="H31" s="341"/>
      <c r="I31" s="341"/>
      <c r="J31" s="341"/>
      <c r="K31" s="341"/>
      <c r="L31" s="341"/>
      <c r="N31" s="341"/>
    </row>
    <row r="32" spans="1:16" ht="17.25" customHeight="1" x14ac:dyDescent="0.4">
      <c r="H32" s="65"/>
      <c r="I32" s="65"/>
      <c r="J32" s="65"/>
      <c r="L32" s="65"/>
    </row>
  </sheetData>
  <mergeCells count="2">
    <mergeCell ref="D4:J4"/>
    <mergeCell ref="A27:C2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53" orientation="landscape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6C7-5EBC-49DD-9941-0F3DAA275C2D}">
  <sheetPr>
    <tabColor rgb="FF00B050"/>
    <pageSetUpPr fitToPage="1"/>
  </sheetPr>
  <dimension ref="A1:K48"/>
  <sheetViews>
    <sheetView zoomScaleNormal="100" workbookViewId="0">
      <pane xSplit="3" ySplit="2" topLeftCell="D1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3" style="1" customWidth="1"/>
    <col min="3" max="3" width="23.59765625" style="1" customWidth="1"/>
    <col min="4" max="4" width="18.19921875" style="1" customWidth="1"/>
    <col min="5" max="5" width="5.19921875" style="30" bestFit="1" customWidth="1"/>
    <col min="6" max="6" width="6.69921875" style="74" customWidth="1"/>
    <col min="7" max="8" width="13.69921875" style="65" customWidth="1"/>
    <col min="9" max="9" width="12.69921875" style="1" customWidth="1"/>
    <col min="10" max="10" width="9.19921875" style="1" customWidth="1"/>
    <col min="11" max="11" width="11.5" style="1" bestFit="1" customWidth="1"/>
    <col min="12" max="16384" width="9" style="1"/>
  </cols>
  <sheetData>
    <row r="1" spans="1:9" ht="22.5" customHeight="1" x14ac:dyDescent="0.4">
      <c r="B1" s="342" t="s">
        <v>126</v>
      </c>
      <c r="C1" s="343" t="s">
        <v>127</v>
      </c>
      <c r="F1" s="344"/>
      <c r="I1" s="1" t="s">
        <v>128</v>
      </c>
    </row>
    <row r="2" spans="1:9" s="30" customFormat="1" ht="16.5" customHeight="1" x14ac:dyDescent="0.4">
      <c r="A2" s="82" t="s">
        <v>129</v>
      </c>
      <c r="B2" s="84"/>
      <c r="C2" s="345" t="s">
        <v>130</v>
      </c>
      <c r="D2" s="346" t="s">
        <v>131</v>
      </c>
      <c r="E2" s="346" t="s">
        <v>48</v>
      </c>
      <c r="F2" s="347" t="s">
        <v>49</v>
      </c>
      <c r="G2" s="347" t="s">
        <v>132</v>
      </c>
      <c r="H2" s="347" t="s">
        <v>133</v>
      </c>
      <c r="I2" s="346" t="s">
        <v>134</v>
      </c>
    </row>
    <row r="3" spans="1:9" ht="15.9" customHeight="1" x14ac:dyDescent="0.4">
      <c r="A3" s="348" t="s">
        <v>135</v>
      </c>
      <c r="B3" s="349" t="s">
        <v>136</v>
      </c>
      <c r="C3" s="350" t="s">
        <v>137</v>
      </c>
      <c r="D3" s="350" t="s">
        <v>138</v>
      </c>
      <c r="E3" s="351" t="s">
        <v>59</v>
      </c>
      <c r="F3" s="352">
        <v>1</v>
      </c>
      <c r="G3" s="353">
        <v>8000000</v>
      </c>
      <c r="H3" s="304">
        <f t="shared" ref="H3:H8" si="0">IF(F3=0,G3,G3*F3)</f>
        <v>8000000</v>
      </c>
      <c r="I3" s="354"/>
    </row>
    <row r="4" spans="1:9" ht="15.9" customHeight="1" x14ac:dyDescent="0.4">
      <c r="A4" s="355"/>
      <c r="B4" s="349"/>
      <c r="C4" s="356"/>
      <c r="D4" s="350"/>
      <c r="E4" s="351"/>
      <c r="F4" s="352"/>
      <c r="G4" s="353"/>
      <c r="H4" s="284">
        <f t="shared" si="0"/>
        <v>0</v>
      </c>
      <c r="I4" s="49"/>
    </row>
    <row r="5" spans="1:9" ht="15.9" customHeight="1" x14ac:dyDescent="0.4">
      <c r="A5" s="355"/>
      <c r="B5" s="349"/>
      <c r="C5" s="356"/>
      <c r="D5" s="350"/>
      <c r="E5" s="351"/>
      <c r="F5" s="352"/>
      <c r="G5" s="353"/>
      <c r="H5" s="284">
        <f t="shared" si="0"/>
        <v>0</v>
      </c>
      <c r="I5" s="49"/>
    </row>
    <row r="6" spans="1:9" ht="15.9" customHeight="1" x14ac:dyDescent="0.4">
      <c r="A6" s="355"/>
      <c r="B6" s="349"/>
      <c r="C6" s="356"/>
      <c r="D6" s="350"/>
      <c r="E6" s="351"/>
      <c r="F6" s="352"/>
      <c r="G6" s="353"/>
      <c r="H6" s="284">
        <f t="shared" si="0"/>
        <v>0</v>
      </c>
      <c r="I6" s="49"/>
    </row>
    <row r="7" spans="1:9" ht="15.9" customHeight="1" x14ac:dyDescent="0.4">
      <c r="A7" s="355"/>
      <c r="B7" s="349"/>
      <c r="C7" s="356"/>
      <c r="D7" s="356"/>
      <c r="E7" s="357"/>
      <c r="F7" s="358"/>
      <c r="G7" s="359"/>
      <c r="H7" s="284">
        <f t="shared" si="0"/>
        <v>0</v>
      </c>
      <c r="I7" s="49"/>
    </row>
    <row r="8" spans="1:9" ht="15.9" customHeight="1" x14ac:dyDescent="0.4">
      <c r="A8" s="355"/>
      <c r="B8" s="349"/>
      <c r="C8" s="360"/>
      <c r="D8" s="360"/>
      <c r="E8" s="361"/>
      <c r="F8" s="362"/>
      <c r="G8" s="363"/>
      <c r="H8" s="284">
        <f t="shared" si="0"/>
        <v>0</v>
      </c>
      <c r="I8" s="64"/>
    </row>
    <row r="9" spans="1:9" ht="15.9" customHeight="1" x14ac:dyDescent="0.4">
      <c r="A9" s="355"/>
      <c r="B9" s="364"/>
      <c r="C9" s="365"/>
      <c r="D9" s="366"/>
      <c r="E9" s="345"/>
      <c r="F9" s="367"/>
      <c r="G9" s="368"/>
      <c r="H9" s="77">
        <f>SUM(H3:H8)</f>
        <v>8000000</v>
      </c>
      <c r="I9" s="72"/>
    </row>
    <row r="10" spans="1:9" ht="15.9" customHeight="1" x14ac:dyDescent="0.4">
      <c r="A10" s="355"/>
      <c r="B10" s="369" t="s">
        <v>139</v>
      </c>
      <c r="C10" s="370"/>
      <c r="D10" s="370"/>
      <c r="E10" s="371"/>
      <c r="F10" s="372"/>
      <c r="G10" s="373"/>
      <c r="H10" s="374">
        <f t="shared" ref="H10:H33" si="1">IF(F10=0,G10,G10*F10)</f>
        <v>0</v>
      </c>
      <c r="I10" s="375"/>
    </row>
    <row r="11" spans="1:9" ht="15.9" customHeight="1" x14ac:dyDescent="0.4">
      <c r="A11" s="355"/>
      <c r="B11" s="376" t="s">
        <v>140</v>
      </c>
      <c r="C11" s="356"/>
      <c r="D11" s="356"/>
      <c r="E11" s="357"/>
      <c r="F11" s="358"/>
      <c r="G11" s="359"/>
      <c r="H11" s="284">
        <f t="shared" si="1"/>
        <v>0</v>
      </c>
      <c r="I11" s="49"/>
    </row>
    <row r="12" spans="1:9" ht="15.9" customHeight="1" x14ac:dyDescent="0.4">
      <c r="A12" s="355"/>
      <c r="B12" s="376" t="s">
        <v>141</v>
      </c>
      <c r="C12" s="356"/>
      <c r="D12" s="356"/>
      <c r="E12" s="357"/>
      <c r="F12" s="358"/>
      <c r="G12" s="359"/>
      <c r="H12" s="284">
        <f t="shared" si="1"/>
        <v>0</v>
      </c>
      <c r="I12" s="49"/>
    </row>
    <row r="13" spans="1:9" ht="15.9" customHeight="1" x14ac:dyDescent="0.4">
      <c r="A13" s="355"/>
      <c r="B13" s="349"/>
      <c r="C13" s="356"/>
      <c r="D13" s="356"/>
      <c r="E13" s="357"/>
      <c r="F13" s="358"/>
      <c r="G13" s="359"/>
      <c r="H13" s="284">
        <f t="shared" si="1"/>
        <v>0</v>
      </c>
      <c r="I13" s="49"/>
    </row>
    <row r="14" spans="1:9" ht="15.9" customHeight="1" x14ac:dyDescent="0.4">
      <c r="A14" s="355"/>
      <c r="B14" s="349"/>
      <c r="C14" s="356"/>
      <c r="D14" s="356"/>
      <c r="E14" s="357"/>
      <c r="F14" s="358"/>
      <c r="G14" s="359"/>
      <c r="H14" s="284">
        <f t="shared" si="1"/>
        <v>0</v>
      </c>
      <c r="I14" s="49"/>
    </row>
    <row r="15" spans="1:9" ht="15.9" customHeight="1" x14ac:dyDescent="0.4">
      <c r="A15" s="355"/>
      <c r="B15" s="349"/>
      <c r="C15" s="360"/>
      <c r="D15" s="377"/>
      <c r="E15" s="361"/>
      <c r="F15" s="378"/>
      <c r="G15" s="379"/>
      <c r="H15" s="294">
        <f t="shared" si="1"/>
        <v>0</v>
      </c>
      <c r="I15" s="57"/>
    </row>
    <row r="16" spans="1:9" ht="15.9" customHeight="1" x14ac:dyDescent="0.4">
      <c r="A16" s="355"/>
      <c r="B16" s="349"/>
      <c r="C16" s="380"/>
      <c r="D16" s="381"/>
      <c r="E16" s="382"/>
      <c r="F16" s="383"/>
      <c r="G16" s="384"/>
      <c r="H16" s="385">
        <f>SUM(H10:H15)</f>
        <v>0</v>
      </c>
      <c r="I16" s="381"/>
    </row>
    <row r="17" spans="1:9" ht="15.9" customHeight="1" x14ac:dyDescent="0.4">
      <c r="A17" s="355"/>
      <c r="B17" s="386" t="s">
        <v>142</v>
      </c>
      <c r="C17" s="356" t="s">
        <v>143</v>
      </c>
      <c r="D17" s="387" t="s">
        <v>144</v>
      </c>
      <c r="E17" s="388" t="s">
        <v>59</v>
      </c>
      <c r="F17" s="358">
        <v>1</v>
      </c>
      <c r="G17" s="389">
        <v>100000000</v>
      </c>
      <c r="H17" s="284">
        <f t="shared" ref="H17:H19" si="2">IF(F17=0,G17,G17*F17)</f>
        <v>100000000</v>
      </c>
      <c r="I17" s="375"/>
    </row>
    <row r="18" spans="1:9" ht="15.9" customHeight="1" x14ac:dyDescent="0.4">
      <c r="A18" s="355"/>
      <c r="B18" s="349"/>
      <c r="C18" s="356"/>
      <c r="D18" s="356"/>
      <c r="E18" s="357"/>
      <c r="F18" s="358"/>
      <c r="G18" s="359"/>
      <c r="H18" s="284">
        <f t="shared" si="2"/>
        <v>0</v>
      </c>
      <c r="I18" s="49"/>
    </row>
    <row r="19" spans="1:9" ht="15.9" customHeight="1" x14ac:dyDescent="0.4">
      <c r="A19" s="355"/>
      <c r="B19" s="349"/>
      <c r="C19" s="356" t="s">
        <v>145</v>
      </c>
      <c r="D19" s="356" t="s">
        <v>146</v>
      </c>
      <c r="E19" s="357" t="s">
        <v>59</v>
      </c>
      <c r="F19" s="358">
        <v>1</v>
      </c>
      <c r="G19" s="359">
        <v>15000000</v>
      </c>
      <c r="H19" s="284">
        <f t="shared" si="2"/>
        <v>15000000</v>
      </c>
      <c r="I19" s="49"/>
    </row>
    <row r="20" spans="1:9" ht="15.9" customHeight="1" x14ac:dyDescent="0.4">
      <c r="A20" s="355"/>
      <c r="B20" s="349"/>
      <c r="C20" s="356" t="s">
        <v>147</v>
      </c>
      <c r="D20" s="356"/>
      <c r="E20" s="357" t="s">
        <v>59</v>
      </c>
      <c r="F20" s="358">
        <v>1</v>
      </c>
      <c r="G20" s="359">
        <v>20000000</v>
      </c>
      <c r="H20" s="284">
        <f t="shared" si="1"/>
        <v>20000000</v>
      </c>
      <c r="I20" s="49"/>
    </row>
    <row r="21" spans="1:9" ht="15.9" customHeight="1" x14ac:dyDescent="0.4">
      <c r="A21" s="355"/>
      <c r="B21" s="349"/>
      <c r="C21" s="356"/>
      <c r="D21" s="356"/>
      <c r="E21" s="390"/>
      <c r="F21" s="358"/>
      <c r="G21" s="359"/>
      <c r="H21" s="284">
        <f t="shared" si="1"/>
        <v>0</v>
      </c>
      <c r="I21" s="49"/>
    </row>
    <row r="22" spans="1:9" ht="15.9" customHeight="1" x14ac:dyDescent="0.4">
      <c r="A22" s="355"/>
      <c r="B22" s="349"/>
      <c r="C22" s="356"/>
      <c r="D22" s="356"/>
      <c r="E22" s="390"/>
      <c r="F22" s="358"/>
      <c r="G22" s="359"/>
      <c r="H22" s="284">
        <f t="shared" si="1"/>
        <v>0</v>
      </c>
      <c r="I22" s="49"/>
    </row>
    <row r="23" spans="1:9" ht="15.9" customHeight="1" x14ac:dyDescent="0.4">
      <c r="A23" s="355"/>
      <c r="B23" s="349"/>
      <c r="C23" s="356"/>
      <c r="D23" s="356"/>
      <c r="E23" s="390"/>
      <c r="F23" s="358"/>
      <c r="G23" s="359"/>
      <c r="H23" s="284">
        <f t="shared" si="1"/>
        <v>0</v>
      </c>
      <c r="I23" s="49"/>
    </row>
    <row r="24" spans="1:9" ht="15.9" customHeight="1" x14ac:dyDescent="0.4">
      <c r="A24" s="355"/>
      <c r="B24" s="349"/>
      <c r="C24" s="356"/>
      <c r="D24" s="356"/>
      <c r="E24" s="390"/>
      <c r="F24" s="358"/>
      <c r="G24" s="359"/>
      <c r="H24" s="284">
        <f t="shared" si="1"/>
        <v>0</v>
      </c>
      <c r="I24" s="49"/>
    </row>
    <row r="25" spans="1:9" ht="15.9" customHeight="1" x14ac:dyDescent="0.4">
      <c r="A25" s="355"/>
      <c r="B25" s="349"/>
      <c r="C25" s="356"/>
      <c r="D25" s="356"/>
      <c r="E25" s="390"/>
      <c r="F25" s="358"/>
      <c r="G25" s="359"/>
      <c r="H25" s="284">
        <f t="shared" si="1"/>
        <v>0</v>
      </c>
      <c r="I25" s="49"/>
    </row>
    <row r="26" spans="1:9" ht="15.9" customHeight="1" x14ac:dyDescent="0.4">
      <c r="A26" s="355"/>
      <c r="B26" s="349"/>
      <c r="C26" s="391"/>
      <c r="D26" s="356"/>
      <c r="E26" s="357"/>
      <c r="F26" s="358"/>
      <c r="G26" s="359"/>
      <c r="H26" s="284">
        <f t="shared" si="1"/>
        <v>0</v>
      </c>
      <c r="I26" s="49"/>
    </row>
    <row r="27" spans="1:9" ht="15.9" customHeight="1" x14ac:dyDescent="0.4">
      <c r="A27" s="355"/>
      <c r="B27" s="349"/>
      <c r="C27" s="391"/>
      <c r="D27" s="356"/>
      <c r="E27" s="357"/>
      <c r="F27" s="358"/>
      <c r="G27" s="359"/>
      <c r="H27" s="284">
        <f t="shared" si="1"/>
        <v>0</v>
      </c>
      <c r="I27" s="49"/>
    </row>
    <row r="28" spans="1:9" ht="15.9" customHeight="1" x14ac:dyDescent="0.4">
      <c r="A28" s="355"/>
      <c r="B28" s="349"/>
      <c r="C28" s="356"/>
      <c r="D28" s="356"/>
      <c r="E28" s="357"/>
      <c r="F28" s="358"/>
      <c r="G28" s="359"/>
      <c r="H28" s="284">
        <f t="shared" si="1"/>
        <v>0</v>
      </c>
      <c r="I28" s="49"/>
    </row>
    <row r="29" spans="1:9" ht="15.9" customHeight="1" x14ac:dyDescent="0.4">
      <c r="A29" s="355"/>
      <c r="B29" s="349"/>
      <c r="C29" s="356"/>
      <c r="D29" s="356"/>
      <c r="E29" s="357"/>
      <c r="F29" s="358"/>
      <c r="G29" s="359"/>
      <c r="H29" s="284">
        <f t="shared" si="1"/>
        <v>0</v>
      </c>
      <c r="I29" s="49"/>
    </row>
    <row r="30" spans="1:9" ht="15.9" customHeight="1" x14ac:dyDescent="0.4">
      <c r="A30" s="355"/>
      <c r="B30" s="349"/>
      <c r="C30" s="356"/>
      <c r="D30" s="356"/>
      <c r="E30" s="357"/>
      <c r="F30" s="358"/>
      <c r="G30" s="359"/>
      <c r="H30" s="284">
        <f t="shared" si="1"/>
        <v>0</v>
      </c>
      <c r="I30" s="49"/>
    </row>
    <row r="31" spans="1:9" ht="15.9" customHeight="1" x14ac:dyDescent="0.4">
      <c r="A31" s="355"/>
      <c r="B31" s="349"/>
      <c r="C31" s="356"/>
      <c r="D31" s="356"/>
      <c r="E31" s="357"/>
      <c r="F31" s="358"/>
      <c r="G31" s="359"/>
      <c r="H31" s="284">
        <f t="shared" si="1"/>
        <v>0</v>
      </c>
      <c r="I31" s="49"/>
    </row>
    <row r="32" spans="1:9" ht="15.9" customHeight="1" x14ac:dyDescent="0.4">
      <c r="A32" s="355"/>
      <c r="B32" s="349"/>
      <c r="C32" s="356"/>
      <c r="D32" s="356"/>
      <c r="E32" s="357"/>
      <c r="F32" s="358"/>
      <c r="G32" s="359"/>
      <c r="H32" s="284">
        <f t="shared" si="1"/>
        <v>0</v>
      </c>
      <c r="I32" s="49"/>
    </row>
    <row r="33" spans="1:11" ht="15.9" customHeight="1" x14ac:dyDescent="0.4">
      <c r="A33" s="355"/>
      <c r="B33" s="349"/>
      <c r="C33" s="360" t="s">
        <v>148</v>
      </c>
      <c r="D33" s="360"/>
      <c r="E33" s="361" t="s">
        <v>59</v>
      </c>
      <c r="F33" s="362">
        <v>1</v>
      </c>
      <c r="G33" s="363">
        <v>2000000</v>
      </c>
      <c r="H33" s="314">
        <f t="shared" si="1"/>
        <v>2000000</v>
      </c>
      <c r="I33" s="64"/>
    </row>
    <row r="34" spans="1:11" ht="15.9" customHeight="1" x14ac:dyDescent="0.4">
      <c r="A34" s="355"/>
      <c r="B34" s="364"/>
      <c r="C34" s="365"/>
      <c r="D34" s="366"/>
      <c r="E34" s="345"/>
      <c r="F34" s="367"/>
      <c r="G34" s="368"/>
      <c r="H34" s="77">
        <f>SUM(H17:H33)</f>
        <v>137000000</v>
      </c>
      <c r="I34" s="72"/>
    </row>
    <row r="35" spans="1:11" ht="15.9" customHeight="1" x14ac:dyDescent="0.4">
      <c r="A35" s="392"/>
      <c r="B35" s="393" t="s">
        <v>149</v>
      </c>
      <c r="C35" s="394"/>
      <c r="D35" s="72"/>
      <c r="E35" s="346"/>
      <c r="F35" s="395"/>
      <c r="G35" s="396"/>
      <c r="H35" s="77">
        <f>SUM(H34,H9,H16)</f>
        <v>145000000</v>
      </c>
      <c r="I35" s="72"/>
    </row>
    <row r="36" spans="1:11" ht="15.9" customHeight="1" x14ac:dyDescent="0.4">
      <c r="A36" s="397" t="s">
        <v>150</v>
      </c>
      <c r="B36" s="398" t="s">
        <v>67</v>
      </c>
      <c r="C36" s="394"/>
      <c r="D36" s="72"/>
      <c r="E36" s="399" t="s">
        <v>68</v>
      </c>
      <c r="F36" s="400">
        <v>10</v>
      </c>
      <c r="G36" s="401">
        <v>250000</v>
      </c>
      <c r="H36" s="402">
        <f t="shared" ref="H36:H42" si="3">F36*G36</f>
        <v>2500000</v>
      </c>
      <c r="I36" s="72"/>
    </row>
    <row r="37" spans="1:11" ht="15.9" customHeight="1" x14ac:dyDescent="0.4">
      <c r="A37" s="403"/>
      <c r="B37" s="404" t="s">
        <v>151</v>
      </c>
      <c r="C37" s="405"/>
      <c r="D37" s="375"/>
      <c r="E37" s="89" t="s">
        <v>152</v>
      </c>
      <c r="F37" s="372">
        <v>50</v>
      </c>
      <c r="G37" s="373">
        <v>300000</v>
      </c>
      <c r="H37" s="374">
        <f t="shared" si="3"/>
        <v>15000000</v>
      </c>
      <c r="I37" s="375"/>
    </row>
    <row r="38" spans="1:11" ht="15.9" customHeight="1" x14ac:dyDescent="0.4">
      <c r="A38" s="403"/>
      <c r="B38" s="406" t="s">
        <v>153</v>
      </c>
      <c r="C38" s="407"/>
      <c r="D38" s="49"/>
      <c r="E38" s="51" t="s">
        <v>152</v>
      </c>
      <c r="F38" s="352">
        <v>30</v>
      </c>
      <c r="G38" s="359">
        <v>250000</v>
      </c>
      <c r="H38" s="284">
        <f t="shared" si="3"/>
        <v>7500000</v>
      </c>
      <c r="I38" s="49"/>
    </row>
    <row r="39" spans="1:11" ht="15.9" customHeight="1" x14ac:dyDescent="0.4">
      <c r="A39" s="403"/>
      <c r="B39" s="406" t="s">
        <v>154</v>
      </c>
      <c r="C39" s="407"/>
      <c r="D39" s="49"/>
      <c r="E39" s="51" t="s">
        <v>152</v>
      </c>
      <c r="F39" s="358">
        <v>30</v>
      </c>
      <c r="G39" s="359">
        <v>250000</v>
      </c>
      <c r="H39" s="284">
        <f>F39*G39</f>
        <v>7500000</v>
      </c>
      <c r="I39" s="49"/>
    </row>
    <row r="40" spans="1:11" ht="15.9" customHeight="1" x14ac:dyDescent="0.4">
      <c r="A40" s="403"/>
      <c r="B40" s="406" t="s">
        <v>155</v>
      </c>
      <c r="C40" s="407"/>
      <c r="D40" s="49"/>
      <c r="E40" s="51" t="s">
        <v>152</v>
      </c>
      <c r="F40" s="358">
        <v>20</v>
      </c>
      <c r="G40" s="359">
        <v>300000</v>
      </c>
      <c r="H40" s="284">
        <f t="shared" si="3"/>
        <v>6000000</v>
      </c>
      <c r="I40" s="49"/>
    </row>
    <row r="41" spans="1:11" ht="15.9" customHeight="1" x14ac:dyDescent="0.4">
      <c r="A41" s="403"/>
      <c r="B41" s="406" t="s">
        <v>156</v>
      </c>
      <c r="C41" s="407"/>
      <c r="D41" s="49"/>
      <c r="E41" s="51" t="s">
        <v>152</v>
      </c>
      <c r="F41" s="378">
        <v>20</v>
      </c>
      <c r="G41" s="379">
        <v>300000</v>
      </c>
      <c r="H41" s="284">
        <f t="shared" si="3"/>
        <v>6000000</v>
      </c>
      <c r="I41" s="49"/>
    </row>
    <row r="42" spans="1:11" ht="15.9" customHeight="1" x14ac:dyDescent="0.4">
      <c r="A42" s="403"/>
      <c r="B42" s="408" t="s">
        <v>157</v>
      </c>
      <c r="C42" s="409"/>
      <c r="D42" s="64"/>
      <c r="E42" s="106" t="s">
        <v>152</v>
      </c>
      <c r="F42" s="362">
        <v>30</v>
      </c>
      <c r="G42" s="363">
        <v>300000</v>
      </c>
      <c r="H42" s="314">
        <f t="shared" si="3"/>
        <v>9000000</v>
      </c>
      <c r="I42" s="64"/>
    </row>
    <row r="43" spans="1:11" ht="15.9" customHeight="1" x14ac:dyDescent="0.4">
      <c r="A43" s="392"/>
      <c r="B43" s="410" t="s">
        <v>158</v>
      </c>
      <c r="C43" s="394"/>
      <c r="D43" s="72"/>
      <c r="E43" s="346"/>
      <c r="F43" s="367"/>
      <c r="G43" s="368"/>
      <c r="H43" s="77">
        <f>SUM(H36:H42)</f>
        <v>53500000</v>
      </c>
      <c r="I43" s="72"/>
    </row>
    <row r="44" spans="1:11" ht="15.9" customHeight="1" x14ac:dyDescent="0.4">
      <c r="A44" s="399"/>
      <c r="B44" s="410" t="s">
        <v>159</v>
      </c>
      <c r="C44" s="394"/>
      <c r="D44" s="72"/>
      <c r="E44" s="346"/>
      <c r="F44" s="347"/>
      <c r="G44" s="411" t="s">
        <v>160</v>
      </c>
      <c r="H44" s="396">
        <v>0</v>
      </c>
      <c r="I44" s="72"/>
    </row>
    <row r="45" spans="1:11" ht="15.9" customHeight="1" x14ac:dyDescent="0.4">
      <c r="A45" s="399"/>
      <c r="B45" s="410" t="s">
        <v>93</v>
      </c>
      <c r="C45" s="394"/>
      <c r="D45" s="72"/>
      <c r="E45" s="346"/>
      <c r="F45" s="347"/>
      <c r="G45" s="412"/>
      <c r="H45" s="413">
        <v>0</v>
      </c>
      <c r="I45" s="394"/>
    </row>
    <row r="46" spans="1:11" ht="15.9" customHeight="1" x14ac:dyDescent="0.4">
      <c r="A46" s="399"/>
      <c r="B46" s="410" t="s">
        <v>161</v>
      </c>
      <c r="C46" s="394"/>
      <c r="D46" s="72"/>
      <c r="E46" s="346"/>
      <c r="F46" s="347"/>
      <c r="G46" s="412"/>
      <c r="H46" s="413">
        <v>0</v>
      </c>
      <c r="I46" s="394"/>
    </row>
    <row r="47" spans="1:11" ht="15.9" customHeight="1" x14ac:dyDescent="0.4">
      <c r="A47" s="399"/>
      <c r="B47" s="410" t="s">
        <v>162</v>
      </c>
      <c r="C47" s="394"/>
      <c r="D47" s="72"/>
      <c r="E47" s="346"/>
      <c r="F47" s="347"/>
      <c r="G47" s="77"/>
      <c r="H47" s="368">
        <f>H35+H43+H44+H45+H46</f>
        <v>198500000</v>
      </c>
      <c r="I47" s="72"/>
      <c r="K47" s="65"/>
    </row>
    <row r="48" spans="1:11" x14ac:dyDescent="0.4">
      <c r="A48" s="30"/>
    </row>
  </sheetData>
  <mergeCells count="3">
    <mergeCell ref="A2:B2"/>
    <mergeCell ref="A3:A34"/>
    <mergeCell ref="A36:A4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5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213A-FEAC-4BC7-9B48-197D40B23C05}">
  <sheetPr>
    <tabColor rgb="FF00B050"/>
    <pageSetUpPr fitToPage="1"/>
  </sheetPr>
  <dimension ref="A1:K71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0" width="9" style="1"/>
    <col min="11" max="11" width="10" style="1" bestFit="1" customWidth="1"/>
    <col min="12" max="16384" width="9" style="1"/>
  </cols>
  <sheetData>
    <row r="1" spans="1:11" ht="22.5" customHeight="1" x14ac:dyDescent="0.4">
      <c r="B1" s="342" t="s">
        <v>163</v>
      </c>
      <c r="C1" s="414" t="s">
        <v>164</v>
      </c>
      <c r="F1" s="415"/>
      <c r="I1" s="1" t="s">
        <v>128</v>
      </c>
      <c r="K1" s="416"/>
    </row>
    <row r="2" spans="1:11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11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 t="shared" ref="H3:H55" si="0">IF(F3=0,G3,G3*F3)</f>
        <v>2000000</v>
      </c>
      <c r="I3" s="375"/>
    </row>
    <row r="4" spans="1:11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 t="shared" si="0"/>
        <v>1500000</v>
      </c>
      <c r="I4" s="354"/>
    </row>
    <row r="5" spans="1:11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si="0"/>
        <v>1500000</v>
      </c>
      <c r="I5" s="49"/>
    </row>
    <row r="6" spans="1:11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11" ht="15.9" customHeight="1" x14ac:dyDescent="0.4">
      <c r="A7" s="417"/>
      <c r="B7" s="349"/>
      <c r="C7" s="356" t="s">
        <v>170</v>
      </c>
      <c r="D7" s="356"/>
      <c r="E7" s="357" t="s">
        <v>59</v>
      </c>
      <c r="F7" s="359">
        <v>1</v>
      </c>
      <c r="G7" s="359">
        <v>1000000</v>
      </c>
      <c r="H7" s="284">
        <f t="shared" si="0"/>
        <v>1000000</v>
      </c>
      <c r="I7" s="49"/>
    </row>
    <row r="8" spans="1:11" ht="15.9" customHeight="1" x14ac:dyDescent="0.4">
      <c r="A8" s="417"/>
      <c r="B8" s="349"/>
      <c r="C8" s="356" t="s">
        <v>171</v>
      </c>
      <c r="D8" s="356"/>
      <c r="E8" s="357" t="s">
        <v>59</v>
      </c>
      <c r="F8" s="359">
        <v>1</v>
      </c>
      <c r="G8" s="359">
        <v>2000000</v>
      </c>
      <c r="H8" s="284">
        <f t="shared" si="0"/>
        <v>2000000</v>
      </c>
      <c r="I8" s="49"/>
    </row>
    <row r="9" spans="1:11" ht="15.9" customHeight="1" x14ac:dyDescent="0.4">
      <c r="A9" s="417"/>
      <c r="B9" s="349"/>
      <c r="C9" s="356" t="s">
        <v>172</v>
      </c>
      <c r="D9" s="356"/>
      <c r="E9" s="357" t="s">
        <v>59</v>
      </c>
      <c r="F9" s="359">
        <v>1</v>
      </c>
      <c r="G9" s="359">
        <v>700000</v>
      </c>
      <c r="H9" s="284">
        <f t="shared" si="0"/>
        <v>700000</v>
      </c>
      <c r="I9" s="49"/>
    </row>
    <row r="10" spans="1:11" ht="15.9" customHeight="1" x14ac:dyDescent="0.4">
      <c r="A10" s="417"/>
      <c r="B10" s="349"/>
      <c r="C10" s="356" t="s">
        <v>173</v>
      </c>
      <c r="D10" s="356"/>
      <c r="E10" s="357" t="s">
        <v>59</v>
      </c>
      <c r="F10" s="359">
        <v>1</v>
      </c>
      <c r="G10" s="359">
        <v>700000</v>
      </c>
      <c r="H10" s="284">
        <f t="shared" si="0"/>
        <v>700000</v>
      </c>
      <c r="I10" s="49"/>
    </row>
    <row r="11" spans="1:11" ht="15.9" customHeight="1" x14ac:dyDescent="0.4">
      <c r="A11" s="417"/>
      <c r="B11" s="349"/>
      <c r="C11" s="356" t="s">
        <v>171</v>
      </c>
      <c r="D11" s="356"/>
      <c r="E11" s="357" t="s">
        <v>59</v>
      </c>
      <c r="F11" s="359">
        <v>1</v>
      </c>
      <c r="G11" s="359">
        <v>2000000</v>
      </c>
      <c r="H11" s="284">
        <f t="shared" si="0"/>
        <v>2000000</v>
      </c>
      <c r="I11" s="49"/>
    </row>
    <row r="12" spans="1:11" ht="15.9" customHeight="1" x14ac:dyDescent="0.4">
      <c r="A12" s="417"/>
      <c r="B12" s="349"/>
      <c r="C12" s="356" t="s">
        <v>174</v>
      </c>
      <c r="D12" s="356"/>
      <c r="E12" s="357" t="s">
        <v>59</v>
      </c>
      <c r="F12" s="359">
        <v>1</v>
      </c>
      <c r="G12" s="359">
        <v>1000000</v>
      </c>
      <c r="H12" s="284">
        <f t="shared" si="0"/>
        <v>1000000</v>
      </c>
      <c r="I12" s="49"/>
    </row>
    <row r="13" spans="1:11" ht="15.9" customHeight="1" x14ac:dyDescent="0.4">
      <c r="A13" s="417"/>
      <c r="B13" s="349"/>
      <c r="C13" s="356" t="s">
        <v>175</v>
      </c>
      <c r="D13" s="356"/>
      <c r="E13" s="357" t="s">
        <v>59</v>
      </c>
      <c r="F13" s="359">
        <v>1</v>
      </c>
      <c r="G13" s="359">
        <v>1300000</v>
      </c>
      <c r="H13" s="284">
        <f t="shared" si="0"/>
        <v>1300000</v>
      </c>
      <c r="I13" s="49"/>
    </row>
    <row r="14" spans="1:11" ht="15.9" customHeight="1" x14ac:dyDescent="0.4">
      <c r="A14" s="417"/>
      <c r="B14" s="349"/>
      <c r="C14" s="356"/>
      <c r="D14" s="356"/>
      <c r="E14" s="357"/>
      <c r="F14" s="359"/>
      <c r="G14" s="359"/>
      <c r="H14" s="284">
        <f t="shared" si="0"/>
        <v>0</v>
      </c>
      <c r="I14" s="49"/>
    </row>
    <row r="15" spans="1:11" ht="15.9" customHeight="1" x14ac:dyDescent="0.4">
      <c r="A15" s="417"/>
      <c r="B15" s="349"/>
      <c r="C15" s="356"/>
      <c r="D15" s="356"/>
      <c r="E15" s="357"/>
      <c r="F15" s="359"/>
      <c r="G15" s="359"/>
      <c r="H15" s="284">
        <f t="shared" si="0"/>
        <v>0</v>
      </c>
      <c r="I15" s="49"/>
    </row>
    <row r="16" spans="1:11" ht="15.9" customHeight="1" x14ac:dyDescent="0.4">
      <c r="A16" s="417"/>
      <c r="B16" s="349"/>
      <c r="C16" s="356"/>
      <c r="D16" s="356"/>
      <c r="E16" s="357"/>
      <c r="F16" s="359"/>
      <c r="G16" s="359"/>
      <c r="H16" s="284">
        <f t="shared" si="0"/>
        <v>0</v>
      </c>
      <c r="I16" s="49"/>
    </row>
    <row r="17" spans="1:9" ht="15.9" customHeight="1" x14ac:dyDescent="0.4">
      <c r="A17" s="417"/>
      <c r="B17" s="349"/>
      <c r="C17" s="356"/>
      <c r="D17" s="356"/>
      <c r="E17" s="357"/>
      <c r="F17" s="359"/>
      <c r="G17" s="359"/>
      <c r="H17" s="284">
        <f t="shared" si="0"/>
        <v>0</v>
      </c>
      <c r="I17" s="49"/>
    </row>
    <row r="18" spans="1:9" ht="15.9" customHeight="1" x14ac:dyDescent="0.4">
      <c r="A18" s="417"/>
      <c r="B18" s="349"/>
      <c r="C18" s="356"/>
      <c r="D18" s="356"/>
      <c r="E18" s="357"/>
      <c r="F18" s="359"/>
      <c r="G18" s="359"/>
      <c r="H18" s="284">
        <f t="shared" si="0"/>
        <v>0</v>
      </c>
      <c r="I18" s="49"/>
    </row>
    <row r="19" spans="1:9" ht="15.75" customHeight="1" x14ac:dyDescent="0.4">
      <c r="A19" s="417"/>
      <c r="B19" s="349"/>
      <c r="C19" s="356"/>
      <c r="D19" s="356"/>
      <c r="E19" s="357"/>
      <c r="F19" s="359"/>
      <c r="G19" s="359"/>
      <c r="H19" s="284">
        <f t="shared" si="0"/>
        <v>0</v>
      </c>
      <c r="I19" s="49"/>
    </row>
    <row r="20" spans="1:9" ht="15.9" customHeight="1" x14ac:dyDescent="0.4">
      <c r="A20" s="417"/>
      <c r="B20" s="349"/>
      <c r="C20" s="421" t="s">
        <v>176</v>
      </c>
      <c r="D20" s="377"/>
      <c r="E20" s="390" t="s">
        <v>59</v>
      </c>
      <c r="F20" s="379">
        <v>1</v>
      </c>
      <c r="G20" s="379">
        <v>300000</v>
      </c>
      <c r="H20" s="294">
        <f t="shared" si="0"/>
        <v>300000</v>
      </c>
      <c r="I20" s="57"/>
    </row>
    <row r="21" spans="1:9" ht="15.9" customHeight="1" x14ac:dyDescent="0.4">
      <c r="A21" s="417"/>
      <c r="B21" s="364"/>
      <c r="C21" s="381"/>
      <c r="D21" s="381"/>
      <c r="E21" s="381"/>
      <c r="F21" s="384"/>
      <c r="G21" s="384"/>
      <c r="H21" s="385">
        <f>SUM(H3:H20)</f>
        <v>14600000</v>
      </c>
      <c r="I21" s="381"/>
    </row>
    <row r="22" spans="1:9" ht="15.9" customHeight="1" x14ac:dyDescent="0.4">
      <c r="A22" s="417"/>
      <c r="B22" s="349" t="s">
        <v>177</v>
      </c>
      <c r="C22" s="350"/>
      <c r="D22" s="350"/>
      <c r="E22" s="350"/>
      <c r="F22" s="353"/>
      <c r="G22" s="353"/>
      <c r="H22" s="304">
        <f t="shared" si="0"/>
        <v>0</v>
      </c>
      <c r="I22" s="354"/>
    </row>
    <row r="23" spans="1:9" ht="15.9" customHeight="1" x14ac:dyDescent="0.4">
      <c r="A23" s="417"/>
      <c r="B23" s="349" t="s">
        <v>178</v>
      </c>
      <c r="C23" s="356"/>
      <c r="D23" s="356"/>
      <c r="E23" s="356"/>
      <c r="F23" s="359"/>
      <c r="G23" s="359"/>
      <c r="H23" s="284">
        <f t="shared" si="0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0"/>
        <v>0</v>
      </c>
      <c r="I24" s="49"/>
    </row>
    <row r="25" spans="1:9" ht="15.9" customHeight="1" x14ac:dyDescent="0.4">
      <c r="A25" s="417"/>
      <c r="B25" s="349"/>
      <c r="C25" s="356"/>
      <c r="D25" s="356"/>
      <c r="E25" s="356"/>
      <c r="F25" s="359"/>
      <c r="G25" s="359"/>
      <c r="H25" s="284">
        <f t="shared" si="0"/>
        <v>0</v>
      </c>
      <c r="I25" s="49"/>
    </row>
    <row r="26" spans="1:9" ht="15.9" customHeight="1" x14ac:dyDescent="0.4">
      <c r="A26" s="417"/>
      <c r="B26" s="349"/>
      <c r="C26" s="360"/>
      <c r="D26" s="360"/>
      <c r="E26" s="360"/>
      <c r="F26" s="363"/>
      <c r="G26" s="363"/>
      <c r="H26" s="284">
        <f t="shared" si="0"/>
        <v>0</v>
      </c>
      <c r="I26" s="64"/>
    </row>
    <row r="27" spans="1:9" ht="15.9" customHeight="1" x14ac:dyDescent="0.4">
      <c r="A27" s="417"/>
      <c r="B27" s="364"/>
      <c r="C27" s="365"/>
      <c r="D27" s="366"/>
      <c r="E27" s="366"/>
      <c r="F27" s="422"/>
      <c r="G27" s="368"/>
      <c r="H27" s="77">
        <f>SUM(H22:H26)</f>
        <v>0</v>
      </c>
      <c r="I27" s="72"/>
    </row>
    <row r="28" spans="1:9" ht="15.9" customHeight="1" x14ac:dyDescent="0.4">
      <c r="A28" s="417"/>
      <c r="B28" s="386" t="s">
        <v>179</v>
      </c>
      <c r="C28" s="370" t="s">
        <v>170</v>
      </c>
      <c r="D28" s="370" t="s">
        <v>180</v>
      </c>
      <c r="E28" s="371" t="s">
        <v>59</v>
      </c>
      <c r="F28" s="373">
        <v>1</v>
      </c>
      <c r="G28" s="373">
        <v>20000000</v>
      </c>
      <c r="H28" s="374">
        <f t="shared" ref="H28:H47" si="1">IF(F28=0,G28,G28*F28)</f>
        <v>20000000</v>
      </c>
      <c r="I28" s="375"/>
    </row>
    <row r="29" spans="1:9" ht="15.9" customHeight="1" x14ac:dyDescent="0.4">
      <c r="A29" s="417"/>
      <c r="B29" s="349" t="s">
        <v>181</v>
      </c>
      <c r="C29" s="356" t="s">
        <v>171</v>
      </c>
      <c r="D29" s="356" t="s">
        <v>182</v>
      </c>
      <c r="E29" s="357" t="s">
        <v>59</v>
      </c>
      <c r="F29" s="359">
        <v>1</v>
      </c>
      <c r="G29" s="359">
        <v>3600000</v>
      </c>
      <c r="H29" s="284">
        <f t="shared" si="1"/>
        <v>3600000</v>
      </c>
      <c r="I29" s="49"/>
    </row>
    <row r="30" spans="1:9" ht="15.9" customHeight="1" x14ac:dyDescent="0.4">
      <c r="A30" s="417"/>
      <c r="B30" s="349"/>
      <c r="C30" s="356" t="s">
        <v>172</v>
      </c>
      <c r="D30" s="356" t="s">
        <v>183</v>
      </c>
      <c r="E30" s="357" t="s">
        <v>59</v>
      </c>
      <c r="F30" s="359">
        <v>1</v>
      </c>
      <c r="G30" s="359">
        <v>1200000</v>
      </c>
      <c r="H30" s="284">
        <f t="shared" si="1"/>
        <v>1200000</v>
      </c>
      <c r="I30" s="49"/>
    </row>
    <row r="31" spans="1:9" ht="15.9" customHeight="1" x14ac:dyDescent="0.4">
      <c r="A31" s="417"/>
      <c r="B31" s="349"/>
      <c r="C31" s="356" t="s">
        <v>173</v>
      </c>
      <c r="D31" s="356" t="s">
        <v>184</v>
      </c>
      <c r="E31" s="357" t="s">
        <v>59</v>
      </c>
      <c r="F31" s="359">
        <v>1</v>
      </c>
      <c r="G31" s="359">
        <v>600000</v>
      </c>
      <c r="H31" s="284">
        <f t="shared" si="1"/>
        <v>600000</v>
      </c>
      <c r="I31" s="49"/>
    </row>
    <row r="32" spans="1:9" ht="15.9" customHeight="1" x14ac:dyDescent="0.4">
      <c r="A32" s="417"/>
      <c r="B32" s="349"/>
      <c r="C32" s="356" t="s">
        <v>185</v>
      </c>
      <c r="D32" s="356"/>
      <c r="E32" s="357" t="s">
        <v>186</v>
      </c>
      <c r="F32" s="359">
        <v>1</v>
      </c>
      <c r="G32" s="359">
        <v>40000</v>
      </c>
      <c r="H32" s="284">
        <f t="shared" si="1"/>
        <v>40000</v>
      </c>
      <c r="I32" s="49"/>
    </row>
    <row r="33" spans="1:9" ht="15.9" customHeight="1" x14ac:dyDescent="0.4">
      <c r="A33" s="417"/>
      <c r="B33" s="349"/>
      <c r="C33" s="356" t="s">
        <v>187</v>
      </c>
      <c r="D33" s="377"/>
      <c r="E33" s="390" t="s">
        <v>186</v>
      </c>
      <c r="F33" s="379">
        <v>1</v>
      </c>
      <c r="G33" s="379">
        <v>100000</v>
      </c>
      <c r="H33" s="284">
        <f t="shared" si="1"/>
        <v>100000</v>
      </c>
      <c r="I33" s="49"/>
    </row>
    <row r="34" spans="1:9" ht="15.9" customHeight="1" x14ac:dyDescent="0.4">
      <c r="A34" s="417"/>
      <c r="B34" s="349"/>
      <c r="C34" s="356" t="s">
        <v>171</v>
      </c>
      <c r="D34" s="356" t="s">
        <v>188</v>
      </c>
      <c r="E34" s="357" t="s">
        <v>59</v>
      </c>
      <c r="F34" s="359">
        <v>1</v>
      </c>
      <c r="G34" s="359">
        <v>2800000</v>
      </c>
      <c r="H34" s="284">
        <f t="shared" si="1"/>
        <v>2800000</v>
      </c>
      <c r="I34" s="49"/>
    </row>
    <row r="35" spans="1:9" ht="15.9" customHeight="1" x14ac:dyDescent="0.4">
      <c r="A35" s="417"/>
      <c r="B35" s="349"/>
      <c r="C35" s="356" t="s">
        <v>189</v>
      </c>
      <c r="D35" s="356" t="s">
        <v>190</v>
      </c>
      <c r="E35" s="357" t="s">
        <v>59</v>
      </c>
      <c r="F35" s="359">
        <v>1</v>
      </c>
      <c r="G35" s="359">
        <v>7000000</v>
      </c>
      <c r="H35" s="284">
        <f t="shared" si="1"/>
        <v>7000000</v>
      </c>
      <c r="I35" s="49"/>
    </row>
    <row r="36" spans="1:9" ht="15.9" customHeight="1" x14ac:dyDescent="0.4">
      <c r="A36" s="417"/>
      <c r="B36" s="349"/>
      <c r="C36" s="356" t="s">
        <v>191</v>
      </c>
      <c r="D36" s="356"/>
      <c r="E36" s="357" t="s">
        <v>59</v>
      </c>
      <c r="F36" s="359">
        <v>1</v>
      </c>
      <c r="G36" s="359">
        <v>500000</v>
      </c>
      <c r="H36" s="284">
        <f t="shared" si="1"/>
        <v>500000</v>
      </c>
      <c r="I36" s="49"/>
    </row>
    <row r="37" spans="1:9" ht="15.9" customHeight="1" x14ac:dyDescent="0.4">
      <c r="A37" s="417"/>
      <c r="B37" s="349"/>
      <c r="C37" s="356" t="s">
        <v>175</v>
      </c>
      <c r="D37" s="356"/>
      <c r="E37" s="357" t="s">
        <v>59</v>
      </c>
      <c r="F37" s="359">
        <v>1</v>
      </c>
      <c r="G37" s="359">
        <v>600000</v>
      </c>
      <c r="H37" s="284">
        <f t="shared" si="1"/>
        <v>600000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359"/>
      <c r="G38" s="359"/>
      <c r="H38" s="284">
        <f t="shared" si="1"/>
        <v>0</v>
      </c>
      <c r="I38" s="49"/>
    </row>
    <row r="39" spans="1:9" ht="15.9" customHeight="1" x14ac:dyDescent="0.4">
      <c r="A39" s="417"/>
      <c r="B39" s="349"/>
      <c r="C39" s="418" t="s">
        <v>192</v>
      </c>
      <c r="D39" s="418"/>
      <c r="E39" s="419"/>
      <c r="F39" s="420"/>
      <c r="G39" s="420"/>
      <c r="H39" s="284">
        <f t="shared" si="1"/>
        <v>0</v>
      </c>
      <c r="I39" s="49"/>
    </row>
    <row r="40" spans="1:9" ht="15.9" customHeight="1" x14ac:dyDescent="0.4">
      <c r="A40" s="417"/>
      <c r="B40" s="349"/>
      <c r="C40" s="356" t="s">
        <v>193</v>
      </c>
      <c r="D40" s="356" t="s">
        <v>194</v>
      </c>
      <c r="E40" s="357" t="s">
        <v>195</v>
      </c>
      <c r="F40" s="423">
        <v>1</v>
      </c>
      <c r="G40" s="359">
        <v>350000</v>
      </c>
      <c r="H40" s="284">
        <f t="shared" si="1"/>
        <v>350000</v>
      </c>
      <c r="I40" s="49"/>
    </row>
    <row r="41" spans="1:9" ht="15.9" customHeight="1" x14ac:dyDescent="0.4">
      <c r="A41" s="417"/>
      <c r="B41" s="349"/>
      <c r="C41" s="356" t="s">
        <v>196</v>
      </c>
      <c r="D41" s="356" t="s">
        <v>197</v>
      </c>
      <c r="E41" s="357" t="s">
        <v>195</v>
      </c>
      <c r="F41" s="423">
        <v>20</v>
      </c>
      <c r="G41" s="359">
        <v>75000</v>
      </c>
      <c r="H41" s="284">
        <f t="shared" si="1"/>
        <v>1500000</v>
      </c>
      <c r="I41" s="49"/>
    </row>
    <row r="42" spans="1:9" ht="15.9" customHeight="1" x14ac:dyDescent="0.4">
      <c r="A42" s="417"/>
      <c r="B42" s="349"/>
      <c r="C42" s="356" t="s">
        <v>198</v>
      </c>
      <c r="D42" s="356" t="s">
        <v>199</v>
      </c>
      <c r="E42" s="357" t="s">
        <v>195</v>
      </c>
      <c r="F42" s="423">
        <v>2</v>
      </c>
      <c r="G42" s="359">
        <v>850000</v>
      </c>
      <c r="H42" s="284">
        <f t="shared" si="1"/>
        <v>1700000</v>
      </c>
      <c r="I42" s="49"/>
    </row>
    <row r="43" spans="1:9" ht="15.9" customHeight="1" x14ac:dyDescent="0.4">
      <c r="A43" s="417"/>
      <c r="B43" s="349"/>
      <c r="C43" s="356" t="s">
        <v>200</v>
      </c>
      <c r="D43" s="356"/>
      <c r="E43" s="357" t="s">
        <v>195</v>
      </c>
      <c r="F43" s="423">
        <v>40</v>
      </c>
      <c r="G43" s="359">
        <v>7000</v>
      </c>
      <c r="H43" s="284">
        <f t="shared" si="1"/>
        <v>280000</v>
      </c>
      <c r="I43" s="49"/>
    </row>
    <row r="44" spans="1:9" ht="15.9" customHeight="1" x14ac:dyDescent="0.4">
      <c r="A44" s="417"/>
      <c r="B44" s="349"/>
      <c r="C44" s="356" t="s">
        <v>201</v>
      </c>
      <c r="D44" s="356"/>
      <c r="E44" s="357" t="s">
        <v>195</v>
      </c>
      <c r="F44" s="423">
        <v>1</v>
      </c>
      <c r="G44" s="359">
        <v>100000</v>
      </c>
      <c r="H44" s="284">
        <f t="shared" si="1"/>
        <v>100000</v>
      </c>
      <c r="I44" s="49"/>
    </row>
    <row r="45" spans="1:9" ht="15.9" customHeight="1" x14ac:dyDescent="0.4">
      <c r="A45" s="417"/>
      <c r="B45" s="349"/>
      <c r="C45" s="418" t="s">
        <v>202</v>
      </c>
      <c r="D45" s="418"/>
      <c r="E45" s="419" t="s">
        <v>59</v>
      </c>
      <c r="F45" s="420">
        <v>1</v>
      </c>
      <c r="G45" s="420">
        <v>100000</v>
      </c>
      <c r="H45" s="284">
        <f>IF(F45=0,G45,G45*F45)</f>
        <v>100000</v>
      </c>
      <c r="I45" s="49"/>
    </row>
    <row r="46" spans="1:9" ht="15.9" customHeight="1" x14ac:dyDescent="0.4">
      <c r="A46" s="417"/>
      <c r="B46" s="349"/>
      <c r="C46" s="356"/>
      <c r="D46" s="356"/>
      <c r="E46" s="357"/>
      <c r="F46" s="359"/>
      <c r="G46" s="359"/>
      <c r="H46" s="284">
        <f t="shared" si="1"/>
        <v>0</v>
      </c>
      <c r="I46" s="49"/>
    </row>
    <row r="47" spans="1:9" ht="15.9" customHeight="1" x14ac:dyDescent="0.4">
      <c r="A47" s="417"/>
      <c r="B47" s="349"/>
      <c r="C47" s="360" t="s">
        <v>203</v>
      </c>
      <c r="D47" s="360"/>
      <c r="E47" s="361" t="s">
        <v>59</v>
      </c>
      <c r="F47" s="363">
        <v>1</v>
      </c>
      <c r="G47" s="363">
        <v>500000</v>
      </c>
      <c r="H47" s="314">
        <f t="shared" si="1"/>
        <v>500000</v>
      </c>
      <c r="I47" s="64"/>
    </row>
    <row r="48" spans="1:9" ht="15.9" customHeight="1" x14ac:dyDescent="0.4">
      <c r="A48" s="417"/>
      <c r="B48" s="364"/>
      <c r="C48" s="365"/>
      <c r="D48" s="366"/>
      <c r="E48" s="366"/>
      <c r="F48" s="368"/>
      <c r="G48" s="368"/>
      <c r="H48" s="77">
        <f>SUM(H28:H47)</f>
        <v>40970000</v>
      </c>
      <c r="I48" s="72"/>
    </row>
    <row r="49" spans="1:9" ht="15.9" customHeight="1" x14ac:dyDescent="0.4">
      <c r="A49" s="417"/>
      <c r="B49" s="386" t="s">
        <v>61</v>
      </c>
      <c r="C49" s="370"/>
      <c r="D49" s="370"/>
      <c r="E49" s="371"/>
      <c r="F49" s="373"/>
      <c r="G49" s="373"/>
      <c r="H49" s="374">
        <f t="shared" si="0"/>
        <v>0</v>
      </c>
      <c r="I49" s="375"/>
    </row>
    <row r="50" spans="1:9" ht="15.9" customHeight="1" x14ac:dyDescent="0.4">
      <c r="A50" s="417"/>
      <c r="B50" s="349"/>
      <c r="C50" s="356"/>
      <c r="D50" s="356"/>
      <c r="E50" s="357"/>
      <c r="F50" s="359"/>
      <c r="G50" s="359"/>
      <c r="H50" s="284">
        <f t="shared" si="0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0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0"/>
        <v>0</v>
      </c>
      <c r="I52" s="49"/>
    </row>
    <row r="53" spans="1:9" ht="15.9" customHeight="1" x14ac:dyDescent="0.4">
      <c r="A53" s="417"/>
      <c r="B53" s="349"/>
      <c r="C53" s="356"/>
      <c r="D53" s="356"/>
      <c r="E53" s="356"/>
      <c r="F53" s="359"/>
      <c r="G53" s="359"/>
      <c r="H53" s="284">
        <f t="shared" si="0"/>
        <v>0</v>
      </c>
      <c r="I53" s="49"/>
    </row>
    <row r="54" spans="1:9" ht="15.9" customHeight="1" x14ac:dyDescent="0.4">
      <c r="A54" s="417"/>
      <c r="B54" s="349"/>
      <c r="C54" s="356"/>
      <c r="D54" s="356"/>
      <c r="E54" s="356"/>
      <c r="F54" s="359"/>
      <c r="G54" s="359"/>
      <c r="H54" s="284">
        <f t="shared" si="0"/>
        <v>0</v>
      </c>
      <c r="I54" s="49"/>
    </row>
    <row r="55" spans="1:9" ht="15.9" customHeight="1" x14ac:dyDescent="0.4">
      <c r="A55" s="417"/>
      <c r="B55" s="349"/>
      <c r="C55" s="360"/>
      <c r="D55" s="360"/>
      <c r="E55" s="360"/>
      <c r="F55" s="363"/>
      <c r="G55" s="363"/>
      <c r="H55" s="314">
        <f t="shared" si="0"/>
        <v>0</v>
      </c>
      <c r="I55" s="64"/>
    </row>
    <row r="56" spans="1:9" ht="15.9" customHeight="1" x14ac:dyDescent="0.4">
      <c r="A56" s="417"/>
      <c r="B56" s="364"/>
      <c r="C56" s="365"/>
      <c r="D56" s="366"/>
      <c r="E56" s="366"/>
      <c r="F56" s="368"/>
      <c r="G56" s="368"/>
      <c r="H56" s="77">
        <f>SUM(H49:H55)</f>
        <v>0</v>
      </c>
      <c r="I56" s="72"/>
    </row>
    <row r="57" spans="1:9" ht="15.9" customHeight="1" x14ac:dyDescent="0.4">
      <c r="A57" s="392"/>
      <c r="B57" s="393" t="s">
        <v>149</v>
      </c>
      <c r="C57" s="394"/>
      <c r="D57" s="72"/>
      <c r="E57" s="72"/>
      <c r="F57" s="396"/>
      <c r="G57" s="396"/>
      <c r="H57" s="77">
        <f>SUM(H56,H48,H27,H21)</f>
        <v>55570000</v>
      </c>
      <c r="I57" s="72"/>
    </row>
    <row r="58" spans="1:9" ht="15.9" customHeight="1" x14ac:dyDescent="0.4">
      <c r="A58" s="348" t="s">
        <v>150</v>
      </c>
      <c r="B58" s="398" t="s">
        <v>67</v>
      </c>
      <c r="C58" s="394"/>
      <c r="D58" s="72"/>
      <c r="E58" s="398" t="s">
        <v>68</v>
      </c>
      <c r="F58" s="424">
        <v>0</v>
      </c>
      <c r="G58" s="413">
        <v>250000</v>
      </c>
      <c r="H58" s="402">
        <f>F58*G58</f>
        <v>0</v>
      </c>
      <c r="I58" s="72"/>
    </row>
    <row r="59" spans="1:9" ht="15.9" customHeight="1" x14ac:dyDescent="0.4">
      <c r="A59" s="417"/>
      <c r="B59" s="404" t="s">
        <v>204</v>
      </c>
      <c r="C59" s="405"/>
      <c r="D59" s="375"/>
      <c r="E59" s="404" t="s">
        <v>152</v>
      </c>
      <c r="F59" s="425">
        <v>15</v>
      </c>
      <c r="G59" s="373">
        <v>300000</v>
      </c>
      <c r="H59" s="374">
        <f t="shared" ref="H59:H65" si="2">F59*G59</f>
        <v>4500000</v>
      </c>
      <c r="I59" s="375"/>
    </row>
    <row r="60" spans="1:9" ht="15.9" customHeight="1" x14ac:dyDescent="0.4">
      <c r="A60" s="417"/>
      <c r="B60" s="406" t="s">
        <v>205</v>
      </c>
      <c r="C60" s="407"/>
      <c r="D60" s="49"/>
      <c r="E60" s="406" t="s">
        <v>152</v>
      </c>
      <c r="F60" s="426">
        <v>5</v>
      </c>
      <c r="G60" s="359">
        <v>250000</v>
      </c>
      <c r="H60" s="284">
        <f t="shared" si="2"/>
        <v>1250000</v>
      </c>
      <c r="I60" s="49"/>
    </row>
    <row r="61" spans="1:9" ht="15.9" customHeight="1" x14ac:dyDescent="0.4">
      <c r="A61" s="417"/>
      <c r="B61" s="406" t="s">
        <v>206</v>
      </c>
      <c r="C61" s="407"/>
      <c r="D61" s="49"/>
      <c r="E61" s="406" t="s">
        <v>152</v>
      </c>
      <c r="F61" s="426">
        <v>15</v>
      </c>
      <c r="G61" s="359">
        <v>250000</v>
      </c>
      <c r="H61" s="284">
        <f t="shared" si="2"/>
        <v>3750000</v>
      </c>
      <c r="I61" s="49"/>
    </row>
    <row r="62" spans="1:9" ht="15.9" customHeight="1" x14ac:dyDescent="0.4">
      <c r="A62" s="417"/>
      <c r="B62" s="406" t="s">
        <v>207</v>
      </c>
      <c r="C62" s="407"/>
      <c r="D62" s="49"/>
      <c r="E62" s="406" t="s">
        <v>152</v>
      </c>
      <c r="F62" s="426">
        <v>2</v>
      </c>
      <c r="G62" s="359">
        <v>300000</v>
      </c>
      <c r="H62" s="284">
        <f t="shared" si="2"/>
        <v>600000</v>
      </c>
      <c r="I62" s="49"/>
    </row>
    <row r="63" spans="1:9" ht="15.9" customHeight="1" x14ac:dyDescent="0.4">
      <c r="A63" s="417"/>
      <c r="B63" s="406" t="s">
        <v>208</v>
      </c>
      <c r="C63" s="407"/>
      <c r="D63" s="49"/>
      <c r="E63" s="406" t="s">
        <v>152</v>
      </c>
      <c r="F63" s="426">
        <v>4</v>
      </c>
      <c r="G63" s="359">
        <v>300000</v>
      </c>
      <c r="H63" s="284">
        <f t="shared" si="2"/>
        <v>1200000</v>
      </c>
      <c r="I63" s="49"/>
    </row>
    <row r="64" spans="1:9" ht="15.9" customHeight="1" x14ac:dyDescent="0.4">
      <c r="A64" s="417"/>
      <c r="B64" s="406" t="s">
        <v>209</v>
      </c>
      <c r="C64" s="407"/>
      <c r="D64" s="49"/>
      <c r="E64" s="406" t="s">
        <v>152</v>
      </c>
      <c r="F64" s="426">
        <v>3</v>
      </c>
      <c r="G64" s="359">
        <v>300000</v>
      </c>
      <c r="H64" s="284">
        <f t="shared" si="2"/>
        <v>900000</v>
      </c>
      <c r="I64" s="49"/>
    </row>
    <row r="65" spans="1:9" ht="15.9" customHeight="1" x14ac:dyDescent="0.4">
      <c r="A65" s="417"/>
      <c r="B65" s="408" t="s">
        <v>210</v>
      </c>
      <c r="C65" s="409"/>
      <c r="D65" s="64"/>
      <c r="E65" s="408" t="s">
        <v>152</v>
      </c>
      <c r="F65" s="427">
        <v>3</v>
      </c>
      <c r="G65" s="363">
        <v>250000</v>
      </c>
      <c r="H65" s="314">
        <f t="shared" si="2"/>
        <v>750000</v>
      </c>
      <c r="I65" s="64"/>
    </row>
    <row r="66" spans="1:9" ht="15.9" customHeight="1" x14ac:dyDescent="0.4">
      <c r="A66" s="392"/>
      <c r="B66" s="410" t="s">
        <v>158</v>
      </c>
      <c r="C66" s="394"/>
      <c r="D66" s="72"/>
      <c r="E66" s="72"/>
      <c r="F66" s="368"/>
      <c r="G66" s="368"/>
      <c r="H66" s="368">
        <f>SUM(H58:H65)</f>
        <v>12950000</v>
      </c>
      <c r="I66" s="366"/>
    </row>
    <row r="67" spans="1:9" ht="15.9" customHeight="1" x14ac:dyDescent="0.4">
      <c r="A67" s="399"/>
      <c r="B67" s="410" t="s">
        <v>211</v>
      </c>
      <c r="C67" s="394"/>
      <c r="D67" s="72"/>
      <c r="E67" s="72"/>
      <c r="F67" s="77"/>
      <c r="G67" s="77"/>
      <c r="H67" s="396">
        <f>'단위공사별(집계)'!I7+'단위공사별(집계)'!L7</f>
        <v>327425.52069601894</v>
      </c>
      <c r="I67" s="72"/>
    </row>
    <row r="68" spans="1:9" ht="15.9" customHeight="1" x14ac:dyDescent="0.4">
      <c r="A68" s="399"/>
      <c r="B68" s="410" t="s">
        <v>93</v>
      </c>
      <c r="C68" s="394"/>
      <c r="D68" s="72"/>
      <c r="E68" s="72"/>
      <c r="F68" s="77"/>
      <c r="G68" s="412"/>
      <c r="H68" s="413">
        <v>0</v>
      </c>
      <c r="I68" s="394"/>
    </row>
    <row r="69" spans="1:9" ht="15.9" customHeight="1" x14ac:dyDescent="0.4">
      <c r="A69" s="399"/>
      <c r="B69" s="410" t="s">
        <v>161</v>
      </c>
      <c r="C69" s="394"/>
      <c r="D69" s="72"/>
      <c r="E69" s="72"/>
      <c r="F69" s="77"/>
      <c r="G69" s="412"/>
      <c r="H69" s="413">
        <v>0</v>
      </c>
      <c r="I69" s="394"/>
    </row>
    <row r="70" spans="1:9" ht="15.9" customHeight="1" x14ac:dyDescent="0.4">
      <c r="A70" s="399"/>
      <c r="B70" s="410" t="s">
        <v>162</v>
      </c>
      <c r="C70" s="394"/>
      <c r="D70" s="72"/>
      <c r="E70" s="72"/>
      <c r="F70" s="77"/>
      <c r="G70" s="77"/>
      <c r="H70" s="368">
        <f>H57+H66+H67+H68+H69</f>
        <v>68847425.520696014</v>
      </c>
      <c r="I70" s="72"/>
    </row>
    <row r="71" spans="1:9" x14ac:dyDescent="0.4">
      <c r="A71" s="30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6C27-80DD-40A7-BCE8-7766D6C9FBC0}">
  <sheetPr>
    <tabColor rgb="FF00B050"/>
    <pageSetUpPr fitToPage="1"/>
  </sheetPr>
  <dimension ref="A1:I126"/>
  <sheetViews>
    <sheetView zoomScaleNormal="100" workbookViewId="0">
      <pane xSplit="2" ySplit="2" topLeftCell="C104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212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213</v>
      </c>
      <c r="D3" s="428"/>
      <c r="E3" s="357"/>
      <c r="F3" s="423"/>
      <c r="G3" s="359"/>
      <c r="H3" s="374"/>
      <c r="I3" s="375"/>
    </row>
    <row r="4" spans="1:9" ht="15.9" customHeight="1" x14ac:dyDescent="0.4">
      <c r="A4" s="417"/>
      <c r="B4" s="349"/>
      <c r="C4" s="356" t="s">
        <v>214</v>
      </c>
      <c r="D4" s="428"/>
      <c r="E4" s="357" t="s">
        <v>195</v>
      </c>
      <c r="F4" s="423">
        <v>1</v>
      </c>
      <c r="G4" s="359">
        <v>10000000</v>
      </c>
      <c r="H4" s="284">
        <f>F4*G4</f>
        <v>10000000</v>
      </c>
      <c r="I4" s="49"/>
    </row>
    <row r="5" spans="1:9" ht="15.9" customHeight="1" x14ac:dyDescent="0.4">
      <c r="A5" s="417"/>
      <c r="B5" s="349"/>
      <c r="C5" s="356" t="s">
        <v>215</v>
      </c>
      <c r="D5" s="428"/>
      <c r="E5" s="357" t="s">
        <v>195</v>
      </c>
      <c r="F5" s="423">
        <v>1</v>
      </c>
      <c r="G5" s="359">
        <v>4000000</v>
      </c>
      <c r="H5" s="284">
        <f t="shared" ref="H5:H45" si="0">F5*G5</f>
        <v>4000000</v>
      </c>
      <c r="I5" s="49"/>
    </row>
    <row r="6" spans="1:9" ht="15.9" customHeight="1" x14ac:dyDescent="0.4">
      <c r="A6" s="417"/>
      <c r="B6" s="349"/>
      <c r="C6" s="356" t="s">
        <v>216</v>
      </c>
      <c r="D6" s="428"/>
      <c r="E6" s="357" t="s">
        <v>195</v>
      </c>
      <c r="F6" s="423">
        <v>1</v>
      </c>
      <c r="G6" s="359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217</v>
      </c>
      <c r="D7" s="428"/>
      <c r="E7" s="357" t="s">
        <v>195</v>
      </c>
      <c r="F7" s="423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218</v>
      </c>
      <c r="D8" s="356"/>
      <c r="E8" s="357" t="s">
        <v>195</v>
      </c>
      <c r="F8" s="359">
        <v>1</v>
      </c>
      <c r="G8" s="359">
        <v>1300000</v>
      </c>
      <c r="H8" s="284">
        <f t="shared" si="0"/>
        <v>1300000</v>
      </c>
      <c r="I8" s="49"/>
    </row>
    <row r="9" spans="1:9" ht="15.9" customHeight="1" x14ac:dyDescent="0.4">
      <c r="A9" s="417"/>
      <c r="B9" s="349"/>
      <c r="C9" s="356" t="s">
        <v>219</v>
      </c>
      <c r="D9" s="356"/>
      <c r="E9" s="357"/>
      <c r="F9" s="423"/>
      <c r="G9" s="359"/>
      <c r="H9" s="284">
        <f t="shared" si="0"/>
        <v>0</v>
      </c>
      <c r="I9" s="49"/>
    </row>
    <row r="10" spans="1:9" ht="15.9" customHeight="1" x14ac:dyDescent="0.4">
      <c r="A10" s="417"/>
      <c r="B10" s="349"/>
      <c r="C10" s="356" t="s">
        <v>220</v>
      </c>
      <c r="D10" s="356"/>
      <c r="E10" s="357" t="s">
        <v>195</v>
      </c>
      <c r="F10" s="423">
        <v>1</v>
      </c>
      <c r="G10" s="359">
        <v>1000000</v>
      </c>
      <c r="H10" s="284">
        <f t="shared" si="0"/>
        <v>1000000</v>
      </c>
      <c r="I10" s="49"/>
    </row>
    <row r="11" spans="1:9" ht="15.9" customHeight="1" x14ac:dyDescent="0.4">
      <c r="A11" s="417"/>
      <c r="B11" s="349"/>
      <c r="C11" s="356" t="s">
        <v>221</v>
      </c>
      <c r="D11" s="356"/>
      <c r="E11" s="357" t="s">
        <v>195</v>
      </c>
      <c r="F11" s="423">
        <v>1</v>
      </c>
      <c r="G11" s="359">
        <v>1000000</v>
      </c>
      <c r="H11" s="284">
        <f t="shared" si="0"/>
        <v>1000000</v>
      </c>
      <c r="I11" s="49"/>
    </row>
    <row r="12" spans="1:9" ht="15.9" customHeight="1" x14ac:dyDescent="0.4">
      <c r="A12" s="417"/>
      <c r="B12" s="349"/>
      <c r="C12" s="356" t="s">
        <v>222</v>
      </c>
      <c r="D12" s="356"/>
      <c r="E12" s="357" t="s">
        <v>195</v>
      </c>
      <c r="F12" s="423">
        <v>1</v>
      </c>
      <c r="G12" s="359">
        <v>1000000</v>
      </c>
      <c r="H12" s="284">
        <f t="shared" si="0"/>
        <v>1000000</v>
      </c>
      <c r="I12" s="49"/>
    </row>
    <row r="13" spans="1:9" ht="15.9" customHeight="1" x14ac:dyDescent="0.4">
      <c r="A13" s="417"/>
      <c r="B13" s="349"/>
      <c r="C13" s="356" t="s">
        <v>223</v>
      </c>
      <c r="D13" s="356"/>
      <c r="E13" s="357" t="s">
        <v>195</v>
      </c>
      <c r="F13" s="423">
        <v>1</v>
      </c>
      <c r="G13" s="359">
        <v>350000</v>
      </c>
      <c r="H13" s="284">
        <f t="shared" si="0"/>
        <v>350000</v>
      </c>
      <c r="I13" s="49"/>
    </row>
    <row r="14" spans="1:9" ht="15.9" customHeight="1" x14ac:dyDescent="0.4">
      <c r="A14" s="417"/>
      <c r="B14" s="349"/>
      <c r="C14" s="356" t="s">
        <v>224</v>
      </c>
      <c r="D14" s="356"/>
      <c r="E14" s="357"/>
      <c r="F14" s="423"/>
      <c r="G14" s="359"/>
      <c r="H14" s="284">
        <f t="shared" si="0"/>
        <v>0</v>
      </c>
      <c r="I14" s="49"/>
    </row>
    <row r="15" spans="1:9" ht="15.9" customHeight="1" x14ac:dyDescent="0.4">
      <c r="A15" s="417"/>
      <c r="B15" s="349"/>
      <c r="C15" s="356" t="s">
        <v>225</v>
      </c>
      <c r="D15" s="356"/>
      <c r="E15" s="357" t="s">
        <v>195</v>
      </c>
      <c r="F15" s="423">
        <v>1</v>
      </c>
      <c r="G15" s="359">
        <v>500000</v>
      </c>
      <c r="H15" s="284">
        <f t="shared" si="0"/>
        <v>500000</v>
      </c>
      <c r="I15" s="49"/>
    </row>
    <row r="16" spans="1:9" ht="15.9" customHeight="1" x14ac:dyDescent="0.4">
      <c r="A16" s="417"/>
      <c r="B16" s="349"/>
      <c r="C16" s="356" t="s">
        <v>226</v>
      </c>
      <c r="D16" s="356"/>
      <c r="E16" s="357" t="s">
        <v>195</v>
      </c>
      <c r="F16" s="423">
        <v>1</v>
      </c>
      <c r="G16" s="359">
        <v>1500000</v>
      </c>
      <c r="H16" s="284">
        <f t="shared" si="0"/>
        <v>1500000</v>
      </c>
      <c r="I16" s="49"/>
    </row>
    <row r="17" spans="1:9" ht="15.9" customHeight="1" x14ac:dyDescent="0.4">
      <c r="A17" s="417"/>
      <c r="B17" s="349"/>
      <c r="C17" s="356" t="s">
        <v>227</v>
      </c>
      <c r="D17" s="356"/>
      <c r="E17" s="357" t="s">
        <v>195</v>
      </c>
      <c r="F17" s="423">
        <v>1</v>
      </c>
      <c r="G17" s="359">
        <v>800000</v>
      </c>
      <c r="H17" s="284">
        <f t="shared" si="0"/>
        <v>800000</v>
      </c>
      <c r="I17" s="49"/>
    </row>
    <row r="18" spans="1:9" ht="15.9" customHeight="1" x14ac:dyDescent="0.4">
      <c r="A18" s="417"/>
      <c r="B18" s="349"/>
      <c r="C18" s="356" t="s">
        <v>228</v>
      </c>
      <c r="D18" s="428"/>
      <c r="E18" s="357"/>
      <c r="F18" s="423"/>
      <c r="G18" s="359"/>
      <c r="H18" s="284">
        <f t="shared" si="0"/>
        <v>0</v>
      </c>
      <c r="I18" s="49"/>
    </row>
    <row r="19" spans="1:9" ht="15.9" customHeight="1" x14ac:dyDescent="0.4">
      <c r="A19" s="417"/>
      <c r="B19" s="349"/>
      <c r="C19" s="356" t="s">
        <v>229</v>
      </c>
      <c r="D19" s="428"/>
      <c r="E19" s="357" t="s">
        <v>195</v>
      </c>
      <c r="F19" s="423">
        <v>1</v>
      </c>
      <c r="G19" s="359">
        <v>1000000</v>
      </c>
      <c r="H19" s="284">
        <f t="shared" si="0"/>
        <v>1000000</v>
      </c>
      <c r="I19" s="49"/>
    </row>
    <row r="20" spans="1:9" ht="15.9" customHeight="1" x14ac:dyDescent="0.4">
      <c r="A20" s="417"/>
      <c r="B20" s="349"/>
      <c r="C20" s="356" t="s">
        <v>230</v>
      </c>
      <c r="D20" s="428"/>
      <c r="E20" s="357" t="s">
        <v>195</v>
      </c>
      <c r="F20" s="423">
        <v>1</v>
      </c>
      <c r="G20" s="359">
        <v>800000</v>
      </c>
      <c r="H20" s="284">
        <f t="shared" si="0"/>
        <v>800000</v>
      </c>
      <c r="I20" s="49"/>
    </row>
    <row r="21" spans="1:9" ht="15.9" customHeight="1" x14ac:dyDescent="0.4">
      <c r="A21" s="417"/>
      <c r="B21" s="349"/>
      <c r="C21" s="356" t="s">
        <v>231</v>
      </c>
      <c r="D21" s="429"/>
      <c r="E21" s="357"/>
      <c r="F21" s="423"/>
      <c r="G21" s="359"/>
      <c r="H21" s="284">
        <f t="shared" si="0"/>
        <v>0</v>
      </c>
      <c r="I21" s="49"/>
    </row>
    <row r="22" spans="1:9" ht="15.9" customHeight="1" x14ac:dyDescent="0.4">
      <c r="A22" s="417"/>
      <c r="B22" s="349"/>
      <c r="C22" s="356" t="s">
        <v>232</v>
      </c>
      <c r="D22" s="429"/>
      <c r="E22" s="357" t="s">
        <v>195</v>
      </c>
      <c r="F22" s="423">
        <v>1</v>
      </c>
      <c r="G22" s="359">
        <v>1000000</v>
      </c>
      <c r="H22" s="284">
        <f t="shared" si="0"/>
        <v>1000000</v>
      </c>
      <c r="I22" s="49"/>
    </row>
    <row r="23" spans="1:9" ht="15.9" customHeight="1" x14ac:dyDescent="0.4">
      <c r="A23" s="417"/>
      <c r="B23" s="349"/>
      <c r="C23" s="356" t="s">
        <v>233</v>
      </c>
      <c r="D23" s="429"/>
      <c r="E23" s="357"/>
      <c r="F23" s="423"/>
      <c r="G23" s="359"/>
      <c r="H23" s="284">
        <f t="shared" si="0"/>
        <v>0</v>
      </c>
      <c r="I23" s="49"/>
    </row>
    <row r="24" spans="1:9" ht="15.9" customHeight="1" x14ac:dyDescent="0.4">
      <c r="A24" s="417"/>
      <c r="B24" s="349"/>
      <c r="C24" s="356" t="s">
        <v>226</v>
      </c>
      <c r="D24" s="429"/>
      <c r="E24" s="357" t="s">
        <v>195</v>
      </c>
      <c r="F24" s="423">
        <v>1</v>
      </c>
      <c r="G24" s="359">
        <v>1500000</v>
      </c>
      <c r="H24" s="284">
        <f t="shared" si="0"/>
        <v>1500000</v>
      </c>
      <c r="I24" s="49"/>
    </row>
    <row r="25" spans="1:9" ht="15.9" customHeight="1" x14ac:dyDescent="0.4">
      <c r="A25" s="417"/>
      <c r="B25" s="349"/>
      <c r="C25" s="356" t="s">
        <v>234</v>
      </c>
      <c r="D25" s="429"/>
      <c r="E25" s="357" t="s">
        <v>195</v>
      </c>
      <c r="F25" s="423">
        <v>1</v>
      </c>
      <c r="G25" s="359">
        <v>800000</v>
      </c>
      <c r="H25" s="284">
        <f t="shared" si="0"/>
        <v>800000</v>
      </c>
      <c r="I25" s="49"/>
    </row>
    <row r="26" spans="1:9" ht="15.9" customHeight="1" x14ac:dyDescent="0.4">
      <c r="A26" s="417"/>
      <c r="B26" s="349"/>
      <c r="C26" s="356" t="s">
        <v>235</v>
      </c>
      <c r="D26" s="356"/>
      <c r="E26" s="357" t="s">
        <v>195</v>
      </c>
      <c r="F26" s="359">
        <v>1</v>
      </c>
      <c r="G26" s="359">
        <v>500000</v>
      </c>
      <c r="H26" s="284">
        <f t="shared" si="0"/>
        <v>500000</v>
      </c>
      <c r="I26" s="49"/>
    </row>
    <row r="27" spans="1:9" ht="15.9" customHeight="1" x14ac:dyDescent="0.4">
      <c r="A27" s="417"/>
      <c r="B27" s="349"/>
      <c r="C27" s="356" t="s">
        <v>236</v>
      </c>
      <c r="D27" s="356"/>
      <c r="E27" s="357" t="s">
        <v>195</v>
      </c>
      <c r="F27" s="359">
        <v>10</v>
      </c>
      <c r="G27" s="359">
        <v>150000</v>
      </c>
      <c r="H27" s="284">
        <f t="shared" si="0"/>
        <v>1500000</v>
      </c>
      <c r="I27" s="49"/>
    </row>
    <row r="28" spans="1:9" ht="15.9" customHeight="1" x14ac:dyDescent="0.4">
      <c r="A28" s="417"/>
      <c r="B28" s="349"/>
      <c r="C28" s="356" t="s">
        <v>237</v>
      </c>
      <c r="D28" s="356"/>
      <c r="E28" s="357"/>
      <c r="F28" s="423"/>
      <c r="G28" s="359"/>
      <c r="H28" s="284">
        <f t="shared" si="0"/>
        <v>0</v>
      </c>
      <c r="I28" s="49"/>
    </row>
    <row r="29" spans="1:9" ht="15.9" customHeight="1" x14ac:dyDescent="0.4">
      <c r="A29" s="417"/>
      <c r="B29" s="349"/>
      <c r="C29" s="356" t="s">
        <v>238</v>
      </c>
      <c r="D29" s="356"/>
      <c r="E29" s="357" t="s">
        <v>195</v>
      </c>
      <c r="F29" s="423">
        <v>1</v>
      </c>
      <c r="G29" s="359">
        <v>800000</v>
      </c>
      <c r="H29" s="284">
        <f t="shared" si="0"/>
        <v>800000</v>
      </c>
      <c r="I29" s="49"/>
    </row>
    <row r="30" spans="1:9" ht="15.9" customHeight="1" x14ac:dyDescent="0.4">
      <c r="A30" s="417"/>
      <c r="B30" s="349"/>
      <c r="C30" s="356" t="s">
        <v>239</v>
      </c>
      <c r="D30" s="356"/>
      <c r="E30" s="357" t="s">
        <v>195</v>
      </c>
      <c r="F30" s="423">
        <v>1</v>
      </c>
      <c r="G30" s="359">
        <v>200000</v>
      </c>
      <c r="H30" s="284">
        <f t="shared" si="0"/>
        <v>200000</v>
      </c>
      <c r="I30" s="49"/>
    </row>
    <row r="31" spans="1:9" ht="15.9" customHeight="1" x14ac:dyDescent="0.4">
      <c r="A31" s="417"/>
      <c r="B31" s="349"/>
      <c r="C31" s="356" t="s">
        <v>236</v>
      </c>
      <c r="D31" s="356"/>
      <c r="E31" s="357" t="s">
        <v>195</v>
      </c>
      <c r="F31" s="359">
        <v>10</v>
      </c>
      <c r="G31" s="359">
        <v>150000</v>
      </c>
      <c r="H31" s="284">
        <f t="shared" si="0"/>
        <v>1500000</v>
      </c>
      <c r="I31" s="49"/>
    </row>
    <row r="32" spans="1:9" ht="15.9" customHeight="1" x14ac:dyDescent="0.4">
      <c r="A32" s="417"/>
      <c r="B32" s="349"/>
      <c r="C32" s="356" t="s">
        <v>240</v>
      </c>
      <c r="D32" s="356"/>
      <c r="E32" s="357"/>
      <c r="F32" s="423"/>
      <c r="G32" s="359"/>
      <c r="H32" s="284">
        <f t="shared" si="0"/>
        <v>0</v>
      </c>
      <c r="I32" s="49"/>
    </row>
    <row r="33" spans="1:9" ht="15.9" customHeight="1" x14ac:dyDescent="0.4">
      <c r="A33" s="417"/>
      <c r="B33" s="349"/>
      <c r="C33" s="356" t="s">
        <v>226</v>
      </c>
      <c r="D33" s="356"/>
      <c r="E33" s="357" t="s">
        <v>195</v>
      </c>
      <c r="F33" s="423">
        <v>1</v>
      </c>
      <c r="G33" s="359">
        <v>1500000</v>
      </c>
      <c r="H33" s="284">
        <f t="shared" si="0"/>
        <v>1500000</v>
      </c>
      <c r="I33" s="49"/>
    </row>
    <row r="34" spans="1:9" ht="15.9" customHeight="1" x14ac:dyDescent="0.4">
      <c r="A34" s="417"/>
      <c r="B34" s="349"/>
      <c r="C34" s="356" t="s">
        <v>234</v>
      </c>
      <c r="D34" s="356"/>
      <c r="E34" s="357" t="s">
        <v>195</v>
      </c>
      <c r="F34" s="423">
        <v>1</v>
      </c>
      <c r="G34" s="359">
        <v>1500000</v>
      </c>
      <c r="H34" s="284">
        <f t="shared" si="0"/>
        <v>1500000</v>
      </c>
      <c r="I34" s="49"/>
    </row>
    <row r="35" spans="1:9" ht="15.9" customHeight="1" x14ac:dyDescent="0.4">
      <c r="A35" s="417"/>
      <c r="B35" s="349"/>
      <c r="C35" s="356" t="s">
        <v>241</v>
      </c>
      <c r="D35" s="356"/>
      <c r="E35" s="357"/>
      <c r="F35" s="423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356" t="s">
        <v>226</v>
      </c>
      <c r="D36" s="356"/>
      <c r="E36" s="357" t="s">
        <v>195</v>
      </c>
      <c r="F36" s="423">
        <v>2</v>
      </c>
      <c r="G36" s="359">
        <v>1500000</v>
      </c>
      <c r="H36" s="284">
        <f t="shared" si="0"/>
        <v>3000000</v>
      </c>
      <c r="I36" s="49"/>
    </row>
    <row r="37" spans="1:9" ht="15.9" customHeight="1" x14ac:dyDescent="0.4">
      <c r="A37" s="417"/>
      <c r="B37" s="349"/>
      <c r="C37" s="356" t="s">
        <v>227</v>
      </c>
      <c r="D37" s="356"/>
      <c r="E37" s="357" t="s">
        <v>195</v>
      </c>
      <c r="F37" s="423">
        <v>2</v>
      </c>
      <c r="G37" s="359">
        <v>1500000</v>
      </c>
      <c r="H37" s="284">
        <f t="shared" si="0"/>
        <v>3000000</v>
      </c>
      <c r="I37" s="49"/>
    </row>
    <row r="38" spans="1:9" ht="15.9" customHeight="1" x14ac:dyDescent="0.4">
      <c r="A38" s="417"/>
      <c r="B38" s="349"/>
      <c r="C38" s="356" t="s">
        <v>242</v>
      </c>
      <c r="D38" s="428"/>
      <c r="E38" s="357"/>
      <c r="F38" s="423"/>
      <c r="G38" s="359"/>
      <c r="H38" s="284">
        <f t="shared" si="0"/>
        <v>0</v>
      </c>
      <c r="I38" s="49"/>
    </row>
    <row r="39" spans="1:9" ht="15.9" customHeight="1" x14ac:dyDescent="0.4">
      <c r="A39" s="417"/>
      <c r="B39" s="349"/>
      <c r="C39" s="356" t="s">
        <v>243</v>
      </c>
      <c r="D39" s="428"/>
      <c r="E39" s="357" t="s">
        <v>195</v>
      </c>
      <c r="F39" s="423">
        <v>1</v>
      </c>
      <c r="G39" s="359">
        <v>1000000</v>
      </c>
      <c r="H39" s="284">
        <f t="shared" si="0"/>
        <v>1000000</v>
      </c>
      <c r="I39" s="49"/>
    </row>
    <row r="40" spans="1:9" ht="15.9" customHeight="1" x14ac:dyDescent="0.4">
      <c r="A40" s="417"/>
      <c r="B40" s="349"/>
      <c r="C40" s="356" t="s">
        <v>244</v>
      </c>
      <c r="D40" s="356"/>
      <c r="E40" s="357"/>
      <c r="F40" s="423"/>
      <c r="G40" s="359"/>
      <c r="H40" s="284">
        <f t="shared" si="0"/>
        <v>0</v>
      </c>
      <c r="I40" s="49"/>
    </row>
    <row r="41" spans="1:9" ht="15.9" customHeight="1" x14ac:dyDescent="0.4">
      <c r="A41" s="417"/>
      <c r="B41" s="349"/>
      <c r="C41" s="356" t="s">
        <v>227</v>
      </c>
      <c r="D41" s="356"/>
      <c r="E41" s="357" t="s">
        <v>195</v>
      </c>
      <c r="F41" s="423">
        <v>1</v>
      </c>
      <c r="G41" s="359">
        <v>1500000</v>
      </c>
      <c r="H41" s="284">
        <f t="shared" si="0"/>
        <v>1500000</v>
      </c>
      <c r="I41" s="49"/>
    </row>
    <row r="42" spans="1:9" ht="15.9" customHeight="1" x14ac:dyDescent="0.4">
      <c r="A42" s="417"/>
      <c r="B42" s="349"/>
      <c r="C42" s="356" t="s">
        <v>245</v>
      </c>
      <c r="D42" s="356"/>
      <c r="E42" s="357"/>
      <c r="F42" s="423"/>
      <c r="G42" s="359"/>
      <c r="H42" s="284">
        <f t="shared" si="0"/>
        <v>0</v>
      </c>
      <c r="I42" s="49"/>
    </row>
    <row r="43" spans="1:9" ht="15.9" customHeight="1" x14ac:dyDescent="0.4">
      <c r="A43" s="417"/>
      <c r="B43" s="349"/>
      <c r="C43" s="356" t="s">
        <v>246</v>
      </c>
      <c r="D43" s="356"/>
      <c r="E43" s="357" t="s">
        <v>195</v>
      </c>
      <c r="F43" s="423">
        <v>1</v>
      </c>
      <c r="G43" s="359">
        <v>1500000</v>
      </c>
      <c r="H43" s="284">
        <f t="shared" si="0"/>
        <v>1500000</v>
      </c>
      <c r="I43" s="49"/>
    </row>
    <row r="44" spans="1:9" ht="15.9" customHeight="1" x14ac:dyDescent="0.4">
      <c r="A44" s="417"/>
      <c r="B44" s="349"/>
      <c r="C44" s="356" t="s">
        <v>247</v>
      </c>
      <c r="D44" s="356"/>
      <c r="E44" s="357" t="s">
        <v>195</v>
      </c>
      <c r="F44" s="423">
        <v>1</v>
      </c>
      <c r="G44" s="359">
        <v>1200000</v>
      </c>
      <c r="H44" s="284">
        <f t="shared" si="0"/>
        <v>1200000</v>
      </c>
      <c r="I44" s="49"/>
    </row>
    <row r="45" spans="1:9" ht="15.9" customHeight="1" x14ac:dyDescent="0.4">
      <c r="A45" s="417"/>
      <c r="B45" s="349"/>
      <c r="C45" s="356"/>
      <c r="D45" s="356"/>
      <c r="E45" s="357"/>
      <c r="F45" s="359"/>
      <c r="G45" s="359"/>
      <c r="H45" s="284">
        <f t="shared" si="0"/>
        <v>0</v>
      </c>
      <c r="I45" s="49"/>
    </row>
    <row r="46" spans="1:9" ht="15.9" customHeight="1" x14ac:dyDescent="0.4">
      <c r="A46" s="417"/>
      <c r="B46" s="349"/>
      <c r="C46" s="360" t="s">
        <v>248</v>
      </c>
      <c r="D46" s="377"/>
      <c r="E46" s="390" t="s">
        <v>195</v>
      </c>
      <c r="F46" s="430">
        <v>1</v>
      </c>
      <c r="G46" s="379">
        <v>500000</v>
      </c>
      <c r="H46" s="284">
        <f>F46*G46</f>
        <v>500000</v>
      </c>
      <c r="I46" s="57"/>
    </row>
    <row r="47" spans="1:9" ht="15.9" customHeight="1" x14ac:dyDescent="0.4">
      <c r="A47" s="417"/>
      <c r="B47" s="364"/>
      <c r="C47" s="381"/>
      <c r="D47" s="381"/>
      <c r="E47" s="381"/>
      <c r="F47" s="384"/>
      <c r="G47" s="384"/>
      <c r="H47" s="385">
        <f>SUM(H3:H46)</f>
        <v>47850000</v>
      </c>
      <c r="I47" s="381"/>
    </row>
    <row r="48" spans="1:9" ht="15.9" customHeight="1" x14ac:dyDescent="0.4">
      <c r="A48" s="417"/>
      <c r="B48" s="349" t="s">
        <v>177</v>
      </c>
      <c r="C48" s="350"/>
      <c r="D48" s="350"/>
      <c r="E48" s="350"/>
      <c r="F48" s="353"/>
      <c r="G48" s="353"/>
      <c r="H48" s="304">
        <f t="shared" ref="H48:H110" si="1">IF(F48=0,G48,G48*F48)</f>
        <v>0</v>
      </c>
      <c r="I48" s="354"/>
    </row>
    <row r="49" spans="1:9" ht="15.9" customHeight="1" x14ac:dyDescent="0.4">
      <c r="A49" s="417"/>
      <c r="B49" s="349" t="s">
        <v>178</v>
      </c>
      <c r="C49" s="356"/>
      <c r="D49" s="356"/>
      <c r="E49" s="356"/>
      <c r="F49" s="359"/>
      <c r="G49" s="359"/>
      <c r="H49" s="284">
        <f t="shared" si="1"/>
        <v>0</v>
      </c>
      <c r="I49" s="49"/>
    </row>
    <row r="50" spans="1:9" ht="15.9" customHeight="1" x14ac:dyDescent="0.4">
      <c r="A50" s="417"/>
      <c r="B50" s="349"/>
      <c r="C50" s="360"/>
      <c r="D50" s="360"/>
      <c r="E50" s="360"/>
      <c r="F50" s="363"/>
      <c r="G50" s="363"/>
      <c r="H50" s="284">
        <f t="shared" si="1"/>
        <v>0</v>
      </c>
      <c r="I50" s="64"/>
    </row>
    <row r="51" spans="1:9" ht="15.9" customHeight="1" x14ac:dyDescent="0.4">
      <c r="A51" s="417"/>
      <c r="B51" s="364"/>
      <c r="C51" s="365"/>
      <c r="D51" s="366"/>
      <c r="E51" s="366"/>
      <c r="F51" s="422"/>
      <c r="G51" s="368"/>
      <c r="H51" s="77">
        <f>SUM(H48:H50)</f>
        <v>0</v>
      </c>
      <c r="I51" s="72"/>
    </row>
    <row r="52" spans="1:9" ht="15.9" customHeight="1" x14ac:dyDescent="0.4">
      <c r="A52" s="417"/>
      <c r="B52" s="386" t="s">
        <v>179</v>
      </c>
      <c r="C52" s="356" t="s">
        <v>249</v>
      </c>
      <c r="D52" s="356"/>
      <c r="E52" s="357" t="s">
        <v>195</v>
      </c>
      <c r="F52" s="423">
        <v>1</v>
      </c>
      <c r="G52" s="359">
        <v>2000000</v>
      </c>
      <c r="H52" s="284">
        <f>F52*G52</f>
        <v>2000000</v>
      </c>
      <c r="I52" s="375"/>
    </row>
    <row r="53" spans="1:9" ht="15.9" customHeight="1" x14ac:dyDescent="0.4">
      <c r="A53" s="417"/>
      <c r="B53" s="349" t="s">
        <v>181</v>
      </c>
      <c r="C53" s="356" t="s">
        <v>219</v>
      </c>
      <c r="D53" s="356"/>
      <c r="E53" s="357"/>
      <c r="F53" s="423"/>
      <c r="G53" s="359"/>
      <c r="H53" s="284">
        <f t="shared" ref="H53:H102" si="2">F53*G53</f>
        <v>0</v>
      </c>
      <c r="I53" s="49"/>
    </row>
    <row r="54" spans="1:9" ht="15.9" customHeight="1" x14ac:dyDescent="0.4">
      <c r="A54" s="417"/>
      <c r="B54" s="349"/>
      <c r="C54" s="356" t="s">
        <v>220</v>
      </c>
      <c r="D54" s="356"/>
      <c r="E54" s="357" t="s">
        <v>195</v>
      </c>
      <c r="F54" s="423">
        <v>1</v>
      </c>
      <c r="G54" s="359">
        <v>1000000</v>
      </c>
      <c r="H54" s="284">
        <f t="shared" si="2"/>
        <v>1000000</v>
      </c>
      <c r="I54" s="49"/>
    </row>
    <row r="55" spans="1:9" ht="15.9" customHeight="1" x14ac:dyDescent="0.4">
      <c r="A55" s="417"/>
      <c r="B55" s="349"/>
      <c r="C55" s="356" t="s">
        <v>221</v>
      </c>
      <c r="D55" s="356"/>
      <c r="E55" s="357" t="s">
        <v>195</v>
      </c>
      <c r="F55" s="423">
        <v>1</v>
      </c>
      <c r="G55" s="359">
        <v>1000000</v>
      </c>
      <c r="H55" s="284">
        <f t="shared" si="2"/>
        <v>1000000</v>
      </c>
      <c r="I55" s="49"/>
    </row>
    <row r="56" spans="1:9" ht="15.9" customHeight="1" x14ac:dyDescent="0.4">
      <c r="A56" s="417"/>
      <c r="B56" s="349"/>
      <c r="C56" s="356" t="s">
        <v>222</v>
      </c>
      <c r="D56" s="356"/>
      <c r="E56" s="357" t="s">
        <v>195</v>
      </c>
      <c r="F56" s="423">
        <v>1</v>
      </c>
      <c r="G56" s="359">
        <v>1000000</v>
      </c>
      <c r="H56" s="284">
        <f t="shared" si="2"/>
        <v>1000000</v>
      </c>
      <c r="I56" s="49"/>
    </row>
    <row r="57" spans="1:9" ht="15.9" customHeight="1" x14ac:dyDescent="0.4">
      <c r="A57" s="417"/>
      <c r="B57" s="349"/>
      <c r="C57" s="356" t="s">
        <v>250</v>
      </c>
      <c r="D57" s="356"/>
      <c r="E57" s="357" t="s">
        <v>195</v>
      </c>
      <c r="F57" s="423">
        <v>1</v>
      </c>
      <c r="G57" s="359">
        <v>200000</v>
      </c>
      <c r="H57" s="284">
        <f t="shared" si="2"/>
        <v>200000</v>
      </c>
      <c r="I57" s="49"/>
    </row>
    <row r="58" spans="1:9" ht="15.9" customHeight="1" x14ac:dyDescent="0.4">
      <c r="A58" s="417"/>
      <c r="B58" s="349"/>
      <c r="C58" s="356" t="s">
        <v>224</v>
      </c>
      <c r="D58" s="356"/>
      <c r="E58" s="357"/>
      <c r="F58" s="423"/>
      <c r="G58" s="359"/>
      <c r="H58" s="284">
        <f t="shared" si="2"/>
        <v>0</v>
      </c>
      <c r="I58" s="49"/>
    </row>
    <row r="59" spans="1:9" ht="15.9" customHeight="1" x14ac:dyDescent="0.4">
      <c r="A59" s="417"/>
      <c r="B59" s="349"/>
      <c r="C59" s="356" t="s">
        <v>225</v>
      </c>
      <c r="D59" s="356"/>
      <c r="E59" s="357" t="s">
        <v>195</v>
      </c>
      <c r="F59" s="423">
        <v>1</v>
      </c>
      <c r="G59" s="359">
        <v>1800000</v>
      </c>
      <c r="H59" s="284">
        <f t="shared" si="2"/>
        <v>1800000</v>
      </c>
      <c r="I59" s="49"/>
    </row>
    <row r="60" spans="1:9" ht="15.9" customHeight="1" x14ac:dyDescent="0.4">
      <c r="A60" s="417"/>
      <c r="B60" s="349"/>
      <c r="C60" s="356" t="s">
        <v>226</v>
      </c>
      <c r="D60" s="356"/>
      <c r="E60" s="357" t="s">
        <v>195</v>
      </c>
      <c r="F60" s="423">
        <v>1</v>
      </c>
      <c r="G60" s="359">
        <v>2800000</v>
      </c>
      <c r="H60" s="284">
        <f t="shared" si="2"/>
        <v>2800000</v>
      </c>
      <c r="I60" s="49"/>
    </row>
    <row r="61" spans="1:9" ht="15.9" customHeight="1" x14ac:dyDescent="0.4">
      <c r="A61" s="417"/>
      <c r="B61" s="349"/>
      <c r="C61" s="356" t="s">
        <v>227</v>
      </c>
      <c r="D61" s="356"/>
      <c r="E61" s="357" t="s">
        <v>195</v>
      </c>
      <c r="F61" s="423">
        <v>1</v>
      </c>
      <c r="G61" s="359">
        <v>800000</v>
      </c>
      <c r="H61" s="284">
        <f t="shared" si="2"/>
        <v>800000</v>
      </c>
      <c r="I61" s="49"/>
    </row>
    <row r="62" spans="1:9" ht="15.9" customHeight="1" x14ac:dyDescent="0.4">
      <c r="A62" s="417"/>
      <c r="B62" s="349"/>
      <c r="C62" s="356" t="s">
        <v>250</v>
      </c>
      <c r="D62" s="356"/>
      <c r="E62" s="357" t="s">
        <v>195</v>
      </c>
      <c r="F62" s="423">
        <v>1</v>
      </c>
      <c r="G62" s="359">
        <v>200000</v>
      </c>
      <c r="H62" s="284">
        <f t="shared" si="2"/>
        <v>200000</v>
      </c>
      <c r="I62" s="49"/>
    </row>
    <row r="63" spans="1:9" ht="15.9" customHeight="1" x14ac:dyDescent="0.4">
      <c r="A63" s="417"/>
      <c r="B63" s="349"/>
      <c r="C63" s="356" t="s">
        <v>228</v>
      </c>
      <c r="D63" s="428"/>
      <c r="E63" s="357"/>
      <c r="F63" s="423"/>
      <c r="G63" s="359"/>
      <c r="H63" s="284">
        <f t="shared" si="2"/>
        <v>0</v>
      </c>
      <c r="I63" s="49"/>
    </row>
    <row r="64" spans="1:9" ht="15.9" customHeight="1" x14ac:dyDescent="0.4">
      <c r="A64" s="417"/>
      <c r="B64" s="349"/>
      <c r="C64" s="356" t="s">
        <v>251</v>
      </c>
      <c r="D64" s="428" t="s">
        <v>252</v>
      </c>
      <c r="E64" s="357" t="s">
        <v>195</v>
      </c>
      <c r="F64" s="423">
        <v>2</v>
      </c>
      <c r="G64" s="359">
        <v>20000000</v>
      </c>
      <c r="H64" s="284">
        <f t="shared" si="2"/>
        <v>40000000</v>
      </c>
      <c r="I64" s="49"/>
    </row>
    <row r="65" spans="1:9" ht="15.9" customHeight="1" x14ac:dyDescent="0.4">
      <c r="A65" s="417"/>
      <c r="B65" s="349"/>
      <c r="C65" s="356" t="s">
        <v>230</v>
      </c>
      <c r="D65" s="428"/>
      <c r="E65" s="357" t="s">
        <v>195</v>
      </c>
      <c r="F65" s="423">
        <v>1</v>
      </c>
      <c r="G65" s="359">
        <v>1000000</v>
      </c>
      <c r="H65" s="284">
        <f t="shared" si="2"/>
        <v>1000000</v>
      </c>
      <c r="I65" s="49"/>
    </row>
    <row r="66" spans="1:9" ht="15.9" customHeight="1" x14ac:dyDescent="0.4">
      <c r="A66" s="417"/>
      <c r="B66" s="349"/>
      <c r="C66" s="356" t="s">
        <v>250</v>
      </c>
      <c r="D66" s="428"/>
      <c r="E66" s="357" t="s">
        <v>195</v>
      </c>
      <c r="F66" s="423">
        <v>1</v>
      </c>
      <c r="G66" s="359">
        <v>200000</v>
      </c>
      <c r="H66" s="284">
        <f t="shared" si="2"/>
        <v>200000</v>
      </c>
      <c r="I66" s="49"/>
    </row>
    <row r="67" spans="1:9" ht="15.9" customHeight="1" x14ac:dyDescent="0.4">
      <c r="A67" s="417"/>
      <c r="B67" s="349"/>
      <c r="C67" s="356" t="s">
        <v>231</v>
      </c>
      <c r="D67" s="429"/>
      <c r="E67" s="357"/>
      <c r="F67" s="423"/>
      <c r="G67" s="359"/>
      <c r="H67" s="284">
        <f t="shared" si="2"/>
        <v>0</v>
      </c>
      <c r="I67" s="49"/>
    </row>
    <row r="68" spans="1:9" ht="15.9" customHeight="1" x14ac:dyDescent="0.4">
      <c r="A68" s="417"/>
      <c r="B68" s="349"/>
      <c r="C68" s="356" t="s">
        <v>253</v>
      </c>
      <c r="D68" s="429" t="s">
        <v>254</v>
      </c>
      <c r="E68" s="357" t="s">
        <v>195</v>
      </c>
      <c r="F68" s="423">
        <v>1</v>
      </c>
      <c r="G68" s="359">
        <v>15000000</v>
      </c>
      <c r="H68" s="284">
        <f t="shared" si="2"/>
        <v>15000000</v>
      </c>
      <c r="I68" s="49"/>
    </row>
    <row r="69" spans="1:9" ht="15.9" customHeight="1" x14ac:dyDescent="0.4">
      <c r="A69" s="417"/>
      <c r="B69" s="349"/>
      <c r="C69" s="356" t="s">
        <v>233</v>
      </c>
      <c r="D69" s="429"/>
      <c r="E69" s="357"/>
      <c r="F69" s="423"/>
      <c r="G69" s="359"/>
      <c r="H69" s="284">
        <f t="shared" si="2"/>
        <v>0</v>
      </c>
      <c r="I69" s="49"/>
    </row>
    <row r="70" spans="1:9" ht="15.9" customHeight="1" x14ac:dyDescent="0.4">
      <c r="A70" s="417"/>
      <c r="B70" s="349"/>
      <c r="C70" s="356" t="s">
        <v>226</v>
      </c>
      <c r="D70" s="429"/>
      <c r="E70" s="357" t="s">
        <v>195</v>
      </c>
      <c r="F70" s="423">
        <v>1</v>
      </c>
      <c r="G70" s="359">
        <v>2800000</v>
      </c>
      <c r="H70" s="284">
        <f t="shared" si="2"/>
        <v>2800000</v>
      </c>
      <c r="I70" s="57"/>
    </row>
    <row r="71" spans="1:9" ht="15.9" customHeight="1" x14ac:dyDescent="0.4">
      <c r="A71" s="417"/>
      <c r="B71" s="349"/>
      <c r="C71" s="356" t="s">
        <v>234</v>
      </c>
      <c r="D71" s="429"/>
      <c r="E71" s="357" t="s">
        <v>195</v>
      </c>
      <c r="F71" s="423">
        <v>1</v>
      </c>
      <c r="G71" s="359">
        <v>1200000</v>
      </c>
      <c r="H71" s="284">
        <f t="shared" si="2"/>
        <v>1200000</v>
      </c>
      <c r="I71" s="49"/>
    </row>
    <row r="72" spans="1:9" ht="15.9" customHeight="1" x14ac:dyDescent="0.4">
      <c r="A72" s="417"/>
      <c r="B72" s="349"/>
      <c r="C72" s="356" t="s">
        <v>237</v>
      </c>
      <c r="D72" s="356"/>
      <c r="E72" s="357"/>
      <c r="F72" s="423"/>
      <c r="G72" s="359"/>
      <c r="H72" s="284">
        <f t="shared" si="2"/>
        <v>0</v>
      </c>
      <c r="I72" s="49"/>
    </row>
    <row r="73" spans="1:9" ht="15.9" customHeight="1" x14ac:dyDescent="0.4">
      <c r="A73" s="417"/>
      <c r="B73" s="349"/>
      <c r="C73" s="356" t="s">
        <v>255</v>
      </c>
      <c r="D73" s="356"/>
      <c r="E73" s="357" t="s">
        <v>195</v>
      </c>
      <c r="F73" s="423">
        <v>1</v>
      </c>
      <c r="G73" s="359">
        <v>1200000</v>
      </c>
      <c r="H73" s="284">
        <f t="shared" si="2"/>
        <v>1200000</v>
      </c>
      <c r="I73" s="49"/>
    </row>
    <row r="74" spans="1:9" ht="15.9" customHeight="1" x14ac:dyDescent="0.4">
      <c r="A74" s="417"/>
      <c r="B74" s="349"/>
      <c r="C74" s="356" t="s">
        <v>239</v>
      </c>
      <c r="D74" s="356"/>
      <c r="E74" s="357" t="s">
        <v>195</v>
      </c>
      <c r="F74" s="423">
        <v>1</v>
      </c>
      <c r="G74" s="359">
        <v>500000</v>
      </c>
      <c r="H74" s="284">
        <f t="shared" si="2"/>
        <v>500000</v>
      </c>
      <c r="I74" s="49"/>
    </row>
    <row r="75" spans="1:9" ht="15.9" customHeight="1" x14ac:dyDescent="0.4">
      <c r="A75" s="417"/>
      <c r="B75" s="349"/>
      <c r="C75" s="356" t="s">
        <v>240</v>
      </c>
      <c r="D75" s="356"/>
      <c r="E75" s="357"/>
      <c r="F75" s="423"/>
      <c r="G75" s="359"/>
      <c r="H75" s="284">
        <f t="shared" si="2"/>
        <v>0</v>
      </c>
      <c r="I75" s="49"/>
    </row>
    <row r="76" spans="1:9" ht="15.9" customHeight="1" x14ac:dyDescent="0.4">
      <c r="A76" s="417"/>
      <c r="B76" s="349"/>
      <c r="C76" s="356" t="s">
        <v>226</v>
      </c>
      <c r="D76" s="356"/>
      <c r="E76" s="357" t="s">
        <v>195</v>
      </c>
      <c r="F76" s="423">
        <v>1</v>
      </c>
      <c r="G76" s="359">
        <v>2800000</v>
      </c>
      <c r="H76" s="284">
        <f t="shared" si="2"/>
        <v>2800000</v>
      </c>
      <c r="I76" s="49"/>
    </row>
    <row r="77" spans="1:9" ht="15.9" customHeight="1" x14ac:dyDescent="0.4">
      <c r="A77" s="417"/>
      <c r="B77" s="349"/>
      <c r="C77" s="356" t="s">
        <v>234</v>
      </c>
      <c r="D77" s="356"/>
      <c r="E77" s="357" t="s">
        <v>195</v>
      </c>
      <c r="F77" s="423">
        <v>1</v>
      </c>
      <c r="G77" s="359">
        <v>1500000</v>
      </c>
      <c r="H77" s="284">
        <f t="shared" si="2"/>
        <v>1500000</v>
      </c>
      <c r="I77" s="49"/>
    </row>
    <row r="78" spans="1:9" ht="15.9" customHeight="1" x14ac:dyDescent="0.4">
      <c r="A78" s="417"/>
      <c r="B78" s="349"/>
      <c r="C78" s="356" t="s">
        <v>239</v>
      </c>
      <c r="D78" s="356"/>
      <c r="E78" s="357" t="s">
        <v>195</v>
      </c>
      <c r="F78" s="423">
        <v>1</v>
      </c>
      <c r="G78" s="359">
        <v>500000</v>
      </c>
      <c r="H78" s="284">
        <f t="shared" si="2"/>
        <v>500000</v>
      </c>
      <c r="I78" s="49"/>
    </row>
    <row r="79" spans="1:9" ht="15.9" customHeight="1" x14ac:dyDescent="0.4">
      <c r="A79" s="417"/>
      <c r="B79" s="349"/>
      <c r="C79" s="356" t="s">
        <v>241</v>
      </c>
      <c r="D79" s="356"/>
      <c r="E79" s="357"/>
      <c r="F79" s="423"/>
      <c r="G79" s="359"/>
      <c r="H79" s="284">
        <f t="shared" si="2"/>
        <v>0</v>
      </c>
      <c r="I79" s="49"/>
    </row>
    <row r="80" spans="1:9" ht="15.9" customHeight="1" x14ac:dyDescent="0.4">
      <c r="A80" s="417"/>
      <c r="B80" s="349"/>
      <c r="C80" s="356" t="s">
        <v>226</v>
      </c>
      <c r="D80" s="356"/>
      <c r="E80" s="357" t="s">
        <v>195</v>
      </c>
      <c r="F80" s="423">
        <v>2</v>
      </c>
      <c r="G80" s="359">
        <v>2800000</v>
      </c>
      <c r="H80" s="284">
        <f t="shared" si="2"/>
        <v>5600000</v>
      </c>
      <c r="I80" s="49"/>
    </row>
    <row r="81" spans="1:9" ht="15.9" customHeight="1" x14ac:dyDescent="0.4">
      <c r="A81" s="417"/>
      <c r="B81" s="349"/>
      <c r="C81" s="356" t="s">
        <v>227</v>
      </c>
      <c r="D81" s="356"/>
      <c r="E81" s="357" t="s">
        <v>195</v>
      </c>
      <c r="F81" s="423">
        <v>2</v>
      </c>
      <c r="G81" s="359">
        <v>1000000</v>
      </c>
      <c r="H81" s="284">
        <f t="shared" si="2"/>
        <v>2000000</v>
      </c>
      <c r="I81" s="49"/>
    </row>
    <row r="82" spans="1:9" ht="15.9" customHeight="1" x14ac:dyDescent="0.4">
      <c r="A82" s="417"/>
      <c r="B82" s="349"/>
      <c r="C82" s="356" t="s">
        <v>242</v>
      </c>
      <c r="D82" s="428"/>
      <c r="E82" s="357"/>
      <c r="F82" s="423"/>
      <c r="G82" s="359"/>
      <c r="H82" s="284">
        <f t="shared" si="2"/>
        <v>0</v>
      </c>
      <c r="I82" s="49"/>
    </row>
    <row r="83" spans="1:9" ht="15.9" customHeight="1" x14ac:dyDescent="0.4">
      <c r="A83" s="417"/>
      <c r="B83" s="349"/>
      <c r="C83" s="356" t="s">
        <v>243</v>
      </c>
      <c r="D83" s="428"/>
      <c r="E83" s="357" t="s">
        <v>195</v>
      </c>
      <c r="F83" s="423">
        <v>1</v>
      </c>
      <c r="G83" s="359">
        <v>500000</v>
      </c>
      <c r="H83" s="284">
        <f t="shared" si="2"/>
        <v>500000</v>
      </c>
      <c r="I83" s="49"/>
    </row>
    <row r="84" spans="1:9" ht="15.9" customHeight="1" x14ac:dyDescent="0.4">
      <c r="A84" s="417"/>
      <c r="B84" s="349"/>
      <c r="C84" s="356" t="s">
        <v>244</v>
      </c>
      <c r="D84" s="356"/>
      <c r="E84" s="357"/>
      <c r="F84" s="423"/>
      <c r="G84" s="359"/>
      <c r="H84" s="284">
        <f t="shared" si="2"/>
        <v>0</v>
      </c>
      <c r="I84" s="49"/>
    </row>
    <row r="85" spans="1:9" ht="15.9" customHeight="1" x14ac:dyDescent="0.4">
      <c r="A85" s="417"/>
      <c r="B85" s="349"/>
      <c r="C85" s="356" t="s">
        <v>256</v>
      </c>
      <c r="D85" s="356"/>
      <c r="E85" s="357" t="s">
        <v>195</v>
      </c>
      <c r="F85" s="423">
        <v>2</v>
      </c>
      <c r="G85" s="359">
        <v>7000000</v>
      </c>
      <c r="H85" s="284">
        <f t="shared" si="2"/>
        <v>14000000</v>
      </c>
      <c r="I85" s="49"/>
    </row>
    <row r="86" spans="1:9" ht="15.9" customHeight="1" x14ac:dyDescent="0.4">
      <c r="A86" s="417"/>
      <c r="B86" s="349"/>
      <c r="C86" s="356" t="s">
        <v>257</v>
      </c>
      <c r="D86" s="356"/>
      <c r="E86" s="357" t="s">
        <v>195</v>
      </c>
      <c r="F86" s="423">
        <v>1</v>
      </c>
      <c r="G86" s="359">
        <v>600000</v>
      </c>
      <c r="H86" s="284">
        <f t="shared" si="2"/>
        <v>600000</v>
      </c>
      <c r="I86" s="49"/>
    </row>
    <row r="87" spans="1:9" ht="15.9" customHeight="1" x14ac:dyDescent="0.4">
      <c r="A87" s="417"/>
      <c r="B87" s="349"/>
      <c r="C87" s="356" t="s">
        <v>227</v>
      </c>
      <c r="D87" s="356"/>
      <c r="E87" s="357" t="s">
        <v>195</v>
      </c>
      <c r="F87" s="423">
        <v>2</v>
      </c>
      <c r="G87" s="359">
        <v>1000000</v>
      </c>
      <c r="H87" s="284">
        <f t="shared" si="2"/>
        <v>2000000</v>
      </c>
      <c r="I87" s="49"/>
    </row>
    <row r="88" spans="1:9" ht="15.9" customHeight="1" x14ac:dyDescent="0.4">
      <c r="A88" s="417"/>
      <c r="B88" s="349"/>
      <c r="C88" s="356" t="s">
        <v>245</v>
      </c>
      <c r="D88" s="356"/>
      <c r="E88" s="357"/>
      <c r="F88" s="423"/>
      <c r="G88" s="359"/>
      <c r="H88" s="284">
        <f t="shared" si="2"/>
        <v>0</v>
      </c>
      <c r="I88" s="49"/>
    </row>
    <row r="89" spans="1:9" ht="15.9" customHeight="1" x14ac:dyDescent="0.4">
      <c r="A89" s="417"/>
      <c r="B89" s="349"/>
      <c r="C89" s="356" t="s">
        <v>258</v>
      </c>
      <c r="D89" s="356"/>
      <c r="E89" s="357" t="s">
        <v>195</v>
      </c>
      <c r="F89" s="423">
        <v>1</v>
      </c>
      <c r="G89" s="359">
        <v>1000000</v>
      </c>
      <c r="H89" s="284">
        <f t="shared" si="2"/>
        <v>1000000</v>
      </c>
      <c r="I89" s="49"/>
    </row>
    <row r="90" spans="1:9" ht="15.9" customHeight="1" x14ac:dyDescent="0.4">
      <c r="A90" s="417"/>
      <c r="B90" s="349"/>
      <c r="C90" s="356" t="s">
        <v>259</v>
      </c>
      <c r="D90" s="356"/>
      <c r="E90" s="357" t="s">
        <v>195</v>
      </c>
      <c r="F90" s="423">
        <v>1</v>
      </c>
      <c r="G90" s="359">
        <v>2000000</v>
      </c>
      <c r="H90" s="284">
        <f t="shared" si="2"/>
        <v>2000000</v>
      </c>
      <c r="I90" s="49"/>
    </row>
    <row r="91" spans="1:9" ht="15.9" customHeight="1" x14ac:dyDescent="0.4">
      <c r="A91" s="417"/>
      <c r="B91" s="349"/>
      <c r="C91" s="356" t="s">
        <v>260</v>
      </c>
      <c r="D91" s="356"/>
      <c r="E91" s="357" t="s">
        <v>195</v>
      </c>
      <c r="F91" s="423">
        <v>1</v>
      </c>
      <c r="G91" s="359">
        <v>1000000</v>
      </c>
      <c r="H91" s="284">
        <f t="shared" si="2"/>
        <v>1000000</v>
      </c>
      <c r="I91" s="49"/>
    </row>
    <row r="92" spans="1:9" ht="15.9" customHeight="1" x14ac:dyDescent="0.4">
      <c r="A92" s="417"/>
      <c r="B92" s="349"/>
      <c r="C92" s="356" t="s">
        <v>261</v>
      </c>
      <c r="D92" s="356"/>
      <c r="E92" s="357" t="s">
        <v>195</v>
      </c>
      <c r="F92" s="423">
        <v>1</v>
      </c>
      <c r="G92" s="359">
        <v>1200000</v>
      </c>
      <c r="H92" s="284">
        <f t="shared" si="2"/>
        <v>1200000</v>
      </c>
      <c r="I92" s="49"/>
    </row>
    <row r="93" spans="1:9" ht="15.9" customHeight="1" x14ac:dyDescent="0.4">
      <c r="A93" s="417"/>
      <c r="B93" s="349"/>
      <c r="C93" s="356" t="s">
        <v>218</v>
      </c>
      <c r="D93" s="356"/>
      <c r="E93" s="357" t="s">
        <v>195</v>
      </c>
      <c r="F93" s="359">
        <v>2</v>
      </c>
      <c r="G93" s="359">
        <v>600000</v>
      </c>
      <c r="H93" s="284">
        <f t="shared" si="2"/>
        <v>1200000</v>
      </c>
      <c r="I93" s="49"/>
    </row>
    <row r="94" spans="1:9" ht="15.9" customHeight="1" x14ac:dyDescent="0.4">
      <c r="A94" s="417"/>
      <c r="B94" s="349"/>
      <c r="C94" s="418" t="s">
        <v>262</v>
      </c>
      <c r="D94" s="418"/>
      <c r="E94" s="419"/>
      <c r="F94" s="420"/>
      <c r="G94" s="420"/>
      <c r="H94" s="284">
        <f t="shared" si="2"/>
        <v>0</v>
      </c>
      <c r="I94" s="49"/>
    </row>
    <row r="95" spans="1:9" ht="15.9" customHeight="1" x14ac:dyDescent="0.4">
      <c r="A95" s="417"/>
      <c r="B95" s="349"/>
      <c r="C95" s="356" t="s">
        <v>263</v>
      </c>
      <c r="D95" s="356" t="s">
        <v>264</v>
      </c>
      <c r="E95" s="357" t="s">
        <v>195</v>
      </c>
      <c r="F95" s="423">
        <v>1</v>
      </c>
      <c r="G95" s="359">
        <v>350000</v>
      </c>
      <c r="H95" s="284">
        <f t="shared" si="2"/>
        <v>350000</v>
      </c>
      <c r="I95" s="49"/>
    </row>
    <row r="96" spans="1:9" ht="15.9" customHeight="1" x14ac:dyDescent="0.4">
      <c r="A96" s="417"/>
      <c r="B96" s="349"/>
      <c r="C96" s="356" t="s">
        <v>265</v>
      </c>
      <c r="D96" s="356" t="s">
        <v>266</v>
      </c>
      <c r="E96" s="357" t="s">
        <v>195</v>
      </c>
      <c r="F96" s="423">
        <v>20</v>
      </c>
      <c r="G96" s="359">
        <v>75000</v>
      </c>
      <c r="H96" s="284">
        <f t="shared" si="2"/>
        <v>1500000</v>
      </c>
      <c r="I96" s="49"/>
    </row>
    <row r="97" spans="1:9" ht="15.9" customHeight="1" x14ac:dyDescent="0.4">
      <c r="A97" s="417"/>
      <c r="B97" s="349"/>
      <c r="C97" s="356" t="s">
        <v>267</v>
      </c>
      <c r="D97" s="356" t="s">
        <v>268</v>
      </c>
      <c r="E97" s="357" t="s">
        <v>195</v>
      </c>
      <c r="F97" s="423">
        <v>2</v>
      </c>
      <c r="G97" s="359">
        <v>850000</v>
      </c>
      <c r="H97" s="284">
        <f t="shared" si="2"/>
        <v>1700000</v>
      </c>
      <c r="I97" s="49"/>
    </row>
    <row r="98" spans="1:9" ht="15.9" customHeight="1" x14ac:dyDescent="0.4">
      <c r="A98" s="417"/>
      <c r="B98" s="349"/>
      <c r="C98" s="356" t="s">
        <v>269</v>
      </c>
      <c r="D98" s="356"/>
      <c r="E98" s="357" t="s">
        <v>195</v>
      </c>
      <c r="F98" s="423">
        <v>20</v>
      </c>
      <c r="G98" s="359">
        <v>7000</v>
      </c>
      <c r="H98" s="284">
        <f t="shared" si="2"/>
        <v>140000</v>
      </c>
      <c r="I98" s="49"/>
    </row>
    <row r="99" spans="1:9" ht="15.9" customHeight="1" x14ac:dyDescent="0.4">
      <c r="A99" s="417"/>
      <c r="B99" s="349"/>
      <c r="C99" s="356" t="s">
        <v>270</v>
      </c>
      <c r="D99" s="356"/>
      <c r="E99" s="357" t="s">
        <v>195</v>
      </c>
      <c r="F99" s="423">
        <v>2</v>
      </c>
      <c r="G99" s="359">
        <v>100000</v>
      </c>
      <c r="H99" s="284">
        <f t="shared" si="2"/>
        <v>200000</v>
      </c>
      <c r="I99" s="49"/>
    </row>
    <row r="100" spans="1:9" ht="15.9" customHeight="1" x14ac:dyDescent="0.4">
      <c r="A100" s="417"/>
      <c r="B100" s="349"/>
      <c r="C100" s="418" t="s">
        <v>271</v>
      </c>
      <c r="D100" s="418"/>
      <c r="E100" s="419" t="s">
        <v>195</v>
      </c>
      <c r="F100" s="420">
        <v>2</v>
      </c>
      <c r="G100" s="420">
        <v>100000</v>
      </c>
      <c r="H100" s="284">
        <f>F100*G100</f>
        <v>200000</v>
      </c>
      <c r="I100" s="49"/>
    </row>
    <row r="101" spans="1:9" ht="15.9" customHeight="1" x14ac:dyDescent="0.4">
      <c r="A101" s="417"/>
      <c r="B101" s="349"/>
      <c r="C101" s="377"/>
      <c r="D101" s="377"/>
      <c r="E101" s="390"/>
      <c r="F101" s="430"/>
      <c r="G101" s="379"/>
      <c r="H101" s="284">
        <f t="shared" si="2"/>
        <v>0</v>
      </c>
      <c r="I101" s="49"/>
    </row>
    <row r="102" spans="1:9" ht="15.9" customHeight="1" x14ac:dyDescent="0.4">
      <c r="A102" s="417"/>
      <c r="B102" s="349"/>
      <c r="C102" s="360" t="s">
        <v>248</v>
      </c>
      <c r="D102" s="360"/>
      <c r="E102" s="361" t="s">
        <v>195</v>
      </c>
      <c r="F102" s="431">
        <v>1</v>
      </c>
      <c r="G102" s="363">
        <v>500000</v>
      </c>
      <c r="H102" s="284">
        <f t="shared" si="2"/>
        <v>500000</v>
      </c>
      <c r="I102" s="64"/>
    </row>
    <row r="103" spans="1:9" ht="15.9" customHeight="1" x14ac:dyDescent="0.4">
      <c r="A103" s="417"/>
      <c r="B103" s="364"/>
      <c r="C103" s="365"/>
      <c r="D103" s="366"/>
      <c r="E103" s="366"/>
      <c r="F103" s="368"/>
      <c r="G103" s="368"/>
      <c r="H103" s="77">
        <f>SUM(H52:H102)</f>
        <v>113190000</v>
      </c>
      <c r="I103" s="72"/>
    </row>
    <row r="104" spans="1:9" ht="15.9" customHeight="1" x14ac:dyDescent="0.4">
      <c r="A104" s="417"/>
      <c r="B104" s="386" t="s">
        <v>61</v>
      </c>
      <c r="C104" s="370"/>
      <c r="D104" s="370"/>
      <c r="E104" s="371"/>
      <c r="F104" s="373"/>
      <c r="G104" s="373"/>
      <c r="H104" s="374">
        <f t="shared" si="1"/>
        <v>0</v>
      </c>
      <c r="I104" s="375"/>
    </row>
    <row r="105" spans="1:9" ht="15.9" customHeight="1" x14ac:dyDescent="0.4">
      <c r="A105" s="417"/>
      <c r="B105" s="349"/>
      <c r="C105" s="356"/>
      <c r="D105" s="356"/>
      <c r="E105" s="357"/>
      <c r="F105" s="359"/>
      <c r="G105" s="359"/>
      <c r="H105" s="284">
        <f t="shared" si="1"/>
        <v>0</v>
      </c>
      <c r="I105" s="49"/>
    </row>
    <row r="106" spans="1:9" ht="15.9" customHeight="1" x14ac:dyDescent="0.4">
      <c r="A106" s="417"/>
      <c r="B106" s="349"/>
      <c r="C106" s="356"/>
      <c r="D106" s="356"/>
      <c r="E106" s="357"/>
      <c r="F106" s="359"/>
      <c r="G106" s="359"/>
      <c r="H106" s="284">
        <f t="shared" si="1"/>
        <v>0</v>
      </c>
      <c r="I106" s="49"/>
    </row>
    <row r="107" spans="1:9" ht="15.9" customHeight="1" x14ac:dyDescent="0.4">
      <c r="A107" s="417"/>
      <c r="B107" s="349"/>
      <c r="C107" s="356"/>
      <c r="D107" s="356"/>
      <c r="E107" s="357"/>
      <c r="F107" s="359"/>
      <c r="G107" s="359"/>
      <c r="H107" s="284">
        <f t="shared" si="1"/>
        <v>0</v>
      </c>
      <c r="I107" s="49"/>
    </row>
    <row r="108" spans="1:9" ht="15.9" customHeight="1" x14ac:dyDescent="0.4">
      <c r="A108" s="417"/>
      <c r="B108" s="349"/>
      <c r="C108" s="356"/>
      <c r="D108" s="356"/>
      <c r="E108" s="357"/>
      <c r="F108" s="359"/>
      <c r="G108" s="359"/>
      <c r="H108" s="284">
        <f t="shared" si="1"/>
        <v>0</v>
      </c>
      <c r="I108" s="49"/>
    </row>
    <row r="109" spans="1:9" ht="15.9" customHeight="1" x14ac:dyDescent="0.4">
      <c r="A109" s="417"/>
      <c r="B109" s="349"/>
      <c r="C109" s="356"/>
      <c r="D109" s="356"/>
      <c r="E109" s="357"/>
      <c r="F109" s="359"/>
      <c r="G109" s="359"/>
      <c r="H109" s="284">
        <f t="shared" si="1"/>
        <v>0</v>
      </c>
      <c r="I109" s="49"/>
    </row>
    <row r="110" spans="1:9" ht="15.9" customHeight="1" x14ac:dyDescent="0.4">
      <c r="A110" s="417"/>
      <c r="B110" s="349"/>
      <c r="C110" s="360"/>
      <c r="D110" s="360"/>
      <c r="E110" s="361"/>
      <c r="F110" s="363"/>
      <c r="G110" s="363"/>
      <c r="H110" s="314">
        <f t="shared" si="1"/>
        <v>0</v>
      </c>
      <c r="I110" s="64"/>
    </row>
    <row r="111" spans="1:9" ht="15.9" customHeight="1" x14ac:dyDescent="0.4">
      <c r="A111" s="417"/>
      <c r="B111" s="364"/>
      <c r="C111" s="365"/>
      <c r="D111" s="366"/>
      <c r="E111" s="366"/>
      <c r="F111" s="368"/>
      <c r="G111" s="368"/>
      <c r="H111" s="77">
        <f>SUM(H104:H110)</f>
        <v>0</v>
      </c>
      <c r="I111" s="72"/>
    </row>
    <row r="112" spans="1:9" ht="15.9" customHeight="1" x14ac:dyDescent="0.4">
      <c r="A112" s="392"/>
      <c r="B112" s="393" t="s">
        <v>149</v>
      </c>
      <c r="C112" s="394"/>
      <c r="D112" s="72"/>
      <c r="E112" s="72"/>
      <c r="F112" s="396"/>
      <c r="G112" s="396"/>
      <c r="H112" s="77">
        <f>SUM(H111,H103,H51,H47)</f>
        <v>161040000</v>
      </c>
      <c r="I112" s="72"/>
    </row>
    <row r="113" spans="1:9" ht="15.9" customHeight="1" x14ac:dyDescent="0.4">
      <c r="A113" s="348" t="s">
        <v>150</v>
      </c>
      <c r="B113" s="398" t="s">
        <v>67</v>
      </c>
      <c r="C113" s="394"/>
      <c r="D113" s="72"/>
      <c r="E113" s="398" t="s">
        <v>68</v>
      </c>
      <c r="F113" s="432">
        <v>0</v>
      </c>
      <c r="G113" s="413">
        <v>250000</v>
      </c>
      <c r="H113" s="402">
        <f>F113*G113</f>
        <v>0</v>
      </c>
      <c r="I113" s="72"/>
    </row>
    <row r="114" spans="1:9" ht="15.9" customHeight="1" x14ac:dyDescent="0.4">
      <c r="A114" s="417"/>
      <c r="B114" s="404" t="s">
        <v>204</v>
      </c>
      <c r="C114" s="405"/>
      <c r="D114" s="375"/>
      <c r="E114" s="404" t="s">
        <v>152</v>
      </c>
      <c r="F114" s="433">
        <v>20</v>
      </c>
      <c r="G114" s="373">
        <v>300000</v>
      </c>
      <c r="H114" s="374">
        <f t="shared" ref="H114:H120" si="3">F114*G114</f>
        <v>6000000</v>
      </c>
      <c r="I114" s="375"/>
    </row>
    <row r="115" spans="1:9" ht="15.9" customHeight="1" x14ac:dyDescent="0.4">
      <c r="A115" s="417"/>
      <c r="B115" s="406" t="s">
        <v>205</v>
      </c>
      <c r="C115" s="407"/>
      <c r="D115" s="49"/>
      <c r="E115" s="406" t="s">
        <v>152</v>
      </c>
      <c r="F115" s="434">
        <v>10</v>
      </c>
      <c r="G115" s="359">
        <v>250000</v>
      </c>
      <c r="H115" s="284">
        <f t="shared" si="3"/>
        <v>2500000</v>
      </c>
      <c r="I115" s="49"/>
    </row>
    <row r="116" spans="1:9" ht="15.9" customHeight="1" x14ac:dyDescent="0.4">
      <c r="A116" s="417"/>
      <c r="B116" s="406" t="s">
        <v>206</v>
      </c>
      <c r="C116" s="407"/>
      <c r="D116" s="49"/>
      <c r="E116" s="406" t="s">
        <v>152</v>
      </c>
      <c r="F116" s="434">
        <v>30</v>
      </c>
      <c r="G116" s="359">
        <v>250000</v>
      </c>
      <c r="H116" s="284">
        <f t="shared" si="3"/>
        <v>7500000</v>
      </c>
      <c r="I116" s="49"/>
    </row>
    <row r="117" spans="1:9" ht="15.9" customHeight="1" x14ac:dyDescent="0.4">
      <c r="A117" s="417"/>
      <c r="B117" s="406" t="s">
        <v>207</v>
      </c>
      <c r="C117" s="407"/>
      <c r="D117" s="49"/>
      <c r="E117" s="406" t="s">
        <v>152</v>
      </c>
      <c r="F117" s="434">
        <v>4</v>
      </c>
      <c r="G117" s="359">
        <v>300000</v>
      </c>
      <c r="H117" s="284">
        <f t="shared" si="3"/>
        <v>1200000</v>
      </c>
      <c r="I117" s="49"/>
    </row>
    <row r="118" spans="1:9" ht="15.9" customHeight="1" x14ac:dyDescent="0.4">
      <c r="A118" s="417"/>
      <c r="B118" s="406" t="s">
        <v>208</v>
      </c>
      <c r="C118" s="407"/>
      <c r="D118" s="49"/>
      <c r="E118" s="406" t="s">
        <v>152</v>
      </c>
      <c r="F118" s="434">
        <v>4</v>
      </c>
      <c r="G118" s="359">
        <v>300000</v>
      </c>
      <c r="H118" s="284">
        <f t="shared" si="3"/>
        <v>1200000</v>
      </c>
      <c r="I118" s="49"/>
    </row>
    <row r="119" spans="1:9" ht="15.9" customHeight="1" x14ac:dyDescent="0.4">
      <c r="A119" s="417"/>
      <c r="B119" s="406" t="s">
        <v>209</v>
      </c>
      <c r="C119" s="407"/>
      <c r="D119" s="49"/>
      <c r="E119" s="406" t="s">
        <v>152</v>
      </c>
      <c r="F119" s="434">
        <v>1</v>
      </c>
      <c r="G119" s="359">
        <v>300000</v>
      </c>
      <c r="H119" s="284">
        <f t="shared" si="3"/>
        <v>300000</v>
      </c>
      <c r="I119" s="49"/>
    </row>
    <row r="120" spans="1:9" ht="15.9" customHeight="1" x14ac:dyDescent="0.4">
      <c r="A120" s="417"/>
      <c r="B120" s="408" t="s">
        <v>210</v>
      </c>
      <c r="C120" s="409"/>
      <c r="D120" s="64"/>
      <c r="E120" s="408" t="s">
        <v>152</v>
      </c>
      <c r="F120" s="435">
        <v>8</v>
      </c>
      <c r="G120" s="363">
        <v>250000</v>
      </c>
      <c r="H120" s="314">
        <f t="shared" si="3"/>
        <v>2000000</v>
      </c>
      <c r="I120" s="64"/>
    </row>
    <row r="121" spans="1:9" ht="15.9" customHeight="1" x14ac:dyDescent="0.4">
      <c r="A121" s="392"/>
      <c r="B121" s="410" t="s">
        <v>158</v>
      </c>
      <c r="C121" s="394"/>
      <c r="D121" s="72"/>
      <c r="E121" s="72"/>
      <c r="F121" s="368"/>
      <c r="G121" s="368"/>
      <c r="H121" s="368">
        <f>SUM(H113:H120)</f>
        <v>20700000</v>
      </c>
      <c r="I121" s="366"/>
    </row>
    <row r="122" spans="1:9" ht="15.9" customHeight="1" x14ac:dyDescent="0.4">
      <c r="A122" s="399"/>
      <c r="B122" s="410" t="s">
        <v>211</v>
      </c>
      <c r="C122" s="394"/>
      <c r="D122" s="72"/>
      <c r="E122" s="72"/>
      <c r="F122" s="77"/>
      <c r="G122" s="77"/>
      <c r="H122" s="396">
        <f>'단위공사별(집계)'!L8+'단위공사별(집계)'!I8</f>
        <v>868451.75322963367</v>
      </c>
      <c r="I122" s="72"/>
    </row>
    <row r="123" spans="1:9" ht="15.9" customHeight="1" x14ac:dyDescent="0.4">
      <c r="A123" s="399"/>
      <c r="B123" s="410" t="s">
        <v>93</v>
      </c>
      <c r="C123" s="394"/>
      <c r="D123" s="72"/>
      <c r="E123" s="72"/>
      <c r="F123" s="77"/>
      <c r="G123" s="412"/>
      <c r="H123" s="413">
        <v>0</v>
      </c>
      <c r="I123" s="394"/>
    </row>
    <row r="124" spans="1:9" ht="15.9" customHeight="1" x14ac:dyDescent="0.4">
      <c r="A124" s="399"/>
      <c r="B124" s="410" t="s">
        <v>161</v>
      </c>
      <c r="C124" s="394"/>
      <c r="D124" s="72"/>
      <c r="E124" s="72"/>
      <c r="F124" s="77"/>
      <c r="G124" s="412"/>
      <c r="H124" s="413">
        <v>0</v>
      </c>
      <c r="I124" s="394"/>
    </row>
    <row r="125" spans="1:9" ht="15.9" customHeight="1" x14ac:dyDescent="0.4">
      <c r="A125" s="399"/>
      <c r="B125" s="410" t="s">
        <v>162</v>
      </c>
      <c r="C125" s="394"/>
      <c r="D125" s="72"/>
      <c r="E125" s="72"/>
      <c r="F125" s="77"/>
      <c r="G125" s="77"/>
      <c r="H125" s="368">
        <f>H112+H121+H122+H123+H124</f>
        <v>182608451.75322965</v>
      </c>
      <c r="I125" s="72"/>
    </row>
    <row r="126" spans="1:9" x14ac:dyDescent="0.4">
      <c r="A126" s="30"/>
    </row>
  </sheetData>
  <mergeCells count="3">
    <mergeCell ref="A2:B2"/>
    <mergeCell ref="A3:A111"/>
    <mergeCell ref="A113:A12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F4D9-A1B4-425B-AE23-91C9B14459D2}">
  <sheetPr>
    <tabColor rgb="FF00B050"/>
    <pageSetUpPr fitToPage="1"/>
  </sheetPr>
  <dimension ref="A1:I62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272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374">
        <f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>IF(F4=0,G4,G4*F4)</f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ref="H5:H46" si="0">IF(F5=0,G5,G5*F5)</f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273</v>
      </c>
      <c r="D7" s="356"/>
      <c r="E7" s="357" t="s">
        <v>59</v>
      </c>
      <c r="F7" s="359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274</v>
      </c>
      <c r="D8" s="356"/>
      <c r="E8" s="357" t="s">
        <v>195</v>
      </c>
      <c r="F8" s="359">
        <v>1</v>
      </c>
      <c r="G8" s="359">
        <v>1000000</v>
      </c>
      <c r="H8" s="284">
        <f t="shared" si="0"/>
        <v>1000000</v>
      </c>
      <c r="I8" s="49"/>
    </row>
    <row r="9" spans="1:9" ht="15.9" customHeight="1" x14ac:dyDescent="0.4">
      <c r="A9" s="417"/>
      <c r="B9" s="349"/>
      <c r="C9" s="356" t="s">
        <v>175</v>
      </c>
      <c r="D9" s="356"/>
      <c r="E9" s="357" t="s">
        <v>59</v>
      </c>
      <c r="F9" s="359">
        <v>1</v>
      </c>
      <c r="G9" s="359">
        <v>1300000</v>
      </c>
      <c r="H9" s="284">
        <f t="shared" si="0"/>
        <v>1300000</v>
      </c>
      <c r="I9" s="49"/>
    </row>
    <row r="10" spans="1:9" ht="15.9" customHeight="1" x14ac:dyDescent="0.4">
      <c r="A10" s="417"/>
      <c r="B10" s="349"/>
      <c r="C10" s="356"/>
      <c r="D10" s="356"/>
      <c r="E10" s="357"/>
      <c r="F10" s="359"/>
      <c r="G10" s="359"/>
      <c r="H10" s="284">
        <f t="shared" si="0"/>
        <v>0</v>
      </c>
      <c r="I10" s="49"/>
    </row>
    <row r="11" spans="1:9" ht="15.9" customHeight="1" x14ac:dyDescent="0.4">
      <c r="A11" s="417"/>
      <c r="B11" s="349"/>
      <c r="C11" s="418"/>
      <c r="D11" s="418"/>
      <c r="E11" s="419"/>
      <c r="F11" s="420"/>
      <c r="G11" s="420"/>
      <c r="H11" s="284">
        <f t="shared" si="0"/>
        <v>0</v>
      </c>
      <c r="I11" s="49"/>
    </row>
    <row r="12" spans="1:9" ht="15.9" customHeight="1" x14ac:dyDescent="0.4">
      <c r="A12" s="417"/>
      <c r="B12" s="349"/>
      <c r="C12" s="418"/>
      <c r="D12" s="418"/>
      <c r="E12" s="419"/>
      <c r="F12" s="420"/>
      <c r="G12" s="420"/>
      <c r="H12" s="284">
        <f t="shared" si="0"/>
        <v>0</v>
      </c>
      <c r="I12" s="49"/>
    </row>
    <row r="13" spans="1:9" ht="15.9" customHeight="1" x14ac:dyDescent="0.4">
      <c r="A13" s="417"/>
      <c r="B13" s="349"/>
      <c r="C13" s="356"/>
      <c r="D13" s="356"/>
      <c r="E13" s="357"/>
      <c r="F13" s="359"/>
      <c r="G13" s="359"/>
      <c r="H13" s="284">
        <f t="shared" si="0"/>
        <v>0</v>
      </c>
      <c r="I13" s="49"/>
    </row>
    <row r="14" spans="1:9" ht="15.9" customHeight="1" x14ac:dyDescent="0.4">
      <c r="A14" s="417"/>
      <c r="B14" s="349"/>
      <c r="C14" s="356"/>
      <c r="D14" s="356"/>
      <c r="E14" s="357"/>
      <c r="F14" s="359"/>
      <c r="G14" s="359"/>
      <c r="H14" s="284">
        <f t="shared" si="0"/>
        <v>0</v>
      </c>
      <c r="I14" s="49"/>
    </row>
    <row r="15" spans="1:9" ht="15.9" customHeight="1" x14ac:dyDescent="0.4">
      <c r="A15" s="417"/>
      <c r="B15" s="349"/>
      <c r="C15" s="360" t="s">
        <v>275</v>
      </c>
      <c r="D15" s="377"/>
      <c r="E15" s="390" t="s">
        <v>195</v>
      </c>
      <c r="F15" s="379">
        <v>1</v>
      </c>
      <c r="G15" s="379">
        <v>200000</v>
      </c>
      <c r="H15" s="294">
        <v>0</v>
      </c>
      <c r="I15" s="57"/>
    </row>
    <row r="16" spans="1:9" ht="15.9" customHeight="1" x14ac:dyDescent="0.4">
      <c r="A16" s="417"/>
      <c r="B16" s="364"/>
      <c r="C16" s="381"/>
      <c r="D16" s="381"/>
      <c r="E16" s="381"/>
      <c r="F16" s="384"/>
      <c r="G16" s="384"/>
      <c r="H16" s="385">
        <f>SUM(H3:H15)</f>
        <v>9400000</v>
      </c>
      <c r="I16" s="381"/>
    </row>
    <row r="17" spans="1:9" ht="15.9" customHeight="1" x14ac:dyDescent="0.4">
      <c r="A17" s="417"/>
      <c r="B17" s="349" t="s">
        <v>177</v>
      </c>
      <c r="C17" s="350"/>
      <c r="D17" s="350"/>
      <c r="E17" s="350"/>
      <c r="F17" s="353"/>
      <c r="G17" s="353"/>
      <c r="H17" s="304">
        <f t="shared" si="0"/>
        <v>0</v>
      </c>
      <c r="I17" s="354"/>
    </row>
    <row r="18" spans="1:9" ht="15.9" customHeight="1" x14ac:dyDescent="0.4">
      <c r="A18" s="417"/>
      <c r="B18" s="349" t="s">
        <v>178</v>
      </c>
      <c r="C18" s="356"/>
      <c r="D18" s="356"/>
      <c r="E18" s="356"/>
      <c r="F18" s="359"/>
      <c r="G18" s="359"/>
      <c r="H18" s="284">
        <f t="shared" si="0"/>
        <v>0</v>
      </c>
      <c r="I18" s="49"/>
    </row>
    <row r="19" spans="1:9" ht="15.9" customHeight="1" x14ac:dyDescent="0.4">
      <c r="A19" s="417"/>
      <c r="B19" s="349"/>
      <c r="C19" s="356"/>
      <c r="D19" s="356"/>
      <c r="E19" s="356"/>
      <c r="F19" s="359"/>
      <c r="G19" s="359"/>
      <c r="H19" s="284">
        <f t="shared" si="0"/>
        <v>0</v>
      </c>
      <c r="I19" s="49"/>
    </row>
    <row r="20" spans="1:9" ht="15.9" customHeight="1" x14ac:dyDescent="0.4">
      <c r="A20" s="417"/>
      <c r="B20" s="349"/>
      <c r="C20" s="356"/>
      <c r="D20" s="356"/>
      <c r="E20" s="356"/>
      <c r="F20" s="359"/>
      <c r="G20" s="359"/>
      <c r="H20" s="284">
        <f t="shared" si="0"/>
        <v>0</v>
      </c>
      <c r="I20" s="49"/>
    </row>
    <row r="21" spans="1:9" ht="15.9" customHeight="1" x14ac:dyDescent="0.4">
      <c r="A21" s="417"/>
      <c r="B21" s="349"/>
      <c r="C21" s="360"/>
      <c r="D21" s="360"/>
      <c r="E21" s="360"/>
      <c r="F21" s="363"/>
      <c r="G21" s="363"/>
      <c r="H21" s="284">
        <f t="shared" si="0"/>
        <v>0</v>
      </c>
      <c r="I21" s="64"/>
    </row>
    <row r="22" spans="1:9" ht="15.9" customHeight="1" x14ac:dyDescent="0.4">
      <c r="A22" s="417"/>
      <c r="B22" s="364"/>
      <c r="C22" s="365"/>
      <c r="D22" s="366"/>
      <c r="E22" s="366"/>
      <c r="F22" s="422"/>
      <c r="G22" s="368"/>
      <c r="H22" s="77">
        <f>SUM(H17:H21)</f>
        <v>0</v>
      </c>
      <c r="I22" s="72"/>
    </row>
    <row r="23" spans="1:9" ht="15.9" customHeight="1" x14ac:dyDescent="0.4">
      <c r="A23" s="417"/>
      <c r="B23" s="386" t="s">
        <v>179</v>
      </c>
      <c r="C23" s="391" t="s">
        <v>276</v>
      </c>
      <c r="D23" s="428" t="s">
        <v>277</v>
      </c>
      <c r="E23" s="388" t="s">
        <v>59</v>
      </c>
      <c r="F23" s="436">
        <v>1</v>
      </c>
      <c r="G23" s="389">
        <v>300000</v>
      </c>
      <c r="H23" s="374">
        <f t="shared" si="0"/>
        <v>300000</v>
      </c>
      <c r="I23" s="375"/>
    </row>
    <row r="24" spans="1:9" ht="15.9" customHeight="1" x14ac:dyDescent="0.4">
      <c r="A24" s="417"/>
      <c r="B24" s="349" t="s">
        <v>181</v>
      </c>
      <c r="C24" s="356" t="s">
        <v>273</v>
      </c>
      <c r="D24" s="356" t="s">
        <v>278</v>
      </c>
      <c r="E24" s="357" t="s">
        <v>59</v>
      </c>
      <c r="F24" s="359">
        <v>1</v>
      </c>
      <c r="G24" s="359">
        <v>500000</v>
      </c>
      <c r="H24" s="284">
        <f t="shared" si="0"/>
        <v>500000</v>
      </c>
      <c r="I24" s="49"/>
    </row>
    <row r="25" spans="1:9" ht="15.9" customHeight="1" x14ac:dyDescent="0.4">
      <c r="A25" s="417"/>
      <c r="B25" s="349"/>
      <c r="C25" s="356" t="s">
        <v>273</v>
      </c>
      <c r="D25" s="356" t="s">
        <v>278</v>
      </c>
      <c r="E25" s="357" t="s">
        <v>59</v>
      </c>
      <c r="F25" s="359">
        <v>1</v>
      </c>
      <c r="G25" s="389"/>
      <c r="H25" s="284">
        <f t="shared" si="0"/>
        <v>0</v>
      </c>
      <c r="I25" s="49"/>
    </row>
    <row r="26" spans="1:9" ht="15.9" customHeight="1" x14ac:dyDescent="0.4">
      <c r="A26" s="417"/>
      <c r="B26" s="349"/>
      <c r="C26" s="356" t="s">
        <v>279</v>
      </c>
      <c r="D26" s="356"/>
      <c r="E26" s="357" t="s">
        <v>195</v>
      </c>
      <c r="F26" s="359"/>
      <c r="G26" s="359"/>
      <c r="H26" s="284">
        <f t="shared" si="0"/>
        <v>0</v>
      </c>
      <c r="I26" s="49"/>
    </row>
    <row r="27" spans="1:9" ht="15.9" customHeight="1" x14ac:dyDescent="0.4">
      <c r="A27" s="417"/>
      <c r="B27" s="349"/>
      <c r="C27" s="356" t="s">
        <v>280</v>
      </c>
      <c r="D27" s="356" t="s">
        <v>281</v>
      </c>
      <c r="E27" s="357" t="s">
        <v>195</v>
      </c>
      <c r="F27" s="359">
        <v>1</v>
      </c>
      <c r="G27" s="359">
        <v>5000000</v>
      </c>
      <c r="H27" s="284">
        <f>IF(F27=0,G27,G27*F27)</f>
        <v>5000000</v>
      </c>
      <c r="I27" s="49"/>
    </row>
    <row r="28" spans="1:9" ht="15.9" customHeight="1" x14ac:dyDescent="0.4">
      <c r="A28" s="417"/>
      <c r="B28" s="349"/>
      <c r="C28" s="356" t="s">
        <v>282</v>
      </c>
      <c r="D28" s="356" t="s">
        <v>283</v>
      </c>
      <c r="E28" s="357" t="s">
        <v>195</v>
      </c>
      <c r="F28" s="359">
        <v>1</v>
      </c>
      <c r="G28" s="359">
        <v>500000</v>
      </c>
      <c r="H28" s="284">
        <f>IF(F28=0,G28,G28*F28)</f>
        <v>500000</v>
      </c>
      <c r="I28" s="49"/>
    </row>
    <row r="29" spans="1:9" ht="15.9" customHeight="1" x14ac:dyDescent="0.4">
      <c r="A29" s="417"/>
      <c r="B29" s="349"/>
      <c r="C29" s="356" t="s">
        <v>284</v>
      </c>
      <c r="D29" s="356"/>
      <c r="E29" s="357" t="s">
        <v>195</v>
      </c>
      <c r="F29" s="359">
        <v>1</v>
      </c>
      <c r="G29" s="359">
        <v>500000</v>
      </c>
      <c r="H29" s="284">
        <f t="shared" si="0"/>
        <v>500000</v>
      </c>
      <c r="I29" s="49"/>
    </row>
    <row r="30" spans="1:9" ht="15.9" customHeight="1" x14ac:dyDescent="0.4">
      <c r="A30" s="417"/>
      <c r="B30" s="349"/>
      <c r="C30" s="356"/>
      <c r="D30" s="356"/>
      <c r="E30" s="357"/>
      <c r="F30" s="423"/>
      <c r="G30" s="359"/>
      <c r="H30" s="284">
        <f t="shared" si="0"/>
        <v>0</v>
      </c>
      <c r="I30" s="49"/>
    </row>
    <row r="31" spans="1:9" ht="15.9" customHeight="1" x14ac:dyDescent="0.4">
      <c r="A31" s="417"/>
      <c r="B31" s="349"/>
      <c r="C31" s="356" t="s">
        <v>175</v>
      </c>
      <c r="D31" s="356"/>
      <c r="E31" s="357" t="s">
        <v>59</v>
      </c>
      <c r="F31" s="359">
        <v>1</v>
      </c>
      <c r="G31" s="359">
        <v>600000</v>
      </c>
      <c r="H31" s="284">
        <f t="shared" si="0"/>
        <v>600000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0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0"/>
        <v>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423"/>
      <c r="G34" s="359"/>
      <c r="H34" s="284">
        <f t="shared" si="0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359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418"/>
      <c r="D36" s="418"/>
      <c r="E36" s="419"/>
      <c r="F36" s="420"/>
      <c r="G36" s="420"/>
      <c r="H36" s="284">
        <f t="shared" si="0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359"/>
      <c r="G37" s="359"/>
      <c r="H37" s="284">
        <f t="shared" si="0"/>
        <v>0</v>
      </c>
      <c r="I37" s="49"/>
    </row>
    <row r="38" spans="1:9" ht="15.9" customHeight="1" x14ac:dyDescent="0.4">
      <c r="A38" s="417"/>
      <c r="B38" s="349"/>
      <c r="C38" s="360" t="s">
        <v>285</v>
      </c>
      <c r="D38" s="360"/>
      <c r="E38" s="361" t="s">
        <v>195</v>
      </c>
      <c r="F38" s="363">
        <v>1</v>
      </c>
      <c r="G38" s="363">
        <v>1000000</v>
      </c>
      <c r="H38" s="284">
        <v>0</v>
      </c>
      <c r="I38" s="64"/>
    </row>
    <row r="39" spans="1:9" ht="15.9" customHeight="1" x14ac:dyDescent="0.4">
      <c r="A39" s="417"/>
      <c r="B39" s="364"/>
      <c r="C39" s="365"/>
      <c r="D39" s="366"/>
      <c r="E39" s="366"/>
      <c r="F39" s="368"/>
      <c r="G39" s="368"/>
      <c r="H39" s="77">
        <f>SUM(H23:H38)</f>
        <v>7400000</v>
      </c>
      <c r="I39" s="72"/>
    </row>
    <row r="40" spans="1:9" ht="15.9" customHeight="1" x14ac:dyDescent="0.4">
      <c r="A40" s="417"/>
      <c r="B40" s="386" t="s">
        <v>61</v>
      </c>
      <c r="C40" s="370"/>
      <c r="D40" s="370"/>
      <c r="E40" s="370"/>
      <c r="F40" s="373"/>
      <c r="G40" s="373"/>
      <c r="H40" s="374">
        <f t="shared" si="0"/>
        <v>0</v>
      </c>
      <c r="I40" s="375"/>
    </row>
    <row r="41" spans="1:9" ht="15.9" customHeight="1" x14ac:dyDescent="0.4">
      <c r="A41" s="417"/>
      <c r="B41" s="349"/>
      <c r="C41" s="356"/>
      <c r="D41" s="356"/>
      <c r="E41" s="356"/>
      <c r="F41" s="359"/>
      <c r="G41" s="359"/>
      <c r="H41" s="284">
        <f t="shared" si="0"/>
        <v>0</v>
      </c>
      <c r="I41" s="49"/>
    </row>
    <row r="42" spans="1:9" ht="15.9" customHeight="1" x14ac:dyDescent="0.4">
      <c r="A42" s="417"/>
      <c r="B42" s="349"/>
      <c r="C42" s="356"/>
      <c r="D42" s="356"/>
      <c r="E42" s="356"/>
      <c r="F42" s="359"/>
      <c r="G42" s="359"/>
      <c r="H42" s="284">
        <f t="shared" si="0"/>
        <v>0</v>
      </c>
      <c r="I42" s="49"/>
    </row>
    <row r="43" spans="1:9" ht="15.9" customHeight="1" x14ac:dyDescent="0.4">
      <c r="A43" s="417"/>
      <c r="B43" s="349"/>
      <c r="C43" s="356"/>
      <c r="D43" s="356"/>
      <c r="E43" s="356"/>
      <c r="F43" s="359"/>
      <c r="G43" s="359"/>
      <c r="H43" s="284">
        <f t="shared" si="0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0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0"/>
        <v>0</v>
      </c>
      <c r="I45" s="49"/>
    </row>
    <row r="46" spans="1:9" ht="15.9" customHeight="1" x14ac:dyDescent="0.4">
      <c r="A46" s="417"/>
      <c r="B46" s="349"/>
      <c r="C46" s="360"/>
      <c r="D46" s="360"/>
      <c r="E46" s="360"/>
      <c r="F46" s="363"/>
      <c r="G46" s="363"/>
      <c r="H46" s="314">
        <f t="shared" si="0"/>
        <v>0</v>
      </c>
      <c r="I46" s="64"/>
    </row>
    <row r="47" spans="1:9" ht="15.9" customHeight="1" x14ac:dyDescent="0.4">
      <c r="A47" s="417"/>
      <c r="B47" s="364"/>
      <c r="C47" s="365"/>
      <c r="D47" s="366"/>
      <c r="E47" s="366"/>
      <c r="F47" s="368"/>
      <c r="G47" s="368"/>
      <c r="H47" s="77">
        <f>SUM(H40:H46)</f>
        <v>0</v>
      </c>
      <c r="I47" s="72"/>
    </row>
    <row r="48" spans="1:9" ht="15.9" customHeight="1" x14ac:dyDescent="0.4">
      <c r="A48" s="392"/>
      <c r="B48" s="393" t="s">
        <v>149</v>
      </c>
      <c r="C48" s="394"/>
      <c r="D48" s="72"/>
      <c r="E48" s="72"/>
      <c r="F48" s="396"/>
      <c r="G48" s="396"/>
      <c r="H48" s="77">
        <f>SUM(H47,H39,H22,H16)</f>
        <v>16800000</v>
      </c>
      <c r="I48" s="72"/>
    </row>
    <row r="49" spans="1:9" ht="15.9" customHeight="1" x14ac:dyDescent="0.4">
      <c r="A49" s="348" t="s">
        <v>150</v>
      </c>
      <c r="B49" s="398" t="s">
        <v>67</v>
      </c>
      <c r="C49" s="394"/>
      <c r="D49" s="72"/>
      <c r="E49" s="398" t="s">
        <v>68</v>
      </c>
      <c r="F49" s="424">
        <v>0</v>
      </c>
      <c r="G49" s="413">
        <v>250000</v>
      </c>
      <c r="H49" s="402">
        <f>F49*G49</f>
        <v>0</v>
      </c>
      <c r="I49" s="72"/>
    </row>
    <row r="50" spans="1:9" ht="15.9" customHeight="1" x14ac:dyDescent="0.4">
      <c r="A50" s="417"/>
      <c r="B50" s="404" t="s">
        <v>204</v>
      </c>
      <c r="C50" s="405"/>
      <c r="D50" s="375"/>
      <c r="E50" s="404" t="s">
        <v>152</v>
      </c>
      <c r="F50" s="425">
        <v>5</v>
      </c>
      <c r="G50" s="373">
        <v>300000</v>
      </c>
      <c r="H50" s="374">
        <f t="shared" ref="H50:H56" si="1">F50*G50</f>
        <v>1500000</v>
      </c>
      <c r="I50" s="375"/>
    </row>
    <row r="51" spans="1:9" ht="15.9" customHeight="1" x14ac:dyDescent="0.4">
      <c r="A51" s="417"/>
      <c r="B51" s="406" t="s">
        <v>205</v>
      </c>
      <c r="C51" s="407"/>
      <c r="D51" s="49"/>
      <c r="E51" s="406" t="s">
        <v>152</v>
      </c>
      <c r="F51" s="426">
        <v>0</v>
      </c>
      <c r="G51" s="359">
        <v>250000</v>
      </c>
      <c r="H51" s="284">
        <f t="shared" si="1"/>
        <v>0</v>
      </c>
      <c r="I51" s="49"/>
    </row>
    <row r="52" spans="1:9" ht="15.9" customHeight="1" x14ac:dyDescent="0.4">
      <c r="A52" s="417"/>
      <c r="B52" s="406" t="s">
        <v>206</v>
      </c>
      <c r="C52" s="407"/>
      <c r="D52" s="49"/>
      <c r="E52" s="406" t="s">
        <v>152</v>
      </c>
      <c r="F52" s="426">
        <v>5</v>
      </c>
      <c r="G52" s="359">
        <v>250000</v>
      </c>
      <c r="H52" s="284">
        <f t="shared" si="1"/>
        <v>1250000</v>
      </c>
      <c r="I52" s="49"/>
    </row>
    <row r="53" spans="1:9" ht="15.9" customHeight="1" x14ac:dyDescent="0.4">
      <c r="A53" s="417"/>
      <c r="B53" s="406" t="s">
        <v>207</v>
      </c>
      <c r="C53" s="407"/>
      <c r="D53" s="49"/>
      <c r="E53" s="406" t="s">
        <v>152</v>
      </c>
      <c r="F53" s="426">
        <v>0</v>
      </c>
      <c r="G53" s="359">
        <v>300000</v>
      </c>
      <c r="H53" s="284">
        <f t="shared" si="1"/>
        <v>0</v>
      </c>
      <c r="I53" s="49"/>
    </row>
    <row r="54" spans="1:9" ht="15.9" customHeight="1" x14ac:dyDescent="0.4">
      <c r="A54" s="417"/>
      <c r="B54" s="406" t="s">
        <v>208</v>
      </c>
      <c r="C54" s="407"/>
      <c r="D54" s="49"/>
      <c r="E54" s="406" t="s">
        <v>152</v>
      </c>
      <c r="F54" s="426">
        <v>0</v>
      </c>
      <c r="G54" s="359">
        <v>300000</v>
      </c>
      <c r="H54" s="284">
        <f t="shared" si="1"/>
        <v>0</v>
      </c>
      <c r="I54" s="49"/>
    </row>
    <row r="55" spans="1:9" ht="15.9" customHeight="1" x14ac:dyDescent="0.4">
      <c r="A55" s="417"/>
      <c r="B55" s="406" t="s">
        <v>209</v>
      </c>
      <c r="C55" s="407"/>
      <c r="D55" s="49"/>
      <c r="E55" s="406" t="s">
        <v>152</v>
      </c>
      <c r="F55" s="426">
        <v>0</v>
      </c>
      <c r="G55" s="359">
        <v>300000</v>
      </c>
      <c r="H55" s="284">
        <f t="shared" si="1"/>
        <v>0</v>
      </c>
      <c r="I55" s="49"/>
    </row>
    <row r="56" spans="1:9" ht="15.9" customHeight="1" x14ac:dyDescent="0.4">
      <c r="A56" s="417"/>
      <c r="B56" s="408" t="s">
        <v>210</v>
      </c>
      <c r="C56" s="409"/>
      <c r="D56" s="64"/>
      <c r="E56" s="408" t="s">
        <v>152</v>
      </c>
      <c r="F56" s="427">
        <v>0</v>
      </c>
      <c r="G56" s="363">
        <v>250000</v>
      </c>
      <c r="H56" s="314">
        <f t="shared" si="1"/>
        <v>0</v>
      </c>
      <c r="I56" s="64"/>
    </row>
    <row r="57" spans="1:9" ht="15.9" customHeight="1" x14ac:dyDescent="0.4">
      <c r="A57" s="392"/>
      <c r="B57" s="410" t="s">
        <v>158</v>
      </c>
      <c r="C57" s="394"/>
      <c r="D57" s="72"/>
      <c r="E57" s="72"/>
      <c r="F57" s="368"/>
      <c r="G57" s="368"/>
      <c r="H57" s="368">
        <f>SUM(H49:H56)</f>
        <v>2750000</v>
      </c>
      <c r="I57" s="366"/>
    </row>
    <row r="58" spans="1:9" ht="15.9" customHeight="1" x14ac:dyDescent="0.4">
      <c r="A58" s="399"/>
      <c r="B58" s="410" t="s">
        <v>211</v>
      </c>
      <c r="C58" s="394"/>
      <c r="D58" s="72"/>
      <c r="E58" s="72"/>
      <c r="F58" s="77"/>
      <c r="G58" s="77"/>
      <c r="H58" s="396">
        <f>'단위공사별(집계)'!L9+'단위공사별(집계)'!I9</f>
        <v>93420.445557606115</v>
      </c>
      <c r="I58" s="72"/>
    </row>
    <row r="59" spans="1:9" ht="15.9" customHeight="1" x14ac:dyDescent="0.4">
      <c r="A59" s="399"/>
      <c r="B59" s="410" t="s">
        <v>93</v>
      </c>
      <c r="C59" s="394"/>
      <c r="D59" s="72"/>
      <c r="E59" s="72"/>
      <c r="F59" s="77"/>
      <c r="G59" s="412"/>
      <c r="H59" s="413">
        <v>0</v>
      </c>
      <c r="I59" s="394"/>
    </row>
    <row r="60" spans="1:9" ht="15.9" customHeight="1" x14ac:dyDescent="0.4">
      <c r="A60" s="399"/>
      <c r="B60" s="410" t="s">
        <v>161</v>
      </c>
      <c r="C60" s="394"/>
      <c r="D60" s="72"/>
      <c r="E60" s="72"/>
      <c r="F60" s="77"/>
      <c r="G60" s="412"/>
      <c r="H60" s="413">
        <v>0</v>
      </c>
      <c r="I60" s="394"/>
    </row>
    <row r="61" spans="1:9" ht="15.9" customHeight="1" x14ac:dyDescent="0.4">
      <c r="A61" s="399"/>
      <c r="B61" s="410" t="s">
        <v>162</v>
      </c>
      <c r="C61" s="394"/>
      <c r="D61" s="72"/>
      <c r="E61" s="72"/>
      <c r="F61" s="77"/>
      <c r="G61" s="77"/>
      <c r="H61" s="368">
        <f>H48+H57+H58+H59+H60</f>
        <v>19643420.445557605</v>
      </c>
      <c r="I61" s="72"/>
    </row>
    <row r="62" spans="1:9" x14ac:dyDescent="0.4">
      <c r="A62" s="30"/>
    </row>
  </sheetData>
  <mergeCells count="3">
    <mergeCell ref="A2:B2"/>
    <mergeCell ref="A3:A47"/>
    <mergeCell ref="A49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D271-C202-456B-A83F-8EDC6337936A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286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 t="shared" ref="H3:H47" si="0"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 t="shared" si="0"/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si="0"/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287</v>
      </c>
      <c r="D7" s="356"/>
      <c r="E7" s="357" t="s">
        <v>59</v>
      </c>
      <c r="F7" s="359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288</v>
      </c>
      <c r="D8" s="356" t="s">
        <v>188</v>
      </c>
      <c r="E8" s="357" t="s">
        <v>59</v>
      </c>
      <c r="F8" s="359">
        <v>1</v>
      </c>
      <c r="G8" s="359">
        <v>2500000</v>
      </c>
      <c r="H8" s="284">
        <f t="shared" si="0"/>
        <v>2500000</v>
      </c>
      <c r="I8" s="49"/>
    </row>
    <row r="9" spans="1:9" ht="15.9" customHeight="1" x14ac:dyDescent="0.4">
      <c r="A9" s="417"/>
      <c r="B9" s="349"/>
      <c r="C9" s="356"/>
      <c r="D9" s="356"/>
      <c r="E9" s="356"/>
      <c r="F9" s="359"/>
      <c r="G9" s="359"/>
      <c r="H9" s="284">
        <f t="shared" si="0"/>
        <v>0</v>
      </c>
      <c r="I9" s="49"/>
    </row>
    <row r="10" spans="1:9" ht="15.9" customHeight="1" x14ac:dyDescent="0.4">
      <c r="A10" s="417"/>
      <c r="B10" s="349"/>
      <c r="C10" s="356" t="s">
        <v>175</v>
      </c>
      <c r="D10" s="356"/>
      <c r="E10" s="357" t="s">
        <v>59</v>
      </c>
      <c r="F10" s="359">
        <v>1</v>
      </c>
      <c r="G10" s="359">
        <v>1300000</v>
      </c>
      <c r="H10" s="284">
        <f t="shared" si="0"/>
        <v>1300000</v>
      </c>
      <c r="I10" s="49"/>
    </row>
    <row r="11" spans="1:9" ht="15.9" customHeight="1" x14ac:dyDescent="0.4">
      <c r="A11" s="417"/>
      <c r="B11" s="349"/>
      <c r="C11" s="356"/>
      <c r="D11" s="356"/>
      <c r="E11" s="357"/>
      <c r="F11" s="359"/>
      <c r="G11" s="359"/>
      <c r="H11" s="284">
        <f t="shared" si="0"/>
        <v>0</v>
      </c>
      <c r="I11" s="49"/>
    </row>
    <row r="12" spans="1:9" ht="15.9" customHeight="1" x14ac:dyDescent="0.4">
      <c r="A12" s="417"/>
      <c r="B12" s="349"/>
      <c r="C12" s="356"/>
      <c r="D12" s="356"/>
      <c r="E12" s="357"/>
      <c r="F12" s="359"/>
      <c r="G12" s="359"/>
      <c r="H12" s="284">
        <f t="shared" si="0"/>
        <v>0</v>
      </c>
      <c r="I12" s="49"/>
    </row>
    <row r="13" spans="1:9" ht="15.9" customHeight="1" x14ac:dyDescent="0.4">
      <c r="A13" s="417"/>
      <c r="B13" s="349"/>
      <c r="C13" s="360" t="s">
        <v>289</v>
      </c>
      <c r="D13" s="377"/>
      <c r="E13" s="390" t="s">
        <v>195</v>
      </c>
      <c r="F13" s="379">
        <v>1</v>
      </c>
      <c r="G13" s="379">
        <v>200000</v>
      </c>
      <c r="H13" s="294">
        <v>0</v>
      </c>
      <c r="I13" s="57"/>
    </row>
    <row r="14" spans="1:9" ht="15.9" customHeight="1" x14ac:dyDescent="0.4">
      <c r="A14" s="417"/>
      <c r="B14" s="364"/>
      <c r="C14" s="381"/>
      <c r="D14" s="381"/>
      <c r="E14" s="381"/>
      <c r="F14" s="384"/>
      <c r="G14" s="384"/>
      <c r="H14" s="385">
        <f>SUM(H3:H13)</f>
        <v>10900000</v>
      </c>
      <c r="I14" s="381"/>
    </row>
    <row r="15" spans="1:9" ht="15.9" customHeight="1" x14ac:dyDescent="0.4">
      <c r="A15" s="417"/>
      <c r="B15" s="349" t="s">
        <v>177</v>
      </c>
      <c r="C15" s="350"/>
      <c r="D15" s="350"/>
      <c r="E15" s="350"/>
      <c r="F15" s="353"/>
      <c r="G15" s="353"/>
      <c r="H15" s="304">
        <f t="shared" si="0"/>
        <v>0</v>
      </c>
      <c r="I15" s="354"/>
    </row>
    <row r="16" spans="1:9" ht="15.9" customHeight="1" x14ac:dyDescent="0.4">
      <c r="A16" s="417"/>
      <c r="B16" s="349" t="s">
        <v>178</v>
      </c>
      <c r="C16" s="356"/>
      <c r="D16" s="356"/>
      <c r="E16" s="356"/>
      <c r="F16" s="359"/>
      <c r="G16" s="359"/>
      <c r="H16" s="284">
        <f t="shared" si="0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0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0"/>
        <v>0</v>
      </c>
      <c r="I18" s="49"/>
    </row>
    <row r="19" spans="1:9" ht="15.9" customHeight="1" x14ac:dyDescent="0.4">
      <c r="A19" s="417"/>
      <c r="B19" s="349"/>
      <c r="C19" s="360" t="s">
        <v>203</v>
      </c>
      <c r="D19" s="360"/>
      <c r="E19" s="360"/>
      <c r="F19" s="363"/>
      <c r="G19" s="363"/>
      <c r="H19" s="284">
        <f t="shared" si="0"/>
        <v>0</v>
      </c>
      <c r="I19" s="64"/>
    </row>
    <row r="20" spans="1:9" ht="15.9" customHeight="1" x14ac:dyDescent="0.4">
      <c r="A20" s="417"/>
      <c r="B20" s="364"/>
      <c r="C20" s="365"/>
      <c r="D20" s="366"/>
      <c r="E20" s="366"/>
      <c r="F20" s="422"/>
      <c r="G20" s="368"/>
      <c r="H20" s="77">
        <f>SUM(H15:H19)</f>
        <v>0</v>
      </c>
      <c r="I20" s="72"/>
    </row>
    <row r="21" spans="1:9" ht="15.9" customHeight="1" x14ac:dyDescent="0.4">
      <c r="A21" s="417"/>
      <c r="B21" s="386" t="s">
        <v>179</v>
      </c>
      <c r="C21" s="391" t="s">
        <v>287</v>
      </c>
      <c r="D21" s="428" t="s">
        <v>290</v>
      </c>
      <c r="E21" s="388" t="s">
        <v>59</v>
      </c>
      <c r="F21" s="436">
        <v>1</v>
      </c>
      <c r="G21" s="389">
        <v>18000000</v>
      </c>
      <c r="H21" s="374">
        <f t="shared" si="0"/>
        <v>18000000</v>
      </c>
      <c r="I21" s="375"/>
    </row>
    <row r="22" spans="1:9" ht="15.9" customHeight="1" x14ac:dyDescent="0.4">
      <c r="A22" s="417"/>
      <c r="B22" s="349" t="s">
        <v>181</v>
      </c>
      <c r="C22" s="356" t="s">
        <v>288</v>
      </c>
      <c r="D22" s="356" t="s">
        <v>188</v>
      </c>
      <c r="E22" s="357" t="s">
        <v>59</v>
      </c>
      <c r="F22" s="359">
        <v>1</v>
      </c>
      <c r="G22" s="359">
        <v>4500000</v>
      </c>
      <c r="H22" s="284">
        <f t="shared" si="0"/>
        <v>4500000</v>
      </c>
      <c r="I22" s="49"/>
    </row>
    <row r="23" spans="1:9" ht="15.9" customHeight="1" x14ac:dyDescent="0.4">
      <c r="A23" s="417"/>
      <c r="B23" s="349"/>
      <c r="C23" s="391"/>
      <c r="D23" s="428"/>
      <c r="E23" s="388"/>
      <c r="F23" s="436"/>
      <c r="G23" s="389"/>
      <c r="H23" s="284">
        <f t="shared" si="0"/>
        <v>0</v>
      </c>
      <c r="I23" s="49"/>
    </row>
    <row r="24" spans="1:9" ht="15.9" customHeight="1" x14ac:dyDescent="0.4">
      <c r="A24" s="417"/>
      <c r="B24" s="349"/>
      <c r="C24" s="356"/>
      <c r="D24" s="356"/>
      <c r="E24" s="357"/>
      <c r="F24" s="359"/>
      <c r="G24" s="359"/>
      <c r="H24" s="284">
        <f t="shared" si="0"/>
        <v>0</v>
      </c>
      <c r="I24" s="49"/>
    </row>
    <row r="25" spans="1:9" ht="15.9" customHeight="1" x14ac:dyDescent="0.4">
      <c r="A25" s="417"/>
      <c r="B25" s="349"/>
      <c r="C25" s="356"/>
      <c r="D25" s="356"/>
      <c r="E25" s="357"/>
      <c r="F25" s="359"/>
      <c r="G25" s="359"/>
      <c r="H25" s="284">
        <f t="shared" si="0"/>
        <v>0</v>
      </c>
      <c r="I25" s="49"/>
    </row>
    <row r="26" spans="1:9" ht="15.9" customHeight="1" x14ac:dyDescent="0.4">
      <c r="A26" s="417"/>
      <c r="B26" s="349"/>
      <c r="C26" s="356" t="s">
        <v>175</v>
      </c>
      <c r="D26" s="356"/>
      <c r="E26" s="357" t="s">
        <v>59</v>
      </c>
      <c r="F26" s="359">
        <v>1</v>
      </c>
      <c r="G26" s="359">
        <v>600000</v>
      </c>
      <c r="H26" s="284">
        <f t="shared" si="0"/>
        <v>600000</v>
      </c>
      <c r="I26" s="49"/>
    </row>
    <row r="27" spans="1:9" ht="15.9" customHeight="1" x14ac:dyDescent="0.4">
      <c r="A27" s="417"/>
      <c r="B27" s="349"/>
      <c r="C27" s="356"/>
      <c r="D27" s="356"/>
      <c r="E27" s="357"/>
      <c r="F27" s="359"/>
      <c r="G27" s="359"/>
      <c r="H27" s="284">
        <f t="shared" si="0"/>
        <v>0</v>
      </c>
      <c r="I27" s="49"/>
    </row>
    <row r="28" spans="1:9" ht="15.9" customHeight="1" x14ac:dyDescent="0.4">
      <c r="A28" s="417"/>
      <c r="B28" s="349"/>
      <c r="C28" s="418" t="s">
        <v>192</v>
      </c>
      <c r="D28" s="418"/>
      <c r="E28" s="419"/>
      <c r="F28" s="420"/>
      <c r="G28" s="420"/>
      <c r="H28" s="284">
        <f t="shared" si="0"/>
        <v>0</v>
      </c>
      <c r="I28" s="49"/>
    </row>
    <row r="29" spans="1:9" ht="15.9" customHeight="1" x14ac:dyDescent="0.4">
      <c r="A29" s="417"/>
      <c r="B29" s="349"/>
      <c r="C29" s="356" t="s">
        <v>193</v>
      </c>
      <c r="D29" s="356" t="s">
        <v>194</v>
      </c>
      <c r="E29" s="357" t="s">
        <v>195</v>
      </c>
      <c r="F29" s="423">
        <v>1</v>
      </c>
      <c r="G29" s="359">
        <v>350000</v>
      </c>
      <c r="H29" s="284">
        <f t="shared" si="0"/>
        <v>350000</v>
      </c>
      <c r="I29" s="49"/>
    </row>
    <row r="30" spans="1:9" ht="15.9" customHeight="1" x14ac:dyDescent="0.4">
      <c r="A30" s="417"/>
      <c r="B30" s="349"/>
      <c r="C30" s="356" t="s">
        <v>196</v>
      </c>
      <c r="D30" s="356" t="s">
        <v>197</v>
      </c>
      <c r="E30" s="357" t="s">
        <v>195</v>
      </c>
      <c r="F30" s="423">
        <v>10</v>
      </c>
      <c r="G30" s="359">
        <v>75000</v>
      </c>
      <c r="H30" s="284">
        <f t="shared" si="0"/>
        <v>750000</v>
      </c>
      <c r="I30" s="49"/>
    </row>
    <row r="31" spans="1:9" ht="15.9" customHeight="1" x14ac:dyDescent="0.4">
      <c r="A31" s="417"/>
      <c r="B31" s="349"/>
      <c r="C31" s="356" t="s">
        <v>198</v>
      </c>
      <c r="D31" s="356" t="s">
        <v>199</v>
      </c>
      <c r="E31" s="357" t="s">
        <v>195</v>
      </c>
      <c r="F31" s="423">
        <v>2</v>
      </c>
      <c r="G31" s="359">
        <v>850000</v>
      </c>
      <c r="H31" s="284">
        <f t="shared" si="0"/>
        <v>1700000</v>
      </c>
      <c r="I31" s="49"/>
    </row>
    <row r="32" spans="1:9" ht="15.9" customHeight="1" x14ac:dyDescent="0.4">
      <c r="A32" s="417"/>
      <c r="B32" s="349"/>
      <c r="C32" s="356" t="s">
        <v>200</v>
      </c>
      <c r="D32" s="356"/>
      <c r="E32" s="357" t="s">
        <v>195</v>
      </c>
      <c r="F32" s="423">
        <v>10</v>
      </c>
      <c r="G32" s="359">
        <v>7000</v>
      </c>
      <c r="H32" s="284">
        <f t="shared" si="0"/>
        <v>70000</v>
      </c>
      <c r="I32" s="49"/>
    </row>
    <row r="33" spans="1:9" ht="15.9" customHeight="1" x14ac:dyDescent="0.4">
      <c r="A33" s="417"/>
      <c r="B33" s="349"/>
      <c r="C33" s="356" t="s">
        <v>201</v>
      </c>
      <c r="D33" s="356"/>
      <c r="E33" s="357" t="s">
        <v>195</v>
      </c>
      <c r="F33" s="423">
        <v>1</v>
      </c>
      <c r="G33" s="359">
        <v>100000</v>
      </c>
      <c r="H33" s="284">
        <f t="shared" si="0"/>
        <v>100000</v>
      </c>
      <c r="I33" s="49"/>
    </row>
    <row r="34" spans="1:9" ht="15.9" customHeight="1" x14ac:dyDescent="0.4">
      <c r="A34" s="417"/>
      <c r="B34" s="349"/>
      <c r="C34" s="418" t="s">
        <v>202</v>
      </c>
      <c r="D34" s="418"/>
      <c r="E34" s="419" t="s">
        <v>59</v>
      </c>
      <c r="F34" s="420">
        <v>1</v>
      </c>
      <c r="G34" s="420">
        <v>100000</v>
      </c>
      <c r="H34" s="284">
        <f t="shared" si="0"/>
        <v>100000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0"/>
        <v>0</v>
      </c>
      <c r="I36" s="49"/>
    </row>
    <row r="37" spans="1:9" ht="15.9" customHeight="1" x14ac:dyDescent="0.4">
      <c r="A37" s="417"/>
      <c r="B37" s="349"/>
      <c r="C37" s="418"/>
      <c r="D37" s="418"/>
      <c r="E37" s="419"/>
      <c r="F37" s="420"/>
      <c r="G37" s="420"/>
      <c r="H37" s="284">
        <f>IF(F37=0,G37,G37*F37)</f>
        <v>0</v>
      </c>
      <c r="I37" s="49"/>
    </row>
    <row r="38" spans="1:9" ht="15.9" customHeight="1" x14ac:dyDescent="0.4">
      <c r="A38" s="417"/>
      <c r="B38" s="349"/>
      <c r="C38" s="356"/>
      <c r="D38" s="356"/>
      <c r="E38" s="356"/>
      <c r="F38" s="359"/>
      <c r="G38" s="359"/>
      <c r="H38" s="284">
        <f t="shared" si="0"/>
        <v>0</v>
      </c>
      <c r="I38" s="49"/>
    </row>
    <row r="39" spans="1:9" ht="15.9" customHeight="1" x14ac:dyDescent="0.4">
      <c r="A39" s="417"/>
      <c r="B39" s="349"/>
      <c r="C39" s="360" t="s">
        <v>248</v>
      </c>
      <c r="D39" s="360"/>
      <c r="E39" s="361" t="s">
        <v>195</v>
      </c>
      <c r="F39" s="363">
        <v>1</v>
      </c>
      <c r="G39" s="363">
        <v>1000000</v>
      </c>
      <c r="H39" s="284">
        <v>0</v>
      </c>
      <c r="I39" s="64"/>
    </row>
    <row r="40" spans="1:9" ht="15.9" customHeight="1" x14ac:dyDescent="0.4">
      <c r="A40" s="417"/>
      <c r="B40" s="364"/>
      <c r="C40" s="365"/>
      <c r="D40" s="366"/>
      <c r="E40" s="366"/>
      <c r="F40" s="368"/>
      <c r="G40" s="368"/>
      <c r="H40" s="77">
        <f>SUM(H21:H39)</f>
        <v>26170000</v>
      </c>
      <c r="I40" s="72"/>
    </row>
    <row r="41" spans="1:9" ht="15.9" customHeight="1" x14ac:dyDescent="0.4">
      <c r="A41" s="417"/>
      <c r="B41" s="386" t="s">
        <v>61</v>
      </c>
      <c r="C41" s="370"/>
      <c r="D41" s="370"/>
      <c r="E41" s="370"/>
      <c r="F41" s="373"/>
      <c r="G41" s="373"/>
      <c r="H41" s="374">
        <f t="shared" si="0"/>
        <v>0</v>
      </c>
      <c r="I41" s="375"/>
    </row>
    <row r="42" spans="1:9" ht="15.9" customHeight="1" x14ac:dyDescent="0.4">
      <c r="A42" s="417"/>
      <c r="B42" s="349"/>
      <c r="C42" s="356"/>
      <c r="D42" s="356"/>
      <c r="E42" s="356"/>
      <c r="F42" s="359"/>
      <c r="G42" s="359"/>
      <c r="H42" s="284">
        <f t="shared" si="0"/>
        <v>0</v>
      </c>
      <c r="I42" s="49"/>
    </row>
    <row r="43" spans="1:9" ht="15.9" customHeight="1" x14ac:dyDescent="0.4">
      <c r="A43" s="417"/>
      <c r="B43" s="349"/>
      <c r="C43" s="356"/>
      <c r="D43" s="356"/>
      <c r="E43" s="356"/>
      <c r="F43" s="359"/>
      <c r="G43" s="359"/>
      <c r="H43" s="284">
        <f t="shared" si="0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0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0"/>
        <v>0</v>
      </c>
      <c r="I45" s="49"/>
    </row>
    <row r="46" spans="1:9" ht="15.9" customHeight="1" x14ac:dyDescent="0.4">
      <c r="A46" s="417"/>
      <c r="B46" s="349"/>
      <c r="C46" s="356"/>
      <c r="D46" s="356"/>
      <c r="E46" s="356"/>
      <c r="F46" s="359"/>
      <c r="G46" s="359"/>
      <c r="H46" s="284">
        <f t="shared" si="0"/>
        <v>0</v>
      </c>
      <c r="I46" s="49"/>
    </row>
    <row r="47" spans="1:9" ht="15.9" customHeight="1" x14ac:dyDescent="0.4">
      <c r="A47" s="417"/>
      <c r="B47" s="349"/>
      <c r="C47" s="360" t="s">
        <v>203</v>
      </c>
      <c r="D47" s="360"/>
      <c r="E47" s="360"/>
      <c r="F47" s="363"/>
      <c r="G47" s="363"/>
      <c r="H47" s="314">
        <f t="shared" si="0"/>
        <v>0</v>
      </c>
      <c r="I47" s="64"/>
    </row>
    <row r="48" spans="1:9" ht="15.9" customHeight="1" x14ac:dyDescent="0.4">
      <c r="A48" s="417"/>
      <c r="B48" s="364"/>
      <c r="C48" s="365"/>
      <c r="D48" s="366"/>
      <c r="E48" s="366"/>
      <c r="F48" s="368"/>
      <c r="G48" s="368"/>
      <c r="H48" s="77">
        <f>SUM(H41:H47)</f>
        <v>0</v>
      </c>
      <c r="I48" s="72"/>
    </row>
    <row r="49" spans="1:9" ht="15.9" customHeight="1" x14ac:dyDescent="0.4">
      <c r="A49" s="392"/>
      <c r="B49" s="393" t="s">
        <v>149</v>
      </c>
      <c r="C49" s="394"/>
      <c r="D49" s="72"/>
      <c r="E49" s="72"/>
      <c r="F49" s="396"/>
      <c r="G49" s="396"/>
      <c r="H49" s="77">
        <f>SUM(H48,H40,H20,H14)</f>
        <v>37070000</v>
      </c>
      <c r="I49" s="72"/>
    </row>
    <row r="50" spans="1:9" ht="15.9" customHeight="1" x14ac:dyDescent="0.4">
      <c r="A50" s="348" t="s">
        <v>150</v>
      </c>
      <c r="B50" s="398" t="s">
        <v>67</v>
      </c>
      <c r="C50" s="394"/>
      <c r="D50" s="72"/>
      <c r="E50" s="398" t="s">
        <v>68</v>
      </c>
      <c r="F50" s="424">
        <v>0</v>
      </c>
      <c r="G50" s="413">
        <v>250000</v>
      </c>
      <c r="H50" s="402">
        <f>F50*G50</f>
        <v>0</v>
      </c>
      <c r="I50" s="72"/>
    </row>
    <row r="51" spans="1:9" ht="15.9" customHeight="1" x14ac:dyDescent="0.4">
      <c r="A51" s="417"/>
      <c r="B51" s="404" t="s">
        <v>204</v>
      </c>
      <c r="C51" s="405"/>
      <c r="D51" s="375"/>
      <c r="E51" s="404" t="s">
        <v>152</v>
      </c>
      <c r="F51" s="425">
        <v>15</v>
      </c>
      <c r="G51" s="437">
        <v>300000</v>
      </c>
      <c r="H51" s="374">
        <f t="shared" ref="H51:H57" si="1">F51*G51</f>
        <v>4500000</v>
      </c>
      <c r="I51" s="375"/>
    </row>
    <row r="52" spans="1:9" ht="15.9" customHeight="1" x14ac:dyDescent="0.4">
      <c r="A52" s="417"/>
      <c r="B52" s="406" t="s">
        <v>205</v>
      </c>
      <c r="C52" s="407"/>
      <c r="D52" s="49"/>
      <c r="E52" s="406" t="s">
        <v>152</v>
      </c>
      <c r="F52" s="426">
        <v>5</v>
      </c>
      <c r="G52" s="420">
        <v>250000</v>
      </c>
      <c r="H52" s="284">
        <f t="shared" si="1"/>
        <v>1250000</v>
      </c>
      <c r="I52" s="49"/>
    </row>
    <row r="53" spans="1:9" ht="15.9" customHeight="1" x14ac:dyDescent="0.4">
      <c r="A53" s="417"/>
      <c r="B53" s="406" t="s">
        <v>206</v>
      </c>
      <c r="C53" s="407"/>
      <c r="D53" s="49"/>
      <c r="E53" s="406" t="s">
        <v>152</v>
      </c>
      <c r="F53" s="426">
        <v>15</v>
      </c>
      <c r="G53" s="420">
        <v>250000</v>
      </c>
      <c r="H53" s="284">
        <f t="shared" si="1"/>
        <v>3750000</v>
      </c>
      <c r="I53" s="49"/>
    </row>
    <row r="54" spans="1:9" ht="15.9" customHeight="1" x14ac:dyDescent="0.4">
      <c r="A54" s="417"/>
      <c r="B54" s="406" t="s">
        <v>207</v>
      </c>
      <c r="C54" s="407"/>
      <c r="D54" s="49"/>
      <c r="E54" s="406" t="s">
        <v>152</v>
      </c>
      <c r="F54" s="426">
        <v>2</v>
      </c>
      <c r="G54" s="359">
        <v>300000</v>
      </c>
      <c r="H54" s="284">
        <f t="shared" si="1"/>
        <v>600000</v>
      </c>
      <c r="I54" s="49"/>
    </row>
    <row r="55" spans="1:9" ht="15.9" customHeight="1" x14ac:dyDescent="0.4">
      <c r="A55" s="417"/>
      <c r="B55" s="406" t="s">
        <v>208</v>
      </c>
      <c r="C55" s="407"/>
      <c r="D55" s="49"/>
      <c r="E55" s="406" t="s">
        <v>152</v>
      </c>
      <c r="F55" s="426">
        <v>4</v>
      </c>
      <c r="G55" s="359">
        <v>300000</v>
      </c>
      <c r="H55" s="284">
        <f t="shared" si="1"/>
        <v>1200000</v>
      </c>
      <c r="I55" s="49"/>
    </row>
    <row r="56" spans="1:9" ht="15.9" customHeight="1" x14ac:dyDescent="0.4">
      <c r="A56" s="417"/>
      <c r="B56" s="406" t="s">
        <v>209</v>
      </c>
      <c r="C56" s="407"/>
      <c r="D56" s="49"/>
      <c r="E56" s="406" t="s">
        <v>152</v>
      </c>
      <c r="F56" s="426">
        <v>2</v>
      </c>
      <c r="G56" s="359">
        <v>300000</v>
      </c>
      <c r="H56" s="284">
        <f t="shared" si="1"/>
        <v>600000</v>
      </c>
      <c r="I56" s="49"/>
    </row>
    <row r="57" spans="1:9" ht="15.9" customHeight="1" x14ac:dyDescent="0.4">
      <c r="A57" s="417"/>
      <c r="B57" s="408" t="s">
        <v>210</v>
      </c>
      <c r="C57" s="409"/>
      <c r="D57" s="64"/>
      <c r="E57" s="408" t="s">
        <v>152</v>
      </c>
      <c r="F57" s="427">
        <v>2</v>
      </c>
      <c r="G57" s="438">
        <v>250000</v>
      </c>
      <c r="H57" s="314">
        <f t="shared" si="1"/>
        <v>500000</v>
      </c>
      <c r="I57" s="64"/>
    </row>
    <row r="58" spans="1:9" ht="15.9" customHeight="1" x14ac:dyDescent="0.4">
      <c r="A58" s="392"/>
      <c r="B58" s="410" t="s">
        <v>158</v>
      </c>
      <c r="C58" s="394"/>
      <c r="D58" s="72"/>
      <c r="E58" s="72"/>
      <c r="F58" s="368"/>
      <c r="G58" s="368"/>
      <c r="H58" s="368">
        <f>SUM(H50:H57)</f>
        <v>12400000</v>
      </c>
      <c r="I58" s="366"/>
    </row>
    <row r="59" spans="1:9" ht="15.9" customHeight="1" x14ac:dyDescent="0.4">
      <c r="A59" s="399"/>
      <c r="B59" s="410" t="s">
        <v>211</v>
      </c>
      <c r="C59" s="394"/>
      <c r="D59" s="72"/>
      <c r="E59" s="72"/>
      <c r="F59" s="77"/>
      <c r="G59" s="77"/>
      <c r="H59" s="396">
        <f>'단위공사별(집계)'!L10+'단위공사별(집계)'!I10</f>
        <v>236394.34484576853</v>
      </c>
      <c r="I59" s="72"/>
    </row>
    <row r="60" spans="1:9" ht="15.9" customHeight="1" x14ac:dyDescent="0.4">
      <c r="A60" s="399"/>
      <c r="B60" s="410" t="s">
        <v>93</v>
      </c>
      <c r="C60" s="394"/>
      <c r="D60" s="72"/>
      <c r="E60" s="72"/>
      <c r="F60" s="77"/>
      <c r="G60" s="412"/>
      <c r="H60" s="413">
        <v>0</v>
      </c>
      <c r="I60" s="394"/>
    </row>
    <row r="61" spans="1:9" ht="15.9" customHeight="1" x14ac:dyDescent="0.4">
      <c r="A61" s="399"/>
      <c r="B61" s="410" t="s">
        <v>161</v>
      </c>
      <c r="C61" s="394"/>
      <c r="D61" s="72"/>
      <c r="E61" s="72"/>
      <c r="F61" s="77"/>
      <c r="G61" s="412"/>
      <c r="H61" s="413">
        <v>0</v>
      </c>
      <c r="I61" s="394"/>
    </row>
    <row r="62" spans="1:9" ht="15.9" customHeight="1" x14ac:dyDescent="0.4">
      <c r="A62" s="399"/>
      <c r="B62" s="410" t="s">
        <v>162</v>
      </c>
      <c r="C62" s="394"/>
      <c r="D62" s="72"/>
      <c r="E62" s="72"/>
      <c r="F62" s="77"/>
      <c r="G62" s="77"/>
      <c r="H62" s="368">
        <f>H49+H58+H59+H60+H61</f>
        <v>49706394.344845772</v>
      </c>
      <c r="I62" s="72"/>
    </row>
    <row r="63" spans="1:9" x14ac:dyDescent="0.4">
      <c r="A63" s="30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B09B-2C70-4CA2-B320-8D8B9C6565E5}">
  <sheetPr>
    <tabColor rgb="FF00B050"/>
    <pageSetUpPr fitToPage="1"/>
  </sheetPr>
  <dimension ref="A1:I55"/>
  <sheetViews>
    <sheetView zoomScaleNormal="100" workbookViewId="0">
      <pane xSplit="2" ySplit="2" topLeftCell="C27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291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 t="shared" ref="H3:H39" si="0"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 t="shared" si="0"/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si="0"/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273</v>
      </c>
      <c r="D7" s="356"/>
      <c r="E7" s="357" t="s">
        <v>59</v>
      </c>
      <c r="F7" s="359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274</v>
      </c>
      <c r="D8" s="356"/>
      <c r="E8" s="357" t="s">
        <v>195</v>
      </c>
      <c r="F8" s="359">
        <v>1</v>
      </c>
      <c r="G8" s="359">
        <v>1000000</v>
      </c>
      <c r="H8" s="284">
        <f t="shared" si="0"/>
        <v>1000000</v>
      </c>
      <c r="I8" s="49"/>
    </row>
    <row r="9" spans="1:9" ht="15.9" customHeight="1" x14ac:dyDescent="0.4">
      <c r="A9" s="417"/>
      <c r="B9" s="349"/>
      <c r="C9" s="356" t="s">
        <v>175</v>
      </c>
      <c r="D9" s="356"/>
      <c r="E9" s="357" t="s">
        <v>59</v>
      </c>
      <c r="F9" s="359">
        <v>1</v>
      </c>
      <c r="G9" s="359">
        <v>1300000</v>
      </c>
      <c r="H9" s="284">
        <f t="shared" si="0"/>
        <v>1300000</v>
      </c>
      <c r="I9" s="49"/>
    </row>
    <row r="10" spans="1:9" ht="15.9" customHeight="1" x14ac:dyDescent="0.4">
      <c r="A10" s="417"/>
      <c r="B10" s="349"/>
      <c r="C10" s="356"/>
      <c r="D10" s="356"/>
      <c r="E10" s="357"/>
      <c r="F10" s="359"/>
      <c r="G10" s="359"/>
      <c r="H10" s="284">
        <f t="shared" si="0"/>
        <v>0</v>
      </c>
      <c r="I10" s="49"/>
    </row>
    <row r="11" spans="1:9" ht="15.9" customHeight="1" x14ac:dyDescent="0.4">
      <c r="A11" s="417"/>
      <c r="B11" s="349"/>
      <c r="C11" s="360" t="s">
        <v>289</v>
      </c>
      <c r="D11" s="377"/>
      <c r="E11" s="390" t="s">
        <v>195</v>
      </c>
      <c r="F11" s="379">
        <v>1</v>
      </c>
      <c r="G11" s="379">
        <v>500000</v>
      </c>
      <c r="H11" s="294">
        <v>0</v>
      </c>
      <c r="I11" s="57"/>
    </row>
    <row r="12" spans="1:9" ht="15.9" customHeight="1" x14ac:dyDescent="0.4">
      <c r="A12" s="417"/>
      <c r="B12" s="364"/>
      <c r="C12" s="381"/>
      <c r="D12" s="381"/>
      <c r="E12" s="381"/>
      <c r="F12" s="384"/>
      <c r="G12" s="384"/>
      <c r="H12" s="385">
        <f>SUM(H3:H11)</f>
        <v>9400000</v>
      </c>
      <c r="I12" s="381"/>
    </row>
    <row r="13" spans="1:9" ht="15.9" customHeight="1" x14ac:dyDescent="0.4">
      <c r="A13" s="417"/>
      <c r="B13" s="349" t="s">
        <v>177</v>
      </c>
      <c r="C13" s="350"/>
      <c r="D13" s="350"/>
      <c r="E13" s="350"/>
      <c r="F13" s="353"/>
      <c r="G13" s="353"/>
      <c r="H13" s="304">
        <f t="shared" si="0"/>
        <v>0</v>
      </c>
      <c r="I13" s="354"/>
    </row>
    <row r="14" spans="1:9" ht="15.9" customHeight="1" x14ac:dyDescent="0.4">
      <c r="A14" s="417"/>
      <c r="B14" s="349" t="s">
        <v>178</v>
      </c>
      <c r="C14" s="356"/>
      <c r="D14" s="356"/>
      <c r="E14" s="356"/>
      <c r="F14" s="359"/>
      <c r="G14" s="359"/>
      <c r="H14" s="284">
        <f t="shared" si="0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0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0"/>
        <v>0</v>
      </c>
      <c r="I16" s="49"/>
    </row>
    <row r="17" spans="1:9" ht="15.9" customHeight="1" x14ac:dyDescent="0.4">
      <c r="A17" s="417"/>
      <c r="B17" s="349"/>
      <c r="C17" s="360" t="s">
        <v>203</v>
      </c>
      <c r="D17" s="360"/>
      <c r="E17" s="360"/>
      <c r="F17" s="363"/>
      <c r="G17" s="363"/>
      <c r="H17" s="284">
        <f t="shared" si="0"/>
        <v>0</v>
      </c>
      <c r="I17" s="64"/>
    </row>
    <row r="18" spans="1:9" ht="15.9" customHeight="1" x14ac:dyDescent="0.4">
      <c r="A18" s="417"/>
      <c r="B18" s="364"/>
      <c r="C18" s="365"/>
      <c r="D18" s="366"/>
      <c r="E18" s="366"/>
      <c r="F18" s="422"/>
      <c r="G18" s="368"/>
      <c r="H18" s="77">
        <f>SUM(H13:H17)</f>
        <v>0</v>
      </c>
      <c r="I18" s="72"/>
    </row>
    <row r="19" spans="1:9" ht="15.9" customHeight="1" x14ac:dyDescent="0.4">
      <c r="A19" s="417"/>
      <c r="B19" s="386" t="s">
        <v>179</v>
      </c>
      <c r="C19" s="391" t="s">
        <v>276</v>
      </c>
      <c r="D19" s="428" t="s">
        <v>277</v>
      </c>
      <c r="E19" s="388" t="s">
        <v>59</v>
      </c>
      <c r="F19" s="436">
        <v>1</v>
      </c>
      <c r="G19" s="389">
        <v>300000</v>
      </c>
      <c r="H19" s="374">
        <f t="shared" si="0"/>
        <v>300000</v>
      </c>
      <c r="I19" s="375"/>
    </row>
    <row r="20" spans="1:9" ht="15.9" customHeight="1" x14ac:dyDescent="0.4">
      <c r="A20" s="417"/>
      <c r="B20" s="349" t="s">
        <v>181</v>
      </c>
      <c r="C20" s="356" t="s">
        <v>273</v>
      </c>
      <c r="D20" s="356" t="s">
        <v>278</v>
      </c>
      <c r="E20" s="357" t="s">
        <v>59</v>
      </c>
      <c r="F20" s="359">
        <v>1</v>
      </c>
      <c r="G20" s="359">
        <v>500000</v>
      </c>
      <c r="H20" s="284">
        <f t="shared" si="0"/>
        <v>500000</v>
      </c>
      <c r="I20" s="49"/>
    </row>
    <row r="21" spans="1:9" ht="15.9" customHeight="1" x14ac:dyDescent="0.4">
      <c r="A21" s="417"/>
      <c r="B21" s="349"/>
      <c r="C21" s="356" t="s">
        <v>279</v>
      </c>
      <c r="D21" s="356"/>
      <c r="E21" s="357" t="s">
        <v>195</v>
      </c>
      <c r="F21" s="359"/>
      <c r="G21" s="359"/>
      <c r="H21" s="284">
        <f t="shared" si="0"/>
        <v>0</v>
      </c>
      <c r="I21" s="49"/>
    </row>
    <row r="22" spans="1:9" ht="15.9" customHeight="1" x14ac:dyDescent="0.4">
      <c r="A22" s="417"/>
      <c r="B22" s="349"/>
      <c r="C22" s="356" t="s">
        <v>280</v>
      </c>
      <c r="D22" s="356" t="s">
        <v>281</v>
      </c>
      <c r="E22" s="357" t="s">
        <v>195</v>
      </c>
      <c r="F22" s="359">
        <v>1</v>
      </c>
      <c r="G22" s="359">
        <v>5000000</v>
      </c>
      <c r="H22" s="284">
        <f t="shared" si="0"/>
        <v>5000000</v>
      </c>
      <c r="I22" s="49"/>
    </row>
    <row r="23" spans="1:9" ht="15.9" customHeight="1" x14ac:dyDescent="0.4">
      <c r="A23" s="417"/>
      <c r="B23" s="349"/>
      <c r="C23" s="356" t="s">
        <v>282</v>
      </c>
      <c r="D23" s="356" t="s">
        <v>283</v>
      </c>
      <c r="E23" s="357" t="s">
        <v>195</v>
      </c>
      <c r="F23" s="359">
        <v>1</v>
      </c>
      <c r="G23" s="359">
        <v>500000</v>
      </c>
      <c r="H23" s="284">
        <f t="shared" si="0"/>
        <v>500000</v>
      </c>
      <c r="I23" s="49"/>
    </row>
    <row r="24" spans="1:9" ht="15.9" customHeight="1" x14ac:dyDescent="0.4">
      <c r="A24" s="417"/>
      <c r="B24" s="349"/>
      <c r="C24" s="356" t="s">
        <v>284</v>
      </c>
      <c r="D24" s="356"/>
      <c r="E24" s="357" t="s">
        <v>195</v>
      </c>
      <c r="F24" s="359">
        <v>1</v>
      </c>
      <c r="G24" s="359">
        <v>500000</v>
      </c>
      <c r="H24" s="284">
        <f t="shared" si="0"/>
        <v>500000</v>
      </c>
      <c r="I24" s="49"/>
    </row>
    <row r="25" spans="1:9" ht="15.9" customHeight="1" x14ac:dyDescent="0.4">
      <c r="A25" s="417"/>
      <c r="B25" s="349"/>
      <c r="C25" s="356" t="s">
        <v>175</v>
      </c>
      <c r="D25" s="356"/>
      <c r="E25" s="357" t="s">
        <v>59</v>
      </c>
      <c r="F25" s="359">
        <v>1</v>
      </c>
      <c r="G25" s="359">
        <v>600000</v>
      </c>
      <c r="H25" s="284">
        <f t="shared" si="0"/>
        <v>600000</v>
      </c>
      <c r="I25" s="49"/>
    </row>
    <row r="26" spans="1:9" ht="15.9" customHeight="1" x14ac:dyDescent="0.4">
      <c r="A26" s="417"/>
      <c r="B26" s="349"/>
      <c r="C26" s="356"/>
      <c r="D26" s="356"/>
      <c r="E26" s="357"/>
      <c r="F26" s="359"/>
      <c r="G26" s="359"/>
      <c r="H26" s="284">
        <f t="shared" si="0"/>
        <v>0</v>
      </c>
      <c r="I26" s="49"/>
    </row>
    <row r="27" spans="1:9" ht="15.9" customHeight="1" x14ac:dyDescent="0.4">
      <c r="A27" s="417"/>
      <c r="B27" s="349"/>
      <c r="C27" s="356"/>
      <c r="D27" s="356"/>
      <c r="E27" s="357"/>
      <c r="F27" s="359"/>
      <c r="G27" s="359"/>
      <c r="H27" s="284">
        <f t="shared" si="0"/>
        <v>0</v>
      </c>
      <c r="I27" s="49"/>
    </row>
    <row r="28" spans="1:9" ht="15.9" customHeight="1" x14ac:dyDescent="0.4">
      <c r="A28" s="417"/>
      <c r="B28" s="349"/>
      <c r="C28" s="356"/>
      <c r="D28" s="356"/>
      <c r="E28" s="357"/>
      <c r="F28" s="423"/>
      <c r="G28" s="359"/>
      <c r="H28" s="284">
        <f t="shared" si="0"/>
        <v>0</v>
      </c>
      <c r="I28" s="49"/>
    </row>
    <row r="29" spans="1:9" ht="15.9" customHeight="1" x14ac:dyDescent="0.4">
      <c r="A29" s="417"/>
      <c r="B29" s="349"/>
      <c r="C29" s="418"/>
      <c r="D29" s="418"/>
      <c r="E29" s="419"/>
      <c r="F29" s="420"/>
      <c r="G29" s="420"/>
      <c r="H29" s="284">
        <f>IF(F29=0,G29,G29*F29)</f>
        <v>0</v>
      </c>
      <c r="I29" s="49"/>
    </row>
    <row r="30" spans="1:9" ht="15.9" customHeight="1" x14ac:dyDescent="0.4">
      <c r="A30" s="417"/>
      <c r="B30" s="349"/>
      <c r="C30" s="356"/>
      <c r="D30" s="356"/>
      <c r="E30" s="356"/>
      <c r="F30" s="359"/>
      <c r="G30" s="359"/>
      <c r="H30" s="284">
        <f t="shared" ref="H30" si="1">IF(F30=0,G30,G30*F30)</f>
        <v>0</v>
      </c>
      <c r="I30" s="49"/>
    </row>
    <row r="31" spans="1:9" ht="15.9" customHeight="1" x14ac:dyDescent="0.4">
      <c r="A31" s="417"/>
      <c r="B31" s="349"/>
      <c r="C31" s="360" t="s">
        <v>248</v>
      </c>
      <c r="D31" s="360"/>
      <c r="E31" s="361" t="s">
        <v>195</v>
      </c>
      <c r="F31" s="363">
        <v>1</v>
      </c>
      <c r="G31" s="363">
        <v>1000000</v>
      </c>
      <c r="H31" s="284">
        <v>0</v>
      </c>
      <c r="I31" s="64"/>
    </row>
    <row r="32" spans="1:9" ht="15.9" customHeight="1" x14ac:dyDescent="0.4">
      <c r="A32" s="417"/>
      <c r="B32" s="364"/>
      <c r="C32" s="365"/>
      <c r="D32" s="366"/>
      <c r="E32" s="366"/>
      <c r="F32" s="368"/>
      <c r="G32" s="368"/>
      <c r="H32" s="77">
        <f>SUM(H19:H31)</f>
        <v>7400000</v>
      </c>
      <c r="I32" s="72"/>
    </row>
    <row r="33" spans="1:9" ht="15.9" customHeight="1" x14ac:dyDescent="0.4">
      <c r="A33" s="417"/>
      <c r="B33" s="386" t="s">
        <v>61</v>
      </c>
      <c r="C33" s="370"/>
      <c r="D33" s="370"/>
      <c r="E33" s="370"/>
      <c r="F33" s="373"/>
      <c r="G33" s="373"/>
      <c r="H33" s="374">
        <f t="shared" si="0"/>
        <v>0</v>
      </c>
      <c r="I33" s="375"/>
    </row>
    <row r="34" spans="1:9" ht="15.9" customHeight="1" x14ac:dyDescent="0.4">
      <c r="A34" s="417"/>
      <c r="B34" s="349"/>
      <c r="C34" s="356"/>
      <c r="D34" s="356"/>
      <c r="E34" s="356"/>
      <c r="F34" s="359"/>
      <c r="G34" s="359"/>
      <c r="H34" s="284">
        <f t="shared" si="0"/>
        <v>0</v>
      </c>
      <c r="I34" s="49"/>
    </row>
    <row r="35" spans="1:9" ht="15.9" customHeight="1" x14ac:dyDescent="0.4">
      <c r="A35" s="417"/>
      <c r="B35" s="349"/>
      <c r="C35" s="356"/>
      <c r="D35" s="356"/>
      <c r="E35" s="356"/>
      <c r="F35" s="359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356"/>
      <c r="D36" s="356"/>
      <c r="E36" s="356"/>
      <c r="F36" s="359"/>
      <c r="G36" s="359"/>
      <c r="H36" s="284">
        <f t="shared" si="0"/>
        <v>0</v>
      </c>
      <c r="I36" s="49"/>
    </row>
    <row r="37" spans="1:9" ht="15.9" customHeight="1" x14ac:dyDescent="0.4">
      <c r="A37" s="417"/>
      <c r="B37" s="349"/>
      <c r="C37" s="356"/>
      <c r="D37" s="356"/>
      <c r="E37" s="356"/>
      <c r="F37" s="359"/>
      <c r="G37" s="359"/>
      <c r="H37" s="284">
        <f t="shared" si="0"/>
        <v>0</v>
      </c>
      <c r="I37" s="49"/>
    </row>
    <row r="38" spans="1:9" ht="15.9" customHeight="1" x14ac:dyDescent="0.4">
      <c r="A38" s="417"/>
      <c r="B38" s="349"/>
      <c r="C38" s="356"/>
      <c r="D38" s="356"/>
      <c r="E38" s="356"/>
      <c r="F38" s="359"/>
      <c r="G38" s="359"/>
      <c r="H38" s="284">
        <f t="shared" si="0"/>
        <v>0</v>
      </c>
      <c r="I38" s="49"/>
    </row>
    <row r="39" spans="1:9" ht="15.9" customHeight="1" x14ac:dyDescent="0.4">
      <c r="A39" s="417"/>
      <c r="B39" s="349"/>
      <c r="C39" s="360" t="s">
        <v>203</v>
      </c>
      <c r="D39" s="360"/>
      <c r="E39" s="360"/>
      <c r="F39" s="363"/>
      <c r="G39" s="363"/>
      <c r="H39" s="314">
        <f t="shared" si="0"/>
        <v>0</v>
      </c>
      <c r="I39" s="64"/>
    </row>
    <row r="40" spans="1:9" ht="15.9" customHeight="1" x14ac:dyDescent="0.4">
      <c r="A40" s="417"/>
      <c r="B40" s="364"/>
      <c r="C40" s="365"/>
      <c r="D40" s="366"/>
      <c r="E40" s="366"/>
      <c r="F40" s="368"/>
      <c r="G40" s="368"/>
      <c r="H40" s="77">
        <f>SUM(H33:H39)</f>
        <v>0</v>
      </c>
      <c r="I40" s="72"/>
    </row>
    <row r="41" spans="1:9" ht="15.9" customHeight="1" x14ac:dyDescent="0.4">
      <c r="A41" s="392"/>
      <c r="B41" s="393" t="s">
        <v>149</v>
      </c>
      <c r="C41" s="394"/>
      <c r="D41" s="72"/>
      <c r="E41" s="72"/>
      <c r="F41" s="396"/>
      <c r="G41" s="396"/>
      <c r="H41" s="77">
        <f>SUM(H40,H32,H18,H12)</f>
        <v>16800000</v>
      </c>
      <c r="I41" s="72"/>
    </row>
    <row r="42" spans="1:9" ht="15.9" customHeight="1" x14ac:dyDescent="0.4">
      <c r="A42" s="348" t="s">
        <v>150</v>
      </c>
      <c r="B42" s="398" t="s">
        <v>67</v>
      </c>
      <c r="C42" s="394"/>
      <c r="D42" s="72"/>
      <c r="E42" s="398" t="s">
        <v>68</v>
      </c>
      <c r="F42" s="424">
        <v>0</v>
      </c>
      <c r="G42" s="413">
        <v>250000</v>
      </c>
      <c r="H42" s="402">
        <f>F42*G42</f>
        <v>0</v>
      </c>
      <c r="I42" s="72"/>
    </row>
    <row r="43" spans="1:9" ht="15.9" customHeight="1" x14ac:dyDescent="0.4">
      <c r="A43" s="417"/>
      <c r="B43" s="404" t="s">
        <v>204</v>
      </c>
      <c r="C43" s="405"/>
      <c r="D43" s="375"/>
      <c r="E43" s="404" t="s">
        <v>152</v>
      </c>
      <c r="F43" s="425">
        <v>10</v>
      </c>
      <c r="G43" s="437">
        <v>300000</v>
      </c>
      <c r="H43" s="374">
        <f t="shared" ref="H43:H49" si="2">F43*G43</f>
        <v>3000000</v>
      </c>
      <c r="I43" s="375"/>
    </row>
    <row r="44" spans="1:9" ht="15.9" customHeight="1" x14ac:dyDescent="0.4">
      <c r="A44" s="417"/>
      <c r="B44" s="406" t="s">
        <v>205</v>
      </c>
      <c r="C44" s="407"/>
      <c r="D44" s="49"/>
      <c r="E44" s="406" t="s">
        <v>152</v>
      </c>
      <c r="F44" s="426">
        <v>0</v>
      </c>
      <c r="G44" s="420">
        <v>250000</v>
      </c>
      <c r="H44" s="284">
        <f t="shared" si="2"/>
        <v>0</v>
      </c>
      <c r="I44" s="49"/>
    </row>
    <row r="45" spans="1:9" ht="15.9" customHeight="1" x14ac:dyDescent="0.4">
      <c r="A45" s="417"/>
      <c r="B45" s="406" t="s">
        <v>206</v>
      </c>
      <c r="C45" s="407"/>
      <c r="D45" s="49"/>
      <c r="E45" s="406" t="s">
        <v>152</v>
      </c>
      <c r="F45" s="426">
        <v>10</v>
      </c>
      <c r="G45" s="420">
        <v>250000</v>
      </c>
      <c r="H45" s="284">
        <f t="shared" si="2"/>
        <v>2500000</v>
      </c>
      <c r="I45" s="49"/>
    </row>
    <row r="46" spans="1:9" ht="15.9" customHeight="1" x14ac:dyDescent="0.4">
      <c r="A46" s="417"/>
      <c r="B46" s="406" t="s">
        <v>207</v>
      </c>
      <c r="C46" s="407"/>
      <c r="D46" s="49"/>
      <c r="E46" s="406" t="s">
        <v>152</v>
      </c>
      <c r="F46" s="426">
        <v>2</v>
      </c>
      <c r="G46" s="359">
        <v>300000</v>
      </c>
      <c r="H46" s="284">
        <f t="shared" si="2"/>
        <v>600000</v>
      </c>
      <c r="I46" s="49"/>
    </row>
    <row r="47" spans="1:9" ht="15.9" customHeight="1" x14ac:dyDescent="0.4">
      <c r="A47" s="417"/>
      <c r="B47" s="406" t="s">
        <v>208</v>
      </c>
      <c r="C47" s="407"/>
      <c r="D47" s="49"/>
      <c r="E47" s="406" t="s">
        <v>152</v>
      </c>
      <c r="F47" s="426">
        <v>4</v>
      </c>
      <c r="G47" s="359">
        <v>300000</v>
      </c>
      <c r="H47" s="284">
        <f t="shared" si="2"/>
        <v>1200000</v>
      </c>
      <c r="I47" s="49"/>
    </row>
    <row r="48" spans="1:9" ht="15.9" customHeight="1" x14ac:dyDescent="0.4">
      <c r="A48" s="417"/>
      <c r="B48" s="406" t="s">
        <v>209</v>
      </c>
      <c r="C48" s="407"/>
      <c r="D48" s="49"/>
      <c r="E48" s="406" t="s">
        <v>152</v>
      </c>
      <c r="F48" s="426">
        <v>2</v>
      </c>
      <c r="G48" s="359">
        <v>300000</v>
      </c>
      <c r="H48" s="284">
        <f t="shared" si="2"/>
        <v>600000</v>
      </c>
      <c r="I48" s="49"/>
    </row>
    <row r="49" spans="1:9" ht="15.9" customHeight="1" x14ac:dyDescent="0.4">
      <c r="A49" s="417"/>
      <c r="B49" s="408" t="s">
        <v>210</v>
      </c>
      <c r="C49" s="409"/>
      <c r="D49" s="64"/>
      <c r="E49" s="408" t="s">
        <v>152</v>
      </c>
      <c r="F49" s="427">
        <v>0</v>
      </c>
      <c r="G49" s="438">
        <v>250000</v>
      </c>
      <c r="H49" s="314">
        <f t="shared" si="2"/>
        <v>0</v>
      </c>
      <c r="I49" s="64"/>
    </row>
    <row r="50" spans="1:9" ht="15.9" customHeight="1" x14ac:dyDescent="0.4">
      <c r="A50" s="392"/>
      <c r="B50" s="410" t="s">
        <v>158</v>
      </c>
      <c r="C50" s="394"/>
      <c r="D50" s="72"/>
      <c r="E50" s="72"/>
      <c r="F50" s="368"/>
      <c r="G50" s="368"/>
      <c r="H50" s="368">
        <f>SUM(H42:H49)</f>
        <v>7900000</v>
      </c>
      <c r="I50" s="366"/>
    </row>
    <row r="51" spans="1:9" ht="15.9" customHeight="1" x14ac:dyDescent="0.4">
      <c r="A51" s="399"/>
      <c r="B51" s="410" t="s">
        <v>211</v>
      </c>
      <c r="C51" s="394"/>
      <c r="D51" s="72"/>
      <c r="E51" s="72"/>
      <c r="F51" s="77"/>
      <c r="G51" s="77"/>
      <c r="H51" s="396">
        <f>'단위공사별(집계)'!I11+'단위공사별(집계)'!L11</f>
        <v>118029.92354336937</v>
      </c>
      <c r="I51" s="72"/>
    </row>
    <row r="52" spans="1:9" ht="15.9" customHeight="1" x14ac:dyDescent="0.4">
      <c r="A52" s="399"/>
      <c r="B52" s="410" t="s">
        <v>93</v>
      </c>
      <c r="C52" s="394"/>
      <c r="D52" s="72"/>
      <c r="E52" s="72"/>
      <c r="F52" s="77"/>
      <c r="G52" s="412"/>
      <c r="H52" s="413">
        <v>0</v>
      </c>
      <c r="I52" s="394"/>
    </row>
    <row r="53" spans="1:9" ht="15.9" customHeight="1" x14ac:dyDescent="0.4">
      <c r="A53" s="399"/>
      <c r="B53" s="410" t="s">
        <v>161</v>
      </c>
      <c r="C53" s="394"/>
      <c r="D53" s="72"/>
      <c r="E53" s="72"/>
      <c r="F53" s="77"/>
      <c r="G53" s="412"/>
      <c r="H53" s="413">
        <v>0</v>
      </c>
      <c r="I53" s="394"/>
    </row>
    <row r="54" spans="1:9" ht="15.9" customHeight="1" x14ac:dyDescent="0.4">
      <c r="A54" s="399"/>
      <c r="B54" s="410" t="s">
        <v>162</v>
      </c>
      <c r="C54" s="394"/>
      <c r="D54" s="72"/>
      <c r="E54" s="72"/>
      <c r="F54" s="77"/>
      <c r="G54" s="77"/>
      <c r="H54" s="368">
        <f>H41+H50+H51+H52+H53</f>
        <v>24818029.923543368</v>
      </c>
      <c r="I54" s="72"/>
    </row>
    <row r="55" spans="1:9" x14ac:dyDescent="0.4">
      <c r="A55" s="30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74E9-7B0C-4013-9844-83A51A1D8617}">
  <sheetPr>
    <tabColor rgb="FF00B050"/>
    <pageSetUpPr fitToPage="1"/>
  </sheetPr>
  <dimension ref="A1:I70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292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 t="shared" ref="H3:H54" si="0"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 t="shared" si="0"/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si="0"/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287</v>
      </c>
      <c r="D7" s="356"/>
      <c r="E7" s="357" t="s">
        <v>59</v>
      </c>
      <c r="F7" s="359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288</v>
      </c>
      <c r="D8" s="356" t="s">
        <v>188</v>
      </c>
      <c r="E8" s="357" t="s">
        <v>59</v>
      </c>
      <c r="F8" s="359">
        <v>1</v>
      </c>
      <c r="G8" s="359">
        <v>2500000</v>
      </c>
      <c r="H8" s="284">
        <f t="shared" si="0"/>
        <v>2500000</v>
      </c>
      <c r="I8" s="49"/>
    </row>
    <row r="9" spans="1:9" ht="15.9" customHeight="1" x14ac:dyDescent="0.4">
      <c r="A9" s="417"/>
      <c r="B9" s="349"/>
      <c r="C9" s="356" t="s">
        <v>175</v>
      </c>
      <c r="D9" s="356"/>
      <c r="E9" s="357" t="s">
        <v>59</v>
      </c>
      <c r="F9" s="359">
        <v>1</v>
      </c>
      <c r="G9" s="359">
        <v>1300000</v>
      </c>
      <c r="H9" s="284">
        <f t="shared" si="0"/>
        <v>1300000</v>
      </c>
      <c r="I9" s="49"/>
    </row>
    <row r="10" spans="1:9" ht="15.9" customHeight="1" x14ac:dyDescent="0.4">
      <c r="A10" s="417"/>
      <c r="B10" s="349"/>
      <c r="C10" s="356"/>
      <c r="D10" s="356"/>
      <c r="E10" s="357"/>
      <c r="F10" s="359"/>
      <c r="G10" s="359"/>
      <c r="H10" s="284">
        <f t="shared" si="0"/>
        <v>0</v>
      </c>
      <c r="I10" s="49"/>
    </row>
    <row r="11" spans="1:9" ht="15.9" customHeight="1" x14ac:dyDescent="0.4">
      <c r="A11" s="417"/>
      <c r="B11" s="349"/>
      <c r="C11" s="356"/>
      <c r="D11" s="356"/>
      <c r="E11" s="357"/>
      <c r="F11" s="359"/>
      <c r="G11" s="359"/>
      <c r="H11" s="284">
        <f t="shared" si="0"/>
        <v>0</v>
      </c>
      <c r="I11" s="49"/>
    </row>
    <row r="12" spans="1:9" ht="15.9" customHeight="1" x14ac:dyDescent="0.4">
      <c r="A12" s="417"/>
      <c r="B12" s="349"/>
      <c r="C12" s="356"/>
      <c r="D12" s="356"/>
      <c r="E12" s="357"/>
      <c r="F12" s="359"/>
      <c r="G12" s="359"/>
      <c r="H12" s="284">
        <f t="shared" si="0"/>
        <v>0</v>
      </c>
      <c r="I12" s="49"/>
    </row>
    <row r="13" spans="1:9" ht="15.9" customHeight="1" x14ac:dyDescent="0.4">
      <c r="A13" s="417"/>
      <c r="B13" s="349"/>
      <c r="C13" s="356"/>
      <c r="D13" s="356"/>
      <c r="E13" s="357"/>
      <c r="F13" s="359"/>
      <c r="G13" s="359"/>
      <c r="H13" s="284">
        <f t="shared" si="0"/>
        <v>0</v>
      </c>
      <c r="I13" s="49"/>
    </row>
    <row r="14" spans="1:9" ht="15.9" customHeight="1" x14ac:dyDescent="0.4">
      <c r="A14" s="417"/>
      <c r="B14" s="349"/>
      <c r="C14" s="360" t="s">
        <v>275</v>
      </c>
      <c r="D14" s="377"/>
      <c r="E14" s="390" t="s">
        <v>195</v>
      </c>
      <c r="F14" s="379">
        <v>1</v>
      </c>
      <c r="G14" s="379">
        <v>500000</v>
      </c>
      <c r="H14" s="294">
        <v>0</v>
      </c>
      <c r="I14" s="57"/>
    </row>
    <row r="15" spans="1:9" ht="15.9" customHeight="1" x14ac:dyDescent="0.4">
      <c r="A15" s="417"/>
      <c r="B15" s="364"/>
      <c r="C15" s="381"/>
      <c r="D15" s="381"/>
      <c r="E15" s="381"/>
      <c r="F15" s="384"/>
      <c r="G15" s="384"/>
      <c r="H15" s="385">
        <f>SUM(H3:H14)</f>
        <v>10900000</v>
      </c>
      <c r="I15" s="381"/>
    </row>
    <row r="16" spans="1:9" ht="15.9" customHeight="1" x14ac:dyDescent="0.4">
      <c r="A16" s="417"/>
      <c r="B16" s="349" t="s">
        <v>177</v>
      </c>
      <c r="C16" s="350"/>
      <c r="D16" s="350"/>
      <c r="E16" s="350"/>
      <c r="F16" s="353"/>
      <c r="G16" s="353"/>
      <c r="H16" s="304">
        <f t="shared" si="0"/>
        <v>0</v>
      </c>
      <c r="I16" s="354"/>
    </row>
    <row r="17" spans="1:9" ht="15.9" customHeight="1" x14ac:dyDescent="0.4">
      <c r="A17" s="417"/>
      <c r="B17" s="349" t="s">
        <v>178</v>
      </c>
      <c r="C17" s="356"/>
      <c r="D17" s="356"/>
      <c r="E17" s="356"/>
      <c r="F17" s="359"/>
      <c r="G17" s="359"/>
      <c r="H17" s="284">
        <f t="shared" si="0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0"/>
        <v>0</v>
      </c>
      <c r="I18" s="49"/>
    </row>
    <row r="19" spans="1:9" ht="15.9" customHeight="1" x14ac:dyDescent="0.4">
      <c r="A19" s="417"/>
      <c r="B19" s="349"/>
      <c r="C19" s="356"/>
      <c r="D19" s="356"/>
      <c r="E19" s="356"/>
      <c r="F19" s="359"/>
      <c r="G19" s="359"/>
      <c r="H19" s="284">
        <f t="shared" si="0"/>
        <v>0</v>
      </c>
      <c r="I19" s="49"/>
    </row>
    <row r="20" spans="1:9" ht="15.9" customHeight="1" x14ac:dyDescent="0.4">
      <c r="A20" s="417"/>
      <c r="B20" s="349"/>
      <c r="C20" s="360" t="s">
        <v>203</v>
      </c>
      <c r="D20" s="360"/>
      <c r="E20" s="360"/>
      <c r="F20" s="363"/>
      <c r="G20" s="363"/>
      <c r="H20" s="284">
        <f t="shared" si="0"/>
        <v>0</v>
      </c>
      <c r="I20" s="64"/>
    </row>
    <row r="21" spans="1:9" ht="15.9" customHeight="1" x14ac:dyDescent="0.4">
      <c r="A21" s="417"/>
      <c r="B21" s="364"/>
      <c r="C21" s="365"/>
      <c r="D21" s="366"/>
      <c r="E21" s="366"/>
      <c r="F21" s="422"/>
      <c r="G21" s="368"/>
      <c r="H21" s="77">
        <f>SUM(H16:H20)</f>
        <v>0</v>
      </c>
      <c r="I21" s="72"/>
    </row>
    <row r="22" spans="1:9" ht="15.9" customHeight="1" x14ac:dyDescent="0.4">
      <c r="A22" s="417"/>
      <c r="B22" s="386" t="s">
        <v>179</v>
      </c>
      <c r="C22" s="391" t="s">
        <v>287</v>
      </c>
      <c r="D22" s="428" t="s">
        <v>290</v>
      </c>
      <c r="E22" s="388" t="s">
        <v>59</v>
      </c>
      <c r="F22" s="436">
        <v>1</v>
      </c>
      <c r="G22" s="389">
        <v>18000000</v>
      </c>
      <c r="H22" s="374">
        <f t="shared" ref="H22:H43" si="1">IF(F22=0,G22,G22*F22)</f>
        <v>18000000</v>
      </c>
      <c r="I22" s="375"/>
    </row>
    <row r="23" spans="1:9" ht="15.9" customHeight="1" x14ac:dyDescent="0.4">
      <c r="A23" s="417"/>
      <c r="B23" s="349" t="s">
        <v>181</v>
      </c>
      <c r="C23" s="356" t="s">
        <v>288</v>
      </c>
      <c r="D23" s="356" t="s">
        <v>188</v>
      </c>
      <c r="E23" s="357" t="s">
        <v>59</v>
      </c>
      <c r="F23" s="359">
        <v>1</v>
      </c>
      <c r="G23" s="359">
        <v>3600000</v>
      </c>
      <c r="H23" s="284">
        <f t="shared" si="1"/>
        <v>3600000</v>
      </c>
      <c r="I23" s="49"/>
    </row>
    <row r="24" spans="1:9" ht="15.9" customHeight="1" x14ac:dyDescent="0.4">
      <c r="A24" s="417"/>
      <c r="B24" s="349"/>
      <c r="C24" s="356" t="s">
        <v>175</v>
      </c>
      <c r="D24" s="356"/>
      <c r="E24" s="357" t="s">
        <v>59</v>
      </c>
      <c r="F24" s="359">
        <v>1</v>
      </c>
      <c r="G24" s="359">
        <v>600000</v>
      </c>
      <c r="H24" s="284">
        <f t="shared" si="1"/>
        <v>600000</v>
      </c>
      <c r="I24" s="49"/>
    </row>
    <row r="25" spans="1:9" ht="15.9" customHeight="1" x14ac:dyDescent="0.4">
      <c r="A25" s="417"/>
      <c r="B25" s="349"/>
      <c r="C25" s="356"/>
      <c r="D25" s="356"/>
      <c r="E25" s="357"/>
      <c r="F25" s="359"/>
      <c r="G25" s="359"/>
      <c r="H25" s="284">
        <f t="shared" si="1"/>
        <v>0</v>
      </c>
      <c r="I25" s="49"/>
    </row>
    <row r="26" spans="1:9" ht="15.9" customHeight="1" x14ac:dyDescent="0.4">
      <c r="A26" s="417"/>
      <c r="B26" s="349"/>
      <c r="C26" s="418" t="s">
        <v>192</v>
      </c>
      <c r="D26" s="418"/>
      <c r="E26" s="419"/>
      <c r="F26" s="420"/>
      <c r="G26" s="420"/>
      <c r="H26" s="284">
        <f t="shared" si="1"/>
        <v>0</v>
      </c>
      <c r="I26" s="49"/>
    </row>
    <row r="27" spans="1:9" ht="15.9" customHeight="1" x14ac:dyDescent="0.4">
      <c r="A27" s="417"/>
      <c r="B27" s="349"/>
      <c r="C27" s="356" t="s">
        <v>193</v>
      </c>
      <c r="D27" s="356" t="s">
        <v>194</v>
      </c>
      <c r="E27" s="357" t="s">
        <v>195</v>
      </c>
      <c r="F27" s="423">
        <v>1</v>
      </c>
      <c r="G27" s="359">
        <v>350000</v>
      </c>
      <c r="H27" s="284">
        <f t="shared" si="1"/>
        <v>350000</v>
      </c>
      <c r="I27" s="49"/>
    </row>
    <row r="28" spans="1:9" ht="15.9" customHeight="1" x14ac:dyDescent="0.4">
      <c r="A28" s="417"/>
      <c r="B28" s="349"/>
      <c r="C28" s="356" t="s">
        <v>196</v>
      </c>
      <c r="D28" s="356" t="s">
        <v>197</v>
      </c>
      <c r="E28" s="357" t="s">
        <v>195</v>
      </c>
      <c r="F28" s="423">
        <v>20</v>
      </c>
      <c r="G28" s="359">
        <v>75000</v>
      </c>
      <c r="H28" s="284">
        <f t="shared" si="1"/>
        <v>1500000</v>
      </c>
      <c r="I28" s="49"/>
    </row>
    <row r="29" spans="1:9" ht="15.9" customHeight="1" x14ac:dyDescent="0.4">
      <c r="A29" s="417"/>
      <c r="B29" s="349"/>
      <c r="C29" s="356" t="s">
        <v>198</v>
      </c>
      <c r="D29" s="356" t="s">
        <v>199</v>
      </c>
      <c r="E29" s="357" t="s">
        <v>195</v>
      </c>
      <c r="F29" s="423">
        <v>2</v>
      </c>
      <c r="G29" s="359">
        <v>850000</v>
      </c>
      <c r="H29" s="284">
        <f t="shared" si="1"/>
        <v>1700000</v>
      </c>
      <c r="I29" s="49"/>
    </row>
    <row r="30" spans="1:9" ht="15.9" customHeight="1" x14ac:dyDescent="0.4">
      <c r="A30" s="417"/>
      <c r="B30" s="349"/>
      <c r="C30" s="356" t="s">
        <v>200</v>
      </c>
      <c r="D30" s="356"/>
      <c r="E30" s="357" t="s">
        <v>195</v>
      </c>
      <c r="F30" s="423">
        <v>20</v>
      </c>
      <c r="G30" s="359">
        <v>7000</v>
      </c>
      <c r="H30" s="284">
        <f t="shared" si="1"/>
        <v>140000</v>
      </c>
      <c r="I30" s="49"/>
    </row>
    <row r="31" spans="1:9" ht="15.9" customHeight="1" x14ac:dyDescent="0.4">
      <c r="A31" s="417"/>
      <c r="B31" s="349"/>
      <c r="C31" s="356" t="s">
        <v>201</v>
      </c>
      <c r="D31" s="356"/>
      <c r="E31" s="357" t="s">
        <v>195</v>
      </c>
      <c r="F31" s="423">
        <v>1</v>
      </c>
      <c r="G31" s="359">
        <v>100000</v>
      </c>
      <c r="H31" s="284">
        <f t="shared" si="1"/>
        <v>100000</v>
      </c>
      <c r="I31" s="49"/>
    </row>
    <row r="32" spans="1:9" ht="15.9" customHeight="1" x14ac:dyDescent="0.4">
      <c r="A32" s="417"/>
      <c r="B32" s="349"/>
      <c r="C32" s="418" t="s">
        <v>202</v>
      </c>
      <c r="D32" s="418"/>
      <c r="E32" s="419" t="s">
        <v>59</v>
      </c>
      <c r="F32" s="420">
        <v>1</v>
      </c>
      <c r="G32" s="420">
        <v>100000</v>
      </c>
      <c r="H32" s="284">
        <f t="shared" si="1"/>
        <v>100000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423"/>
      <c r="G33" s="359"/>
      <c r="H33" s="284">
        <f t="shared" si="1"/>
        <v>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423"/>
      <c r="G34" s="359"/>
      <c r="H34" s="284">
        <f t="shared" si="1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1"/>
        <v>0</v>
      </c>
      <c r="I35" s="49"/>
    </row>
    <row r="36" spans="1:9" ht="15.9" customHeight="1" x14ac:dyDescent="0.4">
      <c r="A36" s="417"/>
      <c r="B36" s="349"/>
      <c r="C36" s="418"/>
      <c r="D36" s="418"/>
      <c r="E36" s="419"/>
      <c r="F36" s="420"/>
      <c r="G36" s="420"/>
      <c r="H36" s="284">
        <f t="shared" si="1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359"/>
      <c r="G37" s="359"/>
      <c r="H37" s="284">
        <f t="shared" si="1"/>
        <v>0</v>
      </c>
      <c r="I37" s="49"/>
    </row>
    <row r="38" spans="1:9" ht="15.9" customHeight="1" x14ac:dyDescent="0.4">
      <c r="A38" s="417"/>
      <c r="B38" s="349"/>
      <c r="C38" s="418"/>
      <c r="D38" s="418"/>
      <c r="E38" s="419"/>
      <c r="F38" s="420"/>
      <c r="G38" s="420"/>
      <c r="H38" s="284">
        <f t="shared" si="1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1"/>
        <v>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423"/>
      <c r="G40" s="359"/>
      <c r="H40" s="284">
        <f t="shared" si="1"/>
        <v>0</v>
      </c>
      <c r="I40" s="49"/>
    </row>
    <row r="41" spans="1:9" ht="15.9" customHeight="1" x14ac:dyDescent="0.4">
      <c r="A41" s="417"/>
      <c r="B41" s="349"/>
      <c r="C41" s="356"/>
      <c r="D41" s="356"/>
      <c r="E41" s="357"/>
      <c r="F41" s="423"/>
      <c r="G41" s="359"/>
      <c r="H41" s="284">
        <f t="shared" si="1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423"/>
      <c r="G42" s="359"/>
      <c r="H42" s="284">
        <f t="shared" si="1"/>
        <v>0</v>
      </c>
      <c r="I42" s="49"/>
    </row>
    <row r="43" spans="1:9" ht="15.9" customHeight="1" x14ac:dyDescent="0.4">
      <c r="A43" s="417"/>
      <c r="B43" s="349"/>
      <c r="C43" s="356"/>
      <c r="D43" s="356"/>
      <c r="E43" s="357"/>
      <c r="F43" s="423"/>
      <c r="G43" s="359"/>
      <c r="H43" s="284">
        <f t="shared" si="1"/>
        <v>0</v>
      </c>
      <c r="I43" s="49"/>
    </row>
    <row r="44" spans="1:9" ht="15.9" customHeight="1" x14ac:dyDescent="0.4">
      <c r="A44" s="417"/>
      <c r="B44" s="349"/>
      <c r="C44" s="418"/>
      <c r="D44" s="418"/>
      <c r="E44" s="419"/>
      <c r="F44" s="420"/>
      <c r="G44" s="420"/>
      <c r="H44" s="284">
        <f>IF(F44=0,G44,G44*F44)</f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0"/>
        <v>0</v>
      </c>
      <c r="I45" s="49"/>
    </row>
    <row r="46" spans="1:9" ht="15.9" customHeight="1" x14ac:dyDescent="0.4">
      <c r="A46" s="417"/>
      <c r="B46" s="349"/>
      <c r="C46" s="360" t="s">
        <v>285</v>
      </c>
      <c r="D46" s="360"/>
      <c r="E46" s="361" t="s">
        <v>195</v>
      </c>
      <c r="F46" s="363">
        <v>1</v>
      </c>
      <c r="G46" s="363">
        <v>1000000</v>
      </c>
      <c r="H46" s="284">
        <v>0</v>
      </c>
      <c r="I46" s="64"/>
    </row>
    <row r="47" spans="1:9" ht="15.9" customHeight="1" x14ac:dyDescent="0.4">
      <c r="A47" s="417"/>
      <c r="B47" s="364"/>
      <c r="C47" s="365"/>
      <c r="D47" s="366"/>
      <c r="E47" s="366"/>
      <c r="F47" s="368"/>
      <c r="G47" s="368"/>
      <c r="H47" s="77">
        <f>SUM(H22:H46)</f>
        <v>26090000</v>
      </c>
      <c r="I47" s="72"/>
    </row>
    <row r="48" spans="1:9" ht="15.9" customHeight="1" x14ac:dyDescent="0.4">
      <c r="A48" s="417"/>
      <c r="B48" s="386" t="s">
        <v>61</v>
      </c>
      <c r="C48" s="370"/>
      <c r="D48" s="370"/>
      <c r="E48" s="370"/>
      <c r="F48" s="373"/>
      <c r="G48" s="373"/>
      <c r="H48" s="374">
        <f t="shared" si="0"/>
        <v>0</v>
      </c>
      <c r="I48" s="375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0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0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0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0"/>
        <v>0</v>
      </c>
      <c r="I52" s="49"/>
    </row>
    <row r="53" spans="1:9" ht="15.9" customHeight="1" x14ac:dyDescent="0.4">
      <c r="A53" s="417"/>
      <c r="B53" s="349"/>
      <c r="C53" s="356"/>
      <c r="D53" s="356"/>
      <c r="E53" s="356"/>
      <c r="F53" s="359"/>
      <c r="G53" s="359"/>
      <c r="H53" s="284">
        <f t="shared" si="0"/>
        <v>0</v>
      </c>
      <c r="I53" s="49"/>
    </row>
    <row r="54" spans="1:9" ht="15.9" customHeight="1" x14ac:dyDescent="0.4">
      <c r="A54" s="417"/>
      <c r="B54" s="349"/>
      <c r="C54" s="360" t="s">
        <v>203</v>
      </c>
      <c r="D54" s="360"/>
      <c r="E54" s="360"/>
      <c r="F54" s="363"/>
      <c r="G54" s="363"/>
      <c r="H54" s="314">
        <f t="shared" si="0"/>
        <v>0</v>
      </c>
      <c r="I54" s="64"/>
    </row>
    <row r="55" spans="1:9" ht="15.9" customHeight="1" x14ac:dyDescent="0.4">
      <c r="A55" s="417"/>
      <c r="B55" s="364"/>
      <c r="C55" s="365"/>
      <c r="D55" s="366"/>
      <c r="E55" s="366"/>
      <c r="F55" s="368"/>
      <c r="G55" s="368"/>
      <c r="H55" s="77">
        <f>SUM(H48:H54)</f>
        <v>0</v>
      </c>
      <c r="I55" s="72"/>
    </row>
    <row r="56" spans="1:9" ht="15.9" customHeight="1" x14ac:dyDescent="0.4">
      <c r="A56" s="392"/>
      <c r="B56" s="393" t="s">
        <v>149</v>
      </c>
      <c r="C56" s="394"/>
      <c r="D56" s="72"/>
      <c r="E56" s="72"/>
      <c r="F56" s="396"/>
      <c r="G56" s="396"/>
      <c r="H56" s="77">
        <f>SUM(H55,H47,H21,H15)</f>
        <v>36990000</v>
      </c>
      <c r="I56" s="72"/>
    </row>
    <row r="57" spans="1:9" ht="15.9" customHeight="1" x14ac:dyDescent="0.4">
      <c r="A57" s="348" t="s">
        <v>150</v>
      </c>
      <c r="B57" s="398" t="s">
        <v>67</v>
      </c>
      <c r="C57" s="394"/>
      <c r="D57" s="72"/>
      <c r="E57" s="398" t="s">
        <v>68</v>
      </c>
      <c r="F57" s="424">
        <v>0</v>
      </c>
      <c r="G57" s="413">
        <v>250000</v>
      </c>
      <c r="H57" s="402">
        <f>F57*G57</f>
        <v>0</v>
      </c>
      <c r="I57" s="72"/>
    </row>
    <row r="58" spans="1:9" ht="15.9" customHeight="1" x14ac:dyDescent="0.4">
      <c r="A58" s="417"/>
      <c r="B58" s="404" t="s">
        <v>204</v>
      </c>
      <c r="C58" s="405"/>
      <c r="D58" s="375"/>
      <c r="E58" s="404" t="s">
        <v>152</v>
      </c>
      <c r="F58" s="425">
        <v>15</v>
      </c>
      <c r="G58" s="437">
        <v>300000</v>
      </c>
      <c r="H58" s="374">
        <f t="shared" ref="H58:H64" si="2">F58*G58</f>
        <v>4500000</v>
      </c>
      <c r="I58" s="375"/>
    </row>
    <row r="59" spans="1:9" ht="15.9" customHeight="1" x14ac:dyDescent="0.4">
      <c r="A59" s="417"/>
      <c r="B59" s="406" t="s">
        <v>205</v>
      </c>
      <c r="C59" s="407"/>
      <c r="D59" s="49"/>
      <c r="E59" s="406" t="s">
        <v>152</v>
      </c>
      <c r="F59" s="426">
        <v>5</v>
      </c>
      <c r="G59" s="420">
        <v>250000</v>
      </c>
      <c r="H59" s="284">
        <f t="shared" si="2"/>
        <v>1250000</v>
      </c>
      <c r="I59" s="49"/>
    </row>
    <row r="60" spans="1:9" ht="15.9" customHeight="1" x14ac:dyDescent="0.4">
      <c r="A60" s="417"/>
      <c r="B60" s="406" t="s">
        <v>206</v>
      </c>
      <c r="C60" s="407"/>
      <c r="D60" s="49"/>
      <c r="E60" s="406" t="s">
        <v>152</v>
      </c>
      <c r="F60" s="426">
        <v>15</v>
      </c>
      <c r="G60" s="420">
        <v>250000</v>
      </c>
      <c r="H60" s="284">
        <f t="shared" si="2"/>
        <v>3750000</v>
      </c>
      <c r="I60" s="49"/>
    </row>
    <row r="61" spans="1:9" ht="15.9" customHeight="1" x14ac:dyDescent="0.4">
      <c r="A61" s="417"/>
      <c r="B61" s="406" t="s">
        <v>207</v>
      </c>
      <c r="C61" s="407"/>
      <c r="D61" s="49"/>
      <c r="E61" s="406" t="s">
        <v>152</v>
      </c>
      <c r="F61" s="426">
        <v>2</v>
      </c>
      <c r="G61" s="359">
        <v>300000</v>
      </c>
      <c r="H61" s="284">
        <f t="shared" si="2"/>
        <v>600000</v>
      </c>
      <c r="I61" s="49"/>
    </row>
    <row r="62" spans="1:9" ht="15.9" customHeight="1" x14ac:dyDescent="0.4">
      <c r="A62" s="417"/>
      <c r="B62" s="406" t="s">
        <v>208</v>
      </c>
      <c r="C62" s="407"/>
      <c r="D62" s="49"/>
      <c r="E62" s="406" t="s">
        <v>152</v>
      </c>
      <c r="F62" s="426">
        <v>4</v>
      </c>
      <c r="G62" s="359">
        <v>300000</v>
      </c>
      <c r="H62" s="284">
        <f t="shared" si="2"/>
        <v>1200000</v>
      </c>
      <c r="I62" s="49"/>
    </row>
    <row r="63" spans="1:9" ht="15.9" customHeight="1" x14ac:dyDescent="0.4">
      <c r="A63" s="417"/>
      <c r="B63" s="406" t="s">
        <v>209</v>
      </c>
      <c r="C63" s="407"/>
      <c r="D63" s="49"/>
      <c r="E63" s="406" t="s">
        <v>152</v>
      </c>
      <c r="F63" s="426">
        <v>2</v>
      </c>
      <c r="G63" s="359">
        <v>300000</v>
      </c>
      <c r="H63" s="284">
        <f t="shared" si="2"/>
        <v>600000</v>
      </c>
      <c r="I63" s="49"/>
    </row>
    <row r="64" spans="1:9" ht="15.9" customHeight="1" x14ac:dyDescent="0.4">
      <c r="A64" s="417"/>
      <c r="B64" s="408" t="s">
        <v>210</v>
      </c>
      <c r="C64" s="409"/>
      <c r="D64" s="64"/>
      <c r="E64" s="408" t="s">
        <v>152</v>
      </c>
      <c r="F64" s="427">
        <v>2</v>
      </c>
      <c r="G64" s="438">
        <v>250000</v>
      </c>
      <c r="H64" s="314">
        <f t="shared" si="2"/>
        <v>500000</v>
      </c>
      <c r="I64" s="64"/>
    </row>
    <row r="65" spans="1:9" ht="15.9" customHeight="1" x14ac:dyDescent="0.4">
      <c r="A65" s="392"/>
      <c r="B65" s="410" t="s">
        <v>158</v>
      </c>
      <c r="C65" s="394"/>
      <c r="D65" s="72"/>
      <c r="E65" s="72"/>
      <c r="F65" s="368"/>
      <c r="G65" s="368"/>
      <c r="H65" s="368">
        <f>SUM(H57:H64)</f>
        <v>12400000</v>
      </c>
      <c r="I65" s="366"/>
    </row>
    <row r="66" spans="1:9" ht="15.9" customHeight="1" x14ac:dyDescent="0.4">
      <c r="A66" s="399"/>
      <c r="B66" s="410" t="s">
        <v>211</v>
      </c>
      <c r="C66" s="394"/>
      <c r="D66" s="72"/>
      <c r="E66" s="72"/>
      <c r="F66" s="77"/>
      <c r="G66" s="77"/>
      <c r="H66" s="396">
        <f>'단위공사별(집계)'!L12+'단위공사별(집계)'!I12</f>
        <v>236012.06169259158</v>
      </c>
      <c r="I66" s="72"/>
    </row>
    <row r="67" spans="1:9" ht="15.9" customHeight="1" x14ac:dyDescent="0.4">
      <c r="A67" s="399"/>
      <c r="B67" s="410" t="s">
        <v>93</v>
      </c>
      <c r="C67" s="394"/>
      <c r="D67" s="72"/>
      <c r="E67" s="72"/>
      <c r="F67" s="77"/>
      <c r="G67" s="412"/>
      <c r="H67" s="413">
        <v>0</v>
      </c>
      <c r="I67" s="394"/>
    </row>
    <row r="68" spans="1:9" ht="15.9" customHeight="1" x14ac:dyDescent="0.4">
      <c r="A68" s="399"/>
      <c r="B68" s="410" t="s">
        <v>161</v>
      </c>
      <c r="C68" s="394"/>
      <c r="D68" s="72"/>
      <c r="E68" s="72"/>
      <c r="F68" s="77"/>
      <c r="G68" s="412"/>
      <c r="H68" s="413">
        <v>0</v>
      </c>
      <c r="I68" s="394"/>
    </row>
    <row r="69" spans="1:9" ht="15.9" customHeight="1" x14ac:dyDescent="0.4">
      <c r="A69" s="399"/>
      <c r="B69" s="410" t="s">
        <v>162</v>
      </c>
      <c r="C69" s="394"/>
      <c r="D69" s="72"/>
      <c r="E69" s="72"/>
      <c r="F69" s="77"/>
      <c r="G69" s="77"/>
      <c r="H69" s="368">
        <f>H56+H65+H66+H67+H68</f>
        <v>49626012.061692588</v>
      </c>
      <c r="I69" s="72"/>
    </row>
    <row r="70" spans="1:9" x14ac:dyDescent="0.4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FD7F-2D63-4B4A-9D0D-0DEA947F7B12}">
  <sheetPr>
    <tabColor rgb="FF00B050"/>
    <pageSetUpPr fitToPage="1"/>
  </sheetPr>
  <dimension ref="A1:I69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293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 t="shared" ref="H3:H11" si="0"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 t="shared" si="0"/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 t="shared" si="0"/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si="0"/>
        <v>600000</v>
      </c>
      <c r="I6" s="49"/>
    </row>
    <row r="7" spans="1:9" ht="15.9" customHeight="1" x14ac:dyDescent="0.4">
      <c r="A7" s="417"/>
      <c r="B7" s="349"/>
      <c r="C7" s="356" t="s">
        <v>294</v>
      </c>
      <c r="D7" s="356"/>
      <c r="E7" s="357" t="s">
        <v>59</v>
      </c>
      <c r="F7" s="359">
        <v>1</v>
      </c>
      <c r="G7" s="359">
        <v>4000000</v>
      </c>
      <c r="H7" s="284">
        <f t="shared" si="0"/>
        <v>4000000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0"/>
        <v>0</v>
      </c>
      <c r="I8" s="49"/>
    </row>
    <row r="9" spans="1:9" ht="15.9" customHeight="1" x14ac:dyDescent="0.4">
      <c r="A9" s="417"/>
      <c r="B9" s="349"/>
      <c r="C9" s="356" t="s">
        <v>175</v>
      </c>
      <c r="D9" s="356"/>
      <c r="E9" s="357" t="s">
        <v>59</v>
      </c>
      <c r="F9" s="359">
        <v>1</v>
      </c>
      <c r="G9" s="359">
        <v>1300000</v>
      </c>
      <c r="H9" s="284">
        <f t="shared" si="0"/>
        <v>1300000</v>
      </c>
      <c r="I9" s="49"/>
    </row>
    <row r="10" spans="1:9" ht="15.9" customHeight="1" x14ac:dyDescent="0.4">
      <c r="A10" s="417"/>
      <c r="B10" s="349"/>
      <c r="C10" s="356"/>
      <c r="D10" s="356"/>
      <c r="E10" s="357"/>
      <c r="F10" s="359"/>
      <c r="G10" s="359"/>
      <c r="H10" s="284">
        <f t="shared" si="0"/>
        <v>0</v>
      </c>
      <c r="I10" s="49"/>
    </row>
    <row r="11" spans="1:9" ht="15.9" customHeight="1" x14ac:dyDescent="0.4">
      <c r="A11" s="417"/>
      <c r="B11" s="349"/>
      <c r="C11" s="356"/>
      <c r="D11" s="356"/>
      <c r="E11" s="357"/>
      <c r="F11" s="359"/>
      <c r="G11" s="359"/>
      <c r="H11" s="284">
        <f t="shared" si="0"/>
        <v>0</v>
      </c>
      <c r="I11" s="49"/>
    </row>
    <row r="12" spans="1:9" ht="15.9" customHeight="1" x14ac:dyDescent="0.4">
      <c r="A12" s="417"/>
      <c r="B12" s="349"/>
      <c r="C12" s="360" t="s">
        <v>275</v>
      </c>
      <c r="D12" s="377"/>
      <c r="E12" s="390" t="s">
        <v>195</v>
      </c>
      <c r="F12" s="379">
        <v>1</v>
      </c>
      <c r="G12" s="379">
        <v>500000</v>
      </c>
      <c r="H12" s="294">
        <v>0</v>
      </c>
      <c r="I12" s="57"/>
    </row>
    <row r="13" spans="1:9" ht="15.9" customHeight="1" x14ac:dyDescent="0.4">
      <c r="A13" s="417"/>
      <c r="B13" s="364"/>
      <c r="C13" s="381"/>
      <c r="D13" s="381"/>
      <c r="E13" s="381"/>
      <c r="F13" s="384"/>
      <c r="G13" s="384"/>
      <c r="H13" s="385">
        <f>SUM(H3:H12)</f>
        <v>10900000</v>
      </c>
      <c r="I13" s="381"/>
    </row>
    <row r="14" spans="1:9" ht="15.9" customHeight="1" x14ac:dyDescent="0.4">
      <c r="A14" s="417"/>
      <c r="B14" s="349" t="s">
        <v>177</v>
      </c>
      <c r="C14" s="350"/>
      <c r="D14" s="350"/>
      <c r="E14" s="350"/>
      <c r="F14" s="353"/>
      <c r="G14" s="353"/>
      <c r="H14" s="304">
        <f t="shared" ref="H14:H53" si="1">IF(F14=0,G14,G14*F14)</f>
        <v>0</v>
      </c>
      <c r="I14" s="354"/>
    </row>
    <row r="15" spans="1:9" ht="15.9" customHeight="1" x14ac:dyDescent="0.4">
      <c r="A15" s="417"/>
      <c r="B15" s="349" t="s">
        <v>178</v>
      </c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60" t="s">
        <v>203</v>
      </c>
      <c r="D18" s="360"/>
      <c r="E18" s="360"/>
      <c r="F18" s="363"/>
      <c r="G18" s="363"/>
      <c r="H18" s="284">
        <f t="shared" si="1"/>
        <v>0</v>
      </c>
      <c r="I18" s="64"/>
    </row>
    <row r="19" spans="1:9" ht="15.9" customHeight="1" x14ac:dyDescent="0.4">
      <c r="A19" s="417"/>
      <c r="B19" s="364"/>
      <c r="C19" s="365"/>
      <c r="D19" s="366"/>
      <c r="E19" s="366"/>
      <c r="F19" s="422"/>
      <c r="G19" s="368"/>
      <c r="H19" s="77">
        <f>SUM(H14:H18)</f>
        <v>0</v>
      </c>
      <c r="I19" s="72"/>
    </row>
    <row r="20" spans="1:9" ht="15.9" customHeight="1" x14ac:dyDescent="0.4">
      <c r="A20" s="417"/>
      <c r="B20" s="386" t="s">
        <v>179</v>
      </c>
      <c r="C20" s="391" t="s">
        <v>295</v>
      </c>
      <c r="D20" s="428"/>
      <c r="E20" s="388" t="s">
        <v>59</v>
      </c>
      <c r="F20" s="436">
        <v>2</v>
      </c>
      <c r="G20" s="389">
        <v>1000000</v>
      </c>
      <c r="H20" s="374">
        <f t="shared" ref="H20:H44" si="2">IF(F20=0,G20,G20*F20)</f>
        <v>2000000</v>
      </c>
      <c r="I20" s="375"/>
    </row>
    <row r="21" spans="1:9" ht="15.9" customHeight="1" x14ac:dyDescent="0.4">
      <c r="A21" s="417"/>
      <c r="B21" s="349" t="s">
        <v>181</v>
      </c>
      <c r="C21" s="356" t="s">
        <v>296</v>
      </c>
      <c r="D21" s="356"/>
      <c r="E21" s="357" t="s">
        <v>59</v>
      </c>
      <c r="F21" s="359">
        <v>2</v>
      </c>
      <c r="G21" s="359">
        <v>500000</v>
      </c>
      <c r="H21" s="284">
        <f t="shared" si="2"/>
        <v>1000000</v>
      </c>
      <c r="I21" s="49"/>
    </row>
    <row r="22" spans="1:9" ht="15.9" customHeight="1" x14ac:dyDescent="0.4">
      <c r="A22" s="417"/>
      <c r="B22" s="349"/>
      <c r="C22" s="391" t="s">
        <v>297</v>
      </c>
      <c r="D22" s="428"/>
      <c r="E22" s="388" t="s">
        <v>59</v>
      </c>
      <c r="F22" s="436">
        <v>1</v>
      </c>
      <c r="G22" s="389">
        <v>2000000</v>
      </c>
      <c r="H22" s="284">
        <f t="shared" si="2"/>
        <v>2000000</v>
      </c>
      <c r="I22" s="49"/>
    </row>
    <row r="23" spans="1:9" ht="15.9" customHeight="1" x14ac:dyDescent="0.4">
      <c r="A23" s="417"/>
      <c r="B23" s="349"/>
      <c r="C23" s="356" t="s">
        <v>298</v>
      </c>
      <c r="D23" s="356"/>
      <c r="E23" s="357" t="s">
        <v>59</v>
      </c>
      <c r="F23" s="359">
        <v>1</v>
      </c>
      <c r="G23" s="359">
        <v>1000000</v>
      </c>
      <c r="H23" s="284">
        <f t="shared" si="2"/>
        <v>1000000</v>
      </c>
      <c r="I23" s="49"/>
    </row>
    <row r="24" spans="1:9" ht="15.9" customHeight="1" x14ac:dyDescent="0.4">
      <c r="A24" s="417"/>
      <c r="B24" s="349"/>
      <c r="C24" s="356" t="s">
        <v>299</v>
      </c>
      <c r="D24" s="356"/>
      <c r="E24" s="357" t="s">
        <v>59</v>
      </c>
      <c r="F24" s="359">
        <v>1</v>
      </c>
      <c r="G24" s="359">
        <v>500000</v>
      </c>
      <c r="H24" s="284">
        <f t="shared" si="2"/>
        <v>500000</v>
      </c>
      <c r="I24" s="49"/>
    </row>
    <row r="25" spans="1:9" ht="15.9" customHeight="1" x14ac:dyDescent="0.4">
      <c r="A25" s="417"/>
      <c r="B25" s="349"/>
      <c r="C25" s="356"/>
      <c r="D25" s="356"/>
      <c r="E25" s="357"/>
      <c r="F25" s="359"/>
      <c r="G25" s="359"/>
      <c r="H25" s="284">
        <f t="shared" si="2"/>
        <v>0</v>
      </c>
      <c r="I25" s="49"/>
    </row>
    <row r="26" spans="1:9" ht="15.9" customHeight="1" x14ac:dyDescent="0.4">
      <c r="A26" s="417"/>
      <c r="B26" s="349"/>
      <c r="C26" s="356" t="s">
        <v>175</v>
      </c>
      <c r="D26" s="356"/>
      <c r="E26" s="357" t="s">
        <v>59</v>
      </c>
      <c r="F26" s="359">
        <v>2</v>
      </c>
      <c r="G26" s="359">
        <v>600000</v>
      </c>
      <c r="H26" s="284">
        <f t="shared" si="2"/>
        <v>1200000</v>
      </c>
      <c r="I26" s="49"/>
    </row>
    <row r="27" spans="1:9" ht="15.9" customHeight="1" x14ac:dyDescent="0.4">
      <c r="A27" s="417"/>
      <c r="B27" s="349"/>
      <c r="C27" s="356"/>
      <c r="D27" s="356"/>
      <c r="E27" s="357"/>
      <c r="F27" s="359"/>
      <c r="G27" s="359"/>
      <c r="H27" s="284">
        <f t="shared" si="2"/>
        <v>0</v>
      </c>
      <c r="I27" s="49"/>
    </row>
    <row r="28" spans="1:9" ht="15.9" customHeight="1" x14ac:dyDescent="0.4">
      <c r="A28" s="417"/>
      <c r="B28" s="349"/>
      <c r="C28" s="418" t="s">
        <v>192</v>
      </c>
      <c r="D28" s="418"/>
      <c r="E28" s="419"/>
      <c r="F28" s="420"/>
      <c r="G28" s="420"/>
      <c r="H28" s="284">
        <f t="shared" si="2"/>
        <v>0</v>
      </c>
      <c r="I28" s="49"/>
    </row>
    <row r="29" spans="1:9" ht="15.9" customHeight="1" x14ac:dyDescent="0.4">
      <c r="A29" s="417"/>
      <c r="B29" s="349"/>
      <c r="C29" s="356" t="s">
        <v>193</v>
      </c>
      <c r="D29" s="356" t="s">
        <v>194</v>
      </c>
      <c r="E29" s="357" t="s">
        <v>195</v>
      </c>
      <c r="F29" s="423">
        <v>3</v>
      </c>
      <c r="G29" s="359">
        <v>350000</v>
      </c>
      <c r="H29" s="284">
        <f t="shared" si="2"/>
        <v>1050000</v>
      </c>
      <c r="I29" s="49"/>
    </row>
    <row r="30" spans="1:9" ht="15.9" customHeight="1" x14ac:dyDescent="0.4">
      <c r="A30" s="417"/>
      <c r="B30" s="349"/>
      <c r="C30" s="356" t="s">
        <v>196</v>
      </c>
      <c r="D30" s="356" t="s">
        <v>197</v>
      </c>
      <c r="E30" s="357" t="s">
        <v>195</v>
      </c>
      <c r="F30" s="423">
        <v>20</v>
      </c>
      <c r="G30" s="359">
        <v>75000</v>
      </c>
      <c r="H30" s="284">
        <f t="shared" si="2"/>
        <v>1500000</v>
      </c>
      <c r="I30" s="49"/>
    </row>
    <row r="31" spans="1:9" ht="15.9" customHeight="1" x14ac:dyDescent="0.4">
      <c r="A31" s="417"/>
      <c r="B31" s="349"/>
      <c r="C31" s="356" t="s">
        <v>198</v>
      </c>
      <c r="D31" s="356" t="s">
        <v>199</v>
      </c>
      <c r="E31" s="357" t="s">
        <v>195</v>
      </c>
      <c r="F31" s="423">
        <v>2</v>
      </c>
      <c r="G31" s="359">
        <v>850000</v>
      </c>
      <c r="H31" s="284">
        <f t="shared" si="2"/>
        <v>1700000</v>
      </c>
      <c r="I31" s="49"/>
    </row>
    <row r="32" spans="1:9" ht="15.9" customHeight="1" x14ac:dyDescent="0.4">
      <c r="A32" s="417"/>
      <c r="B32" s="349"/>
      <c r="C32" s="356" t="s">
        <v>200</v>
      </c>
      <c r="D32" s="356"/>
      <c r="E32" s="357" t="s">
        <v>195</v>
      </c>
      <c r="F32" s="423">
        <v>20</v>
      </c>
      <c r="G32" s="359">
        <v>7000</v>
      </c>
      <c r="H32" s="284">
        <f t="shared" si="2"/>
        <v>140000</v>
      </c>
      <c r="I32" s="49"/>
    </row>
    <row r="33" spans="1:9" ht="15.9" customHeight="1" x14ac:dyDescent="0.4">
      <c r="A33" s="417"/>
      <c r="B33" s="349"/>
      <c r="C33" s="356" t="s">
        <v>201</v>
      </c>
      <c r="D33" s="356"/>
      <c r="E33" s="357" t="s">
        <v>195</v>
      </c>
      <c r="F33" s="423">
        <v>2</v>
      </c>
      <c r="G33" s="359">
        <v>100000</v>
      </c>
      <c r="H33" s="284">
        <f t="shared" si="2"/>
        <v>200000</v>
      </c>
      <c r="I33" s="49"/>
    </row>
    <row r="34" spans="1:9" ht="15.9" customHeight="1" x14ac:dyDescent="0.4">
      <c r="A34" s="417"/>
      <c r="B34" s="349"/>
      <c r="C34" s="418" t="s">
        <v>202</v>
      </c>
      <c r="D34" s="418"/>
      <c r="E34" s="419" t="s">
        <v>59</v>
      </c>
      <c r="F34" s="420">
        <v>2</v>
      </c>
      <c r="G34" s="420">
        <v>100000</v>
      </c>
      <c r="H34" s="284">
        <f t="shared" si="2"/>
        <v>200000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359"/>
      <c r="G35" s="359"/>
      <c r="H35" s="284">
        <f t="shared" si="2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359"/>
      <c r="G36" s="359"/>
      <c r="H36" s="284">
        <f t="shared" si="2"/>
        <v>0</v>
      </c>
      <c r="I36" s="49"/>
    </row>
    <row r="37" spans="1:9" ht="15.9" customHeight="1" x14ac:dyDescent="0.4">
      <c r="A37" s="417"/>
      <c r="B37" s="349"/>
      <c r="C37" s="418"/>
      <c r="D37" s="418"/>
      <c r="E37" s="419"/>
      <c r="F37" s="420"/>
      <c r="G37" s="420"/>
      <c r="H37" s="284">
        <f t="shared" si="2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2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2"/>
        <v>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423"/>
      <c r="G40" s="359"/>
      <c r="H40" s="284">
        <f t="shared" si="2"/>
        <v>0</v>
      </c>
      <c r="I40" s="49"/>
    </row>
    <row r="41" spans="1:9" ht="15.9" customHeight="1" x14ac:dyDescent="0.4">
      <c r="A41" s="417"/>
      <c r="B41" s="349"/>
      <c r="C41" s="356"/>
      <c r="D41" s="356"/>
      <c r="E41" s="357"/>
      <c r="F41" s="423"/>
      <c r="G41" s="359"/>
      <c r="H41" s="284">
        <f t="shared" si="2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423"/>
      <c r="G42" s="359"/>
      <c r="H42" s="284">
        <f t="shared" si="2"/>
        <v>0</v>
      </c>
      <c r="I42" s="49"/>
    </row>
    <row r="43" spans="1:9" ht="15.9" customHeight="1" x14ac:dyDescent="0.4">
      <c r="A43" s="417"/>
      <c r="B43" s="349"/>
      <c r="C43" s="418"/>
      <c r="D43" s="418"/>
      <c r="E43" s="419"/>
      <c r="F43" s="420"/>
      <c r="G43" s="420"/>
      <c r="H43" s="284">
        <f>IF(F43=0,G43,G43*F43)</f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2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>
        <v>1</v>
      </c>
      <c r="G45" s="363">
        <v>1000000</v>
      </c>
      <c r="H45" s="284"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SUM(H20:H45)</f>
        <v>12490000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1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1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1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1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1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1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1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SUM(H54,H46,H19,H13)</f>
        <v>23390000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>
        <v>0</v>
      </c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>
        <v>15</v>
      </c>
      <c r="G57" s="437">
        <v>300000</v>
      </c>
      <c r="H57" s="374">
        <f t="shared" ref="H57:H63" si="3">F57*G57</f>
        <v>4500000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>
        <v>1</v>
      </c>
      <c r="G58" s="420">
        <v>250000</v>
      </c>
      <c r="H58" s="284">
        <f t="shared" si="3"/>
        <v>250000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>
        <v>15</v>
      </c>
      <c r="G59" s="420">
        <v>250000</v>
      </c>
      <c r="H59" s="284">
        <f t="shared" si="3"/>
        <v>3750000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>
        <v>2</v>
      </c>
      <c r="G60" s="359">
        <v>300000</v>
      </c>
      <c r="H60" s="284">
        <f t="shared" si="3"/>
        <v>600000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>
        <v>4</v>
      </c>
      <c r="G61" s="359">
        <v>300000</v>
      </c>
      <c r="H61" s="284">
        <f t="shared" si="3"/>
        <v>1200000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>
        <v>1</v>
      </c>
      <c r="G62" s="359">
        <v>300000</v>
      </c>
      <c r="H62" s="284">
        <f t="shared" si="3"/>
        <v>300000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>
        <v>1</v>
      </c>
      <c r="G63" s="438">
        <v>250000</v>
      </c>
      <c r="H63" s="314">
        <f t="shared" si="3"/>
        <v>250000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10850000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'단위공사별(집계)'!L13+'단위공사별(집계)'!I13</f>
        <v>163617.18955971528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34403617.189559713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CDE8-C15D-4DBF-A246-9F3C34BCAD40}">
  <sheetPr>
    <tabColor rgb="FF00B050"/>
    <pageSetUpPr fitToPage="1"/>
  </sheetPr>
  <dimension ref="A1:I65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300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>IF(F3=0,G3,G3*F3)</f>
        <v>2000000</v>
      </c>
      <c r="I3" s="375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>IF(F4=0,G4,G4*F4)</f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>IF(F5=0,G5,G5*F5)</f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ref="H6:H49" si="0">IF(F6=0,G6,G6*F6)</f>
        <v>600000</v>
      </c>
      <c r="I6" s="49"/>
    </row>
    <row r="7" spans="1:9" ht="15.9" customHeight="1" x14ac:dyDescent="0.4">
      <c r="A7" s="417"/>
      <c r="B7" s="349"/>
      <c r="C7" s="356" t="s">
        <v>301</v>
      </c>
      <c r="D7" s="356" t="s">
        <v>302</v>
      </c>
      <c r="E7" s="357" t="s">
        <v>59</v>
      </c>
      <c r="F7" s="359">
        <v>1</v>
      </c>
      <c r="G7" s="359">
        <v>4000000</v>
      </c>
      <c r="H7" s="284">
        <f t="shared" si="0"/>
        <v>4000000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0"/>
        <v>0</v>
      </c>
      <c r="I8" s="49"/>
    </row>
    <row r="9" spans="1:9" ht="15.9" customHeight="1" x14ac:dyDescent="0.4">
      <c r="A9" s="417"/>
      <c r="B9" s="349"/>
      <c r="C9" s="356" t="s">
        <v>175</v>
      </c>
      <c r="D9" s="356"/>
      <c r="E9" s="357" t="s">
        <v>59</v>
      </c>
      <c r="F9" s="359">
        <v>1</v>
      </c>
      <c r="G9" s="359">
        <v>1300000</v>
      </c>
      <c r="H9" s="284">
        <f t="shared" si="0"/>
        <v>1300000</v>
      </c>
      <c r="I9" s="49"/>
    </row>
    <row r="10" spans="1:9" ht="15.9" customHeight="1" x14ac:dyDescent="0.4">
      <c r="A10" s="417"/>
      <c r="B10" s="349"/>
      <c r="C10" s="356"/>
      <c r="D10" s="356"/>
      <c r="E10" s="357"/>
      <c r="F10" s="359"/>
      <c r="G10" s="359"/>
      <c r="H10" s="284">
        <f t="shared" si="0"/>
        <v>0</v>
      </c>
      <c r="I10" s="49"/>
    </row>
    <row r="11" spans="1:9" ht="15.9" customHeight="1" x14ac:dyDescent="0.4">
      <c r="A11" s="417"/>
      <c r="B11" s="349"/>
      <c r="C11" s="360" t="s">
        <v>203</v>
      </c>
      <c r="D11" s="377"/>
      <c r="E11" s="390" t="s">
        <v>59</v>
      </c>
      <c r="F11" s="379">
        <v>1</v>
      </c>
      <c r="G11" s="379">
        <v>500000</v>
      </c>
      <c r="H11" s="294">
        <v>0</v>
      </c>
      <c r="I11" s="57"/>
    </row>
    <row r="12" spans="1:9" ht="15.9" customHeight="1" x14ac:dyDescent="0.4">
      <c r="A12" s="417"/>
      <c r="B12" s="364"/>
      <c r="C12" s="381"/>
      <c r="D12" s="381"/>
      <c r="E12" s="381"/>
      <c r="F12" s="384"/>
      <c r="G12" s="384"/>
      <c r="H12" s="385">
        <f>SUM(H3:H11)</f>
        <v>10900000</v>
      </c>
      <c r="I12" s="381"/>
    </row>
    <row r="13" spans="1:9" ht="15.9" customHeight="1" x14ac:dyDescent="0.4">
      <c r="A13" s="417"/>
      <c r="B13" s="349" t="s">
        <v>177</v>
      </c>
      <c r="C13" s="350"/>
      <c r="D13" s="350"/>
      <c r="E13" s="350"/>
      <c r="F13" s="353"/>
      <c r="G13" s="353"/>
      <c r="H13" s="304">
        <f t="shared" si="0"/>
        <v>0</v>
      </c>
      <c r="I13" s="354"/>
    </row>
    <row r="14" spans="1:9" ht="15.9" customHeight="1" x14ac:dyDescent="0.4">
      <c r="A14" s="417"/>
      <c r="B14" s="349" t="s">
        <v>178</v>
      </c>
      <c r="C14" s="356"/>
      <c r="D14" s="356"/>
      <c r="E14" s="356"/>
      <c r="F14" s="359"/>
      <c r="G14" s="359"/>
      <c r="H14" s="284">
        <f t="shared" si="0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0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0"/>
        <v>0</v>
      </c>
      <c r="I16" s="49"/>
    </row>
    <row r="17" spans="1:9" ht="15.9" customHeight="1" x14ac:dyDescent="0.4">
      <c r="A17" s="417"/>
      <c r="B17" s="349"/>
      <c r="C17" s="360" t="s">
        <v>203</v>
      </c>
      <c r="D17" s="360"/>
      <c r="E17" s="360"/>
      <c r="F17" s="363"/>
      <c r="G17" s="363"/>
      <c r="H17" s="284">
        <f t="shared" si="0"/>
        <v>0</v>
      </c>
      <c r="I17" s="64"/>
    </row>
    <row r="18" spans="1:9" ht="15.9" customHeight="1" x14ac:dyDescent="0.4">
      <c r="A18" s="417"/>
      <c r="B18" s="364"/>
      <c r="C18" s="365"/>
      <c r="D18" s="366"/>
      <c r="E18" s="366"/>
      <c r="F18" s="422"/>
      <c r="G18" s="368"/>
      <c r="H18" s="77">
        <f>SUM(H13:H17)</f>
        <v>0</v>
      </c>
      <c r="I18" s="72"/>
    </row>
    <row r="19" spans="1:9" ht="15.9" customHeight="1" x14ac:dyDescent="0.4">
      <c r="A19" s="417"/>
      <c r="B19" s="386" t="s">
        <v>179</v>
      </c>
      <c r="C19" s="356" t="s">
        <v>303</v>
      </c>
      <c r="D19" s="428"/>
      <c r="E19" s="357"/>
      <c r="F19" s="423"/>
      <c r="G19" s="359"/>
      <c r="H19" s="374">
        <f t="shared" si="0"/>
        <v>0</v>
      </c>
      <c r="I19" s="375"/>
    </row>
    <row r="20" spans="1:9" ht="15.9" customHeight="1" x14ac:dyDescent="0.4">
      <c r="A20" s="417"/>
      <c r="B20" s="349" t="s">
        <v>181</v>
      </c>
      <c r="C20" s="356" t="s">
        <v>304</v>
      </c>
      <c r="D20" s="356" t="s">
        <v>305</v>
      </c>
      <c r="E20" s="357" t="s">
        <v>195</v>
      </c>
      <c r="F20" s="423">
        <v>1</v>
      </c>
      <c r="G20" s="359">
        <v>30000000</v>
      </c>
      <c r="H20" s="284">
        <f t="shared" si="0"/>
        <v>30000000</v>
      </c>
      <c r="I20" s="49"/>
    </row>
    <row r="21" spans="1:9" ht="15.9" customHeight="1" x14ac:dyDescent="0.4">
      <c r="A21" s="417"/>
      <c r="B21" s="349"/>
      <c r="C21" s="356" t="s">
        <v>306</v>
      </c>
      <c r="D21" s="356" t="s">
        <v>307</v>
      </c>
      <c r="E21" s="357" t="s">
        <v>195</v>
      </c>
      <c r="F21" s="423">
        <v>1</v>
      </c>
      <c r="G21" s="359">
        <v>10000000</v>
      </c>
      <c r="H21" s="284">
        <f t="shared" si="0"/>
        <v>10000000</v>
      </c>
      <c r="I21" s="49"/>
    </row>
    <row r="22" spans="1:9" ht="15.9" customHeight="1" x14ac:dyDescent="0.4">
      <c r="A22" s="417"/>
      <c r="B22" s="349"/>
      <c r="C22" s="356" t="s">
        <v>308</v>
      </c>
      <c r="D22" s="428"/>
      <c r="E22" s="357" t="s">
        <v>59</v>
      </c>
      <c r="F22" s="423">
        <v>1</v>
      </c>
      <c r="G22" s="359">
        <v>300000</v>
      </c>
      <c r="H22" s="284">
        <f t="shared" si="0"/>
        <v>300000</v>
      </c>
      <c r="I22" s="49"/>
    </row>
    <row r="23" spans="1:9" ht="15.9" customHeight="1" x14ac:dyDescent="0.4">
      <c r="A23" s="417"/>
      <c r="B23" s="349"/>
      <c r="C23" s="356" t="s">
        <v>299</v>
      </c>
      <c r="D23" s="356"/>
      <c r="E23" s="357" t="s">
        <v>59</v>
      </c>
      <c r="F23" s="359">
        <v>1</v>
      </c>
      <c r="G23" s="359">
        <v>500000</v>
      </c>
      <c r="H23" s="284">
        <f t="shared" si="0"/>
        <v>500000</v>
      </c>
      <c r="I23" s="49"/>
    </row>
    <row r="24" spans="1:9" ht="15.9" customHeight="1" x14ac:dyDescent="0.4">
      <c r="A24" s="417"/>
      <c r="B24" s="349"/>
      <c r="C24" s="356"/>
      <c r="D24" s="356"/>
      <c r="E24" s="357"/>
      <c r="F24" s="359"/>
      <c r="G24" s="359"/>
      <c r="H24" s="284">
        <f t="shared" si="0"/>
        <v>0</v>
      </c>
      <c r="I24" s="49"/>
    </row>
    <row r="25" spans="1:9" ht="15.9" customHeight="1" x14ac:dyDescent="0.4">
      <c r="A25" s="417"/>
      <c r="B25" s="349"/>
      <c r="C25" s="356" t="s">
        <v>175</v>
      </c>
      <c r="D25" s="356"/>
      <c r="E25" s="357" t="s">
        <v>59</v>
      </c>
      <c r="F25" s="359">
        <v>1</v>
      </c>
      <c r="G25" s="359">
        <v>600000</v>
      </c>
      <c r="H25" s="284">
        <f t="shared" si="0"/>
        <v>600000</v>
      </c>
      <c r="I25" s="49"/>
    </row>
    <row r="26" spans="1:9" ht="15.9" customHeight="1" x14ac:dyDescent="0.4">
      <c r="A26" s="417"/>
      <c r="B26" s="349"/>
      <c r="C26" s="356"/>
      <c r="D26" s="356"/>
      <c r="E26" s="357"/>
      <c r="F26" s="359"/>
      <c r="G26" s="359"/>
      <c r="H26" s="284">
        <f t="shared" si="0"/>
        <v>0</v>
      </c>
      <c r="I26" s="49"/>
    </row>
    <row r="27" spans="1:9" ht="15.9" customHeight="1" x14ac:dyDescent="0.4">
      <c r="A27" s="417"/>
      <c r="B27" s="349"/>
      <c r="C27" s="418" t="s">
        <v>192</v>
      </c>
      <c r="D27" s="418"/>
      <c r="E27" s="419"/>
      <c r="F27" s="420"/>
      <c r="G27" s="420"/>
      <c r="H27" s="284">
        <f t="shared" si="0"/>
        <v>0</v>
      </c>
      <c r="I27" s="49"/>
    </row>
    <row r="28" spans="1:9" ht="15.9" customHeight="1" x14ac:dyDescent="0.4">
      <c r="A28" s="417"/>
      <c r="B28" s="349"/>
      <c r="C28" s="356" t="s">
        <v>193</v>
      </c>
      <c r="D28" s="356" t="s">
        <v>194</v>
      </c>
      <c r="E28" s="357" t="s">
        <v>195</v>
      </c>
      <c r="F28" s="423">
        <v>1</v>
      </c>
      <c r="G28" s="359">
        <v>350000</v>
      </c>
      <c r="H28" s="284">
        <f t="shared" si="0"/>
        <v>350000</v>
      </c>
      <c r="I28" s="49"/>
    </row>
    <row r="29" spans="1:9" ht="15.9" customHeight="1" x14ac:dyDescent="0.4">
      <c r="A29" s="417"/>
      <c r="B29" s="349"/>
      <c r="C29" s="356" t="s">
        <v>196</v>
      </c>
      <c r="D29" s="356" t="s">
        <v>197</v>
      </c>
      <c r="E29" s="357" t="s">
        <v>195</v>
      </c>
      <c r="F29" s="423">
        <v>10</v>
      </c>
      <c r="G29" s="359">
        <v>75000</v>
      </c>
      <c r="H29" s="284">
        <f t="shared" si="0"/>
        <v>750000</v>
      </c>
      <c r="I29" s="49"/>
    </row>
    <row r="30" spans="1:9" ht="15.9" customHeight="1" x14ac:dyDescent="0.4">
      <c r="A30" s="417"/>
      <c r="B30" s="349"/>
      <c r="C30" s="356" t="s">
        <v>198</v>
      </c>
      <c r="D30" s="356" t="s">
        <v>199</v>
      </c>
      <c r="E30" s="357" t="s">
        <v>195</v>
      </c>
      <c r="F30" s="423">
        <v>1</v>
      </c>
      <c r="G30" s="359">
        <v>850000</v>
      </c>
      <c r="H30" s="284">
        <f t="shared" si="0"/>
        <v>850000</v>
      </c>
      <c r="I30" s="49"/>
    </row>
    <row r="31" spans="1:9" ht="15.9" customHeight="1" x14ac:dyDescent="0.4">
      <c r="A31" s="417"/>
      <c r="B31" s="349"/>
      <c r="C31" s="356" t="s">
        <v>200</v>
      </c>
      <c r="D31" s="356"/>
      <c r="E31" s="357" t="s">
        <v>195</v>
      </c>
      <c r="F31" s="423">
        <v>10</v>
      </c>
      <c r="G31" s="359">
        <v>7000</v>
      </c>
      <c r="H31" s="284">
        <f t="shared" si="0"/>
        <v>70000</v>
      </c>
      <c r="I31" s="49"/>
    </row>
    <row r="32" spans="1:9" ht="15.9" customHeight="1" x14ac:dyDescent="0.4">
      <c r="A32" s="417"/>
      <c r="B32" s="349"/>
      <c r="C32" s="356" t="s">
        <v>201</v>
      </c>
      <c r="D32" s="356"/>
      <c r="E32" s="357" t="s">
        <v>195</v>
      </c>
      <c r="F32" s="423">
        <v>1</v>
      </c>
      <c r="G32" s="359">
        <v>100000</v>
      </c>
      <c r="H32" s="284">
        <f t="shared" si="0"/>
        <v>100000</v>
      </c>
      <c r="I32" s="49"/>
    </row>
    <row r="33" spans="1:9" ht="15.9" customHeight="1" x14ac:dyDescent="0.4">
      <c r="A33" s="417"/>
      <c r="B33" s="349"/>
      <c r="C33" s="418" t="s">
        <v>202</v>
      </c>
      <c r="D33" s="418"/>
      <c r="E33" s="419" t="s">
        <v>59</v>
      </c>
      <c r="F33" s="420">
        <v>1</v>
      </c>
      <c r="G33" s="420">
        <v>100000</v>
      </c>
      <c r="H33" s="284">
        <f t="shared" si="0"/>
        <v>100000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423"/>
      <c r="G34" s="359"/>
      <c r="H34" s="284">
        <f t="shared" si="0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0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0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0"/>
        <v>0</v>
      </c>
      <c r="I38" s="49"/>
    </row>
    <row r="39" spans="1:9" ht="15.9" customHeight="1" x14ac:dyDescent="0.4">
      <c r="A39" s="417"/>
      <c r="B39" s="349"/>
      <c r="C39" s="418"/>
      <c r="D39" s="418"/>
      <c r="E39" s="419"/>
      <c r="F39" s="420"/>
      <c r="G39" s="420"/>
      <c r="H39" s="284">
        <f>IF(F39=0,G39,G39*F39)</f>
        <v>0</v>
      </c>
      <c r="I39" s="49"/>
    </row>
    <row r="40" spans="1:9" ht="15.9" customHeight="1" x14ac:dyDescent="0.4">
      <c r="A40" s="417"/>
      <c r="B40" s="349"/>
      <c r="C40" s="356"/>
      <c r="D40" s="356"/>
      <c r="E40" s="356"/>
      <c r="F40" s="359"/>
      <c r="G40" s="359"/>
      <c r="H40" s="284">
        <f t="shared" si="0"/>
        <v>0</v>
      </c>
      <c r="I40" s="49"/>
    </row>
    <row r="41" spans="1:9" ht="15.9" customHeight="1" x14ac:dyDescent="0.4">
      <c r="A41" s="417"/>
      <c r="B41" s="349"/>
      <c r="C41" s="360" t="s">
        <v>248</v>
      </c>
      <c r="D41" s="360"/>
      <c r="E41" s="361" t="s">
        <v>195</v>
      </c>
      <c r="F41" s="363">
        <v>1</v>
      </c>
      <c r="G41" s="363">
        <v>1000000</v>
      </c>
      <c r="H41" s="284">
        <v>0</v>
      </c>
      <c r="I41" s="64"/>
    </row>
    <row r="42" spans="1:9" ht="15.9" customHeight="1" x14ac:dyDescent="0.4">
      <c r="A42" s="417"/>
      <c r="B42" s="364"/>
      <c r="C42" s="365"/>
      <c r="D42" s="366"/>
      <c r="E42" s="366"/>
      <c r="F42" s="368"/>
      <c r="G42" s="368"/>
      <c r="H42" s="77">
        <f>SUM(H19:H41)</f>
        <v>43620000</v>
      </c>
      <c r="I42" s="72"/>
    </row>
    <row r="43" spans="1:9" ht="15.9" customHeight="1" x14ac:dyDescent="0.4">
      <c r="A43" s="417"/>
      <c r="B43" s="386" t="s">
        <v>61</v>
      </c>
      <c r="C43" s="370"/>
      <c r="D43" s="370"/>
      <c r="E43" s="370"/>
      <c r="F43" s="373"/>
      <c r="G43" s="373"/>
      <c r="H43" s="374">
        <f t="shared" si="0"/>
        <v>0</v>
      </c>
      <c r="I43" s="375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0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0"/>
        <v>0</v>
      </c>
      <c r="I45" s="49"/>
    </row>
    <row r="46" spans="1:9" ht="15.9" customHeight="1" x14ac:dyDescent="0.4">
      <c r="A46" s="417"/>
      <c r="B46" s="349"/>
      <c r="C46" s="356"/>
      <c r="D46" s="356"/>
      <c r="E46" s="356"/>
      <c r="F46" s="359"/>
      <c r="G46" s="359"/>
      <c r="H46" s="284">
        <f t="shared" si="0"/>
        <v>0</v>
      </c>
      <c r="I46" s="49"/>
    </row>
    <row r="47" spans="1:9" ht="15.9" customHeight="1" x14ac:dyDescent="0.4">
      <c r="A47" s="417"/>
      <c r="B47" s="349"/>
      <c r="C47" s="356"/>
      <c r="D47" s="356"/>
      <c r="E47" s="356"/>
      <c r="F47" s="359"/>
      <c r="G47" s="359"/>
      <c r="H47" s="284">
        <f t="shared" si="0"/>
        <v>0</v>
      </c>
      <c r="I47" s="49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0"/>
        <v>0</v>
      </c>
      <c r="I48" s="49"/>
    </row>
    <row r="49" spans="1:9" ht="15.9" customHeight="1" x14ac:dyDescent="0.4">
      <c r="A49" s="417"/>
      <c r="B49" s="349"/>
      <c r="C49" s="360" t="s">
        <v>203</v>
      </c>
      <c r="D49" s="360"/>
      <c r="E49" s="360"/>
      <c r="F49" s="363"/>
      <c r="G49" s="363"/>
      <c r="H49" s="314">
        <f t="shared" si="0"/>
        <v>0</v>
      </c>
      <c r="I49" s="64"/>
    </row>
    <row r="50" spans="1:9" ht="15.9" customHeight="1" x14ac:dyDescent="0.4">
      <c r="A50" s="417"/>
      <c r="B50" s="364"/>
      <c r="C50" s="365"/>
      <c r="D50" s="366"/>
      <c r="E50" s="366"/>
      <c r="F50" s="368"/>
      <c r="G50" s="368"/>
      <c r="H50" s="77">
        <f>SUM(H43:H49)</f>
        <v>0</v>
      </c>
      <c r="I50" s="72"/>
    </row>
    <row r="51" spans="1:9" ht="15.9" customHeight="1" x14ac:dyDescent="0.4">
      <c r="A51" s="392"/>
      <c r="B51" s="393" t="s">
        <v>149</v>
      </c>
      <c r="C51" s="394"/>
      <c r="D51" s="72"/>
      <c r="E51" s="72"/>
      <c r="F51" s="396"/>
      <c r="G51" s="396"/>
      <c r="H51" s="77">
        <f>SUM(H50,H42,H18,H12)</f>
        <v>54520000</v>
      </c>
      <c r="I51" s="72"/>
    </row>
    <row r="52" spans="1:9" ht="15.9" customHeight="1" x14ac:dyDescent="0.4">
      <c r="A52" s="348" t="s">
        <v>150</v>
      </c>
      <c r="B52" s="398" t="s">
        <v>67</v>
      </c>
      <c r="C52" s="394"/>
      <c r="D52" s="72"/>
      <c r="E52" s="398" t="s">
        <v>68</v>
      </c>
      <c r="F52" s="424">
        <v>0</v>
      </c>
      <c r="G52" s="413">
        <v>250000</v>
      </c>
      <c r="H52" s="402">
        <f>F52*G52</f>
        <v>0</v>
      </c>
      <c r="I52" s="72"/>
    </row>
    <row r="53" spans="1:9" ht="15.9" customHeight="1" x14ac:dyDescent="0.4">
      <c r="A53" s="417"/>
      <c r="B53" s="404" t="s">
        <v>204</v>
      </c>
      <c r="C53" s="405"/>
      <c r="D53" s="375"/>
      <c r="E53" s="404" t="s">
        <v>152</v>
      </c>
      <c r="F53" s="425">
        <v>20</v>
      </c>
      <c r="G53" s="437">
        <v>300000</v>
      </c>
      <c r="H53" s="374">
        <f t="shared" ref="H53:H59" si="1">F53*G53</f>
        <v>6000000</v>
      </c>
      <c r="I53" s="375"/>
    </row>
    <row r="54" spans="1:9" ht="15.9" customHeight="1" x14ac:dyDescent="0.4">
      <c r="A54" s="417"/>
      <c r="B54" s="406" t="s">
        <v>205</v>
      </c>
      <c r="C54" s="407"/>
      <c r="D54" s="49"/>
      <c r="E54" s="406" t="s">
        <v>152</v>
      </c>
      <c r="F54" s="426">
        <v>1</v>
      </c>
      <c r="G54" s="420">
        <v>250000</v>
      </c>
      <c r="H54" s="284">
        <f t="shared" si="1"/>
        <v>250000</v>
      </c>
      <c r="I54" s="49"/>
    </row>
    <row r="55" spans="1:9" ht="15.9" customHeight="1" x14ac:dyDescent="0.4">
      <c r="A55" s="417"/>
      <c r="B55" s="406" t="s">
        <v>206</v>
      </c>
      <c r="C55" s="407"/>
      <c r="D55" s="49"/>
      <c r="E55" s="406" t="s">
        <v>152</v>
      </c>
      <c r="F55" s="426">
        <v>25</v>
      </c>
      <c r="G55" s="420">
        <v>250000</v>
      </c>
      <c r="H55" s="284">
        <f t="shared" si="1"/>
        <v>6250000</v>
      </c>
      <c r="I55" s="49"/>
    </row>
    <row r="56" spans="1:9" ht="15.9" customHeight="1" x14ac:dyDescent="0.4">
      <c r="A56" s="417"/>
      <c r="B56" s="406" t="s">
        <v>207</v>
      </c>
      <c r="C56" s="407"/>
      <c r="D56" s="49"/>
      <c r="E56" s="406" t="s">
        <v>152</v>
      </c>
      <c r="F56" s="426">
        <v>2</v>
      </c>
      <c r="G56" s="359">
        <v>300000</v>
      </c>
      <c r="H56" s="284">
        <f t="shared" si="1"/>
        <v>600000</v>
      </c>
      <c r="I56" s="49"/>
    </row>
    <row r="57" spans="1:9" ht="15.9" customHeight="1" x14ac:dyDescent="0.4">
      <c r="A57" s="417"/>
      <c r="B57" s="406" t="s">
        <v>208</v>
      </c>
      <c r="C57" s="407"/>
      <c r="D57" s="49"/>
      <c r="E57" s="406" t="s">
        <v>152</v>
      </c>
      <c r="F57" s="426">
        <v>4</v>
      </c>
      <c r="G57" s="359">
        <v>300000</v>
      </c>
      <c r="H57" s="284">
        <f t="shared" si="1"/>
        <v>1200000</v>
      </c>
      <c r="I57" s="49"/>
    </row>
    <row r="58" spans="1:9" ht="15.9" customHeight="1" x14ac:dyDescent="0.4">
      <c r="A58" s="417"/>
      <c r="B58" s="406" t="s">
        <v>209</v>
      </c>
      <c r="C58" s="407"/>
      <c r="D58" s="49"/>
      <c r="E58" s="406" t="s">
        <v>152</v>
      </c>
      <c r="F58" s="426">
        <v>1</v>
      </c>
      <c r="G58" s="359">
        <v>300000</v>
      </c>
      <c r="H58" s="284">
        <f t="shared" si="1"/>
        <v>300000</v>
      </c>
      <c r="I58" s="49"/>
    </row>
    <row r="59" spans="1:9" ht="15.9" customHeight="1" x14ac:dyDescent="0.4">
      <c r="A59" s="417"/>
      <c r="B59" s="408" t="s">
        <v>210</v>
      </c>
      <c r="C59" s="409"/>
      <c r="D59" s="64"/>
      <c r="E59" s="408" t="s">
        <v>152</v>
      </c>
      <c r="F59" s="427">
        <v>1</v>
      </c>
      <c r="G59" s="438">
        <v>250000</v>
      </c>
      <c r="H59" s="314">
        <f t="shared" si="1"/>
        <v>250000</v>
      </c>
      <c r="I59" s="64"/>
    </row>
    <row r="60" spans="1:9" ht="15.9" customHeight="1" x14ac:dyDescent="0.4">
      <c r="A60" s="392"/>
      <c r="B60" s="410" t="s">
        <v>158</v>
      </c>
      <c r="C60" s="394"/>
      <c r="D60" s="72"/>
      <c r="E60" s="72"/>
      <c r="F60" s="368"/>
      <c r="G60" s="368"/>
      <c r="H60" s="368">
        <f>SUM(H52:H59)</f>
        <v>14850000</v>
      </c>
      <c r="I60" s="366"/>
    </row>
    <row r="61" spans="1:9" ht="15.9" customHeight="1" x14ac:dyDescent="0.4">
      <c r="A61" s="399"/>
      <c r="B61" s="410" t="s">
        <v>211</v>
      </c>
      <c r="C61" s="394"/>
      <c r="D61" s="72"/>
      <c r="E61" s="72"/>
      <c r="F61" s="77"/>
      <c r="G61" s="77"/>
      <c r="H61" s="396">
        <f>'단위공사별(집계)'!L14+'단위공사별(집계)'!I14</f>
        <v>331487.27919852361</v>
      </c>
      <c r="I61" s="72"/>
    </row>
    <row r="62" spans="1:9" ht="15.9" customHeight="1" x14ac:dyDescent="0.4">
      <c r="A62" s="399"/>
      <c r="B62" s="410" t="s">
        <v>93</v>
      </c>
      <c r="C62" s="394"/>
      <c r="D62" s="72"/>
      <c r="E62" s="72"/>
      <c r="F62" s="77"/>
      <c r="G62" s="412"/>
      <c r="H62" s="413">
        <v>0</v>
      </c>
      <c r="I62" s="394"/>
    </row>
    <row r="63" spans="1:9" ht="15.9" customHeight="1" x14ac:dyDescent="0.4">
      <c r="A63" s="399"/>
      <c r="B63" s="410" t="s">
        <v>161</v>
      </c>
      <c r="C63" s="394"/>
      <c r="D63" s="72"/>
      <c r="E63" s="72"/>
      <c r="F63" s="77"/>
      <c r="G63" s="412"/>
      <c r="H63" s="413">
        <v>0</v>
      </c>
      <c r="I63" s="394"/>
    </row>
    <row r="64" spans="1:9" ht="15.9" customHeight="1" x14ac:dyDescent="0.4">
      <c r="A64" s="399"/>
      <c r="B64" s="410" t="s">
        <v>162</v>
      </c>
      <c r="C64" s="394"/>
      <c r="D64" s="72"/>
      <c r="E64" s="72"/>
      <c r="F64" s="77"/>
      <c r="G64" s="77"/>
      <c r="H64" s="368">
        <f>H51+H60+H61+H62+H63</f>
        <v>69701487.279198527</v>
      </c>
      <c r="I64" s="72"/>
    </row>
    <row r="65" spans="1:1" x14ac:dyDescent="0.4">
      <c r="A65" s="30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A19D-2737-429D-84E7-98C217DB770A}">
  <sheetPr>
    <tabColor rgb="FF00B050"/>
    <pageSetUpPr fitToPage="1"/>
  </sheetPr>
  <dimension ref="A1:I77"/>
  <sheetViews>
    <sheetView zoomScaleNormal="100" workbookViewId="0">
      <pane xSplit="2" ySplit="2" topLeftCell="C59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309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 t="s">
        <v>165</v>
      </c>
      <c r="D3" s="356" t="s">
        <v>166</v>
      </c>
      <c r="E3" s="357" t="s">
        <v>59</v>
      </c>
      <c r="F3" s="359">
        <v>1</v>
      </c>
      <c r="G3" s="359">
        <v>2000000</v>
      </c>
      <c r="H3" s="284">
        <f>IF(F3=0,G3,G3*F3)</f>
        <v>2000000</v>
      </c>
      <c r="I3" s="439"/>
    </row>
    <row r="4" spans="1:9" ht="15.9" customHeight="1" x14ac:dyDescent="0.4">
      <c r="A4" s="417"/>
      <c r="B4" s="349"/>
      <c r="C4" s="418" t="s">
        <v>167</v>
      </c>
      <c r="D4" s="356" t="s">
        <v>166</v>
      </c>
      <c r="E4" s="419" t="s">
        <v>59</v>
      </c>
      <c r="F4" s="359">
        <v>1</v>
      </c>
      <c r="G4" s="420">
        <v>1500000</v>
      </c>
      <c r="H4" s="284">
        <f>IF(F4=0,G4,G4*F4)</f>
        <v>1500000</v>
      </c>
      <c r="I4" s="49"/>
    </row>
    <row r="5" spans="1:9" ht="15.9" customHeight="1" x14ac:dyDescent="0.4">
      <c r="A5" s="417"/>
      <c r="B5" s="349"/>
      <c r="C5" s="418" t="s">
        <v>168</v>
      </c>
      <c r="D5" s="418" t="s">
        <v>166</v>
      </c>
      <c r="E5" s="419" t="s">
        <v>59</v>
      </c>
      <c r="F5" s="420">
        <v>1</v>
      </c>
      <c r="G5" s="420">
        <v>1500000</v>
      </c>
      <c r="H5" s="284">
        <f>IF(F5=0,G5,G5*F5)</f>
        <v>1500000</v>
      </c>
      <c r="I5" s="49"/>
    </row>
    <row r="6" spans="1:9" ht="15.9" customHeight="1" x14ac:dyDescent="0.4">
      <c r="A6" s="417"/>
      <c r="B6" s="349"/>
      <c r="C6" s="418" t="s">
        <v>169</v>
      </c>
      <c r="D6" s="418"/>
      <c r="E6" s="419" t="s">
        <v>59</v>
      </c>
      <c r="F6" s="420">
        <v>1</v>
      </c>
      <c r="G6" s="420">
        <v>600000</v>
      </c>
      <c r="H6" s="284">
        <f t="shared" ref="H6:H61" si="0">IF(F6=0,G6,G6*F6)</f>
        <v>600000</v>
      </c>
      <c r="I6" s="49"/>
    </row>
    <row r="7" spans="1:9" ht="15.9" customHeight="1" x14ac:dyDescent="0.4">
      <c r="A7" s="417"/>
      <c r="B7" s="349"/>
      <c r="C7" s="356" t="s">
        <v>310</v>
      </c>
      <c r="D7" s="356" t="s">
        <v>166</v>
      </c>
      <c r="E7" s="357" t="s">
        <v>59</v>
      </c>
      <c r="F7" s="359">
        <v>1</v>
      </c>
      <c r="G7" s="359">
        <v>4500000</v>
      </c>
      <c r="H7" s="284">
        <f t="shared" si="0"/>
        <v>4500000</v>
      </c>
      <c r="I7" s="49"/>
    </row>
    <row r="8" spans="1:9" ht="15.9" customHeight="1" x14ac:dyDescent="0.4">
      <c r="A8" s="417"/>
      <c r="B8" s="349"/>
      <c r="C8" s="356"/>
      <c r="D8" s="356" t="s">
        <v>311</v>
      </c>
      <c r="E8" s="357" t="s">
        <v>59</v>
      </c>
      <c r="F8" s="359">
        <v>1</v>
      </c>
      <c r="G8" s="359">
        <v>4500000</v>
      </c>
      <c r="H8" s="284">
        <f t="shared" si="0"/>
        <v>4500000</v>
      </c>
      <c r="I8" s="49"/>
    </row>
    <row r="9" spans="1:9" ht="15.9" customHeight="1" x14ac:dyDescent="0.4">
      <c r="A9" s="417"/>
      <c r="B9" s="349"/>
      <c r="C9" s="356" t="s">
        <v>312</v>
      </c>
      <c r="D9" s="418" t="s">
        <v>313</v>
      </c>
      <c r="E9" s="419" t="s">
        <v>195</v>
      </c>
      <c r="F9" s="420">
        <v>1</v>
      </c>
      <c r="G9" s="420">
        <v>19500000</v>
      </c>
      <c r="H9" s="284">
        <f t="shared" si="0"/>
        <v>19500000</v>
      </c>
      <c r="I9" s="49"/>
    </row>
    <row r="10" spans="1:9" ht="15.9" customHeight="1" x14ac:dyDescent="0.4">
      <c r="A10" s="417"/>
      <c r="B10" s="349"/>
      <c r="C10" s="356" t="s">
        <v>175</v>
      </c>
      <c r="D10" s="356"/>
      <c r="E10" s="357" t="s">
        <v>59</v>
      </c>
      <c r="F10" s="359">
        <v>1</v>
      </c>
      <c r="G10" s="359">
        <v>1300000</v>
      </c>
      <c r="H10" s="284">
        <f t="shared" si="0"/>
        <v>1300000</v>
      </c>
      <c r="I10" s="49"/>
    </row>
    <row r="11" spans="1:9" ht="15.9" customHeight="1" x14ac:dyDescent="0.4">
      <c r="A11" s="417"/>
      <c r="B11" s="349"/>
      <c r="C11" s="418"/>
      <c r="D11" s="418"/>
      <c r="E11" s="419"/>
      <c r="F11" s="420"/>
      <c r="G11" s="420"/>
      <c r="H11" s="284">
        <f>IF(F11=0,G11,G11*F11)</f>
        <v>0</v>
      </c>
      <c r="I11" s="49"/>
    </row>
    <row r="12" spans="1:9" ht="15.9" customHeight="1" x14ac:dyDescent="0.4">
      <c r="A12" s="417"/>
      <c r="B12" s="349"/>
      <c r="C12" s="418"/>
      <c r="D12" s="418"/>
      <c r="E12" s="419"/>
      <c r="F12" s="420"/>
      <c r="G12" s="420"/>
      <c r="H12" s="284">
        <f t="shared" ref="H12:H15" si="1">IF(F12=0,G12,G12*F12)</f>
        <v>0</v>
      </c>
      <c r="I12" s="49"/>
    </row>
    <row r="13" spans="1:9" ht="15.9" customHeight="1" x14ac:dyDescent="0.4">
      <c r="A13" s="417"/>
      <c r="B13" s="349"/>
      <c r="C13" s="356"/>
      <c r="D13" s="356"/>
      <c r="E13" s="357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7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7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60" t="s">
        <v>203</v>
      </c>
      <c r="D16" s="377"/>
      <c r="E16" s="390" t="s">
        <v>59</v>
      </c>
      <c r="F16" s="379">
        <v>1</v>
      </c>
      <c r="G16" s="379">
        <v>500000</v>
      </c>
      <c r="H16" s="294">
        <v>0</v>
      </c>
      <c r="I16" s="57"/>
    </row>
    <row r="17" spans="1:9" ht="15.9" customHeight="1" x14ac:dyDescent="0.4">
      <c r="A17" s="417"/>
      <c r="B17" s="364"/>
      <c r="C17" s="381"/>
      <c r="D17" s="381"/>
      <c r="E17" s="381"/>
      <c r="F17" s="384"/>
      <c r="G17" s="384"/>
      <c r="H17" s="385">
        <f>SUM(H3:H16)</f>
        <v>35400000</v>
      </c>
      <c r="I17" s="381"/>
    </row>
    <row r="18" spans="1:9" ht="15.9" customHeight="1" x14ac:dyDescent="0.4">
      <c r="A18" s="417"/>
      <c r="B18" s="349" t="s">
        <v>177</v>
      </c>
      <c r="C18" s="350"/>
      <c r="D18" s="350"/>
      <c r="E18" s="350"/>
      <c r="F18" s="353"/>
      <c r="G18" s="353"/>
      <c r="H18" s="304">
        <f t="shared" si="0"/>
        <v>0</v>
      </c>
      <c r="I18" s="354"/>
    </row>
    <row r="19" spans="1:9" ht="15.9" customHeight="1" x14ac:dyDescent="0.4">
      <c r="A19" s="417"/>
      <c r="B19" s="349" t="s">
        <v>178</v>
      </c>
      <c r="C19" s="356"/>
      <c r="D19" s="356"/>
      <c r="E19" s="356"/>
      <c r="F19" s="359"/>
      <c r="G19" s="359"/>
      <c r="H19" s="284">
        <f t="shared" si="0"/>
        <v>0</v>
      </c>
      <c r="I19" s="49"/>
    </row>
    <row r="20" spans="1:9" ht="15.9" customHeight="1" x14ac:dyDescent="0.4">
      <c r="A20" s="417"/>
      <c r="B20" s="349"/>
      <c r="C20" s="356"/>
      <c r="D20" s="356"/>
      <c r="E20" s="356"/>
      <c r="F20" s="359"/>
      <c r="G20" s="359"/>
      <c r="H20" s="284">
        <f t="shared" si="0"/>
        <v>0</v>
      </c>
      <c r="I20" s="49"/>
    </row>
    <row r="21" spans="1:9" ht="15.9" customHeight="1" x14ac:dyDescent="0.4">
      <c r="A21" s="417"/>
      <c r="B21" s="349"/>
      <c r="C21" s="356"/>
      <c r="D21" s="356"/>
      <c r="E21" s="356"/>
      <c r="F21" s="359"/>
      <c r="G21" s="359"/>
      <c r="H21" s="284">
        <f t="shared" si="0"/>
        <v>0</v>
      </c>
      <c r="I21" s="49"/>
    </row>
    <row r="22" spans="1:9" ht="15.9" customHeight="1" x14ac:dyDescent="0.4">
      <c r="A22" s="417"/>
      <c r="B22" s="349"/>
      <c r="C22" s="360" t="s">
        <v>203</v>
      </c>
      <c r="D22" s="360"/>
      <c r="E22" s="360"/>
      <c r="F22" s="363"/>
      <c r="G22" s="363"/>
      <c r="H22" s="284">
        <f t="shared" si="0"/>
        <v>0</v>
      </c>
      <c r="I22" s="64"/>
    </row>
    <row r="23" spans="1:9" ht="15.9" customHeight="1" x14ac:dyDescent="0.4">
      <c r="A23" s="417"/>
      <c r="B23" s="364"/>
      <c r="C23" s="365"/>
      <c r="D23" s="366"/>
      <c r="E23" s="366"/>
      <c r="F23" s="422"/>
      <c r="G23" s="368"/>
      <c r="H23" s="77">
        <f>SUM(H18:H22)</f>
        <v>0</v>
      </c>
      <c r="I23" s="72"/>
    </row>
    <row r="24" spans="1:9" ht="15.9" customHeight="1" x14ac:dyDescent="0.4">
      <c r="A24" s="417"/>
      <c r="B24" s="386" t="s">
        <v>179</v>
      </c>
      <c r="C24" s="356" t="s">
        <v>310</v>
      </c>
      <c r="D24" s="428"/>
      <c r="E24" s="357"/>
      <c r="F24" s="423"/>
      <c r="G24" s="359"/>
      <c r="H24" s="374">
        <f t="shared" si="0"/>
        <v>0</v>
      </c>
      <c r="I24" s="375"/>
    </row>
    <row r="25" spans="1:9" ht="15.9" customHeight="1" x14ac:dyDescent="0.4">
      <c r="A25" s="417"/>
      <c r="B25" s="349" t="s">
        <v>181</v>
      </c>
      <c r="C25" s="356" t="s">
        <v>314</v>
      </c>
      <c r="D25" s="356" t="s">
        <v>315</v>
      </c>
      <c r="E25" s="357" t="s">
        <v>59</v>
      </c>
      <c r="F25" s="359">
        <v>1</v>
      </c>
      <c r="G25" s="359">
        <v>52000000</v>
      </c>
      <c r="H25" s="284">
        <v>0</v>
      </c>
      <c r="I25" s="49" t="s">
        <v>316</v>
      </c>
    </row>
    <row r="26" spans="1:9" ht="15.9" customHeight="1" x14ac:dyDescent="0.4">
      <c r="A26" s="417"/>
      <c r="B26" s="349"/>
      <c r="C26" s="356" t="s">
        <v>317</v>
      </c>
      <c r="D26" s="356"/>
      <c r="E26" s="357" t="s">
        <v>59</v>
      </c>
      <c r="F26" s="423">
        <v>1</v>
      </c>
      <c r="G26" s="359">
        <v>2500000</v>
      </c>
      <c r="H26" s="284">
        <f t="shared" si="0"/>
        <v>2500000</v>
      </c>
      <c r="I26" s="49"/>
    </row>
    <row r="27" spans="1:9" ht="15.9" customHeight="1" x14ac:dyDescent="0.4">
      <c r="A27" s="417"/>
      <c r="B27" s="349"/>
      <c r="C27" s="356" t="s">
        <v>318</v>
      </c>
      <c r="D27" s="356"/>
      <c r="E27" s="357"/>
      <c r="F27" s="359"/>
      <c r="G27" s="359"/>
      <c r="H27" s="284">
        <f t="shared" si="0"/>
        <v>0</v>
      </c>
      <c r="I27" s="49"/>
    </row>
    <row r="28" spans="1:9" ht="15.9" customHeight="1" x14ac:dyDescent="0.4">
      <c r="A28" s="417"/>
      <c r="B28" s="349"/>
      <c r="C28" s="356" t="s">
        <v>319</v>
      </c>
      <c r="D28" s="356" t="s">
        <v>320</v>
      </c>
      <c r="E28" s="357" t="s">
        <v>195</v>
      </c>
      <c r="F28" s="359">
        <v>2</v>
      </c>
      <c r="G28" s="359">
        <v>3400000</v>
      </c>
      <c r="H28" s="284">
        <f t="shared" si="0"/>
        <v>6800000</v>
      </c>
      <c r="I28" s="49"/>
    </row>
    <row r="29" spans="1:9" ht="15.9" customHeight="1" x14ac:dyDescent="0.4">
      <c r="A29" s="417"/>
      <c r="B29" s="349"/>
      <c r="C29" s="356"/>
      <c r="D29" s="356" t="s">
        <v>321</v>
      </c>
      <c r="E29" s="357" t="s">
        <v>195</v>
      </c>
      <c r="F29" s="359">
        <v>2</v>
      </c>
      <c r="G29" s="359">
        <v>800000</v>
      </c>
      <c r="H29" s="284">
        <f t="shared" si="0"/>
        <v>1600000</v>
      </c>
      <c r="I29" s="49"/>
    </row>
    <row r="30" spans="1:9" ht="15.9" customHeight="1" x14ac:dyDescent="0.4">
      <c r="A30" s="417"/>
      <c r="B30" s="349"/>
      <c r="C30" s="356"/>
      <c r="D30" s="356" t="s">
        <v>322</v>
      </c>
      <c r="E30" s="357" t="s">
        <v>195</v>
      </c>
      <c r="F30" s="359">
        <v>2</v>
      </c>
      <c r="G30" s="359">
        <v>1500000</v>
      </c>
      <c r="H30" s="284">
        <f t="shared" si="0"/>
        <v>3000000</v>
      </c>
      <c r="I30" s="49"/>
    </row>
    <row r="31" spans="1:9" ht="15.9" customHeight="1" x14ac:dyDescent="0.4">
      <c r="A31" s="417"/>
      <c r="B31" s="349"/>
      <c r="C31" s="356" t="s">
        <v>323</v>
      </c>
      <c r="D31" s="356" t="s">
        <v>320</v>
      </c>
      <c r="E31" s="357" t="s">
        <v>195</v>
      </c>
      <c r="F31" s="359">
        <v>2</v>
      </c>
      <c r="G31" s="359">
        <v>3800000</v>
      </c>
      <c r="H31" s="284">
        <f t="shared" si="0"/>
        <v>7600000</v>
      </c>
      <c r="I31" s="49"/>
    </row>
    <row r="32" spans="1:9" ht="15.9" customHeight="1" x14ac:dyDescent="0.4">
      <c r="A32" s="417"/>
      <c r="B32" s="349"/>
      <c r="C32" s="356"/>
      <c r="D32" s="356" t="s">
        <v>321</v>
      </c>
      <c r="E32" s="357" t="s">
        <v>195</v>
      </c>
      <c r="F32" s="359">
        <v>2</v>
      </c>
      <c r="G32" s="359">
        <v>1000000</v>
      </c>
      <c r="H32" s="284">
        <f t="shared" si="0"/>
        <v>2000000</v>
      </c>
      <c r="I32" s="49"/>
    </row>
    <row r="33" spans="1:9" ht="15.9" customHeight="1" x14ac:dyDescent="0.4">
      <c r="A33" s="417"/>
      <c r="B33" s="349"/>
      <c r="C33" s="356" t="s">
        <v>324</v>
      </c>
      <c r="D33" s="356" t="s">
        <v>325</v>
      </c>
      <c r="E33" s="357" t="s">
        <v>195</v>
      </c>
      <c r="F33" s="359">
        <v>2</v>
      </c>
      <c r="G33" s="359">
        <v>2500000</v>
      </c>
      <c r="H33" s="284">
        <f t="shared" si="0"/>
        <v>5000000</v>
      </c>
      <c r="I33" s="49"/>
    </row>
    <row r="34" spans="1:9" ht="15.9" customHeight="1" x14ac:dyDescent="0.4">
      <c r="A34" s="417"/>
      <c r="B34" s="349"/>
      <c r="C34" s="356"/>
      <c r="D34" s="356" t="s">
        <v>326</v>
      </c>
      <c r="E34" s="357" t="s">
        <v>195</v>
      </c>
      <c r="F34" s="359">
        <v>2</v>
      </c>
      <c r="G34" s="359">
        <v>3000000</v>
      </c>
      <c r="H34" s="284">
        <f t="shared" si="0"/>
        <v>6000000</v>
      </c>
      <c r="I34" s="49"/>
    </row>
    <row r="35" spans="1:9" ht="15.9" customHeight="1" x14ac:dyDescent="0.4">
      <c r="A35" s="417"/>
      <c r="B35" s="349"/>
      <c r="C35" s="356"/>
      <c r="D35" s="356" t="s">
        <v>327</v>
      </c>
      <c r="E35" s="357" t="s">
        <v>195</v>
      </c>
      <c r="F35" s="359">
        <v>2</v>
      </c>
      <c r="G35" s="359">
        <v>600000</v>
      </c>
      <c r="H35" s="284">
        <f t="shared" si="0"/>
        <v>1200000</v>
      </c>
      <c r="I35" s="49"/>
    </row>
    <row r="36" spans="1:9" ht="15.9" customHeight="1" x14ac:dyDescent="0.4">
      <c r="A36" s="417"/>
      <c r="B36" s="349"/>
      <c r="C36" s="356"/>
      <c r="D36" s="356" t="s">
        <v>322</v>
      </c>
      <c r="E36" s="357" t="s">
        <v>195</v>
      </c>
      <c r="F36" s="359">
        <v>2</v>
      </c>
      <c r="G36" s="359">
        <v>1800000</v>
      </c>
      <c r="H36" s="284">
        <f t="shared" si="0"/>
        <v>3600000</v>
      </c>
      <c r="I36" s="49"/>
    </row>
    <row r="37" spans="1:9" ht="15.9" customHeight="1" x14ac:dyDescent="0.4">
      <c r="A37" s="417"/>
      <c r="B37" s="349"/>
      <c r="C37" s="356" t="s">
        <v>328</v>
      </c>
      <c r="D37" s="356" t="s">
        <v>326</v>
      </c>
      <c r="E37" s="357" t="s">
        <v>195</v>
      </c>
      <c r="F37" s="359">
        <v>2</v>
      </c>
      <c r="G37" s="359">
        <v>3000000</v>
      </c>
      <c r="H37" s="284">
        <f t="shared" si="0"/>
        <v>6000000</v>
      </c>
      <c r="I37" s="49"/>
    </row>
    <row r="38" spans="1:9" ht="15.9" customHeight="1" x14ac:dyDescent="0.4">
      <c r="A38" s="417"/>
      <c r="B38" s="349"/>
      <c r="C38" s="356"/>
      <c r="D38" s="356" t="s">
        <v>327</v>
      </c>
      <c r="E38" s="357" t="s">
        <v>195</v>
      </c>
      <c r="F38" s="359">
        <v>2</v>
      </c>
      <c r="G38" s="359">
        <v>600000</v>
      </c>
      <c r="H38" s="284">
        <f t="shared" si="0"/>
        <v>1200000</v>
      </c>
      <c r="I38" s="49"/>
    </row>
    <row r="39" spans="1:9" ht="15.9" customHeight="1" x14ac:dyDescent="0.4">
      <c r="A39" s="417"/>
      <c r="B39" s="349"/>
      <c r="C39" s="356"/>
      <c r="D39" s="356" t="s">
        <v>322</v>
      </c>
      <c r="E39" s="357" t="s">
        <v>195</v>
      </c>
      <c r="F39" s="359">
        <v>2</v>
      </c>
      <c r="G39" s="359">
        <v>200000</v>
      </c>
      <c r="H39" s="284">
        <f t="shared" si="0"/>
        <v>400000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359"/>
      <c r="G40" s="359"/>
      <c r="H40" s="284">
        <f t="shared" si="0"/>
        <v>0</v>
      </c>
      <c r="I40" s="49"/>
    </row>
    <row r="41" spans="1:9" ht="15.9" customHeight="1" x14ac:dyDescent="0.4">
      <c r="A41" s="417"/>
      <c r="B41" s="349"/>
      <c r="C41" s="356" t="s">
        <v>175</v>
      </c>
      <c r="D41" s="356"/>
      <c r="E41" s="357" t="s">
        <v>59</v>
      </c>
      <c r="F41" s="359">
        <v>1</v>
      </c>
      <c r="G41" s="359">
        <v>600000</v>
      </c>
      <c r="H41" s="284">
        <f t="shared" si="0"/>
        <v>600000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0"/>
        <v>0</v>
      </c>
      <c r="I42" s="49"/>
    </row>
    <row r="43" spans="1:9" ht="15.9" customHeight="1" x14ac:dyDescent="0.4">
      <c r="A43" s="417"/>
      <c r="B43" s="349"/>
      <c r="C43" s="418" t="s">
        <v>192</v>
      </c>
      <c r="D43" s="418"/>
      <c r="E43" s="419"/>
      <c r="F43" s="420"/>
      <c r="G43" s="420"/>
      <c r="H43" s="284">
        <f t="shared" si="0"/>
        <v>0</v>
      </c>
      <c r="I43" s="49"/>
    </row>
    <row r="44" spans="1:9" ht="15.9" customHeight="1" x14ac:dyDescent="0.4">
      <c r="A44" s="417"/>
      <c r="B44" s="349"/>
      <c r="C44" s="356" t="s">
        <v>193</v>
      </c>
      <c r="D44" s="356" t="s">
        <v>194</v>
      </c>
      <c r="E44" s="357" t="s">
        <v>195</v>
      </c>
      <c r="F44" s="423">
        <v>1</v>
      </c>
      <c r="G44" s="359">
        <v>350000</v>
      </c>
      <c r="H44" s="284">
        <f t="shared" si="0"/>
        <v>350000</v>
      </c>
      <c r="I44" s="49"/>
    </row>
    <row r="45" spans="1:9" ht="15.9" customHeight="1" x14ac:dyDescent="0.4">
      <c r="A45" s="417"/>
      <c r="B45" s="349"/>
      <c r="C45" s="356" t="s">
        <v>196</v>
      </c>
      <c r="D45" s="356" t="s">
        <v>197</v>
      </c>
      <c r="E45" s="357" t="s">
        <v>195</v>
      </c>
      <c r="F45" s="423">
        <v>10</v>
      </c>
      <c r="G45" s="359">
        <v>75000</v>
      </c>
      <c r="H45" s="284">
        <f t="shared" si="0"/>
        <v>750000</v>
      </c>
      <c r="I45" s="49"/>
    </row>
    <row r="46" spans="1:9" ht="15.9" customHeight="1" x14ac:dyDescent="0.4">
      <c r="A46" s="417"/>
      <c r="B46" s="349"/>
      <c r="C46" s="356" t="s">
        <v>198</v>
      </c>
      <c r="D46" s="356" t="s">
        <v>199</v>
      </c>
      <c r="E46" s="357" t="s">
        <v>195</v>
      </c>
      <c r="F46" s="423">
        <v>1</v>
      </c>
      <c r="G46" s="359">
        <v>850000</v>
      </c>
      <c r="H46" s="284">
        <f t="shared" si="0"/>
        <v>850000</v>
      </c>
      <c r="I46" s="49"/>
    </row>
    <row r="47" spans="1:9" ht="15.9" customHeight="1" x14ac:dyDescent="0.4">
      <c r="A47" s="417"/>
      <c r="B47" s="349"/>
      <c r="C47" s="356" t="s">
        <v>200</v>
      </c>
      <c r="D47" s="356"/>
      <c r="E47" s="357" t="s">
        <v>195</v>
      </c>
      <c r="F47" s="423">
        <v>10</v>
      </c>
      <c r="G47" s="359">
        <v>7000</v>
      </c>
      <c r="H47" s="284">
        <f t="shared" si="0"/>
        <v>70000</v>
      </c>
      <c r="I47" s="49"/>
    </row>
    <row r="48" spans="1:9" ht="15.9" customHeight="1" x14ac:dyDescent="0.4">
      <c r="A48" s="417"/>
      <c r="B48" s="349"/>
      <c r="C48" s="356" t="s">
        <v>201</v>
      </c>
      <c r="D48" s="356"/>
      <c r="E48" s="357" t="s">
        <v>195</v>
      </c>
      <c r="F48" s="423">
        <v>1</v>
      </c>
      <c r="G48" s="359">
        <v>100000</v>
      </c>
      <c r="H48" s="284">
        <f t="shared" si="0"/>
        <v>100000</v>
      </c>
      <c r="I48" s="49"/>
    </row>
    <row r="49" spans="1:9" ht="15.9" customHeight="1" x14ac:dyDescent="0.4">
      <c r="A49" s="417"/>
      <c r="B49" s="349"/>
      <c r="C49" s="418" t="s">
        <v>202</v>
      </c>
      <c r="D49" s="418"/>
      <c r="E49" s="419" t="s">
        <v>59</v>
      </c>
      <c r="F49" s="420">
        <v>1</v>
      </c>
      <c r="G49" s="420">
        <v>100000</v>
      </c>
      <c r="H49" s="284">
        <f t="shared" si="0"/>
        <v>100000</v>
      </c>
      <c r="I49" s="49"/>
    </row>
    <row r="50" spans="1:9" ht="15.9" customHeight="1" x14ac:dyDescent="0.4">
      <c r="A50" s="417"/>
      <c r="B50" s="349"/>
      <c r="C50" s="377"/>
      <c r="D50" s="377"/>
      <c r="E50" s="357"/>
      <c r="F50" s="379"/>
      <c r="G50" s="379"/>
      <c r="H50" s="284">
        <f t="shared" si="0"/>
        <v>0</v>
      </c>
      <c r="I50" s="49"/>
    </row>
    <row r="51" spans="1:9" ht="15.9" customHeight="1" x14ac:dyDescent="0.4">
      <c r="A51" s="417"/>
      <c r="B51" s="349"/>
      <c r="C51" s="418"/>
      <c r="D51" s="418"/>
      <c r="E51" s="419"/>
      <c r="F51" s="420"/>
      <c r="G51" s="420"/>
      <c r="H51" s="284">
        <f>IF(F51=0,G51,G51*F51)</f>
        <v>0</v>
      </c>
      <c r="I51" s="49"/>
    </row>
    <row r="52" spans="1:9" ht="15.9" customHeight="1" x14ac:dyDescent="0.4">
      <c r="A52" s="417"/>
      <c r="B52" s="349"/>
      <c r="C52" s="356"/>
      <c r="D52" s="356"/>
      <c r="E52" s="357"/>
      <c r="F52" s="359"/>
      <c r="G52" s="359"/>
      <c r="H52" s="284">
        <f t="shared" si="0"/>
        <v>0</v>
      </c>
      <c r="I52" s="49"/>
    </row>
    <row r="53" spans="1:9" ht="15.9" customHeight="1" x14ac:dyDescent="0.4">
      <c r="A53" s="417"/>
      <c r="B53" s="349"/>
      <c r="C53" s="360" t="s">
        <v>248</v>
      </c>
      <c r="D53" s="360"/>
      <c r="E53" s="361" t="s">
        <v>195</v>
      </c>
      <c r="F53" s="363">
        <v>1</v>
      </c>
      <c r="G53" s="363">
        <v>500000</v>
      </c>
      <c r="H53" s="284"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SUM(H24:H53)</f>
        <v>49720000</v>
      </c>
      <c r="I54" s="72"/>
    </row>
    <row r="55" spans="1:9" ht="15.9" customHeight="1" x14ac:dyDescent="0.4">
      <c r="A55" s="417"/>
      <c r="B55" s="386" t="s">
        <v>61</v>
      </c>
      <c r="C55" s="370"/>
      <c r="D55" s="370"/>
      <c r="E55" s="371"/>
      <c r="F55" s="373"/>
      <c r="G55" s="373"/>
      <c r="H55" s="374">
        <f t="shared" si="0"/>
        <v>0</v>
      </c>
      <c r="I55" s="375"/>
    </row>
    <row r="56" spans="1:9" ht="15.9" customHeight="1" x14ac:dyDescent="0.4">
      <c r="A56" s="417"/>
      <c r="B56" s="349"/>
      <c r="C56" s="356"/>
      <c r="D56" s="356"/>
      <c r="E56" s="356"/>
      <c r="F56" s="359"/>
      <c r="G56" s="359"/>
      <c r="H56" s="284">
        <f t="shared" si="0"/>
        <v>0</v>
      </c>
      <c r="I56" s="49"/>
    </row>
    <row r="57" spans="1:9" ht="15.9" customHeight="1" x14ac:dyDescent="0.4">
      <c r="A57" s="417"/>
      <c r="B57" s="349"/>
      <c r="C57" s="356"/>
      <c r="D57" s="356"/>
      <c r="E57" s="356"/>
      <c r="F57" s="359"/>
      <c r="G57" s="359"/>
      <c r="H57" s="284">
        <f t="shared" si="0"/>
        <v>0</v>
      </c>
      <c r="I57" s="49"/>
    </row>
    <row r="58" spans="1:9" ht="15.9" customHeight="1" x14ac:dyDescent="0.4">
      <c r="A58" s="417"/>
      <c r="B58" s="349"/>
      <c r="C58" s="356"/>
      <c r="D58" s="356"/>
      <c r="E58" s="356"/>
      <c r="F58" s="359"/>
      <c r="G58" s="359"/>
      <c r="H58" s="284">
        <f t="shared" si="0"/>
        <v>0</v>
      </c>
      <c r="I58" s="49"/>
    </row>
    <row r="59" spans="1:9" ht="15.9" customHeight="1" x14ac:dyDescent="0.4">
      <c r="A59" s="417"/>
      <c r="B59" s="349"/>
      <c r="C59" s="356"/>
      <c r="D59" s="356"/>
      <c r="E59" s="356"/>
      <c r="F59" s="359"/>
      <c r="G59" s="359"/>
      <c r="H59" s="284">
        <f t="shared" si="0"/>
        <v>0</v>
      </c>
      <c r="I59" s="49"/>
    </row>
    <row r="60" spans="1:9" ht="15.9" customHeight="1" x14ac:dyDescent="0.4">
      <c r="A60" s="417"/>
      <c r="B60" s="349"/>
      <c r="C60" s="356"/>
      <c r="D60" s="356"/>
      <c r="E60" s="356"/>
      <c r="F60" s="359"/>
      <c r="G60" s="359"/>
      <c r="H60" s="284">
        <f t="shared" si="0"/>
        <v>0</v>
      </c>
      <c r="I60" s="49"/>
    </row>
    <row r="61" spans="1:9" ht="15.9" customHeight="1" x14ac:dyDescent="0.4">
      <c r="A61" s="417"/>
      <c r="B61" s="349"/>
      <c r="C61" s="360" t="s">
        <v>203</v>
      </c>
      <c r="D61" s="360"/>
      <c r="E61" s="360"/>
      <c r="F61" s="363"/>
      <c r="G61" s="363"/>
      <c r="H61" s="314">
        <f t="shared" si="0"/>
        <v>0</v>
      </c>
      <c r="I61" s="64"/>
    </row>
    <row r="62" spans="1:9" ht="15.9" customHeight="1" x14ac:dyDescent="0.4">
      <c r="A62" s="417"/>
      <c r="B62" s="364"/>
      <c r="C62" s="365"/>
      <c r="D62" s="366"/>
      <c r="E62" s="366"/>
      <c r="F62" s="368"/>
      <c r="G62" s="368"/>
      <c r="H62" s="77">
        <f>SUM(H55:H61)</f>
        <v>0</v>
      </c>
      <c r="I62" s="72"/>
    </row>
    <row r="63" spans="1:9" ht="15.9" customHeight="1" x14ac:dyDescent="0.4">
      <c r="A63" s="392"/>
      <c r="B63" s="393" t="s">
        <v>149</v>
      </c>
      <c r="C63" s="394"/>
      <c r="D63" s="72"/>
      <c r="E63" s="72"/>
      <c r="F63" s="396"/>
      <c r="G63" s="396"/>
      <c r="H63" s="77">
        <f>SUM(H62,H54,H23,H17)</f>
        <v>85120000</v>
      </c>
      <c r="I63" s="72"/>
    </row>
    <row r="64" spans="1:9" ht="15.9" customHeight="1" x14ac:dyDescent="0.4">
      <c r="A64" s="348" t="s">
        <v>150</v>
      </c>
      <c r="B64" s="398" t="s">
        <v>67</v>
      </c>
      <c r="C64" s="394"/>
      <c r="D64" s="72"/>
      <c r="E64" s="398" t="s">
        <v>68</v>
      </c>
      <c r="F64" s="424">
        <v>0</v>
      </c>
      <c r="G64" s="413">
        <v>250000</v>
      </c>
      <c r="H64" s="402">
        <f>F64*G64</f>
        <v>0</v>
      </c>
      <c r="I64" s="72"/>
    </row>
    <row r="65" spans="1:9" ht="15.9" customHeight="1" x14ac:dyDescent="0.4">
      <c r="A65" s="417"/>
      <c r="B65" s="404" t="s">
        <v>204</v>
      </c>
      <c r="C65" s="405"/>
      <c r="D65" s="375"/>
      <c r="E65" s="404" t="s">
        <v>152</v>
      </c>
      <c r="F65" s="425">
        <v>25</v>
      </c>
      <c r="G65" s="437">
        <v>300000</v>
      </c>
      <c r="H65" s="374">
        <f t="shared" ref="H65:H71" si="2">F65*G65</f>
        <v>7500000</v>
      </c>
      <c r="I65" s="375"/>
    </row>
    <row r="66" spans="1:9" ht="15.9" customHeight="1" x14ac:dyDescent="0.4">
      <c r="A66" s="417"/>
      <c r="B66" s="406" t="s">
        <v>205</v>
      </c>
      <c r="C66" s="407"/>
      <c r="D66" s="49"/>
      <c r="E66" s="406" t="s">
        <v>152</v>
      </c>
      <c r="F66" s="426">
        <v>2</v>
      </c>
      <c r="G66" s="420">
        <v>250000</v>
      </c>
      <c r="H66" s="284">
        <f t="shared" si="2"/>
        <v>500000</v>
      </c>
      <c r="I66" s="49"/>
    </row>
    <row r="67" spans="1:9" ht="15.9" customHeight="1" x14ac:dyDescent="0.4">
      <c r="A67" s="417"/>
      <c r="B67" s="406" t="s">
        <v>206</v>
      </c>
      <c r="C67" s="407"/>
      <c r="D67" s="49"/>
      <c r="E67" s="406" t="s">
        <v>152</v>
      </c>
      <c r="F67" s="426">
        <v>25</v>
      </c>
      <c r="G67" s="420">
        <v>250000</v>
      </c>
      <c r="H67" s="284">
        <f t="shared" si="2"/>
        <v>6250000</v>
      </c>
      <c r="I67" s="49"/>
    </row>
    <row r="68" spans="1:9" ht="15.9" customHeight="1" x14ac:dyDescent="0.4">
      <c r="A68" s="417"/>
      <c r="B68" s="406" t="s">
        <v>207</v>
      </c>
      <c r="C68" s="407"/>
      <c r="D68" s="49"/>
      <c r="E68" s="406" t="s">
        <v>152</v>
      </c>
      <c r="F68" s="426">
        <v>10</v>
      </c>
      <c r="G68" s="359">
        <v>300000</v>
      </c>
      <c r="H68" s="284">
        <f t="shared" si="2"/>
        <v>3000000</v>
      </c>
      <c r="I68" s="49"/>
    </row>
    <row r="69" spans="1:9" ht="15.9" customHeight="1" x14ac:dyDescent="0.4">
      <c r="A69" s="417"/>
      <c r="B69" s="406" t="s">
        <v>208</v>
      </c>
      <c r="C69" s="407"/>
      <c r="D69" s="49"/>
      <c r="E69" s="406" t="s">
        <v>152</v>
      </c>
      <c r="F69" s="426">
        <v>4</v>
      </c>
      <c r="G69" s="359">
        <v>300000</v>
      </c>
      <c r="H69" s="284">
        <f t="shared" si="2"/>
        <v>1200000</v>
      </c>
      <c r="I69" s="49"/>
    </row>
    <row r="70" spans="1:9" ht="15.9" customHeight="1" x14ac:dyDescent="0.4">
      <c r="A70" s="417"/>
      <c r="B70" s="406" t="s">
        <v>209</v>
      </c>
      <c r="C70" s="407"/>
      <c r="D70" s="49"/>
      <c r="E70" s="406" t="s">
        <v>152</v>
      </c>
      <c r="F70" s="426">
        <v>1</v>
      </c>
      <c r="G70" s="359">
        <v>300000</v>
      </c>
      <c r="H70" s="284">
        <f t="shared" si="2"/>
        <v>300000</v>
      </c>
      <c r="I70" s="49"/>
    </row>
    <row r="71" spans="1:9" ht="15.9" customHeight="1" x14ac:dyDescent="0.4">
      <c r="A71" s="417"/>
      <c r="B71" s="408" t="s">
        <v>210</v>
      </c>
      <c r="C71" s="409"/>
      <c r="D71" s="64"/>
      <c r="E71" s="408" t="s">
        <v>152</v>
      </c>
      <c r="F71" s="427">
        <v>2</v>
      </c>
      <c r="G71" s="438">
        <v>250000</v>
      </c>
      <c r="H71" s="314">
        <f t="shared" si="2"/>
        <v>500000</v>
      </c>
      <c r="I71" s="64"/>
    </row>
    <row r="72" spans="1:9" ht="15.9" customHeight="1" x14ac:dyDescent="0.4">
      <c r="A72" s="392"/>
      <c r="B72" s="410" t="s">
        <v>158</v>
      </c>
      <c r="C72" s="394"/>
      <c r="D72" s="72"/>
      <c r="E72" s="72"/>
      <c r="F72" s="368"/>
      <c r="G72" s="368"/>
      <c r="H72" s="368">
        <f>SUM(H64:H71)</f>
        <v>19250000</v>
      </c>
      <c r="I72" s="366"/>
    </row>
    <row r="73" spans="1:9" ht="15.9" customHeight="1" x14ac:dyDescent="0.4">
      <c r="A73" s="399"/>
      <c r="B73" s="410" t="s">
        <v>211</v>
      </c>
      <c r="C73" s="394"/>
      <c r="D73" s="72"/>
      <c r="E73" s="72"/>
      <c r="F73" s="77"/>
      <c r="G73" s="77"/>
      <c r="H73" s="396">
        <f>'단위공사별(집계)'!L15+'단위공사별(집계)'!I15</f>
        <v>498736.15871341946</v>
      </c>
      <c r="I73" s="72"/>
    </row>
    <row r="74" spans="1:9" ht="15.9" customHeight="1" x14ac:dyDescent="0.4">
      <c r="A74" s="399"/>
      <c r="B74" s="410" t="s">
        <v>93</v>
      </c>
      <c r="C74" s="394"/>
      <c r="D74" s="72"/>
      <c r="E74" s="72"/>
      <c r="F74" s="77"/>
      <c r="G74" s="412"/>
      <c r="H74" s="413">
        <v>0</v>
      </c>
      <c r="I74" s="394"/>
    </row>
    <row r="75" spans="1:9" ht="15.9" customHeight="1" x14ac:dyDescent="0.4">
      <c r="A75" s="399"/>
      <c r="B75" s="410" t="s">
        <v>161</v>
      </c>
      <c r="C75" s="394"/>
      <c r="D75" s="72"/>
      <c r="E75" s="72"/>
      <c r="F75" s="77"/>
      <c r="G75" s="412"/>
      <c r="H75" s="413">
        <v>0</v>
      </c>
      <c r="I75" s="394"/>
    </row>
    <row r="76" spans="1:9" ht="15.9" customHeight="1" x14ac:dyDescent="0.4">
      <c r="A76" s="399"/>
      <c r="B76" s="410" t="s">
        <v>162</v>
      </c>
      <c r="C76" s="394"/>
      <c r="D76" s="72"/>
      <c r="E76" s="72"/>
      <c r="F76" s="77"/>
      <c r="G76" s="77"/>
      <c r="H76" s="368">
        <f>H63+H72+H73+H74+H75</f>
        <v>104868736.15871342</v>
      </c>
      <c r="I76" s="72"/>
    </row>
    <row r="77" spans="1:9" x14ac:dyDescent="0.4">
      <c r="A77" s="30"/>
    </row>
  </sheetData>
  <mergeCells count="3">
    <mergeCell ref="A2:B2"/>
    <mergeCell ref="A3:A62"/>
    <mergeCell ref="A64:A71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67CC-DA79-4084-9B86-D8C5C3C85987}">
  <sheetPr>
    <tabColor rgb="FF00B050"/>
    <pageSetUpPr fitToPage="1"/>
  </sheetPr>
  <dimension ref="A1:I68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329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374">
        <f>IF(F3=0,G3,G3*F3)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>IF(F4=0,G4,G4*F4)</f>
        <v>0</v>
      </c>
      <c r="I4" s="49"/>
    </row>
    <row r="5" spans="1:9" ht="15.9" customHeight="1" x14ac:dyDescent="0.4">
      <c r="A5" s="417"/>
      <c r="B5" s="349"/>
      <c r="C5" s="356" t="s">
        <v>330</v>
      </c>
      <c r="D5" s="356"/>
      <c r="E5" s="357"/>
      <c r="F5" s="359"/>
      <c r="G5" s="359"/>
      <c r="H5" s="284">
        <f t="shared" ref="H5:H52" si="0">IF(F5=0,G5,G5*F5)</f>
        <v>0</v>
      </c>
      <c r="I5" s="49"/>
    </row>
    <row r="6" spans="1:9" ht="15.9" customHeight="1" x14ac:dyDescent="0.4">
      <c r="A6" s="417"/>
      <c r="B6" s="349"/>
      <c r="C6" s="356" t="s">
        <v>331</v>
      </c>
      <c r="D6" s="356"/>
      <c r="E6" s="357" t="s">
        <v>332</v>
      </c>
      <c r="F6" s="359">
        <v>30</v>
      </c>
      <c r="G6" s="359">
        <v>150000</v>
      </c>
      <c r="H6" s="284">
        <f t="shared" si="0"/>
        <v>4500000</v>
      </c>
      <c r="I6" s="49"/>
    </row>
    <row r="7" spans="1:9" ht="15.9" customHeight="1" x14ac:dyDescent="0.4">
      <c r="A7" s="417"/>
      <c r="B7" s="349"/>
      <c r="C7" s="356" t="s">
        <v>333</v>
      </c>
      <c r="D7" s="356"/>
      <c r="E7" s="357" t="s">
        <v>59</v>
      </c>
      <c r="F7" s="359">
        <v>1</v>
      </c>
      <c r="G7" s="359">
        <v>1500000</v>
      </c>
      <c r="H7" s="284">
        <f t="shared" si="0"/>
        <v>1500000</v>
      </c>
      <c r="I7" s="49"/>
    </row>
    <row r="8" spans="1:9" ht="15.9" customHeight="1" x14ac:dyDescent="0.4">
      <c r="A8" s="417"/>
      <c r="B8" s="349"/>
      <c r="C8" s="356" t="s">
        <v>334</v>
      </c>
      <c r="D8" s="356"/>
      <c r="E8" s="357" t="s">
        <v>332</v>
      </c>
      <c r="F8" s="359">
        <v>30</v>
      </c>
      <c r="G8" s="359">
        <v>120000</v>
      </c>
      <c r="H8" s="284">
        <f t="shared" si="0"/>
        <v>3600000</v>
      </c>
      <c r="I8" s="49"/>
    </row>
    <row r="9" spans="1:9" ht="15.9" customHeight="1" x14ac:dyDescent="0.4">
      <c r="A9" s="417"/>
      <c r="B9" s="349"/>
      <c r="C9" s="356" t="s">
        <v>335</v>
      </c>
      <c r="D9" s="356"/>
      <c r="E9" s="357" t="s">
        <v>59</v>
      </c>
      <c r="F9" s="359">
        <v>1</v>
      </c>
      <c r="G9" s="359">
        <v>800000</v>
      </c>
      <c r="H9" s="284">
        <f t="shared" si="0"/>
        <v>800000</v>
      </c>
      <c r="I9" s="49"/>
    </row>
    <row r="10" spans="1:9" ht="15.9" customHeight="1" x14ac:dyDescent="0.4">
      <c r="A10" s="417"/>
      <c r="B10" s="349"/>
      <c r="C10" s="356" t="s">
        <v>336</v>
      </c>
      <c r="D10" s="356"/>
      <c r="E10" s="357" t="s">
        <v>59</v>
      </c>
      <c r="F10" s="359">
        <v>1</v>
      </c>
      <c r="G10" s="359">
        <v>400000</v>
      </c>
      <c r="H10" s="284">
        <f>IF(F10=0,G10,G10*F10)</f>
        <v>400000</v>
      </c>
      <c r="I10" s="49"/>
    </row>
    <row r="11" spans="1:9" ht="15.9" customHeight="1" x14ac:dyDescent="0.4">
      <c r="A11" s="417"/>
      <c r="B11" s="349"/>
      <c r="C11" s="418"/>
      <c r="D11" s="418"/>
      <c r="E11" s="419"/>
      <c r="F11" s="420"/>
      <c r="G11" s="420"/>
      <c r="H11" s="284">
        <f t="shared" ref="H11:H15" si="1">IF(F11=0,G11,G11*F11)</f>
        <v>0</v>
      </c>
      <c r="I11" s="49"/>
    </row>
    <row r="12" spans="1:9" ht="15.9" customHeight="1" x14ac:dyDescent="0.4">
      <c r="A12" s="417"/>
      <c r="B12" s="349"/>
      <c r="C12" s="418"/>
      <c r="D12" s="418"/>
      <c r="E12" s="419"/>
      <c r="F12" s="420"/>
      <c r="G12" s="420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7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7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60" t="s">
        <v>203</v>
      </c>
      <c r="D16" s="377"/>
      <c r="E16" s="357" t="s">
        <v>59</v>
      </c>
      <c r="F16" s="359">
        <v>1</v>
      </c>
      <c r="G16" s="379">
        <v>1000000</v>
      </c>
      <c r="H16" s="294">
        <v>0</v>
      </c>
      <c r="I16" s="57"/>
    </row>
    <row r="17" spans="1:9" ht="15.9" customHeight="1" x14ac:dyDescent="0.4">
      <c r="A17" s="417"/>
      <c r="B17" s="364"/>
      <c r="C17" s="381"/>
      <c r="D17" s="381"/>
      <c r="E17" s="381"/>
      <c r="F17" s="384"/>
      <c r="G17" s="384"/>
      <c r="H17" s="385">
        <f>SUM(H3:H16)</f>
        <v>10800000</v>
      </c>
      <c r="I17" s="381"/>
    </row>
    <row r="18" spans="1:9" ht="15.9" customHeight="1" x14ac:dyDescent="0.4">
      <c r="A18" s="417"/>
      <c r="B18" s="349" t="s">
        <v>177</v>
      </c>
      <c r="C18" s="350"/>
      <c r="D18" s="350"/>
      <c r="E18" s="350"/>
      <c r="F18" s="353"/>
      <c r="G18" s="353"/>
      <c r="H18" s="304">
        <f t="shared" si="0"/>
        <v>0</v>
      </c>
      <c r="I18" s="354"/>
    </row>
    <row r="19" spans="1:9" ht="15.9" customHeight="1" x14ac:dyDescent="0.4">
      <c r="A19" s="417"/>
      <c r="B19" s="349" t="s">
        <v>178</v>
      </c>
      <c r="C19" s="356"/>
      <c r="D19" s="356"/>
      <c r="E19" s="356"/>
      <c r="F19" s="359"/>
      <c r="G19" s="359"/>
      <c r="H19" s="284">
        <f t="shared" si="0"/>
        <v>0</v>
      </c>
      <c r="I19" s="49"/>
    </row>
    <row r="20" spans="1:9" ht="15.9" customHeight="1" x14ac:dyDescent="0.4">
      <c r="A20" s="417"/>
      <c r="B20" s="349"/>
      <c r="C20" s="356"/>
      <c r="D20" s="356"/>
      <c r="E20" s="356"/>
      <c r="F20" s="359"/>
      <c r="G20" s="359"/>
      <c r="H20" s="284">
        <f t="shared" si="0"/>
        <v>0</v>
      </c>
      <c r="I20" s="49"/>
    </row>
    <row r="21" spans="1:9" ht="15.9" customHeight="1" x14ac:dyDescent="0.4">
      <c r="A21" s="417"/>
      <c r="B21" s="349"/>
      <c r="C21" s="356"/>
      <c r="D21" s="356"/>
      <c r="E21" s="356"/>
      <c r="F21" s="359"/>
      <c r="G21" s="359"/>
      <c r="H21" s="284">
        <f t="shared" si="0"/>
        <v>0</v>
      </c>
      <c r="I21" s="49"/>
    </row>
    <row r="22" spans="1:9" ht="15.9" customHeight="1" x14ac:dyDescent="0.4">
      <c r="A22" s="417"/>
      <c r="B22" s="349"/>
      <c r="C22" s="360" t="s">
        <v>203</v>
      </c>
      <c r="D22" s="360"/>
      <c r="E22" s="360"/>
      <c r="F22" s="363"/>
      <c r="G22" s="363"/>
      <c r="H22" s="284">
        <f t="shared" si="0"/>
        <v>0</v>
      </c>
      <c r="I22" s="64"/>
    </row>
    <row r="23" spans="1:9" ht="15.9" customHeight="1" x14ac:dyDescent="0.4">
      <c r="A23" s="417"/>
      <c r="B23" s="364"/>
      <c r="C23" s="365"/>
      <c r="D23" s="366"/>
      <c r="E23" s="366"/>
      <c r="F23" s="422"/>
      <c r="G23" s="368"/>
      <c r="H23" s="77">
        <f>SUM(H18:H22)</f>
        <v>0</v>
      </c>
      <c r="I23" s="72"/>
    </row>
    <row r="24" spans="1:9" ht="15.9" customHeight="1" x14ac:dyDescent="0.4">
      <c r="A24" s="417"/>
      <c r="B24" s="386" t="s">
        <v>179</v>
      </c>
      <c r="C24" s="356"/>
      <c r="D24" s="356"/>
      <c r="E24" s="357"/>
      <c r="F24" s="359"/>
      <c r="G24" s="359"/>
      <c r="H24" s="374">
        <f t="shared" si="0"/>
        <v>0</v>
      </c>
      <c r="I24" s="375"/>
    </row>
    <row r="25" spans="1:9" ht="15.9" customHeight="1" x14ac:dyDescent="0.4">
      <c r="A25" s="417"/>
      <c r="B25" s="349" t="s">
        <v>181</v>
      </c>
      <c r="C25" s="356"/>
      <c r="D25" s="356"/>
      <c r="E25" s="357"/>
      <c r="F25" s="359"/>
      <c r="G25" s="359"/>
      <c r="H25" s="284">
        <f t="shared" si="0"/>
        <v>0</v>
      </c>
      <c r="I25" s="49"/>
    </row>
    <row r="26" spans="1:9" ht="15.9" customHeight="1" x14ac:dyDescent="0.4">
      <c r="A26" s="417"/>
      <c r="B26" s="349"/>
      <c r="C26" s="356"/>
      <c r="D26" s="356"/>
      <c r="E26" s="357"/>
      <c r="F26" s="359"/>
      <c r="G26" s="359"/>
      <c r="H26" s="284">
        <f t="shared" si="0"/>
        <v>0</v>
      </c>
      <c r="I26" s="49"/>
    </row>
    <row r="27" spans="1:9" ht="15.9" customHeight="1" x14ac:dyDescent="0.4">
      <c r="A27" s="417"/>
      <c r="B27" s="349"/>
      <c r="C27" s="356"/>
      <c r="D27" s="356"/>
      <c r="E27" s="357"/>
      <c r="F27" s="359"/>
      <c r="G27" s="359"/>
      <c r="H27" s="284">
        <f t="shared" si="0"/>
        <v>0</v>
      </c>
      <c r="I27" s="49"/>
    </row>
    <row r="28" spans="1:9" ht="15.9" customHeight="1" x14ac:dyDescent="0.4">
      <c r="A28" s="417"/>
      <c r="B28" s="349"/>
      <c r="C28" s="418" t="s">
        <v>192</v>
      </c>
      <c r="D28" s="418"/>
      <c r="E28" s="419"/>
      <c r="F28" s="420"/>
      <c r="G28" s="420"/>
      <c r="H28" s="284">
        <f t="shared" si="0"/>
        <v>0</v>
      </c>
      <c r="I28" s="49"/>
    </row>
    <row r="29" spans="1:9" ht="15.9" customHeight="1" x14ac:dyDescent="0.4">
      <c r="A29" s="417"/>
      <c r="B29" s="349"/>
      <c r="C29" s="356" t="s">
        <v>193</v>
      </c>
      <c r="D29" s="356" t="s">
        <v>194</v>
      </c>
      <c r="E29" s="357" t="s">
        <v>195</v>
      </c>
      <c r="F29" s="423">
        <v>2</v>
      </c>
      <c r="G29" s="359">
        <v>350000</v>
      </c>
      <c r="H29" s="284">
        <f t="shared" si="0"/>
        <v>700000</v>
      </c>
      <c r="I29" s="49"/>
    </row>
    <row r="30" spans="1:9" ht="15.9" customHeight="1" x14ac:dyDescent="0.4">
      <c r="A30" s="417"/>
      <c r="B30" s="349"/>
      <c r="C30" s="356" t="s">
        <v>196</v>
      </c>
      <c r="D30" s="356" t="s">
        <v>197</v>
      </c>
      <c r="E30" s="357" t="s">
        <v>195</v>
      </c>
      <c r="F30" s="423">
        <v>30</v>
      </c>
      <c r="G30" s="359">
        <v>75000</v>
      </c>
      <c r="H30" s="284">
        <f t="shared" si="0"/>
        <v>2250000</v>
      </c>
      <c r="I30" s="49"/>
    </row>
    <row r="31" spans="1:9" ht="15.9" customHeight="1" x14ac:dyDescent="0.4">
      <c r="A31" s="417"/>
      <c r="B31" s="349"/>
      <c r="C31" s="356" t="s">
        <v>198</v>
      </c>
      <c r="D31" s="356" t="s">
        <v>199</v>
      </c>
      <c r="E31" s="357" t="s">
        <v>195</v>
      </c>
      <c r="F31" s="423">
        <v>3</v>
      </c>
      <c r="G31" s="359">
        <v>850000</v>
      </c>
      <c r="H31" s="284">
        <f t="shared" si="0"/>
        <v>2550000</v>
      </c>
      <c r="I31" s="49"/>
    </row>
    <row r="32" spans="1:9" ht="15.9" customHeight="1" x14ac:dyDescent="0.4">
      <c r="A32" s="417"/>
      <c r="B32" s="349"/>
      <c r="C32" s="356" t="s">
        <v>200</v>
      </c>
      <c r="D32" s="356"/>
      <c r="E32" s="357" t="s">
        <v>195</v>
      </c>
      <c r="F32" s="423">
        <v>60</v>
      </c>
      <c r="G32" s="359">
        <v>7000</v>
      </c>
      <c r="H32" s="284">
        <f t="shared" si="0"/>
        <v>420000</v>
      </c>
      <c r="I32" s="49"/>
    </row>
    <row r="33" spans="1:9" ht="15.9" customHeight="1" x14ac:dyDescent="0.4">
      <c r="A33" s="417"/>
      <c r="B33" s="349"/>
      <c r="C33" s="356" t="s">
        <v>201</v>
      </c>
      <c r="D33" s="356"/>
      <c r="E33" s="357" t="s">
        <v>195</v>
      </c>
      <c r="F33" s="423">
        <v>1</v>
      </c>
      <c r="G33" s="359">
        <v>3000000</v>
      </c>
      <c r="H33" s="284">
        <f t="shared" si="0"/>
        <v>3000000</v>
      </c>
      <c r="I33" s="49"/>
    </row>
    <row r="34" spans="1:9" ht="15.9" customHeight="1" x14ac:dyDescent="0.4">
      <c r="A34" s="417"/>
      <c r="B34" s="349"/>
      <c r="C34" s="418" t="s">
        <v>202</v>
      </c>
      <c r="D34" s="418"/>
      <c r="E34" s="419" t="s">
        <v>59</v>
      </c>
      <c r="F34" s="420">
        <v>1</v>
      </c>
      <c r="G34" s="420">
        <v>2000000</v>
      </c>
      <c r="H34" s="284">
        <f t="shared" si="0"/>
        <v>2000000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0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0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0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0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0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 t="shared" si="0"/>
        <v>0</v>
      </c>
      <c r="I40" s="49"/>
    </row>
    <row r="41" spans="1:9" ht="15.9" customHeight="1" x14ac:dyDescent="0.4">
      <c r="A41" s="417"/>
      <c r="B41" s="349"/>
      <c r="C41" s="356"/>
      <c r="D41" s="356"/>
      <c r="E41" s="356"/>
      <c r="F41" s="359"/>
      <c r="G41" s="359"/>
      <c r="H41" s="284">
        <f t="shared" si="0"/>
        <v>0</v>
      </c>
      <c r="I41" s="49"/>
    </row>
    <row r="42" spans="1:9" ht="15.9" customHeight="1" x14ac:dyDescent="0.4">
      <c r="A42" s="417"/>
      <c r="B42" s="349"/>
      <c r="C42" s="356"/>
      <c r="D42" s="356"/>
      <c r="E42" s="356"/>
      <c r="F42" s="359"/>
      <c r="G42" s="359"/>
      <c r="H42" s="284">
        <f t="shared" si="0"/>
        <v>0</v>
      </c>
      <c r="I42" s="49"/>
    </row>
    <row r="43" spans="1:9" ht="15.9" customHeight="1" x14ac:dyDescent="0.4">
      <c r="A43" s="417"/>
      <c r="B43" s="349"/>
      <c r="C43" s="356"/>
      <c r="D43" s="356"/>
      <c r="E43" s="356"/>
      <c r="F43" s="359"/>
      <c r="G43" s="359"/>
      <c r="H43" s="284">
        <f t="shared" si="0"/>
        <v>0</v>
      </c>
      <c r="I43" s="49"/>
    </row>
    <row r="44" spans="1:9" ht="15.9" customHeight="1" x14ac:dyDescent="0.4">
      <c r="A44" s="417"/>
      <c r="B44" s="349"/>
      <c r="C44" s="360" t="s">
        <v>203</v>
      </c>
      <c r="D44" s="360"/>
      <c r="E44" s="361" t="s">
        <v>59</v>
      </c>
      <c r="F44" s="363">
        <v>1</v>
      </c>
      <c r="G44" s="363">
        <v>2500000</v>
      </c>
      <c r="H44" s="314">
        <v>0</v>
      </c>
      <c r="I44" s="64"/>
    </row>
    <row r="45" spans="1:9" ht="15.9" customHeight="1" x14ac:dyDescent="0.4">
      <c r="A45" s="417"/>
      <c r="B45" s="364"/>
      <c r="C45" s="365"/>
      <c r="D45" s="366"/>
      <c r="E45" s="366"/>
      <c r="F45" s="368"/>
      <c r="G45" s="368"/>
      <c r="H45" s="77">
        <f>SUM(H24:H44)</f>
        <v>10920000</v>
      </c>
      <c r="I45" s="72"/>
    </row>
    <row r="46" spans="1:9" ht="15.9" customHeight="1" x14ac:dyDescent="0.4">
      <c r="A46" s="417"/>
      <c r="B46" s="386" t="s">
        <v>61</v>
      </c>
      <c r="C46" s="370" t="s">
        <v>329</v>
      </c>
      <c r="D46" s="370"/>
      <c r="E46" s="371" t="s">
        <v>59</v>
      </c>
      <c r="F46" s="373">
        <v>1</v>
      </c>
      <c r="G46" s="373">
        <v>85000000</v>
      </c>
      <c r="H46" s="374">
        <f t="shared" si="0"/>
        <v>85000000</v>
      </c>
      <c r="I46" s="375"/>
    </row>
    <row r="47" spans="1:9" ht="15.9" customHeight="1" x14ac:dyDescent="0.4">
      <c r="A47" s="417"/>
      <c r="B47" s="349"/>
      <c r="C47" s="356"/>
      <c r="D47" s="356"/>
      <c r="E47" s="356"/>
      <c r="F47" s="359"/>
      <c r="G47" s="359"/>
      <c r="H47" s="284">
        <f t="shared" si="0"/>
        <v>0</v>
      </c>
      <c r="I47" s="49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0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0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0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0"/>
        <v>0</v>
      </c>
      <c r="I51" s="49"/>
    </row>
    <row r="52" spans="1:9" ht="15.9" customHeight="1" x14ac:dyDescent="0.4">
      <c r="A52" s="417"/>
      <c r="B52" s="349"/>
      <c r="C52" s="360" t="s">
        <v>203</v>
      </c>
      <c r="D52" s="360"/>
      <c r="E52" s="360"/>
      <c r="F52" s="363"/>
      <c r="G52" s="363"/>
      <c r="H52" s="314">
        <f t="shared" si="0"/>
        <v>0</v>
      </c>
      <c r="I52" s="64"/>
    </row>
    <row r="53" spans="1:9" ht="15.9" customHeight="1" x14ac:dyDescent="0.4">
      <c r="A53" s="417"/>
      <c r="B53" s="364"/>
      <c r="C53" s="365"/>
      <c r="D53" s="366"/>
      <c r="E53" s="366"/>
      <c r="F53" s="368"/>
      <c r="G53" s="368"/>
      <c r="H53" s="77">
        <f>SUM(H46:H52)</f>
        <v>85000000</v>
      </c>
      <c r="I53" s="72"/>
    </row>
    <row r="54" spans="1:9" ht="15.9" customHeight="1" x14ac:dyDescent="0.4">
      <c r="A54" s="392"/>
      <c r="B54" s="393" t="s">
        <v>149</v>
      </c>
      <c r="C54" s="394"/>
      <c r="D54" s="72"/>
      <c r="E54" s="72"/>
      <c r="F54" s="396"/>
      <c r="G54" s="396"/>
      <c r="H54" s="77">
        <f>SUM(H53,H45,H23,H17)</f>
        <v>106720000</v>
      </c>
      <c r="I54" s="72"/>
    </row>
    <row r="55" spans="1:9" ht="15.9" customHeight="1" x14ac:dyDescent="0.4">
      <c r="A55" s="348" t="s">
        <v>150</v>
      </c>
      <c r="B55" s="398" t="s">
        <v>67</v>
      </c>
      <c r="C55" s="394"/>
      <c r="D55" s="72"/>
      <c r="E55" s="398" t="s">
        <v>68</v>
      </c>
      <c r="F55" s="413">
        <v>0</v>
      </c>
      <c r="G55" s="413">
        <v>250000</v>
      </c>
      <c r="H55" s="402">
        <f>F55*G55</f>
        <v>0</v>
      </c>
      <c r="I55" s="72"/>
    </row>
    <row r="56" spans="1:9" ht="15.9" customHeight="1" x14ac:dyDescent="0.4">
      <c r="A56" s="417"/>
      <c r="B56" s="404" t="s">
        <v>204</v>
      </c>
      <c r="C56" s="405"/>
      <c r="D56" s="375"/>
      <c r="E56" s="404" t="s">
        <v>152</v>
      </c>
      <c r="F56" s="373">
        <v>10</v>
      </c>
      <c r="G56" s="437">
        <v>300000</v>
      </c>
      <c r="H56" s="374">
        <f t="shared" ref="H56:H62" si="2">F56*G56</f>
        <v>3000000</v>
      </c>
      <c r="I56" s="375"/>
    </row>
    <row r="57" spans="1:9" ht="15.9" customHeight="1" x14ac:dyDescent="0.4">
      <c r="A57" s="417"/>
      <c r="B57" s="406" t="s">
        <v>205</v>
      </c>
      <c r="C57" s="407"/>
      <c r="D57" s="49"/>
      <c r="E57" s="406" t="s">
        <v>152</v>
      </c>
      <c r="F57" s="359">
        <v>2</v>
      </c>
      <c r="G57" s="420">
        <v>250000</v>
      </c>
      <c r="H57" s="284">
        <f t="shared" si="2"/>
        <v>500000</v>
      </c>
      <c r="I57" s="49"/>
    </row>
    <row r="58" spans="1:9" ht="15.9" customHeight="1" x14ac:dyDescent="0.4">
      <c r="A58" s="417"/>
      <c r="B58" s="406" t="s">
        <v>206</v>
      </c>
      <c r="C58" s="407"/>
      <c r="D58" s="49"/>
      <c r="E58" s="406" t="s">
        <v>152</v>
      </c>
      <c r="F58" s="359">
        <v>10</v>
      </c>
      <c r="G58" s="420">
        <v>250000</v>
      </c>
      <c r="H58" s="284">
        <f t="shared" si="2"/>
        <v>2500000</v>
      </c>
      <c r="I58" s="49"/>
    </row>
    <row r="59" spans="1:9" ht="15.9" customHeight="1" x14ac:dyDescent="0.4">
      <c r="A59" s="417"/>
      <c r="B59" s="406" t="s">
        <v>207</v>
      </c>
      <c r="C59" s="407"/>
      <c r="D59" s="49"/>
      <c r="E59" s="406" t="s">
        <v>152</v>
      </c>
      <c r="F59" s="359">
        <v>8</v>
      </c>
      <c r="G59" s="359">
        <v>300000</v>
      </c>
      <c r="H59" s="284">
        <f t="shared" si="2"/>
        <v>2400000</v>
      </c>
      <c r="I59" s="49"/>
    </row>
    <row r="60" spans="1:9" ht="15.9" customHeight="1" x14ac:dyDescent="0.4">
      <c r="A60" s="417"/>
      <c r="B60" s="406" t="s">
        <v>208</v>
      </c>
      <c r="C60" s="407"/>
      <c r="D60" s="49"/>
      <c r="E60" s="406" t="s">
        <v>152</v>
      </c>
      <c r="F60" s="359">
        <v>3</v>
      </c>
      <c r="G60" s="359">
        <v>300000</v>
      </c>
      <c r="H60" s="284">
        <f t="shared" si="2"/>
        <v>900000</v>
      </c>
      <c r="I60" s="49"/>
    </row>
    <row r="61" spans="1:9" ht="15.9" customHeight="1" x14ac:dyDescent="0.4">
      <c r="A61" s="417"/>
      <c r="B61" s="406" t="s">
        <v>209</v>
      </c>
      <c r="C61" s="407"/>
      <c r="D61" s="49"/>
      <c r="E61" s="406" t="s">
        <v>152</v>
      </c>
      <c r="F61" s="359">
        <v>0</v>
      </c>
      <c r="G61" s="359">
        <v>300000</v>
      </c>
      <c r="H61" s="284">
        <f t="shared" si="2"/>
        <v>0</v>
      </c>
      <c r="I61" s="49"/>
    </row>
    <row r="62" spans="1:9" ht="15.9" customHeight="1" x14ac:dyDescent="0.4">
      <c r="A62" s="417"/>
      <c r="B62" s="408" t="s">
        <v>210</v>
      </c>
      <c r="C62" s="409"/>
      <c r="D62" s="64"/>
      <c r="E62" s="408" t="s">
        <v>152</v>
      </c>
      <c r="F62" s="363">
        <v>5</v>
      </c>
      <c r="G62" s="438">
        <v>250000</v>
      </c>
      <c r="H62" s="314">
        <f t="shared" si="2"/>
        <v>1250000</v>
      </c>
      <c r="I62" s="64"/>
    </row>
    <row r="63" spans="1:9" ht="15.9" customHeight="1" x14ac:dyDescent="0.4">
      <c r="A63" s="392"/>
      <c r="B63" s="410" t="s">
        <v>158</v>
      </c>
      <c r="C63" s="394"/>
      <c r="D63" s="72"/>
      <c r="E63" s="72"/>
      <c r="F63" s="368"/>
      <c r="G63" s="368"/>
      <c r="H63" s="368">
        <f>SUM(H55:H62)</f>
        <v>10550000</v>
      </c>
      <c r="I63" s="366"/>
    </row>
    <row r="64" spans="1:9" ht="15.9" customHeight="1" x14ac:dyDescent="0.4">
      <c r="A64" s="399"/>
      <c r="B64" s="410" t="s">
        <v>211</v>
      </c>
      <c r="C64" s="394"/>
      <c r="D64" s="72"/>
      <c r="E64" s="72"/>
      <c r="F64" s="77"/>
      <c r="G64" s="77"/>
      <c r="H64" s="396">
        <f>'단위공사별(집계)'!L16+'단위공사별(집계)'!I16</f>
        <v>560379.31716319534</v>
      </c>
      <c r="I64" s="72"/>
    </row>
    <row r="65" spans="1:9" ht="15.9" customHeight="1" x14ac:dyDescent="0.4">
      <c r="A65" s="399"/>
      <c r="B65" s="410" t="s">
        <v>93</v>
      </c>
      <c r="C65" s="394"/>
      <c r="D65" s="72"/>
      <c r="E65" s="72"/>
      <c r="F65" s="77"/>
      <c r="G65" s="412"/>
      <c r="H65" s="413">
        <v>0</v>
      </c>
      <c r="I65" s="394"/>
    </row>
    <row r="66" spans="1:9" ht="15.9" customHeight="1" x14ac:dyDescent="0.4">
      <c r="A66" s="399"/>
      <c r="B66" s="410" t="s">
        <v>161</v>
      </c>
      <c r="C66" s="394"/>
      <c r="D66" s="72"/>
      <c r="E66" s="72"/>
      <c r="F66" s="77"/>
      <c r="G66" s="412"/>
      <c r="H66" s="413">
        <v>0</v>
      </c>
      <c r="I66" s="394"/>
    </row>
    <row r="67" spans="1:9" ht="15.9" customHeight="1" x14ac:dyDescent="0.4">
      <c r="A67" s="399"/>
      <c r="B67" s="410" t="s">
        <v>162</v>
      </c>
      <c r="C67" s="394"/>
      <c r="D67" s="72"/>
      <c r="E67" s="72"/>
      <c r="F67" s="77"/>
      <c r="G67" s="77"/>
      <c r="H67" s="368">
        <f>H54+H63+H64+H65+H66</f>
        <v>117830379.3171632</v>
      </c>
      <c r="I67" s="72"/>
    </row>
    <row r="68" spans="1:9" x14ac:dyDescent="0.4">
      <c r="A68" s="30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1790-9FF0-4E11-A536-07A9BFDA35E2}">
  <sheetPr>
    <tabColor rgb="FF00B050"/>
    <pageSetUpPr fitToPage="1"/>
  </sheetPr>
  <dimension ref="B1:J121"/>
  <sheetViews>
    <sheetView zoomScaleNormal="100" workbookViewId="0">
      <pane xSplit="3" ySplit="2" topLeftCell="D99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1.59765625" style="1" customWidth="1"/>
    <col min="2" max="2" width="5" style="1" customWidth="1"/>
    <col min="3" max="3" width="17.8984375" style="1" bestFit="1" customWidth="1"/>
    <col min="4" max="4" width="23.59765625" style="1" customWidth="1"/>
    <col min="5" max="5" width="18.19921875" style="1" customWidth="1"/>
    <col min="6" max="6" width="5.19921875" style="1" bestFit="1" customWidth="1"/>
    <col min="7" max="7" width="8.19921875" style="65" customWidth="1"/>
    <col min="8" max="8" width="11.8984375" style="65" customWidth="1"/>
    <col min="9" max="9" width="13.59765625" style="65" customWidth="1"/>
    <col min="10" max="10" width="12.69921875" style="1" customWidth="1"/>
    <col min="11" max="16384" width="9" style="1"/>
  </cols>
  <sheetData>
    <row r="1" spans="2:10" ht="22.5" customHeight="1" x14ac:dyDescent="0.4">
      <c r="C1" s="342" t="s">
        <v>163</v>
      </c>
      <c r="D1" s="414" t="s">
        <v>337</v>
      </c>
      <c r="G1" s="415"/>
      <c r="J1" s="1" t="s">
        <v>128</v>
      </c>
    </row>
    <row r="2" spans="2:10" s="30" customFormat="1" ht="16.5" customHeight="1" x14ac:dyDescent="0.4">
      <c r="B2" s="82" t="s">
        <v>129</v>
      </c>
      <c r="C2" s="84"/>
      <c r="D2" s="248" t="s">
        <v>130</v>
      </c>
      <c r="E2" s="241" t="s">
        <v>131</v>
      </c>
      <c r="F2" s="241" t="s">
        <v>48</v>
      </c>
      <c r="G2" s="395" t="s">
        <v>49</v>
      </c>
      <c r="H2" s="395" t="s">
        <v>132</v>
      </c>
      <c r="I2" s="395" t="s">
        <v>133</v>
      </c>
      <c r="J2" s="241" t="s">
        <v>134</v>
      </c>
    </row>
    <row r="3" spans="2:10" ht="15.9" customHeight="1" x14ac:dyDescent="0.4">
      <c r="B3" s="348" t="s">
        <v>338</v>
      </c>
      <c r="C3" s="349" t="s">
        <v>136</v>
      </c>
      <c r="D3" s="356" t="s">
        <v>339</v>
      </c>
      <c r="E3" s="356"/>
      <c r="F3" s="357" t="s">
        <v>59</v>
      </c>
      <c r="G3" s="359">
        <v>25</v>
      </c>
      <c r="H3" s="359">
        <v>3000000</v>
      </c>
      <c r="I3" s="284">
        <f>IF(G3=0,H3,H3*G3)</f>
        <v>75000000</v>
      </c>
      <c r="J3" s="375"/>
    </row>
    <row r="4" spans="2:10" ht="15.9" customHeight="1" x14ac:dyDescent="0.4">
      <c r="B4" s="417"/>
      <c r="C4" s="349"/>
      <c r="D4" s="356"/>
      <c r="E4" s="428"/>
      <c r="F4" s="357"/>
      <c r="G4" s="423"/>
      <c r="H4" s="359"/>
      <c r="I4" s="284">
        <f>IF(G4=0,H4,H4*G4)</f>
        <v>0</v>
      </c>
      <c r="J4" s="49"/>
    </row>
    <row r="5" spans="2:10" ht="15.9" customHeight="1" x14ac:dyDescent="0.4">
      <c r="B5" s="417"/>
      <c r="C5" s="349"/>
      <c r="D5" s="356"/>
      <c r="E5" s="428"/>
      <c r="F5" s="357"/>
      <c r="G5" s="423"/>
      <c r="H5" s="359"/>
      <c r="I5" s="284">
        <f>IF(G5=0,H5,H5*G5)</f>
        <v>0</v>
      </c>
      <c r="J5" s="49"/>
    </row>
    <row r="6" spans="2:10" ht="15.9" customHeight="1" x14ac:dyDescent="0.4">
      <c r="B6" s="417"/>
      <c r="C6" s="349"/>
      <c r="D6" s="356"/>
      <c r="E6" s="428"/>
      <c r="F6" s="357"/>
      <c r="G6" s="423"/>
      <c r="H6" s="359"/>
      <c r="I6" s="284">
        <f t="shared" ref="I6:I105" si="0">IF(G6=0,H6,H6*G6)</f>
        <v>0</v>
      </c>
      <c r="J6" s="49"/>
    </row>
    <row r="7" spans="2:10" ht="15.9" customHeight="1" x14ac:dyDescent="0.4">
      <c r="B7" s="417"/>
      <c r="C7" s="349"/>
      <c r="D7" s="356"/>
      <c r="E7" s="428"/>
      <c r="F7" s="357"/>
      <c r="G7" s="423"/>
      <c r="H7" s="359"/>
      <c r="I7" s="284">
        <f t="shared" si="0"/>
        <v>0</v>
      </c>
      <c r="J7" s="49"/>
    </row>
    <row r="8" spans="2:10" ht="15.9" customHeight="1" x14ac:dyDescent="0.4">
      <c r="B8" s="417"/>
      <c r="C8" s="349"/>
      <c r="D8" s="356"/>
      <c r="E8" s="356"/>
      <c r="F8" s="357"/>
      <c r="G8" s="359"/>
      <c r="H8" s="359"/>
      <c r="I8" s="284">
        <f t="shared" si="0"/>
        <v>0</v>
      </c>
      <c r="J8" s="49"/>
    </row>
    <row r="9" spans="2:10" ht="15.9" customHeight="1" x14ac:dyDescent="0.4">
      <c r="B9" s="417"/>
      <c r="C9" s="349"/>
      <c r="D9" s="356"/>
      <c r="E9" s="356"/>
      <c r="F9" s="357"/>
      <c r="G9" s="423"/>
      <c r="H9" s="359"/>
      <c r="I9" s="284">
        <f t="shared" si="0"/>
        <v>0</v>
      </c>
      <c r="J9" s="49"/>
    </row>
    <row r="10" spans="2:10" ht="15.9" customHeight="1" x14ac:dyDescent="0.4">
      <c r="B10" s="417"/>
      <c r="C10" s="349"/>
      <c r="D10" s="356"/>
      <c r="E10" s="356"/>
      <c r="F10" s="357"/>
      <c r="G10" s="423"/>
      <c r="H10" s="359"/>
      <c r="I10" s="284">
        <f t="shared" si="0"/>
        <v>0</v>
      </c>
      <c r="J10" s="49"/>
    </row>
    <row r="11" spans="2:10" ht="15.9" customHeight="1" x14ac:dyDescent="0.4">
      <c r="B11" s="417"/>
      <c r="C11" s="349"/>
      <c r="D11" s="356"/>
      <c r="E11" s="356"/>
      <c r="F11" s="357"/>
      <c r="G11" s="423"/>
      <c r="H11" s="359"/>
      <c r="I11" s="284">
        <f t="shared" si="0"/>
        <v>0</v>
      </c>
      <c r="J11" s="49"/>
    </row>
    <row r="12" spans="2:10" ht="15.9" customHeight="1" x14ac:dyDescent="0.4">
      <c r="B12" s="417"/>
      <c r="C12" s="349"/>
      <c r="D12" s="356"/>
      <c r="E12" s="356"/>
      <c r="F12" s="357"/>
      <c r="G12" s="423"/>
      <c r="H12" s="359"/>
      <c r="I12" s="284">
        <f t="shared" si="0"/>
        <v>0</v>
      </c>
      <c r="J12" s="49"/>
    </row>
    <row r="13" spans="2:10" ht="15.9" customHeight="1" x14ac:dyDescent="0.4">
      <c r="B13" s="417"/>
      <c r="C13" s="349"/>
      <c r="D13" s="356"/>
      <c r="E13" s="356"/>
      <c r="F13" s="357"/>
      <c r="G13" s="423"/>
      <c r="H13" s="359"/>
      <c r="I13" s="284">
        <f t="shared" si="0"/>
        <v>0</v>
      </c>
      <c r="J13" s="49"/>
    </row>
    <row r="14" spans="2:10" ht="15.9" customHeight="1" x14ac:dyDescent="0.4">
      <c r="B14" s="417"/>
      <c r="C14" s="349"/>
      <c r="D14" s="356"/>
      <c r="E14" s="356"/>
      <c r="F14" s="357"/>
      <c r="G14" s="423"/>
      <c r="H14" s="359"/>
      <c r="I14" s="284">
        <f t="shared" si="0"/>
        <v>0</v>
      </c>
      <c r="J14" s="49"/>
    </row>
    <row r="15" spans="2:10" ht="15.9" customHeight="1" x14ac:dyDescent="0.4">
      <c r="B15" s="417"/>
      <c r="C15" s="349"/>
      <c r="D15" s="356"/>
      <c r="E15" s="356"/>
      <c r="F15" s="357"/>
      <c r="G15" s="423"/>
      <c r="H15" s="359"/>
      <c r="I15" s="284">
        <f t="shared" si="0"/>
        <v>0</v>
      </c>
      <c r="J15" s="49"/>
    </row>
    <row r="16" spans="2:10" ht="15.9" customHeight="1" x14ac:dyDescent="0.4">
      <c r="B16" s="417"/>
      <c r="C16" s="349"/>
      <c r="D16" s="356"/>
      <c r="E16" s="356"/>
      <c r="F16" s="357"/>
      <c r="G16" s="423"/>
      <c r="H16" s="359"/>
      <c r="I16" s="284">
        <f t="shared" si="0"/>
        <v>0</v>
      </c>
      <c r="J16" s="49"/>
    </row>
    <row r="17" spans="2:10" ht="15.9" customHeight="1" x14ac:dyDescent="0.4">
      <c r="B17" s="417"/>
      <c r="C17" s="349"/>
      <c r="D17" s="356"/>
      <c r="E17" s="356"/>
      <c r="F17" s="357"/>
      <c r="G17" s="423"/>
      <c r="H17" s="359"/>
      <c r="I17" s="284">
        <f t="shared" si="0"/>
        <v>0</v>
      </c>
      <c r="J17" s="49"/>
    </row>
    <row r="18" spans="2:10" ht="15.9" customHeight="1" x14ac:dyDescent="0.4">
      <c r="B18" s="417"/>
      <c r="C18" s="349"/>
      <c r="D18" s="356"/>
      <c r="E18" s="428"/>
      <c r="F18" s="357"/>
      <c r="G18" s="423"/>
      <c r="H18" s="359"/>
      <c r="I18" s="284">
        <f t="shared" si="0"/>
        <v>0</v>
      </c>
      <c r="J18" s="49"/>
    </row>
    <row r="19" spans="2:10" ht="15.9" customHeight="1" x14ac:dyDescent="0.4">
      <c r="B19" s="417"/>
      <c r="C19" s="349"/>
      <c r="D19" s="356"/>
      <c r="E19" s="428"/>
      <c r="F19" s="357"/>
      <c r="G19" s="423"/>
      <c r="H19" s="359"/>
      <c r="I19" s="284">
        <f t="shared" si="0"/>
        <v>0</v>
      </c>
      <c r="J19" s="49"/>
    </row>
    <row r="20" spans="2:10" ht="15.9" customHeight="1" x14ac:dyDescent="0.4">
      <c r="B20" s="417"/>
      <c r="C20" s="349"/>
      <c r="D20" s="356"/>
      <c r="E20" s="428"/>
      <c r="F20" s="357"/>
      <c r="G20" s="423"/>
      <c r="H20" s="359"/>
      <c r="I20" s="284">
        <f t="shared" si="0"/>
        <v>0</v>
      </c>
      <c r="J20" s="49"/>
    </row>
    <row r="21" spans="2:10" ht="15.9" customHeight="1" x14ac:dyDescent="0.4">
      <c r="B21" s="417"/>
      <c r="C21" s="349"/>
      <c r="D21" s="356"/>
      <c r="E21" s="429"/>
      <c r="F21" s="357"/>
      <c r="G21" s="423"/>
      <c r="H21" s="359"/>
      <c r="I21" s="284">
        <f t="shared" si="0"/>
        <v>0</v>
      </c>
      <c r="J21" s="49"/>
    </row>
    <row r="22" spans="2:10" ht="15.9" customHeight="1" x14ac:dyDescent="0.4">
      <c r="B22" s="417"/>
      <c r="C22" s="349"/>
      <c r="D22" s="356"/>
      <c r="E22" s="429"/>
      <c r="F22" s="357"/>
      <c r="G22" s="423"/>
      <c r="H22" s="359"/>
      <c r="I22" s="284">
        <f t="shared" si="0"/>
        <v>0</v>
      </c>
      <c r="J22" s="49"/>
    </row>
    <row r="23" spans="2:10" ht="15.9" customHeight="1" x14ac:dyDescent="0.4">
      <c r="B23" s="417"/>
      <c r="C23" s="349"/>
      <c r="D23" s="356"/>
      <c r="E23" s="429"/>
      <c r="F23" s="357"/>
      <c r="G23" s="423"/>
      <c r="H23" s="359"/>
      <c r="I23" s="284">
        <f t="shared" si="0"/>
        <v>0</v>
      </c>
      <c r="J23" s="49"/>
    </row>
    <row r="24" spans="2:10" ht="15.9" customHeight="1" x14ac:dyDescent="0.4">
      <c r="B24" s="417"/>
      <c r="C24" s="349"/>
      <c r="D24" s="356"/>
      <c r="E24" s="429"/>
      <c r="F24" s="357"/>
      <c r="G24" s="423"/>
      <c r="H24" s="359"/>
      <c r="I24" s="284">
        <f t="shared" si="0"/>
        <v>0</v>
      </c>
      <c r="J24" s="49"/>
    </row>
    <row r="25" spans="2:10" ht="15.9" customHeight="1" x14ac:dyDescent="0.4">
      <c r="B25" s="417"/>
      <c r="C25" s="349"/>
      <c r="D25" s="356"/>
      <c r="E25" s="429"/>
      <c r="F25" s="357"/>
      <c r="G25" s="423"/>
      <c r="H25" s="359"/>
      <c r="I25" s="284">
        <f t="shared" si="0"/>
        <v>0</v>
      </c>
      <c r="J25" s="49"/>
    </row>
    <row r="26" spans="2:10" ht="15.9" customHeight="1" x14ac:dyDescent="0.4">
      <c r="B26" s="417"/>
      <c r="C26" s="349"/>
      <c r="D26" s="356"/>
      <c r="E26" s="356"/>
      <c r="F26" s="357"/>
      <c r="G26" s="359"/>
      <c r="H26" s="359"/>
      <c r="I26" s="284">
        <f t="shared" si="0"/>
        <v>0</v>
      </c>
      <c r="J26" s="49"/>
    </row>
    <row r="27" spans="2:10" ht="15.9" customHeight="1" x14ac:dyDescent="0.4">
      <c r="B27" s="417"/>
      <c r="C27" s="349"/>
      <c r="D27" s="356"/>
      <c r="E27" s="356"/>
      <c r="F27" s="357"/>
      <c r="G27" s="359"/>
      <c r="H27" s="359"/>
      <c r="I27" s="284">
        <f t="shared" si="0"/>
        <v>0</v>
      </c>
      <c r="J27" s="49"/>
    </row>
    <row r="28" spans="2:10" ht="15.9" customHeight="1" x14ac:dyDescent="0.4">
      <c r="B28" s="417"/>
      <c r="C28" s="349"/>
      <c r="D28" s="356"/>
      <c r="E28" s="356"/>
      <c r="F28" s="357"/>
      <c r="G28" s="423"/>
      <c r="H28" s="359"/>
      <c r="I28" s="284">
        <f t="shared" si="0"/>
        <v>0</v>
      </c>
      <c r="J28" s="49"/>
    </row>
    <row r="29" spans="2:10" ht="15.9" customHeight="1" x14ac:dyDescent="0.4">
      <c r="B29" s="417"/>
      <c r="C29" s="349"/>
      <c r="D29" s="356"/>
      <c r="E29" s="356"/>
      <c r="F29" s="357"/>
      <c r="G29" s="423"/>
      <c r="H29" s="359"/>
      <c r="I29" s="284">
        <f t="shared" si="0"/>
        <v>0</v>
      </c>
      <c r="J29" s="49"/>
    </row>
    <row r="30" spans="2:10" ht="15.9" customHeight="1" x14ac:dyDescent="0.4">
      <c r="B30" s="417"/>
      <c r="C30" s="349"/>
      <c r="D30" s="356"/>
      <c r="E30" s="356"/>
      <c r="F30" s="357"/>
      <c r="G30" s="423"/>
      <c r="H30" s="359"/>
      <c r="I30" s="284">
        <f t="shared" si="0"/>
        <v>0</v>
      </c>
      <c r="J30" s="49"/>
    </row>
    <row r="31" spans="2:10" ht="15.9" customHeight="1" x14ac:dyDescent="0.4">
      <c r="B31" s="417"/>
      <c r="C31" s="349"/>
      <c r="D31" s="356"/>
      <c r="E31" s="356"/>
      <c r="F31" s="357"/>
      <c r="G31" s="359"/>
      <c r="H31" s="359"/>
      <c r="I31" s="284">
        <f t="shared" si="0"/>
        <v>0</v>
      </c>
      <c r="J31" s="49"/>
    </row>
    <row r="32" spans="2:10" ht="15.9" customHeight="1" x14ac:dyDescent="0.4">
      <c r="B32" s="417"/>
      <c r="C32" s="349"/>
      <c r="D32" s="356"/>
      <c r="E32" s="356"/>
      <c r="F32" s="357"/>
      <c r="G32" s="423"/>
      <c r="H32" s="359"/>
      <c r="I32" s="284">
        <f t="shared" si="0"/>
        <v>0</v>
      </c>
      <c r="J32" s="49"/>
    </row>
    <row r="33" spans="2:10" ht="15.9" customHeight="1" x14ac:dyDescent="0.4">
      <c r="B33" s="417"/>
      <c r="C33" s="349"/>
      <c r="D33" s="356"/>
      <c r="E33" s="356"/>
      <c r="F33" s="357"/>
      <c r="G33" s="423"/>
      <c r="H33" s="359"/>
      <c r="I33" s="284">
        <f t="shared" si="0"/>
        <v>0</v>
      </c>
      <c r="J33" s="49"/>
    </row>
    <row r="34" spans="2:10" ht="15.9" customHeight="1" x14ac:dyDescent="0.4">
      <c r="B34" s="417"/>
      <c r="C34" s="349"/>
      <c r="D34" s="356"/>
      <c r="E34" s="356"/>
      <c r="F34" s="357"/>
      <c r="G34" s="423"/>
      <c r="H34" s="359"/>
      <c r="I34" s="284">
        <f t="shared" si="0"/>
        <v>0</v>
      </c>
      <c r="J34" s="49"/>
    </row>
    <row r="35" spans="2:10" ht="15.9" customHeight="1" x14ac:dyDescent="0.4">
      <c r="B35" s="417"/>
      <c r="C35" s="349"/>
      <c r="D35" s="356"/>
      <c r="E35" s="356"/>
      <c r="F35" s="357"/>
      <c r="G35" s="423"/>
      <c r="H35" s="359"/>
      <c r="I35" s="284">
        <f t="shared" si="0"/>
        <v>0</v>
      </c>
      <c r="J35" s="49"/>
    </row>
    <row r="36" spans="2:10" ht="15.9" customHeight="1" x14ac:dyDescent="0.4">
      <c r="B36" s="417"/>
      <c r="C36" s="349"/>
      <c r="D36" s="356"/>
      <c r="E36" s="356"/>
      <c r="F36" s="357"/>
      <c r="G36" s="423"/>
      <c r="H36" s="359"/>
      <c r="I36" s="284">
        <f t="shared" si="0"/>
        <v>0</v>
      </c>
      <c r="J36" s="49"/>
    </row>
    <row r="37" spans="2:10" ht="15.9" customHeight="1" x14ac:dyDescent="0.4">
      <c r="B37" s="417"/>
      <c r="C37" s="349"/>
      <c r="D37" s="356"/>
      <c r="E37" s="356"/>
      <c r="F37" s="357"/>
      <c r="G37" s="423"/>
      <c r="H37" s="359"/>
      <c r="I37" s="284">
        <f t="shared" si="0"/>
        <v>0</v>
      </c>
      <c r="J37" s="49"/>
    </row>
    <row r="38" spans="2:10" ht="15.9" customHeight="1" x14ac:dyDescent="0.4">
      <c r="B38" s="417"/>
      <c r="C38" s="349"/>
      <c r="D38" s="356"/>
      <c r="E38" s="428"/>
      <c r="F38" s="357"/>
      <c r="G38" s="423"/>
      <c r="H38" s="359"/>
      <c r="I38" s="284">
        <f t="shared" si="0"/>
        <v>0</v>
      </c>
      <c r="J38" s="49"/>
    </row>
    <row r="39" spans="2:10" ht="15.9" customHeight="1" x14ac:dyDescent="0.4">
      <c r="B39" s="417"/>
      <c r="C39" s="349"/>
      <c r="D39" s="356"/>
      <c r="E39" s="428"/>
      <c r="F39" s="357"/>
      <c r="G39" s="423"/>
      <c r="H39" s="359"/>
      <c r="I39" s="284">
        <f t="shared" si="0"/>
        <v>0</v>
      </c>
      <c r="J39" s="49"/>
    </row>
    <row r="40" spans="2:10" ht="15.9" customHeight="1" x14ac:dyDescent="0.4">
      <c r="B40" s="417"/>
      <c r="C40" s="349"/>
      <c r="D40" s="356"/>
      <c r="E40" s="356"/>
      <c r="F40" s="357"/>
      <c r="G40" s="423"/>
      <c r="H40" s="359"/>
      <c r="I40" s="284">
        <f t="shared" si="0"/>
        <v>0</v>
      </c>
      <c r="J40" s="49"/>
    </row>
    <row r="41" spans="2:10" ht="15.9" customHeight="1" x14ac:dyDescent="0.4">
      <c r="B41" s="417"/>
      <c r="C41" s="349"/>
      <c r="D41" s="356"/>
      <c r="E41" s="356"/>
      <c r="F41" s="357"/>
      <c r="G41" s="423"/>
      <c r="H41" s="359"/>
      <c r="I41" s="284">
        <f t="shared" si="0"/>
        <v>0</v>
      </c>
      <c r="J41" s="49"/>
    </row>
    <row r="42" spans="2:10" ht="15.9" customHeight="1" x14ac:dyDescent="0.4">
      <c r="B42" s="417"/>
      <c r="C42" s="349"/>
      <c r="D42" s="356"/>
      <c r="E42" s="356"/>
      <c r="F42" s="357"/>
      <c r="G42" s="423"/>
      <c r="H42" s="359"/>
      <c r="I42" s="284"/>
      <c r="J42" s="49"/>
    </row>
    <row r="43" spans="2:10" ht="15.9" customHeight="1" x14ac:dyDescent="0.4">
      <c r="B43" s="417"/>
      <c r="C43" s="349"/>
      <c r="D43" s="356"/>
      <c r="E43" s="356"/>
      <c r="F43" s="357"/>
      <c r="G43" s="423"/>
      <c r="H43" s="359"/>
      <c r="I43" s="284">
        <f t="shared" si="0"/>
        <v>0</v>
      </c>
      <c r="J43" s="49"/>
    </row>
    <row r="44" spans="2:10" ht="15.9" customHeight="1" x14ac:dyDescent="0.4">
      <c r="B44" s="417"/>
      <c r="C44" s="349"/>
      <c r="D44" s="356"/>
      <c r="E44" s="356"/>
      <c r="F44" s="357"/>
      <c r="G44" s="423"/>
      <c r="H44" s="359"/>
      <c r="I44" s="284">
        <f t="shared" si="0"/>
        <v>0</v>
      </c>
      <c r="J44" s="49"/>
    </row>
    <row r="45" spans="2:10" ht="15.9" customHeight="1" x14ac:dyDescent="0.4">
      <c r="B45" s="417"/>
      <c r="C45" s="349"/>
      <c r="D45" s="356"/>
      <c r="E45" s="356"/>
      <c r="F45" s="357"/>
      <c r="G45" s="359"/>
      <c r="H45" s="359"/>
      <c r="I45" s="284"/>
      <c r="J45" s="49"/>
    </row>
    <row r="46" spans="2:10" ht="15.9" customHeight="1" x14ac:dyDescent="0.4">
      <c r="B46" s="417"/>
      <c r="C46" s="349"/>
      <c r="D46" s="360" t="s">
        <v>203</v>
      </c>
      <c r="E46" s="377"/>
      <c r="F46" s="390" t="s">
        <v>59</v>
      </c>
      <c r="G46" s="430"/>
      <c r="H46" s="379"/>
      <c r="I46" s="294">
        <f t="shared" si="0"/>
        <v>0</v>
      </c>
      <c r="J46" s="57"/>
    </row>
    <row r="47" spans="2:10" ht="15.9" customHeight="1" x14ac:dyDescent="0.4">
      <c r="B47" s="417"/>
      <c r="C47" s="364"/>
      <c r="D47" s="440"/>
      <c r="E47" s="440"/>
      <c r="F47" s="440"/>
      <c r="G47" s="441"/>
      <c r="H47" s="441"/>
      <c r="I47" s="442">
        <f>SUM(I3:I46)</f>
        <v>75000000</v>
      </c>
      <c r="J47" s="440"/>
    </row>
    <row r="48" spans="2:10" ht="15.9" customHeight="1" x14ac:dyDescent="0.4">
      <c r="B48" s="417"/>
      <c r="C48" s="349" t="s">
        <v>177</v>
      </c>
      <c r="D48" s="350"/>
      <c r="E48" s="350"/>
      <c r="F48" s="350"/>
      <c r="G48" s="353"/>
      <c r="H48" s="353"/>
      <c r="I48" s="304">
        <f t="shared" si="0"/>
        <v>0</v>
      </c>
      <c r="J48" s="354"/>
    </row>
    <row r="49" spans="2:10" ht="15.9" customHeight="1" x14ac:dyDescent="0.4">
      <c r="B49" s="417"/>
      <c r="C49" s="349" t="s">
        <v>178</v>
      </c>
      <c r="D49" s="356"/>
      <c r="E49" s="356"/>
      <c r="F49" s="356"/>
      <c r="G49" s="359"/>
      <c r="H49" s="359"/>
      <c r="I49" s="284">
        <f t="shared" si="0"/>
        <v>0</v>
      </c>
      <c r="J49" s="49"/>
    </row>
    <row r="50" spans="2:10" ht="15.9" customHeight="1" x14ac:dyDescent="0.4">
      <c r="B50" s="417"/>
      <c r="C50" s="349"/>
      <c r="D50" s="360" t="s">
        <v>203</v>
      </c>
      <c r="E50" s="360"/>
      <c r="F50" s="360"/>
      <c r="G50" s="363"/>
      <c r="H50" s="363"/>
      <c r="I50" s="284">
        <f t="shared" si="0"/>
        <v>0</v>
      </c>
      <c r="J50" s="64"/>
    </row>
    <row r="51" spans="2:10" ht="15.9" customHeight="1" x14ac:dyDescent="0.4">
      <c r="B51" s="417"/>
      <c r="C51" s="364"/>
      <c r="D51" s="365"/>
      <c r="E51" s="366"/>
      <c r="F51" s="366"/>
      <c r="G51" s="422"/>
      <c r="H51" s="368"/>
      <c r="I51" s="77">
        <f>SUM(I48:I50)</f>
        <v>0</v>
      </c>
      <c r="J51" s="72"/>
    </row>
    <row r="52" spans="2:10" ht="15.9" customHeight="1" x14ac:dyDescent="0.4">
      <c r="B52" s="417"/>
      <c r="C52" s="386" t="s">
        <v>179</v>
      </c>
      <c r="D52" s="356" t="s">
        <v>339</v>
      </c>
      <c r="E52" s="356"/>
      <c r="F52" s="357"/>
      <c r="G52" s="359"/>
      <c r="H52" s="359"/>
      <c r="I52" s="284">
        <f t="shared" si="0"/>
        <v>0</v>
      </c>
      <c r="J52" s="375"/>
    </row>
    <row r="53" spans="2:10" ht="15.9" customHeight="1" x14ac:dyDescent="0.4">
      <c r="B53" s="417"/>
      <c r="C53" s="349" t="s">
        <v>181</v>
      </c>
      <c r="D53" s="356"/>
      <c r="E53" s="356"/>
      <c r="F53" s="357"/>
      <c r="G53" s="359"/>
      <c r="H53" s="359"/>
      <c r="I53" s="284">
        <f t="shared" si="0"/>
        <v>0</v>
      </c>
      <c r="J53" s="49"/>
    </row>
    <row r="54" spans="2:10" ht="15.9" customHeight="1" x14ac:dyDescent="0.4">
      <c r="B54" s="417"/>
      <c r="C54" s="349"/>
      <c r="D54" s="356" t="s">
        <v>317</v>
      </c>
      <c r="E54" s="356"/>
      <c r="F54" s="357" t="s">
        <v>59</v>
      </c>
      <c r="G54" s="359">
        <v>25</v>
      </c>
      <c r="H54" s="359">
        <v>800000</v>
      </c>
      <c r="I54" s="284">
        <f t="shared" si="0"/>
        <v>20000000</v>
      </c>
      <c r="J54" s="49"/>
    </row>
    <row r="55" spans="2:10" ht="15.9" customHeight="1" x14ac:dyDescent="0.4">
      <c r="B55" s="417"/>
      <c r="C55" s="349"/>
      <c r="D55" s="356"/>
      <c r="E55" s="356"/>
      <c r="F55" s="357"/>
      <c r="G55" s="423"/>
      <c r="H55" s="359"/>
      <c r="I55" s="284">
        <f t="shared" si="0"/>
        <v>0</v>
      </c>
      <c r="J55" s="49"/>
    </row>
    <row r="56" spans="2:10" ht="15.9" customHeight="1" x14ac:dyDescent="0.4">
      <c r="B56" s="417"/>
      <c r="C56" s="349"/>
      <c r="D56" s="356"/>
      <c r="E56" s="356"/>
      <c r="F56" s="357"/>
      <c r="G56" s="423"/>
      <c r="H56" s="359"/>
      <c r="I56" s="284">
        <f t="shared" si="0"/>
        <v>0</v>
      </c>
      <c r="J56" s="49"/>
    </row>
    <row r="57" spans="2:10" ht="15.9" customHeight="1" x14ac:dyDescent="0.4">
      <c r="B57" s="417"/>
      <c r="C57" s="349"/>
      <c r="D57" s="356"/>
      <c r="E57" s="356"/>
      <c r="F57" s="357"/>
      <c r="G57" s="423"/>
      <c r="H57" s="359"/>
      <c r="I57" s="284">
        <f t="shared" si="0"/>
        <v>0</v>
      </c>
      <c r="J57" s="49"/>
    </row>
    <row r="58" spans="2:10" ht="15.9" customHeight="1" x14ac:dyDescent="0.4">
      <c r="B58" s="417"/>
      <c r="C58" s="349"/>
      <c r="D58" s="356"/>
      <c r="E58" s="356"/>
      <c r="F58" s="357"/>
      <c r="G58" s="423"/>
      <c r="H58" s="359"/>
      <c r="I58" s="284">
        <f t="shared" si="0"/>
        <v>0</v>
      </c>
      <c r="J58" s="49"/>
    </row>
    <row r="59" spans="2:10" ht="15.9" customHeight="1" x14ac:dyDescent="0.4">
      <c r="B59" s="417"/>
      <c r="C59" s="349"/>
      <c r="D59" s="356"/>
      <c r="E59" s="356"/>
      <c r="F59" s="357"/>
      <c r="G59" s="423"/>
      <c r="H59" s="359"/>
      <c r="I59" s="284">
        <f t="shared" si="0"/>
        <v>0</v>
      </c>
      <c r="J59" s="49"/>
    </row>
    <row r="60" spans="2:10" ht="15.9" customHeight="1" x14ac:dyDescent="0.4">
      <c r="B60" s="417"/>
      <c r="C60" s="349"/>
      <c r="D60" s="356"/>
      <c r="E60" s="356"/>
      <c r="F60" s="357"/>
      <c r="G60" s="423"/>
      <c r="H60" s="359"/>
      <c r="I60" s="284">
        <f t="shared" si="0"/>
        <v>0</v>
      </c>
      <c r="J60" s="49"/>
    </row>
    <row r="61" spans="2:10" ht="15.9" customHeight="1" x14ac:dyDescent="0.4">
      <c r="B61" s="417"/>
      <c r="C61" s="349"/>
      <c r="D61" s="356"/>
      <c r="E61" s="356"/>
      <c r="F61" s="357"/>
      <c r="G61" s="423"/>
      <c r="H61" s="359"/>
      <c r="I61" s="284">
        <f t="shared" si="0"/>
        <v>0</v>
      </c>
      <c r="J61" s="49"/>
    </row>
    <row r="62" spans="2:10" ht="15.9" customHeight="1" x14ac:dyDescent="0.4">
      <c r="B62" s="417"/>
      <c r="C62" s="349"/>
      <c r="D62" s="356"/>
      <c r="E62" s="356"/>
      <c r="F62" s="357"/>
      <c r="G62" s="423"/>
      <c r="H62" s="359"/>
      <c r="I62" s="284">
        <f t="shared" si="0"/>
        <v>0</v>
      </c>
      <c r="J62" s="49"/>
    </row>
    <row r="63" spans="2:10" ht="15.9" customHeight="1" x14ac:dyDescent="0.4">
      <c r="B63" s="417"/>
      <c r="C63" s="349"/>
      <c r="D63" s="356"/>
      <c r="E63" s="428"/>
      <c r="F63" s="357"/>
      <c r="G63" s="423"/>
      <c r="H63" s="359"/>
      <c r="I63" s="284">
        <f t="shared" si="0"/>
        <v>0</v>
      </c>
      <c r="J63" s="49"/>
    </row>
    <row r="64" spans="2:10" ht="15.9" customHeight="1" x14ac:dyDescent="0.4">
      <c r="B64" s="417"/>
      <c r="C64" s="349"/>
      <c r="D64" s="356"/>
      <c r="E64" s="428"/>
      <c r="F64" s="357"/>
      <c r="G64" s="423"/>
      <c r="H64" s="359"/>
      <c r="I64" s="284">
        <f t="shared" si="0"/>
        <v>0</v>
      </c>
      <c r="J64" s="49"/>
    </row>
    <row r="65" spans="2:10" ht="15.9" customHeight="1" x14ac:dyDescent="0.4">
      <c r="B65" s="417"/>
      <c r="C65" s="349"/>
      <c r="D65" s="356"/>
      <c r="E65" s="428"/>
      <c r="F65" s="357"/>
      <c r="G65" s="423"/>
      <c r="H65" s="359"/>
      <c r="I65" s="284">
        <f t="shared" si="0"/>
        <v>0</v>
      </c>
      <c r="J65" s="49"/>
    </row>
    <row r="66" spans="2:10" ht="15.9" customHeight="1" x14ac:dyDescent="0.4">
      <c r="B66" s="417"/>
      <c r="C66" s="349"/>
      <c r="D66" s="356"/>
      <c r="E66" s="428"/>
      <c r="F66" s="357"/>
      <c r="G66" s="423"/>
      <c r="H66" s="359"/>
      <c r="I66" s="284">
        <f t="shared" si="0"/>
        <v>0</v>
      </c>
      <c r="J66" s="49"/>
    </row>
    <row r="67" spans="2:10" ht="15.9" customHeight="1" x14ac:dyDescent="0.4">
      <c r="B67" s="417"/>
      <c r="C67" s="349"/>
      <c r="D67" s="356"/>
      <c r="E67" s="429"/>
      <c r="F67" s="357"/>
      <c r="G67" s="423"/>
      <c r="H67" s="359"/>
      <c r="I67" s="284">
        <f t="shared" si="0"/>
        <v>0</v>
      </c>
      <c r="J67" s="49"/>
    </row>
    <row r="68" spans="2:10" ht="15.9" customHeight="1" x14ac:dyDescent="0.4">
      <c r="B68" s="417"/>
      <c r="C68" s="349"/>
      <c r="D68" s="356"/>
      <c r="E68" s="429"/>
      <c r="F68" s="357"/>
      <c r="G68" s="423"/>
      <c r="H68" s="359"/>
      <c r="I68" s="284">
        <f t="shared" si="0"/>
        <v>0</v>
      </c>
      <c r="J68" s="49"/>
    </row>
    <row r="69" spans="2:10" ht="15.9" customHeight="1" x14ac:dyDescent="0.4">
      <c r="B69" s="417"/>
      <c r="C69" s="349"/>
      <c r="D69" s="356"/>
      <c r="E69" s="429"/>
      <c r="F69" s="357"/>
      <c r="G69" s="423"/>
      <c r="H69" s="359"/>
      <c r="I69" s="284">
        <f t="shared" si="0"/>
        <v>0</v>
      </c>
      <c r="J69" s="49"/>
    </row>
    <row r="70" spans="2:10" ht="15.9" customHeight="1" x14ac:dyDescent="0.4">
      <c r="B70" s="417"/>
      <c r="C70" s="349"/>
      <c r="D70" s="356"/>
      <c r="E70" s="429"/>
      <c r="F70" s="357"/>
      <c r="G70" s="423"/>
      <c r="H70" s="359"/>
      <c r="I70" s="284">
        <f t="shared" si="0"/>
        <v>0</v>
      </c>
      <c r="J70" s="49"/>
    </row>
    <row r="71" spans="2:10" ht="15.9" customHeight="1" x14ac:dyDescent="0.4">
      <c r="B71" s="417"/>
      <c r="C71" s="349"/>
      <c r="D71" s="356"/>
      <c r="E71" s="429"/>
      <c r="F71" s="357"/>
      <c r="G71" s="423"/>
      <c r="H71" s="359"/>
      <c r="I71" s="284">
        <f t="shared" si="0"/>
        <v>0</v>
      </c>
      <c r="J71" s="49"/>
    </row>
    <row r="72" spans="2:10" ht="15.9" customHeight="1" x14ac:dyDescent="0.4">
      <c r="B72" s="417"/>
      <c r="C72" s="349"/>
      <c r="D72" s="356"/>
      <c r="E72" s="356"/>
      <c r="F72" s="357"/>
      <c r="G72" s="423"/>
      <c r="H72" s="359"/>
      <c r="I72" s="284">
        <f t="shared" si="0"/>
        <v>0</v>
      </c>
      <c r="J72" s="49"/>
    </row>
    <row r="73" spans="2:10" ht="15.9" customHeight="1" x14ac:dyDescent="0.4">
      <c r="B73" s="417"/>
      <c r="C73" s="349"/>
      <c r="D73" s="356"/>
      <c r="E73" s="356"/>
      <c r="F73" s="357"/>
      <c r="G73" s="423"/>
      <c r="H73" s="359"/>
      <c r="I73" s="284">
        <f t="shared" si="0"/>
        <v>0</v>
      </c>
      <c r="J73" s="49"/>
    </row>
    <row r="74" spans="2:10" ht="15.9" customHeight="1" x14ac:dyDescent="0.4">
      <c r="B74" s="417"/>
      <c r="C74" s="349"/>
      <c r="D74" s="356"/>
      <c r="E74" s="356"/>
      <c r="F74" s="357"/>
      <c r="G74" s="423"/>
      <c r="H74" s="359"/>
      <c r="I74" s="284">
        <f t="shared" si="0"/>
        <v>0</v>
      </c>
      <c r="J74" s="49"/>
    </row>
    <row r="75" spans="2:10" ht="15.9" customHeight="1" x14ac:dyDescent="0.4">
      <c r="B75" s="417"/>
      <c r="C75" s="349"/>
      <c r="D75" s="356"/>
      <c r="E75" s="356"/>
      <c r="F75" s="357"/>
      <c r="G75" s="423"/>
      <c r="H75" s="359"/>
      <c r="I75" s="284">
        <f t="shared" si="0"/>
        <v>0</v>
      </c>
      <c r="J75" s="49"/>
    </row>
    <row r="76" spans="2:10" ht="15.9" customHeight="1" x14ac:dyDescent="0.4">
      <c r="B76" s="417"/>
      <c r="C76" s="349"/>
      <c r="D76" s="356"/>
      <c r="E76" s="356"/>
      <c r="F76" s="357"/>
      <c r="G76" s="423"/>
      <c r="H76" s="359"/>
      <c r="I76" s="284">
        <f t="shared" si="0"/>
        <v>0</v>
      </c>
      <c r="J76" s="49"/>
    </row>
    <row r="77" spans="2:10" ht="15.9" customHeight="1" x14ac:dyDescent="0.4">
      <c r="B77" s="417"/>
      <c r="C77" s="349"/>
      <c r="D77" s="356"/>
      <c r="E77" s="356"/>
      <c r="F77" s="357"/>
      <c r="G77" s="423"/>
      <c r="H77" s="359"/>
      <c r="I77" s="284">
        <f t="shared" si="0"/>
        <v>0</v>
      </c>
      <c r="J77" s="49"/>
    </row>
    <row r="78" spans="2:10" ht="15.9" customHeight="1" x14ac:dyDescent="0.4">
      <c r="B78" s="417"/>
      <c r="C78" s="349"/>
      <c r="D78" s="356"/>
      <c r="E78" s="356"/>
      <c r="F78" s="357"/>
      <c r="G78" s="423"/>
      <c r="H78" s="359"/>
      <c r="I78" s="284">
        <f t="shared" si="0"/>
        <v>0</v>
      </c>
      <c r="J78" s="49"/>
    </row>
    <row r="79" spans="2:10" ht="15.9" customHeight="1" x14ac:dyDescent="0.4">
      <c r="B79" s="417"/>
      <c r="C79" s="349"/>
      <c r="D79" s="356"/>
      <c r="E79" s="356"/>
      <c r="F79" s="357"/>
      <c r="G79" s="423"/>
      <c r="H79" s="359"/>
      <c r="I79" s="284">
        <f t="shared" si="0"/>
        <v>0</v>
      </c>
      <c r="J79" s="49"/>
    </row>
    <row r="80" spans="2:10" ht="15.9" customHeight="1" x14ac:dyDescent="0.4">
      <c r="B80" s="417"/>
      <c r="C80" s="349"/>
      <c r="D80" s="356"/>
      <c r="E80" s="356"/>
      <c r="F80" s="357"/>
      <c r="G80" s="423"/>
      <c r="H80" s="359"/>
      <c r="I80" s="284">
        <f t="shared" si="0"/>
        <v>0</v>
      </c>
      <c r="J80" s="49"/>
    </row>
    <row r="81" spans="2:10" ht="15.9" customHeight="1" x14ac:dyDescent="0.4">
      <c r="B81" s="417"/>
      <c r="C81" s="349"/>
      <c r="D81" s="356"/>
      <c r="E81" s="356"/>
      <c r="F81" s="357"/>
      <c r="G81" s="423"/>
      <c r="H81" s="359"/>
      <c r="I81" s="284">
        <f t="shared" si="0"/>
        <v>0</v>
      </c>
      <c r="J81" s="49"/>
    </row>
    <row r="82" spans="2:10" ht="15.9" customHeight="1" x14ac:dyDescent="0.4">
      <c r="B82" s="417"/>
      <c r="C82" s="349"/>
      <c r="D82" s="356"/>
      <c r="E82" s="428"/>
      <c r="F82" s="357"/>
      <c r="G82" s="423"/>
      <c r="H82" s="359"/>
      <c r="I82" s="284">
        <f t="shared" si="0"/>
        <v>0</v>
      </c>
      <c r="J82" s="49"/>
    </row>
    <row r="83" spans="2:10" ht="15.9" customHeight="1" x14ac:dyDescent="0.4">
      <c r="B83" s="417"/>
      <c r="C83" s="349"/>
      <c r="D83" s="356"/>
      <c r="E83" s="428"/>
      <c r="F83" s="357"/>
      <c r="G83" s="423"/>
      <c r="H83" s="359"/>
      <c r="I83" s="284">
        <f t="shared" si="0"/>
        <v>0</v>
      </c>
      <c r="J83" s="49"/>
    </row>
    <row r="84" spans="2:10" ht="15.9" customHeight="1" x14ac:dyDescent="0.4">
      <c r="B84" s="417"/>
      <c r="C84" s="349"/>
      <c r="D84" s="356"/>
      <c r="E84" s="356"/>
      <c r="F84" s="357"/>
      <c r="G84" s="423"/>
      <c r="H84" s="359"/>
      <c r="I84" s="284">
        <f t="shared" si="0"/>
        <v>0</v>
      </c>
      <c r="J84" s="49"/>
    </row>
    <row r="85" spans="2:10" ht="15.9" customHeight="1" x14ac:dyDescent="0.4">
      <c r="B85" s="417"/>
      <c r="C85" s="349"/>
      <c r="D85" s="356"/>
      <c r="E85" s="356"/>
      <c r="F85" s="357"/>
      <c r="G85" s="423"/>
      <c r="H85" s="359"/>
      <c r="I85" s="284">
        <f t="shared" si="0"/>
        <v>0</v>
      </c>
      <c r="J85" s="49"/>
    </row>
    <row r="86" spans="2:10" ht="15.9" customHeight="1" x14ac:dyDescent="0.4">
      <c r="B86" s="417"/>
      <c r="C86" s="349"/>
      <c r="D86" s="356"/>
      <c r="E86" s="356"/>
      <c r="F86" s="357"/>
      <c r="G86" s="423"/>
      <c r="H86" s="359"/>
      <c r="I86" s="284">
        <f t="shared" si="0"/>
        <v>0</v>
      </c>
      <c r="J86" s="49"/>
    </row>
    <row r="87" spans="2:10" ht="15.9" customHeight="1" x14ac:dyDescent="0.4">
      <c r="B87" s="417"/>
      <c r="C87" s="349"/>
      <c r="D87" s="356"/>
      <c r="E87" s="356"/>
      <c r="F87" s="357"/>
      <c r="G87" s="423"/>
      <c r="H87" s="359"/>
      <c r="I87" s="284">
        <f t="shared" si="0"/>
        <v>0</v>
      </c>
      <c r="J87" s="49"/>
    </row>
    <row r="88" spans="2:10" ht="15.9" customHeight="1" x14ac:dyDescent="0.4">
      <c r="B88" s="417"/>
      <c r="C88" s="349"/>
      <c r="D88" s="356"/>
      <c r="E88" s="356"/>
      <c r="F88" s="357"/>
      <c r="G88" s="423"/>
      <c r="H88" s="359"/>
      <c r="I88" s="284">
        <f t="shared" si="0"/>
        <v>0</v>
      </c>
      <c r="J88" s="49"/>
    </row>
    <row r="89" spans="2:10" ht="15.9" customHeight="1" x14ac:dyDescent="0.4">
      <c r="B89" s="417"/>
      <c r="C89" s="349"/>
      <c r="D89" s="356"/>
      <c r="E89" s="356"/>
      <c r="F89" s="357"/>
      <c r="G89" s="423"/>
      <c r="H89" s="359"/>
      <c r="I89" s="284">
        <f t="shared" si="0"/>
        <v>0</v>
      </c>
      <c r="J89" s="49"/>
    </row>
    <row r="90" spans="2:10" ht="15.9" customHeight="1" x14ac:dyDescent="0.4">
      <c r="B90" s="417"/>
      <c r="C90" s="349"/>
      <c r="D90" s="356"/>
      <c r="E90" s="356"/>
      <c r="F90" s="357"/>
      <c r="G90" s="423"/>
      <c r="H90" s="359"/>
      <c r="I90" s="284">
        <f t="shared" si="0"/>
        <v>0</v>
      </c>
      <c r="J90" s="49"/>
    </row>
    <row r="91" spans="2:10" ht="15.9" customHeight="1" x14ac:dyDescent="0.4">
      <c r="B91" s="417"/>
      <c r="C91" s="349"/>
      <c r="D91" s="356"/>
      <c r="E91" s="356"/>
      <c r="F91" s="357"/>
      <c r="G91" s="423"/>
      <c r="H91" s="359"/>
      <c r="I91" s="284">
        <f t="shared" si="0"/>
        <v>0</v>
      </c>
      <c r="J91" s="49"/>
    </row>
    <row r="92" spans="2:10" ht="15.9" customHeight="1" x14ac:dyDescent="0.4">
      <c r="B92" s="417"/>
      <c r="C92" s="349"/>
      <c r="D92" s="356"/>
      <c r="E92" s="356"/>
      <c r="F92" s="357"/>
      <c r="G92" s="423"/>
      <c r="H92" s="359"/>
      <c r="I92" s="284">
        <f t="shared" si="0"/>
        <v>0</v>
      </c>
      <c r="J92" s="49"/>
    </row>
    <row r="93" spans="2:10" ht="15.9" customHeight="1" x14ac:dyDescent="0.4">
      <c r="B93" s="417"/>
      <c r="C93" s="349"/>
      <c r="D93" s="356"/>
      <c r="E93" s="356"/>
      <c r="F93" s="357"/>
      <c r="G93" s="359"/>
      <c r="H93" s="359"/>
      <c r="I93" s="284">
        <f t="shared" si="0"/>
        <v>0</v>
      </c>
      <c r="J93" s="49"/>
    </row>
    <row r="94" spans="2:10" ht="15.9" customHeight="1" x14ac:dyDescent="0.4">
      <c r="B94" s="417"/>
      <c r="C94" s="349"/>
      <c r="D94" s="418"/>
      <c r="E94" s="418"/>
      <c r="F94" s="419"/>
      <c r="G94" s="420"/>
      <c r="H94" s="420"/>
      <c r="I94" s="284">
        <f t="shared" si="0"/>
        <v>0</v>
      </c>
      <c r="J94" s="49"/>
    </row>
    <row r="95" spans="2:10" ht="15.9" customHeight="1" x14ac:dyDescent="0.4">
      <c r="B95" s="417"/>
      <c r="C95" s="349"/>
      <c r="D95" s="356"/>
      <c r="E95" s="356"/>
      <c r="F95" s="357"/>
      <c r="G95" s="423"/>
      <c r="H95" s="359"/>
      <c r="I95" s="284">
        <f t="shared" si="0"/>
        <v>0</v>
      </c>
      <c r="J95" s="49"/>
    </row>
    <row r="96" spans="2:10" ht="15.9" customHeight="1" x14ac:dyDescent="0.4">
      <c r="B96" s="417"/>
      <c r="C96" s="349"/>
      <c r="D96" s="356"/>
      <c r="E96" s="356"/>
      <c r="F96" s="357"/>
      <c r="G96" s="423"/>
      <c r="H96" s="359"/>
      <c r="I96" s="284">
        <f t="shared" si="0"/>
        <v>0</v>
      </c>
      <c r="J96" s="49"/>
    </row>
    <row r="97" spans="2:10" ht="15.9" customHeight="1" x14ac:dyDescent="0.4">
      <c r="B97" s="417"/>
      <c r="C97" s="349"/>
      <c r="D97" s="356"/>
      <c r="E97" s="356"/>
      <c r="F97" s="357"/>
      <c r="G97" s="423"/>
      <c r="H97" s="359"/>
      <c r="I97" s="284">
        <f t="shared" si="0"/>
        <v>0</v>
      </c>
      <c r="J97" s="49"/>
    </row>
    <row r="98" spans="2:10" ht="15.9" customHeight="1" x14ac:dyDescent="0.4">
      <c r="B98" s="417"/>
      <c r="C98" s="349"/>
      <c r="D98" s="356"/>
      <c r="E98" s="356"/>
      <c r="F98" s="357"/>
      <c r="G98" s="423"/>
      <c r="H98" s="359"/>
      <c r="I98" s="284">
        <f t="shared" si="0"/>
        <v>0</v>
      </c>
      <c r="J98" s="49"/>
    </row>
    <row r="99" spans="2:10" ht="15.9" customHeight="1" x14ac:dyDescent="0.4">
      <c r="B99" s="417"/>
      <c r="C99" s="349"/>
      <c r="D99" s="356"/>
      <c r="E99" s="356"/>
      <c r="F99" s="357"/>
      <c r="G99" s="423"/>
      <c r="H99" s="359"/>
      <c r="I99" s="284">
        <f t="shared" si="0"/>
        <v>0</v>
      </c>
      <c r="J99" s="49"/>
    </row>
    <row r="100" spans="2:10" ht="15.9" customHeight="1" x14ac:dyDescent="0.4">
      <c r="B100" s="417"/>
      <c r="C100" s="349"/>
      <c r="D100" s="418"/>
      <c r="E100" s="418"/>
      <c r="F100" s="419"/>
      <c r="G100" s="420"/>
      <c r="H100" s="420"/>
      <c r="I100" s="284">
        <f t="shared" si="0"/>
        <v>0</v>
      </c>
      <c r="J100" s="49"/>
    </row>
    <row r="101" spans="2:10" ht="15.9" customHeight="1" x14ac:dyDescent="0.4">
      <c r="B101" s="417"/>
      <c r="C101" s="349"/>
      <c r="D101" s="377"/>
      <c r="E101" s="377"/>
      <c r="F101" s="390"/>
      <c r="G101" s="430"/>
      <c r="H101" s="379"/>
      <c r="I101" s="284">
        <f t="shared" si="0"/>
        <v>0</v>
      </c>
      <c r="J101" s="57"/>
    </row>
    <row r="102" spans="2:10" ht="15.9" customHeight="1" x14ac:dyDescent="0.4">
      <c r="B102" s="417"/>
      <c r="C102" s="349"/>
      <c r="D102" s="360" t="s">
        <v>203</v>
      </c>
      <c r="E102" s="360"/>
      <c r="F102" s="361" t="s">
        <v>59</v>
      </c>
      <c r="G102" s="431"/>
      <c r="H102" s="363"/>
      <c r="I102" s="284">
        <f t="shared" si="0"/>
        <v>0</v>
      </c>
      <c r="J102" s="64"/>
    </row>
    <row r="103" spans="2:10" ht="15.9" customHeight="1" x14ac:dyDescent="0.4">
      <c r="B103" s="417"/>
      <c r="C103" s="364"/>
      <c r="D103" s="365"/>
      <c r="E103" s="366"/>
      <c r="F103" s="366"/>
      <c r="G103" s="368"/>
      <c r="H103" s="368"/>
      <c r="I103" s="77">
        <f>SUM(I52:I102)</f>
        <v>20000000</v>
      </c>
      <c r="J103" s="72"/>
    </row>
    <row r="104" spans="2:10" ht="15.9" customHeight="1" x14ac:dyDescent="0.4">
      <c r="B104" s="417"/>
      <c r="C104" s="386" t="s">
        <v>61</v>
      </c>
      <c r="D104" s="370"/>
      <c r="E104" s="370"/>
      <c r="F104" s="371"/>
      <c r="G104" s="372"/>
      <c r="H104" s="373"/>
      <c r="I104" s="374">
        <f t="shared" si="0"/>
        <v>0</v>
      </c>
      <c r="J104" s="375"/>
    </row>
    <row r="105" spans="2:10" ht="15.9" customHeight="1" x14ac:dyDescent="0.4">
      <c r="B105" s="417"/>
      <c r="C105" s="349"/>
      <c r="D105" s="360" t="s">
        <v>203</v>
      </c>
      <c r="E105" s="360"/>
      <c r="F105" s="360"/>
      <c r="G105" s="363"/>
      <c r="H105" s="363"/>
      <c r="I105" s="314">
        <f t="shared" si="0"/>
        <v>0</v>
      </c>
      <c r="J105" s="64"/>
    </row>
    <row r="106" spans="2:10" ht="15.9" customHeight="1" x14ac:dyDescent="0.4">
      <c r="B106" s="417"/>
      <c r="C106" s="364"/>
      <c r="D106" s="365"/>
      <c r="E106" s="366"/>
      <c r="F106" s="366"/>
      <c r="G106" s="368"/>
      <c r="H106" s="368"/>
      <c r="I106" s="77">
        <f>SUM(I104:I105)</f>
        <v>0</v>
      </c>
      <c r="J106" s="72"/>
    </row>
    <row r="107" spans="2:10" ht="15.9" customHeight="1" x14ac:dyDescent="0.4">
      <c r="B107" s="392"/>
      <c r="C107" s="393" t="s">
        <v>149</v>
      </c>
      <c r="D107" s="394"/>
      <c r="E107" s="72"/>
      <c r="F107" s="72"/>
      <c r="G107" s="396"/>
      <c r="H107" s="396"/>
      <c r="I107" s="77">
        <f>SUM(I106,I103,I51,I47)</f>
        <v>95000000</v>
      </c>
      <c r="J107" s="72"/>
    </row>
    <row r="108" spans="2:10" ht="15.9" customHeight="1" x14ac:dyDescent="0.4">
      <c r="B108" s="348" t="s">
        <v>150</v>
      </c>
      <c r="C108" s="398" t="s">
        <v>67</v>
      </c>
      <c r="D108" s="394"/>
      <c r="E108" s="72"/>
      <c r="F108" s="399" t="s">
        <v>68</v>
      </c>
      <c r="G108" s="432">
        <v>0</v>
      </c>
      <c r="H108" s="413">
        <v>250000</v>
      </c>
      <c r="I108" s="402">
        <f>G108*H108</f>
        <v>0</v>
      </c>
      <c r="J108" s="72"/>
    </row>
    <row r="109" spans="2:10" ht="15.9" customHeight="1" x14ac:dyDescent="0.4">
      <c r="B109" s="417"/>
      <c r="C109" s="404" t="s">
        <v>204</v>
      </c>
      <c r="D109" s="405"/>
      <c r="E109" s="375"/>
      <c r="F109" s="89" t="s">
        <v>152</v>
      </c>
      <c r="G109" s="433">
        <v>10</v>
      </c>
      <c r="H109" s="437">
        <v>300000</v>
      </c>
      <c r="I109" s="374">
        <f t="shared" ref="I109:I115" si="1">G109*H109</f>
        <v>3000000</v>
      </c>
      <c r="J109" s="375"/>
    </row>
    <row r="110" spans="2:10" ht="15.9" customHeight="1" x14ac:dyDescent="0.4">
      <c r="B110" s="417"/>
      <c r="C110" s="406" t="s">
        <v>205</v>
      </c>
      <c r="D110" s="407"/>
      <c r="E110" s="49"/>
      <c r="F110" s="51" t="s">
        <v>152</v>
      </c>
      <c r="G110" s="434">
        <v>2</v>
      </c>
      <c r="H110" s="420">
        <v>250000</v>
      </c>
      <c r="I110" s="284">
        <f t="shared" si="1"/>
        <v>500000</v>
      </c>
      <c r="J110" s="49"/>
    </row>
    <row r="111" spans="2:10" ht="15.9" customHeight="1" x14ac:dyDescent="0.4">
      <c r="B111" s="417"/>
      <c r="C111" s="406" t="s">
        <v>206</v>
      </c>
      <c r="D111" s="407"/>
      <c r="E111" s="49"/>
      <c r="F111" s="51" t="s">
        <v>152</v>
      </c>
      <c r="G111" s="434">
        <v>10</v>
      </c>
      <c r="H111" s="420">
        <v>250000</v>
      </c>
      <c r="I111" s="284">
        <f t="shared" si="1"/>
        <v>2500000</v>
      </c>
      <c r="J111" s="49"/>
    </row>
    <row r="112" spans="2:10" ht="15.9" customHeight="1" x14ac:dyDescent="0.4">
      <c r="B112" s="417"/>
      <c r="C112" s="406" t="s">
        <v>207</v>
      </c>
      <c r="D112" s="407"/>
      <c r="E112" s="49"/>
      <c r="F112" s="51" t="s">
        <v>152</v>
      </c>
      <c r="G112" s="434">
        <v>2</v>
      </c>
      <c r="H112" s="359">
        <v>300000</v>
      </c>
      <c r="I112" s="284">
        <f t="shared" si="1"/>
        <v>600000</v>
      </c>
      <c r="J112" s="49"/>
    </row>
    <row r="113" spans="2:10" ht="15.9" customHeight="1" x14ac:dyDescent="0.4">
      <c r="B113" s="417"/>
      <c r="C113" s="406" t="s">
        <v>208</v>
      </c>
      <c r="D113" s="407"/>
      <c r="E113" s="49"/>
      <c r="F113" s="51" t="s">
        <v>152</v>
      </c>
      <c r="G113" s="434">
        <v>2</v>
      </c>
      <c r="H113" s="359">
        <v>300000</v>
      </c>
      <c r="I113" s="284">
        <f t="shared" si="1"/>
        <v>600000</v>
      </c>
      <c r="J113" s="49"/>
    </row>
    <row r="114" spans="2:10" ht="15.9" customHeight="1" x14ac:dyDescent="0.4">
      <c r="B114" s="417"/>
      <c r="C114" s="406" t="s">
        <v>209</v>
      </c>
      <c r="D114" s="407"/>
      <c r="E114" s="49"/>
      <c r="F114" s="51" t="s">
        <v>152</v>
      </c>
      <c r="G114" s="434">
        <v>0</v>
      </c>
      <c r="H114" s="359">
        <v>300000</v>
      </c>
      <c r="I114" s="284">
        <f t="shared" si="1"/>
        <v>0</v>
      </c>
      <c r="J114" s="49"/>
    </row>
    <row r="115" spans="2:10" ht="15.9" customHeight="1" x14ac:dyDescent="0.4">
      <c r="B115" s="417"/>
      <c r="C115" s="408" t="s">
        <v>210</v>
      </c>
      <c r="D115" s="409"/>
      <c r="E115" s="64"/>
      <c r="F115" s="51" t="s">
        <v>152</v>
      </c>
      <c r="G115" s="435">
        <v>2</v>
      </c>
      <c r="H115" s="438">
        <v>250000</v>
      </c>
      <c r="I115" s="314">
        <f t="shared" si="1"/>
        <v>500000</v>
      </c>
      <c r="J115" s="64"/>
    </row>
    <row r="116" spans="2:10" ht="15.9" customHeight="1" x14ac:dyDescent="0.4">
      <c r="B116" s="392"/>
      <c r="C116" s="410" t="s">
        <v>158</v>
      </c>
      <c r="D116" s="394"/>
      <c r="E116" s="72"/>
      <c r="F116" s="72"/>
      <c r="G116" s="368"/>
      <c r="H116" s="368"/>
      <c r="I116" s="368">
        <f>SUM(I108:I115)</f>
        <v>7700000</v>
      </c>
      <c r="J116" s="366"/>
    </row>
    <row r="117" spans="2:10" ht="15.9" customHeight="1" x14ac:dyDescent="0.4">
      <c r="B117" s="399"/>
      <c r="C117" s="410" t="s">
        <v>211</v>
      </c>
      <c r="D117" s="394"/>
      <c r="E117" s="72"/>
      <c r="F117" s="72"/>
      <c r="G117" s="77"/>
      <c r="H117" s="77"/>
      <c r="I117" s="396">
        <f>'단위공사별(집계)'!L17+'단위공사별(집계)'!I17</f>
        <v>490755.99789085158</v>
      </c>
      <c r="J117" s="72"/>
    </row>
    <row r="118" spans="2:10" ht="15.9" customHeight="1" x14ac:dyDescent="0.4">
      <c r="B118" s="399"/>
      <c r="C118" s="410" t="s">
        <v>93</v>
      </c>
      <c r="D118" s="394"/>
      <c r="E118" s="72"/>
      <c r="F118" s="72"/>
      <c r="G118" s="77"/>
      <c r="H118" s="412"/>
      <c r="I118" s="413">
        <v>0</v>
      </c>
      <c r="J118" s="394"/>
    </row>
    <row r="119" spans="2:10" ht="15.9" customHeight="1" x14ac:dyDescent="0.4">
      <c r="B119" s="399"/>
      <c r="C119" s="410" t="s">
        <v>161</v>
      </c>
      <c r="D119" s="394"/>
      <c r="E119" s="72"/>
      <c r="F119" s="72"/>
      <c r="G119" s="77"/>
      <c r="H119" s="412"/>
      <c r="I119" s="413">
        <v>0</v>
      </c>
      <c r="J119" s="394"/>
    </row>
    <row r="120" spans="2:10" ht="15.9" customHeight="1" x14ac:dyDescent="0.4">
      <c r="B120" s="399"/>
      <c r="C120" s="410" t="s">
        <v>162</v>
      </c>
      <c r="D120" s="394"/>
      <c r="E120" s="72"/>
      <c r="F120" s="72"/>
      <c r="G120" s="77"/>
      <c r="H120" s="77"/>
      <c r="I120" s="368">
        <f>I107+I116+I117+I118+I119</f>
        <v>103190755.99789084</v>
      </c>
      <c r="J120" s="72"/>
    </row>
    <row r="121" spans="2:10" x14ac:dyDescent="0.4">
      <c r="B121" s="30"/>
    </row>
  </sheetData>
  <mergeCells count="3">
    <mergeCell ref="B2:C2"/>
    <mergeCell ref="B3:B106"/>
    <mergeCell ref="B108:B11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fitToHeight="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rowBreaks count="2" manualBreakCount="2">
    <brk id="18" max="16383" man="1"/>
    <brk id="51" min="1" max="9" man="1"/>
  </rowBreaks>
  <colBreaks count="2" manualBreakCount="2">
    <brk id="2" max="119" man="1"/>
    <brk id="13" max="1048575" man="1"/>
  </col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3514-A9A1-4BA1-9AD3-570B1F897248}">
  <sheetPr>
    <tabColor rgb="FF00B050"/>
    <pageSetUpPr fitToPage="1"/>
  </sheetPr>
  <dimension ref="A1:I69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340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8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7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7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60" t="s">
        <v>275</v>
      </c>
      <c r="D18" s="377"/>
      <c r="E18" s="390" t="s">
        <v>195</v>
      </c>
      <c r="F18" s="379"/>
      <c r="G18" s="379"/>
      <c r="H18" s="294">
        <f t="shared" si="1"/>
        <v>0</v>
      </c>
      <c r="I18" s="57"/>
    </row>
    <row r="19" spans="1:9" ht="15.9" customHeight="1" x14ac:dyDescent="0.4">
      <c r="A19" s="417"/>
      <c r="B19" s="364"/>
      <c r="C19" s="381"/>
      <c r="D19" s="381"/>
      <c r="E19" s="381"/>
      <c r="F19" s="384"/>
      <c r="G19" s="384"/>
      <c r="H19" s="385">
        <f>SUM(H3:H18)</f>
        <v>0</v>
      </c>
      <c r="I19" s="381"/>
    </row>
    <row r="20" spans="1:9" ht="15.9" customHeight="1" x14ac:dyDescent="0.4">
      <c r="A20" s="417"/>
      <c r="B20" s="349" t="s">
        <v>177</v>
      </c>
      <c r="C20" s="350"/>
      <c r="D20" s="350"/>
      <c r="E20" s="350"/>
      <c r="F20" s="353"/>
      <c r="G20" s="353"/>
      <c r="H20" s="304">
        <f t="shared" ref="H20:H53" si="2">IF(F20=0,G20,G20*F20)</f>
        <v>0</v>
      </c>
      <c r="I20" s="354"/>
    </row>
    <row r="21" spans="1:9" ht="15.9" customHeight="1" x14ac:dyDescent="0.4">
      <c r="A21" s="417"/>
      <c r="B21" s="349" t="s">
        <v>178</v>
      </c>
      <c r="C21" s="356"/>
      <c r="D21" s="356"/>
      <c r="E21" s="356"/>
      <c r="F21" s="359"/>
      <c r="G21" s="359"/>
      <c r="H21" s="284">
        <f t="shared" si="2"/>
        <v>0</v>
      </c>
      <c r="I21" s="49"/>
    </row>
    <row r="22" spans="1:9" ht="15.9" customHeight="1" x14ac:dyDescent="0.4">
      <c r="A22" s="417"/>
      <c r="B22" s="349"/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60" t="s">
        <v>203</v>
      </c>
      <c r="D24" s="360"/>
      <c r="E24" s="360"/>
      <c r="F24" s="363"/>
      <c r="G24" s="363"/>
      <c r="H24" s="284">
        <f t="shared" si="2"/>
        <v>0</v>
      </c>
      <c r="I24" s="64"/>
    </row>
    <row r="25" spans="1:9" ht="15.9" customHeight="1" x14ac:dyDescent="0.4">
      <c r="A25" s="417"/>
      <c r="B25" s="364"/>
      <c r="C25" s="365"/>
      <c r="D25" s="366"/>
      <c r="E25" s="366"/>
      <c r="F25" s="422"/>
      <c r="G25" s="368"/>
      <c r="H25" s="77">
        <f>SUM(H20:H24)</f>
        <v>0</v>
      </c>
      <c r="I25" s="72"/>
    </row>
    <row r="26" spans="1:9" ht="15.9" customHeight="1" x14ac:dyDescent="0.4">
      <c r="A26" s="417"/>
      <c r="B26" s="386" t="s">
        <v>179</v>
      </c>
      <c r="C26" s="391"/>
      <c r="D26" s="428"/>
      <c r="E26" s="388"/>
      <c r="F26" s="436"/>
      <c r="G26" s="389"/>
      <c r="H26" s="374">
        <f t="shared" ref="H26:H45" si="3">IF(F26=0,G26,G26*F26)</f>
        <v>0</v>
      </c>
      <c r="I26" s="375"/>
    </row>
    <row r="27" spans="1:9" ht="15.9" customHeight="1" x14ac:dyDescent="0.4">
      <c r="A27" s="417"/>
      <c r="B27" s="349" t="s">
        <v>181</v>
      </c>
      <c r="C27" s="356" t="s">
        <v>341</v>
      </c>
      <c r="D27" s="356"/>
      <c r="E27" s="357" t="s">
        <v>59</v>
      </c>
      <c r="F27" s="359">
        <v>1</v>
      </c>
      <c r="G27" s="359">
        <v>43000000</v>
      </c>
      <c r="H27" s="284">
        <f t="shared" si="3"/>
        <v>43000000</v>
      </c>
      <c r="I27" s="49"/>
    </row>
    <row r="28" spans="1:9" ht="15.9" customHeight="1" x14ac:dyDescent="0.4">
      <c r="A28" s="417"/>
      <c r="B28" s="349"/>
      <c r="C28" s="391"/>
      <c r="D28" s="428"/>
      <c r="E28" s="388"/>
      <c r="F28" s="436"/>
      <c r="G28" s="38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359"/>
      <c r="G29" s="359"/>
      <c r="H29" s="284">
        <f t="shared" si="3"/>
        <v>0</v>
      </c>
      <c r="I29" s="49"/>
    </row>
    <row r="30" spans="1:9" ht="15.9" customHeight="1" x14ac:dyDescent="0.4">
      <c r="A30" s="417"/>
      <c r="B30" s="349"/>
      <c r="C30" s="356"/>
      <c r="D30" s="356"/>
      <c r="E30" s="357"/>
      <c r="F30" s="359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si="3"/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3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3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3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3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3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3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3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3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3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3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3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3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/>
      <c r="G45" s="363"/>
      <c r="H45" s="284">
        <f t="shared" si="3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SUM(H26:H45)</f>
        <v>43000000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SUM(H54,H46,H25,H19)</f>
        <v>43000000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4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4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4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4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4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4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4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'단위공사별(집계)'!L18+'단위공사별(집계)'!I18</f>
        <v>205477.19483258633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43205477.194832586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6288-8D9C-4069-BBC9-1EE5A992EBC1}">
  <sheetPr>
    <tabColor rgb="FF00B050"/>
    <pageSetUpPr fitToPage="1"/>
  </sheetPr>
  <dimension ref="A1:I69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342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8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7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7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60" t="s">
        <v>275</v>
      </c>
      <c r="D18" s="377"/>
      <c r="E18" s="390" t="s">
        <v>195</v>
      </c>
      <c r="F18" s="379"/>
      <c r="G18" s="379"/>
      <c r="H18" s="294">
        <f t="shared" si="1"/>
        <v>0</v>
      </c>
      <c r="I18" s="57"/>
    </row>
    <row r="19" spans="1:9" ht="15.9" customHeight="1" x14ac:dyDescent="0.4">
      <c r="A19" s="417"/>
      <c r="B19" s="364"/>
      <c r="C19" s="381"/>
      <c r="D19" s="381"/>
      <c r="E19" s="381"/>
      <c r="F19" s="384"/>
      <c r="G19" s="384"/>
      <c r="H19" s="385">
        <f>SUM(H3:H18)</f>
        <v>0</v>
      </c>
      <c r="I19" s="381"/>
    </row>
    <row r="20" spans="1:9" ht="15.9" customHeight="1" x14ac:dyDescent="0.4">
      <c r="A20" s="417"/>
      <c r="B20" s="349" t="s">
        <v>177</v>
      </c>
      <c r="C20" s="350"/>
      <c r="D20" s="350"/>
      <c r="E20" s="350"/>
      <c r="F20" s="353"/>
      <c r="G20" s="353"/>
      <c r="H20" s="304">
        <f t="shared" ref="H20:H53" si="2">IF(F20=0,G20,G20*F20)</f>
        <v>0</v>
      </c>
      <c r="I20" s="354"/>
    </row>
    <row r="21" spans="1:9" ht="15.9" customHeight="1" x14ac:dyDescent="0.4">
      <c r="A21" s="417"/>
      <c r="B21" s="349" t="s">
        <v>178</v>
      </c>
      <c r="C21" s="356"/>
      <c r="D21" s="356"/>
      <c r="E21" s="356"/>
      <c r="F21" s="359"/>
      <c r="G21" s="359"/>
      <c r="H21" s="284">
        <f t="shared" si="2"/>
        <v>0</v>
      </c>
      <c r="I21" s="49"/>
    </row>
    <row r="22" spans="1:9" ht="15.9" customHeight="1" x14ac:dyDescent="0.4">
      <c r="A22" s="417"/>
      <c r="B22" s="349"/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60" t="s">
        <v>203</v>
      </c>
      <c r="D24" s="360"/>
      <c r="E24" s="360"/>
      <c r="F24" s="363"/>
      <c r="G24" s="363"/>
      <c r="H24" s="284">
        <f t="shared" si="2"/>
        <v>0</v>
      </c>
      <c r="I24" s="64"/>
    </row>
    <row r="25" spans="1:9" ht="15.9" customHeight="1" x14ac:dyDescent="0.4">
      <c r="A25" s="417"/>
      <c r="B25" s="364"/>
      <c r="C25" s="365"/>
      <c r="D25" s="366"/>
      <c r="E25" s="366"/>
      <c r="F25" s="422"/>
      <c r="G25" s="368"/>
      <c r="H25" s="77">
        <f>SUM(H20:H24)</f>
        <v>0</v>
      </c>
      <c r="I25" s="72"/>
    </row>
    <row r="26" spans="1:9" ht="15.9" customHeight="1" x14ac:dyDescent="0.4">
      <c r="A26" s="417"/>
      <c r="B26" s="386" t="s">
        <v>179</v>
      </c>
      <c r="C26" s="391"/>
      <c r="D26" s="428"/>
      <c r="E26" s="388"/>
      <c r="F26" s="436"/>
      <c r="G26" s="389"/>
      <c r="H26" s="374">
        <f t="shared" ref="H26:H45" si="3">IF(F26=0,G26,G26*F26)</f>
        <v>0</v>
      </c>
      <c r="I26" s="375"/>
    </row>
    <row r="27" spans="1:9" ht="15.9" customHeight="1" x14ac:dyDescent="0.4">
      <c r="A27" s="417"/>
      <c r="B27" s="349" t="s">
        <v>181</v>
      </c>
      <c r="C27" s="356" t="s">
        <v>342</v>
      </c>
      <c r="D27" s="356"/>
      <c r="E27" s="357" t="s">
        <v>59</v>
      </c>
      <c r="F27" s="359">
        <v>1</v>
      </c>
      <c r="G27" s="359">
        <v>30000000</v>
      </c>
      <c r="H27" s="284">
        <f t="shared" si="3"/>
        <v>30000000</v>
      </c>
      <c r="I27" s="49"/>
    </row>
    <row r="28" spans="1:9" ht="15.9" customHeight="1" x14ac:dyDescent="0.4">
      <c r="A28" s="417"/>
      <c r="B28" s="349"/>
      <c r="C28" s="391"/>
      <c r="D28" s="428"/>
      <c r="E28" s="388"/>
      <c r="F28" s="436"/>
      <c r="G28" s="38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359"/>
      <c r="G29" s="359"/>
      <c r="H29" s="284">
        <f t="shared" si="3"/>
        <v>0</v>
      </c>
      <c r="I29" s="49"/>
    </row>
    <row r="30" spans="1:9" ht="15.9" customHeight="1" x14ac:dyDescent="0.4">
      <c r="A30" s="417"/>
      <c r="B30" s="349"/>
      <c r="C30" s="356"/>
      <c r="D30" s="356"/>
      <c r="E30" s="357"/>
      <c r="F30" s="359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si="3"/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3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3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3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3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3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3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3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3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3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3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3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3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/>
      <c r="G45" s="363"/>
      <c r="H45" s="284">
        <f t="shared" si="3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SUM(H26:H45)</f>
        <v>30000000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SUM(H54,H46,H25,H19)</f>
        <v>30000000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4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4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4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4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4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4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4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'단위공사별(집계)'!L19+'단위공사별(집계)'!I19</f>
        <v>143356.1824413393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30143356.182441339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58B1-0895-455B-83C3-7ABEAE38F810}">
  <sheetPr>
    <tabColor rgb="FF00B050"/>
    <pageSetUpPr fitToPage="1"/>
  </sheetPr>
  <dimension ref="A1:I70"/>
  <sheetViews>
    <sheetView zoomScaleNormal="100" workbookViewId="0">
      <pane xSplit="2" ySplit="2" topLeftCell="C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 t="s">
        <v>343</v>
      </c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4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91"/>
      <c r="D27" s="428"/>
      <c r="E27" s="388"/>
      <c r="F27" s="436"/>
      <c r="G27" s="389"/>
      <c r="H27" s="374">
        <f t="shared" ref="H27:H46" si="3">IF(F27=0,G27,G27*F27)</f>
        <v>0</v>
      </c>
      <c r="I27" s="375"/>
    </row>
    <row r="28" spans="1:9" ht="15.9" customHeight="1" x14ac:dyDescent="0.4">
      <c r="A28" s="417"/>
      <c r="B28" s="349" t="s">
        <v>181</v>
      </c>
      <c r="C28" s="356" t="s">
        <v>343</v>
      </c>
      <c r="D28" s="356"/>
      <c r="E28" s="357" t="s">
        <v>59</v>
      </c>
      <c r="F28" s="359">
        <v>1</v>
      </c>
      <c r="G28" s="359">
        <v>16000000</v>
      </c>
      <c r="H28" s="284">
        <f t="shared" si="3"/>
        <v>16000000</v>
      </c>
      <c r="I28" s="49"/>
    </row>
    <row r="29" spans="1:9" ht="15.9" customHeight="1" x14ac:dyDescent="0.4">
      <c r="A29" s="417"/>
      <c r="B29" s="349"/>
      <c r="C29" s="391"/>
      <c r="D29" s="428"/>
      <c r="E29" s="388"/>
      <c r="F29" s="436"/>
      <c r="G29" s="389"/>
      <c r="H29" s="284">
        <f t="shared" si="3"/>
        <v>0</v>
      </c>
      <c r="I29" s="49"/>
    </row>
    <row r="30" spans="1:9" ht="15.9" customHeight="1" x14ac:dyDescent="0.4">
      <c r="A30" s="417"/>
      <c r="B30" s="349"/>
      <c r="C30" s="356"/>
      <c r="D30" s="356"/>
      <c r="E30" s="357"/>
      <c r="F30" s="359"/>
      <c r="G30" s="359"/>
      <c r="H30" s="284">
        <f t="shared" si="3"/>
        <v>0</v>
      </c>
      <c r="I30" s="49"/>
    </row>
    <row r="31" spans="1:9" ht="15.9" customHeight="1" x14ac:dyDescent="0.4">
      <c r="A31" s="417"/>
      <c r="B31" s="349"/>
      <c r="C31" s="356"/>
      <c r="D31" s="356"/>
      <c r="E31" s="357"/>
      <c r="F31" s="359"/>
      <c r="G31" s="359"/>
      <c r="H31" s="284">
        <f t="shared" si="3"/>
        <v>0</v>
      </c>
      <c r="I31" s="49"/>
    </row>
    <row r="32" spans="1:9" ht="15.75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3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3"/>
        <v>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359"/>
      <c r="G34" s="359"/>
      <c r="H34" s="284">
        <f t="shared" si="3"/>
        <v>0</v>
      </c>
      <c r="I34" s="49"/>
    </row>
    <row r="35" spans="1:9" ht="15.9" customHeight="1" x14ac:dyDescent="0.4">
      <c r="A35" s="417"/>
      <c r="B35" s="349"/>
      <c r="C35" s="418"/>
      <c r="D35" s="418"/>
      <c r="E35" s="419"/>
      <c r="F35" s="420"/>
      <c r="G35" s="420"/>
      <c r="H35" s="284">
        <f t="shared" si="3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3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3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3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3"/>
        <v>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423"/>
      <c r="G40" s="359"/>
      <c r="H40" s="284">
        <f t="shared" si="3"/>
        <v>0</v>
      </c>
      <c r="I40" s="49"/>
    </row>
    <row r="41" spans="1:9" ht="15.9" customHeight="1" x14ac:dyDescent="0.4">
      <c r="A41" s="417"/>
      <c r="B41" s="349"/>
      <c r="C41" s="418"/>
      <c r="D41" s="418"/>
      <c r="E41" s="419"/>
      <c r="F41" s="420"/>
      <c r="G41" s="420"/>
      <c r="H41" s="284">
        <f>IF(F41=0,G41,G41*F41)</f>
        <v>0</v>
      </c>
      <c r="I41" s="49"/>
    </row>
    <row r="42" spans="1:9" ht="15.9" customHeight="1" x14ac:dyDescent="0.4">
      <c r="A42" s="417"/>
      <c r="B42" s="349"/>
      <c r="C42" s="377"/>
      <c r="D42" s="377"/>
      <c r="E42" s="357"/>
      <c r="F42" s="379"/>
      <c r="G42" s="379"/>
      <c r="H42" s="284">
        <f t="shared" si="3"/>
        <v>0</v>
      </c>
      <c r="I42" s="49"/>
    </row>
    <row r="43" spans="1:9" ht="15.9" customHeight="1" x14ac:dyDescent="0.4">
      <c r="A43" s="417"/>
      <c r="B43" s="349"/>
      <c r="C43" s="356"/>
      <c r="D43" s="356"/>
      <c r="E43" s="357"/>
      <c r="F43" s="359"/>
      <c r="G43" s="359"/>
      <c r="H43" s="284">
        <f t="shared" si="3"/>
        <v>0</v>
      </c>
      <c r="I43" s="49"/>
    </row>
    <row r="44" spans="1:9" ht="15.9" customHeight="1" x14ac:dyDescent="0.4">
      <c r="A44" s="417"/>
      <c r="B44" s="349"/>
      <c r="C44" s="350"/>
      <c r="D44" s="350"/>
      <c r="E44" s="350"/>
      <c r="F44" s="353"/>
      <c r="G44" s="353"/>
      <c r="H44" s="284">
        <f t="shared" si="3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3"/>
        <v>0</v>
      </c>
      <c r="I45" s="49"/>
    </row>
    <row r="46" spans="1:9" ht="15.9" customHeight="1" x14ac:dyDescent="0.4">
      <c r="A46" s="417"/>
      <c r="B46" s="349"/>
      <c r="C46" s="360" t="s">
        <v>285</v>
      </c>
      <c r="D46" s="360"/>
      <c r="E46" s="361" t="s">
        <v>195</v>
      </c>
      <c r="F46" s="363"/>
      <c r="G46" s="363"/>
      <c r="H46" s="284">
        <f t="shared" si="3"/>
        <v>0</v>
      </c>
      <c r="I46" s="64"/>
    </row>
    <row r="47" spans="1:9" ht="15.9" customHeight="1" x14ac:dyDescent="0.4">
      <c r="A47" s="417"/>
      <c r="B47" s="364"/>
      <c r="C47" s="365"/>
      <c r="D47" s="366"/>
      <c r="E47" s="366"/>
      <c r="F47" s="368"/>
      <c r="G47" s="368"/>
      <c r="H47" s="77">
        <f>SUM(H27:H46)</f>
        <v>16000000</v>
      </c>
      <c r="I47" s="72"/>
    </row>
    <row r="48" spans="1:9" ht="15.9" customHeight="1" x14ac:dyDescent="0.4">
      <c r="A48" s="417"/>
      <c r="B48" s="386" t="s">
        <v>61</v>
      </c>
      <c r="C48" s="370"/>
      <c r="D48" s="370"/>
      <c r="E48" s="370"/>
      <c r="F48" s="373"/>
      <c r="G48" s="373"/>
      <c r="H48" s="374">
        <f t="shared" si="2"/>
        <v>0</v>
      </c>
      <c r="I48" s="375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56"/>
      <c r="D53" s="356"/>
      <c r="E53" s="356"/>
      <c r="F53" s="359"/>
      <c r="G53" s="359"/>
      <c r="H53" s="284">
        <f t="shared" si="2"/>
        <v>0</v>
      </c>
      <c r="I53" s="49"/>
    </row>
    <row r="54" spans="1:9" ht="15.9" customHeight="1" x14ac:dyDescent="0.4">
      <c r="A54" s="417"/>
      <c r="B54" s="349"/>
      <c r="C54" s="360" t="s">
        <v>203</v>
      </c>
      <c r="D54" s="360"/>
      <c r="E54" s="360"/>
      <c r="F54" s="363"/>
      <c r="G54" s="363"/>
      <c r="H54" s="314">
        <f t="shared" si="2"/>
        <v>0</v>
      </c>
      <c r="I54" s="64"/>
    </row>
    <row r="55" spans="1:9" ht="15.9" customHeight="1" x14ac:dyDescent="0.4">
      <c r="A55" s="417"/>
      <c r="B55" s="364"/>
      <c r="C55" s="365"/>
      <c r="D55" s="366"/>
      <c r="E55" s="366"/>
      <c r="F55" s="368"/>
      <c r="G55" s="368"/>
      <c r="H55" s="77">
        <f>SUM(H48:H54)</f>
        <v>0</v>
      </c>
      <c r="I55" s="72"/>
    </row>
    <row r="56" spans="1:9" ht="15.9" customHeight="1" x14ac:dyDescent="0.4">
      <c r="A56" s="392"/>
      <c r="B56" s="393" t="s">
        <v>149</v>
      </c>
      <c r="C56" s="394"/>
      <c r="D56" s="72"/>
      <c r="E56" s="72"/>
      <c r="F56" s="396"/>
      <c r="G56" s="396"/>
      <c r="H56" s="77">
        <f>SUM(H55,H47,H26,H20)</f>
        <v>16000000</v>
      </c>
      <c r="I56" s="72"/>
    </row>
    <row r="57" spans="1:9" ht="15.9" customHeight="1" x14ac:dyDescent="0.4">
      <c r="A57" s="348" t="s">
        <v>150</v>
      </c>
      <c r="B57" s="398" t="s">
        <v>67</v>
      </c>
      <c r="C57" s="394"/>
      <c r="D57" s="72"/>
      <c r="E57" s="398" t="s">
        <v>68</v>
      </c>
      <c r="F57" s="424"/>
      <c r="G57" s="413">
        <v>250000</v>
      </c>
      <c r="H57" s="402">
        <f>F57*G57</f>
        <v>0</v>
      </c>
      <c r="I57" s="72"/>
    </row>
    <row r="58" spans="1:9" ht="15.9" customHeight="1" x14ac:dyDescent="0.4">
      <c r="A58" s="417"/>
      <c r="B58" s="404" t="s">
        <v>204</v>
      </c>
      <c r="C58" s="405"/>
      <c r="D58" s="375"/>
      <c r="E58" s="404" t="s">
        <v>152</v>
      </c>
      <c r="F58" s="425"/>
      <c r="G58" s="437">
        <v>300000</v>
      </c>
      <c r="H58" s="374">
        <f t="shared" ref="H58:H64" si="4">F58*G58</f>
        <v>0</v>
      </c>
      <c r="I58" s="375"/>
    </row>
    <row r="59" spans="1:9" ht="15.9" customHeight="1" x14ac:dyDescent="0.4">
      <c r="A59" s="417"/>
      <c r="B59" s="406" t="s">
        <v>205</v>
      </c>
      <c r="C59" s="407"/>
      <c r="D59" s="49"/>
      <c r="E59" s="406" t="s">
        <v>152</v>
      </c>
      <c r="F59" s="426"/>
      <c r="G59" s="420">
        <v>250000</v>
      </c>
      <c r="H59" s="284">
        <f t="shared" si="4"/>
        <v>0</v>
      </c>
      <c r="I59" s="49"/>
    </row>
    <row r="60" spans="1:9" ht="15.9" customHeight="1" x14ac:dyDescent="0.4">
      <c r="A60" s="417"/>
      <c r="B60" s="406" t="s">
        <v>206</v>
      </c>
      <c r="C60" s="407"/>
      <c r="D60" s="49"/>
      <c r="E60" s="406" t="s">
        <v>152</v>
      </c>
      <c r="F60" s="426"/>
      <c r="G60" s="420">
        <v>250000</v>
      </c>
      <c r="H60" s="284">
        <f t="shared" si="4"/>
        <v>0</v>
      </c>
      <c r="I60" s="49"/>
    </row>
    <row r="61" spans="1:9" ht="15.9" customHeight="1" x14ac:dyDescent="0.4">
      <c r="A61" s="417"/>
      <c r="B61" s="406" t="s">
        <v>207</v>
      </c>
      <c r="C61" s="407"/>
      <c r="D61" s="49"/>
      <c r="E61" s="406" t="s">
        <v>152</v>
      </c>
      <c r="F61" s="426"/>
      <c r="G61" s="359">
        <v>300000</v>
      </c>
      <c r="H61" s="284">
        <f t="shared" si="4"/>
        <v>0</v>
      </c>
      <c r="I61" s="49"/>
    </row>
    <row r="62" spans="1:9" ht="15.9" customHeight="1" x14ac:dyDescent="0.4">
      <c r="A62" s="417"/>
      <c r="B62" s="406" t="s">
        <v>208</v>
      </c>
      <c r="C62" s="407"/>
      <c r="D62" s="49"/>
      <c r="E62" s="406" t="s">
        <v>152</v>
      </c>
      <c r="F62" s="426"/>
      <c r="G62" s="359">
        <v>300000</v>
      </c>
      <c r="H62" s="284">
        <f t="shared" si="4"/>
        <v>0</v>
      </c>
      <c r="I62" s="49"/>
    </row>
    <row r="63" spans="1:9" ht="15.9" customHeight="1" x14ac:dyDescent="0.4">
      <c r="A63" s="417"/>
      <c r="B63" s="406" t="s">
        <v>209</v>
      </c>
      <c r="C63" s="407"/>
      <c r="D63" s="49"/>
      <c r="E63" s="406" t="s">
        <v>152</v>
      </c>
      <c r="F63" s="426"/>
      <c r="G63" s="359">
        <v>300000</v>
      </c>
      <c r="H63" s="284">
        <f t="shared" si="4"/>
        <v>0</v>
      </c>
      <c r="I63" s="49"/>
    </row>
    <row r="64" spans="1:9" ht="15.9" customHeight="1" x14ac:dyDescent="0.4">
      <c r="A64" s="417"/>
      <c r="B64" s="408" t="s">
        <v>210</v>
      </c>
      <c r="C64" s="409"/>
      <c r="D64" s="64"/>
      <c r="E64" s="408" t="s">
        <v>152</v>
      </c>
      <c r="F64" s="427"/>
      <c r="G64" s="438">
        <v>250000</v>
      </c>
      <c r="H64" s="314">
        <f t="shared" si="4"/>
        <v>0</v>
      </c>
      <c r="I64" s="64"/>
    </row>
    <row r="65" spans="1:9" ht="15.9" customHeight="1" x14ac:dyDescent="0.4">
      <c r="A65" s="392"/>
      <c r="B65" s="410" t="s">
        <v>158</v>
      </c>
      <c r="C65" s="394"/>
      <c r="D65" s="72"/>
      <c r="E65" s="72"/>
      <c r="F65" s="368"/>
      <c r="G65" s="368"/>
      <c r="H65" s="368">
        <f>SUM(H57:H64)</f>
        <v>0</v>
      </c>
      <c r="I65" s="366"/>
    </row>
    <row r="66" spans="1:9" ht="15.9" customHeight="1" x14ac:dyDescent="0.4">
      <c r="A66" s="399"/>
      <c r="B66" s="410" t="s">
        <v>211</v>
      </c>
      <c r="C66" s="394"/>
      <c r="D66" s="72"/>
      <c r="E66" s="72"/>
      <c r="F66" s="77"/>
      <c r="G66" s="77"/>
      <c r="H66" s="396">
        <f>'단위공사별(집계)'!L20+'단위공사별(집계)'!I20</f>
        <v>76456.630635380963</v>
      </c>
      <c r="I66" s="72"/>
    </row>
    <row r="67" spans="1:9" ht="15.9" customHeight="1" x14ac:dyDescent="0.4">
      <c r="A67" s="399"/>
      <c r="B67" s="410" t="s">
        <v>93</v>
      </c>
      <c r="C67" s="394"/>
      <c r="D67" s="72"/>
      <c r="E67" s="72"/>
      <c r="F67" s="77"/>
      <c r="G67" s="412"/>
      <c r="H67" s="413">
        <v>0</v>
      </c>
      <c r="I67" s="394"/>
    </row>
    <row r="68" spans="1:9" ht="15.9" customHeight="1" x14ac:dyDescent="0.4">
      <c r="A68" s="399"/>
      <c r="B68" s="410" t="s">
        <v>161</v>
      </c>
      <c r="C68" s="394"/>
      <c r="D68" s="72"/>
      <c r="E68" s="72"/>
      <c r="F68" s="77"/>
      <c r="G68" s="412"/>
      <c r="H68" s="413">
        <v>0</v>
      </c>
      <c r="I68" s="394"/>
    </row>
    <row r="69" spans="1:9" ht="15.9" customHeight="1" x14ac:dyDescent="0.4">
      <c r="A69" s="399"/>
      <c r="B69" s="410" t="s">
        <v>162</v>
      </c>
      <c r="C69" s="394"/>
      <c r="D69" s="72"/>
      <c r="E69" s="72"/>
      <c r="F69" s="77"/>
      <c r="G69" s="77"/>
      <c r="H69" s="368">
        <f>H56+H65+H66+H67+H68</f>
        <v>16076456.630635381</v>
      </c>
      <c r="I69" s="72"/>
    </row>
    <row r="70" spans="1:9" x14ac:dyDescent="0.4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C5DF-69CD-4D84-92F1-9D3577A004AF}">
  <sheetPr>
    <tabColor theme="0" tint="-0.499984740745262"/>
    <pageSetUpPr fitToPage="1"/>
  </sheetPr>
  <dimension ref="A1:I70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4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0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423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423"/>
      <c r="G29" s="359"/>
      <c r="H29" s="284">
        <f t="shared" si="3"/>
        <v>0</v>
      </c>
      <c r="I29" s="443"/>
    </row>
    <row r="30" spans="1:9" ht="15.9" customHeight="1" x14ac:dyDescent="0.4">
      <c r="A30" s="417"/>
      <c r="B30" s="349"/>
      <c r="C30" s="356"/>
      <c r="D30" s="428"/>
      <c r="E30" s="357"/>
      <c r="F30" s="423"/>
      <c r="G30" s="359"/>
      <c r="H30" s="284">
        <f t="shared" si="3"/>
        <v>0</v>
      </c>
      <c r="I30" s="49"/>
    </row>
    <row r="31" spans="1:9" ht="15.9" customHeight="1" x14ac:dyDescent="0.4">
      <c r="A31" s="417"/>
      <c r="B31" s="349"/>
      <c r="C31" s="356"/>
      <c r="D31" s="356"/>
      <c r="E31" s="357"/>
      <c r="F31" s="359"/>
      <c r="G31" s="359"/>
      <c r="H31" s="284">
        <f t="shared" ref="H31:H46" si="4">IF(F31=0,G31,G31*F31)</f>
        <v>0</v>
      </c>
      <c r="I31" s="49"/>
    </row>
    <row r="32" spans="1:9" ht="15.75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4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359"/>
      <c r="G34" s="359"/>
      <c r="H34" s="284">
        <f t="shared" si="4"/>
        <v>0</v>
      </c>
      <c r="I34" s="49"/>
    </row>
    <row r="35" spans="1:9" ht="15.9" customHeight="1" x14ac:dyDescent="0.4">
      <c r="A35" s="417"/>
      <c r="B35" s="349"/>
      <c r="C35" s="418"/>
      <c r="D35" s="418"/>
      <c r="E35" s="419"/>
      <c r="F35" s="420"/>
      <c r="G35" s="420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423"/>
      <c r="G40" s="359"/>
      <c r="H40" s="284">
        <f t="shared" si="4"/>
        <v>0</v>
      </c>
      <c r="I40" s="49"/>
    </row>
    <row r="41" spans="1:9" ht="15.9" customHeight="1" x14ac:dyDescent="0.4">
      <c r="A41" s="417"/>
      <c r="B41" s="349"/>
      <c r="C41" s="418"/>
      <c r="D41" s="418"/>
      <c r="E41" s="419"/>
      <c r="F41" s="420"/>
      <c r="G41" s="420"/>
      <c r="H41" s="284">
        <f>IF(F41=0,G41,G41*F41)</f>
        <v>0</v>
      </c>
      <c r="I41" s="49"/>
    </row>
    <row r="42" spans="1:9" ht="15.9" customHeight="1" x14ac:dyDescent="0.4">
      <c r="A42" s="417"/>
      <c r="B42" s="349"/>
      <c r="C42" s="377"/>
      <c r="D42" s="377"/>
      <c r="E42" s="357"/>
      <c r="F42" s="379"/>
      <c r="G42" s="37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6"/>
      <c r="D43" s="356"/>
      <c r="E43" s="357"/>
      <c r="F43" s="359"/>
      <c r="G43" s="359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0"/>
      <c r="D44" s="350"/>
      <c r="E44" s="350"/>
      <c r="F44" s="353"/>
      <c r="G44" s="353"/>
      <c r="H44" s="284">
        <f t="shared" si="4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4"/>
        <v>0</v>
      </c>
      <c r="I45" s="49"/>
    </row>
    <row r="46" spans="1:9" ht="15.9" customHeight="1" x14ac:dyDescent="0.4">
      <c r="A46" s="417"/>
      <c r="B46" s="349"/>
      <c r="C46" s="360" t="s">
        <v>285</v>
      </c>
      <c r="D46" s="360"/>
      <c r="E46" s="361" t="s">
        <v>195</v>
      </c>
      <c r="F46" s="363"/>
      <c r="G46" s="363"/>
      <c r="H46" s="284">
        <f t="shared" si="4"/>
        <v>0</v>
      </c>
      <c r="I46" s="64"/>
    </row>
    <row r="47" spans="1:9" ht="15.9" customHeight="1" x14ac:dyDescent="0.4">
      <c r="A47" s="417"/>
      <c r="B47" s="364"/>
      <c r="C47" s="365"/>
      <c r="D47" s="366"/>
      <c r="E47" s="366"/>
      <c r="F47" s="368"/>
      <c r="G47" s="368"/>
      <c r="H47" s="77">
        <f>SUM(H27:H46)</f>
        <v>0</v>
      </c>
      <c r="I47" s="72"/>
    </row>
    <row r="48" spans="1:9" ht="15.9" customHeight="1" x14ac:dyDescent="0.4">
      <c r="A48" s="417"/>
      <c r="B48" s="386" t="s">
        <v>61</v>
      </c>
      <c r="C48" s="370"/>
      <c r="D48" s="370"/>
      <c r="E48" s="370"/>
      <c r="F48" s="373"/>
      <c r="G48" s="373"/>
      <c r="H48" s="374">
        <f t="shared" si="2"/>
        <v>0</v>
      </c>
      <c r="I48" s="375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56"/>
      <c r="D53" s="356"/>
      <c r="E53" s="356"/>
      <c r="F53" s="359"/>
      <c r="G53" s="359"/>
      <c r="H53" s="284">
        <f t="shared" si="2"/>
        <v>0</v>
      </c>
      <c r="I53" s="49"/>
    </row>
    <row r="54" spans="1:9" ht="15.9" customHeight="1" x14ac:dyDescent="0.4">
      <c r="A54" s="417"/>
      <c r="B54" s="349"/>
      <c r="C54" s="360" t="s">
        <v>203</v>
      </c>
      <c r="D54" s="360"/>
      <c r="E54" s="360"/>
      <c r="F54" s="363"/>
      <c r="G54" s="363"/>
      <c r="H54" s="314">
        <f t="shared" si="2"/>
        <v>0</v>
      </c>
      <c r="I54" s="64"/>
    </row>
    <row r="55" spans="1:9" ht="15.9" customHeight="1" x14ac:dyDescent="0.4">
      <c r="A55" s="417"/>
      <c r="B55" s="364"/>
      <c r="C55" s="365"/>
      <c r="D55" s="366"/>
      <c r="E55" s="366"/>
      <c r="F55" s="368"/>
      <c r="G55" s="368"/>
      <c r="H55" s="77">
        <f>SUM(H48:H54)</f>
        <v>0</v>
      </c>
      <c r="I55" s="72"/>
    </row>
    <row r="56" spans="1:9" ht="15.9" customHeight="1" x14ac:dyDescent="0.4">
      <c r="A56" s="392"/>
      <c r="B56" s="393" t="s">
        <v>149</v>
      </c>
      <c r="C56" s="394"/>
      <c r="D56" s="72"/>
      <c r="E56" s="72"/>
      <c r="F56" s="396"/>
      <c r="G56" s="396"/>
      <c r="H56" s="77">
        <f>SUM(H55,H47,H26,H20)</f>
        <v>0</v>
      </c>
      <c r="I56" s="72"/>
    </row>
    <row r="57" spans="1:9" ht="15.9" customHeight="1" x14ac:dyDescent="0.4">
      <c r="A57" s="348" t="s">
        <v>150</v>
      </c>
      <c r="B57" s="398" t="s">
        <v>67</v>
      </c>
      <c r="C57" s="394"/>
      <c r="D57" s="72"/>
      <c r="E57" s="398" t="s">
        <v>68</v>
      </c>
      <c r="F57" s="424"/>
      <c r="G57" s="413">
        <v>250000</v>
      </c>
      <c r="H57" s="402">
        <f>F57*G57</f>
        <v>0</v>
      </c>
      <c r="I57" s="72"/>
    </row>
    <row r="58" spans="1:9" ht="15.9" customHeight="1" x14ac:dyDescent="0.4">
      <c r="A58" s="417"/>
      <c r="B58" s="404" t="s">
        <v>204</v>
      </c>
      <c r="C58" s="405"/>
      <c r="D58" s="375"/>
      <c r="E58" s="404" t="s">
        <v>152</v>
      </c>
      <c r="F58" s="425"/>
      <c r="G58" s="437">
        <v>300000</v>
      </c>
      <c r="H58" s="374">
        <f t="shared" ref="H58:H64" si="5">F58*G58</f>
        <v>0</v>
      </c>
      <c r="I58" s="375"/>
    </row>
    <row r="59" spans="1:9" ht="15.9" customHeight="1" x14ac:dyDescent="0.4">
      <c r="A59" s="417"/>
      <c r="B59" s="406" t="s">
        <v>205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206</v>
      </c>
      <c r="C60" s="407"/>
      <c r="D60" s="49"/>
      <c r="E60" s="406" t="s">
        <v>152</v>
      </c>
      <c r="F60" s="426"/>
      <c r="G60" s="420">
        <v>250000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207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208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6" t="s">
        <v>209</v>
      </c>
      <c r="C63" s="407"/>
      <c r="D63" s="49"/>
      <c r="E63" s="406" t="s">
        <v>152</v>
      </c>
      <c r="F63" s="426"/>
      <c r="G63" s="359">
        <v>300000</v>
      </c>
      <c r="H63" s="284">
        <f t="shared" si="5"/>
        <v>0</v>
      </c>
      <c r="I63" s="49"/>
    </row>
    <row r="64" spans="1:9" ht="15.9" customHeight="1" x14ac:dyDescent="0.4">
      <c r="A64" s="417"/>
      <c r="B64" s="408" t="s">
        <v>210</v>
      </c>
      <c r="C64" s="409"/>
      <c r="D64" s="64"/>
      <c r="E64" s="408" t="s">
        <v>152</v>
      </c>
      <c r="F64" s="427"/>
      <c r="G64" s="438">
        <v>250000</v>
      </c>
      <c r="H64" s="314">
        <f t="shared" si="5"/>
        <v>0</v>
      </c>
      <c r="I64" s="64"/>
    </row>
    <row r="65" spans="1:9" ht="15.9" customHeight="1" x14ac:dyDescent="0.4">
      <c r="A65" s="392"/>
      <c r="B65" s="410" t="s">
        <v>158</v>
      </c>
      <c r="C65" s="394"/>
      <c r="D65" s="72"/>
      <c r="E65" s="72"/>
      <c r="F65" s="368"/>
      <c r="G65" s="368"/>
      <c r="H65" s="368">
        <f>SUM(H57:H64)</f>
        <v>0</v>
      </c>
      <c r="I65" s="366"/>
    </row>
    <row r="66" spans="1:9" ht="15.9" customHeight="1" x14ac:dyDescent="0.4">
      <c r="A66" s="399"/>
      <c r="B66" s="410" t="s">
        <v>211</v>
      </c>
      <c r="C66" s="394"/>
      <c r="D66" s="72"/>
      <c r="E66" s="72"/>
      <c r="F66" s="77"/>
      <c r="G66" s="77"/>
      <c r="H66" s="396">
        <f>'단위공사별(집계)'!L21+'단위공사별(집계)'!I21</f>
        <v>0</v>
      </c>
      <c r="I66" s="72"/>
    </row>
    <row r="67" spans="1:9" ht="15.9" customHeight="1" x14ac:dyDescent="0.4">
      <c r="A67" s="399"/>
      <c r="B67" s="410" t="s">
        <v>93</v>
      </c>
      <c r="C67" s="394"/>
      <c r="D67" s="72"/>
      <c r="E67" s="72"/>
      <c r="F67" s="77"/>
      <c r="G67" s="412"/>
      <c r="H67" s="413">
        <f>(H65+H56)*0.05</f>
        <v>0</v>
      </c>
      <c r="I67" s="394"/>
    </row>
    <row r="68" spans="1:9" ht="15.9" customHeight="1" x14ac:dyDescent="0.4">
      <c r="A68" s="399"/>
      <c r="B68" s="410" t="s">
        <v>161</v>
      </c>
      <c r="C68" s="394"/>
      <c r="D68" s="72"/>
      <c r="E68" s="72"/>
      <c r="F68" s="77"/>
      <c r="G68" s="412"/>
      <c r="H68" s="413">
        <f>(H65+H56)*0.1</f>
        <v>0</v>
      </c>
      <c r="I68" s="394"/>
    </row>
    <row r="69" spans="1:9" ht="15.9" customHeight="1" x14ac:dyDescent="0.4">
      <c r="A69" s="399"/>
      <c r="B69" s="410" t="s">
        <v>162</v>
      </c>
      <c r="C69" s="394"/>
      <c r="D69" s="72"/>
      <c r="E69" s="72"/>
      <c r="F69" s="77"/>
      <c r="G69" s="77"/>
      <c r="H69" s="368">
        <f>H56+H65+H66+H67+H68</f>
        <v>0</v>
      </c>
      <c r="I69" s="72"/>
    </row>
    <row r="70" spans="1:9" x14ac:dyDescent="0.4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D9EE-F202-40BE-9BAE-EAC2B3866326}">
  <sheetPr>
    <tabColor theme="0" tint="-0.499984740745262"/>
    <pageSetUpPr fitToPage="1"/>
  </sheetPr>
  <dimension ref="A1:I69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3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0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359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423"/>
      <c r="G29" s="359"/>
      <c r="H29" s="284">
        <f t="shared" si="3"/>
        <v>0</v>
      </c>
      <c r="I29" s="443"/>
    </row>
    <row r="30" spans="1:9" ht="15.9" customHeight="1" x14ac:dyDescent="0.4">
      <c r="A30" s="417"/>
      <c r="B30" s="349"/>
      <c r="C30" s="356"/>
      <c r="D30" s="428"/>
      <c r="E30" s="357"/>
      <c r="F30" s="423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ref="H31:H45" si="4">IF(F31=0,G31,G31*F31)</f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4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4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4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4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/>
      <c r="G45" s="363"/>
      <c r="H45" s="284">
        <f t="shared" si="4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SUM(H27:H45)</f>
        <v>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SUM(H54,H46,H26,H20)</f>
        <v>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5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5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5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'단위공사별(집계)'!L22+'단위공사별(집계)'!I22</f>
        <v>0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f>(H64+H55)*0.05</f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f>(H64+H55)*0.1</f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0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B2C9-E6FB-4945-83CE-FF0F0C2E5304}">
  <sheetPr>
    <tabColor theme="0" tint="-0.499984740745262"/>
    <pageSetUpPr fitToPage="1"/>
  </sheetPr>
  <dimension ref="A1:I70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7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4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1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359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359"/>
      <c r="G29" s="359"/>
      <c r="H29" s="284">
        <f t="shared" si="3"/>
        <v>0</v>
      </c>
      <c r="I29" s="49"/>
    </row>
    <row r="30" spans="1:9" ht="15.9" customHeight="1" x14ac:dyDescent="0.4">
      <c r="A30" s="417"/>
      <c r="B30" s="349"/>
      <c r="C30" s="356"/>
      <c r="D30" s="356"/>
      <c r="E30" s="357"/>
      <c r="F30" s="423"/>
      <c r="G30" s="359"/>
      <c r="H30" s="284">
        <f t="shared" si="3"/>
        <v>0</v>
      </c>
      <c r="I30" s="443"/>
    </row>
    <row r="31" spans="1:9" ht="15.9" customHeight="1" x14ac:dyDescent="0.4">
      <c r="A31" s="417"/>
      <c r="B31" s="349"/>
      <c r="C31" s="356"/>
      <c r="D31" s="428"/>
      <c r="E31" s="357"/>
      <c r="F31" s="423"/>
      <c r="G31" s="359"/>
      <c r="H31" s="284">
        <f t="shared" si="3"/>
        <v>0</v>
      </c>
      <c r="I31" s="49"/>
    </row>
    <row r="32" spans="1:9" ht="15.75" customHeight="1" x14ac:dyDescent="0.4">
      <c r="A32" s="417"/>
      <c r="B32" s="349"/>
      <c r="C32" s="356"/>
      <c r="D32" s="356"/>
      <c r="E32" s="357"/>
      <c r="F32" s="359"/>
      <c r="G32" s="359"/>
      <c r="H32" s="284">
        <f t="shared" ref="H32:H46" si="4">IF(F32=0,G32,G32*F32)</f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356"/>
      <c r="D34" s="356"/>
      <c r="E34" s="357"/>
      <c r="F34" s="359"/>
      <c r="G34" s="359"/>
      <c r="H34" s="284">
        <f t="shared" si="4"/>
        <v>0</v>
      </c>
      <c r="I34" s="49"/>
    </row>
    <row r="35" spans="1:9" ht="15.9" customHeight="1" x14ac:dyDescent="0.4">
      <c r="A35" s="417"/>
      <c r="B35" s="349"/>
      <c r="C35" s="418"/>
      <c r="D35" s="418"/>
      <c r="E35" s="419"/>
      <c r="F35" s="420"/>
      <c r="G35" s="420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356"/>
      <c r="D40" s="356"/>
      <c r="E40" s="357"/>
      <c r="F40" s="423"/>
      <c r="G40" s="359"/>
      <c r="H40" s="284">
        <f t="shared" si="4"/>
        <v>0</v>
      </c>
      <c r="I40" s="49"/>
    </row>
    <row r="41" spans="1:9" ht="15.9" customHeight="1" x14ac:dyDescent="0.4">
      <c r="A41" s="417"/>
      <c r="B41" s="349"/>
      <c r="C41" s="418"/>
      <c r="D41" s="418"/>
      <c r="E41" s="419"/>
      <c r="F41" s="420"/>
      <c r="G41" s="420"/>
      <c r="H41" s="284">
        <f>IF(F41=0,G41,G41*F41)</f>
        <v>0</v>
      </c>
      <c r="I41" s="49"/>
    </row>
    <row r="42" spans="1:9" ht="15.9" customHeight="1" x14ac:dyDescent="0.4">
      <c r="A42" s="417"/>
      <c r="B42" s="349"/>
      <c r="C42" s="377"/>
      <c r="D42" s="377"/>
      <c r="E42" s="357"/>
      <c r="F42" s="379"/>
      <c r="G42" s="37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6"/>
      <c r="D43" s="356"/>
      <c r="E43" s="357"/>
      <c r="F43" s="359"/>
      <c r="G43" s="359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0"/>
      <c r="D44" s="350"/>
      <c r="E44" s="350"/>
      <c r="F44" s="353"/>
      <c r="G44" s="353"/>
      <c r="H44" s="284">
        <f t="shared" si="4"/>
        <v>0</v>
      </c>
      <c r="I44" s="49"/>
    </row>
    <row r="45" spans="1:9" ht="15.9" customHeight="1" x14ac:dyDescent="0.4">
      <c r="A45" s="417"/>
      <c r="B45" s="349"/>
      <c r="C45" s="356"/>
      <c r="D45" s="356"/>
      <c r="E45" s="356"/>
      <c r="F45" s="359"/>
      <c r="G45" s="359"/>
      <c r="H45" s="284">
        <f t="shared" si="4"/>
        <v>0</v>
      </c>
      <c r="I45" s="49"/>
    </row>
    <row r="46" spans="1:9" ht="15.9" customHeight="1" x14ac:dyDescent="0.4">
      <c r="A46" s="417"/>
      <c r="B46" s="349"/>
      <c r="C46" s="360" t="s">
        <v>285</v>
      </c>
      <c r="D46" s="360"/>
      <c r="E46" s="361" t="s">
        <v>195</v>
      </c>
      <c r="F46" s="363"/>
      <c r="G46" s="363"/>
      <c r="H46" s="284">
        <f t="shared" si="4"/>
        <v>0</v>
      </c>
      <c r="I46" s="64"/>
    </row>
    <row r="47" spans="1:9" ht="15.9" customHeight="1" x14ac:dyDescent="0.4">
      <c r="A47" s="417"/>
      <c r="B47" s="364"/>
      <c r="C47" s="365"/>
      <c r="D47" s="366"/>
      <c r="E47" s="366"/>
      <c r="F47" s="368"/>
      <c r="G47" s="368"/>
      <c r="H47" s="77">
        <f>SUM(H27:H46)</f>
        <v>0</v>
      </c>
      <c r="I47" s="72"/>
    </row>
    <row r="48" spans="1:9" ht="15.9" customHeight="1" x14ac:dyDescent="0.4">
      <c r="A48" s="417"/>
      <c r="B48" s="386" t="s">
        <v>61</v>
      </c>
      <c r="C48" s="370"/>
      <c r="D48" s="370"/>
      <c r="E48" s="371"/>
      <c r="F48" s="373"/>
      <c r="G48" s="373"/>
      <c r="H48" s="374">
        <f t="shared" si="2"/>
        <v>0</v>
      </c>
      <c r="I48" s="375"/>
    </row>
    <row r="49" spans="1:9" ht="15.9" customHeight="1" x14ac:dyDescent="0.4">
      <c r="A49" s="417"/>
      <c r="B49" s="349"/>
      <c r="C49" s="356"/>
      <c r="D49" s="356"/>
      <c r="E49" s="357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7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7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7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56"/>
      <c r="D53" s="356"/>
      <c r="E53" s="357"/>
      <c r="F53" s="359"/>
      <c r="G53" s="359"/>
      <c r="H53" s="284">
        <f t="shared" si="2"/>
        <v>0</v>
      </c>
      <c r="I53" s="49"/>
    </row>
    <row r="54" spans="1:9" ht="15.9" customHeight="1" x14ac:dyDescent="0.4">
      <c r="A54" s="417"/>
      <c r="B54" s="349"/>
      <c r="C54" s="360" t="s">
        <v>203</v>
      </c>
      <c r="D54" s="360"/>
      <c r="E54" s="361"/>
      <c r="F54" s="363"/>
      <c r="G54" s="363"/>
      <c r="H54" s="314">
        <f t="shared" si="2"/>
        <v>0</v>
      </c>
      <c r="I54" s="64"/>
    </row>
    <row r="55" spans="1:9" ht="15.9" customHeight="1" x14ac:dyDescent="0.4">
      <c r="A55" s="417"/>
      <c r="B55" s="364"/>
      <c r="C55" s="365"/>
      <c r="D55" s="366"/>
      <c r="E55" s="366"/>
      <c r="F55" s="368"/>
      <c r="G55" s="368"/>
      <c r="H55" s="77">
        <f>SUM(H48:H54)</f>
        <v>0</v>
      </c>
      <c r="I55" s="72"/>
    </row>
    <row r="56" spans="1:9" ht="15.9" customHeight="1" x14ac:dyDescent="0.4">
      <c r="A56" s="392"/>
      <c r="B56" s="393" t="s">
        <v>149</v>
      </c>
      <c r="C56" s="394"/>
      <c r="D56" s="72"/>
      <c r="E56" s="72"/>
      <c r="F56" s="396"/>
      <c r="G56" s="396"/>
      <c r="H56" s="77">
        <f>SUM(H55,H47,H26,H20)</f>
        <v>0</v>
      </c>
      <c r="I56" s="72"/>
    </row>
    <row r="57" spans="1:9" ht="15.9" customHeight="1" x14ac:dyDescent="0.4">
      <c r="A57" s="348" t="s">
        <v>150</v>
      </c>
      <c r="B57" s="398" t="s">
        <v>67</v>
      </c>
      <c r="C57" s="394"/>
      <c r="D57" s="72"/>
      <c r="E57" s="398" t="s">
        <v>68</v>
      </c>
      <c r="F57" s="424"/>
      <c r="G57" s="413">
        <v>250000</v>
      </c>
      <c r="H57" s="402">
        <f>F57*G57</f>
        <v>0</v>
      </c>
      <c r="I57" s="72"/>
    </row>
    <row r="58" spans="1:9" ht="15.9" customHeight="1" x14ac:dyDescent="0.4">
      <c r="A58" s="417"/>
      <c r="B58" s="404" t="s">
        <v>204</v>
      </c>
      <c r="C58" s="405"/>
      <c r="D58" s="375"/>
      <c r="E58" s="404" t="s">
        <v>152</v>
      </c>
      <c r="F58" s="425"/>
      <c r="G58" s="437">
        <v>300000</v>
      </c>
      <c r="H58" s="374">
        <f t="shared" ref="H58:H64" si="5">F58*G58</f>
        <v>0</v>
      </c>
      <c r="I58" s="375"/>
    </row>
    <row r="59" spans="1:9" ht="15.9" customHeight="1" x14ac:dyDescent="0.4">
      <c r="A59" s="417"/>
      <c r="B59" s="406" t="s">
        <v>205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206</v>
      </c>
      <c r="C60" s="407"/>
      <c r="D60" s="49"/>
      <c r="E60" s="406" t="s">
        <v>152</v>
      </c>
      <c r="F60" s="426"/>
      <c r="G60" s="420">
        <v>250000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207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208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6" t="s">
        <v>209</v>
      </c>
      <c r="C63" s="407"/>
      <c r="D63" s="49"/>
      <c r="E63" s="406" t="s">
        <v>152</v>
      </c>
      <c r="F63" s="426"/>
      <c r="G63" s="359">
        <v>300000</v>
      </c>
      <c r="H63" s="284">
        <f t="shared" si="5"/>
        <v>0</v>
      </c>
      <c r="I63" s="49"/>
    </row>
    <row r="64" spans="1:9" ht="15.9" customHeight="1" x14ac:dyDescent="0.4">
      <c r="A64" s="417"/>
      <c r="B64" s="408" t="s">
        <v>210</v>
      </c>
      <c r="C64" s="409"/>
      <c r="D64" s="64"/>
      <c r="E64" s="408" t="s">
        <v>152</v>
      </c>
      <c r="F64" s="427"/>
      <c r="G64" s="438">
        <v>250000</v>
      </c>
      <c r="H64" s="314">
        <f t="shared" si="5"/>
        <v>0</v>
      </c>
      <c r="I64" s="64"/>
    </row>
    <row r="65" spans="1:9" ht="15.9" customHeight="1" x14ac:dyDescent="0.4">
      <c r="A65" s="392"/>
      <c r="B65" s="410" t="s">
        <v>158</v>
      </c>
      <c r="C65" s="394"/>
      <c r="D65" s="72"/>
      <c r="E65" s="72"/>
      <c r="F65" s="368"/>
      <c r="G65" s="368"/>
      <c r="H65" s="368">
        <f>SUM(H57:H64)</f>
        <v>0</v>
      </c>
      <c r="I65" s="366"/>
    </row>
    <row r="66" spans="1:9" ht="15.9" customHeight="1" x14ac:dyDescent="0.4">
      <c r="A66" s="399"/>
      <c r="B66" s="410" t="s">
        <v>211</v>
      </c>
      <c r="C66" s="394"/>
      <c r="D66" s="72"/>
      <c r="E66" s="72"/>
      <c r="F66" s="77"/>
      <c r="G66" s="77"/>
      <c r="H66" s="396">
        <f>'단위공사별(집계)'!L23+'단위공사별(집계)'!I23</f>
        <v>0</v>
      </c>
      <c r="I66" s="72"/>
    </row>
    <row r="67" spans="1:9" ht="15.9" customHeight="1" x14ac:dyDescent="0.4">
      <c r="A67" s="399"/>
      <c r="B67" s="410" t="s">
        <v>93</v>
      </c>
      <c r="C67" s="394"/>
      <c r="D67" s="72"/>
      <c r="E67" s="72"/>
      <c r="F67" s="77"/>
      <c r="G67" s="412"/>
      <c r="H67" s="413">
        <f>(H65+H56)*0.05</f>
        <v>0</v>
      </c>
      <c r="I67" s="394"/>
    </row>
    <row r="68" spans="1:9" ht="15.9" customHeight="1" x14ac:dyDescent="0.4">
      <c r="A68" s="399"/>
      <c r="B68" s="410" t="s">
        <v>161</v>
      </c>
      <c r="C68" s="394"/>
      <c r="D68" s="72"/>
      <c r="E68" s="72"/>
      <c r="F68" s="77"/>
      <c r="G68" s="412"/>
      <c r="H68" s="413">
        <f>(H65+H56)*0.1</f>
        <v>0</v>
      </c>
      <c r="I68" s="394"/>
    </row>
    <row r="69" spans="1:9" ht="15.9" customHeight="1" x14ac:dyDescent="0.4">
      <c r="A69" s="399"/>
      <c r="B69" s="410" t="s">
        <v>162</v>
      </c>
      <c r="C69" s="394"/>
      <c r="D69" s="72"/>
      <c r="E69" s="72"/>
      <c r="F69" s="77"/>
      <c r="G69" s="77"/>
      <c r="H69" s="368">
        <f>H56+H65+H66+H67+H68</f>
        <v>0</v>
      </c>
      <c r="I69" s="72"/>
    </row>
    <row r="70" spans="1:9" x14ac:dyDescent="0.4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D824-3D1F-4D48-9BA0-12EB8C776726}">
  <sheetPr>
    <tabColor theme="0" tint="-0.499984740745262"/>
    <pageSetUpPr fitToPage="1"/>
  </sheetPr>
  <dimension ref="A1:I69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3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0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359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423"/>
      <c r="G29" s="359"/>
      <c r="H29" s="284">
        <f t="shared" si="3"/>
        <v>0</v>
      </c>
      <c r="I29" s="443"/>
    </row>
    <row r="30" spans="1:9" ht="15.9" customHeight="1" x14ac:dyDescent="0.4">
      <c r="A30" s="417"/>
      <c r="B30" s="349"/>
      <c r="C30" s="356"/>
      <c r="D30" s="428"/>
      <c r="E30" s="357"/>
      <c r="F30" s="423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ref="H31:H45" si="4">IF(F31=0,G31,G31*F31)</f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4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4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4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4"/>
        <v>0</v>
      </c>
      <c r="I44" s="49"/>
    </row>
    <row r="45" spans="1:9" ht="15.9" customHeight="1" x14ac:dyDescent="0.4">
      <c r="A45" s="417"/>
      <c r="B45" s="349"/>
      <c r="C45" s="360"/>
      <c r="D45" s="360"/>
      <c r="E45" s="361"/>
      <c r="F45" s="363"/>
      <c r="G45" s="363"/>
      <c r="H45" s="284">
        <f t="shared" si="4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SUM(H27:H45)</f>
        <v>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SUM(H54,H46,H26,H20)</f>
        <v>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5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5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5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'단위공사별(집계)'!L24+'단위공사별(집계)'!I24</f>
        <v>0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f>(H64+H55)*0.05</f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f>(H64+H55)*0.1</f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0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40F0-B8D6-4FC8-AEC6-CEA23C52471C}">
  <sheetPr>
    <tabColor theme="0" tint="-0.499984740745262"/>
    <pageSetUpPr fitToPage="1"/>
  </sheetPr>
  <dimension ref="A1:I69"/>
  <sheetViews>
    <sheetView zoomScaleNormal="100" workbookViewId="0">
      <pane xSplit="2" ySplit="2" topLeftCell="C43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3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0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359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423"/>
      <c r="G29" s="359"/>
      <c r="H29" s="284">
        <f t="shared" si="3"/>
        <v>0</v>
      </c>
      <c r="I29" s="443"/>
    </row>
    <row r="30" spans="1:9" ht="15.9" customHeight="1" x14ac:dyDescent="0.4">
      <c r="A30" s="417"/>
      <c r="B30" s="349"/>
      <c r="C30" s="356"/>
      <c r="D30" s="428"/>
      <c r="E30" s="357"/>
      <c r="F30" s="423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ref="H31:H45" si="4">IF(F31=0,G31,G31*F31)</f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4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4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4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4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/>
      <c r="G45" s="363"/>
      <c r="H45" s="284">
        <f t="shared" si="4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SUM(H27:H45)</f>
        <v>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SUM(H54,H46,H26,H20)</f>
        <v>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5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5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5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'단위공사별(집계)'!L25+'단위공사별(집계)'!I25</f>
        <v>0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f>(H64+H55)*0.05</f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f>(H64+H55)*0.1</f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0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C2BE-7F5C-4E74-8218-0AFEFA402C20}">
  <sheetPr>
    <tabColor theme="0" tint="-0.499984740745262"/>
    <pageSetUpPr fitToPage="1"/>
  </sheetPr>
  <dimension ref="A1:I69"/>
  <sheetViews>
    <sheetView zoomScaleNormal="100" workbookViewId="0">
      <pane xSplit="2" ySplit="2" topLeftCell="C51" activePane="bottomRight" state="frozen"/>
      <selection activeCell="L18" sqref="L18"/>
      <selection pane="topRight" activeCell="L18" sqref="L18"/>
      <selection pane="bottomLeft" activeCell="L18" sqref="L18"/>
      <selection pane="bottomRight" activeCell="L18" sqref="L18"/>
    </sheetView>
  </sheetViews>
  <sheetFormatPr defaultColWidth="9" defaultRowHeight="14.4" x14ac:dyDescent="0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65"/>
    <col min="7" max="7" width="11.8984375" style="65" customWidth="1"/>
    <col min="8" max="8" width="13.59765625" style="65" customWidth="1"/>
    <col min="9" max="9" width="12.69921875" style="1" customWidth="1"/>
    <col min="10" max="16384" width="9" style="1"/>
  </cols>
  <sheetData>
    <row r="1" spans="1:9" ht="22.5" customHeight="1" x14ac:dyDescent="0.4">
      <c r="B1" s="342" t="s">
        <v>163</v>
      </c>
      <c r="C1" s="414"/>
      <c r="F1" s="415"/>
      <c r="I1" s="1" t="s">
        <v>128</v>
      </c>
    </row>
    <row r="2" spans="1:9" s="30" customFormat="1" ht="16.5" customHeight="1" x14ac:dyDescent="0.4">
      <c r="A2" s="82" t="s">
        <v>129</v>
      </c>
      <c r="B2" s="84"/>
      <c r="C2" s="248" t="s">
        <v>130</v>
      </c>
      <c r="D2" s="241" t="s">
        <v>131</v>
      </c>
      <c r="E2" s="241" t="s">
        <v>48</v>
      </c>
      <c r="F2" s="395" t="s">
        <v>49</v>
      </c>
      <c r="G2" s="395" t="s">
        <v>132</v>
      </c>
      <c r="H2" s="395" t="s">
        <v>133</v>
      </c>
      <c r="I2" s="241" t="s">
        <v>134</v>
      </c>
    </row>
    <row r="3" spans="1:9" ht="15.9" customHeight="1" x14ac:dyDescent="0.4">
      <c r="A3" s="348" t="s">
        <v>135</v>
      </c>
      <c r="B3" s="349" t="s">
        <v>136</v>
      </c>
      <c r="C3" s="356"/>
      <c r="D3" s="356"/>
      <c r="E3" s="357"/>
      <c r="F3" s="359"/>
      <c r="G3" s="359"/>
      <c r="H3" s="284">
        <f>F3*G3</f>
        <v>0</v>
      </c>
      <c r="I3" s="375"/>
    </row>
    <row r="4" spans="1:9" ht="15.9" customHeight="1" x14ac:dyDescent="0.4">
      <c r="A4" s="417"/>
      <c r="B4" s="349"/>
      <c r="C4" s="418"/>
      <c r="D4" s="356"/>
      <c r="E4" s="419"/>
      <c r="F4" s="359"/>
      <c r="G4" s="420"/>
      <c r="H4" s="284">
        <f t="shared" ref="H4:H5" si="0">F4*G4</f>
        <v>0</v>
      </c>
      <c r="I4" s="49"/>
    </row>
    <row r="5" spans="1:9" ht="15.9" customHeight="1" x14ac:dyDescent="0.4">
      <c r="A5" s="417"/>
      <c r="B5" s="349"/>
      <c r="C5" s="418"/>
      <c r="D5" s="418"/>
      <c r="E5" s="419"/>
      <c r="F5" s="420"/>
      <c r="G5" s="420"/>
      <c r="H5" s="284">
        <f t="shared" si="0"/>
        <v>0</v>
      </c>
      <c r="I5" s="49"/>
    </row>
    <row r="6" spans="1:9" ht="15.9" customHeight="1" x14ac:dyDescent="0.4">
      <c r="A6" s="417"/>
      <c r="B6" s="349"/>
      <c r="C6" s="418"/>
      <c r="D6" s="418"/>
      <c r="E6" s="419"/>
      <c r="F6" s="420"/>
      <c r="G6" s="420"/>
      <c r="H6" s="284">
        <f t="shared" ref="H6:H19" si="1">IF(F6=0,G6,G6*F6)</f>
        <v>0</v>
      </c>
      <c r="I6" s="49"/>
    </row>
    <row r="7" spans="1:9" ht="15.9" customHeight="1" x14ac:dyDescent="0.4">
      <c r="A7" s="417"/>
      <c r="B7" s="349"/>
      <c r="C7" s="356"/>
      <c r="D7" s="356"/>
      <c r="E7" s="357"/>
      <c r="F7" s="359"/>
      <c r="G7" s="359"/>
      <c r="H7" s="284">
        <f t="shared" si="1"/>
        <v>0</v>
      </c>
      <c r="I7" s="49"/>
    </row>
    <row r="8" spans="1:9" ht="15.9" customHeight="1" x14ac:dyDescent="0.4">
      <c r="A8" s="417"/>
      <c r="B8" s="349"/>
      <c r="C8" s="356"/>
      <c r="D8" s="356"/>
      <c r="E8" s="356"/>
      <c r="F8" s="359"/>
      <c r="G8" s="359"/>
      <c r="H8" s="284">
        <f t="shared" si="1"/>
        <v>0</v>
      </c>
      <c r="I8" s="49"/>
    </row>
    <row r="9" spans="1:9" ht="15.9" customHeight="1" x14ac:dyDescent="0.4">
      <c r="A9" s="417"/>
      <c r="B9" s="349"/>
      <c r="C9" s="356"/>
      <c r="D9" s="356"/>
      <c r="E9" s="357"/>
      <c r="F9" s="359"/>
      <c r="G9" s="359"/>
      <c r="H9" s="284">
        <f t="shared" si="1"/>
        <v>0</v>
      </c>
      <c r="I9" s="49"/>
    </row>
    <row r="10" spans="1:9" ht="15.9" customHeight="1" x14ac:dyDescent="0.4">
      <c r="A10" s="417"/>
      <c r="B10" s="349"/>
      <c r="C10" s="356"/>
      <c r="D10" s="356"/>
      <c r="E10" s="356"/>
      <c r="F10" s="359"/>
      <c r="G10" s="359"/>
      <c r="H10" s="284">
        <f t="shared" si="1"/>
        <v>0</v>
      </c>
      <c r="I10" s="49"/>
    </row>
    <row r="11" spans="1:9" ht="15.9" customHeight="1" x14ac:dyDescent="0.4">
      <c r="A11" s="417"/>
      <c r="B11" s="349"/>
      <c r="C11" s="356"/>
      <c r="D11" s="356"/>
      <c r="E11" s="356"/>
      <c r="F11" s="359"/>
      <c r="G11" s="359"/>
      <c r="H11" s="284">
        <f t="shared" si="1"/>
        <v>0</v>
      </c>
      <c r="I11" s="49"/>
    </row>
    <row r="12" spans="1:9" ht="15.9" customHeight="1" x14ac:dyDescent="0.4">
      <c r="A12" s="417"/>
      <c r="B12" s="349"/>
      <c r="C12" s="356"/>
      <c r="D12" s="356"/>
      <c r="E12" s="356"/>
      <c r="F12" s="359"/>
      <c r="G12" s="359"/>
      <c r="H12" s="284">
        <f t="shared" si="1"/>
        <v>0</v>
      </c>
      <c r="I12" s="49"/>
    </row>
    <row r="13" spans="1:9" ht="15.9" customHeight="1" x14ac:dyDescent="0.4">
      <c r="A13" s="417"/>
      <c r="B13" s="349"/>
      <c r="C13" s="356"/>
      <c r="D13" s="356"/>
      <c r="E13" s="356"/>
      <c r="F13" s="359"/>
      <c r="G13" s="359"/>
      <c r="H13" s="284">
        <f t="shared" si="1"/>
        <v>0</v>
      </c>
      <c r="I13" s="49"/>
    </row>
    <row r="14" spans="1:9" ht="15.9" customHeight="1" x14ac:dyDescent="0.4">
      <c r="A14" s="417"/>
      <c r="B14" s="349"/>
      <c r="C14" s="356"/>
      <c r="D14" s="356"/>
      <c r="E14" s="356"/>
      <c r="F14" s="359"/>
      <c r="G14" s="359"/>
      <c r="H14" s="284">
        <f t="shared" si="1"/>
        <v>0</v>
      </c>
      <c r="I14" s="49"/>
    </row>
    <row r="15" spans="1:9" ht="15.9" customHeight="1" x14ac:dyDescent="0.4">
      <c r="A15" s="417"/>
      <c r="B15" s="349"/>
      <c r="C15" s="356"/>
      <c r="D15" s="356"/>
      <c r="E15" s="356"/>
      <c r="F15" s="359"/>
      <c r="G15" s="359"/>
      <c r="H15" s="284">
        <f t="shared" si="1"/>
        <v>0</v>
      </c>
      <c r="I15" s="49"/>
    </row>
    <row r="16" spans="1:9" ht="15.9" customHeight="1" x14ac:dyDescent="0.4">
      <c r="A16" s="417"/>
      <c r="B16" s="349"/>
      <c r="C16" s="356"/>
      <c r="D16" s="356"/>
      <c r="E16" s="356"/>
      <c r="F16" s="359"/>
      <c r="G16" s="359"/>
      <c r="H16" s="284">
        <f t="shared" si="1"/>
        <v>0</v>
      </c>
      <c r="I16" s="49"/>
    </row>
    <row r="17" spans="1:9" ht="15.9" customHeight="1" x14ac:dyDescent="0.4">
      <c r="A17" s="417"/>
      <c r="B17" s="349"/>
      <c r="C17" s="356"/>
      <c r="D17" s="356"/>
      <c r="E17" s="356"/>
      <c r="F17" s="359"/>
      <c r="G17" s="359"/>
      <c r="H17" s="284">
        <f t="shared" si="1"/>
        <v>0</v>
      </c>
      <c r="I17" s="49"/>
    </row>
    <row r="18" spans="1:9" ht="15.9" customHeight="1" x14ac:dyDescent="0.4">
      <c r="A18" s="417"/>
      <c r="B18" s="349"/>
      <c r="C18" s="356"/>
      <c r="D18" s="356"/>
      <c r="E18" s="356"/>
      <c r="F18" s="359"/>
      <c r="G18" s="359"/>
      <c r="H18" s="284">
        <f t="shared" si="1"/>
        <v>0</v>
      </c>
      <c r="I18" s="49"/>
    </row>
    <row r="19" spans="1:9" ht="15.9" customHeight="1" x14ac:dyDescent="0.4">
      <c r="A19" s="417"/>
      <c r="B19" s="349"/>
      <c r="C19" s="360" t="s">
        <v>275</v>
      </c>
      <c r="D19" s="377"/>
      <c r="E19" s="390" t="s">
        <v>195</v>
      </c>
      <c r="F19" s="379"/>
      <c r="G19" s="379"/>
      <c r="H19" s="294">
        <f t="shared" si="1"/>
        <v>0</v>
      </c>
      <c r="I19" s="57"/>
    </row>
    <row r="20" spans="1:9" ht="15.9" customHeight="1" x14ac:dyDescent="0.4">
      <c r="A20" s="417"/>
      <c r="B20" s="364"/>
      <c r="C20" s="381"/>
      <c r="D20" s="381"/>
      <c r="E20" s="381"/>
      <c r="F20" s="384"/>
      <c r="G20" s="384"/>
      <c r="H20" s="385">
        <f>SUM(H3:H19)</f>
        <v>0</v>
      </c>
      <c r="I20" s="381"/>
    </row>
    <row r="21" spans="1:9" ht="15.9" customHeight="1" x14ac:dyDescent="0.4">
      <c r="A21" s="417"/>
      <c r="B21" s="349" t="s">
        <v>177</v>
      </c>
      <c r="C21" s="350"/>
      <c r="D21" s="350"/>
      <c r="E21" s="350"/>
      <c r="F21" s="353"/>
      <c r="G21" s="353"/>
      <c r="H21" s="304">
        <f t="shared" ref="H21:H53" si="2">IF(F21=0,G21,G21*F21)</f>
        <v>0</v>
      </c>
      <c r="I21" s="354"/>
    </row>
    <row r="22" spans="1:9" ht="15.9" customHeight="1" x14ac:dyDescent="0.4">
      <c r="A22" s="417"/>
      <c r="B22" s="349" t="s">
        <v>178</v>
      </c>
      <c r="C22" s="356"/>
      <c r="D22" s="356"/>
      <c r="E22" s="356"/>
      <c r="F22" s="359"/>
      <c r="G22" s="359"/>
      <c r="H22" s="284">
        <f t="shared" si="2"/>
        <v>0</v>
      </c>
      <c r="I22" s="49"/>
    </row>
    <row r="23" spans="1:9" ht="15.9" customHeight="1" x14ac:dyDescent="0.4">
      <c r="A23" s="417"/>
      <c r="B23" s="349"/>
      <c r="C23" s="356"/>
      <c r="D23" s="356"/>
      <c r="E23" s="356"/>
      <c r="F23" s="359"/>
      <c r="G23" s="359"/>
      <c r="H23" s="284">
        <f t="shared" si="2"/>
        <v>0</v>
      </c>
      <c r="I23" s="49"/>
    </row>
    <row r="24" spans="1:9" ht="15.9" customHeight="1" x14ac:dyDescent="0.4">
      <c r="A24" s="417"/>
      <c r="B24" s="349"/>
      <c r="C24" s="356"/>
      <c r="D24" s="356"/>
      <c r="E24" s="356"/>
      <c r="F24" s="359"/>
      <c r="G24" s="359"/>
      <c r="H24" s="284">
        <f t="shared" si="2"/>
        <v>0</v>
      </c>
      <c r="I24" s="49"/>
    </row>
    <row r="25" spans="1:9" ht="15.9" customHeight="1" x14ac:dyDescent="0.4">
      <c r="A25" s="417"/>
      <c r="B25" s="349"/>
      <c r="C25" s="360" t="s">
        <v>203</v>
      </c>
      <c r="D25" s="360"/>
      <c r="E25" s="360"/>
      <c r="F25" s="363"/>
      <c r="G25" s="363"/>
      <c r="H25" s="284">
        <f t="shared" si="2"/>
        <v>0</v>
      </c>
      <c r="I25" s="64"/>
    </row>
    <row r="26" spans="1:9" ht="15.9" customHeight="1" x14ac:dyDescent="0.4">
      <c r="A26" s="417"/>
      <c r="B26" s="364"/>
      <c r="C26" s="365"/>
      <c r="D26" s="366"/>
      <c r="E26" s="366"/>
      <c r="F26" s="422"/>
      <c r="G26" s="368"/>
      <c r="H26" s="77">
        <f>SUM(H21:H25)</f>
        <v>0</v>
      </c>
      <c r="I26" s="72"/>
    </row>
    <row r="27" spans="1:9" ht="15.9" customHeight="1" x14ac:dyDescent="0.4">
      <c r="A27" s="417"/>
      <c r="B27" s="386" t="s">
        <v>179</v>
      </c>
      <c r="C27" s="356"/>
      <c r="D27" s="428"/>
      <c r="E27" s="357"/>
      <c r="F27" s="423"/>
      <c r="G27" s="359"/>
      <c r="H27" s="284">
        <f t="shared" ref="H27:H30" si="3">IF(F27=0,0,G27*F27)</f>
        <v>0</v>
      </c>
      <c r="I27" s="354"/>
    </row>
    <row r="28" spans="1:9" ht="15.9" customHeight="1" x14ac:dyDescent="0.4">
      <c r="A28" s="417"/>
      <c r="B28" s="349" t="s">
        <v>181</v>
      </c>
      <c r="C28" s="356"/>
      <c r="D28" s="356"/>
      <c r="E28" s="357"/>
      <c r="F28" s="359"/>
      <c r="G28" s="359"/>
      <c r="H28" s="284">
        <f t="shared" si="3"/>
        <v>0</v>
      </c>
      <c r="I28" s="49"/>
    </row>
    <row r="29" spans="1:9" ht="15.9" customHeight="1" x14ac:dyDescent="0.4">
      <c r="A29" s="417"/>
      <c r="B29" s="349"/>
      <c r="C29" s="356"/>
      <c r="D29" s="356"/>
      <c r="E29" s="357"/>
      <c r="F29" s="423"/>
      <c r="G29" s="359"/>
      <c r="H29" s="284">
        <f t="shared" si="3"/>
        <v>0</v>
      </c>
      <c r="I29" s="443"/>
    </row>
    <row r="30" spans="1:9" ht="15.9" customHeight="1" x14ac:dyDescent="0.4">
      <c r="A30" s="417"/>
      <c r="B30" s="349"/>
      <c r="C30" s="356"/>
      <c r="D30" s="428"/>
      <c r="E30" s="357"/>
      <c r="F30" s="423"/>
      <c r="G30" s="359"/>
      <c r="H30" s="284">
        <f t="shared" si="3"/>
        <v>0</v>
      </c>
      <c r="I30" s="49"/>
    </row>
    <row r="31" spans="1:9" ht="15.75" customHeight="1" x14ac:dyDescent="0.4">
      <c r="A31" s="417"/>
      <c r="B31" s="349"/>
      <c r="C31" s="356"/>
      <c r="D31" s="356"/>
      <c r="E31" s="357"/>
      <c r="F31" s="359"/>
      <c r="G31" s="359"/>
      <c r="H31" s="284">
        <f t="shared" ref="H31:H45" si="4">IF(F31=0,G31,G31*F31)</f>
        <v>0</v>
      </c>
      <c r="I31" s="49"/>
    </row>
    <row r="32" spans="1:9" ht="15.9" customHeight="1" x14ac:dyDescent="0.4">
      <c r="A32" s="417"/>
      <c r="B32" s="349"/>
      <c r="C32" s="356"/>
      <c r="D32" s="356"/>
      <c r="E32" s="357"/>
      <c r="F32" s="359"/>
      <c r="G32" s="359"/>
      <c r="H32" s="284">
        <f t="shared" si="4"/>
        <v>0</v>
      </c>
      <c r="I32" s="49"/>
    </row>
    <row r="33" spans="1:9" ht="15.9" customHeight="1" x14ac:dyDescent="0.4">
      <c r="A33" s="417"/>
      <c r="B33" s="349"/>
      <c r="C33" s="356"/>
      <c r="D33" s="356"/>
      <c r="E33" s="357"/>
      <c r="F33" s="359"/>
      <c r="G33" s="359"/>
      <c r="H33" s="284">
        <f t="shared" si="4"/>
        <v>0</v>
      </c>
      <c r="I33" s="49"/>
    </row>
    <row r="34" spans="1:9" ht="15.9" customHeight="1" x14ac:dyDescent="0.4">
      <c r="A34" s="417"/>
      <c r="B34" s="349"/>
      <c r="C34" s="418"/>
      <c r="D34" s="418"/>
      <c r="E34" s="419"/>
      <c r="F34" s="420"/>
      <c r="G34" s="420"/>
      <c r="H34" s="284">
        <f t="shared" si="4"/>
        <v>0</v>
      </c>
      <c r="I34" s="49"/>
    </row>
    <row r="35" spans="1:9" ht="15.9" customHeight="1" x14ac:dyDescent="0.4">
      <c r="A35" s="417"/>
      <c r="B35" s="349"/>
      <c r="C35" s="356"/>
      <c r="D35" s="356"/>
      <c r="E35" s="357"/>
      <c r="F35" s="423"/>
      <c r="G35" s="359"/>
      <c r="H35" s="284">
        <f t="shared" si="4"/>
        <v>0</v>
      </c>
      <c r="I35" s="49"/>
    </row>
    <row r="36" spans="1:9" ht="15.9" customHeight="1" x14ac:dyDescent="0.4">
      <c r="A36" s="417"/>
      <c r="B36" s="349"/>
      <c r="C36" s="356"/>
      <c r="D36" s="356"/>
      <c r="E36" s="357"/>
      <c r="F36" s="423"/>
      <c r="G36" s="359"/>
      <c r="H36" s="284">
        <f t="shared" si="4"/>
        <v>0</v>
      </c>
      <c r="I36" s="49"/>
    </row>
    <row r="37" spans="1:9" ht="15.9" customHeight="1" x14ac:dyDescent="0.4">
      <c r="A37" s="417"/>
      <c r="B37" s="349"/>
      <c r="C37" s="356"/>
      <c r="D37" s="356"/>
      <c r="E37" s="357"/>
      <c r="F37" s="423"/>
      <c r="G37" s="359"/>
      <c r="H37" s="284">
        <f t="shared" si="4"/>
        <v>0</v>
      </c>
      <c r="I37" s="49"/>
    </row>
    <row r="38" spans="1:9" ht="15.9" customHeight="1" x14ac:dyDescent="0.4">
      <c r="A38" s="417"/>
      <c r="B38" s="349"/>
      <c r="C38" s="356"/>
      <c r="D38" s="356"/>
      <c r="E38" s="357"/>
      <c r="F38" s="423"/>
      <c r="G38" s="359"/>
      <c r="H38" s="284">
        <f t="shared" si="4"/>
        <v>0</v>
      </c>
      <c r="I38" s="49"/>
    </row>
    <row r="39" spans="1:9" ht="15.9" customHeight="1" x14ac:dyDescent="0.4">
      <c r="A39" s="417"/>
      <c r="B39" s="349"/>
      <c r="C39" s="356"/>
      <c r="D39" s="356"/>
      <c r="E39" s="357"/>
      <c r="F39" s="423"/>
      <c r="G39" s="359"/>
      <c r="H39" s="284">
        <f t="shared" si="4"/>
        <v>0</v>
      </c>
      <c r="I39" s="49"/>
    </row>
    <row r="40" spans="1:9" ht="15.9" customHeight="1" x14ac:dyDescent="0.4">
      <c r="A40" s="417"/>
      <c r="B40" s="349"/>
      <c r="C40" s="418"/>
      <c r="D40" s="418"/>
      <c r="E40" s="419"/>
      <c r="F40" s="420"/>
      <c r="G40" s="420"/>
      <c r="H40" s="284">
        <f>IF(F40=0,G40,G40*F40)</f>
        <v>0</v>
      </c>
      <c r="I40" s="49"/>
    </row>
    <row r="41" spans="1:9" ht="15.9" customHeight="1" x14ac:dyDescent="0.4">
      <c r="A41" s="417"/>
      <c r="B41" s="349"/>
      <c r="C41" s="377"/>
      <c r="D41" s="377"/>
      <c r="E41" s="357"/>
      <c r="F41" s="379"/>
      <c r="G41" s="379"/>
      <c r="H41" s="284">
        <f t="shared" si="4"/>
        <v>0</v>
      </c>
      <c r="I41" s="49"/>
    </row>
    <row r="42" spans="1:9" ht="15.9" customHeight="1" x14ac:dyDescent="0.4">
      <c r="A42" s="417"/>
      <c r="B42" s="349"/>
      <c r="C42" s="356"/>
      <c r="D42" s="356"/>
      <c r="E42" s="357"/>
      <c r="F42" s="359"/>
      <c r="G42" s="359"/>
      <c r="H42" s="284">
        <f t="shared" si="4"/>
        <v>0</v>
      </c>
      <c r="I42" s="49"/>
    </row>
    <row r="43" spans="1:9" ht="15.9" customHeight="1" x14ac:dyDescent="0.4">
      <c r="A43" s="417"/>
      <c r="B43" s="349"/>
      <c r="C43" s="350"/>
      <c r="D43" s="350"/>
      <c r="E43" s="350"/>
      <c r="F43" s="353"/>
      <c r="G43" s="353"/>
      <c r="H43" s="284">
        <f t="shared" si="4"/>
        <v>0</v>
      </c>
      <c r="I43" s="49"/>
    </row>
    <row r="44" spans="1:9" ht="15.9" customHeight="1" x14ac:dyDescent="0.4">
      <c r="A44" s="417"/>
      <c r="B44" s="349"/>
      <c r="C44" s="356"/>
      <c r="D44" s="356"/>
      <c r="E44" s="356"/>
      <c r="F44" s="359"/>
      <c r="G44" s="359"/>
      <c r="H44" s="284">
        <f t="shared" si="4"/>
        <v>0</v>
      </c>
      <c r="I44" s="49"/>
    </row>
    <row r="45" spans="1:9" ht="15.9" customHeight="1" x14ac:dyDescent="0.4">
      <c r="A45" s="417"/>
      <c r="B45" s="349"/>
      <c r="C45" s="360" t="s">
        <v>285</v>
      </c>
      <c r="D45" s="360"/>
      <c r="E45" s="361" t="s">
        <v>195</v>
      </c>
      <c r="F45" s="363"/>
      <c r="G45" s="363"/>
      <c r="H45" s="284">
        <f t="shared" si="4"/>
        <v>0</v>
      </c>
      <c r="I45" s="64"/>
    </row>
    <row r="46" spans="1:9" ht="15.9" customHeight="1" x14ac:dyDescent="0.4">
      <c r="A46" s="417"/>
      <c r="B46" s="364"/>
      <c r="C46" s="365"/>
      <c r="D46" s="366"/>
      <c r="E46" s="366"/>
      <c r="F46" s="368"/>
      <c r="G46" s="368"/>
      <c r="H46" s="77">
        <f>SUM(H27:H45)</f>
        <v>0</v>
      </c>
      <c r="I46" s="72"/>
    </row>
    <row r="47" spans="1:9" ht="15.9" customHeight="1" x14ac:dyDescent="0.4">
      <c r="A47" s="417"/>
      <c r="B47" s="386" t="s">
        <v>61</v>
      </c>
      <c r="C47" s="370"/>
      <c r="D47" s="370"/>
      <c r="E47" s="370"/>
      <c r="F47" s="373"/>
      <c r="G47" s="373"/>
      <c r="H47" s="374">
        <f t="shared" si="2"/>
        <v>0</v>
      </c>
      <c r="I47" s="375"/>
    </row>
    <row r="48" spans="1:9" ht="15.9" customHeight="1" x14ac:dyDescent="0.4">
      <c r="A48" s="417"/>
      <c r="B48" s="349"/>
      <c r="C48" s="356"/>
      <c r="D48" s="356"/>
      <c r="E48" s="356"/>
      <c r="F48" s="359"/>
      <c r="G48" s="359"/>
      <c r="H48" s="284">
        <f t="shared" si="2"/>
        <v>0</v>
      </c>
      <c r="I48" s="49"/>
    </row>
    <row r="49" spans="1:9" ht="15.9" customHeight="1" x14ac:dyDescent="0.4">
      <c r="A49" s="417"/>
      <c r="B49" s="349"/>
      <c r="C49" s="356"/>
      <c r="D49" s="356"/>
      <c r="E49" s="356"/>
      <c r="F49" s="359"/>
      <c r="G49" s="359"/>
      <c r="H49" s="284">
        <f t="shared" si="2"/>
        <v>0</v>
      </c>
      <c r="I49" s="49"/>
    </row>
    <row r="50" spans="1:9" ht="15.9" customHeight="1" x14ac:dyDescent="0.4">
      <c r="A50" s="417"/>
      <c r="B50" s="349"/>
      <c r="C50" s="356"/>
      <c r="D50" s="356"/>
      <c r="E50" s="356"/>
      <c r="F50" s="359"/>
      <c r="G50" s="359"/>
      <c r="H50" s="284">
        <f t="shared" si="2"/>
        <v>0</v>
      </c>
      <c r="I50" s="49"/>
    </row>
    <row r="51" spans="1:9" ht="15.9" customHeight="1" x14ac:dyDescent="0.4">
      <c r="A51" s="417"/>
      <c r="B51" s="349"/>
      <c r="C51" s="356"/>
      <c r="D51" s="356"/>
      <c r="E51" s="356"/>
      <c r="F51" s="359"/>
      <c r="G51" s="359"/>
      <c r="H51" s="284">
        <f t="shared" si="2"/>
        <v>0</v>
      </c>
      <c r="I51" s="49"/>
    </row>
    <row r="52" spans="1:9" ht="15.9" customHeight="1" x14ac:dyDescent="0.4">
      <c r="A52" s="417"/>
      <c r="B52" s="349"/>
      <c r="C52" s="356"/>
      <c r="D52" s="356"/>
      <c r="E52" s="356"/>
      <c r="F52" s="359"/>
      <c r="G52" s="359"/>
      <c r="H52" s="284">
        <f t="shared" si="2"/>
        <v>0</v>
      </c>
      <c r="I52" s="49"/>
    </row>
    <row r="53" spans="1:9" ht="15.9" customHeight="1" x14ac:dyDescent="0.4">
      <c r="A53" s="417"/>
      <c r="B53" s="349"/>
      <c r="C53" s="360" t="s">
        <v>203</v>
      </c>
      <c r="D53" s="360"/>
      <c r="E53" s="360"/>
      <c r="F53" s="363"/>
      <c r="G53" s="363"/>
      <c r="H53" s="314">
        <f t="shared" si="2"/>
        <v>0</v>
      </c>
      <c r="I53" s="64"/>
    </row>
    <row r="54" spans="1:9" ht="15.9" customHeight="1" x14ac:dyDescent="0.4">
      <c r="A54" s="417"/>
      <c r="B54" s="364"/>
      <c r="C54" s="365"/>
      <c r="D54" s="366"/>
      <c r="E54" s="366"/>
      <c r="F54" s="368"/>
      <c r="G54" s="368"/>
      <c r="H54" s="77">
        <f>SUM(H47:H53)</f>
        <v>0</v>
      </c>
      <c r="I54" s="72"/>
    </row>
    <row r="55" spans="1:9" ht="15.9" customHeight="1" x14ac:dyDescent="0.4">
      <c r="A55" s="392"/>
      <c r="B55" s="393" t="s">
        <v>149</v>
      </c>
      <c r="C55" s="394"/>
      <c r="D55" s="72"/>
      <c r="E55" s="72"/>
      <c r="F55" s="396"/>
      <c r="G55" s="396"/>
      <c r="H55" s="77">
        <f>SUM(H54,H46,H26,H20)</f>
        <v>0</v>
      </c>
      <c r="I55" s="72"/>
    </row>
    <row r="56" spans="1:9" ht="15.9" customHeight="1" x14ac:dyDescent="0.4">
      <c r="A56" s="348" t="s">
        <v>150</v>
      </c>
      <c r="B56" s="398" t="s">
        <v>67</v>
      </c>
      <c r="C56" s="394"/>
      <c r="D56" s="72"/>
      <c r="E56" s="398" t="s">
        <v>68</v>
      </c>
      <c r="F56" s="424"/>
      <c r="G56" s="413">
        <v>250000</v>
      </c>
      <c r="H56" s="402">
        <f>F56*G56</f>
        <v>0</v>
      </c>
      <c r="I56" s="72"/>
    </row>
    <row r="57" spans="1:9" ht="15.9" customHeight="1" x14ac:dyDescent="0.4">
      <c r="A57" s="417"/>
      <c r="B57" s="404" t="s">
        <v>204</v>
      </c>
      <c r="C57" s="405"/>
      <c r="D57" s="375"/>
      <c r="E57" s="404" t="s">
        <v>152</v>
      </c>
      <c r="F57" s="425"/>
      <c r="G57" s="437">
        <v>300000</v>
      </c>
      <c r="H57" s="374">
        <f t="shared" ref="H57:H63" si="5">F57*G57</f>
        <v>0</v>
      </c>
      <c r="I57" s="375"/>
    </row>
    <row r="58" spans="1:9" ht="15.9" customHeight="1" x14ac:dyDescent="0.4">
      <c r="A58" s="417"/>
      <c r="B58" s="406" t="s">
        <v>205</v>
      </c>
      <c r="C58" s="407"/>
      <c r="D58" s="49"/>
      <c r="E58" s="406" t="s">
        <v>152</v>
      </c>
      <c r="F58" s="426"/>
      <c r="G58" s="420">
        <v>250000</v>
      </c>
      <c r="H58" s="284">
        <f t="shared" si="5"/>
        <v>0</v>
      </c>
      <c r="I58" s="49"/>
    </row>
    <row r="59" spans="1:9" ht="15.9" customHeight="1" x14ac:dyDescent="0.4">
      <c r="A59" s="417"/>
      <c r="B59" s="406" t="s">
        <v>206</v>
      </c>
      <c r="C59" s="407"/>
      <c r="D59" s="49"/>
      <c r="E59" s="406" t="s">
        <v>152</v>
      </c>
      <c r="F59" s="426"/>
      <c r="G59" s="420">
        <v>250000</v>
      </c>
      <c r="H59" s="284">
        <f t="shared" si="5"/>
        <v>0</v>
      </c>
      <c r="I59" s="49"/>
    </row>
    <row r="60" spans="1:9" ht="15.9" customHeight="1" x14ac:dyDescent="0.4">
      <c r="A60" s="417"/>
      <c r="B60" s="406" t="s">
        <v>207</v>
      </c>
      <c r="C60" s="407"/>
      <c r="D60" s="49"/>
      <c r="E60" s="406" t="s">
        <v>152</v>
      </c>
      <c r="F60" s="426"/>
      <c r="G60" s="359">
        <v>300000</v>
      </c>
      <c r="H60" s="284">
        <f t="shared" si="5"/>
        <v>0</v>
      </c>
      <c r="I60" s="49"/>
    </row>
    <row r="61" spans="1:9" ht="15.9" customHeight="1" x14ac:dyDescent="0.4">
      <c r="A61" s="417"/>
      <c r="B61" s="406" t="s">
        <v>208</v>
      </c>
      <c r="C61" s="407"/>
      <c r="D61" s="49"/>
      <c r="E61" s="406" t="s">
        <v>152</v>
      </c>
      <c r="F61" s="426"/>
      <c r="G61" s="359">
        <v>300000</v>
      </c>
      <c r="H61" s="284">
        <f t="shared" si="5"/>
        <v>0</v>
      </c>
      <c r="I61" s="49"/>
    </row>
    <row r="62" spans="1:9" ht="15.9" customHeight="1" x14ac:dyDescent="0.4">
      <c r="A62" s="417"/>
      <c r="B62" s="406" t="s">
        <v>209</v>
      </c>
      <c r="C62" s="407"/>
      <c r="D62" s="49"/>
      <c r="E62" s="406" t="s">
        <v>152</v>
      </c>
      <c r="F62" s="426"/>
      <c r="G62" s="359">
        <v>300000</v>
      </c>
      <c r="H62" s="284">
        <f t="shared" si="5"/>
        <v>0</v>
      </c>
      <c r="I62" s="49"/>
    </row>
    <row r="63" spans="1:9" ht="15.9" customHeight="1" x14ac:dyDescent="0.4">
      <c r="A63" s="417"/>
      <c r="B63" s="408" t="s">
        <v>210</v>
      </c>
      <c r="C63" s="409"/>
      <c r="D63" s="64"/>
      <c r="E63" s="408" t="s">
        <v>152</v>
      </c>
      <c r="F63" s="427"/>
      <c r="G63" s="438">
        <v>250000</v>
      </c>
      <c r="H63" s="314">
        <f t="shared" si="5"/>
        <v>0</v>
      </c>
      <c r="I63" s="64"/>
    </row>
    <row r="64" spans="1:9" ht="15.9" customHeight="1" x14ac:dyDescent="0.4">
      <c r="A64" s="392"/>
      <c r="B64" s="410" t="s">
        <v>158</v>
      </c>
      <c r="C64" s="394"/>
      <c r="D64" s="72"/>
      <c r="E64" s="72"/>
      <c r="F64" s="368"/>
      <c r="G64" s="368"/>
      <c r="H64" s="368">
        <f>SUM(H56:H63)</f>
        <v>0</v>
      </c>
      <c r="I64" s="366"/>
    </row>
    <row r="65" spans="1:9" ht="15.9" customHeight="1" x14ac:dyDescent="0.4">
      <c r="A65" s="399"/>
      <c r="B65" s="410" t="s">
        <v>211</v>
      </c>
      <c r="C65" s="394"/>
      <c r="D65" s="72"/>
      <c r="E65" s="72"/>
      <c r="F65" s="77"/>
      <c r="G65" s="77"/>
      <c r="H65" s="396">
        <f>'단위공사별(집계)'!L26+'단위공사별(집계)'!I26</f>
        <v>0</v>
      </c>
      <c r="I65" s="72"/>
    </row>
    <row r="66" spans="1:9" ht="15.9" customHeight="1" x14ac:dyDescent="0.4">
      <c r="A66" s="399"/>
      <c r="B66" s="410" t="s">
        <v>93</v>
      </c>
      <c r="C66" s="394"/>
      <c r="D66" s="72"/>
      <c r="E66" s="72"/>
      <c r="F66" s="77"/>
      <c r="G66" s="412"/>
      <c r="H66" s="413">
        <f>(H64+H55)*0.05</f>
        <v>0</v>
      </c>
      <c r="I66" s="394"/>
    </row>
    <row r="67" spans="1:9" ht="15.9" customHeight="1" x14ac:dyDescent="0.4">
      <c r="A67" s="399"/>
      <c r="B67" s="410" t="s">
        <v>161</v>
      </c>
      <c r="C67" s="394"/>
      <c r="D67" s="72"/>
      <c r="E67" s="72"/>
      <c r="F67" s="77"/>
      <c r="G67" s="412"/>
      <c r="H67" s="413">
        <f>(H64+H55)*0.1</f>
        <v>0</v>
      </c>
      <c r="I67" s="394"/>
    </row>
    <row r="68" spans="1:9" ht="15.9" customHeight="1" x14ac:dyDescent="0.4">
      <c r="A68" s="399"/>
      <c r="B68" s="410" t="s">
        <v>162</v>
      </c>
      <c r="C68" s="394"/>
      <c r="D68" s="72"/>
      <c r="E68" s="72"/>
      <c r="F68" s="77"/>
      <c r="G68" s="77"/>
      <c r="H68" s="368">
        <f>H55+H64+H65+H66+H67</f>
        <v>0</v>
      </c>
      <c r="I68" s="72"/>
    </row>
    <row r="69" spans="1:9" x14ac:dyDescent="0.4">
      <c r="A69" s="30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2026-07-20T10:30:53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6</vt:i4>
      </vt:variant>
    </vt:vector>
  </HeadingPairs>
  <TitlesOfParts>
    <vt:vector size="30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#110</vt:lpstr>
      <vt:lpstr>#120</vt:lpstr>
      <vt:lpstr>#130</vt:lpstr>
      <vt:lpstr>#140</vt:lpstr>
      <vt:lpstr>#150</vt:lpstr>
      <vt:lpstr>#160</vt:lpstr>
      <vt:lpstr>#170</vt:lpstr>
      <vt:lpstr>#180</vt:lpstr>
      <vt:lpstr>#190</vt:lpstr>
      <vt:lpstr>#200</vt:lpstr>
      <vt:lpstr>'#110'!Print_Area</vt:lpstr>
      <vt:lpstr>갑지!Print_Area</vt:lpstr>
      <vt:lpstr>'단위공사별(집계)'!Print_Area</vt:lpstr>
      <vt:lpstr>'원가항목별(집계)'!Print_Area</vt:lpstr>
      <vt:lpstr>전기!Print_Area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천세희 매니저 글로벌구매팀</dc:creator>
  <cp:lastModifiedBy>천세희 매니저 글로벌구매팀</cp:lastModifiedBy>
  <dcterms:created xsi:type="dcterms:W3CDTF">2026-07-20T01:28:50Z</dcterms:created>
  <dcterms:modified xsi:type="dcterms:W3CDTF">2026-07-20T01:30:58Z</dcterms:modified>
</cp:coreProperties>
</file>