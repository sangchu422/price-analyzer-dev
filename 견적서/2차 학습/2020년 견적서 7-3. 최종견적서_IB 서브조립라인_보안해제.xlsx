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A\Desktop\0720\"/>
    </mc:Choice>
  </mc:AlternateContent>
  <xr:revisionPtr revIDLastSave="0" documentId="13_ncr:101_{A268763E-ED1D-404B-9BBA-C30D718A9F10}" xr6:coauthVersionLast="47" xr6:coauthVersionMax="47" xr10:uidLastSave="{00000000-0000-0000-0000-000000000000}"/>
  <bookViews>
    <workbookView xWindow="-108" yWindow="-108" windowWidth="21864" windowHeight="13176" xr2:uid="{D78A656A-8BAB-4BB9-B791-686502709071}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#10" sheetId="5" r:id="rId5"/>
    <sheet name="#20" sheetId="6" r:id="rId6"/>
    <sheet name="#30" sheetId="7" r:id="rId7"/>
    <sheet name="#40" sheetId="8" r:id="rId8"/>
    <sheet name="#50" sheetId="9" r:id="rId9"/>
    <sheet name="#60" sheetId="10" r:id="rId10"/>
    <sheet name="#70" sheetId="11" r:id="rId11"/>
    <sheet name="#80" sheetId="12" r:id="rId12"/>
    <sheet name="#90" sheetId="13" r:id="rId13"/>
    <sheet name="#100" sheetId="14" r:id="rId14"/>
    <sheet name="#110" sheetId="15" r:id="rId15"/>
    <sheet name="#120" sheetId="16" r:id="rId16"/>
    <sheet name="#130" sheetId="17" r:id="rId17"/>
    <sheet name="#140" sheetId="18" r:id="rId18"/>
    <sheet name="#150" sheetId="19" r:id="rId19"/>
    <sheet name="#160" sheetId="20" r:id="rId20"/>
    <sheet name="#170" sheetId="21" r:id="rId21"/>
    <sheet name="#180" sheetId="22" r:id="rId22"/>
    <sheet name="#190" sheetId="23" r:id="rId23"/>
    <sheet name="#200" sheetId="24" r:id="rId24"/>
    <sheet name="#210" sheetId="25" r:id="rId25"/>
    <sheet name="#220" sheetId="26" r:id="rId26"/>
    <sheet name="#230" sheetId="27" r:id="rId27"/>
    <sheet name="#240" sheetId="28" r:id="rId28"/>
    <sheet name="#250" sheetId="29" r:id="rId29"/>
    <sheet name="#260" sheetId="30" r:id="rId30"/>
    <sheet name="#270" sheetId="31" r:id="rId31"/>
    <sheet name="#280" sheetId="32" r:id="rId32"/>
    <sheet name="#290" sheetId="33" r:id="rId33"/>
    <sheet name="#300" sheetId="34" r:id="rId34"/>
    <sheet name="첨부(견적조건차이내역)" sheetId="35" r:id="rId35"/>
  </sheets>
  <externalReferences>
    <externalReference r:id="rId36"/>
  </externalReferences>
  <definedNames>
    <definedName name="_xlnm._FilterDatabase" localSheetId="4" hidden="1">'#10'!$A$2:$I$86</definedName>
    <definedName name="_xlnm._FilterDatabase" localSheetId="14" hidden="1">'#110'!$J$2:$J$70</definedName>
    <definedName name="_xlnm._FilterDatabase" localSheetId="15" hidden="1">'#120'!$J$2:$J$64</definedName>
    <definedName name="_xlnm._FilterDatabase" localSheetId="16" hidden="1">'#130'!$J$2:$J$62</definedName>
    <definedName name="_xlnm._FilterDatabase" localSheetId="17" hidden="1">'#140'!$J$2:$J$53</definedName>
    <definedName name="_xlnm._FilterDatabase" localSheetId="18" hidden="1">'#150'!$J$2:$J$56</definedName>
    <definedName name="_xlnm._FilterDatabase" localSheetId="19" hidden="1">'#160'!$J$2:$J$62</definedName>
    <definedName name="_xlnm._FilterDatabase" localSheetId="20" hidden="1">'#170'!$J$2:$J$67</definedName>
    <definedName name="_xlnm._FilterDatabase" localSheetId="21" hidden="1">'#180'!$J$2:$J$70</definedName>
    <definedName name="_xlnm._FilterDatabase" localSheetId="22" hidden="1">'#190'!$J$2:$J$64</definedName>
    <definedName name="_xlnm._FilterDatabase" localSheetId="5" hidden="1">'#20'!$A$2:$I$62</definedName>
    <definedName name="_xlnm._FilterDatabase" localSheetId="23" hidden="1">'#200'!$J$2:$J$62</definedName>
    <definedName name="_xlnm._FilterDatabase" localSheetId="24" hidden="1">'#210'!$J$2:$J$56</definedName>
    <definedName name="_xlnm._FilterDatabase" localSheetId="25" hidden="1">'#220'!$J$2:$J$56</definedName>
    <definedName name="_xlnm._FilterDatabase" localSheetId="26" hidden="1">'#230'!$J$2:$J$62</definedName>
    <definedName name="_xlnm._FilterDatabase" localSheetId="27" hidden="1">'#240'!$J$2:$J$67</definedName>
    <definedName name="_xlnm._FilterDatabase" localSheetId="28" hidden="1">'#250'!$J$2:$J$54</definedName>
    <definedName name="_xlnm._FilterDatabase" localSheetId="29" hidden="1">'#260'!$J$2:$J$62</definedName>
    <definedName name="_xlnm._FilterDatabase" localSheetId="30" hidden="1">'#270'!$J$2:$J$62</definedName>
    <definedName name="_xlnm._FilterDatabase" localSheetId="31" hidden="1">'#280'!$J$2:$J$62</definedName>
    <definedName name="_xlnm._FilterDatabase" localSheetId="32" hidden="1">'#290'!$J$2:$J$62</definedName>
    <definedName name="_xlnm._FilterDatabase" localSheetId="6" hidden="1">'#30'!$J$2:$J$62</definedName>
    <definedName name="_xlnm._FilterDatabase" localSheetId="33" hidden="1">'#300'!$J$2:$J$62</definedName>
    <definedName name="_xlnm._FilterDatabase" localSheetId="7" hidden="1">'#40'!$J$2:$J$62</definedName>
    <definedName name="_xlnm._FilterDatabase" localSheetId="8" hidden="1">'#50'!$J$2:$J$57</definedName>
    <definedName name="_xlnm._FilterDatabase" localSheetId="9" hidden="1">'#60'!$J$2:$J$60</definedName>
    <definedName name="_xlnm._FilterDatabase" localSheetId="10" hidden="1">'#70'!$J$2:$J$70</definedName>
    <definedName name="_xlnm._FilterDatabase" localSheetId="11" hidden="1">'#80'!$J$2:$J$79</definedName>
    <definedName name="_xlnm._FilterDatabase" localSheetId="3" hidden="1">전기!$A$2:$I$39</definedName>
    <definedName name="_xlnm.Print_Area" localSheetId="0">갑지!$B:$I</definedName>
    <definedName name="_xlnm.Print_Area" localSheetId="2">'단위공사별(집계)'!$A$1:$O$40</definedName>
    <definedName name="_xlnm.Print_Area" localSheetId="1">'원가항목별(집계)'!$A$1:$J$44</definedName>
    <definedName name="_xlnm.Print_Area" localSheetId="3">전기!$A:$I</definedName>
    <definedName name="_xlnm.Print_Area" localSheetId="34">'첨부(견적조건차이내역)'!$A$1:$D$36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34" l="1"/>
  <c r="H56" i="34"/>
  <c r="H55" i="34"/>
  <c r="G36" i="3" s="1"/>
  <c r="H54" i="34"/>
  <c r="H53" i="34"/>
  <c r="H52" i="34"/>
  <c r="H51" i="34"/>
  <c r="H50" i="34"/>
  <c r="H47" i="34"/>
  <c r="H46" i="34"/>
  <c r="H45" i="34"/>
  <c r="H44" i="34"/>
  <c r="H43" i="34"/>
  <c r="H42" i="34"/>
  <c r="H41" i="34"/>
  <c r="H48" i="34" s="1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7" i="34"/>
  <c r="H16" i="34"/>
  <c r="H15" i="34"/>
  <c r="H14" i="34"/>
  <c r="H13" i="34"/>
  <c r="H11" i="34"/>
  <c r="H10" i="34"/>
  <c r="H9" i="34"/>
  <c r="H8" i="34"/>
  <c r="H7" i="34"/>
  <c r="H6" i="34"/>
  <c r="H5" i="34"/>
  <c r="H4" i="34"/>
  <c r="H3" i="34"/>
  <c r="H57" i="33"/>
  <c r="H56" i="33"/>
  <c r="H55" i="33"/>
  <c r="H54" i="33"/>
  <c r="H53" i="33"/>
  <c r="H52" i="33"/>
  <c r="H51" i="33"/>
  <c r="F35" i="3" s="1"/>
  <c r="H50" i="33"/>
  <c r="H58" i="33" s="1"/>
  <c r="H47" i="33"/>
  <c r="H46" i="33"/>
  <c r="H45" i="33"/>
  <c r="H44" i="33"/>
  <c r="H43" i="33"/>
  <c r="H42" i="33"/>
  <c r="H41" i="33"/>
  <c r="H48" i="33" s="1"/>
  <c r="H49" i="33" s="1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40" i="33" s="1"/>
  <c r="H17" i="33"/>
  <c r="H16" i="33"/>
  <c r="H15" i="33"/>
  <c r="H14" i="33"/>
  <c r="H13" i="33"/>
  <c r="H18" i="33" s="1"/>
  <c r="H11" i="33"/>
  <c r="H10" i="33"/>
  <c r="H9" i="33"/>
  <c r="H8" i="33"/>
  <c r="H7" i="33"/>
  <c r="H6" i="33"/>
  <c r="H5" i="33"/>
  <c r="H4" i="33"/>
  <c r="H3" i="33"/>
  <c r="H12" i="33" s="1"/>
  <c r="H57" i="32"/>
  <c r="H56" i="32"/>
  <c r="H55" i="32"/>
  <c r="G34" i="3" s="1"/>
  <c r="H54" i="32"/>
  <c r="H53" i="32"/>
  <c r="H52" i="32"/>
  <c r="H51" i="32"/>
  <c r="H50" i="32"/>
  <c r="H58" i="32" s="1"/>
  <c r="H47" i="32"/>
  <c r="H46" i="32"/>
  <c r="H45" i="32"/>
  <c r="H44" i="32"/>
  <c r="H43" i="32"/>
  <c r="H42" i="32"/>
  <c r="H41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7" i="32"/>
  <c r="H16" i="32"/>
  <c r="H15" i="32"/>
  <c r="H14" i="32"/>
  <c r="H13" i="32"/>
  <c r="H18" i="32" s="1"/>
  <c r="H11" i="32"/>
  <c r="H10" i="32"/>
  <c r="H9" i="32"/>
  <c r="H8" i="32"/>
  <c r="H7" i="32"/>
  <c r="H6" i="32"/>
  <c r="H5" i="32"/>
  <c r="H4" i="32"/>
  <c r="H3" i="32"/>
  <c r="H57" i="31"/>
  <c r="H56" i="31"/>
  <c r="H55" i="31"/>
  <c r="H54" i="31"/>
  <c r="H53" i="31"/>
  <c r="H52" i="31"/>
  <c r="H51" i="31"/>
  <c r="H50" i="31"/>
  <c r="H47" i="31"/>
  <c r="H46" i="31"/>
  <c r="H45" i="31"/>
  <c r="H44" i="31"/>
  <c r="H43" i="31"/>
  <c r="H42" i="31"/>
  <c r="H41" i="31"/>
  <c r="H48" i="31" s="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40" i="31" s="1"/>
  <c r="H17" i="31"/>
  <c r="H16" i="31"/>
  <c r="H15" i="31"/>
  <c r="H14" i="31"/>
  <c r="H13" i="31"/>
  <c r="H18" i="31" s="1"/>
  <c r="H11" i="31"/>
  <c r="H10" i="31"/>
  <c r="H9" i="31"/>
  <c r="H8" i="31"/>
  <c r="H7" i="31"/>
  <c r="H6" i="31"/>
  <c r="H5" i="31"/>
  <c r="H4" i="31"/>
  <c r="H3" i="31"/>
  <c r="H12" i="31" s="1"/>
  <c r="H57" i="30"/>
  <c r="H56" i="30"/>
  <c r="H55" i="30"/>
  <c r="G32" i="3" s="1"/>
  <c r="H54" i="30"/>
  <c r="H53" i="30"/>
  <c r="H52" i="30"/>
  <c r="H51" i="30"/>
  <c r="H50" i="30"/>
  <c r="H58" i="30" s="1"/>
  <c r="H47" i="30"/>
  <c r="H46" i="30"/>
  <c r="H45" i="30"/>
  <c r="H44" i="30"/>
  <c r="H43" i="30"/>
  <c r="H42" i="30"/>
  <c r="H41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7" i="30"/>
  <c r="H16" i="30"/>
  <c r="H15" i="30"/>
  <c r="H14" i="30"/>
  <c r="H13" i="30"/>
  <c r="H18" i="30" s="1"/>
  <c r="H11" i="30"/>
  <c r="H10" i="30"/>
  <c r="H9" i="30"/>
  <c r="H8" i="30"/>
  <c r="H7" i="30"/>
  <c r="H6" i="30"/>
  <c r="H5" i="30"/>
  <c r="H4" i="30"/>
  <c r="H3" i="30"/>
  <c r="H51" i="29"/>
  <c r="H49" i="29"/>
  <c r="H48" i="29"/>
  <c r="H47" i="29"/>
  <c r="H46" i="29"/>
  <c r="H45" i="29"/>
  <c r="H44" i="29"/>
  <c r="H43" i="29"/>
  <c r="H42" i="29"/>
  <c r="H50" i="29" s="1"/>
  <c r="H39" i="29"/>
  <c r="H38" i="29"/>
  <c r="H37" i="29"/>
  <c r="H36" i="29"/>
  <c r="H35" i="29"/>
  <c r="H34" i="29"/>
  <c r="H33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32" i="29" s="1"/>
  <c r="H17" i="29"/>
  <c r="H16" i="29"/>
  <c r="H15" i="29"/>
  <c r="H14" i="29"/>
  <c r="H13" i="29"/>
  <c r="H18" i="29" s="1"/>
  <c r="H11" i="29"/>
  <c r="H10" i="29"/>
  <c r="H9" i="29"/>
  <c r="H8" i="29"/>
  <c r="H7" i="29"/>
  <c r="H6" i="29"/>
  <c r="H5" i="29"/>
  <c r="H4" i="29"/>
  <c r="H3" i="29"/>
  <c r="H12" i="29" s="1"/>
  <c r="H62" i="28"/>
  <c r="H61" i="28"/>
  <c r="H60" i="28"/>
  <c r="G30" i="3" s="1"/>
  <c r="H59" i="28"/>
  <c r="H58" i="28"/>
  <c r="H57" i="28"/>
  <c r="H56" i="28"/>
  <c r="H55" i="28"/>
  <c r="H52" i="28"/>
  <c r="H51" i="28"/>
  <c r="H50" i="28"/>
  <c r="H49" i="28"/>
  <c r="H48" i="28"/>
  <c r="H47" i="28"/>
  <c r="H46" i="28"/>
  <c r="H53" i="28" s="1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45" i="28" s="1"/>
  <c r="H18" i="28"/>
  <c r="H17" i="28"/>
  <c r="H16" i="28"/>
  <c r="H15" i="28"/>
  <c r="H14" i="28"/>
  <c r="H19" i="28" s="1"/>
  <c r="H12" i="28"/>
  <c r="H11" i="28"/>
  <c r="H10" i="28"/>
  <c r="H9" i="28"/>
  <c r="H8" i="28"/>
  <c r="H7" i="28"/>
  <c r="H6" i="28"/>
  <c r="H5" i="28"/>
  <c r="H4" i="28"/>
  <c r="H3" i="28"/>
  <c r="H57" i="27"/>
  <c r="H56" i="27"/>
  <c r="H29" i="3" s="1"/>
  <c r="H55" i="27"/>
  <c r="H54" i="27"/>
  <c r="H53" i="27"/>
  <c r="H52" i="27"/>
  <c r="H51" i="27"/>
  <c r="H50" i="27"/>
  <c r="H58" i="27" s="1"/>
  <c r="H48" i="27"/>
  <c r="H47" i="27"/>
  <c r="H46" i="27"/>
  <c r="H45" i="27"/>
  <c r="H44" i="27"/>
  <c r="H43" i="27"/>
  <c r="H42" i="27"/>
  <c r="H41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40" i="27" s="1"/>
  <c r="H23" i="27"/>
  <c r="H21" i="27"/>
  <c r="H20" i="27"/>
  <c r="H19" i="27"/>
  <c r="H18" i="27"/>
  <c r="H17" i="27"/>
  <c r="H22" i="27" s="1"/>
  <c r="H15" i="27"/>
  <c r="H14" i="27"/>
  <c r="H13" i="27"/>
  <c r="H12" i="27"/>
  <c r="H11" i="27"/>
  <c r="H10" i="27"/>
  <c r="H9" i="27"/>
  <c r="H8" i="27"/>
  <c r="H16" i="27" s="1"/>
  <c r="H7" i="27"/>
  <c r="H6" i="27"/>
  <c r="H5" i="27"/>
  <c r="H4" i="27"/>
  <c r="H3" i="27"/>
  <c r="H51" i="26"/>
  <c r="H50" i="26"/>
  <c r="H49" i="26"/>
  <c r="H48" i="26"/>
  <c r="H47" i="26"/>
  <c r="H46" i="26"/>
  <c r="F28" i="3" s="1"/>
  <c r="H45" i="26"/>
  <c r="H44" i="26"/>
  <c r="H41" i="26"/>
  <c r="H40" i="26"/>
  <c r="H39" i="26"/>
  <c r="H38" i="26"/>
  <c r="H37" i="26"/>
  <c r="H36" i="26"/>
  <c r="H35" i="26"/>
  <c r="H42" i="26" s="1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6" i="26"/>
  <c r="H15" i="26"/>
  <c r="H14" i="26"/>
  <c r="H13" i="26"/>
  <c r="H12" i="26"/>
  <c r="H10" i="26"/>
  <c r="H9" i="26"/>
  <c r="H8" i="26"/>
  <c r="H7" i="26"/>
  <c r="H6" i="26"/>
  <c r="H5" i="26"/>
  <c r="H4" i="26"/>
  <c r="H3" i="26"/>
  <c r="H51" i="25"/>
  <c r="H50" i="25"/>
  <c r="H27" i="3" s="1"/>
  <c r="H49" i="25"/>
  <c r="H48" i="25"/>
  <c r="H47" i="25"/>
  <c r="H46" i="25"/>
  <c r="H45" i="25"/>
  <c r="H44" i="25"/>
  <c r="H42" i="25"/>
  <c r="H41" i="25"/>
  <c r="H40" i="25"/>
  <c r="H39" i="25"/>
  <c r="H38" i="25"/>
  <c r="H37" i="25"/>
  <c r="H36" i="25"/>
  <c r="H35" i="25"/>
  <c r="H33" i="25"/>
  <c r="H32" i="25"/>
  <c r="H31" i="25"/>
  <c r="H30" i="25"/>
  <c r="H29" i="25"/>
  <c r="H28" i="25"/>
  <c r="H27" i="25"/>
  <c r="H26" i="25"/>
  <c r="H34" i="25" s="1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1" i="25"/>
  <c r="H10" i="25"/>
  <c r="H9" i="25"/>
  <c r="H8" i="25"/>
  <c r="H7" i="25"/>
  <c r="H6" i="25"/>
  <c r="H5" i="25"/>
  <c r="H4" i="25"/>
  <c r="H12" i="25" s="1"/>
  <c r="H3" i="25"/>
  <c r="H57" i="24"/>
  <c r="H56" i="24"/>
  <c r="H55" i="24"/>
  <c r="H54" i="24"/>
  <c r="H53" i="24"/>
  <c r="H52" i="24"/>
  <c r="H51" i="24"/>
  <c r="H50" i="24"/>
  <c r="H47" i="24"/>
  <c r="H46" i="24"/>
  <c r="H45" i="24"/>
  <c r="H44" i="24"/>
  <c r="H43" i="24"/>
  <c r="H42" i="24"/>
  <c r="H41" i="24"/>
  <c r="H48" i="24" s="1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7" i="24"/>
  <c r="H16" i="24"/>
  <c r="H15" i="24"/>
  <c r="H14" i="24"/>
  <c r="H13" i="24"/>
  <c r="H18" i="24" s="1"/>
  <c r="H11" i="24"/>
  <c r="H10" i="24"/>
  <c r="H9" i="24"/>
  <c r="H8" i="24"/>
  <c r="H7" i="24"/>
  <c r="H6" i="24"/>
  <c r="H5" i="24"/>
  <c r="H4" i="24"/>
  <c r="H12" i="24" s="1"/>
  <c r="H3" i="24"/>
  <c r="H59" i="23"/>
  <c r="H58" i="23"/>
  <c r="H57" i="23"/>
  <c r="H56" i="23"/>
  <c r="G25" i="3" s="1"/>
  <c r="H55" i="23"/>
  <c r="H54" i="23"/>
  <c r="H53" i="23"/>
  <c r="H52" i="23"/>
  <c r="H49" i="23"/>
  <c r="H48" i="23"/>
  <c r="H47" i="23"/>
  <c r="H46" i="23"/>
  <c r="H45" i="23"/>
  <c r="H44" i="23"/>
  <c r="H43" i="23"/>
  <c r="H50" i="23" s="1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42" i="23" s="1"/>
  <c r="H18" i="23"/>
  <c r="H17" i="23"/>
  <c r="H16" i="23"/>
  <c r="H15" i="23"/>
  <c r="H14" i="23"/>
  <c r="H11" i="23"/>
  <c r="H10" i="23"/>
  <c r="H9" i="23"/>
  <c r="H8" i="23"/>
  <c r="H7" i="23"/>
  <c r="H6" i="23"/>
  <c r="H5" i="23"/>
  <c r="H4" i="23"/>
  <c r="H3" i="23"/>
  <c r="H65" i="22"/>
  <c r="H64" i="22"/>
  <c r="H24" i="3" s="1"/>
  <c r="H63" i="22"/>
  <c r="H62" i="22"/>
  <c r="H61" i="22"/>
  <c r="H60" i="22"/>
  <c r="H59" i="22"/>
  <c r="H58" i="22"/>
  <c r="H66" i="22" s="1"/>
  <c r="H56" i="22"/>
  <c r="H55" i="22"/>
  <c r="H54" i="22"/>
  <c r="H53" i="22"/>
  <c r="H52" i="22"/>
  <c r="H51" i="22"/>
  <c r="H50" i="22"/>
  <c r="H49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48" i="22" s="1"/>
  <c r="H30" i="22"/>
  <c r="H29" i="22"/>
  <c r="H28" i="22"/>
  <c r="H27" i="22"/>
  <c r="H25" i="22"/>
  <c r="H24" i="22"/>
  <c r="H23" i="22"/>
  <c r="H22" i="22"/>
  <c r="H21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3" i="22"/>
  <c r="H20" i="22" s="1"/>
  <c r="H62" i="21"/>
  <c r="H61" i="21"/>
  <c r="H23" i="3" s="1"/>
  <c r="H60" i="21"/>
  <c r="H59" i="21"/>
  <c r="H58" i="21"/>
  <c r="H57" i="21"/>
  <c r="H56" i="21"/>
  <c r="H55" i="21"/>
  <c r="H63" i="21" s="1"/>
  <c r="H53" i="21"/>
  <c r="H52" i="21"/>
  <c r="H51" i="21"/>
  <c r="H50" i="21"/>
  <c r="H49" i="21"/>
  <c r="H48" i="21"/>
  <c r="H47" i="21"/>
  <c r="H46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45" i="21" s="1"/>
  <c r="H18" i="21"/>
  <c r="H17" i="21"/>
  <c r="H16" i="21"/>
  <c r="H15" i="21"/>
  <c r="H14" i="21"/>
  <c r="H19" i="21" s="1"/>
  <c r="H11" i="21"/>
  <c r="H10" i="21"/>
  <c r="H9" i="21"/>
  <c r="H8" i="21"/>
  <c r="H7" i="21"/>
  <c r="H6" i="21"/>
  <c r="H5" i="21"/>
  <c r="H4" i="21"/>
  <c r="H3" i="21"/>
  <c r="H13" i="21" s="1"/>
  <c r="H57" i="20"/>
  <c r="H56" i="20"/>
  <c r="H55" i="20"/>
  <c r="H54" i="20"/>
  <c r="H53" i="20"/>
  <c r="F22" i="3" s="1"/>
  <c r="H52" i="20"/>
  <c r="H51" i="20"/>
  <c r="H50" i="20"/>
  <c r="H58" i="20" s="1"/>
  <c r="H47" i="20"/>
  <c r="H46" i="20"/>
  <c r="H45" i="20"/>
  <c r="H44" i="20"/>
  <c r="H43" i="20"/>
  <c r="H42" i="20"/>
  <c r="H41" i="20"/>
  <c r="H48" i="20" s="1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40" i="20" s="1"/>
  <c r="H21" i="20"/>
  <c r="H20" i="20"/>
  <c r="H19" i="20"/>
  <c r="H18" i="20"/>
  <c r="H17" i="20"/>
  <c r="H22" i="20" s="1"/>
  <c r="H14" i="20"/>
  <c r="H13" i="20"/>
  <c r="H12" i="20"/>
  <c r="H11" i="20"/>
  <c r="H10" i="20"/>
  <c r="H9" i="20"/>
  <c r="H8" i="20"/>
  <c r="H7" i="20"/>
  <c r="H6" i="20"/>
  <c r="H5" i="20"/>
  <c r="H4" i="20"/>
  <c r="H3" i="20"/>
  <c r="H16" i="20" s="1"/>
  <c r="H51" i="19"/>
  <c r="H50" i="19"/>
  <c r="H49" i="19"/>
  <c r="H48" i="19"/>
  <c r="H47" i="19"/>
  <c r="H46" i="19"/>
  <c r="H45" i="19"/>
  <c r="H44" i="19"/>
  <c r="H52" i="19" s="1"/>
  <c r="H41" i="19"/>
  <c r="H40" i="19"/>
  <c r="H39" i="19"/>
  <c r="H38" i="19"/>
  <c r="H37" i="19"/>
  <c r="H36" i="19"/>
  <c r="H35" i="19"/>
  <c r="H42" i="19" s="1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34" i="19" s="1"/>
  <c r="H16" i="19"/>
  <c r="H15" i="19"/>
  <c r="H14" i="19"/>
  <c r="H13" i="19"/>
  <c r="H12" i="19"/>
  <c r="H9" i="19"/>
  <c r="H8" i="19"/>
  <c r="H7" i="19"/>
  <c r="H6" i="19"/>
  <c r="H5" i="19"/>
  <c r="H11" i="19" s="1"/>
  <c r="H4" i="19"/>
  <c r="H3" i="19"/>
  <c r="H48" i="18"/>
  <c r="H47" i="18"/>
  <c r="H46" i="18"/>
  <c r="G20" i="3" s="1"/>
  <c r="H45" i="18"/>
  <c r="H44" i="18"/>
  <c r="H43" i="18"/>
  <c r="H42" i="18"/>
  <c r="H41" i="18"/>
  <c r="H38" i="18"/>
  <c r="H37" i="18"/>
  <c r="H36" i="18"/>
  <c r="H35" i="18"/>
  <c r="H39" i="18" s="1"/>
  <c r="H32" i="18"/>
  <c r="H31" i="18"/>
  <c r="H30" i="18"/>
  <c r="H29" i="18"/>
  <c r="H28" i="18"/>
  <c r="H27" i="18"/>
  <c r="H26" i="18"/>
  <c r="H25" i="18"/>
  <c r="H24" i="18"/>
  <c r="H23" i="18"/>
  <c r="H22" i="18"/>
  <c r="H21" i="18"/>
  <c r="H34" i="18" s="1"/>
  <c r="H20" i="18"/>
  <c r="H19" i="18"/>
  <c r="H17" i="18"/>
  <c r="H16" i="18"/>
  <c r="H15" i="18"/>
  <c r="H14" i="18"/>
  <c r="H13" i="18"/>
  <c r="H18" i="18" s="1"/>
  <c r="H10" i="18"/>
  <c r="H9" i="18"/>
  <c r="H8" i="18"/>
  <c r="H7" i="18"/>
  <c r="H6" i="18"/>
  <c r="H5" i="18"/>
  <c r="H4" i="18"/>
  <c r="H3" i="18"/>
  <c r="H57" i="17"/>
  <c r="H56" i="17"/>
  <c r="H55" i="17"/>
  <c r="H54" i="17"/>
  <c r="G19" i="3" s="1"/>
  <c r="H53" i="17"/>
  <c r="H52" i="17"/>
  <c r="H51" i="17"/>
  <c r="H50" i="17"/>
  <c r="H58" i="17" s="1"/>
  <c r="H47" i="17"/>
  <c r="H46" i="17"/>
  <c r="H45" i="17"/>
  <c r="H44" i="17"/>
  <c r="H43" i="17"/>
  <c r="H42" i="17"/>
  <c r="H41" i="17"/>
  <c r="H48" i="17" s="1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40" i="17" s="1"/>
  <c r="H17" i="17"/>
  <c r="H16" i="17"/>
  <c r="H15" i="17"/>
  <c r="H14" i="17"/>
  <c r="H13" i="17"/>
  <c r="H18" i="17" s="1"/>
  <c r="H10" i="17"/>
  <c r="H9" i="17"/>
  <c r="H8" i="17"/>
  <c r="H7" i="17"/>
  <c r="H6" i="17"/>
  <c r="H5" i="17"/>
  <c r="H4" i="17"/>
  <c r="H3" i="17"/>
  <c r="H59" i="16"/>
  <c r="H58" i="16"/>
  <c r="H57" i="16"/>
  <c r="H56" i="16"/>
  <c r="G18" i="3" s="1"/>
  <c r="H55" i="16"/>
  <c r="H54" i="16"/>
  <c r="H53" i="16"/>
  <c r="H52" i="16"/>
  <c r="H60" i="16" s="1"/>
  <c r="H49" i="16"/>
  <c r="H48" i="16"/>
  <c r="H47" i="16"/>
  <c r="H46" i="16"/>
  <c r="H45" i="16"/>
  <c r="H44" i="16"/>
  <c r="H43" i="16"/>
  <c r="H50" i="16" s="1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8" i="16"/>
  <c r="H17" i="16"/>
  <c r="H16" i="16"/>
  <c r="H15" i="16"/>
  <c r="H19" i="16" s="1"/>
  <c r="H14" i="16"/>
  <c r="H11" i="16"/>
  <c r="H10" i="16"/>
  <c r="H9" i="16"/>
  <c r="H8" i="16"/>
  <c r="H7" i="16"/>
  <c r="H6" i="16"/>
  <c r="H5" i="16"/>
  <c r="H4" i="16"/>
  <c r="H3" i="16"/>
  <c r="H65" i="15"/>
  <c r="H64" i="15"/>
  <c r="H17" i="3" s="1"/>
  <c r="H63" i="15"/>
  <c r="H62" i="15"/>
  <c r="H61" i="15"/>
  <c r="H60" i="15"/>
  <c r="H59" i="15"/>
  <c r="H58" i="15"/>
  <c r="H56" i="15"/>
  <c r="H55" i="15"/>
  <c r="H54" i="15"/>
  <c r="H53" i="15"/>
  <c r="H52" i="15"/>
  <c r="H51" i="15"/>
  <c r="H50" i="15"/>
  <c r="H49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48" i="15" s="1"/>
  <c r="H30" i="15"/>
  <c r="H29" i="15"/>
  <c r="H28" i="15"/>
  <c r="H27" i="15"/>
  <c r="H25" i="15"/>
  <c r="H24" i="15"/>
  <c r="H23" i="15"/>
  <c r="H26" i="15" s="1"/>
  <c r="H22" i="15"/>
  <c r="H21" i="15"/>
  <c r="H17" i="15"/>
  <c r="H16" i="15"/>
  <c r="H15" i="15"/>
  <c r="H14" i="15"/>
  <c r="H12" i="15"/>
  <c r="H11" i="15"/>
  <c r="H9" i="15"/>
  <c r="H8" i="15"/>
  <c r="H7" i="15"/>
  <c r="H6" i="15"/>
  <c r="H5" i="15"/>
  <c r="H4" i="15"/>
  <c r="H3" i="15"/>
  <c r="H20" i="15" s="1"/>
  <c r="H57" i="14"/>
  <c r="H56" i="14"/>
  <c r="H55" i="14"/>
  <c r="H54" i="14"/>
  <c r="H53" i="14"/>
  <c r="F16" i="3" s="1"/>
  <c r="H52" i="14"/>
  <c r="H51" i="14"/>
  <c r="H50" i="14"/>
  <c r="H58" i="14" s="1"/>
  <c r="H47" i="14"/>
  <c r="H46" i="14"/>
  <c r="H45" i="14"/>
  <c r="H44" i="14"/>
  <c r="H43" i="14"/>
  <c r="H42" i="14"/>
  <c r="H48" i="14" s="1"/>
  <c r="H41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40" i="14" s="1"/>
  <c r="H19" i="14"/>
  <c r="H17" i="14"/>
  <c r="H16" i="14"/>
  <c r="H15" i="14"/>
  <c r="H14" i="14"/>
  <c r="H13" i="14"/>
  <c r="H18" i="14" s="1"/>
  <c r="H10" i="14"/>
  <c r="H9" i="14"/>
  <c r="H8" i="14"/>
  <c r="H7" i="14"/>
  <c r="H6" i="14"/>
  <c r="H5" i="14"/>
  <c r="H4" i="14"/>
  <c r="H3" i="14"/>
  <c r="H12" i="14" s="1"/>
  <c r="H60" i="13"/>
  <c r="H59" i="13"/>
  <c r="H58" i="13"/>
  <c r="H57" i="13"/>
  <c r="H56" i="13"/>
  <c r="H55" i="13"/>
  <c r="H54" i="13"/>
  <c r="H53" i="13"/>
  <c r="H50" i="13"/>
  <c r="H49" i="13"/>
  <c r="H48" i="13"/>
  <c r="H47" i="13"/>
  <c r="H46" i="13"/>
  <c r="H45" i="13"/>
  <c r="H44" i="13"/>
  <c r="H51" i="13" s="1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43" i="13" s="1"/>
  <c r="H18" i="13"/>
  <c r="H17" i="13"/>
  <c r="H16" i="13"/>
  <c r="H15" i="13"/>
  <c r="H19" i="13" s="1"/>
  <c r="H14" i="13"/>
  <c r="H11" i="13"/>
  <c r="H9" i="13"/>
  <c r="H8" i="13"/>
  <c r="H7" i="13"/>
  <c r="H6" i="13"/>
  <c r="H5" i="13"/>
  <c r="H4" i="13"/>
  <c r="H3" i="13"/>
  <c r="H13" i="13" s="1"/>
  <c r="H74" i="12"/>
  <c r="H73" i="12"/>
  <c r="H72" i="12"/>
  <c r="G14" i="3" s="1"/>
  <c r="H71" i="12"/>
  <c r="H70" i="12"/>
  <c r="H69" i="12"/>
  <c r="H68" i="12"/>
  <c r="H67" i="12"/>
  <c r="H64" i="12"/>
  <c r="H63" i="12"/>
  <c r="H62" i="12"/>
  <c r="H61" i="12"/>
  <c r="H60" i="12"/>
  <c r="H59" i="12"/>
  <c r="H58" i="12"/>
  <c r="H65" i="12" s="1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57" i="12" s="1"/>
  <c r="H22" i="12"/>
  <c r="H21" i="12"/>
  <c r="H20" i="12"/>
  <c r="H19" i="12"/>
  <c r="H18" i="12"/>
  <c r="H17" i="12"/>
  <c r="H14" i="12"/>
  <c r="H13" i="12"/>
  <c r="H12" i="12"/>
  <c r="H11" i="12"/>
  <c r="H10" i="12"/>
  <c r="H9" i="12"/>
  <c r="H8" i="12"/>
  <c r="H7" i="12"/>
  <c r="H6" i="12"/>
  <c r="H5" i="12"/>
  <c r="H4" i="12"/>
  <c r="H3" i="12"/>
  <c r="H65" i="11"/>
  <c r="H64" i="11"/>
  <c r="H13" i="3" s="1"/>
  <c r="H63" i="11"/>
  <c r="H62" i="11"/>
  <c r="H61" i="11"/>
  <c r="H60" i="11"/>
  <c r="H59" i="11"/>
  <c r="H58" i="11"/>
  <c r="H56" i="11"/>
  <c r="H55" i="11"/>
  <c r="H54" i="11"/>
  <c r="H53" i="11"/>
  <c r="H52" i="11"/>
  <c r="H51" i="11"/>
  <c r="H50" i="11"/>
  <c r="H49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48" i="11" s="1"/>
  <c r="H22" i="11"/>
  <c r="H21" i="11"/>
  <c r="H19" i="11"/>
  <c r="H18" i="11"/>
  <c r="H17" i="11"/>
  <c r="H16" i="11"/>
  <c r="H15" i="11"/>
  <c r="H20" i="11" s="1"/>
  <c r="H12" i="11"/>
  <c r="H11" i="11"/>
  <c r="H10" i="11"/>
  <c r="H9" i="11"/>
  <c r="H8" i="11"/>
  <c r="H7" i="11"/>
  <c r="H6" i="11"/>
  <c r="H5" i="11"/>
  <c r="H14" i="11" s="1"/>
  <c r="H4" i="11"/>
  <c r="H3" i="11"/>
  <c r="H55" i="10"/>
  <c r="H54" i="10"/>
  <c r="H53" i="10"/>
  <c r="H52" i="10"/>
  <c r="H51" i="10"/>
  <c r="H50" i="10"/>
  <c r="H49" i="10"/>
  <c r="H48" i="10"/>
  <c r="H56" i="10" s="1"/>
  <c r="H46" i="10"/>
  <c r="H45" i="10"/>
  <c r="H44" i="10"/>
  <c r="H43" i="10"/>
  <c r="H42" i="10"/>
  <c r="H41" i="10"/>
  <c r="H40" i="10"/>
  <c r="H39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38" i="10" s="1"/>
  <c r="H20" i="10"/>
  <c r="H18" i="10"/>
  <c r="H17" i="10"/>
  <c r="H16" i="10"/>
  <c r="H15" i="10"/>
  <c r="H14" i="10"/>
  <c r="H19" i="10" s="1"/>
  <c r="H11" i="10"/>
  <c r="H10" i="10"/>
  <c r="H9" i="10"/>
  <c r="H8" i="10"/>
  <c r="H7" i="10"/>
  <c r="H6" i="10"/>
  <c r="H5" i="10"/>
  <c r="H4" i="10"/>
  <c r="H13" i="10" s="1"/>
  <c r="H3" i="10"/>
  <c r="H52" i="9"/>
  <c r="H51" i="9"/>
  <c r="H50" i="9"/>
  <c r="H49" i="9"/>
  <c r="H48" i="9"/>
  <c r="H47" i="9"/>
  <c r="H46" i="9"/>
  <c r="H45" i="9"/>
  <c r="H53" i="9" s="1"/>
  <c r="H42" i="9"/>
  <c r="H41" i="9"/>
  <c r="H43" i="9" s="1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19" i="9"/>
  <c r="H18" i="9"/>
  <c r="H17" i="9"/>
  <c r="H16" i="9"/>
  <c r="H15" i="9"/>
  <c r="H12" i="9"/>
  <c r="H11" i="9"/>
  <c r="H10" i="9"/>
  <c r="H9" i="9"/>
  <c r="H8" i="9"/>
  <c r="H7" i="9"/>
  <c r="H6" i="9"/>
  <c r="H5" i="9"/>
  <c r="H4" i="9"/>
  <c r="H3" i="9"/>
  <c r="H57" i="8"/>
  <c r="F10" i="3" s="1"/>
  <c r="H56" i="8"/>
  <c r="H55" i="8"/>
  <c r="H54" i="8"/>
  <c r="H53" i="8"/>
  <c r="H52" i="8"/>
  <c r="H51" i="8"/>
  <c r="H50" i="8"/>
  <c r="H58" i="8" s="1"/>
  <c r="H47" i="8"/>
  <c r="H46" i="8"/>
  <c r="H45" i="8"/>
  <c r="H44" i="8"/>
  <c r="H43" i="8"/>
  <c r="H42" i="8"/>
  <c r="H41" i="8"/>
  <c r="H48" i="8" s="1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7" i="8"/>
  <c r="H16" i="8"/>
  <c r="H15" i="8"/>
  <c r="H14" i="8"/>
  <c r="H13" i="8"/>
  <c r="H18" i="8" s="1"/>
  <c r="H10" i="8"/>
  <c r="H9" i="8"/>
  <c r="H8" i="8"/>
  <c r="H7" i="8"/>
  <c r="H6" i="8"/>
  <c r="H5" i="8"/>
  <c r="H4" i="8"/>
  <c r="H3" i="8"/>
  <c r="H57" i="7"/>
  <c r="H56" i="7"/>
  <c r="H55" i="7"/>
  <c r="H54" i="7"/>
  <c r="H53" i="7"/>
  <c r="H52" i="7"/>
  <c r="H51" i="7"/>
  <c r="H50" i="7"/>
  <c r="H47" i="7"/>
  <c r="H46" i="7"/>
  <c r="H45" i="7"/>
  <c r="H44" i="7"/>
  <c r="H48" i="7" s="1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43" i="7" s="1"/>
  <c r="H19" i="7"/>
  <c r="H18" i="7"/>
  <c r="H17" i="7"/>
  <c r="H16" i="7"/>
  <c r="H15" i="7"/>
  <c r="H12" i="7"/>
  <c r="H11" i="7"/>
  <c r="H10" i="7"/>
  <c r="H9" i="7"/>
  <c r="H8" i="7"/>
  <c r="H7" i="7"/>
  <c r="H6" i="7"/>
  <c r="H5" i="7"/>
  <c r="H4" i="7"/>
  <c r="H3" i="7"/>
  <c r="H14" i="7" s="1"/>
  <c r="H57" i="6"/>
  <c r="F8" i="3" s="1"/>
  <c r="H56" i="6"/>
  <c r="H55" i="6"/>
  <c r="H54" i="6"/>
  <c r="H53" i="6"/>
  <c r="H52" i="6"/>
  <c r="H51" i="6"/>
  <c r="H50" i="6"/>
  <c r="H47" i="6"/>
  <c r="H46" i="6"/>
  <c r="H45" i="6"/>
  <c r="H44" i="6"/>
  <c r="H43" i="6"/>
  <c r="H42" i="6"/>
  <c r="H41" i="6"/>
  <c r="H48" i="6" s="1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40" i="6" s="1"/>
  <c r="H21" i="6"/>
  <c r="H20" i="6"/>
  <c r="H19" i="6"/>
  <c r="H22" i="6" s="1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81" i="5"/>
  <c r="H80" i="5"/>
  <c r="H79" i="5"/>
  <c r="H78" i="5"/>
  <c r="H77" i="5"/>
  <c r="H76" i="5"/>
  <c r="H75" i="5"/>
  <c r="H74" i="5"/>
  <c r="H82" i="5" s="1"/>
  <c r="H71" i="5"/>
  <c r="H70" i="5"/>
  <c r="H69" i="5"/>
  <c r="H72" i="5" s="1"/>
  <c r="H66" i="5"/>
  <c r="H65" i="5"/>
  <c r="H64" i="5"/>
  <c r="H63" i="5"/>
  <c r="H62" i="5"/>
  <c r="H61" i="5"/>
  <c r="H60" i="5"/>
  <c r="H59" i="5"/>
  <c r="H58" i="5"/>
  <c r="H57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68" i="5" s="1"/>
  <c r="H21" i="5"/>
  <c r="H20" i="5"/>
  <c r="H22" i="5" s="1"/>
  <c r="H17" i="5"/>
  <c r="H16" i="5"/>
  <c r="H15" i="5"/>
  <c r="H14" i="5"/>
  <c r="H13" i="5"/>
  <c r="H12" i="5"/>
  <c r="H11" i="5"/>
  <c r="H10" i="5"/>
  <c r="H8" i="5"/>
  <c r="H7" i="5"/>
  <c r="H6" i="5"/>
  <c r="H5" i="5"/>
  <c r="H4" i="5"/>
  <c r="H3" i="5"/>
  <c r="H19" i="5" s="1"/>
  <c r="H34" i="4"/>
  <c r="H33" i="4"/>
  <c r="H32" i="4"/>
  <c r="I29" i="2" s="1"/>
  <c r="H31" i="4"/>
  <c r="H35" i="4" s="1"/>
  <c r="H30" i="4"/>
  <c r="H29" i="4"/>
  <c r="H28" i="4"/>
  <c r="H25" i="4"/>
  <c r="H24" i="4"/>
  <c r="H23" i="4"/>
  <c r="H21" i="4"/>
  <c r="H20" i="4"/>
  <c r="H19" i="4"/>
  <c r="H18" i="4"/>
  <c r="H17" i="4"/>
  <c r="H15" i="4"/>
  <c r="H14" i="4"/>
  <c r="H13" i="4"/>
  <c r="H12" i="4"/>
  <c r="H11" i="4"/>
  <c r="H10" i="4"/>
  <c r="H8" i="4"/>
  <c r="H7" i="4"/>
  <c r="H6" i="4"/>
  <c r="H9" i="4" s="1"/>
  <c r="H5" i="4"/>
  <c r="H4" i="4"/>
  <c r="H3" i="4"/>
  <c r="L36" i="3"/>
  <c r="H36" i="3"/>
  <c r="F36" i="3"/>
  <c r="E36" i="3"/>
  <c r="B36" i="3"/>
  <c r="K36" i="3" s="1"/>
  <c r="I35" i="3"/>
  <c r="H35" i="3"/>
  <c r="G35" i="3"/>
  <c r="E35" i="3"/>
  <c r="B35" i="3"/>
  <c r="L35" i="3" s="1"/>
  <c r="H59" i="33" s="1"/>
  <c r="A35" i="3"/>
  <c r="H34" i="3"/>
  <c r="F34" i="3"/>
  <c r="E34" i="3"/>
  <c r="B34" i="3"/>
  <c r="L34" i="3" s="1"/>
  <c r="I33" i="3"/>
  <c r="H33" i="3"/>
  <c r="G33" i="3"/>
  <c r="F33" i="3"/>
  <c r="E33" i="3"/>
  <c r="B33" i="3"/>
  <c r="L33" i="3" s="1"/>
  <c r="H59" i="31" s="1"/>
  <c r="L32" i="3"/>
  <c r="H32" i="3"/>
  <c r="F32" i="3"/>
  <c r="E32" i="3"/>
  <c r="B32" i="3"/>
  <c r="K32" i="3" s="1"/>
  <c r="L31" i="3"/>
  <c r="I31" i="3"/>
  <c r="H31" i="3"/>
  <c r="G31" i="3"/>
  <c r="E31" i="3"/>
  <c r="B31" i="3"/>
  <c r="K31" i="3" s="1"/>
  <c r="A31" i="3"/>
  <c r="H30" i="3"/>
  <c r="F30" i="3"/>
  <c r="E30" i="3"/>
  <c r="B30" i="3"/>
  <c r="L30" i="3" s="1"/>
  <c r="G29" i="3"/>
  <c r="F29" i="3"/>
  <c r="E29" i="3"/>
  <c r="B29" i="3"/>
  <c r="L29" i="3" s="1"/>
  <c r="L28" i="3"/>
  <c r="H28" i="3"/>
  <c r="G28" i="3"/>
  <c r="E28" i="3"/>
  <c r="B28" i="3"/>
  <c r="K28" i="3" s="1"/>
  <c r="M27" i="3"/>
  <c r="G27" i="3"/>
  <c r="F27" i="3"/>
  <c r="E27" i="3"/>
  <c r="B27" i="3"/>
  <c r="M26" i="3"/>
  <c r="H26" i="3"/>
  <c r="G26" i="3"/>
  <c r="E26" i="3"/>
  <c r="B26" i="3"/>
  <c r="M25" i="3"/>
  <c r="H25" i="3"/>
  <c r="F25" i="3"/>
  <c r="E25" i="3"/>
  <c r="B25" i="3"/>
  <c r="M24" i="3"/>
  <c r="G24" i="3"/>
  <c r="F24" i="3"/>
  <c r="E24" i="3"/>
  <c r="B24" i="3"/>
  <c r="M23" i="3"/>
  <c r="G23" i="3"/>
  <c r="F23" i="3"/>
  <c r="E23" i="3"/>
  <c r="B23" i="3"/>
  <c r="M22" i="3"/>
  <c r="H22" i="3"/>
  <c r="G22" i="3"/>
  <c r="E22" i="3"/>
  <c r="B22" i="3"/>
  <c r="M21" i="3"/>
  <c r="H21" i="3"/>
  <c r="G21" i="3"/>
  <c r="F21" i="3"/>
  <c r="E21" i="3"/>
  <c r="B21" i="3"/>
  <c r="M20" i="3"/>
  <c r="H20" i="3"/>
  <c r="F20" i="3"/>
  <c r="E20" i="3"/>
  <c r="B20" i="3"/>
  <c r="M19" i="3"/>
  <c r="H19" i="3"/>
  <c r="F19" i="3"/>
  <c r="E19" i="3"/>
  <c r="B19" i="3"/>
  <c r="M18" i="3"/>
  <c r="H18" i="3"/>
  <c r="F18" i="3"/>
  <c r="E18" i="3"/>
  <c r="B18" i="3"/>
  <c r="M17" i="3"/>
  <c r="G17" i="3"/>
  <c r="F17" i="3"/>
  <c r="E17" i="3"/>
  <c r="B17" i="3"/>
  <c r="M16" i="3"/>
  <c r="H16" i="3"/>
  <c r="G16" i="3"/>
  <c r="E16" i="3"/>
  <c r="B16" i="3"/>
  <c r="M15" i="3"/>
  <c r="H15" i="3"/>
  <c r="G15" i="3"/>
  <c r="E15" i="3"/>
  <c r="B15" i="3"/>
  <c r="M14" i="3"/>
  <c r="H14" i="3"/>
  <c r="F14" i="3"/>
  <c r="E14" i="3"/>
  <c r="B14" i="3"/>
  <c r="M13" i="3"/>
  <c r="G13" i="3"/>
  <c r="F13" i="3"/>
  <c r="E13" i="3"/>
  <c r="B13" i="3"/>
  <c r="M12" i="3"/>
  <c r="G12" i="3"/>
  <c r="F12" i="3"/>
  <c r="E12" i="3"/>
  <c r="B12" i="3"/>
  <c r="M11" i="3"/>
  <c r="H11" i="3"/>
  <c r="F11" i="3"/>
  <c r="E11" i="3"/>
  <c r="B11" i="3"/>
  <c r="M10" i="3"/>
  <c r="H10" i="3"/>
  <c r="G10" i="3"/>
  <c r="E10" i="3"/>
  <c r="B10" i="3"/>
  <c r="M9" i="3"/>
  <c r="H9" i="3"/>
  <c r="G9" i="3"/>
  <c r="F9" i="3"/>
  <c r="E9" i="3"/>
  <c r="B9" i="3"/>
  <c r="M8" i="3"/>
  <c r="H8" i="3"/>
  <c r="G8" i="3"/>
  <c r="E8" i="3"/>
  <c r="B8" i="3"/>
  <c r="M7" i="3"/>
  <c r="H7" i="3"/>
  <c r="G7" i="3"/>
  <c r="E7" i="3"/>
  <c r="E37" i="3" s="1"/>
  <c r="E38" i="3" s="1"/>
  <c r="B7" i="3"/>
  <c r="A7" i="3"/>
  <c r="I33" i="2"/>
  <c r="I31" i="2"/>
  <c r="H31" i="2"/>
  <c r="G31" i="2"/>
  <c r="I30" i="2"/>
  <c r="H30" i="2"/>
  <c r="G30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H19" i="2"/>
  <c r="G19" i="2"/>
  <c r="H18" i="2"/>
  <c r="G18" i="2"/>
  <c r="I17" i="2"/>
  <c r="H17" i="2"/>
  <c r="G17" i="2"/>
  <c r="H16" i="2"/>
  <c r="G16" i="2"/>
  <c r="H15" i="2"/>
  <c r="G15" i="2"/>
  <c r="H14" i="2"/>
  <c r="G14" i="2"/>
  <c r="H13" i="2"/>
  <c r="G13" i="2"/>
  <c r="I12" i="2"/>
  <c r="H12" i="2"/>
  <c r="G12" i="2"/>
  <c r="G7" i="2"/>
  <c r="I32" i="2" l="1"/>
  <c r="H47" i="10"/>
  <c r="H52" i="13"/>
  <c r="H49" i="18"/>
  <c r="H54" i="21"/>
  <c r="H58" i="24"/>
  <c r="H52" i="25"/>
  <c r="H11" i="26"/>
  <c r="H17" i="26"/>
  <c r="H58" i="31"/>
  <c r="H58" i="34"/>
  <c r="H57" i="15"/>
  <c r="H73" i="5"/>
  <c r="I19" i="2"/>
  <c r="F7" i="3"/>
  <c r="H40" i="8"/>
  <c r="I8" i="2" s="1"/>
  <c r="H12" i="17"/>
  <c r="H12" i="18"/>
  <c r="H49" i="27"/>
  <c r="H63" i="28"/>
  <c r="H49" i="31"/>
  <c r="H12" i="32"/>
  <c r="H18" i="6"/>
  <c r="H57" i="11"/>
  <c r="F15" i="3"/>
  <c r="I15" i="2"/>
  <c r="H49" i="14"/>
  <c r="H49" i="17"/>
  <c r="H26" i="22"/>
  <c r="H57" i="22" s="1"/>
  <c r="I14" i="2"/>
  <c r="F26" i="3"/>
  <c r="H61" i="27"/>
  <c r="H60" i="27"/>
  <c r="M29" i="3" s="1"/>
  <c r="H13" i="28"/>
  <c r="H54" i="28"/>
  <c r="H40" i="30"/>
  <c r="H26" i="4"/>
  <c r="H58" i="6"/>
  <c r="H66" i="11"/>
  <c r="H16" i="12"/>
  <c r="H49" i="20"/>
  <c r="H13" i="23"/>
  <c r="G37" i="3"/>
  <c r="H58" i="7"/>
  <c r="H12" i="8"/>
  <c r="H40" i="9"/>
  <c r="H44" i="9" s="1"/>
  <c r="G11" i="3"/>
  <c r="I16" i="2"/>
  <c r="H40" i="18"/>
  <c r="H19" i="23"/>
  <c r="H51" i="23" s="1"/>
  <c r="H40" i="24"/>
  <c r="H49" i="24" s="1"/>
  <c r="H52" i="26"/>
  <c r="H40" i="29"/>
  <c r="H41" i="29" s="1"/>
  <c r="H53" i="29" s="1"/>
  <c r="F31" i="3"/>
  <c r="I13" i="2"/>
  <c r="I20" i="2" s="1"/>
  <c r="H12" i="30"/>
  <c r="H48" i="32"/>
  <c r="H40" i="34"/>
  <c r="H49" i="34" s="1"/>
  <c r="H16" i="4"/>
  <c r="I24" i="2" s="1"/>
  <c r="H20" i="7"/>
  <c r="H49" i="7" s="1"/>
  <c r="H14" i="9"/>
  <c r="H75" i="12"/>
  <c r="H42" i="16"/>
  <c r="H51" i="16" s="1"/>
  <c r="H60" i="23"/>
  <c r="H34" i="26"/>
  <c r="H43" i="26"/>
  <c r="H61" i="33"/>
  <c r="H60" i="33"/>
  <c r="D35" i="3"/>
  <c r="H12" i="34"/>
  <c r="H66" i="12"/>
  <c r="H20" i="9"/>
  <c r="H12" i="3"/>
  <c r="H37" i="3" s="1"/>
  <c r="I18" i="2"/>
  <c r="H61" i="13"/>
  <c r="H66" i="15"/>
  <c r="H13" i="16"/>
  <c r="H17" i="19"/>
  <c r="H43" i="19" s="1"/>
  <c r="H43" i="25"/>
  <c r="H48" i="30"/>
  <c r="H40" i="32"/>
  <c r="H18" i="34"/>
  <c r="I30" i="3"/>
  <c r="H64" i="28" s="1"/>
  <c r="I34" i="3"/>
  <c r="H59" i="32" s="1"/>
  <c r="K35" i="3"/>
  <c r="A30" i="3"/>
  <c r="A34" i="3"/>
  <c r="I29" i="3"/>
  <c r="H59" i="27" s="1"/>
  <c r="K30" i="3"/>
  <c r="K34" i="3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9" i="3"/>
  <c r="A33" i="3"/>
  <c r="I28" i="3"/>
  <c r="H53" i="26" s="1"/>
  <c r="K29" i="3"/>
  <c r="I32" i="3"/>
  <c r="H59" i="30" s="1"/>
  <c r="K33" i="3"/>
  <c r="I36" i="3"/>
  <c r="H59" i="34" s="1"/>
  <c r="A8" i="3"/>
  <c r="A28" i="3"/>
  <c r="A32" i="3"/>
  <c r="A36" i="3"/>
  <c r="D18" i="3" l="1"/>
  <c r="D11" i="3"/>
  <c r="D24" i="3"/>
  <c r="D9" i="3"/>
  <c r="D26" i="3"/>
  <c r="D21" i="3"/>
  <c r="D36" i="3"/>
  <c r="D25" i="3"/>
  <c r="D27" i="3"/>
  <c r="I7" i="2"/>
  <c r="H49" i="6"/>
  <c r="M35" i="3"/>
  <c r="H49" i="32"/>
  <c r="D20" i="3"/>
  <c r="D17" i="3"/>
  <c r="D23" i="3"/>
  <c r="I36" i="2"/>
  <c r="D22" i="3"/>
  <c r="D30" i="3"/>
  <c r="D19" i="3"/>
  <c r="I9" i="2"/>
  <c r="D14" i="3"/>
  <c r="H56" i="26"/>
  <c r="D28" i="3"/>
  <c r="H61" i="34"/>
  <c r="H60" i="34"/>
  <c r="D15" i="3"/>
  <c r="D16" i="3"/>
  <c r="F37" i="3"/>
  <c r="H61" i="31"/>
  <c r="H60" i="31"/>
  <c r="M33" i="3" s="1"/>
  <c r="D12" i="3"/>
  <c r="H49" i="8"/>
  <c r="P35" i="3"/>
  <c r="J35" i="3"/>
  <c r="N35" i="3" s="1"/>
  <c r="D31" i="3"/>
  <c r="D33" i="3"/>
  <c r="I10" i="2"/>
  <c r="J48" i="2" s="1"/>
  <c r="I48" i="2" s="1"/>
  <c r="H62" i="33"/>
  <c r="H55" i="26"/>
  <c r="H54" i="26"/>
  <c r="H66" i="28"/>
  <c r="H65" i="28"/>
  <c r="M30" i="3" s="1"/>
  <c r="D7" i="3"/>
  <c r="H49" i="30"/>
  <c r="H52" i="29"/>
  <c r="M31" i="3" s="1"/>
  <c r="H27" i="4"/>
  <c r="D13" i="3"/>
  <c r="H62" i="27"/>
  <c r="D29" i="3"/>
  <c r="D34" i="3" l="1"/>
  <c r="H61" i="32"/>
  <c r="H60" i="32"/>
  <c r="M34" i="3" s="1"/>
  <c r="P9" i="3"/>
  <c r="P12" i="3"/>
  <c r="P19" i="3"/>
  <c r="P7" i="3"/>
  <c r="H62" i="31"/>
  <c r="M36" i="3"/>
  <c r="P36" i="3" s="1"/>
  <c r="J36" i="3"/>
  <c r="N36" i="3" s="1"/>
  <c r="P24" i="3"/>
  <c r="P30" i="3"/>
  <c r="J30" i="3"/>
  <c r="N30" i="3" s="1"/>
  <c r="P23" i="3"/>
  <c r="D8" i="3"/>
  <c r="H62" i="34"/>
  <c r="P31" i="3"/>
  <c r="J31" i="3"/>
  <c r="N31" i="3" s="1"/>
  <c r="J28" i="3"/>
  <c r="H67" i="28"/>
  <c r="I11" i="2"/>
  <c r="P21" i="3"/>
  <c r="P11" i="3"/>
  <c r="D32" i="3"/>
  <c r="H60" i="30"/>
  <c r="M32" i="3" s="1"/>
  <c r="H61" i="30"/>
  <c r="J29" i="3"/>
  <c r="N29" i="3" s="1"/>
  <c r="P29" i="3"/>
  <c r="P22" i="3"/>
  <c r="P27" i="3"/>
  <c r="J33" i="3"/>
  <c r="N33" i="3" s="1"/>
  <c r="P33" i="3"/>
  <c r="H54" i="29"/>
  <c r="P13" i="3"/>
  <c r="M28" i="3"/>
  <c r="P28" i="3" s="1"/>
  <c r="I40" i="2"/>
  <c r="I21" i="2"/>
  <c r="G45" i="1"/>
  <c r="C45" i="1"/>
  <c r="E45" i="1"/>
  <c r="H45" i="1"/>
  <c r="P16" i="3"/>
  <c r="P14" i="3"/>
  <c r="P17" i="3"/>
  <c r="H39" i="4"/>
  <c r="I23" i="2"/>
  <c r="I41" i="2"/>
  <c r="P20" i="3"/>
  <c r="P26" i="3"/>
  <c r="P18" i="3"/>
  <c r="D10" i="3"/>
  <c r="P15" i="3"/>
  <c r="J39" i="2"/>
  <c r="P25" i="3"/>
  <c r="J32" i="3" l="1"/>
  <c r="N32" i="3" s="1"/>
  <c r="P32" i="3"/>
  <c r="H62" i="30"/>
  <c r="M37" i="3"/>
  <c r="M38" i="3" s="1"/>
  <c r="N28" i="3"/>
  <c r="G40" i="1"/>
  <c r="E40" i="1"/>
  <c r="C40" i="1"/>
  <c r="H40" i="1"/>
  <c r="P10" i="3"/>
  <c r="I35" i="2"/>
  <c r="I37" i="2" s="1"/>
  <c r="I34" i="2"/>
  <c r="G41" i="1"/>
  <c r="C41" i="1"/>
  <c r="H41" i="1"/>
  <c r="E41" i="1"/>
  <c r="D37" i="3"/>
  <c r="G39" i="1"/>
  <c r="H39" i="1"/>
  <c r="E39" i="1"/>
  <c r="C39" i="1"/>
  <c r="J47" i="2"/>
  <c r="I47" i="2" s="1"/>
  <c r="I39" i="2" s="1"/>
  <c r="P8" i="3"/>
  <c r="P37" i="3" s="1"/>
  <c r="P34" i="3"/>
  <c r="J34" i="3"/>
  <c r="N34" i="3" s="1"/>
  <c r="G43" i="1"/>
  <c r="E43" i="1"/>
  <c r="C43" i="1"/>
  <c r="H43" i="1"/>
  <c r="I22" i="2"/>
  <c r="C46" i="1"/>
  <c r="H46" i="1"/>
  <c r="G46" i="1"/>
  <c r="E46" i="1"/>
  <c r="H62" i="32"/>
  <c r="I20" i="3" l="1"/>
  <c r="J20" i="3" s="1"/>
  <c r="I23" i="3"/>
  <c r="J23" i="3" s="1"/>
  <c r="I9" i="3"/>
  <c r="J9" i="3" s="1"/>
  <c r="I18" i="3"/>
  <c r="J18" i="3" s="1"/>
  <c r="I16" i="3"/>
  <c r="J16" i="3" s="1"/>
  <c r="I19" i="3"/>
  <c r="J19" i="3" s="1"/>
  <c r="I12" i="3"/>
  <c r="J12" i="3" s="1"/>
  <c r="I7" i="3"/>
  <c r="I15" i="3"/>
  <c r="J15" i="3" s="1"/>
  <c r="I21" i="3"/>
  <c r="J21" i="3" s="1"/>
  <c r="I14" i="3"/>
  <c r="J14" i="3" s="1"/>
  <c r="I13" i="3"/>
  <c r="J13" i="3" s="1"/>
  <c r="I24" i="3"/>
  <c r="J24" i="3" s="1"/>
  <c r="I26" i="3"/>
  <c r="J26" i="3" s="1"/>
  <c r="I27" i="3"/>
  <c r="J27" i="3" s="1"/>
  <c r="I22" i="3"/>
  <c r="J22" i="3" s="1"/>
  <c r="I11" i="3"/>
  <c r="I25" i="3"/>
  <c r="J25" i="3" s="1"/>
  <c r="I17" i="3"/>
  <c r="J17" i="3" s="1"/>
  <c r="E44" i="1"/>
  <c r="H44" i="1"/>
  <c r="G44" i="1"/>
  <c r="C44" i="1"/>
  <c r="K21" i="3"/>
  <c r="K19" i="3"/>
  <c r="K9" i="3"/>
  <c r="K22" i="3"/>
  <c r="K24" i="3"/>
  <c r="K16" i="3"/>
  <c r="K7" i="3"/>
  <c r="K23" i="3"/>
  <c r="K14" i="3"/>
  <c r="K18" i="3"/>
  <c r="K13" i="3"/>
  <c r="K11" i="3"/>
  <c r="K26" i="3"/>
  <c r="K17" i="3"/>
  <c r="K27" i="3"/>
  <c r="K8" i="3"/>
  <c r="K12" i="3"/>
  <c r="K20" i="3"/>
  <c r="K15" i="3"/>
  <c r="K10" i="3"/>
  <c r="K25" i="3"/>
  <c r="H38" i="1"/>
  <c r="E38" i="1"/>
  <c r="C38" i="1"/>
  <c r="G38" i="1"/>
  <c r="I42" i="2"/>
  <c r="I8" i="3"/>
  <c r="J8" i="3" s="1"/>
  <c r="I10" i="3"/>
  <c r="J10" i="3" s="1"/>
  <c r="H42" i="1"/>
  <c r="C42" i="1"/>
  <c r="G42" i="1"/>
  <c r="E42" i="1"/>
  <c r="L12" i="3"/>
  <c r="H57" i="10" s="1"/>
  <c r="H60" i="10" s="1"/>
  <c r="L8" i="3"/>
  <c r="H59" i="6" s="1"/>
  <c r="H62" i="6" s="1"/>
  <c r="C53" i="1"/>
  <c r="L24" i="3"/>
  <c r="H67" i="22" s="1"/>
  <c r="H70" i="22" s="1"/>
  <c r="L20" i="3"/>
  <c r="H50" i="18" s="1"/>
  <c r="H53" i="18" s="1"/>
  <c r="L16" i="3"/>
  <c r="H59" i="14" s="1"/>
  <c r="H62" i="14" s="1"/>
  <c r="L18" i="3"/>
  <c r="H61" i="16" s="1"/>
  <c r="H64" i="16" s="1"/>
  <c r="L17" i="3"/>
  <c r="H67" i="15" s="1"/>
  <c r="H70" i="15" s="1"/>
  <c r="L10" i="3"/>
  <c r="H59" i="8" s="1"/>
  <c r="H62" i="8" s="1"/>
  <c r="L22" i="3"/>
  <c r="H59" i="20" s="1"/>
  <c r="H62" i="20" s="1"/>
  <c r="L15" i="3"/>
  <c r="H62" i="13" s="1"/>
  <c r="H65" i="13" s="1"/>
  <c r="L21" i="3"/>
  <c r="H53" i="19" s="1"/>
  <c r="H56" i="19" s="1"/>
  <c r="L25" i="3"/>
  <c r="H61" i="23" s="1"/>
  <c r="H64" i="23" s="1"/>
  <c r="L19" i="3"/>
  <c r="H59" i="17" s="1"/>
  <c r="H62" i="17" s="1"/>
  <c r="L26" i="3"/>
  <c r="H59" i="24" s="1"/>
  <c r="H62" i="24" s="1"/>
  <c r="L7" i="3"/>
  <c r="L23" i="3"/>
  <c r="H64" i="21" s="1"/>
  <c r="H67" i="21" s="1"/>
  <c r="L11" i="3"/>
  <c r="L9" i="3"/>
  <c r="H59" i="7" s="1"/>
  <c r="H62" i="7" s="1"/>
  <c r="L13" i="3"/>
  <c r="H67" i="11" s="1"/>
  <c r="H70" i="11" s="1"/>
  <c r="L14" i="3"/>
  <c r="H76" i="12" s="1"/>
  <c r="H79" i="12" s="1"/>
  <c r="L27" i="3"/>
  <c r="H53" i="25" s="1"/>
  <c r="H56" i="25" s="1"/>
  <c r="K37" i="3" l="1"/>
  <c r="N22" i="3"/>
  <c r="H83" i="5"/>
  <c r="H86" i="5" s="1"/>
  <c r="I37" i="3"/>
  <c r="J7" i="3"/>
  <c r="N7" i="3" s="1"/>
  <c r="N27" i="3"/>
  <c r="N12" i="3"/>
  <c r="N26" i="3"/>
  <c r="N19" i="3"/>
  <c r="N10" i="3"/>
  <c r="N24" i="3"/>
  <c r="N16" i="3"/>
  <c r="N8" i="3"/>
  <c r="N13" i="3"/>
  <c r="N18" i="3"/>
  <c r="N17" i="3"/>
  <c r="N14" i="3"/>
  <c r="N9" i="3"/>
  <c r="N25" i="3"/>
  <c r="N21" i="3"/>
  <c r="N23" i="3"/>
  <c r="L37" i="3"/>
  <c r="H54" i="9"/>
  <c r="H57" i="9" s="1"/>
  <c r="J11" i="3"/>
  <c r="N11" i="3" s="1"/>
  <c r="N15" i="3"/>
  <c r="N20" i="3"/>
  <c r="H36" i="1" l="1"/>
  <c r="E36" i="1"/>
  <c r="C36" i="1"/>
  <c r="G36" i="1"/>
  <c r="H28" i="1"/>
  <c r="E28" i="1"/>
  <c r="G28" i="1"/>
  <c r="C28" i="1"/>
  <c r="H22" i="1"/>
  <c r="G22" i="1"/>
  <c r="E22" i="1"/>
  <c r="C22" i="1"/>
  <c r="H33" i="1"/>
  <c r="G33" i="1"/>
  <c r="E33" i="1"/>
  <c r="C33" i="1"/>
  <c r="H23" i="1"/>
  <c r="G23" i="1"/>
  <c r="E23" i="1"/>
  <c r="C23" i="1"/>
  <c r="G37" i="1"/>
  <c r="H37" i="1"/>
  <c r="E37" i="1"/>
  <c r="C37" i="1"/>
  <c r="G31" i="1"/>
  <c r="H31" i="1"/>
  <c r="E31" i="1"/>
  <c r="C31" i="1"/>
  <c r="H18" i="1"/>
  <c r="E18" i="1"/>
  <c r="G18" i="1"/>
  <c r="C18" i="1"/>
  <c r="N37" i="3"/>
  <c r="L38" i="3" s="1"/>
  <c r="C17" i="1"/>
  <c r="H17" i="1"/>
  <c r="G17" i="1"/>
  <c r="F17" i="1"/>
  <c r="F47" i="1" s="1"/>
  <c r="E17" i="1"/>
  <c r="G35" i="1"/>
  <c r="H35" i="1"/>
  <c r="E35" i="1"/>
  <c r="C35" i="1"/>
  <c r="H26" i="1"/>
  <c r="E26" i="1"/>
  <c r="G26" i="1"/>
  <c r="C26" i="1"/>
  <c r="I38" i="3"/>
  <c r="J37" i="3"/>
  <c r="H30" i="1"/>
  <c r="E30" i="1"/>
  <c r="G30" i="1"/>
  <c r="C30" i="1"/>
  <c r="G19" i="1"/>
  <c r="H19" i="1"/>
  <c r="E19" i="1"/>
  <c r="C19" i="1"/>
  <c r="H34" i="1"/>
  <c r="E34" i="1"/>
  <c r="C34" i="1"/>
  <c r="G34" i="1"/>
  <c r="G25" i="1"/>
  <c r="H25" i="1"/>
  <c r="E25" i="1"/>
  <c r="C25" i="1"/>
  <c r="H24" i="1"/>
  <c r="E24" i="1"/>
  <c r="G24" i="1"/>
  <c r="C24" i="1"/>
  <c r="H20" i="1"/>
  <c r="E20" i="1"/>
  <c r="G20" i="1"/>
  <c r="C20" i="1"/>
  <c r="H32" i="1"/>
  <c r="E32" i="1"/>
  <c r="G32" i="1"/>
  <c r="C32" i="1"/>
  <c r="G21" i="1"/>
  <c r="H21" i="1"/>
  <c r="E21" i="1"/>
  <c r="C21" i="1"/>
  <c r="G27" i="1"/>
  <c r="H27" i="1"/>
  <c r="E27" i="1"/>
  <c r="C27" i="1"/>
  <c r="H29" i="1"/>
  <c r="G29" i="1"/>
  <c r="E29" i="1"/>
  <c r="C29" i="1"/>
  <c r="K38" i="3"/>
  <c r="E47" i="1" l="1"/>
  <c r="G47" i="1"/>
  <c r="H47" i="1"/>
  <c r="N38" i="3"/>
  <c r="H38" i="3"/>
  <c r="G38" i="3"/>
  <c r="F38" i="3"/>
  <c r="D38" i="3"/>
  <c r="N40" i="3"/>
  <c r="J38" i="3" l="1"/>
</calcChain>
</file>

<file path=xl/sharedStrings.xml><?xml version="1.0" encoding="utf-8"?>
<sst xmlns="http://schemas.openxmlformats.org/spreadsheetml/2006/main" count="2654" uniqueCount="412">
  <si>
    <t>(현대/기아차 설비협력업체 견적통일양식)</t>
    <phoneticPr fontId="2" type="noConversion"/>
  </si>
  <si>
    <t xml:space="preserve">見  積  書   </t>
    <phoneticPr fontId="2" type="noConversion"/>
  </si>
  <si>
    <t>현대 위아 貴下</t>
    <phoneticPr fontId="2" type="noConversion"/>
  </si>
  <si>
    <t>㈜지이엠</t>
  </si>
  <si>
    <t>견적일자</t>
    <phoneticPr fontId="2" type="noConversion"/>
  </si>
  <si>
    <t>대표 : 송 칠 영 (인)</t>
    <phoneticPr fontId="2" type="noConversion"/>
  </si>
  <si>
    <t>견적번호</t>
    <phoneticPr fontId="2" type="noConversion"/>
  </si>
  <si>
    <t>GD1_191118-002</t>
    <phoneticPr fontId="2" type="noConversion"/>
  </si>
  <si>
    <t xml:space="preserve">주소 : 경남 창원시 성산구 </t>
    <phoneticPr fontId="2" type="noConversion"/>
  </si>
  <si>
    <t>납기</t>
    <phoneticPr fontId="2" type="noConversion"/>
  </si>
  <si>
    <t>입하</t>
    <phoneticPr fontId="2" type="noConversion"/>
  </si>
  <si>
    <t xml:space="preserve">         성산패총로24번길 1</t>
    <phoneticPr fontId="2" type="noConversion"/>
  </si>
  <si>
    <t>최종검수</t>
    <phoneticPr fontId="2" type="noConversion"/>
  </si>
  <si>
    <t>전화: 055-282-9488</t>
    <phoneticPr fontId="2" type="noConversion"/>
  </si>
  <si>
    <t>견적유효기간</t>
    <phoneticPr fontId="2" type="noConversion"/>
  </si>
  <si>
    <t>견적일로부터30일</t>
    <phoneticPr fontId="2" type="noConversion"/>
  </si>
  <si>
    <t>Fax: 055-282-9484 / 9490</t>
    <phoneticPr fontId="2" type="noConversion"/>
  </si>
  <si>
    <t>인도장소</t>
    <phoneticPr fontId="2" type="noConversion"/>
  </si>
  <si>
    <t>현대위아 공장</t>
    <phoneticPr fontId="2" type="noConversion"/>
  </si>
  <si>
    <t>견적담당:</t>
    <phoneticPr fontId="2" type="noConversion"/>
  </si>
  <si>
    <t>정대헌부장</t>
    <phoneticPr fontId="2" type="noConversion"/>
  </si>
  <si>
    <t>지불조건</t>
    <phoneticPr fontId="2" type="noConversion"/>
  </si>
  <si>
    <t>현대위아 기준</t>
    <phoneticPr fontId="2" type="noConversion"/>
  </si>
  <si>
    <t>연 락 처 :</t>
    <phoneticPr fontId="2" type="noConversion"/>
  </si>
  <si>
    <t>010-3452-0737</t>
    <phoneticPr fontId="2" type="noConversion"/>
  </si>
  <si>
    <t>견적금액: 一金일십사억팔천구백만원整(\1,489,000,000    )</t>
    <phoneticPr fontId="2" type="noConversion"/>
  </si>
  <si>
    <t>번호</t>
    <phoneticPr fontId="2" type="noConversion"/>
  </si>
  <si>
    <t>상세품목내역</t>
    <phoneticPr fontId="2" type="noConversion"/>
  </si>
  <si>
    <t>견적금액 (천원)</t>
    <phoneticPr fontId="2" type="noConversion"/>
  </si>
  <si>
    <t>비  고</t>
    <phoneticPr fontId="2" type="noConversion"/>
  </si>
  <si>
    <t>기계부분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</si>
  <si>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</si>
  <si>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</si>
  <si>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</si>
  <si>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</si>
  <si>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</si>
  <si>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</si>
  <si>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</si>
  <si>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</si>
  <si>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</si>
  <si>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</si>
  <si>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</si>
  <si>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</si>
  <si>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</si>
  <si>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</si>
  <si>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</si>
  <si>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</si>
  <si>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</si>
  <si>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</si>
  <si>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</si>
  <si>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</si>
  <si>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</si>
  <si>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</si>
  <si>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</si>
  <si>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</si>
  <si>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</si>
  <si>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</si>
  <si>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</si>
  <si>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</si>
  <si>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</si>
  <si>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</si>
  <si>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</si>
  <si>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</si>
  <si>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</si>
  <si>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</si>
  <si>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</si>
  <si>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</si>
  <si>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</si>
  <si>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</si>
  <si>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</si>
  <si>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</si>
  <si>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</si>
  <si>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</si>
  <si>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</si>
  <si>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</si>
  <si>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</si>
  <si>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</si>
  <si>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</si>
  <si>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</si>
  <si>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</si>
  <si>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</si>
  <si>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기계/전기자재</t>
    <phoneticPr fontId="2" type="noConversion"/>
  </si>
  <si>
    <t>철거(개조시)</t>
    <phoneticPr fontId="2" type="noConversion"/>
  </si>
  <si>
    <t>설계,프로그램</t>
    <phoneticPr fontId="2" type="noConversion"/>
  </si>
  <si>
    <t>제작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</si>
  <si>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</si>
  <si>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</si>
  <si>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</si>
  <si>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</si>
  <si>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</si>
  <si>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</si>
  <si>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</si>
  <si>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</si>
  <si>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</si>
  <si>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</si>
  <si>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</si>
  <si>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</si>
  <si>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</si>
  <si>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</si>
  <si>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</si>
  <si>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</si>
  <si>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</si>
  <si>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</si>
  <si>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</si>
  <si>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</si>
  <si>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</si>
  <si>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</si>
  <si>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</si>
  <si>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</si>
  <si>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</si>
  <si>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</si>
  <si>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</si>
  <si>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</si>
  <si>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단위장비명</t>
    <phoneticPr fontId="2" type="noConversion"/>
  </si>
  <si>
    <t>철거</t>
    <phoneticPr fontId="2" type="noConversion"/>
  </si>
  <si>
    <t>설치/시운전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</si>
  <si>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</si>
  <si>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</si>
  <si>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</si>
  <si>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</si>
  <si>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</si>
  <si>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</si>
  <si>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</si>
  <si>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</si>
  <si>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</si>
  <si>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</si>
  <si>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</si>
  <si>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</si>
  <si>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</si>
  <si>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</si>
  <si>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</si>
  <si>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</si>
  <si>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</si>
  <si>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</si>
  <si>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</si>
  <si>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</si>
  <si>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</si>
  <si>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제작품</t>
    <phoneticPr fontId="2" type="noConversion"/>
  </si>
  <si>
    <t>콘트롤박스등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</si>
  <si>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</si>
  <si>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</si>
  <si>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</si>
  <si>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전기자재</t>
    <phoneticPr fontId="2" type="noConversion"/>
  </si>
  <si>
    <t>■PLC구매품</t>
    <phoneticPr fontId="2" type="noConversion"/>
  </si>
  <si>
    <t>PLC등</t>
    <phoneticPr fontId="2" type="noConversion"/>
  </si>
  <si>
    <t>■PC구매품</t>
    <phoneticPr fontId="2" type="noConversion"/>
  </si>
  <si>
    <t>PC등</t>
    <phoneticPr fontId="2" type="noConversion"/>
  </si>
  <si>
    <t>■PC P/G</t>
    <phoneticPr fontId="2" type="noConversion"/>
  </si>
  <si>
    <t>기타 잡자재</t>
    <phoneticPr fontId="2" type="noConversion"/>
  </si>
  <si>
    <t>자재비 소계</t>
    <phoneticPr fontId="2" type="noConversion"/>
  </si>
  <si>
    <t>노
무
비</t>
    <phoneticPr fontId="2" type="noConversion"/>
  </si>
  <si>
    <t>전기 설계/프로그램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</si>
  <si>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</si>
  <si>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</si>
  <si>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</si>
  <si>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</si>
  <si>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</si>
  <si>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</si>
  <si>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</si>
  <si>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</si>
  <si>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</si>
  <si>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</si>
  <si>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</si>
  <si>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</si>
  <si>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I/R선별,적재,공급</t>
    <phoneticPr fontId="2" type="noConversion"/>
  </si>
  <si>
    <t>■BASE</t>
  </si>
  <si>
    <t>제관,가공</t>
  </si>
  <si>
    <t>식</t>
  </si>
  <si>
    <t>■FRAME</t>
  </si>
  <si>
    <t>■상측 COVER</t>
  </si>
  <si>
    <t>■OP POST</t>
  </si>
  <si>
    <t>■I/R선별</t>
  </si>
  <si>
    <t>■I/R적재랙</t>
  </si>
  <si>
    <t>■I/R공급</t>
    <phoneticPr fontId="2" type="noConversion"/>
  </si>
  <si>
    <t>파레타이징</t>
    <phoneticPr fontId="2" type="noConversion"/>
  </si>
  <si>
    <t>■CAGE공급</t>
    <phoneticPr fontId="2" type="noConversion"/>
  </si>
  <si>
    <t>자재랙</t>
    <phoneticPr fontId="2" type="noConversion"/>
  </si>
  <si>
    <t>기타</t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</si>
  <si>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</si>
  <si>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</si>
  <si>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</si>
  <si>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■I/R선별(2대)</t>
  </si>
  <si>
    <t>(유공압품외)</t>
    <phoneticPr fontId="2" type="noConversion"/>
  </si>
  <si>
    <t xml:space="preserve">  LVDT</t>
  </si>
  <si>
    <t>EA</t>
  </si>
  <si>
    <t xml:space="preserve">  CYL'(측정부)</t>
  </si>
  <si>
    <t>공압</t>
  </si>
  <si>
    <t xml:space="preserve">  LM GUIDE(측정부)</t>
  </si>
  <si>
    <t>THK</t>
  </si>
  <si>
    <t xml:space="preserve">  상측상하 1축</t>
  </si>
  <si>
    <t>LM2EA,CYL',압쇼버,센스,케이블베어등</t>
  </si>
  <si>
    <t xml:space="preserve">  하측상하 1축</t>
  </si>
  <si>
    <t>LM3EA,CYL',압쇼버,센스,케이블베어등</t>
  </si>
  <si>
    <t xml:space="preserve">  하측회전</t>
    <phoneticPr fontId="2" type="noConversion"/>
  </si>
  <si>
    <t>서보1식</t>
    <phoneticPr fontId="2" type="noConversion"/>
  </si>
  <si>
    <t xml:space="preserve">  PROXIMITY SENSOR</t>
  </si>
  <si>
    <t xml:space="preserve">  소재 감지 센스</t>
  </si>
  <si>
    <t xml:space="preserve">  일반구입물</t>
  </si>
  <si>
    <t xml:space="preserve">  라이트커튼</t>
  </si>
  <si>
    <t xml:space="preserve">  기타</t>
  </si>
  <si>
    <t>A~F등급</t>
  </si>
  <si>
    <t xml:space="preserve">  SHUTTER CYL'</t>
  </si>
  <si>
    <t xml:space="preserve">  팔레트 투입/이송</t>
    <phoneticPr fontId="2" type="noConversion"/>
  </si>
  <si>
    <t>공압 CYL'류</t>
  </si>
  <si>
    <t>센스류</t>
  </si>
  <si>
    <t>기타(LM,압쇼버등)</t>
  </si>
  <si>
    <t xml:space="preserve">  팔레트 로딩</t>
    <phoneticPr fontId="2" type="noConversion"/>
  </si>
  <si>
    <t xml:space="preserve">  엘리베이트</t>
    <phoneticPr fontId="2" type="noConversion"/>
  </si>
  <si>
    <t>서보실린더</t>
  </si>
  <si>
    <t>서버모타 ASS'Y</t>
  </si>
  <si>
    <t>감속기</t>
  </si>
  <si>
    <t xml:space="preserve">  배출</t>
    <phoneticPr fontId="2" type="noConversion"/>
  </si>
  <si>
    <t xml:space="preserve">  직교로봇</t>
    <phoneticPr fontId="2" type="noConversion"/>
  </si>
  <si>
    <t>2축</t>
    <phoneticPr fontId="2" type="noConversion"/>
  </si>
  <si>
    <t xml:space="preserve">  그리퍼</t>
  </si>
  <si>
    <t>■일반 자재류</t>
  </si>
  <si>
    <t xml:space="preserve">  F.R.L Unit</t>
  </si>
  <si>
    <t>AV4000</t>
  </si>
  <si>
    <t xml:space="preserve">  SOL V/V</t>
  </si>
  <si>
    <t>VQC4201</t>
  </si>
  <si>
    <t xml:space="preserve">  Manifold</t>
  </si>
  <si>
    <t>VV5QC41</t>
  </si>
  <si>
    <t xml:space="preserve">  Speed Con</t>
  </si>
  <si>
    <t xml:space="preserve">  배관자재</t>
  </si>
  <si>
    <t xml:space="preserve">  잡자재</t>
  </si>
  <si>
    <t>기타자재</t>
    <phoneticPr fontId="2" type="noConversion"/>
  </si>
  <si>
    <t>■피치컨베어</t>
  </si>
  <si>
    <t>■등외 배출 컨베어</t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</si>
  <si>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</si>
  <si>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</si>
  <si>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</si>
  <si>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</si>
  <si>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</si>
  <si>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</si>
  <si>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</si>
  <si>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</si>
  <si>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t>I/B선별기</t>
    <phoneticPr fontId="2" type="noConversion"/>
  </si>
  <si>
    <t>■공급 인스토커(I/B)</t>
  </si>
  <si>
    <t>■트랜스퍼이송장치</t>
  </si>
  <si>
    <t xml:space="preserve">  상하이송unit</t>
  </si>
  <si>
    <t xml:space="preserve">  전후이송unit</t>
  </si>
  <si>
    <t xml:space="preserve">  좌우이송unit</t>
  </si>
  <si>
    <t xml:space="preserve">  그리퍼unit</t>
  </si>
  <si>
    <t>■LIFTER UNIT</t>
    <phoneticPr fontId="2" type="noConversion"/>
  </si>
  <si>
    <t>CHINE,MOTOR등</t>
  </si>
  <si>
    <t xml:space="preserve">  상하이송unit</t>
    <phoneticPr fontId="2" type="noConversion"/>
  </si>
  <si>
    <t xml:space="preserve">  전후이송unit</t>
    <phoneticPr fontId="2" type="noConversion"/>
  </si>
  <si>
    <t xml:space="preserve">  좌우이송unit</t>
    <phoneticPr fontId="2" type="noConversion"/>
  </si>
  <si>
    <t xml:space="preserve">  그리퍼unit</t>
    <phoneticPr fontId="2" type="noConversion"/>
  </si>
  <si>
    <t>기타자재</t>
  </si>
  <si>
    <t>I/B CLIP조립</t>
    <phoneticPr fontId="2" type="noConversion"/>
  </si>
  <si>
    <t>■소재 공급</t>
    <phoneticPr fontId="2" type="noConversion"/>
  </si>
  <si>
    <t>■클램프 UNIT</t>
    <phoneticPr fontId="2" type="noConversion"/>
  </si>
  <si>
    <t>■소재삽입</t>
    <phoneticPr fontId="2" type="noConversion"/>
  </si>
  <si>
    <t>기타 가공물</t>
  </si>
  <si>
    <t xml:space="preserve">  전후이송</t>
    <phoneticPr fontId="2" type="noConversion"/>
  </si>
  <si>
    <t>실린더1축</t>
    <phoneticPr fontId="2" type="noConversion"/>
  </si>
  <si>
    <t xml:space="preserve">  PROXIMITY SENSOR</t>
    <phoneticPr fontId="2" type="noConversion"/>
  </si>
  <si>
    <t xml:space="preserve">  상하이송</t>
    <phoneticPr fontId="2" type="noConversion"/>
  </si>
  <si>
    <t xml:space="preserve">  그리퍼</t>
    <phoneticPr fontId="2" type="noConversion"/>
  </si>
  <si>
    <t>■소재 삽입</t>
    <phoneticPr fontId="2" type="noConversion"/>
  </si>
  <si>
    <t>EA</t>
    <phoneticPr fontId="2" type="noConversion"/>
  </si>
  <si>
    <t>서보1축</t>
    <phoneticPr fontId="2" type="noConversion"/>
  </si>
  <si>
    <t xml:space="preserve">  보조상하이송</t>
    <phoneticPr fontId="2" type="noConversion"/>
  </si>
  <si>
    <t>시린더1축</t>
    <phoneticPr fontId="2" type="noConversion"/>
  </si>
  <si>
    <t xml:space="preserve">  기타</t>
    <phoneticPr fontId="2" type="noConversion"/>
  </si>
  <si>
    <t xml:space="preserve">GRV정렬
</t>
    <phoneticPr fontId="2" type="noConversion"/>
  </si>
  <si>
    <t xml:space="preserve">■GRV정렬
</t>
    <phoneticPr fontId="2" type="noConversion"/>
  </si>
  <si>
    <t>■GRV정렬</t>
    <phoneticPr fontId="2" type="noConversion"/>
  </si>
  <si>
    <t xml:space="preserve">  상측상하1축</t>
    <phoneticPr fontId="2" type="noConversion"/>
  </si>
  <si>
    <t xml:space="preserve">  하측상하1축</t>
    <phoneticPr fontId="2" type="noConversion"/>
  </si>
  <si>
    <t>I/B선별</t>
    <phoneticPr fontId="2" type="noConversion"/>
  </si>
  <si>
    <t>■O/R선별</t>
    <phoneticPr fontId="2" type="noConversion"/>
  </si>
  <si>
    <t>■O/RACE등급선별(2대)</t>
  </si>
  <si>
    <t>마킹</t>
    <phoneticPr fontId="2" type="noConversion"/>
  </si>
  <si>
    <t>■상하1축</t>
  </si>
  <si>
    <t>■직교로봇</t>
    <phoneticPr fontId="2" type="noConversion"/>
  </si>
  <si>
    <t>■그리퍼</t>
    <phoneticPr fontId="2" type="noConversion"/>
  </si>
  <si>
    <t>■마킹기</t>
  </si>
  <si>
    <t>20w</t>
  </si>
  <si>
    <t>KEYENCE</t>
    <phoneticPr fontId="2" type="noConversion"/>
  </si>
  <si>
    <t>서보</t>
  </si>
  <si>
    <t>■PROXIMITY SENSOR</t>
    <phoneticPr fontId="2" type="noConversion"/>
  </si>
  <si>
    <t>불량 배출 컨베어</t>
  </si>
  <si>
    <t>I/B D/COVER압입</t>
    <phoneticPr fontId="2" type="noConversion"/>
  </si>
  <si>
    <t>■BASE</t>
    <phoneticPr fontId="2" type="noConversion"/>
  </si>
  <si>
    <t>제관,가공</t>
    <phoneticPr fontId="2" type="noConversion"/>
  </si>
  <si>
    <t>■FRAME</t>
    <phoneticPr fontId="2" type="noConversion"/>
  </si>
  <si>
    <t>■상측 COVER</t>
    <phoneticPr fontId="2" type="noConversion"/>
  </si>
  <si>
    <t>■OP POST</t>
    <phoneticPr fontId="2" type="noConversion"/>
  </si>
  <si>
    <t>■소재적재</t>
    <phoneticPr fontId="2" type="noConversion"/>
  </si>
  <si>
    <t>그리퍼 및 HEAD</t>
    <phoneticPr fontId="2" type="noConversion"/>
  </si>
  <si>
    <t>■압입</t>
    <phoneticPr fontId="2" type="noConversion"/>
  </si>
  <si>
    <t xml:space="preserve">  공압인덱스</t>
    <phoneticPr fontId="2" type="noConversion"/>
  </si>
  <si>
    <t>HM280</t>
    <phoneticPr fontId="2" type="noConversion"/>
  </si>
  <si>
    <t xml:space="preserve">  상하 이송</t>
    <phoneticPr fontId="2" type="noConversion"/>
  </si>
  <si>
    <t>TM SCREW,LM등</t>
    <phoneticPr fontId="2" type="noConversion"/>
  </si>
  <si>
    <t xml:space="preserve">  소재 감지 센스</t>
    <phoneticPr fontId="2" type="noConversion"/>
  </si>
  <si>
    <t>실린더</t>
    <phoneticPr fontId="2" type="noConversion"/>
  </si>
  <si>
    <t xml:space="preserve">  그리퍼 CYL'</t>
    <phoneticPr fontId="2" type="noConversion"/>
  </si>
  <si>
    <t xml:space="preserve">  서보프레스</t>
    <phoneticPr fontId="2" type="noConversion"/>
  </si>
  <si>
    <t>3t</t>
    <phoneticPr fontId="2" type="noConversion"/>
  </si>
  <si>
    <t xml:space="preserve">  AIR착자</t>
    <phoneticPr fontId="2" type="noConversion"/>
  </si>
  <si>
    <t>■일반 자재류</t>
    <phoneticPr fontId="2" type="noConversion"/>
  </si>
  <si>
    <t xml:space="preserve">  F.R.L Unit</t>
    <phoneticPr fontId="2" type="noConversion"/>
  </si>
  <si>
    <t>AV4000</t>
    <phoneticPr fontId="2" type="noConversion"/>
  </si>
  <si>
    <t xml:space="preserve">  SOL V/V</t>
    <phoneticPr fontId="2" type="noConversion"/>
  </si>
  <si>
    <t>VQC4201</t>
    <phoneticPr fontId="2" type="noConversion"/>
  </si>
  <si>
    <t xml:space="preserve">  Manifold</t>
    <phoneticPr fontId="2" type="noConversion"/>
  </si>
  <si>
    <t>VV5QC41</t>
    <phoneticPr fontId="2" type="noConversion"/>
  </si>
  <si>
    <t xml:space="preserve">  Speed Con</t>
    <phoneticPr fontId="2" type="noConversion"/>
  </si>
  <si>
    <t xml:space="preserve">  배관자재</t>
    <phoneticPr fontId="2" type="noConversion"/>
  </si>
  <si>
    <t xml:space="preserve">  잡자재</t>
    <phoneticPr fontId="2" type="noConversion"/>
  </si>
  <si>
    <t xml:space="preserve"> 기타잡자재</t>
  </si>
  <si>
    <t>반전및 B/P압입</t>
    <phoneticPr fontId="2" type="noConversion"/>
  </si>
  <si>
    <t>■반전장치</t>
  </si>
  <si>
    <t xml:space="preserve">  서보2축</t>
  </si>
  <si>
    <t xml:space="preserve">  회전실린더</t>
  </si>
  <si>
    <t xml:space="preserve">  도어스위치</t>
  </si>
  <si>
    <t>I/R공급 및 방향정렬</t>
    <phoneticPr fontId="2" type="noConversion"/>
  </si>
  <si>
    <t>■GRV정렬</t>
  </si>
  <si>
    <t>■LIFTER UNIT</t>
  </si>
  <si>
    <t>■뱡향정렬</t>
    <phoneticPr fontId="2" type="noConversion"/>
  </si>
  <si>
    <t>모타,CYL,LM BUSH등</t>
  </si>
  <si>
    <t xml:space="preserve">  정렬 회전 </t>
    <phoneticPr fontId="2" type="noConversion"/>
  </si>
  <si>
    <t>■소재 공급</t>
  </si>
  <si>
    <t xml:space="preserve">  직교 로봇</t>
  </si>
  <si>
    <t>3축(로보스타)</t>
  </si>
  <si>
    <t xml:space="preserve">  그리퍼 CYL'</t>
  </si>
  <si>
    <t>I/B볼 자동 공급</t>
    <phoneticPr fontId="2" type="noConversion"/>
  </si>
  <si>
    <t>■볼적재</t>
  </si>
  <si>
    <t>■볼 공급 PICK UP</t>
  </si>
  <si>
    <t xml:space="preserve">  PART FEEDER</t>
  </si>
  <si>
    <t xml:space="preserve">  ESCAPE UNIT</t>
  </si>
  <si>
    <t>CYL' 소재 감지SENSOR</t>
  </si>
  <si>
    <t xml:space="preserve">  정렬 UNIT</t>
  </si>
  <si>
    <t>회전CYL,베어링등</t>
  </si>
  <si>
    <t xml:space="preserve">  상하1축</t>
  </si>
  <si>
    <t>CYL', LM등</t>
  </si>
  <si>
    <t xml:space="preserve">  전후1축</t>
  </si>
  <si>
    <t>CYL',LM등</t>
  </si>
  <si>
    <t xml:space="preserve">  보조상하</t>
  </si>
  <si>
    <t>CYL'등</t>
  </si>
  <si>
    <t>I/B SUB 자동 조립</t>
    <phoneticPr fontId="2" type="noConversion"/>
  </si>
  <si>
    <t xml:space="preserve"> </t>
    <phoneticPr fontId="2" type="noConversion"/>
  </si>
  <si>
    <t>■BALL 삽입 UNIT</t>
  </si>
  <si>
    <t>CYL',LM,압쇼버,케이블베어등</t>
  </si>
  <si>
    <t xml:space="preserve">  좌우1축</t>
  </si>
  <si>
    <t>CYL',부시,압쇼버,케이블베어등</t>
  </si>
  <si>
    <t xml:space="preserve">  I/RACE 척킹</t>
  </si>
  <si>
    <t>CYL',부시,압쇼버등</t>
  </si>
  <si>
    <t xml:space="preserve">  절각</t>
  </si>
  <si>
    <t>I/B 스토퍼링 조립</t>
    <phoneticPr fontId="2" type="noConversion"/>
  </si>
  <si>
    <t>■CAGE 적재</t>
  </si>
  <si>
    <t>직교 로봇 FRAME등</t>
  </si>
  <si>
    <t>그리퍼 및 HEAD</t>
  </si>
  <si>
    <t>■스토퍼 적재</t>
  </si>
  <si>
    <t xml:space="preserve">  공압인덱스</t>
  </si>
  <si>
    <t>HM280</t>
  </si>
  <si>
    <t xml:space="preserve">  상하 이송</t>
  </si>
  <si>
    <t>TM SCREW,LM등</t>
  </si>
  <si>
    <t>I/B 로더테스트</t>
    <phoneticPr fontId="2" type="noConversion"/>
  </si>
  <si>
    <t>■측정부</t>
  </si>
  <si>
    <t xml:space="preserve">  ball joint</t>
  </si>
  <si>
    <t>150P-200L</t>
  </si>
  <si>
    <t xml:space="preserve">  로더셀</t>
  </si>
  <si>
    <t>UU200</t>
  </si>
  <si>
    <t xml:space="preserve">  SERVO 2축</t>
  </si>
  <si>
    <t xml:space="preserve">  소형 GEARED MOTOR</t>
  </si>
  <si>
    <t xml:space="preserve">  소재감지 센스</t>
  </si>
  <si>
    <t xml:space="preserve">  AIR CYL'</t>
  </si>
  <si>
    <t>I/B 그리스 주입</t>
    <phoneticPr fontId="2" type="noConversion"/>
  </si>
  <si>
    <t>■상하1축</t>
    <phoneticPr fontId="2" type="noConversion"/>
  </si>
  <si>
    <t>■정량변</t>
    <phoneticPr fontId="2" type="noConversion"/>
  </si>
  <si>
    <t>GRACO</t>
    <phoneticPr fontId="2" type="noConversion"/>
  </si>
  <si>
    <t>■고속카운트</t>
    <phoneticPr fontId="2" type="noConversion"/>
  </si>
  <si>
    <t>I/B 그리스주입(스플라인)</t>
    <phoneticPr fontId="2" type="noConversion"/>
  </si>
  <si>
    <t>ABNOX</t>
    <phoneticPr fontId="2" type="noConversion"/>
  </si>
  <si>
    <t>■수동 주입기</t>
    <phoneticPr fontId="2" type="noConversion"/>
  </si>
  <si>
    <t>■저울</t>
    <phoneticPr fontId="2" type="noConversion"/>
  </si>
  <si>
    <t>비젼검사</t>
    <phoneticPr fontId="2" type="noConversion"/>
  </si>
  <si>
    <t>■비젼시스템</t>
    <phoneticPr fontId="2" type="noConversion"/>
  </si>
  <si>
    <t>■WORK CLAMP</t>
    <phoneticPr fontId="2" type="noConversion"/>
  </si>
  <si>
    <t>■WORK 회전</t>
    <phoneticPr fontId="2" type="noConversion"/>
  </si>
  <si>
    <t>■보관함</t>
    <phoneticPr fontId="2" type="noConversion"/>
  </si>
  <si>
    <t>1600 X 1400 컬러</t>
    <phoneticPr fontId="2" type="noConversion"/>
  </si>
  <si>
    <t>서보</t>
    <phoneticPr fontId="2" type="noConversion"/>
  </si>
  <si>
    <t>CLAMP 실린더</t>
    <phoneticPr fontId="2" type="noConversion"/>
  </si>
  <si>
    <t>회전 실린더</t>
    <phoneticPr fontId="2" type="noConversion"/>
  </si>
  <si>
    <t>■소재 감지 센스</t>
    <phoneticPr fontId="2" type="noConversion"/>
  </si>
  <si>
    <t>배출/반전</t>
    <phoneticPr fontId="2" type="noConversion"/>
  </si>
  <si>
    <t>■아웃스토커(I/B)</t>
    <phoneticPr fontId="2" type="noConversion"/>
  </si>
  <si>
    <t>■소재 배출</t>
    <phoneticPr fontId="2" type="noConversion"/>
  </si>
  <si>
    <t>■아웃 스토커(I/B)</t>
    <phoneticPr fontId="2" type="noConversion"/>
  </si>
  <si>
    <t>MAIN CONVEYOR</t>
    <phoneticPr fontId="2" type="noConversion"/>
  </si>
  <si>
    <t>■기타</t>
  </si>
  <si>
    <t xml:space="preserve">  DUCT</t>
  </si>
  <si>
    <t>M</t>
  </si>
  <si>
    <t xml:space="preserve">  계단</t>
  </si>
  <si>
    <t xml:space="preserve">  배관40APIPE</t>
  </si>
  <si>
    <t xml:space="preserve">  T/B BKT</t>
  </si>
  <si>
    <t xml:space="preserve">  NAME PLATE</t>
  </si>
  <si>
    <t>MAIN CONVEYOR</t>
  </si>
  <si>
    <t>PALLETS</t>
    <phoneticPr fontId="2" type="noConversion"/>
  </si>
  <si>
    <t>■PALLET</t>
  </si>
  <si>
    <t>LMS SYSTEM</t>
    <phoneticPr fontId="2" type="noConversion"/>
  </si>
  <si>
    <t>RFID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</si>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</sst>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7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1"/>
      <color rgb="FFFF0000"/>
      <name val="굴림"/>
      <family val="3"/>
      <charset val="129"/>
    </font>
    <font>
      <sz val="14"/>
      <name val="HY헤드라인M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12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0" fillId="2" borderId="3" xfId="0" applyNumberForma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shrinkToFit="1"/>
    </xf>
    <xf numFmtId="0" fontId="1" fillId="0" borderId="15" xfId="0" applyFont="1" applyBorder="1" applyAlignment="1">
      <alignment horizontal="left" vertical="center" shrinkToFit="1"/>
    </xf>
    <xf numFmtId="176" fontId="1" fillId="0" borderId="16" xfId="0" applyNumberFormat="1" applyFont="1" applyBorder="1" applyAlignment="1">
      <alignment horizontal="right" vertical="center"/>
    </xf>
    <xf numFmtId="176" fontId="1" fillId="0" borderId="17" xfId="0" applyNumberFormat="1" applyFont="1" applyBorder="1" applyAlignment="1">
      <alignment horizontal="right" vertical="center"/>
    </xf>
    <xf numFmtId="176" fontId="1" fillId="0" borderId="3" xfId="0" applyNumberFormat="1" applyFont="1" applyBorder="1" applyAlignment="1">
      <alignment horizontal="right" vertical="center"/>
    </xf>
    <xf numFmtId="176" fontId="1" fillId="0" borderId="18" xfId="0" applyNumberFormat="1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shrinkToFit="1"/>
    </xf>
    <xf numFmtId="0" fontId="1" fillId="0" borderId="18" xfId="0" applyFont="1" applyBorder="1" applyAlignment="1">
      <alignment horizontal="left" vertical="center" shrinkToFit="1"/>
    </xf>
    <xf numFmtId="0" fontId="0" fillId="0" borderId="21" xfId="0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shrinkToFit="1"/>
    </xf>
    <xf numFmtId="0" fontId="1" fillId="0" borderId="23" xfId="0" applyFont="1" applyBorder="1" applyAlignment="1">
      <alignment horizontal="left" vertical="center" shrinkToFit="1"/>
    </xf>
    <xf numFmtId="176" fontId="1" fillId="0" borderId="24" xfId="0" applyNumberFormat="1" applyFont="1" applyBorder="1" applyAlignment="1">
      <alignment horizontal="right" vertical="center"/>
    </xf>
    <xf numFmtId="176" fontId="1" fillId="0" borderId="23" xfId="0" applyNumberFormat="1" applyFont="1" applyBorder="1" applyAlignment="1">
      <alignment horizontal="right" vertical="center"/>
    </xf>
    <xf numFmtId="0" fontId="1" fillId="0" borderId="25" xfId="0" applyFont="1" applyBorder="1" applyAlignment="1">
      <alignment vertical="center"/>
    </xf>
    <xf numFmtId="176" fontId="1" fillId="0" borderId="26" xfId="0" applyNumberFormat="1" applyFont="1" applyBorder="1" applyAlignment="1">
      <alignment horizontal="center" vertical="center"/>
    </xf>
    <xf numFmtId="176" fontId="1" fillId="0" borderId="27" xfId="0" applyNumberFormat="1" applyFont="1" applyBorder="1" applyAlignment="1">
      <alignment horizontal="center" vertical="center"/>
    </xf>
    <xf numFmtId="176" fontId="1" fillId="0" borderId="28" xfId="0" applyNumberFormat="1" applyFont="1" applyBorder="1" applyAlignment="1">
      <alignment horizontal="center" vertical="center"/>
    </xf>
    <xf numFmtId="176" fontId="1" fillId="0" borderId="29" xfId="0" applyNumberFormat="1" applyFont="1" applyBorder="1" applyAlignment="1">
      <alignment vertical="center"/>
    </xf>
    <xf numFmtId="176" fontId="1" fillId="0" borderId="30" xfId="0" applyNumberFormat="1" applyFont="1" applyBorder="1" applyAlignment="1">
      <alignment vertical="center"/>
    </xf>
    <xf numFmtId="176" fontId="13" fillId="3" borderId="28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0" borderId="3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 wrapText="1"/>
    </xf>
    <xf numFmtId="176" fontId="1" fillId="0" borderId="28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 textRotation="255"/>
    </xf>
    <xf numFmtId="0" fontId="1" fillId="2" borderId="5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textRotation="255"/>
    </xf>
    <xf numFmtId="0" fontId="1" fillId="2" borderId="3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1" fillId="2" borderId="36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177" fontId="1" fillId="2" borderId="33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Alignment="1">
      <alignment horizontal="left" vertical="center"/>
    </xf>
    <xf numFmtId="177" fontId="1" fillId="2" borderId="34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178" fontId="1" fillId="2" borderId="33" xfId="0" applyNumberFormat="1" applyFont="1" applyFill="1" applyBorder="1" applyAlignment="1">
      <alignment vertical="center"/>
    </xf>
    <xf numFmtId="178" fontId="1" fillId="2" borderId="0" xfId="0" applyNumberFormat="1" applyFont="1" applyFill="1" applyAlignment="1">
      <alignment vertical="center"/>
    </xf>
    <xf numFmtId="178" fontId="1" fillId="2" borderId="34" xfId="0" applyNumberFormat="1" applyFont="1" applyFill="1" applyBorder="1" applyAlignment="1">
      <alignment vertical="center"/>
    </xf>
    <xf numFmtId="0" fontId="1" fillId="0" borderId="39" xfId="0" applyFont="1" applyBorder="1" applyAlignment="1">
      <alignment horizontal="center" vertical="center" textRotation="255"/>
    </xf>
    <xf numFmtId="0" fontId="1" fillId="2" borderId="40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1" fillId="2" borderId="44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7" fillId="0" borderId="0" xfId="0" applyNumberFormat="1" applyFont="1" applyAlignment="1">
      <alignment vertical="center"/>
    </xf>
    <xf numFmtId="3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vertical="center"/>
    </xf>
    <xf numFmtId="4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47" xfId="0" applyNumberFormat="1" applyFont="1" applyBorder="1" applyAlignment="1">
      <alignment horizontal="center"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31" xfId="0" applyNumberFormat="1" applyFont="1" applyBorder="1" applyAlignment="1">
      <alignment horizontal="center" vertical="center"/>
    </xf>
    <xf numFmtId="3" fontId="1" fillId="0" borderId="49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179" fontId="1" fillId="0" borderId="50" xfId="0" applyNumberFormat="1" applyFont="1" applyBorder="1" applyAlignment="1">
      <alignment horizontal="center" vertical="center"/>
    </xf>
    <xf numFmtId="3" fontId="1" fillId="0" borderId="51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52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/>
    </xf>
    <xf numFmtId="3" fontId="1" fillId="0" borderId="54" xfId="0" applyNumberFormat="1" applyFont="1" applyBorder="1" applyAlignment="1">
      <alignment horizontal="center" vertical="center"/>
    </xf>
    <xf numFmtId="3" fontId="1" fillId="0" borderId="55" xfId="0" applyNumberFormat="1" applyFont="1" applyBorder="1" applyAlignment="1">
      <alignment horizontal="center" vertical="center"/>
    </xf>
    <xf numFmtId="3" fontId="0" fillId="0" borderId="56" xfId="0" applyNumberFormat="1" applyBorder="1" applyAlignment="1">
      <alignment horizontal="center" vertical="center"/>
    </xf>
    <xf numFmtId="179" fontId="1" fillId="0" borderId="56" xfId="0" applyNumberFormat="1" applyFont="1" applyBorder="1" applyAlignment="1">
      <alignment horizontal="center" vertical="center"/>
    </xf>
    <xf numFmtId="3" fontId="1" fillId="0" borderId="57" xfId="0" applyNumberFormat="1" applyFont="1" applyBorder="1" applyAlignment="1">
      <alignment horizontal="center" vertical="center"/>
    </xf>
    <xf numFmtId="3" fontId="1" fillId="0" borderId="58" xfId="0" applyNumberFormat="1" applyFont="1" applyBorder="1" applyAlignment="1">
      <alignment horizontal="center" vertical="center"/>
    </xf>
    <xf numFmtId="3" fontId="1" fillId="0" borderId="59" xfId="0" applyNumberFormat="1" applyFont="1" applyBorder="1" applyAlignment="1">
      <alignment horizontal="center" vertical="center" wrapText="1"/>
    </xf>
    <xf numFmtId="3" fontId="1" fillId="0" borderId="59" xfId="0" applyNumberFormat="1" applyFont="1" applyBorder="1" applyAlignment="1">
      <alignment horizontal="center" vertical="center"/>
    </xf>
    <xf numFmtId="3" fontId="1" fillId="0" borderId="60" xfId="0" applyNumberFormat="1" applyFont="1" applyBorder="1" applyAlignment="1">
      <alignment horizontal="center" vertical="center"/>
    </xf>
    <xf numFmtId="3" fontId="6" fillId="0" borderId="60" xfId="0" applyNumberFormat="1" applyFont="1" applyBorder="1" applyAlignment="1">
      <alignment horizontal="center" vertical="center"/>
    </xf>
    <xf numFmtId="179" fontId="1" fillId="0" borderId="60" xfId="0" applyNumberFormat="1" applyFont="1" applyBorder="1" applyAlignment="1">
      <alignment horizontal="right" vertical="center"/>
    </xf>
    <xf numFmtId="179" fontId="1" fillId="0" borderId="60" xfId="0" applyNumberFormat="1" applyFont="1" applyBorder="1" applyAlignment="1">
      <alignment vertical="center"/>
    </xf>
    <xf numFmtId="3" fontId="1" fillId="0" borderId="61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179" fontId="1" fillId="0" borderId="3" xfId="2" applyNumberFormat="1" applyFont="1" applyFill="1" applyBorder="1" applyAlignment="1">
      <alignment horizontal="right" vertical="center"/>
    </xf>
    <xf numFmtId="179" fontId="1" fillId="0" borderId="3" xfId="0" applyNumberFormat="1" applyFont="1" applyBorder="1" applyAlignment="1">
      <alignment vertical="center"/>
    </xf>
    <xf numFmtId="3" fontId="1" fillId="0" borderId="62" xfId="0" applyNumberFormat="1" applyFont="1" applyBorder="1" applyAlignment="1">
      <alignment vertical="center"/>
    </xf>
    <xf numFmtId="179" fontId="1" fillId="0" borderId="3" xfId="0" applyNumberFormat="1" applyFont="1" applyBorder="1" applyAlignment="1">
      <alignment horizontal="right" vertical="center"/>
    </xf>
    <xf numFmtId="3" fontId="0" fillId="4" borderId="3" xfId="0" applyNumberFormat="1" applyFill="1" applyBorder="1" applyAlignment="1">
      <alignment horizontal="center" vertical="center"/>
    </xf>
    <xf numFmtId="3" fontId="6" fillId="4" borderId="3" xfId="0" applyNumberFormat="1" applyFont="1" applyFill="1" applyBorder="1" applyAlignment="1">
      <alignment horizontal="center" vertical="center"/>
    </xf>
    <xf numFmtId="179" fontId="1" fillId="4" borderId="3" xfId="0" applyNumberFormat="1" applyFont="1" applyFill="1" applyBorder="1" applyAlignment="1">
      <alignment horizontal="right" vertical="center"/>
    </xf>
    <xf numFmtId="179" fontId="1" fillId="4" borderId="3" xfId="0" applyNumberFormat="1" applyFont="1" applyFill="1" applyBorder="1" applyAlignment="1">
      <alignment vertical="center"/>
    </xf>
    <xf numFmtId="3" fontId="0" fillId="0" borderId="62" xfId="0" applyNumberFormat="1" applyBorder="1" applyAlignment="1">
      <alignment vertical="center"/>
    </xf>
    <xf numFmtId="3" fontId="1" fillId="0" borderId="63" xfId="0" applyNumberFormat="1" applyFont="1" applyBorder="1" applyAlignment="1">
      <alignment horizontal="center" vertical="center"/>
    </xf>
    <xf numFmtId="3" fontId="1" fillId="0" borderId="64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64" xfId="0" applyNumberFormat="1" applyFont="1" applyBorder="1" applyAlignment="1">
      <alignment horizontal="center" vertical="center"/>
    </xf>
    <xf numFmtId="179" fontId="5" fillId="0" borderId="3" xfId="0" applyNumberFormat="1" applyFont="1" applyBorder="1" applyAlignment="1">
      <alignment vertical="center"/>
    </xf>
    <xf numFmtId="3" fontId="1" fillId="0" borderId="65" xfId="0" applyNumberFormat="1" applyFont="1" applyBorder="1" applyAlignment="1">
      <alignment horizontal="center" vertical="center"/>
    </xf>
    <xf numFmtId="3" fontId="1" fillId="4" borderId="3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3" fontId="1" fillId="0" borderId="66" xfId="0" applyNumberFormat="1" applyFont="1" applyBorder="1" applyAlignment="1">
      <alignment horizontal="center" vertical="center"/>
    </xf>
    <xf numFmtId="179" fontId="5" fillId="0" borderId="17" xfId="0" applyNumberFormat="1" applyFont="1" applyBorder="1" applyAlignment="1">
      <alignment vertical="center"/>
    </xf>
    <xf numFmtId="3" fontId="1" fillId="0" borderId="67" xfId="0" applyNumberFormat="1" applyFont="1" applyBorder="1" applyAlignment="1">
      <alignment vertical="center"/>
    </xf>
    <xf numFmtId="3" fontId="1" fillId="0" borderId="68" xfId="0" applyNumberFormat="1" applyFont="1" applyBorder="1" applyAlignment="1">
      <alignment horizontal="center" vertical="center"/>
    </xf>
    <xf numFmtId="3" fontId="1" fillId="0" borderId="69" xfId="0" applyNumberFormat="1" applyFont="1" applyBorder="1" applyAlignment="1">
      <alignment horizontal="center" vertical="center"/>
    </xf>
    <xf numFmtId="3" fontId="1" fillId="0" borderId="45" xfId="0" applyNumberFormat="1" applyFont="1" applyBorder="1" applyAlignment="1">
      <alignment horizontal="center" vertical="center"/>
    </xf>
    <xf numFmtId="3" fontId="1" fillId="0" borderId="70" xfId="0" applyNumberFormat="1" applyFont="1" applyBorder="1" applyAlignment="1">
      <alignment horizontal="center" vertical="center"/>
    </xf>
    <xf numFmtId="3" fontId="1" fillId="0" borderId="44" xfId="0" applyNumberFormat="1" applyFont="1" applyBorder="1" applyAlignment="1">
      <alignment horizontal="center" vertical="center"/>
    </xf>
    <xf numFmtId="3" fontId="1" fillId="0" borderId="45" xfId="0" applyNumberFormat="1" applyFont="1" applyBorder="1" applyAlignment="1">
      <alignment horizontal="center" vertical="center"/>
    </xf>
    <xf numFmtId="3" fontId="1" fillId="0" borderId="70" xfId="0" applyNumberFormat="1" applyFont="1" applyBorder="1" applyAlignment="1">
      <alignment horizontal="center" vertical="center"/>
    </xf>
    <xf numFmtId="179" fontId="5" fillId="0" borderId="71" xfId="0" applyNumberFormat="1" applyFont="1" applyBorder="1" applyAlignment="1">
      <alignment vertical="center"/>
    </xf>
    <xf numFmtId="3" fontId="1" fillId="0" borderId="72" xfId="0" applyNumberFormat="1" applyFont="1" applyBorder="1" applyAlignment="1">
      <alignment vertical="center"/>
    </xf>
    <xf numFmtId="3" fontId="1" fillId="0" borderId="47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 wrapText="1"/>
    </xf>
    <xf numFmtId="3" fontId="1" fillId="0" borderId="50" xfId="0" applyNumberFormat="1" applyFont="1" applyBorder="1" applyAlignment="1">
      <alignment horizontal="center" vertical="center"/>
    </xf>
    <xf numFmtId="3" fontId="1" fillId="0" borderId="73" xfId="0" applyNumberFormat="1" applyFont="1" applyBorder="1" applyAlignment="1">
      <alignment horizontal="center" vertical="center"/>
    </xf>
    <xf numFmtId="3" fontId="6" fillId="0" borderId="73" xfId="0" applyNumberFormat="1" applyFont="1" applyBorder="1" applyAlignment="1">
      <alignment horizontal="center" vertical="center"/>
    </xf>
    <xf numFmtId="179" fontId="1" fillId="0" borderId="73" xfId="0" applyNumberFormat="1" applyFont="1" applyBorder="1" applyAlignment="1">
      <alignment vertical="center"/>
    </xf>
    <xf numFmtId="3" fontId="1" fillId="0" borderId="74" xfId="0" applyNumberFormat="1" applyFont="1" applyBorder="1" applyAlignment="1">
      <alignment vertical="center"/>
    </xf>
    <xf numFmtId="3" fontId="1" fillId="0" borderId="21" xfId="0" applyNumberFormat="1" applyFont="1" applyBorder="1" applyAlignment="1">
      <alignment horizontal="center" vertical="center" wrapText="1"/>
    </xf>
    <xf numFmtId="3" fontId="1" fillId="0" borderId="60" xfId="0" applyNumberFormat="1" applyFont="1" applyBorder="1" applyAlignment="1">
      <alignment horizontal="center" vertical="center"/>
    </xf>
    <xf numFmtId="3" fontId="6" fillId="4" borderId="60" xfId="0" applyNumberFormat="1" applyFont="1" applyFill="1" applyBorder="1" applyAlignment="1">
      <alignment horizontal="center" vertical="center"/>
    </xf>
    <xf numFmtId="179" fontId="1" fillId="4" borderId="60" xfId="0" applyNumberFormat="1" applyFont="1" applyFill="1" applyBorder="1" applyAlignment="1">
      <alignment vertical="center"/>
    </xf>
    <xf numFmtId="3" fontId="1" fillId="0" borderId="21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36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75" xfId="0" applyNumberFormat="1" applyFont="1" applyBorder="1" applyAlignment="1">
      <alignment horizontal="center" vertical="center"/>
    </xf>
    <xf numFmtId="179" fontId="5" fillId="0" borderId="73" xfId="0" applyNumberFormat="1" applyFont="1" applyBorder="1" applyAlignment="1">
      <alignment vertical="center"/>
    </xf>
    <xf numFmtId="3" fontId="1" fillId="0" borderId="33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76" xfId="0" applyNumberFormat="1" applyFont="1" applyBorder="1" applyAlignment="1">
      <alignment horizontal="center" vertical="center"/>
    </xf>
    <xf numFmtId="3" fontId="1" fillId="0" borderId="77" xfId="0" applyNumberFormat="1" applyFont="1" applyBorder="1" applyAlignment="1">
      <alignment horizontal="center" vertical="center"/>
    </xf>
    <xf numFmtId="3" fontId="1" fillId="0" borderId="78" xfId="0" applyNumberFormat="1" applyFont="1" applyBorder="1" applyAlignment="1">
      <alignment horizontal="center" vertical="center"/>
    </xf>
    <xf numFmtId="179" fontId="5" fillId="0" borderId="12" xfId="0" applyNumberFormat="1" applyFont="1" applyBorder="1" applyAlignment="1">
      <alignment vertical="center"/>
    </xf>
    <xf numFmtId="3" fontId="1" fillId="0" borderId="79" xfId="0" applyNumberFormat="1" applyFont="1" applyBorder="1" applyAlignment="1">
      <alignment vertical="center"/>
    </xf>
    <xf numFmtId="3" fontId="1" fillId="0" borderId="80" xfId="0" applyNumberFormat="1" applyFont="1" applyBorder="1" applyAlignment="1">
      <alignment horizontal="center" vertical="center"/>
    </xf>
    <xf numFmtId="3" fontId="1" fillId="0" borderId="81" xfId="0" applyNumberFormat="1" applyFont="1" applyBorder="1" applyAlignment="1">
      <alignment horizontal="center" vertical="center"/>
    </xf>
    <xf numFmtId="3" fontId="1" fillId="0" borderId="82" xfId="0" applyNumberFormat="1" applyFont="1" applyBorder="1" applyAlignment="1">
      <alignment horizontal="center" vertical="center"/>
    </xf>
    <xf numFmtId="3" fontId="1" fillId="0" borderId="83" xfId="0" applyNumberFormat="1" applyFont="1" applyBorder="1" applyAlignment="1">
      <alignment horizontal="center" vertical="center"/>
    </xf>
    <xf numFmtId="3" fontId="1" fillId="0" borderId="84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179" fontId="5" fillId="3" borderId="85" xfId="0" applyNumberFormat="1" applyFont="1" applyFill="1" applyBorder="1" applyAlignment="1">
      <alignment vertical="center"/>
    </xf>
    <xf numFmtId="3" fontId="1" fillId="0" borderId="86" xfId="0" applyNumberFormat="1" applyFont="1" applyBorder="1" applyAlignment="1">
      <alignment vertical="center"/>
    </xf>
    <xf numFmtId="3" fontId="1" fillId="0" borderId="16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left" vertical="center"/>
    </xf>
    <xf numFmtId="3" fontId="6" fillId="4" borderId="2" xfId="0" applyNumberFormat="1" applyFont="1" applyFill="1" applyBorder="1" applyAlignment="1">
      <alignment horizontal="left" vertical="center"/>
    </xf>
    <xf numFmtId="3" fontId="6" fillId="4" borderId="64" xfId="0" applyNumberFormat="1" applyFont="1" applyFill="1" applyBorder="1" applyAlignment="1">
      <alignment horizontal="left" vertical="center"/>
    </xf>
    <xf numFmtId="179" fontId="5" fillId="0" borderId="60" xfId="0" applyNumberFormat="1" applyFont="1" applyBorder="1" applyAlignment="1">
      <alignment vertical="center"/>
    </xf>
    <xf numFmtId="3" fontId="6" fillId="4" borderId="62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6" fillId="0" borderId="1" xfId="0" applyNumberFormat="1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left" vertical="center"/>
    </xf>
    <xf numFmtId="3" fontId="6" fillId="0" borderId="64" xfId="0" applyNumberFormat="1" applyFont="1" applyBorder="1" applyAlignment="1">
      <alignment horizontal="left" vertical="center"/>
    </xf>
    <xf numFmtId="3" fontId="1" fillId="0" borderId="24" xfId="0" applyNumberFormat="1" applyFont="1" applyBorder="1" applyAlignment="1">
      <alignment horizontal="center" vertical="center"/>
    </xf>
    <xf numFmtId="3" fontId="0" fillId="0" borderId="44" xfId="0" quotePrefix="1" applyNumberFormat="1" applyBorder="1" applyAlignment="1">
      <alignment horizontal="left" vertical="center"/>
    </xf>
    <xf numFmtId="3" fontId="0" fillId="0" borderId="45" xfId="0" quotePrefix="1" applyNumberFormat="1" applyBorder="1" applyAlignment="1">
      <alignment horizontal="left" vertical="center"/>
    </xf>
    <xf numFmtId="3" fontId="0" fillId="0" borderId="70" xfId="0" quotePrefix="1" applyNumberFormat="1" applyBorder="1" applyAlignment="1">
      <alignment horizontal="left" vertical="center"/>
    </xf>
    <xf numFmtId="3" fontId="1" fillId="0" borderId="87" xfId="0" applyNumberFormat="1" applyFont="1" applyBorder="1" applyAlignment="1">
      <alignment horizontal="left" vertical="center"/>
    </xf>
    <xf numFmtId="3" fontId="1" fillId="0" borderId="88" xfId="0" applyNumberFormat="1" applyFont="1" applyBorder="1" applyAlignment="1">
      <alignment horizontal="center" vertical="center"/>
    </xf>
    <xf numFmtId="3" fontId="6" fillId="0" borderId="89" xfId="0" quotePrefix="1" applyNumberFormat="1" applyFont="1" applyBorder="1" applyAlignment="1">
      <alignment horizontal="left" vertical="center"/>
    </xf>
    <xf numFmtId="3" fontId="6" fillId="0" borderId="88" xfId="0" quotePrefix="1" applyNumberFormat="1" applyFont="1" applyBorder="1" applyAlignment="1">
      <alignment horizontal="left" vertical="center"/>
    </xf>
    <xf numFmtId="3" fontId="6" fillId="0" borderId="90" xfId="0" quotePrefix="1" applyNumberFormat="1" applyFont="1" applyBorder="1" applyAlignment="1">
      <alignment horizontal="left" vertical="center"/>
    </xf>
    <xf numFmtId="179" fontId="5" fillId="0" borderId="89" xfId="0" applyNumberFormat="1" applyFont="1" applyBorder="1" applyAlignment="1">
      <alignment vertical="center"/>
    </xf>
    <xf numFmtId="3" fontId="1" fillId="0" borderId="91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3" fontId="0" fillId="0" borderId="17" xfId="0" applyNumberForma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9" fontId="0" fillId="0" borderId="64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vertical="center"/>
    </xf>
    <xf numFmtId="3" fontId="0" fillId="0" borderId="60" xfId="0" applyNumberFormat="1" applyBorder="1" applyAlignment="1">
      <alignment horizontal="center" vertical="center"/>
    </xf>
    <xf numFmtId="3" fontId="0" fillId="4" borderId="3" xfId="0" applyNumberFormat="1" applyFill="1" applyBorder="1" applyAlignment="1">
      <alignment vertical="center"/>
    </xf>
    <xf numFmtId="17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176" fontId="0" fillId="0" borderId="101" xfId="0" applyNumberFormat="1" applyBorder="1" applyAlignment="1">
      <alignment horizontal="center" vertical="center"/>
    </xf>
    <xf numFmtId="176" fontId="0" fillId="0" borderId="101" xfId="0" applyNumberFormat="1" applyBorder="1" applyAlignment="1">
      <alignment horizontal="left" vertical="center"/>
    </xf>
    <xf numFmtId="176" fontId="20" fillId="0" borderId="102" xfId="0" applyNumberFormat="1" applyFont="1" applyBorder="1" applyAlignment="1">
      <alignment vertical="center"/>
    </xf>
    <xf numFmtId="176" fontId="20" fillId="0" borderId="103" xfId="0" applyNumberFormat="1" applyFont="1" applyBorder="1" applyAlignment="1">
      <alignment vertical="center"/>
    </xf>
    <xf numFmtId="176" fontId="20" fillId="0" borderId="104" xfId="0" applyNumberFormat="1" applyFont="1" applyBorder="1" applyAlignment="1">
      <alignment vertical="center"/>
    </xf>
    <xf numFmtId="176" fontId="1" fillId="0" borderId="105" xfId="0" applyNumberFormat="1" applyFont="1" applyBorder="1" applyAlignment="1">
      <alignment vertical="center"/>
    </xf>
    <xf numFmtId="176" fontId="1" fillId="0" borderId="103" xfId="0" applyNumberFormat="1" applyFont="1" applyBorder="1" applyAlignment="1">
      <alignment vertical="center"/>
    </xf>
    <xf numFmtId="176" fontId="0" fillId="0" borderId="106" xfId="0" applyNumberFormat="1" applyBorder="1" applyAlignment="1">
      <alignment vertical="center"/>
    </xf>
    <xf numFmtId="176" fontId="0" fillId="0" borderId="107" xfId="0" applyNumberFormat="1" applyBorder="1" applyAlignment="1">
      <alignment vertical="center"/>
    </xf>
    <xf numFmtId="176" fontId="0" fillId="0" borderId="108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9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left" vertical="center"/>
    </xf>
    <xf numFmtId="176" fontId="20" fillId="0" borderId="16" xfId="0" applyNumberFormat="1" applyFont="1" applyBorder="1" applyAlignment="1">
      <alignment vertical="center"/>
    </xf>
    <xf numFmtId="176" fontId="20" fillId="0" borderId="3" xfId="0" applyNumberFormat="1" applyFont="1" applyBorder="1" applyAlignment="1">
      <alignment vertical="center"/>
    </xf>
    <xf numFmtId="176" fontId="20" fillId="0" borderId="62" xfId="0" applyNumberFormat="1" applyFont="1" applyBorder="1" applyAlignment="1">
      <alignment vertical="center"/>
    </xf>
    <xf numFmtId="176" fontId="1" fillId="0" borderId="64" xfId="0" applyNumberFormat="1" applyFont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176" fontId="0" fillId="0" borderId="109" xfId="0" applyNumberFormat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25" xfId="0" applyNumberFormat="1" applyBorder="1" applyAlignment="1">
      <alignment horizontal="left" vertical="center"/>
    </xf>
    <xf numFmtId="176" fontId="0" fillId="0" borderId="25" xfId="0" applyNumberFormat="1" applyBorder="1" applyAlignment="1">
      <alignment horizontal="center" vertical="center"/>
    </xf>
    <xf numFmtId="176" fontId="20" fillId="0" borderId="24" xfId="0" applyNumberFormat="1" applyFont="1" applyBorder="1" applyAlignment="1">
      <alignment vertical="center"/>
    </xf>
    <xf numFmtId="176" fontId="20" fillId="0" borderId="17" xfId="0" applyNumberFormat="1" applyFont="1" applyBorder="1" applyAlignment="1">
      <alignment vertical="center"/>
    </xf>
    <xf numFmtId="176" fontId="20" fillId="0" borderId="67" xfId="0" applyNumberFormat="1" applyFont="1" applyBorder="1" applyAlignment="1">
      <alignment vertical="center"/>
    </xf>
    <xf numFmtId="176" fontId="1" fillId="0" borderId="66" xfId="0" applyNumberFormat="1" applyFont="1" applyBorder="1" applyAlignment="1">
      <alignment vertical="center"/>
    </xf>
    <xf numFmtId="176" fontId="1" fillId="0" borderId="17" xfId="0" applyNumberFormat="1" applyFont="1" applyBorder="1" applyAlignment="1">
      <alignment vertical="center"/>
    </xf>
    <xf numFmtId="176" fontId="0" fillId="0" borderId="111" xfId="0" applyNumberFormat="1" applyBorder="1" applyAlignment="1">
      <alignment vertical="center"/>
    </xf>
    <xf numFmtId="176" fontId="0" fillId="0" borderId="112" xfId="0" applyNumberFormat="1" applyBorder="1" applyAlignment="1">
      <alignment vertical="center"/>
    </xf>
    <xf numFmtId="176" fontId="0" fillId="0" borderId="23" xfId="0" applyNumberFormat="1" applyBorder="1" applyAlignment="1">
      <alignment vertical="center"/>
    </xf>
    <xf numFmtId="176" fontId="0" fillId="0" borderId="113" xfId="0" applyNumberFormat="1" applyBorder="1" applyAlignment="1">
      <alignment horizontal="left" vertical="center"/>
    </xf>
    <xf numFmtId="176" fontId="0" fillId="0" borderId="113" xfId="0" applyNumberFormat="1" applyBorder="1" applyAlignment="1">
      <alignment horizontal="center" vertical="center"/>
    </xf>
    <xf numFmtId="176" fontId="20" fillId="0" borderId="80" xfId="0" applyNumberFormat="1" applyFont="1" applyBorder="1" applyAlignment="1">
      <alignment vertical="center"/>
    </xf>
    <xf numFmtId="176" fontId="20" fillId="0" borderId="60" xfId="0" applyNumberFormat="1" applyFont="1" applyBorder="1" applyAlignment="1">
      <alignment vertical="center"/>
    </xf>
    <xf numFmtId="176" fontId="20" fillId="0" borderId="61" xfId="0" applyNumberFormat="1" applyFont="1" applyBorder="1" applyAlignment="1">
      <alignment vertical="center"/>
    </xf>
    <xf numFmtId="176" fontId="1" fillId="0" borderId="60" xfId="0" applyNumberFormat="1" applyFont="1" applyBorder="1" applyAlignment="1">
      <alignment vertical="center"/>
    </xf>
    <xf numFmtId="176" fontId="0" fillId="0" borderId="114" xfId="0" applyNumberFormat="1" applyBorder="1" applyAlignment="1">
      <alignment vertical="center"/>
    </xf>
    <xf numFmtId="176" fontId="0" fillId="0" borderId="115" xfId="0" applyNumberFormat="1" applyBorder="1" applyAlignment="1">
      <alignment vertical="center"/>
    </xf>
    <xf numFmtId="176" fontId="0" fillId="0" borderId="86" xfId="0" applyNumberFormat="1" applyBorder="1" applyAlignment="1">
      <alignment vertical="center"/>
    </xf>
    <xf numFmtId="176" fontId="0" fillId="0" borderId="116" xfId="0" applyNumberFormat="1" applyBorder="1" applyAlignment="1">
      <alignment vertical="center"/>
    </xf>
    <xf numFmtId="176" fontId="0" fillId="0" borderId="117" xfId="0" applyNumberFormat="1" applyBorder="1" applyAlignment="1">
      <alignment horizontal="center" vertical="center"/>
    </xf>
    <xf numFmtId="176" fontId="0" fillId="0" borderId="117" xfId="0" applyNumberFormat="1" applyBorder="1" applyAlignment="1">
      <alignment horizontal="left" vertical="center"/>
    </xf>
    <xf numFmtId="176" fontId="20" fillId="0" borderId="118" xfId="0" applyNumberFormat="1" applyFont="1" applyBorder="1" applyAlignment="1">
      <alignment vertical="center"/>
    </xf>
    <xf numFmtId="176" fontId="20" fillId="0" borderId="71" xfId="0" applyNumberFormat="1" applyFont="1" applyBorder="1" applyAlignment="1">
      <alignment vertical="center"/>
    </xf>
    <xf numFmtId="176" fontId="20" fillId="0" borderId="72" xfId="0" applyNumberFormat="1" applyFont="1" applyBorder="1" applyAlignment="1">
      <alignment vertical="center"/>
    </xf>
    <xf numFmtId="176" fontId="0" fillId="0" borderId="119" xfId="0" applyNumberFormat="1" applyBorder="1" applyAlignment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3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20" fillId="0" borderId="47" xfId="0" applyNumberFormat="1" applyFont="1" applyBorder="1" applyAlignment="1">
      <alignment vertical="center"/>
    </xf>
    <xf numFmtId="176" fontId="20" fillId="0" borderId="50" xfId="0" applyNumberFormat="1" applyFont="1" applyBorder="1" applyAlignment="1">
      <alignment vertical="center"/>
    </xf>
    <xf numFmtId="176" fontId="20" fillId="0" borderId="51" xfId="0" applyNumberFormat="1" applyFont="1" applyBorder="1" applyAlignment="1">
      <alignment vertical="center"/>
    </xf>
    <xf numFmtId="176" fontId="1" fillId="0" borderId="47" xfId="0" applyNumberFormat="1" applyFont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92" xfId="0" applyNumberFormat="1" applyFont="1" applyBorder="1" applyAlignment="1">
      <alignment vertical="center"/>
    </xf>
    <xf numFmtId="176" fontId="5" fillId="0" borderId="120" xfId="0" applyNumberFormat="1" applyFon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6" fillId="0" borderId="40" xfId="0" applyNumberFormat="1" applyFont="1" applyBorder="1" applyAlignment="1">
      <alignment horizontal="center" vertical="center"/>
    </xf>
    <xf numFmtId="176" fontId="6" fillId="0" borderId="41" xfId="0" applyNumberFormat="1" applyFont="1" applyBorder="1" applyAlignment="1">
      <alignment horizontal="center" vertical="center"/>
    </xf>
    <xf numFmtId="176" fontId="6" fillId="0" borderId="42" xfId="0" applyNumberFormat="1" applyFont="1" applyBorder="1" applyAlignment="1">
      <alignment horizontal="center" vertical="center"/>
    </xf>
    <xf numFmtId="9" fontId="21" fillId="0" borderId="68" xfId="2" applyFont="1" applyBorder="1" applyAlignment="1">
      <alignment vertical="center"/>
    </xf>
    <xf numFmtId="9" fontId="21" fillId="0" borderId="121" xfId="2" applyFont="1" applyBorder="1" applyAlignment="1">
      <alignment vertical="center"/>
    </xf>
    <xf numFmtId="9" fontId="21" fillId="0" borderId="122" xfId="2" applyFont="1" applyBorder="1" applyAlignment="1">
      <alignment vertical="center"/>
    </xf>
    <xf numFmtId="176" fontId="1" fillId="0" borderId="68" xfId="0" applyNumberFormat="1" applyFont="1" applyBorder="1" applyAlignment="1">
      <alignment vertical="center"/>
    </xf>
    <xf numFmtId="9" fontId="6" fillId="0" borderId="121" xfId="2" applyFont="1" applyFill="1" applyBorder="1" applyAlignment="1">
      <alignment vertical="center"/>
    </xf>
    <xf numFmtId="9" fontId="6" fillId="0" borderId="121" xfId="2" applyFont="1" applyBorder="1" applyAlignment="1">
      <alignment vertical="center"/>
    </xf>
    <xf numFmtId="9" fontId="6" fillId="0" borderId="123" xfId="2" applyFont="1" applyBorder="1" applyAlignment="1">
      <alignment vertical="center"/>
    </xf>
    <xf numFmtId="9" fontId="6" fillId="0" borderId="124" xfId="2" applyFont="1" applyBorder="1" applyAlignment="1">
      <alignment vertical="center"/>
    </xf>
    <xf numFmtId="176" fontId="6" fillId="0" borderId="42" xfId="0" applyNumberFormat="1" applyFont="1" applyBorder="1" applyAlignment="1">
      <alignment vertical="center"/>
    </xf>
    <xf numFmtId="176" fontId="6" fillId="0" borderId="0" xfId="0" applyNumberFormat="1" applyFont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41" fontId="22" fillId="0" borderId="0" xfId="1" applyFont="1" applyAlignment="1">
      <alignment vertical="center"/>
    </xf>
    <xf numFmtId="179" fontId="23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4" fillId="0" borderId="41" xfId="0" applyNumberFormat="1" applyFont="1" applyBorder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2" borderId="113" xfId="0" applyFill="1" applyBorder="1" applyAlignment="1">
      <alignment vertical="center"/>
    </xf>
    <xf numFmtId="0" fontId="0" fillId="2" borderId="113" xfId="0" applyFill="1" applyBorder="1" applyAlignment="1">
      <alignment horizontal="center" vertical="center"/>
    </xf>
    <xf numFmtId="176" fontId="0" fillId="2" borderId="113" xfId="0" applyNumberFormat="1" applyFill="1" applyBorder="1" applyAlignment="1">
      <alignment horizontal="center" vertical="center"/>
    </xf>
    <xf numFmtId="176" fontId="0" fillId="2" borderId="113" xfId="0" applyNumberFormat="1" applyFill="1" applyBorder="1" applyAlignment="1">
      <alignment vertical="center"/>
    </xf>
    <xf numFmtId="0" fontId="0" fillId="0" borderId="113" xfId="0" applyBorder="1" applyAlignment="1">
      <alignment vertical="center"/>
    </xf>
    <xf numFmtId="0" fontId="0" fillId="0" borderId="32" xfId="0" applyBorder="1" applyAlignment="1">
      <alignment horizontal="center" vertical="center" wrapText="1"/>
    </xf>
    <xf numFmtId="0" fontId="0" fillId="2" borderId="19" xfId="0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176" fontId="0" fillId="2" borderId="19" xfId="0" applyNumberFormat="1" applyFill="1" applyBorder="1" applyAlignment="1">
      <alignment horizontal="center" vertical="center"/>
    </xf>
    <xf numFmtId="176" fontId="0" fillId="2" borderId="19" xfId="0" applyNumberFormat="1" applyFill="1" applyBorder="1" applyAlignment="1">
      <alignment vertical="center"/>
    </xf>
    <xf numFmtId="0" fontId="0" fillId="2" borderId="117" xfId="0" applyFill="1" applyBorder="1" applyAlignment="1">
      <alignment vertical="center"/>
    </xf>
    <xf numFmtId="0" fontId="0" fillId="2" borderId="117" xfId="0" applyFill="1" applyBorder="1" applyAlignment="1">
      <alignment horizontal="center" vertical="center"/>
    </xf>
    <xf numFmtId="176" fontId="0" fillId="2" borderId="117" xfId="0" applyNumberFormat="1" applyFill="1" applyBorder="1" applyAlignment="1">
      <alignment horizontal="center" vertical="center"/>
    </xf>
    <xf numFmtId="176" fontId="0" fillId="2" borderId="117" xfId="0" applyNumberFormat="1" applyFill="1" applyBorder="1" applyAlignment="1">
      <alignment vertical="center"/>
    </xf>
    <xf numFmtId="0" fontId="0" fillId="0" borderId="117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9" xfId="0" applyBorder="1" applyAlignment="1">
      <alignment vertical="center"/>
    </xf>
    <xf numFmtId="176" fontId="0" fillId="0" borderId="39" xfId="0" applyNumberFormat="1" applyBorder="1" applyAlignment="1">
      <alignment horizontal="center" vertical="center"/>
    </xf>
    <xf numFmtId="176" fontId="0" fillId="0" borderId="39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2" borderId="125" xfId="0" applyFill="1" applyBorder="1" applyAlignment="1">
      <alignment vertical="center"/>
    </xf>
    <xf numFmtId="0" fontId="0" fillId="2" borderId="125" xfId="0" applyFill="1" applyBorder="1" applyAlignment="1">
      <alignment horizontal="center" vertical="center"/>
    </xf>
    <xf numFmtId="176" fontId="0" fillId="2" borderId="125" xfId="0" applyNumberFormat="1" applyFill="1" applyBorder="1" applyAlignment="1">
      <alignment horizontal="center" vertical="center"/>
    </xf>
    <xf numFmtId="176" fontId="0" fillId="2" borderId="125" xfId="0" applyNumberFormat="1" applyFill="1" applyBorder="1" applyAlignment="1">
      <alignment vertical="center"/>
    </xf>
    <xf numFmtId="176" fontId="0" fillId="0" borderId="38" xfId="0" applyNumberFormat="1" applyBorder="1" applyAlignment="1">
      <alignment vertical="center"/>
    </xf>
    <xf numFmtId="0" fontId="0" fillId="0" borderId="125" xfId="0" applyBorder="1" applyAlignment="1">
      <alignment vertical="center"/>
    </xf>
    <xf numFmtId="0" fontId="0" fillId="5" borderId="33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176" fontId="0" fillId="2" borderId="25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6" borderId="28" xfId="0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4" xfId="0" applyNumberFormat="1" applyFill="1" applyBorder="1" applyAlignment="1">
      <alignment vertical="center"/>
    </xf>
    <xf numFmtId="176" fontId="0" fillId="6" borderId="28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7" borderId="125" xfId="0" applyFill="1" applyBorder="1" applyAlignment="1">
      <alignment vertical="center" wrapText="1"/>
    </xf>
    <xf numFmtId="41" fontId="0" fillId="7" borderId="19" xfId="1" applyFont="1" applyFill="1" applyBorder="1" applyAlignment="1">
      <alignment horizontal="center" vertical="center"/>
    </xf>
    <xf numFmtId="41" fontId="1" fillId="7" borderId="19" xfId="1" applyFont="1" applyFill="1" applyBorder="1" applyAlignment="1">
      <alignment horizontal="right" vertical="center"/>
    </xf>
    <xf numFmtId="176" fontId="0" fillId="0" borderId="46" xfId="0" applyNumberFormat="1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7" xfId="0" applyBorder="1" applyAlignment="1">
      <alignment horizontal="center" vertical="top" wrapText="1" shrinkToFit="1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vertical="center"/>
    </xf>
    <xf numFmtId="176" fontId="0" fillId="0" borderId="28" xfId="0" applyNumberFormat="1" applyBorder="1" applyAlignment="1">
      <alignment vertical="center"/>
    </xf>
    <xf numFmtId="0" fontId="0" fillId="0" borderId="32" xfId="0" applyBorder="1" applyAlignment="1">
      <alignment horizontal="center" vertical="top" wrapText="1" shrinkToFit="1"/>
    </xf>
    <xf numFmtId="0" fontId="0" fillId="0" borderId="35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4" xfId="0" applyBorder="1" applyAlignment="1">
      <alignment horizontal="right" vertical="center"/>
    </xf>
    <xf numFmtId="176" fontId="0" fillId="0" borderId="26" xfId="0" applyNumberFormat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41" xfId="0" applyNumberFormat="1" applyFont="1" applyFill="1" applyBorder="1" applyAlignment="1">
      <alignment vertical="center"/>
    </xf>
    <xf numFmtId="176" fontId="23" fillId="0" borderId="0" xfId="0" applyNumberFormat="1" applyFont="1" applyAlignment="1">
      <alignment vertical="center"/>
    </xf>
    <xf numFmtId="180" fontId="0" fillId="0" borderId="0" xfId="0" applyNumberFormat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7" borderId="19" xfId="0" applyFill="1" applyBorder="1" applyAlignment="1">
      <alignment vertical="center"/>
    </xf>
    <xf numFmtId="0" fontId="0" fillId="7" borderId="19" xfId="0" applyFill="1" applyBorder="1" applyAlignment="1">
      <alignment horizontal="center" vertical="center"/>
    </xf>
    <xf numFmtId="176" fontId="0" fillId="7" borderId="19" xfId="0" applyNumberFormat="1" applyFill="1" applyBorder="1" applyAlignment="1">
      <alignment vertical="center"/>
    </xf>
    <xf numFmtId="176" fontId="0" fillId="2" borderId="19" xfId="0" applyNumberFormat="1" applyFill="1" applyBorder="1" applyAlignment="1">
      <alignment horizontal="right" vertical="center"/>
    </xf>
    <xf numFmtId="0" fontId="0" fillId="2" borderId="25" xfId="0" applyFill="1" applyBorder="1" applyAlignment="1">
      <alignment horizontal="center" vertical="center"/>
    </xf>
    <xf numFmtId="181" fontId="0" fillId="0" borderId="39" xfId="0" applyNumberFormat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176" fontId="0" fillId="0" borderId="117" xfId="0" applyNumberFormat="1" applyBorder="1" applyAlignment="1">
      <alignment vertical="center"/>
    </xf>
    <xf numFmtId="176" fontId="0" fillId="7" borderId="4" xfId="0" applyNumberFormat="1" applyFill="1" applyBorder="1" applyAlignment="1">
      <alignment vertical="center"/>
    </xf>
    <xf numFmtId="176" fontId="0" fillId="7" borderId="125" xfId="0" applyNumberFormat="1" applyFill="1" applyBorder="1" applyAlignment="1">
      <alignment vertical="center"/>
    </xf>
    <xf numFmtId="0" fontId="0" fillId="2" borderId="19" xfId="0" applyFill="1" applyBorder="1" applyAlignment="1">
      <alignment horizontal="left" vertical="center"/>
    </xf>
    <xf numFmtId="0" fontId="0" fillId="7" borderId="19" xfId="1" applyNumberFormat="1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/>
    </xf>
    <xf numFmtId="176" fontId="0" fillId="2" borderId="4" xfId="0" applyNumberFormat="1" applyFill="1" applyBorder="1" applyAlignment="1">
      <alignment horizontal="right" vertical="center"/>
    </xf>
    <xf numFmtId="176" fontId="0" fillId="7" borderId="125" xfId="0" applyNumberFormat="1" applyFill="1" applyBorder="1" applyAlignment="1">
      <alignment horizontal="right" vertical="center"/>
    </xf>
    <xf numFmtId="176" fontId="0" fillId="7" borderId="19" xfId="0" applyNumberFormat="1" applyFill="1" applyBorder="1" applyAlignment="1">
      <alignment horizontal="right" vertical="center"/>
    </xf>
    <xf numFmtId="176" fontId="0" fillId="7" borderId="117" xfId="0" applyNumberFormat="1" applyFill="1" applyBorder="1" applyAlignment="1">
      <alignment horizontal="right" vertical="center"/>
    </xf>
    <xf numFmtId="41" fontId="1" fillId="7" borderId="19" xfId="1" applyFont="1" applyFill="1" applyBorder="1" applyAlignment="1">
      <alignment vertical="center"/>
    </xf>
    <xf numFmtId="176" fontId="0" fillId="2" borderId="25" xfId="0" applyNumberFormat="1" applyFill="1" applyBorder="1" applyAlignment="1">
      <alignment horizontal="right" vertical="center"/>
    </xf>
    <xf numFmtId="176" fontId="0" fillId="2" borderId="117" xfId="0" applyNumberFormat="1" applyFill="1" applyBorder="1" applyAlignment="1">
      <alignment horizontal="right" vertical="center"/>
    </xf>
    <xf numFmtId="176" fontId="0" fillId="7" borderId="117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2" borderId="39" xfId="0" applyFill="1" applyBorder="1" applyAlignment="1">
      <alignment vertical="center"/>
    </xf>
    <xf numFmtId="176" fontId="0" fillId="2" borderId="39" xfId="0" applyNumberFormat="1" applyFill="1" applyBorder="1" applyAlignment="1">
      <alignment vertical="center"/>
    </xf>
    <xf numFmtId="0" fontId="0" fillId="8" borderId="4" xfId="0" applyFill="1" applyBorder="1" applyAlignment="1">
      <alignment vertical="center"/>
    </xf>
    <xf numFmtId="176" fontId="0" fillId="8" borderId="4" xfId="0" applyNumberFormat="1" applyFill="1" applyBorder="1" applyAlignment="1">
      <alignment vertical="center"/>
    </xf>
    <xf numFmtId="176" fontId="0" fillId="8" borderId="28" xfId="0" applyNumberFormat="1" applyFill="1" applyBorder="1" applyAlignment="1">
      <alignment vertical="center"/>
    </xf>
    <xf numFmtId="0" fontId="25" fillId="0" borderId="19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5" fillId="0" borderId="1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2" xfId="0" applyBorder="1" applyAlignme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3</xdr:row>
      <xdr:rowOff>57150</xdr:rowOff>
    </xdr:from>
    <xdr:to>
      <xdr:col>7</xdr:col>
      <xdr:colOff>937364</xdr:colOff>
      <xdr:row>5</xdr:row>
      <xdr:rowOff>16125</xdr:rowOff>
    </xdr:to>
    <xdr:pic>
      <xdr:nvPicPr>
        <xdr:cNvPr id="2" name="Picture 3" descr="도ㅏㅇ꺼">
          <a:extLst>
            <a:ext uri="{FF2B5EF4-FFF2-40B4-BE49-F238E27FC236}">
              <a16:creationId xmlns:a16="http://schemas.microsoft.com/office/drawing/2014/main" id="{62A1CE77-63EF-44F9-B232-B76403A1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910590"/>
          <a:ext cx="470639" cy="538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37D4CE18-898D-4895-AEB8-97F64947A9CC}"/>
            </a:ext>
          </a:extLst>
        </xdr:cNvPr>
        <xdr:cNvSpPr>
          <a:spLocks/>
        </xdr:cNvSpPr>
      </xdr:nvSpPr>
      <xdr:spPr bwMode="auto">
        <a:xfrm>
          <a:off x="8416290" y="3800475"/>
          <a:ext cx="3084195" cy="21526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03BDAC3B-E0C7-46B1-A310-FB59E74724C9}"/>
            </a:ext>
          </a:extLst>
        </xdr:cNvPr>
        <xdr:cNvSpPr>
          <a:spLocks/>
        </xdr:cNvSpPr>
      </xdr:nvSpPr>
      <xdr:spPr bwMode="auto">
        <a:xfrm>
          <a:off x="8435340" y="2806065"/>
          <a:ext cx="3084195" cy="23431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98729AA-E09C-4FAC-A15D-FA6DFA34603D}"/>
            </a:ext>
          </a:extLst>
        </xdr:cNvPr>
        <xdr:cNvSpPr>
          <a:spLocks/>
        </xdr:cNvSpPr>
      </xdr:nvSpPr>
      <xdr:spPr bwMode="auto">
        <a:xfrm>
          <a:off x="8435340" y="4269105"/>
          <a:ext cx="3084195" cy="23431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5978DF4C-0D22-4533-A102-9F756EF2BD7D}"/>
            </a:ext>
          </a:extLst>
        </xdr:cNvPr>
        <xdr:cNvSpPr>
          <a:spLocks/>
        </xdr:cNvSpPr>
      </xdr:nvSpPr>
      <xdr:spPr bwMode="auto">
        <a:xfrm>
          <a:off x="8444865" y="1968820"/>
          <a:ext cx="3084195" cy="28670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C9793188-1D9D-4D43-B712-3A56EC38F033}"/>
            </a:ext>
          </a:extLst>
        </xdr:cNvPr>
        <xdr:cNvSpPr>
          <a:spLocks/>
        </xdr:cNvSpPr>
      </xdr:nvSpPr>
      <xdr:spPr bwMode="auto">
        <a:xfrm>
          <a:off x="8418666" y="3528060"/>
          <a:ext cx="3084195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C3AE7957-5672-45AE-BC54-80E842AB59AC}"/>
            </a:ext>
          </a:extLst>
        </xdr:cNvPr>
        <xdr:cNvSpPr>
          <a:spLocks/>
        </xdr:cNvSpPr>
      </xdr:nvSpPr>
      <xdr:spPr bwMode="auto">
        <a:xfrm>
          <a:off x="8430572" y="2291238"/>
          <a:ext cx="3084195" cy="45196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84A427-2EB1-46A2-820C-96E8F6D2A57B}"/>
            </a:ext>
          </a:extLst>
        </xdr:cNvPr>
        <xdr:cNvSpPr>
          <a:spLocks noChangeArrowheads="1"/>
        </xdr:cNvSpPr>
      </xdr:nvSpPr>
      <xdr:spPr bwMode="auto">
        <a:xfrm>
          <a:off x="6587490" y="0"/>
          <a:ext cx="1962150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1]!값이있는행만출력하시오" textlink="">
      <xdr:nvSpPr>
        <xdr:cNvPr id="3" name="AutoShape 22">
          <a:extLst>
            <a:ext uri="{FF2B5EF4-FFF2-40B4-BE49-F238E27FC236}">
              <a16:creationId xmlns:a16="http://schemas.microsoft.com/office/drawing/2014/main" id="{A0319F97-A8AC-4739-BCED-C36F7B8DFE49}"/>
            </a:ext>
          </a:extLst>
        </xdr:cNvPr>
        <xdr:cNvSpPr>
          <a:spLocks noChangeArrowheads="1"/>
        </xdr:cNvSpPr>
      </xdr:nvSpPr>
      <xdr:spPr bwMode="auto">
        <a:xfrm>
          <a:off x="3369945" y="19050"/>
          <a:ext cx="238887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B71961-DCB4-471E-B1FD-07DF5A599BCB}"/>
            </a:ext>
          </a:extLst>
        </xdr:cNvPr>
        <xdr:cNvSpPr>
          <a:spLocks noChangeArrowheads="1"/>
        </xdr:cNvSpPr>
      </xdr:nvSpPr>
      <xdr:spPr bwMode="auto">
        <a:xfrm>
          <a:off x="5383530" y="0"/>
          <a:ext cx="372427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C6994096-547A-4284-871E-1BB4E25F81A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27D7A698-13D5-4A08-A745-713FAC5847C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7FBCBCC4-FBC0-4A09-86A6-9598E9FB1AFD}"/>
            </a:ext>
          </a:extLst>
        </xdr:cNvPr>
        <xdr:cNvSpPr>
          <a:spLocks noChangeArrowheads="1"/>
        </xdr:cNvSpPr>
      </xdr:nvSpPr>
      <xdr:spPr bwMode="auto">
        <a:xfrm>
          <a:off x="51396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BABA40DF-AA7A-45D1-9AC4-7495342F5E5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805FBB4A-D66A-4BE9-9545-4C5820DFB442}"/>
            </a:ext>
          </a:extLst>
        </xdr:cNvPr>
        <xdr:cNvSpPr>
          <a:spLocks noChangeArrowheads="1"/>
        </xdr:cNvSpPr>
      </xdr:nvSpPr>
      <xdr:spPr bwMode="auto">
        <a:xfrm>
          <a:off x="5225415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3ABDE411-2671-48CB-9F24-E9788CDCE0E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BE47584F-DAF5-4DEB-9747-EF56741FB306}"/>
            </a:ext>
          </a:extLst>
        </xdr:cNvPr>
        <xdr:cNvSpPr>
          <a:spLocks noChangeArrowheads="1"/>
        </xdr:cNvSpPr>
      </xdr:nvSpPr>
      <xdr:spPr bwMode="auto">
        <a:xfrm>
          <a:off x="5111115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BCBAF421-2FCA-4F31-9443-9529AA038AD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99F3C32E-988A-41C3-88D8-AA48332F1CBF}"/>
            </a:ext>
          </a:extLst>
        </xdr:cNvPr>
        <xdr:cNvSpPr>
          <a:spLocks noChangeArrowheads="1"/>
        </xdr:cNvSpPr>
      </xdr:nvSpPr>
      <xdr:spPr bwMode="auto">
        <a:xfrm>
          <a:off x="5015865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8DDEE131-CCB6-44D2-9238-22BFAC770F8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68903FC0-DC40-4C8E-A594-9120874EE40F}"/>
            </a:ext>
          </a:extLst>
        </xdr:cNvPr>
        <xdr:cNvSpPr>
          <a:spLocks noChangeArrowheads="1"/>
        </xdr:cNvSpPr>
      </xdr:nvSpPr>
      <xdr:spPr bwMode="auto">
        <a:xfrm>
          <a:off x="5225415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4D18BB2C-51E2-4DA1-9AE1-483FECC7F9A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8E230E8D-F0A3-4BB2-83EF-04A9CFDC6615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B2B6F96F-E54F-4F0D-B5EA-2E778E4B55A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65</xdr:row>
      <xdr:rowOff>0</xdr:rowOff>
    </xdr:from>
    <xdr:to>
      <xdr:col>9</xdr:col>
      <xdr:colOff>0</xdr:colOff>
      <xdr:row>65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5D1044E9-6AA2-40C5-9996-374A037D9C2C}"/>
            </a:ext>
          </a:extLst>
        </xdr:cNvPr>
        <xdr:cNvSpPr>
          <a:spLocks noChangeArrowheads="1"/>
        </xdr:cNvSpPr>
      </xdr:nvSpPr>
      <xdr:spPr bwMode="auto">
        <a:xfrm>
          <a:off x="1754505" y="12969240"/>
          <a:ext cx="735901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459DF7AF-CE52-4CD6-A9FD-C8A308CFDA41}"/>
            </a:ext>
          </a:extLst>
        </xdr:cNvPr>
        <xdr:cNvSpPr>
          <a:spLocks noChangeArrowheads="1"/>
        </xdr:cNvSpPr>
      </xdr:nvSpPr>
      <xdr:spPr bwMode="auto">
        <a:xfrm>
          <a:off x="4939665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F7FC73CF-8764-4916-9E29-456F444E5FB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51</xdr:row>
      <xdr:rowOff>0</xdr:rowOff>
    </xdr:from>
    <xdr:to>
      <xdr:col>9</xdr:col>
      <xdr:colOff>0</xdr:colOff>
      <xdr:row>51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5F973926-9019-46F6-BF3F-17494F3590D0}"/>
            </a:ext>
          </a:extLst>
        </xdr:cNvPr>
        <xdr:cNvSpPr>
          <a:spLocks noChangeArrowheads="1"/>
        </xdr:cNvSpPr>
      </xdr:nvSpPr>
      <xdr:spPr bwMode="auto">
        <a:xfrm>
          <a:off x="1754505" y="10195560"/>
          <a:ext cx="735901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070387B5-35A3-437F-AE35-21F9BA597A76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71665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CA18C33E-CB34-4504-A464-114281CDF41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C8F9A856-438D-435D-B453-9055EA9B0CBB}"/>
            </a:ext>
          </a:extLst>
        </xdr:cNvPr>
        <xdr:cNvSpPr>
          <a:spLocks noChangeArrowheads="1"/>
        </xdr:cNvSpPr>
      </xdr:nvSpPr>
      <xdr:spPr bwMode="auto">
        <a:xfrm>
          <a:off x="1754505" y="9601200"/>
          <a:ext cx="735901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82303435-00D7-4991-BCB0-C7A0E4BB9E4F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71665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23736EA-F090-4868-8511-CD37EDB2F03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61311916-AF40-42E6-AE39-64422697128C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BCE2502E-3796-4060-B6D3-5B7A8241605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DE783A98-0E6F-47F7-9889-3508589808AB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9412B237-8B8B-42EB-9B14-F9A6190AD9B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E5A430AF-26FB-4F02-A280-66973FA08005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3ACDD1AD-7591-41DD-83B6-4401EEC32F6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B37CC448-3FFA-4779-A0D4-5D8AA905B310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C3D5F9B4-96D0-46BB-BFB6-15934FBC9BC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578DBE11-0B31-42DD-A70A-5646C6CA6BBA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5F4C338E-47CB-477A-BBD9-4A8531D72F39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30348DD8-6FB4-4A76-9194-05F753EB1911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7BF779C5-A1C6-4EF5-BEBE-B19B2C6E5A0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63CDED23-C46D-44A3-A86D-AC0E5D4CEA1F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E57AE61A-F6C2-402A-A246-4B29F39D45E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C1C29FF0-D777-443C-BB9B-993AAC7BCE65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690C02B5-049C-4330-80AA-19BDDA57EE5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C65D8FC6-12E7-4F60-B267-BABD1E0113D1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90BF1E4D-F3C8-4E90-B131-EE8172F889B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EC767750-49B7-49C1-AFF7-5E7383D592E0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4E56A36E-B0CD-423A-9941-0276A89E107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C1BEACA2-052C-4C19-91CA-B6742706143F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6B34706A-FB38-4C66-8280-EF7A8114AFF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59AD954F-B61C-42B0-85F6-854DB838A2CF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9C1D8D7C-50A7-40BA-B800-EE842435B09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49DED051-078B-4D96-8F9E-EF97823F2AEF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82386D4A-E427-4F8C-9857-6E25C6DF157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EF2A5865-E12E-4CE0-B463-B99F390E0DC2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7EA21C6B-1F20-4E0D-9645-E8276DDDA7D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2F6922CE-A5A9-4DD9-844C-52DF5595894A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2D84030D-9D7E-447B-B8AA-A1A887CF9A1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DF13AC6B-1760-404E-97EE-6665C01465F8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FCACE3A2-2D0C-425A-B735-D3378FD49D8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9D202191-EDD1-4BB7-9629-32ACBCC979EC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CB69372F-3DEB-4B11-9EB5-8FD2485849F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BCAEB2F0-6522-4238-B6AE-83F8ABBD4C73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8A190858-4AC0-4BCB-ABF9-216704CE3429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41E8E2A3-407E-4659-8E41-041308114278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053536\Users\DSA\AppData\Local\Microsoft\Windows\INetCache\Content.Outlook\EZ4891R5\3.%20&#50577;&#49885;\&#53685;&#54633;&#44204;&#51201;&#49436;(&#49328;&#50629;&#50504;&#51204;&#44288;&#47532;&#48708;%20&#51088;&#46041;&#44228;&#4932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통합견적서(산업안전관리비 자동계산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8533-F336-4166-914E-95DBD05CA2B3}">
  <sheetPr>
    <pageSetUpPr fitToPage="1"/>
  </sheetPr>
  <dimension ref="B1:J55"/>
  <sheetViews>
    <sheetView showGridLines="0" tabSelected="1" zoomScaleNormal="100" workbookViewId="0">
      <selection activeCell="L5" sqref="L5"/>
    </sheetView>
  </sheetViews>
  <sheetFormatPr defaultColWidth="9" defaultRowHeight="14.4" x14ac:dyDescent="0.25"/>
  <cols>
    <col min="1" max="1" width="1" style="1" customWidth="1"/>
    <col min="2" max="2" width="4.8984375" style="1" customWidth="1"/>
    <col min="3" max="3" width="8.5" style="1" customWidth="1"/>
    <col min="4" max="4" width="16.8984375" style="1" customWidth="1"/>
    <col min="5" max="6" width="11.09765625" style="1" customWidth="1"/>
    <col min="7" max="8" width="14" style="1" customWidth="1"/>
    <col min="9" max="9" width="8.5" style="1" customWidth="1"/>
    <col min="10" max="10" width="1.3984375" style="1" customWidth="1"/>
    <col min="11" max="11" width="9" style="1"/>
    <col min="12" max="12" width="33.19921875" style="1" customWidth="1"/>
    <col min="13" max="16384" width="9" style="1"/>
  </cols>
  <sheetData>
    <row r="1" spans="2:10" x14ac:dyDescent="0.25">
      <c r="B1" s="1" t="s">
        <v>0</v>
      </c>
    </row>
    <row r="2" spans="2:10" ht="38.4" x14ac:dyDescent="0.25">
      <c r="B2" s="2" t="s">
        <v>1</v>
      </c>
      <c r="C2" s="2"/>
      <c r="D2" s="2"/>
      <c r="E2" s="2"/>
      <c r="F2" s="2"/>
      <c r="G2" s="2"/>
      <c r="H2" s="2"/>
      <c r="I2" s="2"/>
    </row>
    <row r="4" spans="2:10" s="4" customFormat="1" ht="24" customHeight="1" x14ac:dyDescent="0.25">
      <c r="B4" s="3" t="s">
        <v>2</v>
      </c>
      <c r="C4" s="3"/>
      <c r="D4" s="3"/>
      <c r="G4" s="5" t="s">
        <v>3</v>
      </c>
      <c r="H4" s="5"/>
      <c r="I4" s="6"/>
    </row>
    <row r="5" spans="2:10" s="4" customFormat="1" ht="21.75" customHeight="1" x14ac:dyDescent="0.25">
      <c r="B5" s="7" t="s">
        <v>4</v>
      </c>
      <c r="C5" s="8"/>
      <c r="D5" s="9">
        <v>43787</v>
      </c>
      <c r="E5" s="10"/>
      <c r="G5" s="11" t="s">
        <v>5</v>
      </c>
      <c r="H5" s="12"/>
      <c r="I5" s="12"/>
    </row>
    <row r="6" spans="2:10" s="4" customFormat="1" ht="21.75" customHeight="1" x14ac:dyDescent="0.25">
      <c r="B6" s="7" t="s">
        <v>6</v>
      </c>
      <c r="C6" s="8"/>
      <c r="D6" s="13" t="s">
        <v>7</v>
      </c>
      <c r="E6" s="10"/>
      <c r="G6" s="11" t="s">
        <v>8</v>
      </c>
      <c r="H6" s="14"/>
      <c r="I6" s="14"/>
      <c r="J6" s="1"/>
    </row>
    <row r="7" spans="2:10" s="4" customFormat="1" ht="21.75" customHeight="1" x14ac:dyDescent="0.25">
      <c r="B7" s="15" t="s">
        <v>9</v>
      </c>
      <c r="C7" s="16" t="s">
        <v>10</v>
      </c>
      <c r="D7" s="13"/>
      <c r="E7" s="10"/>
      <c r="G7" s="17" t="s">
        <v>11</v>
      </c>
      <c r="H7" s="14"/>
      <c r="I7" s="14"/>
      <c r="J7" s="1"/>
    </row>
    <row r="8" spans="2:10" s="4" customFormat="1" ht="21.75" customHeight="1" x14ac:dyDescent="0.25">
      <c r="B8" s="15"/>
      <c r="C8" s="16" t="s">
        <v>12</v>
      </c>
      <c r="D8" s="18"/>
      <c r="E8" s="10"/>
      <c r="G8" s="17" t="s">
        <v>13</v>
      </c>
      <c r="H8" s="14"/>
      <c r="I8" s="14"/>
      <c r="J8" s="1"/>
    </row>
    <row r="9" spans="2:10" s="4" customFormat="1" ht="21.75" customHeight="1" x14ac:dyDescent="0.25">
      <c r="B9" s="7" t="s">
        <v>14</v>
      </c>
      <c r="C9" s="8"/>
      <c r="D9" s="19" t="s">
        <v>15</v>
      </c>
      <c r="E9" s="10"/>
      <c r="G9" s="11" t="s">
        <v>16</v>
      </c>
      <c r="H9" s="14"/>
      <c r="I9" s="14"/>
      <c r="J9" s="1"/>
    </row>
    <row r="10" spans="2:10" s="4" customFormat="1" ht="21.75" customHeight="1" x14ac:dyDescent="0.25">
      <c r="B10" s="7" t="s">
        <v>17</v>
      </c>
      <c r="C10" s="8"/>
      <c r="D10" s="13" t="s">
        <v>18</v>
      </c>
      <c r="E10" s="10"/>
      <c r="G10" s="20" t="s">
        <v>19</v>
      </c>
      <c r="H10" s="21" t="s">
        <v>20</v>
      </c>
      <c r="I10" s="22"/>
    </row>
    <row r="11" spans="2:10" s="4" customFormat="1" ht="21.75" customHeight="1" x14ac:dyDescent="0.25">
      <c r="B11" s="7" t="s">
        <v>21</v>
      </c>
      <c r="C11" s="8"/>
      <c r="D11" s="13" t="s">
        <v>22</v>
      </c>
      <c r="E11" s="10"/>
      <c r="G11" s="22" t="s">
        <v>23</v>
      </c>
      <c r="H11" s="21" t="s">
        <v>24</v>
      </c>
      <c r="I11" s="22"/>
    </row>
    <row r="12" spans="2:10" s="24" customFormat="1" ht="10.5" customHeight="1" x14ac:dyDescent="0.25">
      <c r="B12" s="23"/>
      <c r="I12" s="25"/>
    </row>
    <row r="13" spans="2:10" s="24" customFormat="1" ht="24.9" customHeight="1" x14ac:dyDescent="0.25">
      <c r="B13" s="26" t="s">
        <v>25</v>
      </c>
      <c r="C13" s="26"/>
      <c r="D13" s="26"/>
      <c r="E13" s="26"/>
      <c r="F13" s="27"/>
      <c r="G13" s="27"/>
      <c r="H13" s="27"/>
    </row>
    <row r="14" spans="2:10" s="4" customFormat="1" ht="8.25" customHeight="1" x14ac:dyDescent="0.25"/>
    <row r="15" spans="2:10" s="33" customFormat="1" ht="24.9" customHeight="1" x14ac:dyDescent="0.25">
      <c r="B15" s="28" t="s">
        <v>26</v>
      </c>
      <c r="C15" s="29" t="s">
        <v>27</v>
      </c>
      <c r="D15" s="30"/>
      <c r="E15" s="31" t="s">
        <v>28</v>
      </c>
      <c r="F15" s="32"/>
      <c r="G15" s="32"/>
      <c r="H15" s="32"/>
      <c r="I15" s="28" t="s">
        <v>29</v>
      </c>
    </row>
    <row r="16" spans="2:10" s="33" customFormat="1" ht="29.25" customHeight="1" thickBot="1" x14ac:dyDescent="0.3">
      <c r="B16" s="34"/>
      <c r="C16" s="35"/>
      <c r="D16" s="36"/>
      <c r="E16" s="37" t="s">
        <v>30</v>
      </c>
      <c r="F16" s="38" t="s">
        <v>31</v>
      </c>
      <c r="G16" s="39" t="s">
        <v>32</v>
      </c>
      <c r="H16" s="40" t="s">
        <v>33</v>
      </c>
      <c r="I16" s="34"/>
    </row>
    <row r="17" spans="2:9" ht="24.9" customHeight="1" x14ac:dyDescent="0.25">
      <c r="B17" s="41">
        <v>1</v>
      </c>
      <c r="C17" s="42" t="str">
        <f>IF('단위공사별(집계)'!N7&gt;0,'단위공사별(집계)'!B7,"")</f>
        <v>I/R선별,적재,공급</v>
      </c>
      <c r="D17" s="43"/>
      <c r="E17" s="44">
        <f>IF('단위공사별(집계)'!N7&gt;1,('단위공사별(집계)'!D7+'단위공사별(집계)'!E7+'단위공사별(집계)'!F7+'단위공사별(집계)'!G7+'단위공사별(집계)'!H7+'단위공사별(집계)'!I7)/1000," ")</f>
        <v>157793.7084586008</v>
      </c>
      <c r="F17" s="45">
        <f>IF('단위공사별(집계)'!N7&gt;0,'단위공사별(집계)'!K37/1000,"")</f>
        <v>254100</v>
      </c>
      <c r="G17" s="46">
        <f>IF('단위공사별(집계)'!N7&gt;0,('단위공사별(집계)'!L7+'단위공사별(집계)'!M7)/1000,"")</f>
        <v>276.52589583164053</v>
      </c>
      <c r="H17" s="47">
        <f>IF('단위공사별(집계)'!N7&gt;0,'단위공사별(집계)'!N7/1000,"")</f>
        <v>190570.34079791987</v>
      </c>
      <c r="I17" s="48"/>
    </row>
    <row r="18" spans="2:9" ht="24.9" customHeight="1" x14ac:dyDescent="0.25">
      <c r="B18" s="49">
        <v>2</v>
      </c>
      <c r="C18" s="50" t="str">
        <f>IF('단위공사별(집계)'!N8&gt;0,'단위공사별(집계)'!B8,"")</f>
        <v>I/B선별기</v>
      </c>
      <c r="D18" s="51"/>
      <c r="E18" s="44">
        <f>IF('단위공사별(집계)'!N8&gt;1,('단위공사별(집계)'!D8+'단위공사별(집계)'!E8+'단위공사별(집계)'!F8+'단위공사별(집계)'!G8+'단위공사별(집계)'!H8+'단위공사별(집계)'!I8)/1000," ")</f>
        <v>74821.945234419429</v>
      </c>
      <c r="F18" s="52"/>
      <c r="G18" s="46">
        <f>IF('단위공사별(집계)'!N8&gt;0,('단위공사별(집계)'!L8+'단위공사별(집계)'!M8)/1000,"")</f>
        <v>131.12186560494027</v>
      </c>
      <c r="H18" s="47">
        <f>IF('단위공사별(집계)'!N8&gt;0,'단위공사별(집계)'!N8/1000,"")</f>
        <v>90363.828455350609</v>
      </c>
      <c r="I18" s="53"/>
    </row>
    <row r="19" spans="2:9" ht="24.9" customHeight="1" x14ac:dyDescent="0.25">
      <c r="B19" s="49">
        <v>3</v>
      </c>
      <c r="C19" s="50" t="str">
        <f>IF('단위공사별(집계)'!N9&gt;0,'단위공사별(집계)'!B9,"")</f>
        <v>I/B CLIP조립</v>
      </c>
      <c r="D19" s="51"/>
      <c r="E19" s="44">
        <f>IF('단위공사별(집계)'!N9&gt;1,('단위공사별(집계)'!D9+'단위공사별(집계)'!E9+'단위공사별(집계)'!F9+'단위공사별(집계)'!G9+'단위공사별(집계)'!H9+'단위공사별(집계)'!I9)/1000," ")</f>
        <v>32769.686357357605</v>
      </c>
      <c r="F19" s="52"/>
      <c r="G19" s="46">
        <f>IF('단위공사별(집계)'!N9&gt;0,('단위공사별(집계)'!L9+'단위공사별(집계)'!M9)/1000,"")</f>
        <v>57.427301535711386</v>
      </c>
      <c r="H19" s="47">
        <f>IF('단위공사별(집계)'!N9&gt;0,'단위공사별(집계)'!N9/1000,"")</f>
        <v>39576.548127082147</v>
      </c>
      <c r="I19" s="53"/>
    </row>
    <row r="20" spans="2:9" ht="24.9" customHeight="1" x14ac:dyDescent="0.25">
      <c r="B20" s="49">
        <v>4</v>
      </c>
      <c r="C20" s="50" t="str">
        <f>IF('단위공사별(집계)'!N10&gt;0,'단위공사별(집계)'!B10,"")</f>
        <v xml:space="preserve">GRV정렬
</v>
      </c>
      <c r="D20" s="51"/>
      <c r="E20" s="44">
        <f>IF('단위공사별(집계)'!N10&gt;1,('단위공사별(집계)'!D10+'단위공사별(집계)'!E10+'단위공사별(집계)'!F10+'단위공사별(집계)'!G10+'단위공사별(집계)'!H10+'단위공사별(집계)'!I10)/1000," ")</f>
        <v>24198.844560006499</v>
      </c>
      <c r="F20" s="54"/>
      <c r="G20" s="46">
        <f>IF('단위공사별(집계)'!N10&gt;0,('단위공사별(집계)'!L10+'단위공사별(집계)'!M10)/1000,"")</f>
        <v>42.407312911351262</v>
      </c>
      <c r="H20" s="47">
        <f>IF('단위공사별(집계)'!N10&gt;0,'단위공사별(집계)'!N10/1000,"")</f>
        <v>29225.386105468431</v>
      </c>
      <c r="I20" s="53"/>
    </row>
    <row r="21" spans="2:9" ht="24.9" customHeight="1" x14ac:dyDescent="0.25">
      <c r="B21" s="49">
        <v>5</v>
      </c>
      <c r="C21" s="50" t="str">
        <f>IF('단위공사별(집계)'!N11&gt;0,'단위공사별(집계)'!B11,"")</f>
        <v>I/B선별</v>
      </c>
      <c r="D21" s="51"/>
      <c r="E21" s="44">
        <f>IF('단위공사별(집계)'!N11&gt;1,('단위공사별(집계)'!D11+'단위공사별(집계)'!E11+'단위공사별(집계)'!F11+'단위공사별(집계)'!G11+'단위공사별(집계)'!H11+'단위공사별(집계)'!I11)/1000," ")</f>
        <v>44317.767936946453</v>
      </c>
      <c r="F21" s="54"/>
      <c r="G21" s="46">
        <f>IF('단위공사별(집계)'!N11&gt;0,('단위공사별(집계)'!L11+'단위공사별(집계)'!M11)/1000,"")</f>
        <v>77.664759892743973</v>
      </c>
      <c r="H21" s="47">
        <f>IF('단위공사별(집계)'!N11&gt;0,'단위공사별(집계)'!N11/1000,"")</f>
        <v>53523.376956203785</v>
      </c>
      <c r="I21" s="53"/>
    </row>
    <row r="22" spans="2:9" ht="24.9" customHeight="1" x14ac:dyDescent="0.25">
      <c r="B22" s="49">
        <v>6</v>
      </c>
      <c r="C22" s="50" t="str">
        <f>IF('단위공사별(집계)'!N12&gt;0,'단위공사별(집계)'!B12,"")</f>
        <v>마킹</v>
      </c>
      <c r="D22" s="51"/>
      <c r="E22" s="44">
        <f>IF('단위공사별(집계)'!N12&gt;1,('단위공사별(집계)'!D12+'단위공사별(집계)'!E12+'단위공사별(집계)'!F12+'단위공사별(집계)'!G12+'단위공사별(집계)'!H12+'단위공사별(집계)'!I12)/1000," ")</f>
        <v>84445.346550743474</v>
      </c>
      <c r="F22" s="54"/>
      <c r="G22" s="46">
        <f>IF('단위공사별(집계)'!N12&gt;0,('단위공사별(집계)'!L12+'단위공사별(집계)'!M12)/1000,"")</f>
        <v>147.98641423580077</v>
      </c>
      <c r="H22" s="47">
        <f>IF('단위공사별(집계)'!N12&gt;0,'단위공사별(집계)'!N12/1000,"")</f>
        <v>101986.18581295198</v>
      </c>
      <c r="I22" s="53"/>
    </row>
    <row r="23" spans="2:9" ht="24.9" customHeight="1" x14ac:dyDescent="0.25">
      <c r="B23" s="49">
        <v>7</v>
      </c>
      <c r="C23" s="50" t="str">
        <f>IF('단위공사별(집계)'!N13&gt;0,'단위공사별(집계)'!B13,"")</f>
        <v>I/B D/COVER압입</v>
      </c>
      <c r="D23" s="51"/>
      <c r="E23" s="44">
        <f>IF('단위공사별(집계)'!N13&gt;1,('단위공사별(집계)'!D13+'단위공사별(집계)'!E13+'단위공사별(집계)'!F13+'단위공사별(집계)'!G13+'단위공사별(집계)'!H13+'단위공사별(집계)'!I13)/1000," ")</f>
        <v>71333.462257251958</v>
      </c>
      <c r="F23" s="54"/>
      <c r="G23" s="46">
        <f>IF('단위공사별(집계)'!N13&gt;0,('단위공사별(집계)'!L13+'단위공사별(집계)'!M13)/1000,"")</f>
        <v>125.00846672625335</v>
      </c>
      <c r="H23" s="47">
        <f>IF('단위공사별(집계)'!N13&gt;0,'단위공사별(집계)'!N13/1000,"")</f>
        <v>86150.723913220121</v>
      </c>
      <c r="I23" s="53"/>
    </row>
    <row r="24" spans="2:9" ht="24.9" customHeight="1" x14ac:dyDescent="0.25">
      <c r="B24" s="55">
        <v>8</v>
      </c>
      <c r="C24" s="50" t="str">
        <f>IF('단위공사별(집계)'!N14&gt;0,'단위공사별(집계)'!B14,"")</f>
        <v>반전및 B/P압입</v>
      </c>
      <c r="D24" s="51"/>
      <c r="E24" s="44">
        <f>IF('단위공사별(집계)'!N14&gt;1,('단위공사별(집계)'!D14+'단위공사별(집계)'!E14+'단위공사별(집계)'!F14+'단위공사별(집계)'!G14+'단위공사별(집계)'!H14+'단위공사별(집계)'!I14)/1000," ")</f>
        <v>84665.882830909235</v>
      </c>
      <c r="F24" s="54"/>
      <c r="G24" s="46">
        <f>IF('단위공사별(집계)'!N14&gt;0,('단위공사별(집계)'!L14+'단위공사별(집계)'!M14)/1000,"")</f>
        <v>148.372893475258</v>
      </c>
      <c r="H24" s="47">
        <f>IF('단위공사별(집계)'!N14&gt;0,'단위공사별(집계)'!N14/1000,"")</f>
        <v>102252.53150239702</v>
      </c>
      <c r="I24" s="53"/>
    </row>
    <row r="25" spans="2:9" ht="24.9" customHeight="1" x14ac:dyDescent="0.25">
      <c r="B25" s="55">
        <v>9</v>
      </c>
      <c r="C25" s="50" t="str">
        <f>IF('단위공사별(집계)'!N15&gt;0,'단위공사별(집계)'!B15,"")</f>
        <v>I/R공급 및 방향정렬</v>
      </c>
      <c r="D25" s="51"/>
      <c r="E25" s="44">
        <f>IF('단위공사별(집계)'!N15&gt;1,('단위공사별(집계)'!D15+'단위공사별(집계)'!E15+'단위공사별(집계)'!F15+'단위공사별(집계)'!G15+'단위공사별(집계)'!H15+'단위공사별(집계)'!I15)/1000," ")</f>
        <v>58412.04111481271</v>
      </c>
      <c r="F25" s="54"/>
      <c r="G25" s="46">
        <f>IF('단위공사별(집계)'!N15&gt;0,('단위공사별(집계)'!L15+'단위공사별(집계)'!M15)/1000,"")</f>
        <v>102.36429674169172</v>
      </c>
      <c r="H25" s="47">
        <f>IF('단위공사별(집계)'!N15&gt;0,'단위공사별(집계)'!N15/1000,"")</f>
        <v>70545.287836190793</v>
      </c>
      <c r="I25" s="53"/>
    </row>
    <row r="26" spans="2:9" ht="24.9" customHeight="1" x14ac:dyDescent="0.25">
      <c r="B26" s="56">
        <v>10</v>
      </c>
      <c r="C26" s="57" t="str">
        <f>IF('단위공사별(집계)'!N16&gt;0,'단위공사별(집계)'!B16,"")</f>
        <v>I/B볼 자동 공급</v>
      </c>
      <c r="D26" s="58"/>
      <c r="E26" s="59">
        <f>IF('단위공사별(집계)'!N16&gt;1,('단위공사별(집계)'!D16+'단위공사별(집계)'!E16+'단위공사별(집계)'!F16+'단위공사별(집계)'!G16+'단위공사별(집계)'!H16+'단위공사별(집계)'!I16)/1000," ")</f>
        <v>48638.274152921105</v>
      </c>
      <c r="F26" s="54"/>
      <c r="G26" s="45">
        <f>IF('단위공사별(집계)'!N16&gt;0,('단위공사별(집계)'!L16+'단위공사별(집계)'!M16)/1000,"")</f>
        <v>85.236239538474038</v>
      </c>
      <c r="H26" s="60">
        <f>IF('단위공사별(집계)'!N16&gt;0,'단위공사별(집계)'!N16/1000,"")</f>
        <v>58741.331144876902</v>
      </c>
      <c r="I26" s="61"/>
    </row>
    <row r="27" spans="2:9" ht="24.9" customHeight="1" x14ac:dyDescent="0.25">
      <c r="B27" s="55">
        <v>11</v>
      </c>
      <c r="C27" s="50" t="str">
        <f>IF('단위공사별(집계)'!N17&gt;0,'단위공사별(집계)'!B17,"")</f>
        <v>I/B SUB 자동 조립</v>
      </c>
      <c r="D27" s="51"/>
      <c r="E27" s="44">
        <f>IF('단위공사별(집계)'!N17&gt;1,('단위공사별(집계)'!D17+'단위공사별(집계)'!E17+'단위공사별(집계)'!F17+'단위공사별(집계)'!G17+'단위공사별(집계)'!H17+'단위공사별(집계)'!I17)/1000," ")</f>
        <v>51836.050215324613</v>
      </c>
      <c r="F27" s="54"/>
      <c r="G27" s="46">
        <f>IF('단위공사별(집계)'!N17&gt;0,('단위공사별(집계)'!L17+'단위공사별(집계)'!M17)/1000,"")</f>
        <v>90.840188510603724</v>
      </c>
      <c r="H27" s="47">
        <f>IF('단위공사별(집계)'!N17&gt;0,'단위공사별(집계)'!N17/1000,"")</f>
        <v>62603.343641829859</v>
      </c>
      <c r="I27" s="53"/>
    </row>
    <row r="28" spans="2:9" ht="24.9" customHeight="1" x14ac:dyDescent="0.25">
      <c r="B28" s="56">
        <v>12</v>
      </c>
      <c r="C28" s="57" t="str">
        <f>IF('단위공사별(집계)'!N18&gt;0,'단위공사별(집계)'!B18,"")</f>
        <v>I/B 스토퍼링 조립</v>
      </c>
      <c r="D28" s="58"/>
      <c r="E28" s="59">
        <f>IF('단위공사별(집계)'!N18&gt;1,('단위공사별(집계)'!D18+'단위공사별(집계)'!E18+'단위공사별(집계)'!F18+'단위공사별(집계)'!G18+'단위공사별(집계)'!H18+'단위공사별(집계)'!I18)/1000," ")</f>
        <v>60316.672625335174</v>
      </c>
      <c r="F28" s="54"/>
      <c r="G28" s="45">
        <f>IF('단위공사별(집계)'!N18&gt;0,('단위공사별(집계)'!L18+'단위공사별(집계)'!M18)/1000,"")</f>
        <v>105.70207199154953</v>
      </c>
      <c r="H28" s="60">
        <f>IF('단위공사별(집계)'!N18&gt;0,'단위공사별(집계)'!N18/1000,"")</f>
        <v>72845.546063216039</v>
      </c>
      <c r="I28" s="61"/>
    </row>
    <row r="29" spans="2:9" ht="24.9" customHeight="1" x14ac:dyDescent="0.25">
      <c r="B29" s="55">
        <v>13</v>
      </c>
      <c r="C29" s="50" t="str">
        <f>IF('단위공사별(집계)'!N19&gt;0,'단위공사별(집계)'!B19,"")</f>
        <v>I/B 로더테스트</v>
      </c>
      <c r="D29" s="51"/>
      <c r="E29" s="44">
        <f>IF('단위공사별(집계)'!N19&gt;1,('단위공사별(집계)'!D19+'단위공사별(집계)'!E19+'단위공사별(집계)'!F19+'단위공사별(집계)'!G19+'단위공사별(집계)'!H19+'단위공사별(집계)'!I19)/1000," ")</f>
        <v>47856.372795969779</v>
      </c>
      <c r="F29" s="54"/>
      <c r="G29" s="46">
        <f>IF('단위공사별(집계)'!N19&gt;0,('단위공사별(집계)'!L19+'단위공사별(집계)'!M19)/1000,"")</f>
        <v>83.865994962216632</v>
      </c>
      <c r="H29" s="47">
        <f>IF('단위공사별(집계)'!N19&gt;0,'단위공사별(집계)'!N19/1000,"")</f>
        <v>57797.014609571794</v>
      </c>
      <c r="I29" s="53"/>
    </row>
    <row r="30" spans="2:9" ht="24.9" customHeight="1" x14ac:dyDescent="0.25">
      <c r="B30" s="56">
        <v>14</v>
      </c>
      <c r="C30" s="50" t="str">
        <f>IF('단위공사별(집계)'!N20&gt;0,'단위공사별(집계)'!B20,"")</f>
        <v>I/B 그리스 주입</v>
      </c>
      <c r="D30" s="51"/>
      <c r="E30" s="44">
        <f>IF('단위공사별(집계)'!N20&gt;1,('단위공사별(집계)'!D20+'단위공사별(집계)'!E20+'단위공사별(집계)'!F20+'단위공사별(집계)'!G20+'단위공사별(집계)'!H20+'단위공사별(집계)'!I20)/1000," ")</f>
        <v>63795.131226131467</v>
      </c>
      <c r="F30" s="54"/>
      <c r="G30" s="46">
        <f>IF('단위공사별(집계)'!N20&gt;0,('단위공사별(집계)'!L20+'단위공사별(집계)'!M20)/1000,"")</f>
        <v>111.79790363207931</v>
      </c>
      <c r="H30" s="47">
        <f>IF('단위공사별(집계)'!N20&gt;0,'단위공사별(집계)'!N20/1000,"")</f>
        <v>77046.543983099036</v>
      </c>
      <c r="I30" s="53"/>
    </row>
    <row r="31" spans="2:9" ht="24.9" customHeight="1" x14ac:dyDescent="0.25">
      <c r="B31" s="55">
        <v>15</v>
      </c>
      <c r="C31" s="57" t="str">
        <f>IF('단위공사별(집계)'!N21&gt;0,'단위공사별(집계)'!B21,"")</f>
        <v>I/B 그리스주입(스플라인)</v>
      </c>
      <c r="D31" s="58"/>
      <c r="E31" s="59">
        <f>IF('단위공사별(집계)'!N21&gt;1,('단위공사별(집계)'!D21+'단위공사별(집계)'!E21+'단위공사별(집계)'!F21+'단위공사별(집계)'!G21+'단위공사별(집계)'!H21+'단위공사별(집계)'!I21)/1000," ")</f>
        <v>38814.385309173646</v>
      </c>
      <c r="F31" s="54"/>
      <c r="G31" s="45">
        <f>IF('단위공사별(집계)'!N21&gt;0,('단위공사별(집계)'!L21+'단위공사별(집계)'!M21)/1000,"")</f>
        <v>68.020346144470636</v>
      </c>
      <c r="H31" s="60">
        <f>IF('단위공사별(집계)'!N21&gt;0,'단위공사별(집계)'!N21/1000,"")</f>
        <v>46876.841342325512</v>
      </c>
      <c r="I31" s="61"/>
    </row>
    <row r="32" spans="2:9" ht="24.9" customHeight="1" x14ac:dyDescent="0.25">
      <c r="B32" s="56">
        <v>16</v>
      </c>
      <c r="C32" s="50" t="str">
        <f>IF('단위공사별(집계)'!N22&gt;0,'단위공사별(집계)'!B22,"")</f>
        <v>비젼검사</v>
      </c>
      <c r="D32" s="51"/>
      <c r="E32" s="44">
        <f>IF('단위공사별(집계)'!N22&gt;1,('단위공사별(집계)'!D22+'단위공사별(집계)'!E22+'단위공사별(집계)'!F22+'단위공사별(집계)'!G22+'단위공사별(집계)'!H22+'단위공사별(집계)'!I22)/1000," ")</f>
        <v>59825.478183147803</v>
      </c>
      <c r="F32" s="54"/>
      <c r="G32" s="46">
        <f>IF('단위공사별(집계)'!N22&gt;0,('단위공사별(집계)'!L22+'단위공사별(집계)'!M22)/1000,"")</f>
        <v>104.84127732184935</v>
      </c>
      <c r="H32" s="47">
        <f>IF('단위공사별(집계)'!N22&gt;0,'단위공사별(집계)'!N22/1000,"")</f>
        <v>72252.321573088484</v>
      </c>
      <c r="I32" s="53"/>
    </row>
    <row r="33" spans="2:10" ht="24.9" customHeight="1" x14ac:dyDescent="0.25">
      <c r="B33" s="55">
        <v>17</v>
      </c>
      <c r="C33" s="50" t="str">
        <f>IF('단위공사별(집계)'!N23&gt;0,'단위공사별(집계)'!B23,"")</f>
        <v>배출/반전</v>
      </c>
      <c r="D33" s="51"/>
      <c r="E33" s="44">
        <f>IF('단위공사별(집계)'!N23&gt;1,('단위공사별(집계)'!D23+'단위공사별(집계)'!E23+'단위공사별(집계)'!F23+'단위공사별(집계)'!G23+'단위공사별(집계)'!H23+'단위공사별(집계)'!I23)/1000," ")</f>
        <v>80515.791013244496</v>
      </c>
      <c r="F33" s="54"/>
      <c r="G33" s="46">
        <f>IF('단위공사별(집계)'!N23&gt;0,('단위공사별(집계)'!L23+'단위공사별(집계)'!M23)/1000,"")</f>
        <v>141.10005687819938</v>
      </c>
      <c r="H33" s="47">
        <f>IF('단위공사별(집계)'!N23&gt;0,'단위공사별(집계)'!N23/1000,"")</f>
        <v>97240.389891931409</v>
      </c>
      <c r="I33" s="53"/>
    </row>
    <row r="34" spans="2:10" ht="24.9" customHeight="1" x14ac:dyDescent="0.25">
      <c r="B34" s="56">
        <v>18</v>
      </c>
      <c r="C34" s="57" t="str">
        <f>IF('단위공사별(집계)'!N24&gt;0,'단위공사별(집계)'!B24,"")</f>
        <v>MAIN CONVEYOR</v>
      </c>
      <c r="D34" s="58"/>
      <c r="E34" s="59">
        <f>IF('단위공사별(집계)'!N24&gt;1,('단위공사별(집계)'!D24+'단위공사별(집계)'!E24+'단위공사별(집계)'!F24+'단위공사별(집계)'!G24+'단위공사별(집계)'!H24+'단위공사별(집계)'!I24)/1000," ")</f>
        <v>72205.583001543841</v>
      </c>
      <c r="F34" s="54"/>
      <c r="G34" s="45">
        <f>IF('단위공사별(집계)'!N24&gt;0,('단위공사별(집계)'!L24+'단위공사별(집계)'!M24)/1000,"")</f>
        <v>126.53681644592508</v>
      </c>
      <c r="H34" s="60">
        <f>IF('단위공사별(집계)'!N24&gt;0,'단위공사별(집계)'!N24/1000,"")</f>
        <v>87204.000048752743</v>
      </c>
      <c r="I34" s="61"/>
    </row>
    <row r="35" spans="2:10" ht="24.9" customHeight="1" x14ac:dyDescent="0.25">
      <c r="B35" s="55">
        <v>19</v>
      </c>
      <c r="C35" s="50" t="str">
        <f>IF('단위공사별(집계)'!N25&gt;0,'단위공사별(집계)'!B25,"")</f>
        <v>PALLETS</v>
      </c>
      <c r="D35" s="51"/>
      <c r="E35" s="44">
        <f>IF('단위공사별(집계)'!N25&gt;1,('단위공사별(집계)'!D25+'단위공사별(집계)'!E25+'단위공사별(집계)'!F25+'단위공사별(집계)'!G25+'단위공사별(집계)'!H25+'단위공사별(집계)'!I25)/1000," ")</f>
        <v>35035.195417242219</v>
      </c>
      <c r="F35" s="54"/>
      <c r="G35" s="46">
        <f>IF('단위공사별(집계)'!N25&gt;0,('단위공사별(집계)'!L25+'단위공사별(집계)'!M25)/1000,"")</f>
        <v>61.397497359226456</v>
      </c>
      <c r="H35" s="47">
        <f>IF('단위공사별(집계)'!N25&gt;0,'단위공사별(집계)'!N25/1000,"")</f>
        <v>42312.644755017463</v>
      </c>
      <c r="I35" s="53"/>
    </row>
    <row r="36" spans="2:10" ht="24.9" customHeight="1" x14ac:dyDescent="0.25">
      <c r="B36" s="55">
        <v>20</v>
      </c>
      <c r="C36" s="50" t="str">
        <f>IF('단위공사별(집계)'!N26&gt;0,'단위공사별(집계)'!B26,"")</f>
        <v>LMS SYSTEM</v>
      </c>
      <c r="D36" s="51"/>
      <c r="E36" s="44">
        <f>IF('단위공사별(집계)'!N26&gt;1,('단위공사별(집계)'!D26+'단위공사별(집계)'!E26+'단위공사별(집계)'!F26+'단위공사별(집계)'!G26+'단위공사별(집계)'!H26+'단위공사별(집계)'!I26)/1000," ")</f>
        <v>30073.129113512634</v>
      </c>
      <c r="F36" s="54"/>
      <c r="G36" s="46">
        <f>IF('단위공사별(집계)'!N26&gt;0,('단위공사별(집계)'!L26+'단위공사별(집계)'!M26)/1000,"")</f>
        <v>52.701714471439018</v>
      </c>
      <c r="H36" s="47">
        <f>IF('단위공사별(집계)'!N26&gt;0,'단위공사별(집계)'!N26/1000,"")</f>
        <v>36319.866742504259</v>
      </c>
      <c r="I36" s="53"/>
    </row>
    <row r="37" spans="2:10" ht="24.9" customHeight="1" x14ac:dyDescent="0.25">
      <c r="B37" s="55">
        <v>21</v>
      </c>
      <c r="C37" s="50" t="str">
        <f>IF('단위공사별(집계)'!N27&gt;0,'단위공사별(집계)'!B27,"")</f>
        <v>RFID</v>
      </c>
      <c r="D37" s="51"/>
      <c r="E37" s="44">
        <f>IF('단위공사별(집계)'!N27&gt;1,('단위공사별(집계)'!D27+'단위공사별(집계)'!E27+'단위공사별(집계)'!F27+'단위공사별(집계)'!G27+'단위공사별(집계)'!H27+'단위공사별(집계)'!I27)/1000," ")</f>
        <v>12029.251645405055</v>
      </c>
      <c r="F37" s="54"/>
      <c r="G37" s="46">
        <f>IF('단위공사별(집계)'!N27&gt;0,('단위공사별(집계)'!L27+'단위공사별(집계)'!M27)/1000,"")</f>
        <v>21.080685788575607</v>
      </c>
      <c r="H37" s="47">
        <f>IF('단위공사별(집계)'!N27&gt;0,'단위공사별(집계)'!N27/1000,"")</f>
        <v>14527.946697001707</v>
      </c>
      <c r="I37" s="53"/>
    </row>
    <row r="38" spans="2:10" ht="24.9" customHeight="1" x14ac:dyDescent="0.25">
      <c r="B38" s="55">
        <v>22</v>
      </c>
      <c r="C38" s="50" t="str">
        <f>IF('단위공사별(집계)'!N28&gt;0,'단위공사별(집계)'!B28,"")</f>
        <v/>
      </c>
      <c r="D38" s="51"/>
      <c r="E38" s="44" t="str">
        <f>IF('단위공사별(집계)'!N28&gt;1,('단위공사별(집계)'!D28+'단위공사별(집계)'!E28+'단위공사별(집계)'!F28+'단위공사별(집계)'!G28+'단위공사별(집계)'!H28+'단위공사별(집계)'!I28)/1000," ")</f>
        <v xml:space="preserve"> </v>
      </c>
      <c r="F38" s="54"/>
      <c r="G38" s="46" t="str">
        <f>IF('단위공사별(집계)'!N28&gt;0,('단위공사별(집계)'!L28+'단위공사별(집계)'!M28)/1000,"")</f>
        <v/>
      </c>
      <c r="H38" s="47" t="str">
        <f>IF('단위공사별(집계)'!N28&gt;0,'단위공사별(집계)'!N28/1000,"")</f>
        <v/>
      </c>
      <c r="I38" s="53"/>
    </row>
    <row r="39" spans="2:10" ht="24.9" customHeight="1" x14ac:dyDescent="0.25">
      <c r="B39" s="55">
        <v>23</v>
      </c>
      <c r="C39" s="50" t="str">
        <f>IF('단위공사별(집계)'!N29&gt;0,'단위공사별(집계)'!B29,"")</f>
        <v/>
      </c>
      <c r="D39" s="51"/>
      <c r="E39" s="44" t="str">
        <f>IF('단위공사별(집계)'!N29&gt;1,('단위공사별(집계)'!D29+'단위공사별(집계)'!E29+'단위공사별(집계)'!F29+'단위공사별(집계)'!G29+'단위공사별(집계)'!H29+'단위공사별(집계)'!I29)/1000," ")</f>
        <v xml:space="preserve"> </v>
      </c>
      <c r="F39" s="54"/>
      <c r="G39" s="46" t="str">
        <f>IF('단위공사별(집계)'!N29&gt;0,('단위공사별(집계)'!L29+'단위공사별(집계)'!M29)/1000,"")</f>
        <v/>
      </c>
      <c r="H39" s="47" t="str">
        <f>IF('단위공사별(집계)'!N29&gt;0,'단위공사별(집계)'!N29/1000,"")</f>
        <v/>
      </c>
      <c r="I39" s="53"/>
    </row>
    <row r="40" spans="2:10" ht="24.9" customHeight="1" x14ac:dyDescent="0.25">
      <c r="B40" s="55">
        <v>24</v>
      </c>
      <c r="C40" s="50" t="str">
        <f>IF('단위공사별(집계)'!N30&gt;0,'단위공사별(집계)'!B30,"")</f>
        <v/>
      </c>
      <c r="D40" s="51"/>
      <c r="E40" s="44" t="str">
        <f>IF('단위공사별(집계)'!N30&gt;1,('단위공사별(집계)'!D30+'단위공사별(집계)'!E30+'단위공사별(집계)'!F30+'단위공사별(집계)'!G30+'단위공사별(집계)'!H30+'단위공사별(집계)'!I30)/1000," ")</f>
        <v xml:space="preserve"> </v>
      </c>
      <c r="F40" s="54"/>
      <c r="G40" s="46" t="str">
        <f>IF('단위공사별(집계)'!N30&gt;0,('단위공사별(집계)'!L30+'단위공사별(집계)'!M30)/1000,"")</f>
        <v/>
      </c>
      <c r="H40" s="47" t="str">
        <f>IF('단위공사별(집계)'!N30&gt;0,'단위공사별(집계)'!N30/1000,"")</f>
        <v/>
      </c>
      <c r="I40" s="53"/>
    </row>
    <row r="41" spans="2:10" ht="24.9" customHeight="1" x14ac:dyDescent="0.25">
      <c r="B41" s="55">
        <v>25</v>
      </c>
      <c r="C41" s="50" t="str">
        <f>IF('단위공사별(집계)'!N31&gt;0,'단위공사별(집계)'!B31,"")</f>
        <v/>
      </c>
      <c r="D41" s="51"/>
      <c r="E41" s="44" t="str">
        <f>IF('단위공사별(집계)'!N31&gt;1,('단위공사별(집계)'!D31+'단위공사별(집계)'!E31+'단위공사별(집계)'!F31+'단위공사별(집계)'!G31+'단위공사별(집계)'!H31+'단위공사별(집계)'!I31)/1000," ")</f>
        <v xml:space="preserve"> </v>
      </c>
      <c r="F41" s="54"/>
      <c r="G41" s="46" t="str">
        <f>IF('단위공사별(집계)'!N31&gt;0,('단위공사별(집계)'!L31+'단위공사별(집계)'!M31)/1000,"")</f>
        <v/>
      </c>
      <c r="H41" s="47" t="str">
        <f>IF('단위공사별(집계)'!N31&gt;0,'단위공사별(집계)'!N31/1000,"")</f>
        <v/>
      </c>
      <c r="I41" s="53"/>
    </row>
    <row r="42" spans="2:10" ht="24.9" customHeight="1" x14ac:dyDescent="0.25">
      <c r="B42" s="55">
        <v>26</v>
      </c>
      <c r="C42" s="50" t="str">
        <f>IF('단위공사별(집계)'!N32&gt;0,'단위공사별(집계)'!B32,"")</f>
        <v/>
      </c>
      <c r="D42" s="51"/>
      <c r="E42" s="44" t="str">
        <f>IF('단위공사별(집계)'!N32&gt;1,('단위공사별(집계)'!D32+'단위공사별(집계)'!E32+'단위공사별(집계)'!F32+'단위공사별(집계)'!G32+'단위공사별(집계)'!H32+'단위공사별(집계)'!I32)/1000," ")</f>
        <v xml:space="preserve"> </v>
      </c>
      <c r="F42" s="54"/>
      <c r="G42" s="46" t="str">
        <f>IF('단위공사별(집계)'!N32&gt;0,('단위공사별(집계)'!L32+'단위공사별(집계)'!M32)/1000,"")</f>
        <v/>
      </c>
      <c r="H42" s="47" t="str">
        <f>IF('단위공사별(집계)'!N32&gt;0,'단위공사별(집계)'!N32/1000,"")</f>
        <v/>
      </c>
      <c r="I42" s="53"/>
    </row>
    <row r="43" spans="2:10" ht="24.9" customHeight="1" x14ac:dyDescent="0.25">
      <c r="B43" s="55">
        <v>27</v>
      </c>
      <c r="C43" s="50" t="str">
        <f>IF('단위공사별(집계)'!N33&gt;0,'단위공사별(집계)'!B33,"")</f>
        <v/>
      </c>
      <c r="D43" s="51"/>
      <c r="E43" s="44" t="str">
        <f>IF('단위공사별(집계)'!N33&gt;1,('단위공사별(집계)'!D33+'단위공사별(집계)'!E33+'단위공사별(집계)'!F33+'단위공사별(집계)'!G33+'단위공사별(집계)'!H33+'단위공사별(집계)'!I33)/1000," ")</f>
        <v xml:space="preserve"> </v>
      </c>
      <c r="F43" s="54"/>
      <c r="G43" s="46" t="str">
        <f>IF('단위공사별(집계)'!N33&gt;0,('단위공사별(집계)'!L33+'단위공사별(집계)'!M33)/1000,"")</f>
        <v/>
      </c>
      <c r="H43" s="47" t="str">
        <f>IF('단위공사별(집계)'!N33&gt;0,'단위공사별(집계)'!N33/1000,"")</f>
        <v/>
      </c>
      <c r="I43" s="53"/>
    </row>
    <row r="44" spans="2:10" ht="24.9" customHeight="1" x14ac:dyDescent="0.25">
      <c r="B44" s="55">
        <v>28</v>
      </c>
      <c r="C44" s="50" t="str">
        <f>IF('단위공사별(집계)'!N34&gt;0,'단위공사별(집계)'!B34,"")</f>
        <v/>
      </c>
      <c r="D44" s="51"/>
      <c r="E44" s="44" t="str">
        <f>IF('단위공사별(집계)'!N34&gt;1,('단위공사별(집계)'!D34+'단위공사별(집계)'!E34+'단위공사별(집계)'!F34+'단위공사별(집계)'!G34+'단위공사별(집계)'!H34+'단위공사별(집계)'!I34)/1000," ")</f>
        <v xml:space="preserve"> </v>
      </c>
      <c r="F44" s="54"/>
      <c r="G44" s="46" t="str">
        <f>IF('단위공사별(집계)'!N34&gt;0,('단위공사별(집계)'!L34+'단위공사별(집계)'!M34)/1000,"")</f>
        <v/>
      </c>
      <c r="H44" s="47" t="str">
        <f>IF('단위공사별(집계)'!N34&gt;0,'단위공사별(집계)'!N34/1000,"")</f>
        <v/>
      </c>
      <c r="I44" s="53"/>
    </row>
    <row r="45" spans="2:10" ht="24.9" customHeight="1" x14ac:dyDescent="0.25">
      <c r="B45" s="55">
        <v>29</v>
      </c>
      <c r="C45" s="50" t="str">
        <f>IF('단위공사별(집계)'!N35&gt;0,'단위공사별(집계)'!B35,"")</f>
        <v/>
      </c>
      <c r="D45" s="51"/>
      <c r="E45" s="44" t="str">
        <f>IF('단위공사별(집계)'!N35&gt;1,('단위공사별(집계)'!D35+'단위공사별(집계)'!E35+'단위공사별(집계)'!F35+'단위공사별(집계)'!G35+'단위공사별(집계)'!H35+'단위공사별(집계)'!I35)/1000," ")</f>
        <v xml:space="preserve"> </v>
      </c>
      <c r="F45" s="54"/>
      <c r="G45" s="46" t="str">
        <f>IF('단위공사별(집계)'!N35&gt;0,('단위공사별(집계)'!L35+'단위공사별(집계)'!M35)/1000,"")</f>
        <v/>
      </c>
      <c r="H45" s="47" t="str">
        <f>IF('단위공사별(집계)'!N35&gt;0,'단위공사별(집계)'!N35/1000,"")</f>
        <v/>
      </c>
      <c r="I45" s="53"/>
    </row>
    <row r="46" spans="2:10" ht="24.9" customHeight="1" x14ac:dyDescent="0.25">
      <c r="B46" s="55">
        <v>30</v>
      </c>
      <c r="C46" s="50" t="str">
        <f>IF('단위공사별(집계)'!N36&gt;0,'단위공사별(집계)'!B36,"")</f>
        <v/>
      </c>
      <c r="D46" s="51"/>
      <c r="E46" s="44" t="str">
        <f>IF('단위공사별(집계)'!N36&gt;1,('단위공사별(집계)'!D36+'단위공사별(집계)'!E36+'단위공사별(집계)'!F36+'단위공사별(집계)'!G36+'단위공사별(집계)'!H36+'단위공사별(집계)'!I36)/1000," ")</f>
        <v xml:space="preserve"> </v>
      </c>
      <c r="F46" s="54"/>
      <c r="G46" s="46" t="str">
        <f>IF('단위공사별(집계)'!N36&gt;0,('단위공사별(집계)'!L36+'단위공사별(집계)'!M36)/1000,"")</f>
        <v/>
      </c>
      <c r="H46" s="47" t="str">
        <f>IF('단위공사별(집계)'!N36&gt;0,'단위공사별(집계)'!N36/1000,"")</f>
        <v/>
      </c>
      <c r="I46" s="53"/>
    </row>
    <row r="47" spans="2:10" ht="24.9" customHeight="1" x14ac:dyDescent="0.25">
      <c r="B47" s="62" t="s">
        <v>34</v>
      </c>
      <c r="C47" s="63"/>
      <c r="D47" s="64"/>
      <c r="E47" s="65">
        <f>SUM(E17:E46)</f>
        <v>1233699.9999999998</v>
      </c>
      <c r="F47" s="66">
        <f>SUM(F17:F46)</f>
        <v>254100</v>
      </c>
      <c r="G47" s="66">
        <f>SUM(G17:G46)</f>
        <v>2162</v>
      </c>
      <c r="H47" s="67">
        <f>ROUNDDOWN(SUM(H17:H46),-3)</f>
        <v>1489000</v>
      </c>
      <c r="I47" s="68"/>
      <c r="J47" s="69"/>
    </row>
    <row r="48" spans="2:10" ht="4.5" customHeight="1" x14ac:dyDescent="0.25">
      <c r="B48" s="70"/>
      <c r="C48" s="71"/>
      <c r="D48" s="71"/>
      <c r="E48" s="69"/>
      <c r="F48" s="69"/>
      <c r="G48" s="69"/>
      <c r="H48" s="69"/>
    </row>
    <row r="49" spans="2:9" ht="24" customHeight="1" x14ac:dyDescent="0.25">
      <c r="B49" s="71"/>
      <c r="C49" s="71"/>
      <c r="D49" s="71"/>
      <c r="E49" s="69"/>
      <c r="F49" s="72" t="s">
        <v>35</v>
      </c>
      <c r="G49" s="73"/>
      <c r="H49" s="74">
        <v>1489000</v>
      </c>
    </row>
    <row r="50" spans="2:9" ht="15" customHeight="1" x14ac:dyDescent="0.25">
      <c r="B50" s="71"/>
      <c r="C50" s="71"/>
      <c r="D50" s="71"/>
      <c r="E50" s="69"/>
      <c r="F50" s="69"/>
      <c r="G50" s="69"/>
      <c r="H50" s="69"/>
    </row>
    <row r="51" spans="2:9" ht="22.5" customHeight="1" x14ac:dyDescent="0.25">
      <c r="B51" s="75" t="s">
        <v>36</v>
      </c>
      <c r="C51" s="76" t="s">
        <v>37</v>
      </c>
      <c r="D51" s="77"/>
      <c r="E51" s="78"/>
      <c r="F51" s="79" t="s">
        <v>38</v>
      </c>
      <c r="G51" s="80"/>
      <c r="H51" s="80"/>
      <c r="I51" s="81"/>
    </row>
    <row r="52" spans="2:9" ht="22.5" customHeight="1" x14ac:dyDescent="0.25">
      <c r="B52" s="82"/>
      <c r="C52" s="83" t="s">
        <v>39</v>
      </c>
      <c r="D52" s="84"/>
      <c r="E52" s="85"/>
      <c r="F52" s="86" t="s">
        <v>40</v>
      </c>
      <c r="G52" s="87"/>
      <c r="H52" s="88"/>
      <c r="I52" s="89"/>
    </row>
    <row r="53" spans="2:9" ht="22.5" customHeight="1" x14ac:dyDescent="0.25">
      <c r="B53" s="82"/>
      <c r="C53" s="90">
        <f>'원가항목별(집계)'!I39</f>
        <v>2162000</v>
      </c>
      <c r="D53" s="91"/>
      <c r="E53" s="92"/>
      <c r="F53" s="55" t="s">
        <v>41</v>
      </c>
      <c r="G53" s="93"/>
      <c r="H53" s="94"/>
      <c r="I53" s="95"/>
    </row>
    <row r="54" spans="2:9" ht="22.5" customHeight="1" x14ac:dyDescent="0.25">
      <c r="B54" s="82"/>
      <c r="C54" s="96"/>
      <c r="D54" s="97"/>
      <c r="E54" s="98"/>
      <c r="F54" s="55" t="s">
        <v>42</v>
      </c>
      <c r="G54" s="93"/>
      <c r="H54" s="94"/>
      <c r="I54" s="95"/>
    </row>
    <row r="55" spans="2:9" ht="22.5" customHeight="1" x14ac:dyDescent="0.25">
      <c r="B55" s="99"/>
      <c r="C55" s="100"/>
      <c r="D55" s="101"/>
      <c r="E55" s="102"/>
      <c r="F55" s="103" t="s">
        <v>43</v>
      </c>
      <c r="G55" s="104"/>
      <c r="H55" s="105"/>
      <c r="I55" s="106"/>
    </row>
  </sheetData>
  <mergeCells count="55">
    <mergeCell ref="G54:I54"/>
    <mergeCell ref="C55:E55"/>
    <mergeCell ref="G55:I55"/>
    <mergeCell ref="B47:D47"/>
    <mergeCell ref="F49:G49"/>
    <mergeCell ref="B51:B55"/>
    <mergeCell ref="C51:E51"/>
    <mergeCell ref="F51:I51"/>
    <mergeCell ref="C52:E52"/>
    <mergeCell ref="G52:I52"/>
    <mergeCell ref="C53:E53"/>
    <mergeCell ref="G53:I53"/>
    <mergeCell ref="C54:E54"/>
    <mergeCell ref="C41:D41"/>
    <mergeCell ref="C42:D42"/>
    <mergeCell ref="C43:D43"/>
    <mergeCell ref="C44:D44"/>
    <mergeCell ref="C45:D45"/>
    <mergeCell ref="C46:D46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B10:C10"/>
    <mergeCell ref="B11:C11"/>
    <mergeCell ref="B15:B16"/>
    <mergeCell ref="C15:D16"/>
    <mergeCell ref="E15:H15"/>
    <mergeCell ref="I15:I16"/>
    <mergeCell ref="B2:I2"/>
    <mergeCell ref="B4:D4"/>
    <mergeCell ref="B5:C5"/>
    <mergeCell ref="B6:C6"/>
    <mergeCell ref="B7:B8"/>
    <mergeCell ref="B9:C9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60" orientation="portrait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9404-1366-42C1-8680-37F44BD99974}">
  <sheetPr>
    <pageSetUpPr fitToPage="1"/>
  </sheetPr>
  <dimension ref="B2:M49"/>
  <sheetViews>
    <sheetView showGridLines="0" zoomScaleNormal="100" workbookViewId="0">
      <pane ySplit="6" topLeftCell="A15" activePane="bottomLeft" state="frozen"/>
      <selection activeCell="M25" sqref="M25"/>
      <selection pane="bottomLeft" activeCell="M25" sqref="M25"/>
    </sheetView>
  </sheetViews>
  <sheetFormatPr defaultColWidth="9" defaultRowHeight="19.5" customHeight="1" x14ac:dyDescent="0.25"/>
  <cols>
    <col min="1" max="1" width="0.5" style="116" customWidth="1"/>
    <col min="2" max="2" width="5.19921875" style="116" bestFit="1" customWidth="1"/>
    <col min="3" max="3" width="7.3984375" style="116" customWidth="1"/>
    <col min="4" max="4" width="8.8984375" style="116" customWidth="1"/>
    <col min="5" max="5" width="17.69921875" style="116" customWidth="1"/>
    <col min="6" max="6" width="6.3984375" style="118" customWidth="1"/>
    <col min="7" max="7" width="14" style="119" customWidth="1"/>
    <col min="8" max="8" width="14" style="120" customWidth="1"/>
    <col min="9" max="9" width="17.5" style="120" bestFit="1" customWidth="1"/>
    <col min="10" max="10" width="15.59765625" style="116" customWidth="1"/>
    <col min="11" max="11" width="13.69921875" style="121" bestFit="1" customWidth="1"/>
    <col min="12" max="12" width="11.8984375" style="116" bestFit="1" customWidth="1"/>
    <col min="13" max="16384" width="9" style="116"/>
  </cols>
  <sheetData>
    <row r="2" spans="2:11" s="114" customFormat="1" ht="26.25" customHeight="1" x14ac:dyDescent="0.25">
      <c r="B2" s="107"/>
      <c r="C2" s="108" t="s">
        <v>44</v>
      </c>
      <c r="D2" s="109"/>
      <c r="E2" s="109"/>
      <c r="F2" s="110"/>
      <c r="G2" s="111"/>
      <c r="H2" s="112"/>
      <c r="I2" s="112"/>
      <c r="J2" s="109"/>
      <c r="K2" s="113"/>
    </row>
    <row r="3" spans="2:11" s="114" customFormat="1" ht="19.5" customHeight="1" x14ac:dyDescent="0.25">
      <c r="B3" s="107"/>
      <c r="C3" s="108"/>
      <c r="D3" s="109"/>
      <c r="E3" s="109"/>
      <c r="F3" s="110"/>
      <c r="G3" s="111"/>
      <c r="H3" s="112"/>
      <c r="I3" s="112"/>
      <c r="J3" s="109"/>
      <c r="K3" s="113"/>
    </row>
    <row r="4" spans="2:11" ht="30" customHeight="1" x14ac:dyDescent="0.25">
      <c r="B4" s="115" t="s">
        <v>45</v>
      </c>
      <c r="D4" s="117"/>
      <c r="J4" s="118"/>
    </row>
    <row r="5" spans="2:11" s="118" customFormat="1" ht="8.25" customHeight="1" x14ac:dyDescent="0.25">
      <c r="B5" s="122"/>
      <c r="C5" s="123"/>
      <c r="D5" s="124"/>
      <c r="E5" s="125"/>
      <c r="F5" s="126"/>
      <c r="G5" s="127"/>
      <c r="H5" s="127"/>
      <c r="I5" s="127"/>
      <c r="J5" s="128"/>
      <c r="K5" s="129"/>
    </row>
    <row r="6" spans="2:11" s="118" customFormat="1" ht="22.5" customHeight="1" thickBot="1" x14ac:dyDescent="0.3">
      <c r="B6" s="130" t="s">
        <v>46</v>
      </c>
      <c r="C6" s="131" t="s">
        <v>47</v>
      </c>
      <c r="D6" s="132"/>
      <c r="E6" s="133"/>
      <c r="F6" s="134" t="s">
        <v>48</v>
      </c>
      <c r="G6" s="135" t="s">
        <v>49</v>
      </c>
      <c r="H6" s="135" t="s">
        <v>50</v>
      </c>
      <c r="I6" s="135" t="s">
        <v>51</v>
      </c>
      <c r="J6" s="136" t="s">
        <v>52</v>
      </c>
      <c r="K6" s="129"/>
    </row>
    <row r="7" spans="2:11" ht="19.5" customHeight="1" thickTop="1" x14ac:dyDescent="0.25">
      <c r="B7" s="137">
        <v>1</v>
      </c>
      <c r="C7" s="138" t="s">
        <v>53</v>
      </c>
      <c r="D7" s="139" t="s">
        <v>54</v>
      </c>
      <c r="E7" s="140" t="s">
        <v>55</v>
      </c>
      <c r="F7" s="141" t="s">
        <v>56</v>
      </c>
      <c r="G7" s="142">
        <f>'#10'!F22+'#20'!F22+'#30'!F20+'#40'!F18+'#50'!F20+'#60'!F19+'#70'!F20+'#80'!F22+'#90'!F19+'#100'!F18+'#110'!F26+'#120'!F19+'#130'!F18+'#140'!F18+'#150'!F17+'#160'!F22+'#170'!F19+'#180'!F26+'#190'!F19+'#200'!F18+'#210'!G18+'#220'!F17+'#230'!F22+'#240'!F19+'#250'!F18+'#260'!F18+'#270'!F18+'#280'!F18+'#290'!F18+'#300'!F18</f>
        <v>0</v>
      </c>
      <c r="H7" s="143"/>
      <c r="I7" s="143">
        <f>'#10'!H19+'#20'!H18+'#30'!H14+'#40'!H12+'#50'!H14+'#60'!H13+'#70'!H14+'#80'!H16+'#90'!H13+'#100'!H12+'#110'!H20+'#120'!H13+'#130'!H12+'#140'!H12+'#150'!H11+'#160'!H16+'#170'!H13+'#180'!H20+'#190'!H13+'#200'!H12+'#210'!H12+'#220'!H11+'#230'!H16+'#240'!H13+'#250'!H12+'#260'!H12+'#270'!H12+'#280'!H12+'#290'!H12+'#300'!H12</f>
        <v>259950000</v>
      </c>
      <c r="J7" s="144" t="s">
        <v>57</v>
      </c>
    </row>
    <row r="8" spans="2:11" ht="19.5" customHeight="1" x14ac:dyDescent="0.25">
      <c r="B8" s="137"/>
      <c r="C8" s="139"/>
      <c r="D8" s="139"/>
      <c r="E8" s="145" t="s">
        <v>58</v>
      </c>
      <c r="F8" s="146" t="s">
        <v>59</v>
      </c>
      <c r="G8" s="147">
        <v>1</v>
      </c>
      <c r="H8" s="148"/>
      <c r="I8" s="148">
        <f>'#10'!H68+'#20'!H40+'#30'!H43+'#40'!H40+'#50'!H40+'#60'!H38+'#70'!H48+'#80'!H57+'#90'!H43+'#100'!H40+'#110'!H48+'#120'!H42+'#130'!H40+'#140'!H34+'#150'!H34+'#160'!H40+'#170'!H45+'#180'!H48+'#190'!H42+'#200'!H40+'#210'!H34+'#220'!H34+'#230'!H40+'#240'!H45+'#250'!H32+'#260'!H40+'#270'!H40+'#280'!H40+'#290'!H40+'#300'!H40</f>
        <v>508700000</v>
      </c>
      <c r="J8" s="149" t="s">
        <v>60</v>
      </c>
    </row>
    <row r="9" spans="2:11" ht="19.5" customHeight="1" x14ac:dyDescent="0.25">
      <c r="B9" s="137"/>
      <c r="C9" s="139"/>
      <c r="D9" s="139"/>
      <c r="E9" s="145" t="s">
        <v>61</v>
      </c>
      <c r="F9" s="146" t="s">
        <v>59</v>
      </c>
      <c r="G9" s="150">
        <v>1</v>
      </c>
      <c r="H9" s="148"/>
      <c r="I9" s="148">
        <f>'#10'!H72+'#20'!H48+'#30'!H48+'#40'!H48+'#50'!H43+'#60'!H46+'#70'!H56+'#80'!H65+'#90'!H51+'#100'!H48+'#110'!H56+'#120'!H50+'#130'!H48+'#140'!H39+'#150'!H42+'#160'!H48+'#170'!H53+'#180'!H56+'#190'!H50+'#200'!H48+'#210'!H42+'#220'!H42+'#230'!H48+'#240'!H53+'#250'!H40+'#260'!H48+'#270'!H48+'#280'!H48+'#290'!H48+'#300'!H48</f>
        <v>85000000</v>
      </c>
      <c r="J9" s="149" t="s">
        <v>62</v>
      </c>
    </row>
    <row r="10" spans="2:11" ht="19.5" customHeight="1" x14ac:dyDescent="0.25">
      <c r="B10" s="137"/>
      <c r="C10" s="139"/>
      <c r="D10" s="139"/>
      <c r="E10" s="151" t="s">
        <v>63</v>
      </c>
      <c r="F10" s="152" t="s">
        <v>59</v>
      </c>
      <c r="G10" s="153">
        <v>1</v>
      </c>
      <c r="H10" s="154"/>
      <c r="I10" s="154">
        <f>'#10'!H22+'#20'!H22+'#30'!H20+'#40'!H18+'#50'!H20+'#60'!H19+'#70'!H20+'#80'!H22+'#90'!H19+'#100'!H18+'#110'!H26+'#120'!H19+'#130'!H18+'#140'!H18+'#150'!H17+'#160'!H22+'#170'!H19+'#180'!H26+'#190'!H19+'#200'!H18+'#210'!H18+'#220'!H17+'#230'!H22+'#240'!H19+'#250'!H18+'#260'!H18+'#270'!H18+'#280'!H18+'#290'!H18+'#300'!H18</f>
        <v>0</v>
      </c>
      <c r="J10" s="155" t="s">
        <v>64</v>
      </c>
    </row>
    <row r="11" spans="2:11" ht="19.5" customHeight="1" x14ac:dyDescent="0.25">
      <c r="B11" s="137"/>
      <c r="C11" s="139"/>
      <c r="D11" s="156"/>
      <c r="E11" s="157" t="s">
        <v>65</v>
      </c>
      <c r="F11" s="158"/>
      <c r="G11" s="159"/>
      <c r="H11" s="160"/>
      <c r="I11" s="161">
        <f>SUM(I7:I10)</f>
        <v>853650000</v>
      </c>
      <c r="J11" s="149"/>
    </row>
    <row r="12" spans="2:11" ht="19.5" customHeight="1" x14ac:dyDescent="0.25">
      <c r="B12" s="137"/>
      <c r="C12" s="139"/>
      <c r="D12" s="162" t="s">
        <v>66</v>
      </c>
      <c r="E12" s="163" t="s">
        <v>67</v>
      </c>
      <c r="F12" s="152" t="s">
        <v>68</v>
      </c>
      <c r="G12" s="154">
        <f>'#10'!F74+'#20'!F50+'#30'!F50+'#40'!F50+'#50'!F45+'#60'!F48+'#70'!F58+'#80'!F67+'#90'!F53+'#100'!F50+'#110'!F58+'#120'!F52+'#130'!F50+'#140'!F41+'#150'!F44+'#160'!F50+'#170'!F55+'#180'!F58+'#190'!F52+'#200'!F50+'#210'!F44+'#220'!F44+'#230'!F50+'#240'!F55+'#250'!F42+'#260'!F50+'#270'!F50+'#280'!F50+'#290'!F50+'#300'!F50</f>
        <v>0</v>
      </c>
      <c r="H12" s="154">
        <f>IF('#10'!G74&gt;0,'#10'!G74,"")</f>
        <v>250000</v>
      </c>
      <c r="I12" s="154">
        <f>'#10'!H74+'#20'!H50+'#30'!H50+'#40'!H50+'#50'!H45+'#60'!H48+'#70'!H58+'#80'!H67+'#90'!H53+'#100'!H50+'#110'!H58+'#120'!H52+'#130'!H50+'#140'!H41+'#150'!H44+'#160'!H50+'#170'!H55+'#180'!H58+'#190'!H52+'#200'!H50</f>
        <v>0</v>
      </c>
      <c r="J12" s="149" t="s">
        <v>69</v>
      </c>
    </row>
    <row r="13" spans="2:11" ht="19.5" customHeight="1" x14ac:dyDescent="0.25">
      <c r="B13" s="137"/>
      <c r="C13" s="139"/>
      <c r="D13" s="139"/>
      <c r="E13" s="145" t="s">
        <v>70</v>
      </c>
      <c r="F13" s="146" t="s">
        <v>68</v>
      </c>
      <c r="G13" s="148">
        <f>'#10'!F75+'#20'!F51+'#30'!F51+'#40'!F51+'#50'!F46+'#60'!F49+'#70'!F59+'#80'!F68+'#90'!F54+'#100'!F51+'#110'!F59+'#120'!F53+'#130'!F51+'#140'!F42+'#150'!F45+'#160'!F51+'#170'!F56+'#180'!F59+'#190'!F53+'#200'!F51+'#210'!F45+'#220'!F45+'#230'!F51+'#240'!F56+'#250'!F43+'#260'!F51+'#270'!F51+'#280'!F51+'#290'!F51+'#300'!F51</f>
        <v>455</v>
      </c>
      <c r="H13" s="148">
        <f>IF('#10'!G75&gt;0,'#10'!G75,"")</f>
        <v>300000</v>
      </c>
      <c r="I13" s="148">
        <f>'#10'!H75+'#20'!H51+'#30'!H51+'#40'!H51+'#50'!H46+'#60'!H49+'#70'!H59+'#80'!H68+'#90'!H54+'#100'!H51+'#110'!H59+'#120'!H53+'#130'!H51+'#140'!H42+'#150'!H45+'#160'!H51+'#170'!H56+'#180'!H59+'#190'!H53+'#200'!H51+'#210'!H45+'#220'!H45+'#230'!H51+'#240'!H56+'#250'!H43+'#260'!H51+'#270'!H51+'#280'!H51+'#290'!H51+'#300'!H51</f>
        <v>136500000</v>
      </c>
      <c r="J13" s="149"/>
    </row>
    <row r="14" spans="2:11" ht="19.5" customHeight="1" x14ac:dyDescent="0.25">
      <c r="B14" s="137"/>
      <c r="C14" s="139"/>
      <c r="D14" s="139"/>
      <c r="E14" s="145" t="s">
        <v>71</v>
      </c>
      <c r="F14" s="146" t="s">
        <v>68</v>
      </c>
      <c r="G14" s="148">
        <f>'#10'!F76+'#20'!F52+'#30'!F52+'#40'!F52+'#50'!F47+'#60'!F50+'#70'!F60+'#80'!F69+'#90'!F55+'#100'!F52+'#110'!F60+'#120'!F54+'#130'!F52+'#140'!F43+'#150'!F46+'#160'!F52+'#170'!F57+'#180'!F60+'#190'!F54+'#200'!F52+'#210'!F46+'#220'!F46+'#230'!F52+'#240'!F57+'#250'!F44+'#260'!F52+'#270'!F52+'#280'!F52+'#290'!F52+'#300'!F52</f>
        <v>140</v>
      </c>
      <c r="H14" s="148">
        <f>IF('#10'!G76&gt;0,'#10'!G76,"")</f>
        <v>250000</v>
      </c>
      <c r="I14" s="148">
        <f>'#10'!H76+'#20'!H52+'#30'!H52+'#40'!H52+'#50'!H47+'#60'!H50+'#70'!H60+'#80'!H69+'#90'!H55+'#100'!H52+'#110'!H60+'#120'!H54+'#130'!H52+'#140'!H43+'#150'!H46+'#160'!H52+'#170'!H57+'#180'!H60+'#190'!H54+'#200'!H52+'#210'!H46+'#220'!H46+'#230'!H52+'#240'!H57+'#250'!H44+'#260'!H52+'#270'!H52+'#280'!H52+'#290'!H52+'#300'!H52</f>
        <v>35000000</v>
      </c>
      <c r="J14" s="149"/>
    </row>
    <row r="15" spans="2:11" ht="19.5" customHeight="1" x14ac:dyDescent="0.25">
      <c r="B15" s="137"/>
      <c r="C15" s="139"/>
      <c r="D15" s="139"/>
      <c r="E15" s="145" t="s">
        <v>72</v>
      </c>
      <c r="F15" s="146" t="s">
        <v>68</v>
      </c>
      <c r="G15" s="148">
        <f>'#10'!F77+'#20'!F53+'#30'!F53+'#40'!F53+'#50'!F48+'#60'!F51+'#70'!F61+'#80'!F70+'#90'!F56+'#100'!F53+'#110'!F61+'#120'!F55+'#130'!F53+'#140'!F44+'#150'!F47+'#160'!F53+'#170'!F58+'#180'!F61+'#190'!F55+'#200'!F53+'#210'!F47+'#220'!F47+'#230'!F53+'#240'!F58+'#250'!F45+'#260'!F53+'#270'!F53+'#280'!F53+'#290'!F53+'#300'!F53</f>
        <v>520</v>
      </c>
      <c r="H15" s="148">
        <f>IF('#10'!G77&gt;0,'#10'!G77,"")</f>
        <v>250000</v>
      </c>
      <c r="I15" s="148">
        <f>'#10'!H77+'#20'!H53+'#30'!H53+'#40'!H53+'#50'!H48+'#60'!H51+'#70'!H61+'#80'!H70+'#90'!H56+'#100'!H53+'#110'!H61+'#120'!H55+'#130'!H53+'#140'!H44+'#150'!H47+'#160'!H53+'#170'!H58+'#180'!H61+'#190'!H55+'#200'!H53+'#210'!H47+'#220'!H47+'#230'!H53+'#240'!H58+'#250'!H45+'#260'!H53+'#270'!H53+'#280'!H53+'#290'!H53+'#300'!H53</f>
        <v>130000000</v>
      </c>
      <c r="J15" s="149" t="s">
        <v>73</v>
      </c>
    </row>
    <row r="16" spans="2:11" ht="19.5" customHeight="1" x14ac:dyDescent="0.25">
      <c r="B16" s="137"/>
      <c r="C16" s="139"/>
      <c r="D16" s="139"/>
      <c r="E16" s="163" t="s">
        <v>74</v>
      </c>
      <c r="F16" s="152" t="s">
        <v>68</v>
      </c>
      <c r="G16" s="154">
        <f>'#10'!F78+'#20'!F54+'#30'!F54+'#40'!F54+'#50'!F49+'#60'!F52+'#70'!F62+'#80'!F71+'#90'!F57+'#100'!F54+'#110'!F62+'#120'!F56+'#130'!F54+'#140'!F45+'#150'!F48+'#160'!F54+'#170'!F59+'#180'!F62+'#190'!F56+'#200'!F54+'#210'!F48+'#220'!F48+'#230'!F54+'#240'!F59+'#250'!F46+'#260'!F54+'#270'!F54+'#280'!F54+'#290'!F54+'#300'!F54</f>
        <v>54</v>
      </c>
      <c r="H16" s="154">
        <f>IF('#10'!G78&gt;0,'#10'!G78,"")</f>
        <v>300000</v>
      </c>
      <c r="I16" s="154">
        <f>'#10'!H78+'#20'!H54+'#30'!H54+'#40'!H54+'#50'!H49+'#60'!H52+'#70'!H62+'#80'!H71+'#90'!H57+'#100'!H54+'#110'!H62+'#120'!H56+'#130'!H54+'#140'!H45+'#150'!H48+'#160'!H54+'#170'!H59+'#180'!H62+'#190'!H56+'#200'!H54+'#210'!H48+'#220'!H48+'#230'!H54+'#240'!H59+'#250'!H46+'#260'!H54+'#270'!H54+'#280'!H54+'#290'!H54+'#300'!H54</f>
        <v>16200000</v>
      </c>
      <c r="J16" s="149"/>
    </row>
    <row r="17" spans="2:10" ht="19.5" customHeight="1" x14ac:dyDescent="0.25">
      <c r="B17" s="137"/>
      <c r="C17" s="139"/>
      <c r="D17" s="139"/>
      <c r="E17" s="163" t="s">
        <v>75</v>
      </c>
      <c r="F17" s="152" t="s">
        <v>68</v>
      </c>
      <c r="G17" s="154">
        <f>'#10'!F79+'#20'!F55+'#30'!F55+'#40'!F55+'#50'!F50+'#60'!F53+'#70'!F63+'#80'!F72+'#90'!F58+'#100'!F55+'#110'!F63+'#120'!F57+'#130'!F55+'#140'!F46+'#150'!F49+'#160'!F55+'#170'!F60+'#180'!F63+'#190'!F57+'#200'!F55+'#210'!F49+'#220'!F49+'#230'!F55+'#240'!F60+'#250'!F47+'#260'!F55+'#270'!F55+'#280'!F55+'#290'!F55+'#300'!F55</f>
        <v>82</v>
      </c>
      <c r="H17" s="154">
        <f>IF('#10'!G79&gt;0,'#10'!G79,"")</f>
        <v>300000</v>
      </c>
      <c r="I17" s="154">
        <f>'#10'!H79+'#20'!H55+'#30'!H55+'#40'!H55+'#50'!H50+'#60'!H53+'#70'!H63+'#80'!H72+'#90'!H58+'#100'!H55+'#110'!H63+'#120'!H57+'#130'!H55+'#140'!H46+'#150'!H49+'#160'!H55+'#170'!H60+'#180'!H63+'#190'!H57+'#200'!H55+'#210'!H49+'#220'!H49+'#230'!H55+'#240'!H60+'#250'!H47+'#260'!H55+'#270'!H55+'#280'!H55+'#290'!H55+'#300'!H55</f>
        <v>24600000</v>
      </c>
      <c r="J17" s="149"/>
    </row>
    <row r="18" spans="2:10" ht="19.5" customHeight="1" x14ac:dyDescent="0.25">
      <c r="B18" s="137"/>
      <c r="C18" s="139"/>
      <c r="D18" s="139"/>
      <c r="E18" s="145" t="s">
        <v>76</v>
      </c>
      <c r="F18" s="146" t="s">
        <v>68</v>
      </c>
      <c r="G18" s="148">
        <f>'#10'!F80+'#20'!F56+'#30'!F56+'#40'!F56+'#50'!F51+'#60'!F54+'#70'!F64+'#80'!F73+'#90'!F59+'#100'!F56+'#110'!F64+'#120'!F58+'#130'!F56+'#140'!F47+'#150'!F50+'#160'!F56+'#170'!F61+'#180'!F64+'#190'!F58+'#200'!F56+'#210'!F50+'#220'!F50+'#230'!F56+'#240'!F61+'#250'!F48+'#260'!F56+'#270'!F56+'#280'!F56+'#290'!F56+'#300'!F56</f>
        <v>30</v>
      </c>
      <c r="H18" s="148">
        <f>IF('#10'!G80&gt;0,'#10'!G80,"")</f>
        <v>300000</v>
      </c>
      <c r="I18" s="148">
        <f>'#10'!H80+'#20'!H56+'#30'!H56+'#40'!H56+'#50'!H51+'#60'!H54+'#70'!H64+'#80'!H73+'#90'!H59+'#100'!H56+'#110'!H64+'#120'!H58+'#130'!H56+'#140'!H47+'#150'!H50+'#160'!H56+'#170'!H61+'#180'!H64+'#190'!H58+'#200'!H56+'#210'!H50+'#220'!H50+'#230'!H56+'#240'!H61+'#250'!H48+'#260'!H56+'#270'!H56+'#280'!H56+'#290'!H56+'#300'!H56</f>
        <v>9000000</v>
      </c>
      <c r="J18" s="149"/>
    </row>
    <row r="19" spans="2:10" ht="19.5" customHeight="1" x14ac:dyDescent="0.25">
      <c r="B19" s="137"/>
      <c r="C19" s="139"/>
      <c r="D19" s="139"/>
      <c r="E19" s="145" t="s">
        <v>77</v>
      </c>
      <c r="F19" s="146" t="s">
        <v>68</v>
      </c>
      <c r="G19" s="148">
        <f>'#10'!F81+'#20'!F57+'#30'!F57+'#40'!F57+'#50'!F52+'#60'!F55+'#70'!F65+'#80'!F74+'#90'!F60+'#100'!F57+'#110'!F65+'#120'!F59+'#130'!F57+'#140'!F48+'#150'!F51+'#160'!F57+'#170'!F62+'#180'!F65+'#190'!F59+'#200'!F57+'#210'!F51+'#220'!F51+'#230'!F57+'#240'!F62+'#250'!F49+'#260'!F57+'#270'!F57+'#280'!F57+'#290'!F57+'#300'!F57</f>
        <v>103</v>
      </c>
      <c r="H19" s="148">
        <f>IF('#10'!G81&gt;0,'#10'!G81,"")</f>
        <v>250000</v>
      </c>
      <c r="I19" s="148">
        <f>'#10'!H81+'#20'!H57+'#30'!H57+'#40'!H57+'#50'!H52+'#60'!H55+'#70'!H65+'#80'!H74+'#90'!H60+'#100'!H57+'#110'!H65+'#120'!H59+'#130'!H57+'#140'!H48+'#150'!H51+'#160'!H57+'#170'!H62+'#180'!H65+'#190'!H59+'#200'!H57+'#210'!H51+'#220'!H51+'#230'!H57+'#240'!H62+'#250'!H49+'#260'!H57+'#270'!H57+'#280'!H57+'#290'!H57+'#300'!H57</f>
        <v>25750000</v>
      </c>
      <c r="J19" s="149"/>
    </row>
    <row r="20" spans="2:10" ht="19.5" customHeight="1" x14ac:dyDescent="0.25">
      <c r="B20" s="137"/>
      <c r="C20" s="139"/>
      <c r="D20" s="156"/>
      <c r="E20" s="157" t="s">
        <v>65</v>
      </c>
      <c r="F20" s="158"/>
      <c r="G20" s="159"/>
      <c r="H20" s="160"/>
      <c r="I20" s="161">
        <f>SUM(I12:I19)</f>
        <v>377050000</v>
      </c>
      <c r="J20" s="149"/>
    </row>
    <row r="21" spans="2:10" ht="19.5" customHeight="1" x14ac:dyDescent="0.25">
      <c r="B21" s="137"/>
      <c r="C21" s="139"/>
      <c r="D21" s="164" t="s">
        <v>78</v>
      </c>
      <c r="E21" s="165"/>
      <c r="F21" s="158"/>
      <c r="G21" s="159"/>
      <c r="H21" s="160"/>
      <c r="I21" s="166">
        <f>'#10'!H84+'#10'!H85+'#20'!H60+'#20'!H61+'#30'!H60+'#30'!H61+'#40'!H60+'#40'!H61+'#50'!H55+'#50'!H56+'#60'!H58+'#60'!H59+'#70'!H68+'#70'!H69+'#80'!H77+'#80'!H78+'#90'!H63+'#90'!H64+'#100'!H60+'#100'!H61+'#110'!H68+'#110'!H69+'#120'!H62+'#120'!H63+'#130'!H60+'#130'!H61+'#140'!H51+'#140'!H52+'#150'!H54+'#150'!H55+'#160'!H60+'#160'!H61+'#170'!H65+'#170'!H66+'#180'!H68+'#180'!H69+'#190'!H62+'#190'!H63+'#200'!H60+'#200'!H61+'#210'!H54+'#210'!H55+'#220'!H54+'#220'!H55+'#230'!H60+'#230'!H61+'#240'!H65+'#240'!H66+'#250'!H52+'#250'!H53+'#260'!H60+'#260'!H61+'#270'!H60+'#270'!H61+'#280'!H60+'#280'!H61+'#290'!H60+'#290'!H61+'#300'!H60+'#300'!H61</f>
        <v>0</v>
      </c>
      <c r="J21" s="167"/>
    </row>
    <row r="22" spans="2:10" ht="19.5" customHeight="1" x14ac:dyDescent="0.25">
      <c r="B22" s="168"/>
      <c r="C22" s="169"/>
      <c r="D22" s="170"/>
      <c r="E22" s="171" t="s">
        <v>79</v>
      </c>
      <c r="F22" s="172"/>
      <c r="G22" s="173"/>
      <c r="H22" s="174"/>
      <c r="I22" s="175">
        <f>I20+I11+I21</f>
        <v>1230700000</v>
      </c>
      <c r="J22" s="176"/>
    </row>
    <row r="23" spans="2:10" ht="19.5" customHeight="1" x14ac:dyDescent="0.25">
      <c r="B23" s="177">
        <v>2</v>
      </c>
      <c r="C23" s="178" t="s">
        <v>80</v>
      </c>
      <c r="D23" s="179" t="s">
        <v>54</v>
      </c>
      <c r="E23" s="180" t="s">
        <v>81</v>
      </c>
      <c r="F23" s="181" t="s">
        <v>59</v>
      </c>
      <c r="G23" s="182">
        <v>1</v>
      </c>
      <c r="H23" s="182"/>
      <c r="I23" s="182">
        <f>전기!H27-I24</f>
        <v>166300000</v>
      </c>
      <c r="J23" s="183"/>
    </row>
    <row r="24" spans="2:10" ht="19.5" customHeight="1" x14ac:dyDescent="0.25">
      <c r="B24" s="137"/>
      <c r="C24" s="184"/>
      <c r="D24" s="185"/>
      <c r="E24" s="151" t="s">
        <v>63</v>
      </c>
      <c r="F24" s="186" t="s">
        <v>59</v>
      </c>
      <c r="G24" s="187">
        <v>1</v>
      </c>
      <c r="H24" s="187"/>
      <c r="I24" s="187">
        <f>전기!H16</f>
        <v>0</v>
      </c>
      <c r="J24" s="155" t="s">
        <v>64</v>
      </c>
    </row>
    <row r="25" spans="2:10" ht="19.5" customHeight="1" x14ac:dyDescent="0.25">
      <c r="B25" s="137"/>
      <c r="C25" s="188"/>
      <c r="D25" s="162" t="s">
        <v>66</v>
      </c>
      <c r="E25" s="163" t="s">
        <v>82</v>
      </c>
      <c r="F25" s="152" t="s">
        <v>68</v>
      </c>
      <c r="G25" s="154">
        <f>전기!F28</f>
        <v>10</v>
      </c>
      <c r="H25" s="154">
        <f>IF(전기!G28&gt;0,전기!G28,"")</f>
        <v>250000</v>
      </c>
      <c r="I25" s="154">
        <f>전기!H28</f>
        <v>2500000</v>
      </c>
      <c r="J25" s="149"/>
    </row>
    <row r="26" spans="2:10" ht="19.5" customHeight="1" x14ac:dyDescent="0.25">
      <c r="B26" s="137"/>
      <c r="C26" s="188"/>
      <c r="D26" s="139"/>
      <c r="E26" s="145" t="s">
        <v>83</v>
      </c>
      <c r="F26" s="146" t="s">
        <v>68</v>
      </c>
      <c r="G26" s="148">
        <f>전기!F29</f>
        <v>80</v>
      </c>
      <c r="H26" s="148">
        <f>IF(전기!G29&gt;0,전기!G29,"")</f>
        <v>300000</v>
      </c>
      <c r="I26" s="148">
        <f>전기!H29</f>
        <v>24000000</v>
      </c>
      <c r="J26" s="149"/>
    </row>
    <row r="27" spans="2:10" ht="19.5" customHeight="1" x14ac:dyDescent="0.25">
      <c r="B27" s="137"/>
      <c r="C27" s="188"/>
      <c r="D27" s="139"/>
      <c r="E27" s="145" t="s">
        <v>84</v>
      </c>
      <c r="F27" s="146" t="s">
        <v>68</v>
      </c>
      <c r="G27" s="148">
        <f>전기!F30</f>
        <v>80</v>
      </c>
      <c r="H27" s="148">
        <f>IF(전기!G30&gt;0,전기!G30,"")</f>
        <v>250000</v>
      </c>
      <c r="I27" s="148">
        <f>전기!H30</f>
        <v>20000000</v>
      </c>
      <c r="J27" s="149"/>
    </row>
    <row r="28" spans="2:10" ht="19.5" customHeight="1" x14ac:dyDescent="0.25">
      <c r="B28" s="137"/>
      <c r="C28" s="188"/>
      <c r="D28" s="139"/>
      <c r="E28" s="145" t="s">
        <v>72</v>
      </c>
      <c r="F28" s="146" t="s">
        <v>68</v>
      </c>
      <c r="G28" s="148">
        <f>전기!F31</f>
        <v>80</v>
      </c>
      <c r="H28" s="148">
        <f>IF(전기!G31&gt;0,전기!G31,"")</f>
        <v>250000</v>
      </c>
      <c r="I28" s="148">
        <f>전기!H31</f>
        <v>20000000</v>
      </c>
      <c r="J28" s="149"/>
    </row>
    <row r="29" spans="2:10" ht="19.5" customHeight="1" x14ac:dyDescent="0.25">
      <c r="B29" s="137"/>
      <c r="C29" s="188"/>
      <c r="D29" s="139"/>
      <c r="E29" s="163" t="s">
        <v>74</v>
      </c>
      <c r="F29" s="152" t="s">
        <v>68</v>
      </c>
      <c r="G29" s="154">
        <f>전기!F32</f>
        <v>20</v>
      </c>
      <c r="H29" s="154">
        <f>IF(전기!G32&gt;0,전기!G32,"")</f>
        <v>300000</v>
      </c>
      <c r="I29" s="154">
        <f>전기!H32</f>
        <v>6000000</v>
      </c>
      <c r="J29" s="149"/>
    </row>
    <row r="30" spans="2:10" ht="19.5" customHeight="1" x14ac:dyDescent="0.25">
      <c r="B30" s="137"/>
      <c r="C30" s="188"/>
      <c r="D30" s="139"/>
      <c r="E30" s="163" t="s">
        <v>75</v>
      </c>
      <c r="F30" s="152" t="s">
        <v>68</v>
      </c>
      <c r="G30" s="154">
        <f>전기!F33</f>
        <v>30</v>
      </c>
      <c r="H30" s="154">
        <f>IF(전기!G33&gt;0,전기!G33,"")</f>
        <v>300000</v>
      </c>
      <c r="I30" s="154">
        <f>전기!H33</f>
        <v>9000000</v>
      </c>
      <c r="J30" s="149"/>
    </row>
    <row r="31" spans="2:10" ht="19.5" customHeight="1" x14ac:dyDescent="0.25">
      <c r="B31" s="137"/>
      <c r="C31" s="188"/>
      <c r="D31" s="139"/>
      <c r="E31" s="145" t="s">
        <v>76</v>
      </c>
      <c r="F31" s="146" t="s">
        <v>68</v>
      </c>
      <c r="G31" s="148">
        <f>전기!F34</f>
        <v>21</v>
      </c>
      <c r="H31" s="148">
        <f>IF(전기!G34&gt;0,전기!G34,"")</f>
        <v>300000</v>
      </c>
      <c r="I31" s="148">
        <f>전기!H34</f>
        <v>6300000</v>
      </c>
      <c r="J31" s="149"/>
    </row>
    <row r="32" spans="2:10" ht="19.5" customHeight="1" x14ac:dyDescent="0.25">
      <c r="B32" s="137"/>
      <c r="C32" s="188"/>
      <c r="D32" s="156"/>
      <c r="E32" s="157" t="s">
        <v>85</v>
      </c>
      <c r="F32" s="158"/>
      <c r="G32" s="159"/>
      <c r="H32" s="160"/>
      <c r="I32" s="161">
        <f>SUM(I25:I31)</f>
        <v>87800000</v>
      </c>
      <c r="J32" s="149"/>
    </row>
    <row r="33" spans="2:13" ht="19.5" customHeight="1" x14ac:dyDescent="0.25">
      <c r="B33" s="137"/>
      <c r="C33" s="139"/>
      <c r="D33" s="164" t="s">
        <v>78</v>
      </c>
      <c r="E33" s="165"/>
      <c r="F33" s="158"/>
      <c r="G33" s="159"/>
      <c r="H33" s="160"/>
      <c r="I33" s="166">
        <f>전기!H37+전기!H38</f>
        <v>0</v>
      </c>
      <c r="J33" s="167"/>
    </row>
    <row r="34" spans="2:13" ht="19.5" customHeight="1" x14ac:dyDescent="0.25">
      <c r="B34" s="168"/>
      <c r="C34" s="169"/>
      <c r="D34" s="170"/>
      <c r="E34" s="171" t="s">
        <v>86</v>
      </c>
      <c r="F34" s="172"/>
      <c r="G34" s="173"/>
      <c r="H34" s="174"/>
      <c r="I34" s="175">
        <f>I32+I23+I33+I24</f>
        <v>254100000</v>
      </c>
      <c r="J34" s="176"/>
    </row>
    <row r="35" spans="2:13" ht="19.5" customHeight="1" x14ac:dyDescent="0.25">
      <c r="B35" s="189">
        <v>3</v>
      </c>
      <c r="C35" s="190" t="s">
        <v>87</v>
      </c>
      <c r="D35" s="191"/>
      <c r="E35" s="192"/>
      <c r="F35" s="190"/>
      <c r="G35" s="191"/>
      <c r="H35" s="192"/>
      <c r="I35" s="193">
        <f>I23+I11+I24</f>
        <v>1019950000</v>
      </c>
      <c r="J35" s="183"/>
    </row>
    <row r="36" spans="2:13" ht="19.5" customHeight="1" x14ac:dyDescent="0.25">
      <c r="B36" s="194"/>
      <c r="C36" s="158" t="s">
        <v>88</v>
      </c>
      <c r="D36" s="159"/>
      <c r="E36" s="160"/>
      <c r="F36" s="158"/>
      <c r="G36" s="159"/>
      <c r="H36" s="160"/>
      <c r="I36" s="161">
        <f>I32+I20</f>
        <v>464850000</v>
      </c>
      <c r="J36" s="149"/>
    </row>
    <row r="37" spans="2:13" ht="19.5" customHeight="1" thickBot="1" x14ac:dyDescent="0.3">
      <c r="B37" s="195"/>
      <c r="C37" s="196" t="s">
        <v>89</v>
      </c>
      <c r="D37" s="196"/>
      <c r="E37" s="197"/>
      <c r="F37" s="198"/>
      <c r="G37" s="196"/>
      <c r="H37" s="197"/>
      <c r="I37" s="199">
        <f>I36+I35</f>
        <v>1484800000</v>
      </c>
      <c r="J37" s="200"/>
    </row>
    <row r="38" spans="2:13" ht="20.25" customHeight="1" x14ac:dyDescent="0.25">
      <c r="B38" s="201">
        <v>4</v>
      </c>
      <c r="C38" s="156" t="s">
        <v>90</v>
      </c>
      <c r="D38" s="202"/>
      <c r="E38" s="203"/>
      <c r="F38" s="204"/>
      <c r="G38" s="205"/>
      <c r="H38" s="206"/>
      <c r="I38" s="207">
        <v>3000000</v>
      </c>
      <c r="J38" s="208"/>
    </row>
    <row r="39" spans="2:13" ht="22.5" customHeight="1" x14ac:dyDescent="0.25">
      <c r="B39" s="209">
        <v>5</v>
      </c>
      <c r="C39" s="158" t="s">
        <v>91</v>
      </c>
      <c r="D39" s="159"/>
      <c r="E39" s="160"/>
      <c r="F39" s="210" t="s">
        <v>92</v>
      </c>
      <c r="G39" s="211"/>
      <c r="H39" s="212"/>
      <c r="I39" s="213">
        <f>CEILING(MIN(I47:I48),1000)</f>
        <v>2162000</v>
      </c>
      <c r="J39" s="214">
        <f>I30+I29+I25+I24+I17+I16+I12+I10</f>
        <v>58300000</v>
      </c>
      <c r="K39" s="215"/>
      <c r="M39" s="215"/>
    </row>
    <row r="40" spans="2:13" ht="20.25" customHeight="1" x14ac:dyDescent="0.25">
      <c r="B40" s="209">
        <v>6</v>
      </c>
      <c r="C40" s="158" t="s">
        <v>93</v>
      </c>
      <c r="D40" s="159"/>
      <c r="E40" s="160"/>
      <c r="F40" s="216"/>
      <c r="G40" s="217"/>
      <c r="H40" s="218"/>
      <c r="I40" s="161">
        <f>전기!H37+'#10'!H84+'#20'!H60+'#30'!H60+'#40'!H60+'#50'!H55+'#60'!H58+'#70'!H68+'#80'!H77+'#90'!H63+'#100'!H60+'#110'!H68+'#120'!H62+'#130'!H60+'#140'!H51+'#150'!H54+'#160'!H60+'#170'!H65+'#180'!H68+'#190'!H62+'#200'!H60+'#210'!H54+'#220'!H54+'#230'!H60+'#240'!H65+'#250'!H52+'#260'!H60+'#270'!H60+'#280'!H60+'#290'!H60+'#300'!H60</f>
        <v>0</v>
      </c>
      <c r="J40" s="149"/>
    </row>
    <row r="41" spans="2:13" ht="20.25" customHeight="1" x14ac:dyDescent="0.25">
      <c r="B41" s="219">
        <v>7</v>
      </c>
      <c r="C41" s="172" t="s">
        <v>94</v>
      </c>
      <c r="D41" s="173"/>
      <c r="E41" s="174"/>
      <c r="F41" s="220"/>
      <c r="G41" s="221"/>
      <c r="H41" s="222"/>
      <c r="I41" s="166">
        <f>전기!H38+'#10'!H85+'#20'!H61+'#30'!H61+'#40'!H61+'#50'!H56+'#60'!H59+'#70'!H69+'#80'!H78+'#90'!H64+'#100'!H61+'#110'!H69+'#120'!H63+'#130'!H61+'#140'!H52+'#150'!H55+'#160'!H61+'#170'!H66+'#180'!H69+'#190'!H63+'#200'!H61+'#210'!H55+'#220'!H55+'#230'!H61+'#240'!H66+'#250'!H53+'#260'!H61+'#270'!H61+'#280'!H61+'#290'!H61+'#300'!H61</f>
        <v>0</v>
      </c>
      <c r="J41" s="167"/>
      <c r="K41" s="116"/>
    </row>
    <row r="42" spans="2:13" ht="28.5" customHeight="1" thickBot="1" x14ac:dyDescent="0.3">
      <c r="B42" s="223"/>
      <c r="C42" s="224" t="s">
        <v>95</v>
      </c>
      <c r="D42" s="224"/>
      <c r="E42" s="224"/>
      <c r="F42" s="225" t="s">
        <v>96</v>
      </c>
      <c r="G42" s="226"/>
      <c r="H42" s="227"/>
      <c r="I42" s="228">
        <f>I22+I34+I38+I39</f>
        <v>1489962000</v>
      </c>
      <c r="J42" s="229"/>
      <c r="K42" s="116"/>
    </row>
    <row r="43" spans="2:13" ht="19.5" customHeight="1" x14ac:dyDescent="0.25">
      <c r="B43" s="230" t="s">
        <v>97</v>
      </c>
      <c r="C43" s="118"/>
      <c r="D43" s="118"/>
      <c r="E43" s="118"/>
    </row>
    <row r="44" spans="2:13" ht="19.5" customHeight="1" x14ac:dyDescent="0.25">
      <c r="B44" s="116" t="s">
        <v>98</v>
      </c>
      <c r="C44" s="118"/>
      <c r="D44" s="118"/>
      <c r="E44" s="118"/>
    </row>
    <row r="45" spans="2:13" ht="19.5" customHeight="1" x14ac:dyDescent="0.25">
      <c r="C45" s="118"/>
      <c r="D45" s="118"/>
      <c r="E45" s="118"/>
    </row>
    <row r="46" spans="2:13" ht="19.5" customHeight="1" x14ac:dyDescent="0.25">
      <c r="C46" s="118"/>
      <c r="D46" s="118"/>
      <c r="E46" s="231" t="s">
        <v>99</v>
      </c>
      <c r="F46" s="232" t="s">
        <v>100</v>
      </c>
      <c r="G46" s="233"/>
      <c r="H46" s="234"/>
      <c r="I46" s="235" t="s">
        <v>101</v>
      </c>
      <c r="J46" s="236" t="s">
        <v>102</v>
      </c>
      <c r="K46" s="237" t="s">
        <v>103</v>
      </c>
    </row>
    <row r="47" spans="2:13" ht="19.5" customHeight="1" x14ac:dyDescent="0.25">
      <c r="C47" s="118"/>
      <c r="D47" s="118"/>
      <c r="E47" s="238"/>
      <c r="F47" s="239" t="s">
        <v>104</v>
      </c>
      <c r="G47" s="240"/>
      <c r="H47" s="240"/>
      <c r="I47" s="161">
        <f>IF(J47&lt;500000000,J47*0.0309,1)+IF(J47&gt;500000000,J47*0.0199+5499000)*IF(J47&gt;5000000000,0,1)+IF(J47&gt;5000000000,J47*0.021,0)</f>
        <v>35106221</v>
      </c>
      <c r="J47" s="241">
        <f>SUM(I7:I10,I12:I19,I23:I31,I38)</f>
        <v>1487800000</v>
      </c>
      <c r="K47" s="241" t="s">
        <v>105</v>
      </c>
    </row>
    <row r="48" spans="2:13" ht="19.5" customHeight="1" x14ac:dyDescent="0.25">
      <c r="E48" s="242"/>
      <c r="F48" s="239" t="s">
        <v>106</v>
      </c>
      <c r="G48" s="240"/>
      <c r="H48" s="240"/>
      <c r="I48" s="161">
        <f>(IF(J48&lt;500000000,J48*0.0309,1)+IF(J48&gt;500000000,J48*0.0199+5499000)*IF(J48&gt;5000000000,0,1)+IF(J48&gt;5000000000,J48*0.021,0))*1.2</f>
        <v>2161764</v>
      </c>
      <c r="J48" s="243">
        <f>SUM(I10,I24,I12,I16:I17,I25,I29:I30)</f>
        <v>58300000</v>
      </c>
      <c r="K48" s="241" t="s">
        <v>107</v>
      </c>
    </row>
    <row r="49" spans="7:7" ht="19.5" customHeight="1" x14ac:dyDescent="0.25">
      <c r="G49" s="244" t="s">
        <v>108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7F60-B12A-4B4D-B0BB-7180149E593A}">
  <sheetPr>
    <pageSetUpPr fitToPage="1"/>
  </sheetPr>
  <dimension ref="A1:P42"/>
  <sheetViews>
    <sheetView topLeftCell="A17" zoomScale="90" zoomScaleNormal="90" workbookViewId="0">
      <selection activeCell="M25" sqref="M25"/>
    </sheetView>
  </sheetViews>
  <sheetFormatPr defaultColWidth="9" defaultRowHeight="17.25" customHeight="1" x14ac:dyDescent="0.25"/>
  <cols>
    <col min="1" max="1" width="5" style="245" customWidth="1"/>
    <col min="2" max="2" width="63.09765625" style="245" bestFit="1" customWidth="1"/>
    <col min="3" max="3" width="6.19921875" style="245" customWidth="1"/>
    <col min="4" max="6" width="11.8984375" style="245" customWidth="1"/>
    <col min="7" max="8" width="14" style="245" customWidth="1"/>
    <col min="9" max="9" width="13" style="245" customWidth="1"/>
    <col min="10" max="10" width="16.59765625" style="245" bestFit="1" customWidth="1"/>
    <col min="11" max="11" width="13.8984375" style="245" customWidth="1"/>
    <col min="12" max="12" width="12.5" style="245" bestFit="1" customWidth="1"/>
    <col min="13" max="13" width="15" style="245" bestFit="1" customWidth="1"/>
    <col min="14" max="14" width="16.59765625" style="245" bestFit="1" customWidth="1"/>
    <col min="15" max="15" width="9.59765625" style="245" customWidth="1"/>
    <col min="16" max="16" width="12.59765625" style="245" hidden="1" customWidth="1"/>
    <col min="17" max="17" width="10" style="245" customWidth="1"/>
    <col min="18" max="16384" width="9" style="245"/>
  </cols>
  <sheetData>
    <row r="1" spans="1:16" ht="6.75" customHeight="1" x14ac:dyDescent="0.25"/>
    <row r="2" spans="1:16" ht="31.5" customHeight="1" x14ac:dyDescent="0.25">
      <c r="A2" s="108" t="s">
        <v>109</v>
      </c>
    </row>
    <row r="3" spans="1:16" ht="17.25" customHeight="1" thickBot="1" x14ac:dyDescent="0.3">
      <c r="N3" s="245" t="s">
        <v>110</v>
      </c>
    </row>
    <row r="4" spans="1:16" s="254" customFormat="1" ht="8.25" customHeight="1" x14ac:dyDescent="0.25">
      <c r="A4" s="246"/>
      <c r="B4" s="246"/>
      <c r="C4" s="246"/>
      <c r="D4" s="247"/>
      <c r="E4" s="248"/>
      <c r="F4" s="248"/>
      <c r="G4" s="248"/>
      <c r="H4" s="248"/>
      <c r="I4" s="248"/>
      <c r="J4" s="249"/>
      <c r="K4" s="250"/>
      <c r="L4" s="250"/>
      <c r="M4" s="251"/>
      <c r="N4" s="252"/>
      <c r="O4" s="253"/>
    </row>
    <row r="5" spans="1:16" s="254" customFormat="1" ht="25.5" customHeight="1" x14ac:dyDescent="0.25">
      <c r="A5" s="255"/>
      <c r="B5" s="255"/>
      <c r="C5" s="255"/>
      <c r="D5" s="256"/>
      <c r="E5" s="257"/>
      <c r="F5" s="257"/>
      <c r="G5" s="257"/>
      <c r="H5" s="257"/>
      <c r="I5" s="258" t="s">
        <v>111</v>
      </c>
      <c r="J5" s="259"/>
      <c r="K5" s="52"/>
      <c r="L5" s="52" t="s">
        <v>112</v>
      </c>
      <c r="M5" s="260" t="s">
        <v>93</v>
      </c>
      <c r="N5" s="261"/>
      <c r="O5" s="262"/>
    </row>
    <row r="6" spans="1:16" s="254" customFormat="1" ht="25.5" customHeight="1" thickBot="1" x14ac:dyDescent="0.3">
      <c r="A6" s="263" t="s">
        <v>46</v>
      </c>
      <c r="B6" s="263" t="s">
        <v>113</v>
      </c>
      <c r="C6" s="263" t="s">
        <v>49</v>
      </c>
      <c r="D6" s="264" t="s">
        <v>54</v>
      </c>
      <c r="E6" s="265" t="s">
        <v>114</v>
      </c>
      <c r="F6" s="265" t="s">
        <v>84</v>
      </c>
      <c r="G6" s="265" t="s">
        <v>115</v>
      </c>
      <c r="H6" s="265" t="s">
        <v>76</v>
      </c>
      <c r="I6" s="266" t="s">
        <v>116</v>
      </c>
      <c r="J6" s="267" t="s">
        <v>117</v>
      </c>
      <c r="K6" s="268" t="s">
        <v>118</v>
      </c>
      <c r="L6" s="268" t="s">
        <v>119</v>
      </c>
      <c r="M6" s="269" t="s">
        <v>120</v>
      </c>
      <c r="N6" s="270" t="s">
        <v>121</v>
      </c>
      <c r="O6" s="271" t="s">
        <v>29</v>
      </c>
    </row>
    <row r="7" spans="1:16" s="282" customFormat="1" ht="25.5" customHeight="1" thickTop="1" x14ac:dyDescent="0.25">
      <c r="A7" s="272">
        <f>IF(B7&gt;0,1,"")</f>
        <v>1</v>
      </c>
      <c r="B7" s="273" t="str">
        <f>'#10'!C$1</f>
        <v>I/R선별,적재,공급</v>
      </c>
      <c r="C7" s="272" t="s">
        <v>122</v>
      </c>
      <c r="D7" s="274">
        <f>'#10'!H73</f>
        <v>113410000</v>
      </c>
      <c r="E7" s="275">
        <f>'#10'!H74</f>
        <v>0</v>
      </c>
      <c r="F7" s="275">
        <f>'#10'!H75+'#10'!H76+'#10'!H77+'#10'!H81</f>
        <v>35000000</v>
      </c>
      <c r="G7" s="275">
        <f>'#10'!H78+'#10'!H79</f>
        <v>7500000</v>
      </c>
      <c r="H7" s="275">
        <f>'#10'!H80</f>
        <v>1500000</v>
      </c>
      <c r="I7" s="276">
        <f>IF($B7&gt;0,'원가항목별(집계)'!I$38*$P7/$P$37,0)</f>
        <v>383708.45860079629</v>
      </c>
      <c r="J7" s="277">
        <f>SUM(D7:I7)</f>
        <v>157793708.45860079</v>
      </c>
      <c r="K7" s="278">
        <f>IF(B7&gt;0,'원가항목별(집계)'!I$34*P7/P$37,0)</f>
        <v>32500106.443487447</v>
      </c>
      <c r="L7" s="278">
        <f>IF($B7&gt;0,'원가항목별(집계)'!I$39*$P7/$P$37,0)</f>
        <v>276525.89583164052</v>
      </c>
      <c r="M7" s="279">
        <f>'#10'!H84+'#10'!H85</f>
        <v>0</v>
      </c>
      <c r="N7" s="280">
        <f>SUM(J7:M7)</f>
        <v>190570340.79791987</v>
      </c>
      <c r="O7" s="281"/>
      <c r="P7" s="282">
        <f>D7+E7+F7+G7+H7+M7</f>
        <v>157410000</v>
      </c>
    </row>
    <row r="8" spans="1:16" s="282" customFormat="1" ht="25.5" customHeight="1" x14ac:dyDescent="0.25">
      <c r="A8" s="283">
        <f>IF(B8&gt;0,A7+1,"")</f>
        <v>2</v>
      </c>
      <c r="B8" s="284" t="str">
        <f>'#20'!C$1</f>
        <v>I/B선별기</v>
      </c>
      <c r="C8" s="283" t="s">
        <v>122</v>
      </c>
      <c r="D8" s="285">
        <f>'#20'!H49</f>
        <v>57790000</v>
      </c>
      <c r="E8" s="286">
        <f>'#20'!H50</f>
        <v>0</v>
      </c>
      <c r="F8" s="286">
        <f>'#20'!H51+'#20'!H52+'#20'!H53+'#20'!H57</f>
        <v>14750000</v>
      </c>
      <c r="G8" s="286">
        <f>'#20'!H54+'#20'!H55</f>
        <v>1800000</v>
      </c>
      <c r="H8" s="286">
        <f>'#20'!H56</f>
        <v>300000</v>
      </c>
      <c r="I8" s="287">
        <f>IF($B8&gt;0,'원가항목별(집계)'!I$38*$P8/$P$37,0)</f>
        <v>181945.23441943611</v>
      </c>
      <c r="J8" s="288">
        <f>SUM(D8:I8)</f>
        <v>74821945.234419435</v>
      </c>
      <c r="K8" s="289">
        <f>IF(B8&gt;0,'원가항목별(집계)'!I$34*P8/P$37,0)</f>
        <v>15410761.355326237</v>
      </c>
      <c r="L8" s="289">
        <f>IF($B8&gt;0,'원가항목별(집계)'!I$39*$P8/$P$37,0)</f>
        <v>131121.86560494028</v>
      </c>
      <c r="M8" s="290">
        <f>'#20'!H60+'#20'!H61</f>
        <v>0</v>
      </c>
      <c r="N8" s="291">
        <f t="shared" ref="N8:N36" si="0">SUM(J8:M8)</f>
        <v>90363828.455350608</v>
      </c>
      <c r="O8" s="292"/>
      <c r="P8" s="282">
        <f t="shared" ref="P8:P36" si="1">D8+E8+F8+G8+H8+M8</f>
        <v>74640000</v>
      </c>
    </row>
    <row r="9" spans="1:16" s="282" customFormat="1" ht="25.5" customHeight="1" x14ac:dyDescent="0.25">
      <c r="A9" s="283">
        <f>IF(B9&gt;0,A8+1,"")</f>
        <v>3</v>
      </c>
      <c r="B9" s="284" t="str">
        <f>'#30'!C$1</f>
        <v>I/B CLIP조립</v>
      </c>
      <c r="C9" s="283" t="s">
        <v>123</v>
      </c>
      <c r="D9" s="285">
        <f>'#30'!H49</f>
        <v>14590000</v>
      </c>
      <c r="E9" s="286">
        <f>'#30'!H50</f>
        <v>0</v>
      </c>
      <c r="F9" s="286">
        <f>'#30'!H51+'#30'!H52+'#30'!H53+'#30'!H57</f>
        <v>16000000</v>
      </c>
      <c r="G9" s="286">
        <f>'#30'!H54+'#30'!H55</f>
        <v>1800000</v>
      </c>
      <c r="H9" s="286">
        <f>'#30'!H56</f>
        <v>300000</v>
      </c>
      <c r="I9" s="287">
        <f>IF($B9&gt;0,'원가항목별(집계)'!I$38*$P9/$P$37,0)</f>
        <v>79686.357357601359</v>
      </c>
      <c r="J9" s="288">
        <f t="shared" ref="J9:J38" si="2">SUM(D9:I9)</f>
        <v>32769686.357357603</v>
      </c>
      <c r="K9" s="289">
        <f>IF(B9&gt;0,'원가항목별(집계)'!I$34*P9/P$37,0)</f>
        <v>6749434.4681888353</v>
      </c>
      <c r="L9" s="289">
        <f>IF($B9&gt;0,'원가항목별(집계)'!I$39*$P9/$P$37,0)</f>
        <v>57427.301535711384</v>
      </c>
      <c r="M9" s="290">
        <f>'#30'!H60+'#30'!H61</f>
        <v>0</v>
      </c>
      <c r="N9" s="291">
        <f t="shared" si="0"/>
        <v>39576548.127082147</v>
      </c>
      <c r="O9" s="292"/>
      <c r="P9" s="282">
        <f t="shared" si="1"/>
        <v>32690000</v>
      </c>
    </row>
    <row r="10" spans="1:16" s="282" customFormat="1" ht="25.5" customHeight="1" x14ac:dyDescent="0.25">
      <c r="A10" s="283">
        <f>IF(B10&gt;0,A9+1,"")</f>
        <v>4</v>
      </c>
      <c r="B10" s="284" t="str">
        <f>'#40'!C$1</f>
        <v xml:space="preserve">GRV정렬
</v>
      </c>
      <c r="C10" s="283" t="s">
        <v>123</v>
      </c>
      <c r="D10" s="285">
        <f>'#40'!H49</f>
        <v>7290000</v>
      </c>
      <c r="E10" s="286">
        <f>'#40'!H50</f>
        <v>0</v>
      </c>
      <c r="F10" s="286">
        <f>'#40'!H51+'#40'!H52+'#40'!H53+'#40'!H57</f>
        <v>14750000</v>
      </c>
      <c r="G10" s="286">
        <f>'#40'!H54+'#40'!H55</f>
        <v>1800000</v>
      </c>
      <c r="H10" s="286">
        <f>'#40'!H56</f>
        <v>300000</v>
      </c>
      <c r="I10" s="287">
        <f>IF($B10&gt;0,'원가항목별(집계)'!I$38*$P10/$P$37,0)</f>
        <v>58844.560006500367</v>
      </c>
      <c r="J10" s="288">
        <f t="shared" si="2"/>
        <v>24198844.560006499</v>
      </c>
      <c r="K10" s="289">
        <f>IF(B10&gt;0,'원가항목별(집계)'!I$34*P10/P$37,0)</f>
        <v>4984134.232550581</v>
      </c>
      <c r="L10" s="289">
        <f>IF($B10&gt;0,'원가항목별(집계)'!I$39*$P10/$P$37,0)</f>
        <v>42407.312911351262</v>
      </c>
      <c r="M10" s="290">
        <f>'#40'!H60+'#40'!H61</f>
        <v>0</v>
      </c>
      <c r="N10" s="291">
        <f t="shared" si="0"/>
        <v>29225386.10546843</v>
      </c>
      <c r="O10" s="292"/>
      <c r="P10" s="282">
        <f t="shared" si="1"/>
        <v>24140000</v>
      </c>
    </row>
    <row r="11" spans="1:16" s="282" customFormat="1" ht="25.5" customHeight="1" x14ac:dyDescent="0.25">
      <c r="A11" s="283">
        <f>IF(B11&gt;0,A10+1,"")</f>
        <v>5</v>
      </c>
      <c r="B11" s="284" t="str">
        <f>'#50'!C$1</f>
        <v>I/B선별</v>
      </c>
      <c r="C11" s="283" t="s">
        <v>123</v>
      </c>
      <c r="D11" s="285">
        <f>'#50'!H44</f>
        <v>19710000</v>
      </c>
      <c r="E11" s="286">
        <f>'#50'!H45</f>
        <v>0</v>
      </c>
      <c r="F11" s="286">
        <f>'#50'!H46+'#50'!H47+'#50'!H48+'#50'!H52</f>
        <v>21500000</v>
      </c>
      <c r="G11" s="286">
        <f>'#50'!H49+'#50'!H50</f>
        <v>2700000</v>
      </c>
      <c r="H11" s="286">
        <f>'#50'!H51</f>
        <v>300000</v>
      </c>
      <c r="I11" s="287">
        <f>IF($B11&gt;0,'원가항목별(집계)'!I$38*$P11/$P$37,0)</f>
        <v>107767.93694645324</v>
      </c>
      <c r="J11" s="288">
        <f t="shared" si="2"/>
        <v>44317767.936946452</v>
      </c>
      <c r="K11" s="289">
        <f>IF(B11&gt;0,'원가항목별(집계)'!I$34*P11/P$37,0)</f>
        <v>9127944.25936459</v>
      </c>
      <c r="L11" s="289">
        <f>IF($B11&gt;0,'원가항목별(집계)'!I$39*$P11/$P$37,0)</f>
        <v>77664.759892743969</v>
      </c>
      <c r="M11" s="290">
        <f>'#50'!H55+'#50'!H56</f>
        <v>0</v>
      </c>
      <c r="N11" s="291">
        <f t="shared" si="0"/>
        <v>53523376.956203789</v>
      </c>
      <c r="O11" s="292"/>
      <c r="P11" s="282">
        <f t="shared" si="1"/>
        <v>44210000</v>
      </c>
    </row>
    <row r="12" spans="1:16" s="282" customFormat="1" ht="25.5" customHeight="1" x14ac:dyDescent="0.25">
      <c r="A12" s="283">
        <f>IF(B12&gt;0,A11+1,"")</f>
        <v>6</v>
      </c>
      <c r="B12" s="284" t="str">
        <f>'#60'!C$1</f>
        <v>마킹</v>
      </c>
      <c r="C12" s="283" t="s">
        <v>123</v>
      </c>
      <c r="D12" s="285">
        <f>'#60'!H47</f>
        <v>67090000</v>
      </c>
      <c r="E12" s="286">
        <f>'#60'!H48</f>
        <v>0</v>
      </c>
      <c r="F12" s="286">
        <f>'#60'!H49+'#60'!H50+'#60'!H51+'#60'!H55</f>
        <v>14750000</v>
      </c>
      <c r="G12" s="286">
        <f>'#60'!H52+'#60'!H53</f>
        <v>1800000</v>
      </c>
      <c r="H12" s="286">
        <f>'#60'!H54</f>
        <v>600000</v>
      </c>
      <c r="I12" s="287">
        <f>IF($B12&gt;0,'원가항목별(집계)'!I$38*$P12/$P$37,0)</f>
        <v>205346.55074347931</v>
      </c>
      <c r="J12" s="288">
        <f t="shared" si="2"/>
        <v>84445346.550743476</v>
      </c>
      <c r="K12" s="289">
        <f>IF(B12&gt;0,'원가항목별(집계)'!I$34*P12/P$37,0)</f>
        <v>17392852.847972699</v>
      </c>
      <c r="L12" s="289">
        <f>IF($B12&gt;0,'원가항목별(집계)'!I$39*$P12/$P$37,0)</f>
        <v>147986.41423580077</v>
      </c>
      <c r="M12" s="290">
        <f>'#60'!H58+'#60'!H59</f>
        <v>0</v>
      </c>
      <c r="N12" s="291">
        <f t="shared" si="0"/>
        <v>101986185.81295198</v>
      </c>
      <c r="O12" s="292"/>
      <c r="P12" s="282">
        <f t="shared" si="1"/>
        <v>84240000</v>
      </c>
    </row>
    <row r="13" spans="1:16" s="282" customFormat="1" ht="25.5" customHeight="1" x14ac:dyDescent="0.25">
      <c r="A13" s="283">
        <f t="shared" ref="A13:A36" si="3">IF(B13&gt;0,A12+1,"")</f>
        <v>7</v>
      </c>
      <c r="B13" s="284" t="str">
        <f>'#70'!C$1</f>
        <v>I/B D/COVER압입</v>
      </c>
      <c r="C13" s="283" t="s">
        <v>123</v>
      </c>
      <c r="D13" s="285">
        <f>'#70'!H57</f>
        <v>51560000</v>
      </c>
      <c r="E13" s="286">
        <f>'#70'!H58</f>
        <v>0</v>
      </c>
      <c r="F13" s="286">
        <f>'#70'!H59+'#70'!H60+'#70'!H61+'#70'!H65</f>
        <v>17500000</v>
      </c>
      <c r="G13" s="286">
        <f>'#70'!H62+'#70'!H63</f>
        <v>1800000</v>
      </c>
      <c r="H13" s="286">
        <f>'#70'!H64</f>
        <v>300000</v>
      </c>
      <c r="I13" s="287">
        <f>IF($B13&gt;0,'원가항목별(집계)'!I$38*$P13/$P$37,0)</f>
        <v>173462.25725197041</v>
      </c>
      <c r="J13" s="288">
        <f t="shared" si="2"/>
        <v>71333462.257251963</v>
      </c>
      <c r="K13" s="289">
        <f>IF(B13&gt;0,'원가항목별(집계)'!I$34*P13/P$37,0)</f>
        <v>14692253.189241895</v>
      </c>
      <c r="L13" s="289">
        <f>IF($B13&gt;0,'원가항목별(집계)'!I$39*$P13/$P$37,0)</f>
        <v>125008.46672625335</v>
      </c>
      <c r="M13" s="290">
        <f>'#70'!H68+'#70'!H69</f>
        <v>0</v>
      </c>
      <c r="N13" s="291">
        <f t="shared" si="0"/>
        <v>86150723.913220122</v>
      </c>
      <c r="O13" s="292"/>
      <c r="P13" s="282">
        <f t="shared" si="1"/>
        <v>71160000</v>
      </c>
    </row>
    <row r="14" spans="1:16" s="282" customFormat="1" ht="25.5" customHeight="1" x14ac:dyDescent="0.25">
      <c r="A14" s="283">
        <f t="shared" si="3"/>
        <v>8</v>
      </c>
      <c r="B14" s="284" t="str">
        <f>'#80'!C$1</f>
        <v>반전및 B/P압입</v>
      </c>
      <c r="C14" s="283" t="s">
        <v>123</v>
      </c>
      <c r="D14" s="285">
        <f>'#80'!H66</f>
        <v>64860000</v>
      </c>
      <c r="E14" s="286">
        <f>'#80'!H67</f>
        <v>0</v>
      </c>
      <c r="F14" s="286">
        <f>'#80'!H68+'#80'!H69+'#80'!H70+'#80'!H74</f>
        <v>17500000</v>
      </c>
      <c r="G14" s="286">
        <f>'#80'!H71+'#80'!H72</f>
        <v>1800000</v>
      </c>
      <c r="H14" s="286">
        <f>'#80'!H73</f>
        <v>300000</v>
      </c>
      <c r="I14" s="287">
        <f>IF($B14&gt;0,'원가항목별(집계)'!I$38*$P14/$P$37,0)</f>
        <v>205882.83090923863</v>
      </c>
      <c r="J14" s="288">
        <f t="shared" si="2"/>
        <v>84665882.830909237</v>
      </c>
      <c r="K14" s="289">
        <f>IF(B14&gt;0,'원가항목별(집계)'!I$34*P14/P$37,0)</f>
        <v>17438275.778012514</v>
      </c>
      <c r="L14" s="289">
        <f>IF($B14&gt;0,'원가항목별(집계)'!I$39*$P14/$P$37,0)</f>
        <v>148372.893475258</v>
      </c>
      <c r="M14" s="290">
        <f>'#80'!H77+'#80'!H78</f>
        <v>0</v>
      </c>
      <c r="N14" s="291">
        <f t="shared" si="0"/>
        <v>102252531.50239702</v>
      </c>
      <c r="O14" s="292"/>
      <c r="P14" s="282">
        <f t="shared" si="1"/>
        <v>84460000</v>
      </c>
    </row>
    <row r="15" spans="1:16" s="282" customFormat="1" ht="25.5" customHeight="1" x14ac:dyDescent="0.25">
      <c r="A15" s="283">
        <f t="shared" si="3"/>
        <v>9</v>
      </c>
      <c r="B15" s="284" t="str">
        <f>'#90'!C$1</f>
        <v>I/R공급 및 방향정렬</v>
      </c>
      <c r="C15" s="283" t="s">
        <v>123</v>
      </c>
      <c r="D15" s="285">
        <f>'#90'!H52</f>
        <v>38670000</v>
      </c>
      <c r="E15" s="286">
        <f>'#90'!H53</f>
        <v>0</v>
      </c>
      <c r="F15" s="286">
        <f>'#90'!H54+'#90'!H55+'#90'!H56+'#90'!H60</f>
        <v>17500000</v>
      </c>
      <c r="G15" s="286">
        <f>'#90'!H57+'#90'!H58</f>
        <v>1800000</v>
      </c>
      <c r="H15" s="286">
        <f>'#90'!H59</f>
        <v>300000</v>
      </c>
      <c r="I15" s="287">
        <f>IF($B15&gt;0,'원가항목별(집계)'!I$38*$P15/$P$37,0)</f>
        <v>142041.11481270823</v>
      </c>
      <c r="J15" s="288">
        <f t="shared" si="2"/>
        <v>58412041.114812709</v>
      </c>
      <c r="K15" s="289">
        <f>IF(B15&gt;0,'원가항목별(집계)'!I$34*P15/P$37,0)</f>
        <v>12030882.424636386</v>
      </c>
      <c r="L15" s="289">
        <f>IF($B15&gt;0,'원가항목별(집계)'!I$39*$P15/$P$37,0)</f>
        <v>102364.29674169172</v>
      </c>
      <c r="M15" s="290">
        <f>'#90'!H63+'#90'!H64</f>
        <v>0</v>
      </c>
      <c r="N15" s="291">
        <f t="shared" si="0"/>
        <v>70545287.83619079</v>
      </c>
      <c r="O15" s="292"/>
      <c r="P15" s="282">
        <f t="shared" si="1"/>
        <v>58270000</v>
      </c>
    </row>
    <row r="16" spans="1:16" s="282" customFormat="1" ht="25.5" customHeight="1" x14ac:dyDescent="0.25">
      <c r="A16" s="283">
        <f t="shared" si="3"/>
        <v>10</v>
      </c>
      <c r="B16" s="284" t="str">
        <f>'#100'!C$1</f>
        <v>I/B볼 자동 공급</v>
      </c>
      <c r="C16" s="283" t="s">
        <v>123</v>
      </c>
      <c r="D16" s="285">
        <f>'#100'!H49</f>
        <v>29870000</v>
      </c>
      <c r="E16" s="286">
        <f>'#100'!H50</f>
        <v>0</v>
      </c>
      <c r="F16" s="286">
        <f>'#100'!H51+'#100'!H52+'#100'!H53+'#100'!H57</f>
        <v>16250000</v>
      </c>
      <c r="G16" s="286">
        <f>'#100'!H54+'#100'!H55</f>
        <v>1800000</v>
      </c>
      <c r="H16" s="286">
        <f>'#100'!H56</f>
        <v>600000</v>
      </c>
      <c r="I16" s="287">
        <f>IF($B16&gt;0,'원가항목별(집계)'!I$38*$P16/$P$37,0)</f>
        <v>118274.15292110181</v>
      </c>
      <c r="J16" s="288">
        <f t="shared" si="2"/>
        <v>48638274.152921103</v>
      </c>
      <c r="K16" s="289">
        <f>IF(B16&gt;0,'원가항목별(집계)'!I$34*P16/P$37,0)</f>
        <v>10017820.752417324</v>
      </c>
      <c r="L16" s="289">
        <f>IF($B16&gt;0,'원가항목별(집계)'!I$39*$P16/$P$37,0)</f>
        <v>85236.239538474038</v>
      </c>
      <c r="M16" s="290">
        <f>'#100'!H60+'#100'!H61</f>
        <v>0</v>
      </c>
      <c r="N16" s="291">
        <f t="shared" si="0"/>
        <v>58741331.144876905</v>
      </c>
      <c r="O16" s="292"/>
      <c r="P16" s="282">
        <f t="shared" si="1"/>
        <v>48520000</v>
      </c>
    </row>
    <row r="17" spans="1:16" s="282" customFormat="1" ht="25.5" customHeight="1" x14ac:dyDescent="0.25">
      <c r="A17" s="283">
        <f t="shared" si="3"/>
        <v>11</v>
      </c>
      <c r="B17" s="284" t="str">
        <f>'#110'!C$1</f>
        <v>I/B SUB 자동 조립</v>
      </c>
      <c r="C17" s="283" t="s">
        <v>123</v>
      </c>
      <c r="D17" s="285">
        <f>'#110'!H57</f>
        <v>25010000</v>
      </c>
      <c r="E17" s="286">
        <f>'#110'!H58</f>
        <v>0</v>
      </c>
      <c r="F17" s="286">
        <f>'#110'!H59+'#110'!H60+'#110'!H61+'#110'!H65</f>
        <v>22500000</v>
      </c>
      <c r="G17" s="286">
        <f>'#110'!H62+'#110'!H63</f>
        <v>3000000</v>
      </c>
      <c r="H17" s="286">
        <f>'#110'!H64</f>
        <v>1200000</v>
      </c>
      <c r="I17" s="287">
        <f>IF($B17&gt;0,'원가항목별(집계)'!I$38*$P17/$P$37,0)</f>
        <v>126050.21532461201</v>
      </c>
      <c r="J17" s="288">
        <f t="shared" si="2"/>
        <v>51836050.21532461</v>
      </c>
      <c r="K17" s="289">
        <f>IF(B17&gt;0,'원가항목별(집계)'!I$34*P17/P$37,0)</f>
        <v>10676453.237994637</v>
      </c>
      <c r="L17" s="289">
        <f>IF($B17&gt;0,'원가항목별(집계)'!I$39*$P17/$P$37,0)</f>
        <v>90840.188510603723</v>
      </c>
      <c r="M17" s="290">
        <f>'#110'!H68+'#110'!H69</f>
        <v>0</v>
      </c>
      <c r="N17" s="291">
        <f t="shared" si="0"/>
        <v>62603343.641829856</v>
      </c>
      <c r="O17" s="292"/>
      <c r="P17" s="282">
        <f t="shared" si="1"/>
        <v>51710000</v>
      </c>
    </row>
    <row r="18" spans="1:16" s="282" customFormat="1" ht="25.5" customHeight="1" x14ac:dyDescent="0.25">
      <c r="A18" s="283">
        <f t="shared" si="3"/>
        <v>12</v>
      </c>
      <c r="B18" s="284" t="str">
        <f>'#120'!C$1</f>
        <v>I/B 스토퍼링 조립</v>
      </c>
      <c r="C18" s="283" t="s">
        <v>123</v>
      </c>
      <c r="D18" s="285">
        <f>'#120'!H51</f>
        <v>42720000</v>
      </c>
      <c r="E18" s="286">
        <f>'#120'!H52</f>
        <v>0</v>
      </c>
      <c r="F18" s="286">
        <f>'#120'!H53+'#120'!H54+'#120'!H55+'#120'!H59</f>
        <v>14750000</v>
      </c>
      <c r="G18" s="286">
        <f>'#120'!H56+'#120'!H57</f>
        <v>1800000</v>
      </c>
      <c r="H18" s="286">
        <f>'#120'!H58</f>
        <v>900000</v>
      </c>
      <c r="I18" s="287">
        <f>IF($B18&gt;0,'원가항목별(집계)'!I$38*$P18/$P$37,0)</f>
        <v>146672.62533517511</v>
      </c>
      <c r="J18" s="288">
        <f t="shared" si="2"/>
        <v>60316672.625335172</v>
      </c>
      <c r="K18" s="289">
        <f>IF(B18&gt;0,'원가항목별(집계)'!I$34*P18/P$37,0)</f>
        <v>12423171.365889331</v>
      </c>
      <c r="L18" s="289">
        <f>IF($B18&gt;0,'원가항목별(집계)'!I$39*$P18/$P$37,0)</f>
        <v>105702.07199154953</v>
      </c>
      <c r="M18" s="290">
        <f>'#120'!H62+'#120'!H63</f>
        <v>0</v>
      </c>
      <c r="N18" s="291">
        <f t="shared" si="0"/>
        <v>72845546.063216045</v>
      </c>
      <c r="O18" s="292"/>
      <c r="P18" s="282">
        <f t="shared" si="1"/>
        <v>60170000</v>
      </c>
    </row>
    <row r="19" spans="1:16" s="282" customFormat="1" ht="25.5" customHeight="1" x14ac:dyDescent="0.25">
      <c r="A19" s="283">
        <f t="shared" si="3"/>
        <v>13</v>
      </c>
      <c r="B19" s="293" t="str">
        <f>'#130'!C$1</f>
        <v>I/B 로더테스트</v>
      </c>
      <c r="C19" s="294" t="s">
        <v>123</v>
      </c>
      <c r="D19" s="295">
        <f>'#130'!H49</f>
        <v>22890000</v>
      </c>
      <c r="E19" s="296">
        <f>'#130'!H50</f>
        <v>0</v>
      </c>
      <c r="F19" s="296">
        <f>'#130'!H51+'#130'!H52+'#130'!H53+'#130'!H57</f>
        <v>22750000</v>
      </c>
      <c r="G19" s="296">
        <f>'#130'!H54+'#130'!H55</f>
        <v>1800000</v>
      </c>
      <c r="H19" s="296">
        <f>'#130'!H56</f>
        <v>300000</v>
      </c>
      <c r="I19" s="297">
        <f>IF($B19&gt;0,'원가항목별(집계)'!I$38*$P19/$P$37,0)</f>
        <v>116372.7959697733</v>
      </c>
      <c r="J19" s="298">
        <f t="shared" si="2"/>
        <v>47856372.795969777</v>
      </c>
      <c r="K19" s="299">
        <f>IF(B19&gt;0,'원가항목별(집계)'!I$34*P19/P$37,0)</f>
        <v>9856775.8186397981</v>
      </c>
      <c r="L19" s="299">
        <f>IF($B19&gt;0,'원가항목별(집계)'!I$39*$P19/$P$37,0)</f>
        <v>83865.994962216631</v>
      </c>
      <c r="M19" s="300">
        <f>'#130'!H60+'#130'!H61</f>
        <v>0</v>
      </c>
      <c r="N19" s="301">
        <f t="shared" si="0"/>
        <v>57797014.609571792</v>
      </c>
      <c r="O19" s="302"/>
      <c r="P19" s="282">
        <f t="shared" si="1"/>
        <v>47740000</v>
      </c>
    </row>
    <row r="20" spans="1:16" s="282" customFormat="1" ht="25.5" customHeight="1" x14ac:dyDescent="0.25">
      <c r="A20" s="283">
        <f t="shared" si="3"/>
        <v>14</v>
      </c>
      <c r="B20" s="284" t="str">
        <f>'#140'!C$1</f>
        <v>I/B 그리스 주입</v>
      </c>
      <c r="C20" s="283" t="s">
        <v>123</v>
      </c>
      <c r="D20" s="285">
        <f>'#140'!H40</f>
        <v>44040000</v>
      </c>
      <c r="E20" s="286">
        <f>'#140'!H41</f>
        <v>0</v>
      </c>
      <c r="F20" s="286">
        <f>'#140'!H42+'#140'!H43+'#140'!H44+'#140'!H48</f>
        <v>17500000</v>
      </c>
      <c r="G20" s="286">
        <f>'#140'!H45+'#140'!H46</f>
        <v>1800000</v>
      </c>
      <c r="H20" s="286">
        <f>'#140'!H47</f>
        <v>300000</v>
      </c>
      <c r="I20" s="287">
        <f>IF($B20&gt;0,'원가항목별(집계)'!I$38*$P20/$P$37,0)</f>
        <v>155131.22613146988</v>
      </c>
      <c r="J20" s="288">
        <f t="shared" si="2"/>
        <v>63795131.226131469</v>
      </c>
      <c r="K20" s="289">
        <f>IF(B20&gt;0,'원가항목별(집계)'!I$34*P20/P$37,0)</f>
        <v>13139614.8533355</v>
      </c>
      <c r="L20" s="289">
        <f>IF($B20&gt;0,'원가항목별(집계)'!I$39*$P20/$P$37,0)</f>
        <v>111797.90363207931</v>
      </c>
      <c r="M20" s="290">
        <f>'#140'!H51+'#140'!H52</f>
        <v>0</v>
      </c>
      <c r="N20" s="291">
        <f t="shared" si="0"/>
        <v>77046543.983099043</v>
      </c>
      <c r="O20" s="292"/>
      <c r="P20" s="282">
        <f t="shared" si="1"/>
        <v>63640000</v>
      </c>
    </row>
    <row r="21" spans="1:16" s="282" customFormat="1" ht="25.5" customHeight="1" x14ac:dyDescent="0.25">
      <c r="A21" s="283">
        <f t="shared" si="3"/>
        <v>15</v>
      </c>
      <c r="B21" s="284" t="str">
        <f>'#150'!C$1</f>
        <v>I/B 그리스주입(스플라인)</v>
      </c>
      <c r="C21" s="283" t="s">
        <v>123</v>
      </c>
      <c r="D21" s="285">
        <f>'#150'!H43</f>
        <v>19120000</v>
      </c>
      <c r="E21" s="286">
        <f>'#150'!H44</f>
        <v>0</v>
      </c>
      <c r="F21" s="286">
        <f>'#150'!H45+'#150'!H46+'#150'!H47+'#150'!H51</f>
        <v>17500000</v>
      </c>
      <c r="G21" s="286">
        <f>'#150'!H48+'#150'!H49</f>
        <v>1800000</v>
      </c>
      <c r="H21" s="286">
        <f>'#150'!H50</f>
        <v>300000</v>
      </c>
      <c r="I21" s="287">
        <f>IF($B21&gt;0,'원가항목별(집계)'!I$38*$P21/$P$37,0)</f>
        <v>94385.309173641013</v>
      </c>
      <c r="J21" s="288">
        <f t="shared" si="2"/>
        <v>38814385.309173644</v>
      </c>
      <c r="K21" s="289">
        <f>IF(B21&gt;0,'원가항목별(집계)'!I$34*P21/P$37,0)</f>
        <v>7994435.6870073946</v>
      </c>
      <c r="L21" s="289">
        <f>IF($B21&gt;0,'원가항목별(집계)'!I$39*$P21/$P$37,0)</f>
        <v>68020.346144470634</v>
      </c>
      <c r="M21" s="290">
        <f>'#150'!H54+'#150'!H55</f>
        <v>0</v>
      </c>
      <c r="N21" s="291">
        <f t="shared" si="0"/>
        <v>46876841.342325509</v>
      </c>
      <c r="O21" s="292"/>
      <c r="P21" s="282">
        <f t="shared" si="1"/>
        <v>38720000</v>
      </c>
    </row>
    <row r="22" spans="1:16" s="282" customFormat="1" ht="25.5" customHeight="1" x14ac:dyDescent="0.25">
      <c r="A22" s="283">
        <f t="shared" si="3"/>
        <v>16</v>
      </c>
      <c r="B22" s="284" t="str">
        <f>'#160'!C$1</f>
        <v>비젼검사</v>
      </c>
      <c r="C22" s="283" t="s">
        <v>123</v>
      </c>
      <c r="D22" s="285">
        <f>'#160'!H49</f>
        <v>40730000</v>
      </c>
      <c r="E22" s="286">
        <f>'#160'!H50</f>
        <v>0</v>
      </c>
      <c r="F22" s="286">
        <f>'#160'!H51+'#160'!H52+'#160'!H53+'#160'!H57</f>
        <v>16250000</v>
      </c>
      <c r="G22" s="286">
        <f>'#160'!H54+'#160'!H55</f>
        <v>1800000</v>
      </c>
      <c r="H22" s="286">
        <f>'#160'!H56</f>
        <v>900000</v>
      </c>
      <c r="I22" s="287">
        <f>IF($B22&gt;0,'원가항목별(집계)'!I$38*$P22/$P$37,0)</f>
        <v>145478.18314780208</v>
      </c>
      <c r="J22" s="288">
        <f t="shared" si="2"/>
        <v>59825478.183147803</v>
      </c>
      <c r="K22" s="289">
        <f>IF(B22&gt;0,'원가항목별(집계)'!I$34*P22/P$37,0)</f>
        <v>12322002.112618836</v>
      </c>
      <c r="L22" s="289">
        <f>IF($B22&gt;0,'원가항목별(집계)'!I$39*$P22/$P$37,0)</f>
        <v>104841.27732184935</v>
      </c>
      <c r="M22" s="290">
        <f>'#160'!H60+'#160'!H61</f>
        <v>0</v>
      </c>
      <c r="N22" s="291">
        <f t="shared" si="0"/>
        <v>72252321.573088482</v>
      </c>
      <c r="O22" s="292"/>
      <c r="P22" s="282">
        <f t="shared" si="1"/>
        <v>59680000</v>
      </c>
    </row>
    <row r="23" spans="1:16" s="282" customFormat="1" ht="25.5" customHeight="1" x14ac:dyDescent="0.25">
      <c r="A23" s="283">
        <f t="shared" si="3"/>
        <v>17</v>
      </c>
      <c r="B23" s="284" t="str">
        <f>'#170'!C$1</f>
        <v>배출/반전</v>
      </c>
      <c r="C23" s="283" t="s">
        <v>123</v>
      </c>
      <c r="D23" s="285">
        <f>'#170'!H54</f>
        <v>60970000</v>
      </c>
      <c r="E23" s="286">
        <f>'#170'!H55</f>
        <v>0</v>
      </c>
      <c r="F23" s="286">
        <f>'#170'!H56+'#170'!H57+'#170'!H58+'#170'!H62</f>
        <v>17250000</v>
      </c>
      <c r="G23" s="286">
        <f>'#170'!H59+'#170'!H60</f>
        <v>1800000</v>
      </c>
      <c r="H23" s="286">
        <f>'#170'!H61</f>
        <v>300000</v>
      </c>
      <c r="I23" s="287">
        <f>IF($B23&gt;0,'원가항목별(집계)'!I$38*$P23/$P$37,0)</f>
        <v>195791.013244495</v>
      </c>
      <c r="J23" s="288">
        <f t="shared" si="2"/>
        <v>80515791.013244495</v>
      </c>
      <c r="K23" s="289">
        <f>IF(B23&gt;0,'원가항목별(집계)'!I$34*P23/P$37,0)</f>
        <v>16583498.821808727</v>
      </c>
      <c r="L23" s="289">
        <f>IF($B23&gt;0,'원가항목별(집계)'!I$39*$P23/$P$37,0)</f>
        <v>141100.05687819939</v>
      </c>
      <c r="M23" s="290">
        <f>'#170'!H65+'#170'!H66</f>
        <v>0</v>
      </c>
      <c r="N23" s="291">
        <f t="shared" si="0"/>
        <v>97240389.891931415</v>
      </c>
      <c r="O23" s="292"/>
      <c r="P23" s="282">
        <f t="shared" si="1"/>
        <v>80320000</v>
      </c>
    </row>
    <row r="24" spans="1:16" s="282" customFormat="1" ht="25.5" customHeight="1" x14ac:dyDescent="0.25">
      <c r="A24" s="283">
        <f t="shared" si="3"/>
        <v>18</v>
      </c>
      <c r="B24" s="284" t="str">
        <f>'#180'!C$1</f>
        <v>MAIN CONVEYOR</v>
      </c>
      <c r="C24" s="283" t="s">
        <v>123</v>
      </c>
      <c r="D24" s="285">
        <f>'#180'!H57</f>
        <v>62530000</v>
      </c>
      <c r="E24" s="286">
        <f>'#180'!H58</f>
        <v>0</v>
      </c>
      <c r="F24" s="286">
        <f>'#180'!H59+'#180'!H60+'#180'!H61+'#180'!H65</f>
        <v>8000000</v>
      </c>
      <c r="G24" s="286">
        <f>'#180'!H62+'#180'!H63</f>
        <v>1500000</v>
      </c>
      <c r="H24" s="286">
        <f>'#180'!H64</f>
        <v>0</v>
      </c>
      <c r="I24" s="287">
        <f>IF($B24&gt;0,'원가항목별(집계)'!I$38*$P24/$P$37,0)</f>
        <v>175583.00154383684</v>
      </c>
      <c r="J24" s="288">
        <f t="shared" si="2"/>
        <v>72205583.001543835</v>
      </c>
      <c r="K24" s="289">
        <f>IF(B24&gt;0,'원가항목별(집계)'!I$34*P24/P$37,0)</f>
        <v>14871880.230762981</v>
      </c>
      <c r="L24" s="289">
        <f>IF($B24&gt;0,'원가항목별(집계)'!I$39*$P24/$P$37,0)</f>
        <v>126536.81644592508</v>
      </c>
      <c r="M24" s="290">
        <f>'#180'!H68+'#180'!H69</f>
        <v>0</v>
      </c>
      <c r="N24" s="291">
        <f t="shared" si="0"/>
        <v>87204000.04875274</v>
      </c>
      <c r="O24" s="292"/>
      <c r="P24" s="282">
        <f t="shared" si="1"/>
        <v>72030000</v>
      </c>
    </row>
    <row r="25" spans="1:16" s="282" customFormat="1" ht="25.5" customHeight="1" x14ac:dyDescent="0.25">
      <c r="A25" s="283">
        <f t="shared" si="3"/>
        <v>19</v>
      </c>
      <c r="B25" s="303" t="str">
        <f>'#190'!C$1</f>
        <v>PALLETS</v>
      </c>
      <c r="C25" s="304" t="s">
        <v>123</v>
      </c>
      <c r="D25" s="305">
        <f>'#190'!H51</f>
        <v>28800000</v>
      </c>
      <c r="E25" s="306">
        <f>'#190'!H52</f>
        <v>0</v>
      </c>
      <c r="F25" s="286">
        <f>'#190'!H53+'#190'!H54+'#190'!H55+'#190'!H59</f>
        <v>5250000</v>
      </c>
      <c r="G25" s="306">
        <f>'#190'!H56+'#190'!H57</f>
        <v>900000</v>
      </c>
      <c r="H25" s="306">
        <f>'#190'!H58</f>
        <v>0</v>
      </c>
      <c r="I25" s="307">
        <f>IF($B25&gt;0,'원가항목별(집계)'!I$38*$P25/$P$37,0)</f>
        <v>85195.417242219875</v>
      </c>
      <c r="J25" s="288">
        <f t="shared" si="2"/>
        <v>35035195.417242222</v>
      </c>
      <c r="K25" s="308">
        <f>IF(B25&gt;0,'원가항목별(집계)'!I$34*P25/P$37,0)</f>
        <v>7216051.8404160235</v>
      </c>
      <c r="L25" s="308">
        <f>IF($B25&gt;0,'원가항목별(집계)'!I$39*$P25/$P$37,0)</f>
        <v>61397.497359226458</v>
      </c>
      <c r="M25" s="309">
        <f>'#190'!H62+'#190'!H63</f>
        <v>0</v>
      </c>
      <c r="N25" s="310">
        <f t="shared" si="0"/>
        <v>42312644.755017467</v>
      </c>
      <c r="O25" s="311"/>
      <c r="P25" s="282">
        <f t="shared" si="1"/>
        <v>34950000</v>
      </c>
    </row>
    <row r="26" spans="1:16" s="282" customFormat="1" ht="25.5" customHeight="1" x14ac:dyDescent="0.25">
      <c r="A26" s="283">
        <f t="shared" si="3"/>
        <v>20</v>
      </c>
      <c r="B26" s="284" t="str">
        <f>'#200'!C$1</f>
        <v>LMS SYSTEM</v>
      </c>
      <c r="C26" s="283" t="s">
        <v>123</v>
      </c>
      <c r="D26" s="285">
        <f>'#200'!H49</f>
        <v>30000000</v>
      </c>
      <c r="E26" s="286">
        <f>'#200'!H50</f>
        <v>0</v>
      </c>
      <c r="F26" s="286">
        <f>'#200'!H51+'#200'!H52+'#200'!H53+'#200'!H57</f>
        <v>0</v>
      </c>
      <c r="G26" s="286">
        <f>'#200'!H54+'#200'!H55</f>
        <v>0</v>
      </c>
      <c r="H26" s="286">
        <f>'#200'!H56</f>
        <v>0</v>
      </c>
      <c r="I26" s="287">
        <f>IF($B26&gt;0,'원가항목별(집계)'!I$38*$P26/$P$37,0)</f>
        <v>73129.113512635085</v>
      </c>
      <c r="J26" s="288">
        <f t="shared" si="2"/>
        <v>30073129.113512635</v>
      </c>
      <c r="K26" s="289">
        <f>IF(B26&gt;0,'원가항목별(집계)'!I$34*P26/P$37,0)</f>
        <v>6194035.914520192</v>
      </c>
      <c r="L26" s="289">
        <f>IF($B26&gt;0,'원가항목별(집계)'!I$39*$P26/$P$37,0)</f>
        <v>52701.714471439016</v>
      </c>
      <c r="M26" s="290">
        <f>'#200'!H60+'#200'!H61</f>
        <v>0</v>
      </c>
      <c r="N26" s="291">
        <f t="shared" si="0"/>
        <v>36319866.742504261</v>
      </c>
      <c r="O26" s="302"/>
      <c r="P26" s="282">
        <f t="shared" si="1"/>
        <v>30000000</v>
      </c>
    </row>
    <row r="27" spans="1:16" s="282" customFormat="1" ht="25.5" customHeight="1" x14ac:dyDescent="0.25">
      <c r="A27" s="283">
        <f t="shared" si="3"/>
        <v>21</v>
      </c>
      <c r="B27" s="284" t="str">
        <f>'#210'!C$1</f>
        <v>RFID</v>
      </c>
      <c r="C27" s="283" t="s">
        <v>123</v>
      </c>
      <c r="D27" s="285">
        <f>'#210'!H43</f>
        <v>12000000</v>
      </c>
      <c r="E27" s="286">
        <f>'#210'!H44</f>
        <v>0</v>
      </c>
      <c r="F27" s="286">
        <f>'#210'!H45+'#210'!H46+'#210'!H47+'#210'!H51</f>
        <v>0</v>
      </c>
      <c r="G27" s="286">
        <f>'#210'!H48+'#210'!H49</f>
        <v>0</v>
      </c>
      <c r="H27" s="286">
        <f>'#210'!H50</f>
        <v>0</v>
      </c>
      <c r="I27" s="287">
        <f>IF($B27&gt;0,'원가항목별(집계)'!I$38*$P27/$P$37,0)</f>
        <v>29251.645405054034</v>
      </c>
      <c r="J27" s="288">
        <f t="shared" si="2"/>
        <v>12029251.645405054</v>
      </c>
      <c r="K27" s="289">
        <f>IF(B27&gt;0,'원가항목별(집계)'!I$34*P27/P$37,0)</f>
        <v>2477614.3658080767</v>
      </c>
      <c r="L27" s="289">
        <f>IF($B27&gt;0,'원가항목별(집계)'!I$39*$P27/$P$37,0)</f>
        <v>21080.685788575607</v>
      </c>
      <c r="M27" s="290">
        <f>'#210'!H54+'#210'!H55</f>
        <v>0</v>
      </c>
      <c r="N27" s="291">
        <f t="shared" si="0"/>
        <v>14527946.697001707</v>
      </c>
      <c r="O27" s="312"/>
      <c r="P27" s="282">
        <f t="shared" si="1"/>
        <v>12000000</v>
      </c>
    </row>
    <row r="28" spans="1:16" s="282" customFormat="1" ht="25.5" customHeight="1" x14ac:dyDescent="0.25">
      <c r="A28" s="283" t="str">
        <f t="shared" si="3"/>
        <v/>
      </c>
      <c r="B28" s="284">
        <f>'#220'!C$1</f>
        <v>0</v>
      </c>
      <c r="C28" s="283" t="s">
        <v>123</v>
      </c>
      <c r="D28" s="285">
        <f>'#220'!H43</f>
        <v>0</v>
      </c>
      <c r="E28" s="286">
        <f>'#220'!H44</f>
        <v>0</v>
      </c>
      <c r="F28" s="286">
        <f>'#220'!H45+'#220'!H46+'#220'!H47+'#220'!H51</f>
        <v>0</v>
      </c>
      <c r="G28" s="286">
        <f>'#220'!H48+'#220'!H49</f>
        <v>0</v>
      </c>
      <c r="H28" s="286">
        <f>'#220'!H50</f>
        <v>0</v>
      </c>
      <c r="I28" s="287">
        <f>IF($B28&gt;0,'원가항목별(집계)'!I$38*$P28/$P$37,0)</f>
        <v>0</v>
      </c>
      <c r="J28" s="288">
        <f t="shared" si="2"/>
        <v>0</v>
      </c>
      <c r="K28" s="289">
        <f>IF(B28&gt;0,'원가항목별(집계)'!I$34*P28/P$37,0)</f>
        <v>0</v>
      </c>
      <c r="L28" s="289">
        <f>IF($B28&gt;0,'원가항목별(집계)'!I$39*$P28/$P$37,0)</f>
        <v>0</v>
      </c>
      <c r="M28" s="290">
        <f>'#220'!H54+'#220'!H55</f>
        <v>0</v>
      </c>
      <c r="N28" s="291">
        <f t="shared" si="0"/>
        <v>0</v>
      </c>
      <c r="O28" s="312"/>
      <c r="P28" s="282">
        <f t="shared" si="1"/>
        <v>0</v>
      </c>
    </row>
    <row r="29" spans="1:16" s="282" customFormat="1" ht="25.5" customHeight="1" x14ac:dyDescent="0.25">
      <c r="A29" s="283" t="str">
        <f t="shared" si="3"/>
        <v/>
      </c>
      <c r="B29" s="284">
        <f>'#230'!C$1</f>
        <v>0</v>
      </c>
      <c r="C29" s="283" t="s">
        <v>123</v>
      </c>
      <c r="D29" s="285">
        <f>'#230'!H49</f>
        <v>0</v>
      </c>
      <c r="E29" s="286">
        <f>'#230'!H50</f>
        <v>0</v>
      </c>
      <c r="F29" s="286">
        <f>'#230'!H51+'#230'!H52+'#230'!H53+'#230'!H57</f>
        <v>0</v>
      </c>
      <c r="G29" s="286">
        <f>'#230'!H54+'#230'!H55</f>
        <v>0</v>
      </c>
      <c r="H29" s="286">
        <f>'#230'!H56</f>
        <v>0</v>
      </c>
      <c r="I29" s="287">
        <f>IF($B29&gt;0,'원가항목별(집계)'!I$38*$P29/$P$37,0)</f>
        <v>0</v>
      </c>
      <c r="J29" s="288">
        <f t="shared" si="2"/>
        <v>0</v>
      </c>
      <c r="K29" s="289">
        <f>IF(B29&gt;0,'원가항목별(집계)'!I$34*P29/P$37,0)</f>
        <v>0</v>
      </c>
      <c r="L29" s="289">
        <f>IF($B29&gt;0,'원가항목별(집계)'!I$39*$P29/$P$37,0)</f>
        <v>0</v>
      </c>
      <c r="M29" s="290">
        <f>'#230'!H60+'#230'!H61</f>
        <v>0</v>
      </c>
      <c r="N29" s="291">
        <f t="shared" si="0"/>
        <v>0</v>
      </c>
      <c r="O29" s="312"/>
      <c r="P29" s="282">
        <f t="shared" si="1"/>
        <v>0</v>
      </c>
    </row>
    <row r="30" spans="1:16" s="282" customFormat="1" ht="25.5" customHeight="1" x14ac:dyDescent="0.25">
      <c r="A30" s="283" t="str">
        <f t="shared" si="3"/>
        <v/>
      </c>
      <c r="B30" s="284">
        <f>'#240'!C$1</f>
        <v>0</v>
      </c>
      <c r="C30" s="283" t="s">
        <v>123</v>
      </c>
      <c r="D30" s="285">
        <f>'#240'!H54</f>
        <v>0</v>
      </c>
      <c r="E30" s="286">
        <f>'#240'!H55</f>
        <v>0</v>
      </c>
      <c r="F30" s="286">
        <f>'#240'!H56+'#240'!H57+'#240'!H58+'#240'!H62</f>
        <v>0</v>
      </c>
      <c r="G30" s="286">
        <f>'#240'!H59+'#240'!H60</f>
        <v>0</v>
      </c>
      <c r="H30" s="286">
        <f>'#240'!H61</f>
        <v>0</v>
      </c>
      <c r="I30" s="287">
        <f>IF($B30&gt;0,'원가항목별(집계)'!I$38*$P30/$P$37,0)</f>
        <v>0</v>
      </c>
      <c r="J30" s="288">
        <f t="shared" si="2"/>
        <v>0</v>
      </c>
      <c r="K30" s="289">
        <f>IF(B30&gt;0,'원가항목별(집계)'!I$34*P30/P$37,0)</f>
        <v>0</v>
      </c>
      <c r="L30" s="289">
        <f>IF($B30&gt;0,'원가항목별(집계)'!I$39*$P30/$P$37,0)</f>
        <v>0</v>
      </c>
      <c r="M30" s="290">
        <f>'#240'!H65+'#240'!H66</f>
        <v>0</v>
      </c>
      <c r="N30" s="291">
        <f t="shared" si="0"/>
        <v>0</v>
      </c>
      <c r="O30" s="312"/>
      <c r="P30" s="282">
        <f t="shared" si="1"/>
        <v>0</v>
      </c>
    </row>
    <row r="31" spans="1:16" s="282" customFormat="1" ht="25.5" customHeight="1" x14ac:dyDescent="0.25">
      <c r="A31" s="283" t="str">
        <f t="shared" si="3"/>
        <v/>
      </c>
      <c r="B31" s="284">
        <f>'#250'!C$1</f>
        <v>0</v>
      </c>
      <c r="C31" s="283" t="s">
        <v>123</v>
      </c>
      <c r="D31" s="285">
        <f>'#250'!H41</f>
        <v>0</v>
      </c>
      <c r="E31" s="286">
        <f>'#250'!H42</f>
        <v>0</v>
      </c>
      <c r="F31" s="286">
        <f>'#250'!H43+'#250'!H44+'#250'!H45+'#250'!H49</f>
        <v>0</v>
      </c>
      <c r="G31" s="286">
        <f>'#250'!H46+'#250'!H47</f>
        <v>0</v>
      </c>
      <c r="H31" s="286">
        <f>'#250'!H48</f>
        <v>0</v>
      </c>
      <c r="I31" s="287">
        <f>IF($B31&gt;0,'원가항목별(집계)'!I$38*$P31/$P$37,0)</f>
        <v>0</v>
      </c>
      <c r="J31" s="288">
        <f t="shared" si="2"/>
        <v>0</v>
      </c>
      <c r="K31" s="289">
        <f>IF(B31&gt;0,'원가항목별(집계)'!I$34*P31/P$37,0)</f>
        <v>0</v>
      </c>
      <c r="L31" s="289">
        <f>IF($B31&gt;0,'원가항목별(집계)'!I$39*$P31/$P$37,0)</f>
        <v>0</v>
      </c>
      <c r="M31" s="290">
        <f>'#250'!H52+'#250'!H53</f>
        <v>0</v>
      </c>
      <c r="N31" s="291">
        <f t="shared" si="0"/>
        <v>0</v>
      </c>
      <c r="O31" s="312"/>
      <c r="P31" s="282">
        <f t="shared" si="1"/>
        <v>0</v>
      </c>
    </row>
    <row r="32" spans="1:16" s="282" customFormat="1" ht="25.5" customHeight="1" x14ac:dyDescent="0.25">
      <c r="A32" s="283" t="str">
        <f t="shared" si="3"/>
        <v/>
      </c>
      <c r="B32" s="284">
        <f>'#260'!C$1</f>
        <v>0</v>
      </c>
      <c r="C32" s="283" t="s">
        <v>123</v>
      </c>
      <c r="D32" s="285">
        <f>'#260'!H49</f>
        <v>0</v>
      </c>
      <c r="E32" s="286">
        <f>'#260'!H50</f>
        <v>0</v>
      </c>
      <c r="F32" s="286">
        <f>'#260'!H51+'#260'!H52+'#260'!H53+'#260'!H57</f>
        <v>0</v>
      </c>
      <c r="G32" s="286">
        <f>'#260'!H54+'#260'!H55</f>
        <v>0</v>
      </c>
      <c r="H32" s="286">
        <f>'#260'!H56</f>
        <v>0</v>
      </c>
      <c r="I32" s="287">
        <f>IF($B32&gt;0,'원가항목별(집계)'!I$38*$P32/$P$37,0)</f>
        <v>0</v>
      </c>
      <c r="J32" s="288">
        <f t="shared" si="2"/>
        <v>0</v>
      </c>
      <c r="K32" s="289">
        <f>IF(B32&gt;0,'원가항목별(집계)'!I$34*P32/P$37,0)</f>
        <v>0</v>
      </c>
      <c r="L32" s="289">
        <f>IF($B32&gt;0,'원가항목별(집계)'!I$39*$P32/$P$37,0)</f>
        <v>0</v>
      </c>
      <c r="M32" s="290">
        <f>'#260'!H60+'#260'!H61</f>
        <v>0</v>
      </c>
      <c r="N32" s="291">
        <f t="shared" si="0"/>
        <v>0</v>
      </c>
      <c r="O32" s="312"/>
      <c r="P32" s="282">
        <f t="shared" si="1"/>
        <v>0</v>
      </c>
    </row>
    <row r="33" spans="1:16" s="282" customFormat="1" ht="25.5" customHeight="1" x14ac:dyDescent="0.25">
      <c r="A33" s="283" t="str">
        <f t="shared" si="3"/>
        <v/>
      </c>
      <c r="B33" s="284">
        <f>'#270'!C$1</f>
        <v>0</v>
      </c>
      <c r="C33" s="283" t="s">
        <v>123</v>
      </c>
      <c r="D33" s="285">
        <f>'#270'!H49</f>
        <v>0</v>
      </c>
      <c r="E33" s="286">
        <f>'#270'!H50</f>
        <v>0</v>
      </c>
      <c r="F33" s="286">
        <f>'#270'!H51+'#270'!H52+'#270'!H53+'#270'!H57</f>
        <v>0</v>
      </c>
      <c r="G33" s="286">
        <f>'#270'!H54+'#270'!H55</f>
        <v>0</v>
      </c>
      <c r="H33" s="286">
        <f>'#270'!H56</f>
        <v>0</v>
      </c>
      <c r="I33" s="287">
        <f>IF($B33&gt;0,'원가항목별(집계)'!I$38*$P33/$P$37,0)</f>
        <v>0</v>
      </c>
      <c r="J33" s="288">
        <f t="shared" si="2"/>
        <v>0</v>
      </c>
      <c r="K33" s="289">
        <f>IF(B33&gt;0,'원가항목별(집계)'!I$34*P33/P$37,0)</f>
        <v>0</v>
      </c>
      <c r="L33" s="289">
        <f>IF($B33&gt;0,'원가항목별(집계)'!I$39*$P33/$P$37,0)</f>
        <v>0</v>
      </c>
      <c r="M33" s="290">
        <f>'#270'!H60+'#270'!H61</f>
        <v>0</v>
      </c>
      <c r="N33" s="291">
        <f t="shared" si="0"/>
        <v>0</v>
      </c>
      <c r="O33" s="312"/>
      <c r="P33" s="282">
        <f t="shared" si="1"/>
        <v>0</v>
      </c>
    </row>
    <row r="34" spans="1:16" s="282" customFormat="1" ht="25.5" customHeight="1" x14ac:dyDescent="0.25">
      <c r="A34" s="283" t="str">
        <f t="shared" si="3"/>
        <v/>
      </c>
      <c r="B34" s="284">
        <f>'#280'!C$1</f>
        <v>0</v>
      </c>
      <c r="C34" s="283" t="s">
        <v>123</v>
      </c>
      <c r="D34" s="285">
        <f>'#280'!H49</f>
        <v>0</v>
      </c>
      <c r="E34" s="286">
        <f>'#280'!H50</f>
        <v>0</v>
      </c>
      <c r="F34" s="286">
        <f>'#280'!H51+'#280'!H52+'#280'!H53+'#280'!H57</f>
        <v>0</v>
      </c>
      <c r="G34" s="286">
        <f>'#280'!H54+'#280'!H55</f>
        <v>0</v>
      </c>
      <c r="H34" s="286">
        <f>'#280'!H56</f>
        <v>0</v>
      </c>
      <c r="I34" s="287">
        <f>IF($B34&gt;0,'원가항목별(집계)'!I$38*$P34/$P$37,0)</f>
        <v>0</v>
      </c>
      <c r="J34" s="288">
        <f t="shared" si="2"/>
        <v>0</v>
      </c>
      <c r="K34" s="289">
        <f>IF(B34&gt;0,'원가항목별(집계)'!I$34*P34/P$37,0)</f>
        <v>0</v>
      </c>
      <c r="L34" s="289">
        <f>IF($B34&gt;0,'원가항목별(집계)'!I$39*$P34/$P$37,0)</f>
        <v>0</v>
      </c>
      <c r="M34" s="290">
        <f>'#280'!H60+'#280'!H61</f>
        <v>0</v>
      </c>
      <c r="N34" s="291">
        <f t="shared" si="0"/>
        <v>0</v>
      </c>
      <c r="O34" s="312"/>
      <c r="P34" s="282">
        <f t="shared" si="1"/>
        <v>0</v>
      </c>
    </row>
    <row r="35" spans="1:16" s="282" customFormat="1" ht="25.5" customHeight="1" x14ac:dyDescent="0.25">
      <c r="A35" s="283" t="str">
        <f t="shared" si="3"/>
        <v/>
      </c>
      <c r="B35" s="284">
        <f>'#290'!C$1</f>
        <v>0</v>
      </c>
      <c r="C35" s="283" t="s">
        <v>123</v>
      </c>
      <c r="D35" s="285">
        <f>'#290'!H49</f>
        <v>0</v>
      </c>
      <c r="E35" s="286">
        <f>'#290'!H50</f>
        <v>0</v>
      </c>
      <c r="F35" s="286">
        <f>'#290'!H51+'#290'!H52+'#290'!H53+'#290'!H57</f>
        <v>0</v>
      </c>
      <c r="G35" s="286">
        <f>'#290'!H54+'#290'!H55</f>
        <v>0</v>
      </c>
      <c r="H35" s="286">
        <f>'#290'!H56</f>
        <v>0</v>
      </c>
      <c r="I35" s="287">
        <f>IF($B35&gt;0,'원가항목별(집계)'!I$38*$P35/$P$37,0)</f>
        <v>0</v>
      </c>
      <c r="J35" s="288">
        <f t="shared" si="2"/>
        <v>0</v>
      </c>
      <c r="K35" s="289">
        <f>IF(B35&gt;0,'원가항목별(집계)'!I$34*P35/P$37,0)</f>
        <v>0</v>
      </c>
      <c r="L35" s="289">
        <f>IF($B35&gt;0,'원가항목별(집계)'!I$39*$P35/$P$37,0)</f>
        <v>0</v>
      </c>
      <c r="M35" s="290">
        <f>'#290'!H60+'#290'!H61</f>
        <v>0</v>
      </c>
      <c r="N35" s="291">
        <f t="shared" si="0"/>
        <v>0</v>
      </c>
      <c r="O35" s="312"/>
      <c r="P35" s="282">
        <f t="shared" si="1"/>
        <v>0</v>
      </c>
    </row>
    <row r="36" spans="1:16" s="282" customFormat="1" ht="25.5" customHeight="1" x14ac:dyDescent="0.25">
      <c r="A36" s="313" t="str">
        <f t="shared" si="3"/>
        <v/>
      </c>
      <c r="B36" s="314">
        <f>'#300'!C$1</f>
        <v>0</v>
      </c>
      <c r="C36" s="313" t="s">
        <v>123</v>
      </c>
      <c r="D36" s="315">
        <f>'#300'!H49</f>
        <v>0</v>
      </c>
      <c r="E36" s="316">
        <f>'#300'!H50</f>
        <v>0</v>
      </c>
      <c r="F36" s="316">
        <f>'#300'!H51+'#300'!H52+'#300'!H53+'#300'!H57</f>
        <v>0</v>
      </c>
      <c r="G36" s="316">
        <f>'#300'!H54+'#300'!H55</f>
        <v>0</v>
      </c>
      <c r="H36" s="316">
        <f>'#300'!H56</f>
        <v>0</v>
      </c>
      <c r="I36" s="317">
        <f>IF($B36&gt;0,'원가항목별(집계)'!I$38*$P36/$P$37,0)</f>
        <v>0</v>
      </c>
      <c r="J36" s="298">
        <f t="shared" si="2"/>
        <v>0</v>
      </c>
      <c r="K36" s="299">
        <f>IF(B36&gt;0,'원가항목별(집계)'!I$34*P36/P$37,0)</f>
        <v>0</v>
      </c>
      <c r="L36" s="299">
        <f>IF($B36&gt;0,'원가항목별(집계)'!I$39*$P36/$P$37,0)</f>
        <v>0</v>
      </c>
      <c r="M36" s="300">
        <f>'#300'!H60+'#300'!H61</f>
        <v>0</v>
      </c>
      <c r="N36" s="301">
        <f t="shared" si="0"/>
        <v>0</v>
      </c>
      <c r="O36" s="318"/>
      <c r="P36" s="282">
        <f t="shared" si="1"/>
        <v>0</v>
      </c>
    </row>
    <row r="37" spans="1:16" s="282" customFormat="1" ht="33" customHeight="1" x14ac:dyDescent="0.25">
      <c r="A37" s="319" t="s">
        <v>124</v>
      </c>
      <c r="B37" s="320"/>
      <c r="C37" s="321"/>
      <c r="D37" s="322">
        <f t="shared" ref="D37:I37" si="4">SUM(D7:D36)</f>
        <v>853650000</v>
      </c>
      <c r="E37" s="323">
        <f t="shared" si="4"/>
        <v>0</v>
      </c>
      <c r="F37" s="323">
        <f t="shared" si="4"/>
        <v>327250000</v>
      </c>
      <c r="G37" s="323">
        <f t="shared" si="4"/>
        <v>40800000</v>
      </c>
      <c r="H37" s="323">
        <f t="shared" si="4"/>
        <v>9000000</v>
      </c>
      <c r="I37" s="324">
        <f t="shared" si="4"/>
        <v>2999999.9999999995</v>
      </c>
      <c r="J37" s="325">
        <f t="shared" si="2"/>
        <v>1233700000</v>
      </c>
      <c r="K37" s="326">
        <f>SUM(K7:K36)</f>
        <v>254100000</v>
      </c>
      <c r="L37" s="326">
        <f>SUM(L7:L36)</f>
        <v>2161999.9999999995</v>
      </c>
      <c r="M37" s="327">
        <f>SUM(M7:M36)</f>
        <v>0</v>
      </c>
      <c r="N37" s="328">
        <f>SUM(N7:N36)</f>
        <v>1489962000.0000002</v>
      </c>
      <c r="O37" s="329"/>
      <c r="P37" s="282">
        <f>SUM(P7:P36)</f>
        <v>1230700000</v>
      </c>
    </row>
    <row r="38" spans="1:16" s="342" customFormat="1" ht="18.75" customHeight="1" x14ac:dyDescent="0.25">
      <c r="A38" s="330"/>
      <c r="B38" s="331"/>
      <c r="C38" s="332"/>
      <c r="D38" s="333">
        <f t="shared" ref="D38:N38" si="5">IF(D37=0,"",D37/$N37)</f>
        <v>0.57293407482875391</v>
      </c>
      <c r="E38" s="334" t="str">
        <f t="shared" si="5"/>
        <v/>
      </c>
      <c r="F38" s="334">
        <f t="shared" si="5"/>
        <v>0.21963647395034233</v>
      </c>
      <c r="G38" s="334">
        <f t="shared" si="5"/>
        <v>2.7383248700302419E-2</v>
      </c>
      <c r="H38" s="334">
        <f t="shared" si="5"/>
        <v>6.0404225074196516E-3</v>
      </c>
      <c r="I38" s="335">
        <f t="shared" si="5"/>
        <v>2.0134741691398834E-3</v>
      </c>
      <c r="J38" s="336">
        <f t="shared" si="2"/>
        <v>0.82800769415595821</v>
      </c>
      <c r="K38" s="337">
        <f t="shared" si="5"/>
        <v>0.17054126212614815</v>
      </c>
      <c r="L38" s="338">
        <f t="shared" si="5"/>
        <v>1.451043717893476E-3</v>
      </c>
      <c r="M38" s="339" t="str">
        <f t="shared" si="5"/>
        <v/>
      </c>
      <c r="N38" s="340">
        <f t="shared" si="5"/>
        <v>1</v>
      </c>
      <c r="O38" s="341"/>
    </row>
    <row r="39" spans="1:16" ht="28.5" customHeight="1" x14ac:dyDescent="0.25">
      <c r="A39" s="245" t="s">
        <v>125</v>
      </c>
      <c r="H39" s="343"/>
      <c r="I39" s="343"/>
      <c r="J39" s="343"/>
      <c r="K39" s="343"/>
      <c r="L39" s="343"/>
    </row>
    <row r="40" spans="1:16" ht="17.25" customHeight="1" x14ac:dyDescent="0.25">
      <c r="H40" s="344"/>
      <c r="I40" s="344"/>
      <c r="J40" s="344"/>
      <c r="K40" s="344"/>
      <c r="L40" s="344"/>
      <c r="M40" s="345"/>
      <c r="N40" s="346" t="str">
        <f>IF('원가항목별(집계)'!I42='단위공사별(집계)'!N37,"","DATA오류입니다!")</f>
        <v/>
      </c>
    </row>
    <row r="41" spans="1:16" ht="17.25" customHeight="1" x14ac:dyDescent="0.25">
      <c r="H41" s="347"/>
      <c r="I41" s="347"/>
      <c r="J41" s="347"/>
      <c r="K41" s="347"/>
      <c r="L41" s="347"/>
      <c r="N41" s="347"/>
    </row>
    <row r="42" spans="1:16" ht="17.25" customHeight="1" x14ac:dyDescent="0.25">
      <c r="H42" s="282"/>
      <c r="I42" s="282"/>
      <c r="J42" s="282"/>
      <c r="L42" s="282"/>
    </row>
  </sheetData>
  <mergeCells count="2">
    <mergeCell ref="D4:J4"/>
    <mergeCell ref="A37:C3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53" orientation="landscape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9873-5F16-4D11-9D3C-18A411B71695}">
  <sheetPr>
    <tabColor rgb="FF00B050"/>
    <pageSetUpPr fitToPage="1"/>
  </sheetPr>
  <dimension ref="A1:K40"/>
  <sheetViews>
    <sheetView zoomScaleNormal="100" workbookViewId="0">
      <pane xSplit="3" ySplit="2" topLeftCell="D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3" style="245" customWidth="1"/>
    <col min="3" max="3" width="23.59765625" style="245" customWidth="1"/>
    <col min="4" max="4" width="18.19921875" style="245" customWidth="1"/>
    <col min="5" max="5" width="5.19921875" style="254" bestFit="1" customWidth="1"/>
    <col min="6" max="6" width="6.69921875" style="428" customWidth="1"/>
    <col min="7" max="8" width="14" style="282" customWidth="1"/>
    <col min="9" max="9" width="12.69921875" style="245" customWidth="1"/>
    <col min="10" max="10" width="9.19921875" style="245" customWidth="1"/>
    <col min="11" max="11" width="11.5" style="245" bestFit="1" customWidth="1"/>
    <col min="12" max="12" width="12.59765625" style="245" bestFit="1" customWidth="1"/>
    <col min="13" max="16384" width="9" style="245"/>
  </cols>
  <sheetData>
    <row r="1" spans="1:9" ht="22.5" customHeight="1" x14ac:dyDescent="0.25">
      <c r="B1" s="348" t="s">
        <v>126</v>
      </c>
      <c r="C1" s="349" t="s">
        <v>127</v>
      </c>
      <c r="F1" s="35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352" t="s">
        <v>130</v>
      </c>
      <c r="D2" s="353" t="s">
        <v>131</v>
      </c>
      <c r="E2" s="353" t="s">
        <v>48</v>
      </c>
      <c r="F2" s="354" t="s">
        <v>49</v>
      </c>
      <c r="G2" s="354" t="s">
        <v>132</v>
      </c>
      <c r="H2" s="354" t="s">
        <v>133</v>
      </c>
      <c r="I2" s="353" t="s">
        <v>134</v>
      </c>
    </row>
    <row r="3" spans="1:9" ht="15.9" customHeight="1" x14ac:dyDescent="0.25">
      <c r="A3" s="355" t="s">
        <v>135</v>
      </c>
      <c r="B3" s="356" t="s">
        <v>136</v>
      </c>
      <c r="C3" s="357" t="s">
        <v>137</v>
      </c>
      <c r="D3" s="357" t="s">
        <v>138</v>
      </c>
      <c r="E3" s="358" t="s">
        <v>59</v>
      </c>
      <c r="F3" s="359">
        <v>1</v>
      </c>
      <c r="G3" s="360">
        <v>6300000</v>
      </c>
      <c r="H3" s="311">
        <f t="shared" ref="H3:H8" si="0">IF(F3=0,G3,G3*F3)</f>
        <v>6300000</v>
      </c>
      <c r="I3" s="361"/>
    </row>
    <row r="4" spans="1:9" ht="15.9" customHeight="1" x14ac:dyDescent="0.25">
      <c r="A4" s="362"/>
      <c r="B4" s="356"/>
      <c r="C4" s="363"/>
      <c r="D4" s="357"/>
      <c r="E4" s="358"/>
      <c r="F4" s="359"/>
      <c r="G4" s="360"/>
      <c r="H4" s="292">
        <f t="shared" si="0"/>
        <v>0</v>
      </c>
      <c r="I4" s="364"/>
    </row>
    <row r="5" spans="1:9" ht="15.9" customHeight="1" x14ac:dyDescent="0.25">
      <c r="A5" s="362"/>
      <c r="B5" s="356"/>
      <c r="C5" s="363"/>
      <c r="D5" s="357"/>
      <c r="E5" s="358"/>
      <c r="F5" s="359"/>
      <c r="G5" s="360"/>
      <c r="H5" s="292">
        <f t="shared" si="0"/>
        <v>0</v>
      </c>
      <c r="I5" s="364"/>
    </row>
    <row r="6" spans="1:9" ht="15.9" customHeight="1" x14ac:dyDescent="0.25">
      <c r="A6" s="362"/>
      <c r="B6" s="356"/>
      <c r="C6" s="363"/>
      <c r="D6" s="357"/>
      <c r="E6" s="358"/>
      <c r="F6" s="359"/>
      <c r="G6" s="360"/>
      <c r="H6" s="292">
        <f t="shared" si="0"/>
        <v>0</v>
      </c>
      <c r="I6" s="364"/>
    </row>
    <row r="7" spans="1:9" ht="15.9" customHeight="1" x14ac:dyDescent="0.25">
      <c r="A7" s="362"/>
      <c r="B7" s="356"/>
      <c r="C7" s="363"/>
      <c r="D7" s="363"/>
      <c r="E7" s="365"/>
      <c r="F7" s="366"/>
      <c r="G7" s="367"/>
      <c r="H7" s="292">
        <f t="shared" si="0"/>
        <v>0</v>
      </c>
      <c r="I7" s="364"/>
    </row>
    <row r="8" spans="1:9" ht="15.9" customHeight="1" x14ac:dyDescent="0.25">
      <c r="A8" s="362"/>
      <c r="B8" s="356"/>
      <c r="C8" s="368"/>
      <c r="D8" s="368"/>
      <c r="E8" s="369"/>
      <c r="F8" s="370"/>
      <c r="G8" s="371"/>
      <c r="H8" s="292">
        <f t="shared" si="0"/>
        <v>0</v>
      </c>
      <c r="I8" s="372"/>
    </row>
    <row r="9" spans="1:9" ht="15.9" customHeight="1" x14ac:dyDescent="0.25">
      <c r="A9" s="362"/>
      <c r="B9" s="373"/>
      <c r="C9" s="374"/>
      <c r="D9" s="375"/>
      <c r="E9" s="352"/>
      <c r="F9" s="376"/>
      <c r="G9" s="377"/>
      <c r="H9" s="378">
        <f>SUM(H3:H8)</f>
        <v>6300000</v>
      </c>
      <c r="I9" s="68"/>
    </row>
    <row r="10" spans="1:9" ht="15.9" customHeight="1" x14ac:dyDescent="0.25">
      <c r="A10" s="362"/>
      <c r="B10" s="379" t="s">
        <v>139</v>
      </c>
      <c r="C10" s="380"/>
      <c r="D10" s="380"/>
      <c r="E10" s="381"/>
      <c r="F10" s="382"/>
      <c r="G10" s="383"/>
      <c r="H10" s="384">
        <f t="shared" ref="H10:H25" si="1">IF(F10=0,G10,G10*F10)</f>
        <v>0</v>
      </c>
      <c r="I10" s="385"/>
    </row>
    <row r="11" spans="1:9" ht="15.9" customHeight="1" x14ac:dyDescent="0.25">
      <c r="A11" s="362"/>
      <c r="B11" s="386" t="s">
        <v>140</v>
      </c>
      <c r="C11" s="363"/>
      <c r="D11" s="363"/>
      <c r="E11" s="365"/>
      <c r="F11" s="366"/>
      <c r="G11" s="367"/>
      <c r="H11" s="292">
        <f t="shared" si="1"/>
        <v>0</v>
      </c>
      <c r="I11" s="364"/>
    </row>
    <row r="12" spans="1:9" ht="15.9" customHeight="1" x14ac:dyDescent="0.25">
      <c r="A12" s="362"/>
      <c r="B12" s="386" t="s">
        <v>141</v>
      </c>
      <c r="C12" s="363"/>
      <c r="D12" s="363"/>
      <c r="E12" s="365"/>
      <c r="F12" s="366"/>
      <c r="G12" s="367"/>
      <c r="H12" s="292">
        <f t="shared" si="1"/>
        <v>0</v>
      </c>
      <c r="I12" s="364"/>
    </row>
    <row r="13" spans="1:9" ht="15.9" customHeight="1" x14ac:dyDescent="0.25">
      <c r="A13" s="362"/>
      <c r="B13" s="356"/>
      <c r="C13" s="363"/>
      <c r="D13" s="363"/>
      <c r="E13" s="365"/>
      <c r="F13" s="366"/>
      <c r="G13" s="367"/>
      <c r="H13" s="292">
        <f t="shared" si="1"/>
        <v>0</v>
      </c>
      <c r="I13" s="364"/>
    </row>
    <row r="14" spans="1:9" ht="15.9" customHeight="1" x14ac:dyDescent="0.25">
      <c r="A14" s="362"/>
      <c r="B14" s="356"/>
      <c r="C14" s="363"/>
      <c r="D14" s="363"/>
      <c r="E14" s="365"/>
      <c r="F14" s="366"/>
      <c r="G14" s="367"/>
      <c r="H14" s="292">
        <f t="shared" si="1"/>
        <v>0</v>
      </c>
      <c r="I14" s="364"/>
    </row>
    <row r="15" spans="1:9" ht="15.9" customHeight="1" x14ac:dyDescent="0.25">
      <c r="A15" s="362"/>
      <c r="B15" s="356"/>
      <c r="C15" s="368"/>
      <c r="D15" s="387"/>
      <c r="E15" s="369"/>
      <c r="F15" s="388"/>
      <c r="G15" s="389"/>
      <c r="H15" s="302">
        <f t="shared" si="1"/>
        <v>0</v>
      </c>
      <c r="I15" s="390"/>
    </row>
    <row r="16" spans="1:9" ht="15.9" customHeight="1" x14ac:dyDescent="0.25">
      <c r="A16" s="362"/>
      <c r="B16" s="356"/>
      <c r="C16" s="391"/>
      <c r="D16" s="392"/>
      <c r="E16" s="393"/>
      <c r="F16" s="394"/>
      <c r="G16" s="395"/>
      <c r="H16" s="396">
        <f>SUM(H10:H15)</f>
        <v>0</v>
      </c>
      <c r="I16" s="397"/>
    </row>
    <row r="17" spans="1:9" ht="15.9" customHeight="1" x14ac:dyDescent="0.25">
      <c r="A17" s="362"/>
      <c r="B17" s="398" t="s">
        <v>142</v>
      </c>
      <c r="C17" s="363" t="s">
        <v>143</v>
      </c>
      <c r="D17" s="399" t="s">
        <v>144</v>
      </c>
      <c r="E17" s="400" t="s">
        <v>59</v>
      </c>
      <c r="F17" s="366">
        <v>1</v>
      </c>
      <c r="G17" s="401">
        <v>98000000</v>
      </c>
      <c r="H17" s="292">
        <f t="shared" si="1"/>
        <v>98000000</v>
      </c>
      <c r="I17" s="385"/>
    </row>
    <row r="18" spans="1:9" ht="15.9" customHeight="1" x14ac:dyDescent="0.25">
      <c r="A18" s="362"/>
      <c r="B18" s="356"/>
      <c r="C18" s="363"/>
      <c r="D18" s="363"/>
      <c r="E18" s="365"/>
      <c r="F18" s="366"/>
      <c r="G18" s="367"/>
      <c r="H18" s="292">
        <f t="shared" si="1"/>
        <v>0</v>
      </c>
      <c r="I18" s="364"/>
    </row>
    <row r="19" spans="1:9" ht="15.9" customHeight="1" x14ac:dyDescent="0.25">
      <c r="A19" s="362"/>
      <c r="B19" s="356"/>
      <c r="C19" s="363" t="s">
        <v>145</v>
      </c>
      <c r="D19" s="363" t="s">
        <v>146</v>
      </c>
      <c r="E19" s="365" t="s">
        <v>59</v>
      </c>
      <c r="F19" s="366">
        <v>1</v>
      </c>
      <c r="G19" s="367">
        <v>20000000</v>
      </c>
      <c r="H19" s="292">
        <f t="shared" si="1"/>
        <v>20000000</v>
      </c>
      <c r="I19" s="364"/>
    </row>
    <row r="20" spans="1:9" ht="15.9" customHeight="1" x14ac:dyDescent="0.25">
      <c r="A20" s="362"/>
      <c r="B20" s="356"/>
      <c r="C20" s="363" t="s">
        <v>147</v>
      </c>
      <c r="D20" s="363"/>
      <c r="E20" s="365" t="s">
        <v>59</v>
      </c>
      <c r="F20" s="366">
        <v>1</v>
      </c>
      <c r="G20" s="367">
        <v>40000000</v>
      </c>
      <c r="H20" s="292">
        <f t="shared" si="1"/>
        <v>40000000</v>
      </c>
      <c r="I20" s="364"/>
    </row>
    <row r="21" spans="1:9" ht="15.9" customHeight="1" x14ac:dyDescent="0.25">
      <c r="A21" s="362"/>
      <c r="B21" s="356"/>
      <c r="C21" s="363"/>
      <c r="D21" s="363"/>
      <c r="E21" s="365"/>
      <c r="F21" s="366"/>
      <c r="G21" s="367"/>
      <c r="H21" s="292">
        <f t="shared" si="1"/>
        <v>0</v>
      </c>
      <c r="I21" s="364"/>
    </row>
    <row r="22" spans="1:9" ht="15.9" customHeight="1" x14ac:dyDescent="0.25">
      <c r="A22" s="362"/>
      <c r="B22" s="356"/>
      <c r="C22" s="363"/>
      <c r="D22" s="363"/>
      <c r="E22" s="365"/>
      <c r="F22" s="366"/>
      <c r="G22" s="367"/>
      <c r="H22" s="292"/>
      <c r="I22" s="364"/>
    </row>
    <row r="23" spans="1:9" ht="15.9" customHeight="1" x14ac:dyDescent="0.25">
      <c r="A23" s="362"/>
      <c r="B23" s="356"/>
      <c r="C23" s="363"/>
      <c r="D23" s="363"/>
      <c r="E23" s="365"/>
      <c r="F23" s="366"/>
      <c r="G23" s="367"/>
      <c r="H23" s="292">
        <f t="shared" si="1"/>
        <v>0</v>
      </c>
      <c r="I23" s="364"/>
    </row>
    <row r="24" spans="1:9" ht="15.9" customHeight="1" x14ac:dyDescent="0.25">
      <c r="A24" s="362"/>
      <c r="B24" s="356"/>
      <c r="C24" s="363"/>
      <c r="D24" s="363"/>
      <c r="E24" s="365"/>
      <c r="F24" s="366"/>
      <c r="G24" s="367"/>
      <c r="H24" s="292">
        <f t="shared" si="1"/>
        <v>0</v>
      </c>
      <c r="I24" s="364"/>
    </row>
    <row r="25" spans="1:9" ht="15.9" customHeight="1" x14ac:dyDescent="0.25">
      <c r="A25" s="362"/>
      <c r="B25" s="356"/>
      <c r="C25" s="368" t="s">
        <v>148</v>
      </c>
      <c r="D25" s="368"/>
      <c r="E25" s="369" t="s">
        <v>59</v>
      </c>
      <c r="F25" s="370">
        <v>1</v>
      </c>
      <c r="G25" s="371">
        <v>2000000</v>
      </c>
      <c r="H25" s="402">
        <f t="shared" si="1"/>
        <v>2000000</v>
      </c>
      <c r="I25" s="372"/>
    </row>
    <row r="26" spans="1:9" ht="15.9" customHeight="1" x14ac:dyDescent="0.25">
      <c r="A26" s="362"/>
      <c r="B26" s="373"/>
      <c r="C26" s="374"/>
      <c r="D26" s="375"/>
      <c r="E26" s="352"/>
      <c r="F26" s="376"/>
      <c r="G26" s="377"/>
      <c r="H26" s="378">
        <f>SUM(H17:H25)</f>
        <v>160000000</v>
      </c>
      <c r="I26" s="68"/>
    </row>
    <row r="27" spans="1:9" ht="15.9" customHeight="1" x14ac:dyDescent="0.25">
      <c r="A27" s="403"/>
      <c r="B27" s="404" t="s">
        <v>149</v>
      </c>
      <c r="C27" s="405"/>
      <c r="D27" s="68"/>
      <c r="E27" s="353"/>
      <c r="F27" s="406"/>
      <c r="G27" s="407"/>
      <c r="H27" s="378">
        <f>SUM(H26,H9,H16)</f>
        <v>166300000</v>
      </c>
      <c r="I27" s="68"/>
    </row>
    <row r="28" spans="1:9" ht="15.9" customHeight="1" x14ac:dyDescent="0.25">
      <c r="A28" s="408" t="s">
        <v>150</v>
      </c>
      <c r="B28" s="409" t="s">
        <v>67</v>
      </c>
      <c r="C28" s="405"/>
      <c r="D28" s="68"/>
      <c r="E28" s="410" t="s">
        <v>68</v>
      </c>
      <c r="F28" s="411">
        <v>10</v>
      </c>
      <c r="G28" s="412">
        <v>250000</v>
      </c>
      <c r="H28" s="413">
        <f t="shared" ref="H28:H34" si="2">F28*G28</f>
        <v>2500000</v>
      </c>
      <c r="I28" s="68"/>
    </row>
    <row r="29" spans="1:9" ht="15.9" customHeight="1" x14ac:dyDescent="0.25">
      <c r="A29" s="414"/>
      <c r="B29" s="415" t="s">
        <v>151</v>
      </c>
      <c r="C29" s="416"/>
      <c r="D29" s="385"/>
      <c r="E29" s="417" t="s">
        <v>152</v>
      </c>
      <c r="F29" s="382">
        <v>80</v>
      </c>
      <c r="G29" s="383">
        <v>300000</v>
      </c>
      <c r="H29" s="384">
        <f t="shared" si="2"/>
        <v>24000000</v>
      </c>
      <c r="I29" s="385"/>
    </row>
    <row r="30" spans="1:9" ht="15.9" customHeight="1" x14ac:dyDescent="0.25">
      <c r="A30" s="414"/>
      <c r="B30" s="418" t="s">
        <v>153</v>
      </c>
      <c r="C30" s="419"/>
      <c r="D30" s="364"/>
      <c r="E30" s="420" t="s">
        <v>152</v>
      </c>
      <c r="F30" s="359">
        <v>80</v>
      </c>
      <c r="G30" s="367">
        <v>250000</v>
      </c>
      <c r="H30" s="292">
        <f t="shared" si="2"/>
        <v>20000000</v>
      </c>
      <c r="I30" s="364"/>
    </row>
    <row r="31" spans="1:9" ht="15.9" customHeight="1" x14ac:dyDescent="0.25">
      <c r="A31" s="414"/>
      <c r="B31" s="418" t="s">
        <v>154</v>
      </c>
      <c r="C31" s="419"/>
      <c r="D31" s="364"/>
      <c r="E31" s="420" t="s">
        <v>152</v>
      </c>
      <c r="F31" s="366">
        <v>80</v>
      </c>
      <c r="G31" s="367">
        <v>250000</v>
      </c>
      <c r="H31" s="292">
        <f>F31*G31</f>
        <v>20000000</v>
      </c>
      <c r="I31" s="364"/>
    </row>
    <row r="32" spans="1:9" ht="15.9" customHeight="1" x14ac:dyDescent="0.25">
      <c r="A32" s="414"/>
      <c r="B32" s="418" t="s">
        <v>155</v>
      </c>
      <c r="C32" s="419"/>
      <c r="D32" s="364"/>
      <c r="E32" s="420" t="s">
        <v>152</v>
      </c>
      <c r="F32" s="366">
        <v>20</v>
      </c>
      <c r="G32" s="367">
        <v>300000</v>
      </c>
      <c r="H32" s="292">
        <f t="shared" si="2"/>
        <v>6000000</v>
      </c>
      <c r="I32" s="364"/>
    </row>
    <row r="33" spans="1:11" ht="15.9" customHeight="1" x14ac:dyDescent="0.25">
      <c r="A33" s="414"/>
      <c r="B33" s="418" t="s">
        <v>156</v>
      </c>
      <c r="C33" s="419"/>
      <c r="D33" s="364"/>
      <c r="E33" s="420" t="s">
        <v>152</v>
      </c>
      <c r="F33" s="388">
        <v>30</v>
      </c>
      <c r="G33" s="389">
        <v>300000</v>
      </c>
      <c r="H33" s="292">
        <f t="shared" si="2"/>
        <v>9000000</v>
      </c>
      <c r="I33" s="364"/>
    </row>
    <row r="34" spans="1:11" ht="15.9" customHeight="1" x14ac:dyDescent="0.25">
      <c r="A34" s="414"/>
      <c r="B34" s="421" t="s">
        <v>157</v>
      </c>
      <c r="C34" s="422"/>
      <c r="D34" s="372"/>
      <c r="E34" s="423" t="s">
        <v>152</v>
      </c>
      <c r="F34" s="370">
        <v>21</v>
      </c>
      <c r="G34" s="371">
        <v>300000</v>
      </c>
      <c r="H34" s="402">
        <f t="shared" si="2"/>
        <v>6300000</v>
      </c>
      <c r="I34" s="372"/>
    </row>
    <row r="35" spans="1:11" ht="15.9" customHeight="1" x14ac:dyDescent="0.25">
      <c r="A35" s="403"/>
      <c r="B35" s="424" t="s">
        <v>158</v>
      </c>
      <c r="C35" s="405"/>
      <c r="D35" s="68"/>
      <c r="E35" s="353"/>
      <c r="F35" s="376"/>
      <c r="G35" s="377"/>
      <c r="H35" s="378">
        <f>SUM(H28:H34)</f>
        <v>87800000</v>
      </c>
      <c r="I35" s="68"/>
    </row>
    <row r="36" spans="1:11" ht="15.9" customHeight="1" x14ac:dyDescent="0.25">
      <c r="A36" s="410"/>
      <c r="B36" s="424" t="s">
        <v>159</v>
      </c>
      <c r="C36" s="405"/>
      <c r="D36" s="68"/>
      <c r="E36" s="353"/>
      <c r="F36" s="354"/>
      <c r="G36" s="425" t="s">
        <v>160</v>
      </c>
      <c r="H36" s="407">
        <v>0</v>
      </c>
      <c r="I36" s="68"/>
    </row>
    <row r="37" spans="1:11" ht="15.9" customHeight="1" x14ac:dyDescent="0.25">
      <c r="A37" s="410"/>
      <c r="B37" s="424" t="s">
        <v>93</v>
      </c>
      <c r="C37" s="405"/>
      <c r="D37" s="68"/>
      <c r="E37" s="353"/>
      <c r="F37" s="354"/>
      <c r="G37" s="426"/>
      <c r="H37" s="427">
        <v>0</v>
      </c>
      <c r="I37" s="405"/>
    </row>
    <row r="38" spans="1:11" ht="15.9" customHeight="1" x14ac:dyDescent="0.25">
      <c r="A38" s="410"/>
      <c r="B38" s="424" t="s">
        <v>161</v>
      </c>
      <c r="C38" s="405"/>
      <c r="D38" s="68"/>
      <c r="E38" s="353"/>
      <c r="F38" s="354"/>
      <c r="G38" s="426"/>
      <c r="H38" s="427">
        <v>0</v>
      </c>
      <c r="I38" s="405"/>
    </row>
    <row r="39" spans="1:11" ht="15.9" customHeight="1" x14ac:dyDescent="0.25">
      <c r="A39" s="410"/>
      <c r="B39" s="424" t="s">
        <v>162</v>
      </c>
      <c r="C39" s="405"/>
      <c r="D39" s="68"/>
      <c r="E39" s="353"/>
      <c r="F39" s="354"/>
      <c r="G39" s="378"/>
      <c r="H39" s="377">
        <f>H27+H35+H36+H37+H38</f>
        <v>254100000</v>
      </c>
      <c r="I39" s="68"/>
      <c r="K39" s="282"/>
    </row>
    <row r="40" spans="1:11" x14ac:dyDescent="0.25">
      <c r="A40" s="254"/>
    </row>
  </sheetData>
  <mergeCells count="3">
    <mergeCell ref="A2:B2"/>
    <mergeCell ref="A3:A26"/>
    <mergeCell ref="A28:A3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6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A336-506A-4630-87E7-D16B6296E606}">
  <sheetPr>
    <tabColor rgb="FF00B050"/>
    <pageSetUpPr fitToPage="1"/>
  </sheetPr>
  <dimension ref="A1:K87"/>
  <sheetViews>
    <sheetView zoomScaleNormal="100" workbookViewId="0">
      <pane xSplit="2" ySplit="2" topLeftCell="C59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0" width="9" style="245"/>
    <col min="11" max="11" width="10" style="245" bestFit="1" customWidth="1"/>
    <col min="12" max="16384" width="9" style="245"/>
  </cols>
  <sheetData>
    <row r="1" spans="1:11" ht="22.5" customHeight="1" x14ac:dyDescent="0.25">
      <c r="B1" s="348" t="s">
        <v>163</v>
      </c>
      <c r="C1" s="429" t="s">
        <v>164</v>
      </c>
      <c r="F1" s="430"/>
      <c r="I1" s="245" t="s">
        <v>128</v>
      </c>
      <c r="K1" s="431"/>
    </row>
    <row r="2" spans="1:11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11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IF(F3=0,G3,G3*F3)</f>
        <v>2000000</v>
      </c>
      <c r="I3" s="385"/>
    </row>
    <row r="4" spans="1:11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1000000</v>
      </c>
      <c r="H4" s="292">
        <f>IF(F4=0,G4,G4*F4)</f>
        <v>1000000</v>
      </c>
      <c r="I4" s="361"/>
    </row>
    <row r="5" spans="1:11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1000000</v>
      </c>
      <c r="H5" s="292">
        <f t="shared" ref="H5:H17" si="0">IF(F5=0,G5,G5*F5)</f>
        <v>1000000</v>
      </c>
      <c r="I5" s="364"/>
    </row>
    <row r="6" spans="1:11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si="0"/>
        <v>600000</v>
      </c>
      <c r="I6" s="364"/>
    </row>
    <row r="7" spans="1:11" ht="15.9" customHeight="1" x14ac:dyDescent="0.25">
      <c r="A7" s="432"/>
      <c r="B7" s="356"/>
      <c r="C7" s="363" t="s">
        <v>171</v>
      </c>
      <c r="D7" s="363"/>
      <c r="E7" s="434" t="s">
        <v>167</v>
      </c>
      <c r="F7" s="436">
        <v>2</v>
      </c>
      <c r="G7" s="435">
        <v>5000000</v>
      </c>
      <c r="H7" s="292">
        <f t="shared" si="0"/>
        <v>10000000</v>
      </c>
      <c r="I7" s="364"/>
    </row>
    <row r="8" spans="1:11" ht="15.9" customHeight="1" x14ac:dyDescent="0.25">
      <c r="A8" s="432"/>
      <c r="B8" s="356"/>
      <c r="C8" s="363" t="s">
        <v>172</v>
      </c>
      <c r="D8" s="433"/>
      <c r="E8" s="434" t="s">
        <v>167</v>
      </c>
      <c r="F8" s="435">
        <v>2</v>
      </c>
      <c r="G8" s="435">
        <v>2000000</v>
      </c>
      <c r="H8" s="292">
        <f t="shared" si="0"/>
        <v>4000000</v>
      </c>
      <c r="I8" s="364"/>
    </row>
    <row r="9" spans="1:11" ht="15.9" customHeight="1" x14ac:dyDescent="0.25">
      <c r="A9" s="432"/>
      <c r="B9" s="356"/>
      <c r="C9" s="363" t="s">
        <v>173</v>
      </c>
      <c r="D9" s="433" t="s">
        <v>174</v>
      </c>
      <c r="E9" s="434" t="s">
        <v>167</v>
      </c>
      <c r="F9" s="435">
        <v>2</v>
      </c>
      <c r="G9" s="435">
        <v>19500000</v>
      </c>
      <c r="H9" s="292">
        <v>0</v>
      </c>
      <c r="I9" s="364"/>
    </row>
    <row r="10" spans="1:11" ht="15.9" customHeight="1" x14ac:dyDescent="0.25">
      <c r="A10" s="432"/>
      <c r="B10" s="356"/>
      <c r="C10" s="363" t="s">
        <v>175</v>
      </c>
      <c r="D10" s="433" t="s">
        <v>176</v>
      </c>
      <c r="E10" s="434" t="s">
        <v>167</v>
      </c>
      <c r="F10" s="435">
        <v>2</v>
      </c>
      <c r="G10" s="435">
        <v>1000000</v>
      </c>
      <c r="H10" s="292">
        <f t="shared" si="0"/>
        <v>2000000</v>
      </c>
      <c r="I10" s="364"/>
    </row>
    <row r="11" spans="1:11" ht="15.9" customHeight="1" x14ac:dyDescent="0.25">
      <c r="A11" s="432"/>
      <c r="B11" s="356"/>
      <c r="C11" s="363"/>
      <c r="D11" s="363"/>
      <c r="E11" s="434" t="s">
        <v>167</v>
      </c>
      <c r="F11" s="436"/>
      <c r="G11" s="435"/>
      <c r="H11" s="292">
        <f t="shared" si="0"/>
        <v>0</v>
      </c>
      <c r="I11" s="364"/>
    </row>
    <row r="12" spans="1:11" ht="15.9" customHeight="1" x14ac:dyDescent="0.25">
      <c r="A12" s="432"/>
      <c r="B12" s="356"/>
      <c r="C12" s="363"/>
      <c r="D12" s="363"/>
      <c r="E12" s="434" t="s">
        <v>167</v>
      </c>
      <c r="F12" s="367"/>
      <c r="G12" s="367"/>
      <c r="H12" s="292">
        <f t="shared" si="0"/>
        <v>0</v>
      </c>
      <c r="I12" s="364"/>
    </row>
    <row r="13" spans="1:11" ht="15.9" customHeight="1" x14ac:dyDescent="0.25">
      <c r="A13" s="432"/>
      <c r="B13" s="356"/>
      <c r="C13" s="363"/>
      <c r="D13" s="363"/>
      <c r="E13" s="434" t="s">
        <v>167</v>
      </c>
      <c r="F13" s="367"/>
      <c r="G13" s="367"/>
      <c r="H13" s="292">
        <f t="shared" si="0"/>
        <v>0</v>
      </c>
      <c r="I13" s="364"/>
    </row>
    <row r="14" spans="1:11" ht="15.9" customHeight="1" x14ac:dyDescent="0.25">
      <c r="A14" s="432"/>
      <c r="B14" s="356"/>
      <c r="C14" s="433"/>
      <c r="D14" s="433"/>
      <c r="E14" s="434" t="s">
        <v>167</v>
      </c>
      <c r="F14" s="435"/>
      <c r="G14" s="435"/>
      <c r="H14" s="292">
        <f t="shared" si="0"/>
        <v>0</v>
      </c>
      <c r="I14" s="364"/>
    </row>
    <row r="15" spans="1:11" ht="15.9" customHeight="1" x14ac:dyDescent="0.25">
      <c r="A15" s="432"/>
      <c r="B15" s="356"/>
      <c r="C15" s="433"/>
      <c r="D15" s="433"/>
      <c r="E15" s="434" t="s">
        <v>167</v>
      </c>
      <c r="F15" s="435"/>
      <c r="G15" s="435"/>
      <c r="H15" s="292">
        <f t="shared" si="0"/>
        <v>0</v>
      </c>
      <c r="I15" s="364"/>
    </row>
    <row r="16" spans="1:11" ht="15.9" customHeight="1" x14ac:dyDescent="0.25">
      <c r="A16" s="432"/>
      <c r="B16" s="356"/>
      <c r="C16" s="363"/>
      <c r="D16" s="363"/>
      <c r="E16" s="434" t="s">
        <v>167</v>
      </c>
      <c r="F16" s="436"/>
      <c r="G16" s="435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3"/>
      <c r="D17" s="363"/>
      <c r="E17" s="434" t="s">
        <v>167</v>
      </c>
      <c r="F17" s="367"/>
      <c r="G17" s="367"/>
      <c r="H17" s="292">
        <f t="shared" si="0"/>
        <v>0</v>
      </c>
      <c r="I17" s="364"/>
    </row>
    <row r="18" spans="1:9" ht="15.9" customHeight="1" x14ac:dyDescent="0.25">
      <c r="A18" s="432"/>
      <c r="B18" s="356"/>
      <c r="C18" s="368" t="s">
        <v>177</v>
      </c>
      <c r="D18" s="387"/>
      <c r="E18" s="437" t="s">
        <v>167</v>
      </c>
      <c r="F18" s="389">
        <v>2</v>
      </c>
      <c r="G18" s="389">
        <v>500000</v>
      </c>
      <c r="H18" s="302">
        <v>0</v>
      </c>
      <c r="I18" s="390"/>
    </row>
    <row r="19" spans="1:9" ht="15.9" customHeight="1" x14ac:dyDescent="0.25">
      <c r="A19" s="432"/>
      <c r="B19" s="373"/>
      <c r="C19" s="397"/>
      <c r="D19" s="397"/>
      <c r="E19" s="397"/>
      <c r="F19" s="395"/>
      <c r="G19" s="395"/>
      <c r="H19" s="396">
        <f>SUM(H3:H18)</f>
        <v>20600000</v>
      </c>
      <c r="I19" s="397"/>
    </row>
    <row r="20" spans="1:9" ht="15.9" customHeight="1" x14ac:dyDescent="0.25">
      <c r="A20" s="432"/>
      <c r="B20" s="356" t="s">
        <v>178</v>
      </c>
      <c r="C20" s="357"/>
      <c r="D20" s="357"/>
      <c r="E20" s="357"/>
      <c r="F20" s="360"/>
      <c r="G20" s="360"/>
      <c r="H20" s="311">
        <f t="shared" ref="H20:H71" si="1">IF(F20=0,G20,G20*F20)</f>
        <v>0</v>
      </c>
      <c r="I20" s="361"/>
    </row>
    <row r="21" spans="1:9" ht="15.9" customHeight="1" x14ac:dyDescent="0.25">
      <c r="A21" s="432"/>
      <c r="B21" s="356" t="s">
        <v>179</v>
      </c>
      <c r="C21" s="363"/>
      <c r="D21" s="363"/>
      <c r="E21" s="363"/>
      <c r="F21" s="367"/>
      <c r="G21" s="367"/>
      <c r="H21" s="292">
        <f t="shared" si="1"/>
        <v>0</v>
      </c>
      <c r="I21" s="364"/>
    </row>
    <row r="22" spans="1:9" ht="15.9" customHeight="1" x14ac:dyDescent="0.25">
      <c r="A22" s="432"/>
      <c r="B22" s="373"/>
      <c r="C22" s="374"/>
      <c r="D22" s="375"/>
      <c r="E22" s="375"/>
      <c r="F22" s="438"/>
      <c r="G22" s="377"/>
      <c r="H22" s="378">
        <f>SUM(H20:H21)</f>
        <v>0</v>
      </c>
      <c r="I22" s="68"/>
    </row>
    <row r="23" spans="1:9" ht="15.9" customHeight="1" x14ac:dyDescent="0.25">
      <c r="A23" s="432"/>
      <c r="B23" s="398" t="s">
        <v>180</v>
      </c>
      <c r="C23" s="363" t="s">
        <v>181</v>
      </c>
      <c r="D23" s="363"/>
      <c r="E23" s="365"/>
      <c r="F23" s="367"/>
      <c r="G23" s="367"/>
      <c r="H23" s="384">
        <f t="shared" ref="H23:H66" si="2">IF(F23=0,G23,G23*F23)</f>
        <v>0</v>
      </c>
      <c r="I23" s="385"/>
    </row>
    <row r="24" spans="1:9" ht="15.9" customHeight="1" x14ac:dyDescent="0.25">
      <c r="A24" s="432"/>
      <c r="B24" s="356" t="s">
        <v>182</v>
      </c>
      <c r="C24" s="363" t="s">
        <v>183</v>
      </c>
      <c r="D24" s="363"/>
      <c r="E24" s="365" t="s">
        <v>184</v>
      </c>
      <c r="F24" s="367">
        <v>12</v>
      </c>
      <c r="G24" s="367">
        <v>1800000</v>
      </c>
      <c r="H24" s="292">
        <f t="shared" si="2"/>
        <v>21600000</v>
      </c>
      <c r="I24" s="364"/>
    </row>
    <row r="25" spans="1:9" ht="15.9" customHeight="1" x14ac:dyDescent="0.25">
      <c r="A25" s="432"/>
      <c r="B25" s="356"/>
      <c r="C25" s="363" t="s">
        <v>185</v>
      </c>
      <c r="D25" s="363" t="s">
        <v>186</v>
      </c>
      <c r="E25" s="365" t="s">
        <v>184</v>
      </c>
      <c r="F25" s="367">
        <v>12</v>
      </c>
      <c r="G25" s="367">
        <v>100000</v>
      </c>
      <c r="H25" s="292">
        <f t="shared" si="2"/>
        <v>1200000</v>
      </c>
      <c r="I25" s="364"/>
    </row>
    <row r="26" spans="1:9" ht="15.9" customHeight="1" x14ac:dyDescent="0.25">
      <c r="A26" s="432"/>
      <c r="B26" s="356"/>
      <c r="C26" s="363" t="s">
        <v>187</v>
      </c>
      <c r="D26" s="363" t="s">
        <v>188</v>
      </c>
      <c r="E26" s="365" t="s">
        <v>184</v>
      </c>
      <c r="F26" s="367">
        <v>24</v>
      </c>
      <c r="G26" s="367">
        <v>100000</v>
      </c>
      <c r="H26" s="292">
        <f t="shared" si="2"/>
        <v>2400000</v>
      </c>
      <c r="I26" s="364"/>
    </row>
    <row r="27" spans="1:9" ht="15.9" customHeight="1" x14ac:dyDescent="0.25">
      <c r="A27" s="432"/>
      <c r="B27" s="356"/>
      <c r="C27" s="363" t="s">
        <v>189</v>
      </c>
      <c r="D27" s="363" t="s">
        <v>190</v>
      </c>
      <c r="E27" s="365" t="s">
        <v>167</v>
      </c>
      <c r="F27" s="367">
        <v>2</v>
      </c>
      <c r="G27" s="367">
        <v>2000000</v>
      </c>
      <c r="H27" s="292">
        <f t="shared" si="2"/>
        <v>4000000</v>
      </c>
      <c r="I27" s="364"/>
    </row>
    <row r="28" spans="1:9" ht="15.9" customHeight="1" x14ac:dyDescent="0.25">
      <c r="A28" s="432"/>
      <c r="B28" s="356"/>
      <c r="C28" s="363" t="s">
        <v>191</v>
      </c>
      <c r="D28" s="363" t="s">
        <v>192</v>
      </c>
      <c r="E28" s="365" t="s">
        <v>167</v>
      </c>
      <c r="F28" s="367">
        <v>2</v>
      </c>
      <c r="G28" s="367">
        <v>2000000</v>
      </c>
      <c r="H28" s="292">
        <f t="shared" si="2"/>
        <v>4000000</v>
      </c>
      <c r="I28" s="364"/>
    </row>
    <row r="29" spans="1:9" ht="15.9" customHeight="1" x14ac:dyDescent="0.25">
      <c r="A29" s="432"/>
      <c r="B29" s="356"/>
      <c r="C29" s="363" t="s">
        <v>193</v>
      </c>
      <c r="D29" s="363" t="s">
        <v>194</v>
      </c>
      <c r="E29" s="365" t="s">
        <v>167</v>
      </c>
      <c r="F29" s="367">
        <v>2</v>
      </c>
      <c r="G29" s="367">
        <v>3500000</v>
      </c>
      <c r="H29" s="292">
        <f t="shared" si="2"/>
        <v>7000000</v>
      </c>
      <c r="I29" s="364"/>
    </row>
    <row r="30" spans="1:9" ht="15.9" customHeight="1" x14ac:dyDescent="0.25">
      <c r="A30" s="432"/>
      <c r="B30" s="356"/>
      <c r="C30" s="363" t="s">
        <v>195</v>
      </c>
      <c r="D30" s="363"/>
      <c r="E30" s="365" t="s">
        <v>184</v>
      </c>
      <c r="F30" s="367">
        <v>32</v>
      </c>
      <c r="G30" s="367">
        <v>40000</v>
      </c>
      <c r="H30" s="292">
        <f t="shared" si="2"/>
        <v>1280000</v>
      </c>
      <c r="I30" s="364"/>
    </row>
    <row r="31" spans="1:9" ht="15.9" customHeight="1" x14ac:dyDescent="0.25">
      <c r="A31" s="432"/>
      <c r="B31" s="356"/>
      <c r="C31" s="363" t="s">
        <v>196</v>
      </c>
      <c r="D31" s="363"/>
      <c r="E31" s="365" t="s">
        <v>184</v>
      </c>
      <c r="F31" s="367">
        <v>2</v>
      </c>
      <c r="G31" s="367">
        <v>100000</v>
      </c>
      <c r="H31" s="292">
        <f t="shared" si="2"/>
        <v>200000</v>
      </c>
      <c r="I31" s="364"/>
    </row>
    <row r="32" spans="1:9" ht="15.9" customHeight="1" x14ac:dyDescent="0.25">
      <c r="A32" s="432"/>
      <c r="B32" s="356"/>
      <c r="C32" s="363" t="s">
        <v>197</v>
      </c>
      <c r="D32" s="363"/>
      <c r="E32" s="365" t="s">
        <v>167</v>
      </c>
      <c r="F32" s="367">
        <v>2</v>
      </c>
      <c r="G32" s="367">
        <v>300000</v>
      </c>
      <c r="H32" s="292">
        <f t="shared" si="2"/>
        <v>600000</v>
      </c>
      <c r="I32" s="364"/>
    </row>
    <row r="33" spans="1:9" ht="15.9" customHeight="1" x14ac:dyDescent="0.25">
      <c r="A33" s="432"/>
      <c r="B33" s="356"/>
      <c r="C33" s="363" t="s">
        <v>198</v>
      </c>
      <c r="D33" s="363"/>
      <c r="E33" s="365" t="s">
        <v>167</v>
      </c>
      <c r="F33" s="367">
        <v>2</v>
      </c>
      <c r="G33" s="367">
        <v>1000000</v>
      </c>
      <c r="H33" s="292">
        <f t="shared" si="2"/>
        <v>2000000</v>
      </c>
      <c r="I33" s="364"/>
    </row>
    <row r="34" spans="1:9" ht="15.9" customHeight="1" x14ac:dyDescent="0.25">
      <c r="A34" s="432"/>
      <c r="B34" s="356"/>
      <c r="C34" s="363" t="s">
        <v>199</v>
      </c>
      <c r="D34" s="363"/>
      <c r="E34" s="365" t="s">
        <v>167</v>
      </c>
      <c r="F34" s="367">
        <v>2</v>
      </c>
      <c r="G34" s="367">
        <v>1500000</v>
      </c>
      <c r="H34" s="302">
        <f t="shared" si="2"/>
        <v>3000000</v>
      </c>
      <c r="I34" s="390"/>
    </row>
    <row r="35" spans="1:9" ht="15.9" customHeight="1" x14ac:dyDescent="0.25">
      <c r="A35" s="432"/>
      <c r="B35" s="356"/>
      <c r="C35" s="363" t="s">
        <v>172</v>
      </c>
      <c r="D35" s="363" t="s">
        <v>200</v>
      </c>
      <c r="E35" s="365"/>
      <c r="F35" s="367"/>
      <c r="G35" s="367"/>
      <c r="H35" s="292">
        <f t="shared" si="2"/>
        <v>0</v>
      </c>
      <c r="I35" s="364"/>
    </row>
    <row r="36" spans="1:9" ht="15.9" customHeight="1" x14ac:dyDescent="0.25">
      <c r="A36" s="432"/>
      <c r="B36" s="356"/>
      <c r="C36" s="363" t="s">
        <v>201</v>
      </c>
      <c r="D36" s="363" t="s">
        <v>186</v>
      </c>
      <c r="E36" s="365" t="s">
        <v>184</v>
      </c>
      <c r="F36" s="367">
        <v>12</v>
      </c>
      <c r="G36" s="367">
        <v>150000</v>
      </c>
      <c r="H36" s="292">
        <f t="shared" si="2"/>
        <v>1800000</v>
      </c>
      <c r="I36" s="364"/>
    </row>
    <row r="37" spans="1:9" ht="15.9" customHeight="1" x14ac:dyDescent="0.25">
      <c r="A37" s="432"/>
      <c r="B37" s="356"/>
      <c r="C37" s="363" t="s">
        <v>195</v>
      </c>
      <c r="D37" s="363"/>
      <c r="E37" s="365" t="s">
        <v>184</v>
      </c>
      <c r="F37" s="367">
        <v>24</v>
      </c>
      <c r="G37" s="367">
        <v>40000</v>
      </c>
      <c r="H37" s="292">
        <f t="shared" si="2"/>
        <v>960000</v>
      </c>
      <c r="I37" s="364"/>
    </row>
    <row r="38" spans="1:9" ht="15.9" customHeight="1" x14ac:dyDescent="0.25">
      <c r="A38" s="432"/>
      <c r="B38" s="356"/>
      <c r="C38" s="363" t="s">
        <v>196</v>
      </c>
      <c r="D38" s="363"/>
      <c r="E38" s="365" t="s">
        <v>184</v>
      </c>
      <c r="F38" s="367">
        <v>36</v>
      </c>
      <c r="G38" s="367">
        <v>100000</v>
      </c>
      <c r="H38" s="292">
        <f t="shared" si="2"/>
        <v>3600000</v>
      </c>
      <c r="I38" s="364"/>
    </row>
    <row r="39" spans="1:9" ht="15.9" customHeight="1" x14ac:dyDescent="0.25">
      <c r="A39" s="432"/>
      <c r="B39" s="356"/>
      <c r="C39" s="363" t="s">
        <v>199</v>
      </c>
      <c r="D39" s="363"/>
      <c r="E39" s="365" t="s">
        <v>167</v>
      </c>
      <c r="F39" s="367">
        <v>2</v>
      </c>
      <c r="G39" s="367">
        <v>1600000</v>
      </c>
      <c r="H39" s="292">
        <f t="shared" si="2"/>
        <v>3200000</v>
      </c>
      <c r="I39" s="364"/>
    </row>
    <row r="40" spans="1:9" ht="15.9" customHeight="1" x14ac:dyDescent="0.25">
      <c r="A40" s="432"/>
      <c r="B40" s="356"/>
      <c r="C40" s="363" t="s">
        <v>173</v>
      </c>
      <c r="D40" s="363"/>
      <c r="E40" s="365"/>
      <c r="F40" s="367"/>
      <c r="G40" s="367"/>
      <c r="H40" s="292">
        <f t="shared" si="2"/>
        <v>0</v>
      </c>
      <c r="I40" s="364"/>
    </row>
    <row r="41" spans="1:9" ht="15.9" customHeight="1" x14ac:dyDescent="0.25">
      <c r="A41" s="432"/>
      <c r="B41" s="356"/>
      <c r="C41" s="363" t="s">
        <v>202</v>
      </c>
      <c r="D41" s="363" t="s">
        <v>203</v>
      </c>
      <c r="E41" s="365" t="s">
        <v>167</v>
      </c>
      <c r="F41" s="367">
        <v>2</v>
      </c>
      <c r="G41" s="367">
        <v>3400000</v>
      </c>
      <c r="H41" s="292">
        <v>0</v>
      </c>
      <c r="I41" s="364"/>
    </row>
    <row r="42" spans="1:9" ht="15.9" customHeight="1" x14ac:dyDescent="0.25">
      <c r="A42" s="432"/>
      <c r="B42" s="356"/>
      <c r="C42" s="363"/>
      <c r="D42" s="363" t="s">
        <v>204</v>
      </c>
      <c r="E42" s="365" t="s">
        <v>167</v>
      </c>
      <c r="F42" s="367">
        <v>2</v>
      </c>
      <c r="G42" s="367">
        <v>800000</v>
      </c>
      <c r="H42" s="292">
        <v>0</v>
      </c>
      <c r="I42" s="364"/>
    </row>
    <row r="43" spans="1:9" ht="15.9" customHeight="1" x14ac:dyDescent="0.25">
      <c r="A43" s="432"/>
      <c r="B43" s="356"/>
      <c r="C43" s="363"/>
      <c r="D43" s="363" t="s">
        <v>205</v>
      </c>
      <c r="E43" s="365" t="s">
        <v>167</v>
      </c>
      <c r="F43" s="367">
        <v>2</v>
      </c>
      <c r="G43" s="367">
        <v>1500000</v>
      </c>
      <c r="H43" s="292">
        <v>0</v>
      </c>
      <c r="I43" s="364"/>
    </row>
    <row r="44" spans="1:9" ht="15.9" customHeight="1" x14ac:dyDescent="0.25">
      <c r="A44" s="432"/>
      <c r="B44" s="356"/>
      <c r="C44" s="363" t="s">
        <v>206</v>
      </c>
      <c r="D44" s="363" t="s">
        <v>203</v>
      </c>
      <c r="E44" s="365" t="s">
        <v>167</v>
      </c>
      <c r="F44" s="367">
        <v>2</v>
      </c>
      <c r="G44" s="367">
        <v>3800000</v>
      </c>
      <c r="H44" s="292">
        <v>0</v>
      </c>
      <c r="I44" s="364"/>
    </row>
    <row r="45" spans="1:9" ht="15.9" customHeight="1" x14ac:dyDescent="0.25">
      <c r="A45" s="432"/>
      <c r="B45" s="356"/>
      <c r="C45" s="363"/>
      <c r="D45" s="363" t="s">
        <v>204</v>
      </c>
      <c r="E45" s="365" t="s">
        <v>167</v>
      </c>
      <c r="F45" s="367">
        <v>2</v>
      </c>
      <c r="G45" s="367">
        <v>1000000</v>
      </c>
      <c r="H45" s="292">
        <v>0</v>
      </c>
      <c r="I45" s="364"/>
    </row>
    <row r="46" spans="1:9" ht="15.9" customHeight="1" x14ac:dyDescent="0.25">
      <c r="A46" s="432"/>
      <c r="B46" s="356"/>
      <c r="C46" s="363" t="s">
        <v>207</v>
      </c>
      <c r="D46" s="363" t="s">
        <v>208</v>
      </c>
      <c r="E46" s="365" t="s">
        <v>167</v>
      </c>
      <c r="F46" s="367">
        <v>2</v>
      </c>
      <c r="G46" s="367">
        <v>2500000</v>
      </c>
      <c r="H46" s="292">
        <v>0</v>
      </c>
      <c r="I46" s="364"/>
    </row>
    <row r="47" spans="1:9" ht="15.9" customHeight="1" x14ac:dyDescent="0.25">
      <c r="A47" s="432"/>
      <c r="B47" s="356"/>
      <c r="C47" s="363"/>
      <c r="D47" s="363" t="s">
        <v>209</v>
      </c>
      <c r="E47" s="365" t="s">
        <v>167</v>
      </c>
      <c r="F47" s="367">
        <v>2</v>
      </c>
      <c r="G47" s="367">
        <v>3000000</v>
      </c>
      <c r="H47" s="292">
        <v>0</v>
      </c>
      <c r="I47" s="364"/>
    </row>
    <row r="48" spans="1:9" ht="15.9" customHeight="1" x14ac:dyDescent="0.25">
      <c r="A48" s="432"/>
      <c r="B48" s="356"/>
      <c r="C48" s="363"/>
      <c r="D48" s="363" t="s">
        <v>210</v>
      </c>
      <c r="E48" s="365" t="s">
        <v>167</v>
      </c>
      <c r="F48" s="367">
        <v>2</v>
      </c>
      <c r="G48" s="367">
        <v>600000</v>
      </c>
      <c r="H48" s="292">
        <v>0</v>
      </c>
      <c r="I48" s="364"/>
    </row>
    <row r="49" spans="1:9" ht="15.9" customHeight="1" x14ac:dyDescent="0.25">
      <c r="A49" s="432"/>
      <c r="B49" s="356"/>
      <c r="C49" s="363"/>
      <c r="D49" s="363" t="s">
        <v>205</v>
      </c>
      <c r="E49" s="365" t="s">
        <v>167</v>
      </c>
      <c r="F49" s="367">
        <v>2</v>
      </c>
      <c r="G49" s="367">
        <v>1800000</v>
      </c>
      <c r="H49" s="292">
        <v>0</v>
      </c>
      <c r="I49" s="364"/>
    </row>
    <row r="50" spans="1:9" ht="15.9" customHeight="1" x14ac:dyDescent="0.25">
      <c r="A50" s="432"/>
      <c r="B50" s="356"/>
      <c r="C50" s="363" t="s">
        <v>211</v>
      </c>
      <c r="D50" s="363" t="s">
        <v>209</v>
      </c>
      <c r="E50" s="365" t="s">
        <v>167</v>
      </c>
      <c r="F50" s="367">
        <v>2</v>
      </c>
      <c r="G50" s="367">
        <v>3000000</v>
      </c>
      <c r="H50" s="292">
        <v>0</v>
      </c>
      <c r="I50" s="364"/>
    </row>
    <row r="51" spans="1:9" ht="15.75" customHeight="1" x14ac:dyDescent="0.25">
      <c r="A51" s="432"/>
      <c r="B51" s="356"/>
      <c r="C51" s="363"/>
      <c r="D51" s="363" t="s">
        <v>210</v>
      </c>
      <c r="E51" s="365" t="s">
        <v>167</v>
      </c>
      <c r="F51" s="367">
        <v>2</v>
      </c>
      <c r="G51" s="367">
        <v>600000</v>
      </c>
      <c r="H51" s="292">
        <v>0</v>
      </c>
      <c r="I51" s="364"/>
    </row>
    <row r="52" spans="1:9" ht="15.9" customHeight="1" x14ac:dyDescent="0.25">
      <c r="A52" s="432"/>
      <c r="B52" s="356"/>
      <c r="C52" s="363"/>
      <c r="D52" s="363" t="s">
        <v>205</v>
      </c>
      <c r="E52" s="365" t="s">
        <v>167</v>
      </c>
      <c r="F52" s="367">
        <v>2</v>
      </c>
      <c r="G52" s="367">
        <v>200000</v>
      </c>
      <c r="H52" s="292">
        <v>0</v>
      </c>
      <c r="I52" s="364"/>
    </row>
    <row r="53" spans="1:9" ht="15.9" customHeight="1" x14ac:dyDescent="0.25">
      <c r="A53" s="432"/>
      <c r="B53" s="356"/>
      <c r="C53" s="363" t="s">
        <v>212</v>
      </c>
      <c r="D53" s="363" t="s">
        <v>213</v>
      </c>
      <c r="E53" s="365" t="s">
        <v>59</v>
      </c>
      <c r="F53" s="367">
        <v>2</v>
      </c>
      <c r="G53" s="367">
        <v>12000000</v>
      </c>
      <c r="H53" s="292">
        <v>0</v>
      </c>
      <c r="I53" s="364"/>
    </row>
    <row r="54" spans="1:9" ht="15.9" customHeight="1" x14ac:dyDescent="0.25">
      <c r="A54" s="432"/>
      <c r="B54" s="356"/>
      <c r="C54" s="363" t="s">
        <v>214</v>
      </c>
      <c r="D54" s="363"/>
      <c r="E54" s="365" t="s">
        <v>167</v>
      </c>
      <c r="F54" s="367">
        <v>2</v>
      </c>
      <c r="G54" s="367">
        <v>1500000</v>
      </c>
      <c r="H54" s="292">
        <v>0</v>
      </c>
      <c r="I54" s="364"/>
    </row>
    <row r="55" spans="1:9" ht="15.75" customHeight="1" x14ac:dyDescent="0.25">
      <c r="A55" s="432"/>
      <c r="B55" s="356"/>
      <c r="C55" s="363" t="s">
        <v>195</v>
      </c>
      <c r="D55" s="363"/>
      <c r="E55" s="365" t="s">
        <v>167</v>
      </c>
      <c r="F55" s="367">
        <v>4</v>
      </c>
      <c r="G55" s="367">
        <v>40000</v>
      </c>
      <c r="H55" s="292">
        <v>0</v>
      </c>
      <c r="I55" s="364"/>
    </row>
    <row r="56" spans="1:9" ht="15.9" customHeight="1" x14ac:dyDescent="0.25">
      <c r="A56" s="432"/>
      <c r="B56" s="356"/>
      <c r="C56" s="363" t="s">
        <v>199</v>
      </c>
      <c r="D56" s="363"/>
      <c r="E56" s="365" t="s">
        <v>167</v>
      </c>
      <c r="F56" s="367">
        <v>2</v>
      </c>
      <c r="G56" s="367">
        <v>500000</v>
      </c>
      <c r="H56" s="292">
        <v>0</v>
      </c>
      <c r="I56" s="364"/>
    </row>
    <row r="57" spans="1:9" ht="15.9" customHeight="1" x14ac:dyDescent="0.25">
      <c r="A57" s="432"/>
      <c r="B57" s="356"/>
      <c r="C57" s="363"/>
      <c r="D57" s="363"/>
      <c r="E57" s="365"/>
      <c r="F57" s="367"/>
      <c r="G57" s="367"/>
      <c r="H57" s="292">
        <f t="shared" ref="H57:H64" si="3">IF(F57=0,G57,G57*F57)</f>
        <v>0</v>
      </c>
      <c r="I57" s="364"/>
    </row>
    <row r="58" spans="1:9" ht="15.9" customHeight="1" x14ac:dyDescent="0.25">
      <c r="A58" s="432"/>
      <c r="B58" s="356"/>
      <c r="C58" s="433" t="s">
        <v>215</v>
      </c>
      <c r="D58" s="433"/>
      <c r="E58" s="434"/>
      <c r="F58" s="435"/>
      <c r="G58" s="435"/>
      <c r="H58" s="292">
        <f t="shared" si="3"/>
        <v>0</v>
      </c>
      <c r="I58" s="364"/>
    </row>
    <row r="59" spans="1:9" ht="15.9" customHeight="1" x14ac:dyDescent="0.25">
      <c r="A59" s="432"/>
      <c r="B59" s="356"/>
      <c r="C59" s="363" t="s">
        <v>216</v>
      </c>
      <c r="D59" s="363" t="s">
        <v>217</v>
      </c>
      <c r="E59" s="365" t="s">
        <v>167</v>
      </c>
      <c r="F59" s="436">
        <v>1</v>
      </c>
      <c r="G59" s="367">
        <v>350000</v>
      </c>
      <c r="H59" s="292">
        <f t="shared" si="3"/>
        <v>350000</v>
      </c>
      <c r="I59" s="364"/>
    </row>
    <row r="60" spans="1:9" ht="15.9" customHeight="1" x14ac:dyDescent="0.25">
      <c r="A60" s="432"/>
      <c r="B60" s="356"/>
      <c r="C60" s="363" t="s">
        <v>218</v>
      </c>
      <c r="D60" s="363" t="s">
        <v>219</v>
      </c>
      <c r="E60" s="365" t="s">
        <v>167</v>
      </c>
      <c r="F60" s="436">
        <v>30</v>
      </c>
      <c r="G60" s="367">
        <v>75000</v>
      </c>
      <c r="H60" s="292">
        <f t="shared" si="3"/>
        <v>2250000</v>
      </c>
      <c r="I60" s="364"/>
    </row>
    <row r="61" spans="1:9" ht="15.9" customHeight="1" x14ac:dyDescent="0.25">
      <c r="A61" s="432"/>
      <c r="B61" s="356"/>
      <c r="C61" s="363" t="s">
        <v>220</v>
      </c>
      <c r="D61" s="363" t="s">
        <v>221</v>
      </c>
      <c r="E61" s="365" t="s">
        <v>167</v>
      </c>
      <c r="F61" s="436">
        <v>3</v>
      </c>
      <c r="G61" s="367">
        <v>850000</v>
      </c>
      <c r="H61" s="292">
        <f t="shared" si="3"/>
        <v>2550000</v>
      </c>
      <c r="I61" s="364"/>
    </row>
    <row r="62" spans="1:9" ht="15.9" customHeight="1" x14ac:dyDescent="0.25">
      <c r="A62" s="432"/>
      <c r="B62" s="356"/>
      <c r="C62" s="363" t="s">
        <v>222</v>
      </c>
      <c r="D62" s="363"/>
      <c r="E62" s="365" t="s">
        <v>167</v>
      </c>
      <c r="F62" s="436">
        <v>60</v>
      </c>
      <c r="G62" s="367">
        <v>7000</v>
      </c>
      <c r="H62" s="292">
        <f t="shared" si="3"/>
        <v>420000</v>
      </c>
      <c r="I62" s="364"/>
    </row>
    <row r="63" spans="1:9" ht="15.9" customHeight="1" x14ac:dyDescent="0.25">
      <c r="A63" s="432"/>
      <c r="B63" s="356"/>
      <c r="C63" s="363" t="s">
        <v>223</v>
      </c>
      <c r="D63" s="363"/>
      <c r="E63" s="365" t="s">
        <v>167</v>
      </c>
      <c r="F63" s="436">
        <v>2</v>
      </c>
      <c r="G63" s="367">
        <v>100000</v>
      </c>
      <c r="H63" s="292">
        <f t="shared" si="3"/>
        <v>200000</v>
      </c>
      <c r="I63" s="364"/>
    </row>
    <row r="64" spans="1:9" ht="15.9" customHeight="1" x14ac:dyDescent="0.25">
      <c r="A64" s="432"/>
      <c r="B64" s="356"/>
      <c r="C64" s="433" t="s">
        <v>224</v>
      </c>
      <c r="D64" s="433"/>
      <c r="E64" s="434" t="s">
        <v>167</v>
      </c>
      <c r="F64" s="435">
        <v>2</v>
      </c>
      <c r="G64" s="435">
        <v>100000</v>
      </c>
      <c r="H64" s="292">
        <f t="shared" si="3"/>
        <v>200000</v>
      </c>
      <c r="I64" s="364"/>
    </row>
    <row r="65" spans="1:9" ht="15.9" customHeight="1" x14ac:dyDescent="0.25">
      <c r="A65" s="432"/>
      <c r="B65" s="356"/>
      <c r="C65" s="363"/>
      <c r="D65" s="363"/>
      <c r="E65" s="365"/>
      <c r="F65" s="367"/>
      <c r="G65" s="367"/>
      <c r="H65" s="292">
        <f t="shared" si="2"/>
        <v>0</v>
      </c>
      <c r="I65" s="364"/>
    </row>
    <row r="66" spans="1:9" ht="15.9" customHeight="1" x14ac:dyDescent="0.25">
      <c r="A66" s="432"/>
      <c r="B66" s="356"/>
      <c r="C66" s="363"/>
      <c r="D66" s="363"/>
      <c r="E66" s="365"/>
      <c r="F66" s="367"/>
      <c r="G66" s="367"/>
      <c r="H66" s="292">
        <f t="shared" si="2"/>
        <v>0</v>
      </c>
      <c r="I66" s="364"/>
    </row>
    <row r="67" spans="1:9" ht="15.9" customHeight="1" x14ac:dyDescent="0.25">
      <c r="A67" s="432"/>
      <c r="B67" s="356"/>
      <c r="C67" s="368" t="s">
        <v>225</v>
      </c>
      <c r="D67" s="368"/>
      <c r="E67" s="369" t="s">
        <v>59</v>
      </c>
      <c r="F67" s="371">
        <v>2</v>
      </c>
      <c r="G67" s="371">
        <v>500000</v>
      </c>
      <c r="H67" s="402">
        <v>0</v>
      </c>
      <c r="I67" s="372"/>
    </row>
    <row r="68" spans="1:9" ht="15.9" customHeight="1" x14ac:dyDescent="0.25">
      <c r="A68" s="432"/>
      <c r="B68" s="373"/>
      <c r="C68" s="374"/>
      <c r="D68" s="375"/>
      <c r="E68" s="375"/>
      <c r="F68" s="377"/>
      <c r="G68" s="377"/>
      <c r="H68" s="378">
        <f>SUM(H23:H67)</f>
        <v>62810000</v>
      </c>
      <c r="I68" s="68"/>
    </row>
    <row r="69" spans="1:9" ht="15.9" customHeight="1" x14ac:dyDescent="0.25">
      <c r="A69" s="432"/>
      <c r="B69" s="398" t="s">
        <v>61</v>
      </c>
      <c r="C69" s="439" t="s">
        <v>226</v>
      </c>
      <c r="D69" s="439"/>
      <c r="E69" s="440" t="s">
        <v>167</v>
      </c>
      <c r="F69" s="412">
        <v>12</v>
      </c>
      <c r="G69" s="412">
        <v>2000000</v>
      </c>
      <c r="H69" s="329">
        <f t="shared" si="1"/>
        <v>24000000</v>
      </c>
      <c r="I69" s="385"/>
    </row>
    <row r="70" spans="1:9" ht="15.9" customHeight="1" x14ac:dyDescent="0.25">
      <c r="A70" s="432"/>
      <c r="B70" s="356"/>
      <c r="C70" s="363" t="s">
        <v>227</v>
      </c>
      <c r="D70" s="363"/>
      <c r="E70" s="365" t="s">
        <v>167</v>
      </c>
      <c r="F70" s="367">
        <v>2</v>
      </c>
      <c r="G70" s="367">
        <v>3000000</v>
      </c>
      <c r="H70" s="302">
        <f t="shared" si="1"/>
        <v>6000000</v>
      </c>
      <c r="I70" s="390"/>
    </row>
    <row r="71" spans="1:9" ht="15.9" customHeight="1" x14ac:dyDescent="0.25">
      <c r="A71" s="432"/>
      <c r="B71" s="356"/>
      <c r="C71" s="368"/>
      <c r="D71" s="368"/>
      <c r="E71" s="368"/>
      <c r="F71" s="371"/>
      <c r="G71" s="371"/>
      <c r="H71" s="441">
        <f t="shared" si="1"/>
        <v>0</v>
      </c>
      <c r="I71" s="372"/>
    </row>
    <row r="72" spans="1:9" ht="15.9" customHeight="1" x14ac:dyDescent="0.25">
      <c r="A72" s="432"/>
      <c r="B72" s="373"/>
      <c r="C72" s="374"/>
      <c r="D72" s="375"/>
      <c r="E72" s="375"/>
      <c r="F72" s="377"/>
      <c r="G72" s="377"/>
      <c r="H72" s="378">
        <f>SUM(H69:H70)</f>
        <v>30000000</v>
      </c>
      <c r="I72" s="68"/>
    </row>
    <row r="73" spans="1:9" ht="15.9" customHeight="1" x14ac:dyDescent="0.25">
      <c r="A73" s="403"/>
      <c r="B73" s="404" t="s">
        <v>149</v>
      </c>
      <c r="C73" s="405"/>
      <c r="D73" s="68"/>
      <c r="E73" s="68"/>
      <c r="F73" s="407"/>
      <c r="G73" s="407"/>
      <c r="H73" s="378">
        <f>SUM(H72,H68,H22,H19)</f>
        <v>113410000</v>
      </c>
      <c r="I73" s="68"/>
    </row>
    <row r="74" spans="1:9" ht="15.9" customHeight="1" x14ac:dyDescent="0.25">
      <c r="A74" s="355" t="s">
        <v>150</v>
      </c>
      <c r="B74" s="409" t="s">
        <v>67</v>
      </c>
      <c r="C74" s="405"/>
      <c r="D74" s="68"/>
      <c r="E74" s="409" t="s">
        <v>68</v>
      </c>
      <c r="F74" s="442">
        <v>0</v>
      </c>
      <c r="G74" s="427">
        <v>250000</v>
      </c>
      <c r="H74" s="413">
        <f>F74*G74</f>
        <v>0</v>
      </c>
      <c r="I74" s="68"/>
    </row>
    <row r="75" spans="1:9" ht="15.9" customHeight="1" x14ac:dyDescent="0.25">
      <c r="A75" s="432"/>
      <c r="B75" s="415" t="s">
        <v>228</v>
      </c>
      <c r="C75" s="416"/>
      <c r="D75" s="385"/>
      <c r="E75" s="415" t="s">
        <v>152</v>
      </c>
      <c r="F75" s="443">
        <v>50</v>
      </c>
      <c r="G75" s="383">
        <v>300000</v>
      </c>
      <c r="H75" s="384">
        <f t="shared" ref="H75:H81" si="4">F75*G75</f>
        <v>15000000</v>
      </c>
      <c r="I75" s="385"/>
    </row>
    <row r="76" spans="1:9" ht="15.9" customHeight="1" x14ac:dyDescent="0.25">
      <c r="A76" s="432"/>
      <c r="B76" s="418" t="s">
        <v>229</v>
      </c>
      <c r="C76" s="419"/>
      <c r="D76" s="364"/>
      <c r="E76" s="418" t="s">
        <v>152</v>
      </c>
      <c r="F76" s="435">
        <v>20</v>
      </c>
      <c r="G76" s="367">
        <v>250000</v>
      </c>
      <c r="H76" s="292">
        <f t="shared" si="4"/>
        <v>5000000</v>
      </c>
      <c r="I76" s="364"/>
    </row>
    <row r="77" spans="1:9" ht="15.9" customHeight="1" x14ac:dyDescent="0.25">
      <c r="A77" s="432"/>
      <c r="B77" s="418" t="s">
        <v>230</v>
      </c>
      <c r="C77" s="419"/>
      <c r="D77" s="364"/>
      <c r="E77" s="418" t="s">
        <v>152</v>
      </c>
      <c r="F77" s="435">
        <v>50</v>
      </c>
      <c r="G77" s="367">
        <v>250000</v>
      </c>
      <c r="H77" s="292">
        <f t="shared" si="4"/>
        <v>12500000</v>
      </c>
      <c r="I77" s="364"/>
    </row>
    <row r="78" spans="1:9" ht="15.9" customHeight="1" x14ac:dyDescent="0.25">
      <c r="A78" s="432"/>
      <c r="B78" s="418" t="s">
        <v>231</v>
      </c>
      <c r="C78" s="419"/>
      <c r="D78" s="364"/>
      <c r="E78" s="418" t="s">
        <v>152</v>
      </c>
      <c r="F78" s="435">
        <v>10</v>
      </c>
      <c r="G78" s="367">
        <v>300000</v>
      </c>
      <c r="H78" s="292">
        <f t="shared" si="4"/>
        <v>3000000</v>
      </c>
      <c r="I78" s="364"/>
    </row>
    <row r="79" spans="1:9" ht="15.9" customHeight="1" x14ac:dyDescent="0.25">
      <c r="A79" s="432"/>
      <c r="B79" s="418" t="s">
        <v>232</v>
      </c>
      <c r="C79" s="419"/>
      <c r="D79" s="364"/>
      <c r="E79" s="418" t="s">
        <v>152</v>
      </c>
      <c r="F79" s="367">
        <v>15</v>
      </c>
      <c r="G79" s="367">
        <v>300000</v>
      </c>
      <c r="H79" s="292">
        <f t="shared" si="4"/>
        <v>4500000</v>
      </c>
      <c r="I79" s="364"/>
    </row>
    <row r="80" spans="1:9" ht="15.9" customHeight="1" x14ac:dyDescent="0.25">
      <c r="A80" s="432"/>
      <c r="B80" s="418" t="s">
        <v>233</v>
      </c>
      <c r="C80" s="419"/>
      <c r="D80" s="364"/>
      <c r="E80" s="418" t="s">
        <v>152</v>
      </c>
      <c r="F80" s="435">
        <v>5</v>
      </c>
      <c r="G80" s="367">
        <v>300000</v>
      </c>
      <c r="H80" s="292">
        <f t="shared" si="4"/>
        <v>1500000</v>
      </c>
      <c r="I80" s="364"/>
    </row>
    <row r="81" spans="1:9" ht="15.9" customHeight="1" x14ac:dyDescent="0.25">
      <c r="A81" s="432"/>
      <c r="B81" s="421" t="s">
        <v>234</v>
      </c>
      <c r="C81" s="422"/>
      <c r="D81" s="372"/>
      <c r="E81" s="421" t="s">
        <v>152</v>
      </c>
      <c r="F81" s="371">
        <v>10</v>
      </c>
      <c r="G81" s="371">
        <v>250000</v>
      </c>
      <c r="H81" s="402">
        <f t="shared" si="4"/>
        <v>2500000</v>
      </c>
      <c r="I81" s="372"/>
    </row>
    <row r="82" spans="1:9" ht="15.9" customHeight="1" x14ac:dyDescent="0.25">
      <c r="A82" s="403"/>
      <c r="B82" s="424" t="s">
        <v>158</v>
      </c>
      <c r="C82" s="405"/>
      <c r="D82" s="68"/>
      <c r="E82" s="68"/>
      <c r="F82" s="377"/>
      <c r="G82" s="377"/>
      <c r="H82" s="377">
        <f>SUM(H74:H81)</f>
        <v>44000000</v>
      </c>
      <c r="I82" s="375"/>
    </row>
    <row r="83" spans="1:9" ht="15.9" customHeight="1" x14ac:dyDescent="0.25">
      <c r="A83" s="410"/>
      <c r="B83" s="424" t="s">
        <v>235</v>
      </c>
      <c r="C83" s="405"/>
      <c r="D83" s="68"/>
      <c r="E83" s="68"/>
      <c r="F83" s="378"/>
      <c r="G83" s="378"/>
      <c r="H83" s="407">
        <f>'단위공사별(집계)'!I7+'단위공사별(집계)'!L7</f>
        <v>660234.35443243687</v>
      </c>
      <c r="I83" s="68"/>
    </row>
    <row r="84" spans="1:9" ht="15.9" customHeight="1" x14ac:dyDescent="0.25">
      <c r="A84" s="410"/>
      <c r="B84" s="424" t="s">
        <v>93</v>
      </c>
      <c r="C84" s="405"/>
      <c r="D84" s="68"/>
      <c r="E84" s="68"/>
      <c r="F84" s="378"/>
      <c r="G84" s="426"/>
      <c r="H84" s="427">
        <v>0</v>
      </c>
      <c r="I84" s="405"/>
    </row>
    <row r="85" spans="1:9" ht="15.9" customHeight="1" x14ac:dyDescent="0.25">
      <c r="A85" s="410"/>
      <c r="B85" s="424" t="s">
        <v>161</v>
      </c>
      <c r="C85" s="405"/>
      <c r="D85" s="68"/>
      <c r="E85" s="68"/>
      <c r="F85" s="378"/>
      <c r="G85" s="426"/>
      <c r="H85" s="427">
        <v>0</v>
      </c>
      <c r="I85" s="405"/>
    </row>
    <row r="86" spans="1:9" ht="15.9" customHeight="1" x14ac:dyDescent="0.25">
      <c r="A86" s="410"/>
      <c r="B86" s="424" t="s">
        <v>162</v>
      </c>
      <c r="C86" s="405"/>
      <c r="D86" s="68"/>
      <c r="E86" s="68"/>
      <c r="F86" s="378"/>
      <c r="G86" s="378"/>
      <c r="H86" s="377">
        <f>H73+H82+H83+H84+H85</f>
        <v>158070234.35443243</v>
      </c>
      <c r="I86" s="68"/>
    </row>
    <row r="87" spans="1:9" x14ac:dyDescent="0.25">
      <c r="A87" s="254"/>
    </row>
  </sheetData>
  <mergeCells count="3">
    <mergeCell ref="A2:B2"/>
    <mergeCell ref="A3:A72"/>
    <mergeCell ref="A74:A8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2" orientation="portrait" horizontalDpi="4294967292" verticalDpi="120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8A2F-81D3-4B76-9F9F-7F58D15E943F}">
  <sheetPr>
    <tabColor rgb="FF00B050"/>
    <pageSetUpPr fitToPage="1"/>
  </sheetPr>
  <dimension ref="A1:I63"/>
  <sheetViews>
    <sheetView zoomScaleNormal="100" workbookViewId="0">
      <pane xSplit="2" ySplit="2" topLeftCell="C35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236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ref="H5:H47" si="0">IF(F5=0,G5,G5*F5)</f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si="0"/>
        <v>600000</v>
      </c>
      <c r="I6" s="364"/>
    </row>
    <row r="7" spans="1:9" ht="15.9" customHeight="1" x14ac:dyDescent="0.25">
      <c r="A7" s="432"/>
      <c r="B7" s="356"/>
      <c r="C7" s="363" t="s">
        <v>237</v>
      </c>
      <c r="D7" s="363"/>
      <c r="E7" s="434" t="s">
        <v>167</v>
      </c>
      <c r="F7" s="367">
        <v>1</v>
      </c>
      <c r="G7" s="367">
        <v>10000000</v>
      </c>
      <c r="H7" s="292">
        <f t="shared" si="0"/>
        <v>10000000</v>
      </c>
      <c r="I7" s="364"/>
    </row>
    <row r="8" spans="1:9" ht="15.9" customHeight="1" x14ac:dyDescent="0.25">
      <c r="A8" s="432"/>
      <c r="B8" s="356"/>
      <c r="C8" s="363" t="s">
        <v>238</v>
      </c>
      <c r="D8" s="444"/>
      <c r="E8" s="365"/>
      <c r="F8" s="436"/>
      <c r="G8" s="367"/>
      <c r="H8" s="292">
        <f t="shared" si="0"/>
        <v>0</v>
      </c>
      <c r="I8" s="364"/>
    </row>
    <row r="9" spans="1:9" ht="15.9" customHeight="1" x14ac:dyDescent="0.25">
      <c r="A9" s="432"/>
      <c r="B9" s="356"/>
      <c r="C9" s="363" t="s">
        <v>239</v>
      </c>
      <c r="D9" s="363"/>
      <c r="E9" s="365" t="s">
        <v>167</v>
      </c>
      <c r="F9" s="367">
        <v>1</v>
      </c>
      <c r="G9" s="367">
        <v>2000000</v>
      </c>
      <c r="H9" s="292">
        <f t="shared" si="0"/>
        <v>2000000</v>
      </c>
      <c r="I9" s="364"/>
    </row>
    <row r="10" spans="1:9" ht="15.9" customHeight="1" x14ac:dyDescent="0.25">
      <c r="A10" s="432"/>
      <c r="B10" s="356"/>
      <c r="C10" s="363" t="s">
        <v>240</v>
      </c>
      <c r="D10" s="363"/>
      <c r="E10" s="365" t="s">
        <v>167</v>
      </c>
      <c r="F10" s="436">
        <v>1</v>
      </c>
      <c r="G10" s="367">
        <v>2000000</v>
      </c>
      <c r="H10" s="292">
        <f t="shared" si="0"/>
        <v>2000000</v>
      </c>
      <c r="I10" s="364"/>
    </row>
    <row r="11" spans="1:9" ht="15.9" customHeight="1" x14ac:dyDescent="0.25">
      <c r="A11" s="432"/>
      <c r="B11" s="356"/>
      <c r="C11" s="363" t="s">
        <v>241</v>
      </c>
      <c r="D11" s="444"/>
      <c r="E11" s="365" t="s">
        <v>167</v>
      </c>
      <c r="F11" s="436">
        <v>1</v>
      </c>
      <c r="G11" s="367">
        <v>2000000</v>
      </c>
      <c r="H11" s="292">
        <f t="shared" si="0"/>
        <v>2000000</v>
      </c>
      <c r="I11" s="364"/>
    </row>
    <row r="12" spans="1:9" ht="15.9" customHeight="1" x14ac:dyDescent="0.25">
      <c r="A12" s="432"/>
      <c r="B12" s="356"/>
      <c r="C12" s="363" t="s">
        <v>242</v>
      </c>
      <c r="D12" s="363"/>
      <c r="E12" s="365" t="s">
        <v>167</v>
      </c>
      <c r="F12" s="367">
        <v>1</v>
      </c>
      <c r="G12" s="367">
        <v>2000000</v>
      </c>
      <c r="H12" s="292">
        <f t="shared" si="0"/>
        <v>2000000</v>
      </c>
      <c r="I12" s="364"/>
    </row>
    <row r="13" spans="1:9" ht="15.9" customHeight="1" x14ac:dyDescent="0.25">
      <c r="A13" s="432"/>
      <c r="B13" s="356"/>
      <c r="C13" s="363" t="s">
        <v>243</v>
      </c>
      <c r="D13" s="363"/>
      <c r="E13" s="365" t="s">
        <v>59</v>
      </c>
      <c r="F13" s="367">
        <v>1</v>
      </c>
      <c r="G13" s="367">
        <v>1300000</v>
      </c>
      <c r="H13" s="292">
        <f t="shared" si="0"/>
        <v>1300000</v>
      </c>
      <c r="I13" s="364"/>
    </row>
    <row r="14" spans="1:9" ht="15.9" customHeight="1" x14ac:dyDescent="0.25">
      <c r="A14" s="432"/>
      <c r="B14" s="356"/>
      <c r="C14" s="363"/>
      <c r="D14" s="363"/>
      <c r="E14" s="365"/>
      <c r="F14" s="367"/>
      <c r="G14" s="367"/>
      <c r="H14" s="292">
        <f t="shared" si="0"/>
        <v>0</v>
      </c>
      <c r="I14" s="364"/>
    </row>
    <row r="15" spans="1:9" ht="15.9" customHeight="1" x14ac:dyDescent="0.25">
      <c r="A15" s="432"/>
      <c r="B15" s="356"/>
      <c r="C15" s="363"/>
      <c r="D15" s="363"/>
      <c r="E15" s="365"/>
      <c r="F15" s="367"/>
      <c r="G15" s="367"/>
      <c r="H15" s="292">
        <f t="shared" si="0"/>
        <v>0</v>
      </c>
      <c r="I15" s="364"/>
    </row>
    <row r="16" spans="1:9" ht="15.9" customHeight="1" x14ac:dyDescent="0.25">
      <c r="A16" s="432"/>
      <c r="B16" s="356"/>
      <c r="C16" s="363"/>
      <c r="D16" s="363"/>
      <c r="E16" s="434"/>
      <c r="F16" s="435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8" t="s">
        <v>177</v>
      </c>
      <c r="D17" s="387"/>
      <c r="E17" s="437" t="s">
        <v>167</v>
      </c>
      <c r="F17" s="389">
        <v>1</v>
      </c>
      <c r="G17" s="389">
        <v>1000000</v>
      </c>
      <c r="H17" s="302">
        <v>0</v>
      </c>
      <c r="I17" s="390"/>
    </row>
    <row r="18" spans="1:9" ht="15.9" customHeight="1" x14ac:dyDescent="0.25">
      <c r="A18" s="432"/>
      <c r="B18" s="373"/>
      <c r="C18" s="397"/>
      <c r="D18" s="397"/>
      <c r="E18" s="397"/>
      <c r="F18" s="395"/>
      <c r="G18" s="395"/>
      <c r="H18" s="396">
        <f>SUM(H3:H17)</f>
        <v>24900000</v>
      </c>
      <c r="I18" s="397"/>
    </row>
    <row r="19" spans="1:9" ht="15.9" customHeight="1" x14ac:dyDescent="0.25">
      <c r="A19" s="432"/>
      <c r="B19" s="356" t="s">
        <v>178</v>
      </c>
      <c r="C19" s="357"/>
      <c r="D19" s="357"/>
      <c r="E19" s="357"/>
      <c r="F19" s="360"/>
      <c r="G19" s="360"/>
      <c r="H19" s="311">
        <f t="shared" si="0"/>
        <v>0</v>
      </c>
      <c r="I19" s="361"/>
    </row>
    <row r="20" spans="1:9" ht="15.9" customHeight="1" x14ac:dyDescent="0.25">
      <c r="A20" s="432"/>
      <c r="B20" s="356" t="s">
        <v>179</v>
      </c>
      <c r="C20" s="363"/>
      <c r="D20" s="363"/>
      <c r="E20" s="363"/>
      <c r="F20" s="367"/>
      <c r="G20" s="367"/>
      <c r="H20" s="292">
        <f t="shared" si="0"/>
        <v>0</v>
      </c>
      <c r="I20" s="364"/>
    </row>
    <row r="21" spans="1:9" ht="15.9" customHeight="1" x14ac:dyDescent="0.25">
      <c r="A21" s="432"/>
      <c r="B21" s="356"/>
      <c r="C21" s="363"/>
      <c r="D21" s="363"/>
      <c r="E21" s="363"/>
      <c r="F21" s="367"/>
      <c r="G21" s="367"/>
      <c r="H21" s="292">
        <f t="shared" si="0"/>
        <v>0</v>
      </c>
      <c r="I21" s="364"/>
    </row>
    <row r="22" spans="1:9" ht="15.9" customHeight="1" x14ac:dyDescent="0.25">
      <c r="A22" s="432"/>
      <c r="B22" s="373"/>
      <c r="C22" s="374"/>
      <c r="D22" s="375"/>
      <c r="E22" s="375"/>
      <c r="F22" s="438"/>
      <c r="G22" s="377"/>
      <c r="H22" s="378">
        <f>SUM(H19:H20)</f>
        <v>0</v>
      </c>
      <c r="I22" s="68"/>
    </row>
    <row r="23" spans="1:9" ht="15.9" customHeight="1" x14ac:dyDescent="0.25">
      <c r="A23" s="432"/>
      <c r="B23" s="398" t="s">
        <v>180</v>
      </c>
      <c r="C23" s="363" t="s">
        <v>237</v>
      </c>
      <c r="D23" s="363" t="s">
        <v>244</v>
      </c>
      <c r="E23" s="365" t="s">
        <v>167</v>
      </c>
      <c r="F23" s="367">
        <v>1</v>
      </c>
      <c r="G23" s="367">
        <v>12000000</v>
      </c>
      <c r="H23" s="384">
        <f>IF(F23=0,G23,G23*F23)</f>
        <v>12000000</v>
      </c>
      <c r="I23" s="385"/>
    </row>
    <row r="24" spans="1:9" ht="15.9" customHeight="1" x14ac:dyDescent="0.25">
      <c r="A24" s="432"/>
      <c r="B24" s="356" t="s">
        <v>182</v>
      </c>
      <c r="C24" s="363" t="s">
        <v>238</v>
      </c>
      <c r="D24" s="363"/>
      <c r="E24" s="365" t="s">
        <v>167</v>
      </c>
      <c r="F24" s="367">
        <v>1</v>
      </c>
      <c r="G24" s="367">
        <v>2700000</v>
      </c>
      <c r="H24" s="292">
        <f>IF(F24=0,G24,G24*F24)</f>
        <v>2700000</v>
      </c>
      <c r="I24" s="364"/>
    </row>
    <row r="25" spans="1:9" ht="15.9" customHeight="1" x14ac:dyDescent="0.25">
      <c r="A25" s="432"/>
      <c r="B25" s="356"/>
      <c r="C25" s="445" t="s">
        <v>245</v>
      </c>
      <c r="D25" s="363"/>
      <c r="E25" s="365" t="s">
        <v>167</v>
      </c>
      <c r="F25" s="367">
        <v>1</v>
      </c>
      <c r="G25" s="367">
        <v>2450000</v>
      </c>
      <c r="H25" s="292">
        <f t="shared" ref="H25:H38" si="1">IF(F25=0,G25,G25*F25)</f>
        <v>2450000</v>
      </c>
      <c r="I25" s="364"/>
    </row>
    <row r="26" spans="1:9" ht="15.9" customHeight="1" x14ac:dyDescent="0.25">
      <c r="A26" s="432"/>
      <c r="B26" s="356"/>
      <c r="C26" s="445" t="s">
        <v>246</v>
      </c>
      <c r="D26" s="363"/>
      <c r="E26" s="365" t="s">
        <v>167</v>
      </c>
      <c r="F26" s="367">
        <v>1</v>
      </c>
      <c r="G26" s="367">
        <v>2450000</v>
      </c>
      <c r="H26" s="292">
        <f t="shared" si="1"/>
        <v>2450000</v>
      </c>
      <c r="I26" s="364"/>
    </row>
    <row r="27" spans="1:9" ht="15.9" customHeight="1" x14ac:dyDescent="0.25">
      <c r="A27" s="432"/>
      <c r="B27" s="356"/>
      <c r="C27" s="445" t="s">
        <v>247</v>
      </c>
      <c r="D27" s="363"/>
      <c r="E27" s="365" t="s">
        <v>167</v>
      </c>
      <c r="F27" s="367">
        <v>1</v>
      </c>
      <c r="G27" s="367">
        <v>2800000</v>
      </c>
      <c r="H27" s="292">
        <f t="shared" si="1"/>
        <v>2800000</v>
      </c>
      <c r="I27" s="364"/>
    </row>
    <row r="28" spans="1:9" ht="15.9" customHeight="1" x14ac:dyDescent="0.25">
      <c r="A28" s="432"/>
      <c r="B28" s="356"/>
      <c r="C28" s="445" t="s">
        <v>248</v>
      </c>
      <c r="D28" s="363"/>
      <c r="E28" s="365" t="s">
        <v>167</v>
      </c>
      <c r="F28" s="367">
        <v>5</v>
      </c>
      <c r="G28" s="367">
        <v>1200000</v>
      </c>
      <c r="H28" s="292">
        <f t="shared" si="1"/>
        <v>6000000</v>
      </c>
      <c r="I28" s="364"/>
    </row>
    <row r="29" spans="1:9" ht="15.9" customHeight="1" x14ac:dyDescent="0.25">
      <c r="A29" s="432"/>
      <c r="B29" s="356"/>
      <c r="C29" s="363" t="s">
        <v>243</v>
      </c>
      <c r="D29" s="363"/>
      <c r="E29" s="365" t="s">
        <v>59</v>
      </c>
      <c r="F29" s="367">
        <v>1</v>
      </c>
      <c r="G29" s="367">
        <v>600000</v>
      </c>
      <c r="H29" s="292">
        <f t="shared" si="1"/>
        <v>600000</v>
      </c>
      <c r="I29" s="364"/>
    </row>
    <row r="30" spans="1:9" ht="15.9" customHeight="1" x14ac:dyDescent="0.25">
      <c r="A30" s="432"/>
      <c r="B30" s="356"/>
      <c r="C30" s="433"/>
      <c r="D30" s="433"/>
      <c r="E30" s="434"/>
      <c r="F30" s="435"/>
      <c r="G30" s="435"/>
      <c r="H30" s="292">
        <f t="shared" si="1"/>
        <v>0</v>
      </c>
      <c r="I30" s="364"/>
    </row>
    <row r="31" spans="1:9" ht="15.9" customHeight="1" x14ac:dyDescent="0.25">
      <c r="A31" s="432"/>
      <c r="B31" s="356"/>
      <c r="C31" s="433" t="s">
        <v>215</v>
      </c>
      <c r="D31" s="433"/>
      <c r="E31" s="434"/>
      <c r="F31" s="435"/>
      <c r="G31" s="435"/>
      <c r="H31" s="292">
        <f t="shared" si="1"/>
        <v>0</v>
      </c>
      <c r="I31" s="364"/>
    </row>
    <row r="32" spans="1:9" ht="15.9" customHeight="1" x14ac:dyDescent="0.25">
      <c r="A32" s="432"/>
      <c r="B32" s="356"/>
      <c r="C32" s="363" t="s">
        <v>216</v>
      </c>
      <c r="D32" s="363" t="s">
        <v>217</v>
      </c>
      <c r="E32" s="365" t="s">
        <v>167</v>
      </c>
      <c r="F32" s="436">
        <v>1</v>
      </c>
      <c r="G32" s="367">
        <v>350000</v>
      </c>
      <c r="H32" s="292">
        <f t="shared" si="1"/>
        <v>350000</v>
      </c>
      <c r="I32" s="364"/>
    </row>
    <row r="33" spans="1:9" ht="15.9" customHeight="1" x14ac:dyDescent="0.25">
      <c r="A33" s="432"/>
      <c r="B33" s="356"/>
      <c r="C33" s="363" t="s">
        <v>218</v>
      </c>
      <c r="D33" s="363" t="s">
        <v>219</v>
      </c>
      <c r="E33" s="365" t="s">
        <v>167</v>
      </c>
      <c r="F33" s="436">
        <v>20</v>
      </c>
      <c r="G33" s="367">
        <v>75000</v>
      </c>
      <c r="H33" s="292">
        <f t="shared" si="1"/>
        <v>1500000</v>
      </c>
      <c r="I33" s="364"/>
    </row>
    <row r="34" spans="1:9" ht="15.9" customHeight="1" x14ac:dyDescent="0.25">
      <c r="A34" s="432"/>
      <c r="B34" s="356"/>
      <c r="C34" s="363" t="s">
        <v>220</v>
      </c>
      <c r="D34" s="363" t="s">
        <v>221</v>
      </c>
      <c r="E34" s="365" t="s">
        <v>167</v>
      </c>
      <c r="F34" s="436">
        <v>2</v>
      </c>
      <c r="G34" s="367">
        <v>850000</v>
      </c>
      <c r="H34" s="292">
        <f t="shared" si="1"/>
        <v>1700000</v>
      </c>
      <c r="I34" s="364"/>
    </row>
    <row r="35" spans="1:9" ht="15.9" customHeight="1" x14ac:dyDescent="0.25">
      <c r="A35" s="432"/>
      <c r="B35" s="356"/>
      <c r="C35" s="363" t="s">
        <v>222</v>
      </c>
      <c r="D35" s="363"/>
      <c r="E35" s="365" t="s">
        <v>167</v>
      </c>
      <c r="F35" s="436">
        <v>20</v>
      </c>
      <c r="G35" s="367">
        <v>7000</v>
      </c>
      <c r="H35" s="292">
        <f t="shared" si="1"/>
        <v>140000</v>
      </c>
      <c r="I35" s="364"/>
    </row>
    <row r="36" spans="1:9" ht="15.9" customHeight="1" x14ac:dyDescent="0.25">
      <c r="A36" s="432"/>
      <c r="B36" s="356"/>
      <c r="C36" s="363" t="s">
        <v>223</v>
      </c>
      <c r="D36" s="363"/>
      <c r="E36" s="365" t="s">
        <v>167</v>
      </c>
      <c r="F36" s="436">
        <v>1</v>
      </c>
      <c r="G36" s="367">
        <v>100000</v>
      </c>
      <c r="H36" s="292">
        <f t="shared" si="1"/>
        <v>100000</v>
      </c>
      <c r="I36" s="364"/>
    </row>
    <row r="37" spans="1:9" ht="15.9" customHeight="1" x14ac:dyDescent="0.25">
      <c r="A37" s="432"/>
      <c r="B37" s="356"/>
      <c r="C37" s="433" t="s">
        <v>224</v>
      </c>
      <c r="D37" s="433"/>
      <c r="E37" s="434" t="s">
        <v>167</v>
      </c>
      <c r="F37" s="435">
        <v>1</v>
      </c>
      <c r="G37" s="435">
        <v>100000</v>
      </c>
      <c r="H37" s="292">
        <f t="shared" si="1"/>
        <v>100000</v>
      </c>
      <c r="I37" s="364"/>
    </row>
    <row r="38" spans="1:9" ht="15.9" customHeight="1" x14ac:dyDescent="0.25">
      <c r="A38" s="432"/>
      <c r="B38" s="356"/>
      <c r="C38" s="363"/>
      <c r="D38" s="363"/>
      <c r="E38" s="363"/>
      <c r="F38" s="367"/>
      <c r="G38" s="367"/>
      <c r="H38" s="292">
        <f t="shared" si="1"/>
        <v>0</v>
      </c>
      <c r="I38" s="364"/>
    </row>
    <row r="39" spans="1:9" ht="15.9" customHeight="1" x14ac:dyDescent="0.25">
      <c r="A39" s="432"/>
      <c r="B39" s="356"/>
      <c r="C39" s="368" t="s">
        <v>249</v>
      </c>
      <c r="D39" s="368"/>
      <c r="E39" s="369" t="s">
        <v>167</v>
      </c>
      <c r="F39" s="371">
        <v>1</v>
      </c>
      <c r="G39" s="371">
        <v>500000</v>
      </c>
      <c r="H39" s="292"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SUM(H23:H39)</f>
        <v>32890000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1"/>
      <c r="F41" s="383"/>
      <c r="G41" s="383"/>
      <c r="H41" s="384">
        <f t="shared" si="0"/>
        <v>0</v>
      </c>
      <c r="I41" s="385"/>
    </row>
    <row r="42" spans="1:9" ht="15.9" customHeight="1" x14ac:dyDescent="0.25">
      <c r="A42" s="432"/>
      <c r="B42" s="356"/>
      <c r="C42" s="363"/>
      <c r="D42" s="363"/>
      <c r="E42" s="365"/>
      <c r="F42" s="367"/>
      <c r="G42" s="367"/>
      <c r="H42" s="292">
        <f t="shared" si="0"/>
        <v>0</v>
      </c>
      <c r="I42" s="364"/>
    </row>
    <row r="43" spans="1:9" ht="15.9" customHeight="1" x14ac:dyDescent="0.25">
      <c r="A43" s="432"/>
      <c r="B43" s="356"/>
      <c r="C43" s="363"/>
      <c r="D43" s="363"/>
      <c r="E43" s="365"/>
      <c r="F43" s="367"/>
      <c r="G43" s="367"/>
      <c r="H43" s="292">
        <f t="shared" si="0"/>
        <v>0</v>
      </c>
      <c r="I43" s="364"/>
    </row>
    <row r="44" spans="1:9" ht="15.9" customHeight="1" x14ac:dyDescent="0.25">
      <c r="A44" s="432"/>
      <c r="B44" s="356"/>
      <c r="C44" s="363"/>
      <c r="D44" s="363"/>
      <c r="E44" s="365"/>
      <c r="F44" s="367"/>
      <c r="G44" s="367"/>
      <c r="H44" s="292">
        <f t="shared" si="0"/>
        <v>0</v>
      </c>
      <c r="I44" s="364"/>
    </row>
    <row r="45" spans="1:9" ht="15.9" customHeight="1" x14ac:dyDescent="0.25">
      <c r="A45" s="432"/>
      <c r="B45" s="356"/>
      <c r="C45" s="363"/>
      <c r="D45" s="363"/>
      <c r="E45" s="365"/>
      <c r="F45" s="367"/>
      <c r="G45" s="367"/>
      <c r="H45" s="292">
        <f t="shared" si="0"/>
        <v>0</v>
      </c>
      <c r="I45" s="364"/>
    </row>
    <row r="46" spans="1:9" ht="15.9" customHeight="1" x14ac:dyDescent="0.25">
      <c r="A46" s="432"/>
      <c r="B46" s="356"/>
      <c r="C46" s="363"/>
      <c r="D46" s="363"/>
      <c r="E46" s="365"/>
      <c r="F46" s="367"/>
      <c r="G46" s="367"/>
      <c r="H46" s="292">
        <f t="shared" si="0"/>
        <v>0</v>
      </c>
      <c r="I46" s="364"/>
    </row>
    <row r="47" spans="1:9" ht="15.9" customHeight="1" x14ac:dyDescent="0.25">
      <c r="A47" s="432"/>
      <c r="B47" s="356"/>
      <c r="C47" s="368"/>
      <c r="D47" s="368"/>
      <c r="E47" s="369"/>
      <c r="F47" s="371"/>
      <c r="G47" s="371"/>
      <c r="H47" s="402">
        <f t="shared" si="0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SUM(H48,H40,H22,H18)</f>
        <v>57790000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27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383">
        <v>20</v>
      </c>
      <c r="G51" s="383">
        <v>300000</v>
      </c>
      <c r="H51" s="384">
        <f t="shared" ref="H51:H57" si="2">F51*G51</f>
        <v>6000000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367">
        <v>5</v>
      </c>
      <c r="G52" s="367">
        <v>250000</v>
      </c>
      <c r="H52" s="292">
        <f t="shared" si="2"/>
        <v>1250000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367">
        <v>25</v>
      </c>
      <c r="G53" s="367">
        <v>250000</v>
      </c>
      <c r="H53" s="292">
        <f t="shared" si="2"/>
        <v>6250000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367">
        <v>2</v>
      </c>
      <c r="G54" s="367">
        <v>300000</v>
      </c>
      <c r="H54" s="292">
        <f t="shared" si="2"/>
        <v>600000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367">
        <v>4</v>
      </c>
      <c r="G55" s="367">
        <v>300000</v>
      </c>
      <c r="H55" s="292">
        <f t="shared" si="2"/>
        <v>1200000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367">
        <v>1</v>
      </c>
      <c r="G56" s="367">
        <v>300000</v>
      </c>
      <c r="H56" s="292">
        <f t="shared" si="2"/>
        <v>300000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371">
        <v>5</v>
      </c>
      <c r="G57" s="371">
        <v>250000</v>
      </c>
      <c r="H57" s="402">
        <f t="shared" si="2"/>
        <v>1250000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16850000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'단위공사별(집계)'!L8+'단위공사별(집계)'!I8</f>
        <v>313067.10002437641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74953067.100024372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1D8C-B200-4262-9E0E-F5035D15F4FF}">
  <sheetPr>
    <tabColor rgb="FF00B050"/>
    <pageSetUpPr fitToPage="1"/>
  </sheetPr>
  <dimension ref="A1:I63"/>
  <sheetViews>
    <sheetView zoomScaleNormal="100" workbookViewId="0">
      <pane xSplit="2" ySplit="2" topLeftCell="C35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250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251</v>
      </c>
      <c r="D3" s="363"/>
      <c r="E3" s="365" t="s">
        <v>59</v>
      </c>
      <c r="F3" s="367">
        <v>1</v>
      </c>
      <c r="G3" s="367">
        <v>1800000</v>
      </c>
      <c r="H3" s="384">
        <f>IF(F3=0,G3,G3*F3)</f>
        <v>1800000</v>
      </c>
      <c r="I3" s="385"/>
    </row>
    <row r="4" spans="1:9" ht="15.9" customHeight="1" x14ac:dyDescent="0.25">
      <c r="A4" s="432"/>
      <c r="B4" s="356"/>
      <c r="C4" s="363" t="s">
        <v>252</v>
      </c>
      <c r="D4" s="363"/>
      <c r="E4" s="365" t="s">
        <v>59</v>
      </c>
      <c r="F4" s="367">
        <v>1</v>
      </c>
      <c r="G4" s="367">
        <v>1000000</v>
      </c>
      <c r="H4" s="292">
        <f>IF(F4=0,G4,G4*F4)</f>
        <v>1000000</v>
      </c>
      <c r="I4" s="364"/>
    </row>
    <row r="5" spans="1:9" ht="15.9" customHeight="1" x14ac:dyDescent="0.25">
      <c r="A5" s="432"/>
      <c r="B5" s="356"/>
      <c r="C5" s="363" t="s">
        <v>253</v>
      </c>
      <c r="D5" s="363"/>
      <c r="E5" s="365" t="s">
        <v>59</v>
      </c>
      <c r="F5" s="367">
        <v>1</v>
      </c>
      <c r="G5" s="367">
        <v>2000000</v>
      </c>
      <c r="H5" s="292">
        <f t="shared" ref="H5:H47" si="0">IF(F5=0,G5,G5*F5)</f>
        <v>2000000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si="0"/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0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0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0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0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0"/>
        <v>0</v>
      </c>
      <c r="I11" s="364"/>
    </row>
    <row r="12" spans="1:9" ht="15.9" customHeight="1" x14ac:dyDescent="0.25">
      <c r="A12" s="432"/>
      <c r="B12" s="356"/>
      <c r="C12" s="363"/>
      <c r="D12" s="363"/>
      <c r="E12" s="365"/>
      <c r="F12" s="367"/>
      <c r="G12" s="367"/>
      <c r="H12" s="292">
        <f t="shared" si="0"/>
        <v>0</v>
      </c>
      <c r="I12" s="364"/>
    </row>
    <row r="13" spans="1:9" ht="15.9" customHeight="1" x14ac:dyDescent="0.25">
      <c r="A13" s="432"/>
      <c r="B13" s="356"/>
      <c r="C13" s="368" t="s">
        <v>254</v>
      </c>
      <c r="D13" s="387"/>
      <c r="E13" s="437" t="s">
        <v>167</v>
      </c>
      <c r="F13" s="389">
        <v>1</v>
      </c>
      <c r="G13" s="389">
        <v>500000</v>
      </c>
      <c r="H13" s="302">
        <v>0</v>
      </c>
      <c r="I13" s="390"/>
    </row>
    <row r="14" spans="1:9" ht="15.9" customHeight="1" x14ac:dyDescent="0.25">
      <c r="A14" s="432"/>
      <c r="B14" s="373"/>
      <c r="C14" s="397"/>
      <c r="D14" s="397"/>
      <c r="E14" s="397"/>
      <c r="F14" s="395"/>
      <c r="G14" s="395"/>
      <c r="H14" s="396">
        <f>SUM(H3:H13)</f>
        <v>4800000</v>
      </c>
      <c r="I14" s="397"/>
    </row>
    <row r="15" spans="1:9" ht="15.9" customHeight="1" x14ac:dyDescent="0.25">
      <c r="A15" s="432"/>
      <c r="B15" s="356" t="s">
        <v>178</v>
      </c>
      <c r="C15" s="357"/>
      <c r="D15" s="357"/>
      <c r="E15" s="357"/>
      <c r="F15" s="360"/>
      <c r="G15" s="360"/>
      <c r="H15" s="311">
        <f t="shared" si="0"/>
        <v>0</v>
      </c>
      <c r="I15" s="361"/>
    </row>
    <row r="16" spans="1:9" ht="15.9" customHeight="1" x14ac:dyDescent="0.25">
      <c r="A16" s="432"/>
      <c r="B16" s="356" t="s">
        <v>179</v>
      </c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0"/>
        <v>0</v>
      </c>
      <c r="I17" s="364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>
        <f t="shared" si="0"/>
        <v>0</v>
      </c>
      <c r="I18" s="364"/>
    </row>
    <row r="19" spans="1:9" ht="15.9" customHeight="1" x14ac:dyDescent="0.25">
      <c r="A19" s="432"/>
      <c r="B19" s="356"/>
      <c r="C19" s="368"/>
      <c r="D19" s="368"/>
      <c r="E19" s="368"/>
      <c r="F19" s="371"/>
      <c r="G19" s="371"/>
      <c r="H19" s="292">
        <f t="shared" si="0"/>
        <v>0</v>
      </c>
      <c r="I19" s="372"/>
    </row>
    <row r="20" spans="1:9" ht="15.9" customHeight="1" x14ac:dyDescent="0.25">
      <c r="A20" s="432"/>
      <c r="B20" s="373"/>
      <c r="C20" s="374"/>
      <c r="D20" s="375"/>
      <c r="E20" s="375"/>
      <c r="F20" s="438"/>
      <c r="G20" s="377"/>
      <c r="H20" s="378">
        <f>SUM(H15:H19)</f>
        <v>0</v>
      </c>
      <c r="I20" s="68"/>
    </row>
    <row r="21" spans="1:9" ht="15.9" customHeight="1" x14ac:dyDescent="0.25">
      <c r="A21" s="432"/>
      <c r="B21" s="398" t="s">
        <v>180</v>
      </c>
      <c r="C21" s="380" t="s">
        <v>251</v>
      </c>
      <c r="D21" s="380"/>
      <c r="E21" s="381"/>
      <c r="F21" s="383"/>
      <c r="G21" s="383"/>
      <c r="H21" s="384">
        <f t="shared" si="0"/>
        <v>0</v>
      </c>
      <c r="I21" s="385"/>
    </row>
    <row r="22" spans="1:9" ht="15.9" customHeight="1" x14ac:dyDescent="0.25">
      <c r="A22" s="432"/>
      <c r="B22" s="356" t="s">
        <v>182</v>
      </c>
      <c r="C22" s="363" t="s">
        <v>255</v>
      </c>
      <c r="D22" s="363" t="s">
        <v>256</v>
      </c>
      <c r="E22" s="365" t="s">
        <v>59</v>
      </c>
      <c r="F22" s="367">
        <v>1</v>
      </c>
      <c r="G22" s="367">
        <v>1000000</v>
      </c>
      <c r="H22" s="292">
        <f t="shared" si="0"/>
        <v>1000000</v>
      </c>
      <c r="I22" s="364"/>
    </row>
    <row r="23" spans="1:9" ht="15.9" customHeight="1" x14ac:dyDescent="0.25">
      <c r="A23" s="432"/>
      <c r="B23" s="356"/>
      <c r="C23" s="363" t="s">
        <v>257</v>
      </c>
      <c r="D23" s="363"/>
      <c r="E23" s="365" t="s">
        <v>59</v>
      </c>
      <c r="F23" s="367">
        <v>2</v>
      </c>
      <c r="G23" s="367">
        <v>40000</v>
      </c>
      <c r="H23" s="292">
        <f t="shared" si="0"/>
        <v>80000</v>
      </c>
      <c r="I23" s="364"/>
    </row>
    <row r="24" spans="1:9" ht="15.9" customHeight="1" x14ac:dyDescent="0.25">
      <c r="A24" s="432"/>
      <c r="B24" s="356"/>
      <c r="C24" s="363" t="s">
        <v>252</v>
      </c>
      <c r="D24" s="363"/>
      <c r="E24" s="365"/>
      <c r="F24" s="367"/>
      <c r="G24" s="367"/>
      <c r="H24" s="292">
        <f t="shared" si="0"/>
        <v>0</v>
      </c>
      <c r="I24" s="364"/>
    </row>
    <row r="25" spans="1:9" ht="15.9" customHeight="1" x14ac:dyDescent="0.25">
      <c r="A25" s="432"/>
      <c r="B25" s="356"/>
      <c r="C25" s="363" t="s">
        <v>258</v>
      </c>
      <c r="D25" s="363" t="s">
        <v>256</v>
      </c>
      <c r="E25" s="365" t="s">
        <v>59</v>
      </c>
      <c r="F25" s="367">
        <v>1</v>
      </c>
      <c r="G25" s="367">
        <v>500000</v>
      </c>
      <c r="H25" s="292">
        <f t="shared" si="0"/>
        <v>500000</v>
      </c>
      <c r="I25" s="364"/>
    </row>
    <row r="26" spans="1:9" ht="15.9" customHeight="1" x14ac:dyDescent="0.25">
      <c r="A26" s="432"/>
      <c r="B26" s="356"/>
      <c r="C26" s="363" t="s">
        <v>259</v>
      </c>
      <c r="D26" s="363"/>
      <c r="E26" s="365" t="s">
        <v>59</v>
      </c>
      <c r="F26" s="367">
        <v>1</v>
      </c>
      <c r="G26" s="367">
        <v>800000</v>
      </c>
      <c r="H26" s="292">
        <f t="shared" si="0"/>
        <v>800000</v>
      </c>
      <c r="I26" s="364"/>
    </row>
    <row r="27" spans="1:9" ht="15.9" customHeight="1" x14ac:dyDescent="0.25">
      <c r="A27" s="432"/>
      <c r="B27" s="356"/>
      <c r="C27" s="363" t="s">
        <v>257</v>
      </c>
      <c r="D27" s="363"/>
      <c r="E27" s="365" t="s">
        <v>59</v>
      </c>
      <c r="F27" s="367">
        <v>4</v>
      </c>
      <c r="G27" s="367">
        <v>40000</v>
      </c>
      <c r="H27" s="292">
        <f t="shared" si="0"/>
        <v>160000</v>
      </c>
      <c r="I27" s="364"/>
    </row>
    <row r="28" spans="1:9" ht="15.9" customHeight="1" x14ac:dyDescent="0.25">
      <c r="A28" s="432"/>
      <c r="B28" s="356"/>
      <c r="C28" s="363" t="s">
        <v>260</v>
      </c>
      <c r="D28" s="363"/>
      <c r="E28" s="365" t="s">
        <v>261</v>
      </c>
      <c r="F28" s="367">
        <v>3</v>
      </c>
      <c r="G28" s="367">
        <v>40000</v>
      </c>
      <c r="H28" s="292">
        <f t="shared" si="0"/>
        <v>120000</v>
      </c>
      <c r="I28" s="364"/>
    </row>
    <row r="29" spans="1:9" ht="15.9" customHeight="1" x14ac:dyDescent="0.25">
      <c r="A29" s="432"/>
      <c r="B29" s="356"/>
      <c r="C29" s="363" t="s">
        <v>258</v>
      </c>
      <c r="D29" s="363" t="s">
        <v>262</v>
      </c>
      <c r="E29" s="365" t="s">
        <v>59</v>
      </c>
      <c r="F29" s="367">
        <v>1</v>
      </c>
      <c r="G29" s="367">
        <v>3600000</v>
      </c>
      <c r="H29" s="292">
        <f>IF(F29=0,G29,G29*F29)</f>
        <v>3600000</v>
      </c>
      <c r="I29" s="364"/>
    </row>
    <row r="30" spans="1:9" ht="15.9" customHeight="1" x14ac:dyDescent="0.25">
      <c r="A30" s="432"/>
      <c r="B30" s="356"/>
      <c r="C30" s="363" t="s">
        <v>263</v>
      </c>
      <c r="D30" s="363" t="s">
        <v>264</v>
      </c>
      <c r="E30" s="365" t="s">
        <v>59</v>
      </c>
      <c r="F30" s="367">
        <v>1</v>
      </c>
      <c r="G30" s="367">
        <v>500000</v>
      </c>
      <c r="H30" s="292">
        <f t="shared" ref="H30:H33" si="1">IF(F30=0,G30,G30*F30)</f>
        <v>500000</v>
      </c>
      <c r="I30" s="364"/>
    </row>
    <row r="31" spans="1:9" ht="15.9" customHeight="1" x14ac:dyDescent="0.25">
      <c r="A31" s="432"/>
      <c r="B31" s="356"/>
      <c r="C31" s="363" t="s">
        <v>257</v>
      </c>
      <c r="D31" s="363"/>
      <c r="E31" s="365" t="s">
        <v>59</v>
      </c>
      <c r="F31" s="367">
        <v>6</v>
      </c>
      <c r="G31" s="367">
        <v>40000</v>
      </c>
      <c r="H31" s="292">
        <f t="shared" si="1"/>
        <v>240000</v>
      </c>
      <c r="I31" s="364"/>
    </row>
    <row r="32" spans="1:9" ht="15.9" customHeight="1" x14ac:dyDescent="0.25">
      <c r="A32" s="432"/>
      <c r="B32" s="356"/>
      <c r="C32" s="363" t="s">
        <v>265</v>
      </c>
      <c r="D32" s="363"/>
      <c r="E32" s="365" t="s">
        <v>59</v>
      </c>
      <c r="F32" s="367">
        <v>1</v>
      </c>
      <c r="G32" s="367">
        <v>500000</v>
      </c>
      <c r="H32" s="292">
        <f t="shared" si="1"/>
        <v>500000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367"/>
      <c r="G33" s="367"/>
      <c r="H33" s="292">
        <f t="shared" si="1"/>
        <v>0</v>
      </c>
      <c r="I33" s="364"/>
    </row>
    <row r="34" spans="1:9" ht="15.9" customHeight="1" x14ac:dyDescent="0.25">
      <c r="A34" s="432"/>
      <c r="B34" s="356"/>
      <c r="C34" s="433" t="s">
        <v>215</v>
      </c>
      <c r="D34" s="433"/>
      <c r="E34" s="434"/>
      <c r="F34" s="435"/>
      <c r="G34" s="435"/>
      <c r="H34" s="292">
        <f>IF(F34=0,G34,G34*F34)</f>
        <v>0</v>
      </c>
      <c r="I34" s="364"/>
    </row>
    <row r="35" spans="1:9" ht="15.9" customHeight="1" x14ac:dyDescent="0.25">
      <c r="A35" s="432"/>
      <c r="B35" s="356"/>
      <c r="C35" s="363" t="s">
        <v>216</v>
      </c>
      <c r="D35" s="363" t="s">
        <v>217</v>
      </c>
      <c r="E35" s="365" t="s">
        <v>167</v>
      </c>
      <c r="F35" s="436">
        <v>1</v>
      </c>
      <c r="G35" s="367">
        <v>350000</v>
      </c>
      <c r="H35" s="292">
        <f t="shared" ref="H35:H37" si="2">IF(F35=0,G35,G35*F35)</f>
        <v>350000</v>
      </c>
      <c r="I35" s="364"/>
    </row>
    <row r="36" spans="1:9" ht="15.9" customHeight="1" x14ac:dyDescent="0.25">
      <c r="A36" s="432"/>
      <c r="B36" s="356"/>
      <c r="C36" s="363" t="s">
        <v>218</v>
      </c>
      <c r="D36" s="363" t="s">
        <v>219</v>
      </c>
      <c r="E36" s="365" t="s">
        <v>167</v>
      </c>
      <c r="F36" s="436">
        <v>10</v>
      </c>
      <c r="G36" s="367">
        <v>75000</v>
      </c>
      <c r="H36" s="292">
        <f t="shared" si="2"/>
        <v>750000</v>
      </c>
      <c r="I36" s="364"/>
    </row>
    <row r="37" spans="1:9" ht="15.9" customHeight="1" x14ac:dyDescent="0.25">
      <c r="A37" s="432"/>
      <c r="B37" s="356"/>
      <c r="C37" s="363" t="s">
        <v>220</v>
      </c>
      <c r="D37" s="363" t="s">
        <v>221</v>
      </c>
      <c r="E37" s="365" t="s">
        <v>167</v>
      </c>
      <c r="F37" s="436">
        <v>1</v>
      </c>
      <c r="G37" s="367">
        <v>850000</v>
      </c>
      <c r="H37" s="292">
        <f t="shared" si="2"/>
        <v>850000</v>
      </c>
      <c r="I37" s="364"/>
    </row>
    <row r="38" spans="1:9" ht="15.9" customHeight="1" x14ac:dyDescent="0.25">
      <c r="A38" s="432"/>
      <c r="B38" s="356"/>
      <c r="C38" s="363" t="s">
        <v>222</v>
      </c>
      <c r="D38" s="363"/>
      <c r="E38" s="365" t="s">
        <v>167</v>
      </c>
      <c r="F38" s="436">
        <v>20</v>
      </c>
      <c r="G38" s="367">
        <v>7000</v>
      </c>
      <c r="H38" s="292">
        <f>IF(F38=0,G38,G38*F38)</f>
        <v>140000</v>
      </c>
      <c r="I38" s="364"/>
    </row>
    <row r="39" spans="1:9" ht="15.9" customHeight="1" x14ac:dyDescent="0.25">
      <c r="A39" s="432"/>
      <c r="B39" s="356"/>
      <c r="C39" s="363" t="s">
        <v>223</v>
      </c>
      <c r="D39" s="363"/>
      <c r="E39" s="365" t="s">
        <v>167</v>
      </c>
      <c r="F39" s="436">
        <v>1</v>
      </c>
      <c r="G39" s="367">
        <v>100000</v>
      </c>
      <c r="H39" s="292">
        <f t="shared" si="0"/>
        <v>100000</v>
      </c>
      <c r="I39" s="364"/>
    </row>
    <row r="40" spans="1:9" ht="15.9" customHeight="1" x14ac:dyDescent="0.25">
      <c r="A40" s="432"/>
      <c r="B40" s="356"/>
      <c r="C40" s="433" t="s">
        <v>224</v>
      </c>
      <c r="D40" s="433"/>
      <c r="E40" s="434" t="s">
        <v>167</v>
      </c>
      <c r="F40" s="435">
        <v>1</v>
      </c>
      <c r="G40" s="435">
        <v>100000</v>
      </c>
      <c r="H40" s="292">
        <f t="shared" si="0"/>
        <v>100000</v>
      </c>
      <c r="I40" s="364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0"/>
        <v>0</v>
      </c>
      <c r="I41" s="364"/>
    </row>
    <row r="42" spans="1:9" ht="15.9" customHeight="1" x14ac:dyDescent="0.25">
      <c r="A42" s="432"/>
      <c r="B42" s="356"/>
      <c r="C42" s="368" t="s">
        <v>225</v>
      </c>
      <c r="D42" s="368"/>
      <c r="E42" s="369" t="s">
        <v>59</v>
      </c>
      <c r="F42" s="371">
        <v>1</v>
      </c>
      <c r="G42" s="371">
        <v>500000</v>
      </c>
      <c r="H42" s="292">
        <v>0</v>
      </c>
      <c r="I42" s="372"/>
    </row>
    <row r="43" spans="1:9" ht="15.9" customHeight="1" x14ac:dyDescent="0.25">
      <c r="A43" s="432"/>
      <c r="B43" s="373"/>
      <c r="C43" s="374"/>
      <c r="D43" s="375"/>
      <c r="E43" s="375"/>
      <c r="F43" s="377"/>
      <c r="G43" s="377"/>
      <c r="H43" s="378">
        <f>SUM(H21:H42)</f>
        <v>9790000</v>
      </c>
      <c r="I43" s="68"/>
    </row>
    <row r="44" spans="1:9" ht="15.9" customHeight="1" x14ac:dyDescent="0.25">
      <c r="A44" s="432"/>
      <c r="B44" s="398" t="s">
        <v>61</v>
      </c>
      <c r="C44" s="380"/>
      <c r="D44" s="380"/>
      <c r="E44" s="380"/>
      <c r="F44" s="383"/>
      <c r="G44" s="383"/>
      <c r="H44" s="384">
        <f t="shared" si="0"/>
        <v>0</v>
      </c>
      <c r="I44" s="385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0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0"/>
        <v>0</v>
      </c>
      <c r="I46" s="364"/>
    </row>
    <row r="47" spans="1:9" ht="15.9" customHeight="1" x14ac:dyDescent="0.25">
      <c r="A47" s="432"/>
      <c r="B47" s="356"/>
      <c r="C47" s="368"/>
      <c r="D47" s="368"/>
      <c r="E47" s="368"/>
      <c r="F47" s="371"/>
      <c r="G47" s="371"/>
      <c r="H47" s="402">
        <f t="shared" si="0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SUM(H44:H47)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SUM(H48,H43,H20,H14)</f>
        <v>14590000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>
        <v>20</v>
      </c>
      <c r="G51" s="383">
        <v>300000</v>
      </c>
      <c r="H51" s="384">
        <f t="shared" ref="H51:H57" si="3">F51*G51</f>
        <v>6000000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>
        <v>5</v>
      </c>
      <c r="G52" s="367">
        <v>250000</v>
      </c>
      <c r="H52" s="292">
        <f t="shared" si="3"/>
        <v>1250000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>
        <v>30</v>
      </c>
      <c r="G53" s="367">
        <v>250000</v>
      </c>
      <c r="H53" s="292">
        <f t="shared" si="3"/>
        <v>7500000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>
        <v>2</v>
      </c>
      <c r="G54" s="367">
        <v>300000</v>
      </c>
      <c r="H54" s="292">
        <f t="shared" si="3"/>
        <v>600000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>
        <v>4</v>
      </c>
      <c r="G55" s="367">
        <v>300000</v>
      </c>
      <c r="H55" s="292">
        <f t="shared" si="3"/>
        <v>1200000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>
        <v>1</v>
      </c>
      <c r="G56" s="367">
        <v>300000</v>
      </c>
      <c r="H56" s="292">
        <f t="shared" si="3"/>
        <v>300000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>
        <v>5</v>
      </c>
      <c r="G57" s="371">
        <v>250000</v>
      </c>
      <c r="H57" s="402">
        <f t="shared" si="3"/>
        <v>1250000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18100000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'단위공사별(집계)'!L9+'단위공사별(집계)'!I9</f>
        <v>137113.65889331274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32827113.658893313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704D-141F-4CE2-A064-D4A667D222F9}">
  <sheetPr>
    <tabColor rgb="FF00B050"/>
    <pageSetUpPr fitToPage="1"/>
  </sheetPr>
  <dimension ref="A1:I63"/>
  <sheetViews>
    <sheetView zoomScaleNormal="100" workbookViewId="0">
      <pane xSplit="2" ySplit="2" topLeftCell="C35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266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267</v>
      </c>
      <c r="D3" s="363"/>
      <c r="E3" s="365" t="s">
        <v>59</v>
      </c>
      <c r="F3" s="367">
        <v>1</v>
      </c>
      <c r="G3" s="367">
        <v>2500000</v>
      </c>
      <c r="H3" s="292">
        <f t="shared" ref="H3:H47" si="0">IF(F3=0,G3,G3*F3)</f>
        <v>2500000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si="0"/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si="0"/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0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0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0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0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>
        <v>1</v>
      </c>
      <c r="G11" s="389">
        <v>500000</v>
      </c>
      <c r="H11" s="302"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2500000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si="0"/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0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0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0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445" t="s">
        <v>268</v>
      </c>
      <c r="D19" s="444"/>
      <c r="E19" s="400"/>
      <c r="F19" s="452"/>
      <c r="G19" s="401"/>
      <c r="H19" s="384">
        <f t="shared" si="0"/>
        <v>0</v>
      </c>
      <c r="I19" s="385"/>
    </row>
    <row r="20" spans="1:9" ht="15.9" customHeight="1" x14ac:dyDescent="0.25">
      <c r="A20" s="432"/>
      <c r="B20" s="356" t="s">
        <v>182</v>
      </c>
      <c r="C20" s="445" t="s">
        <v>269</v>
      </c>
      <c r="D20" s="363"/>
      <c r="E20" s="365" t="s">
        <v>167</v>
      </c>
      <c r="F20" s="367">
        <v>1</v>
      </c>
      <c r="G20" s="367">
        <v>1000000</v>
      </c>
      <c r="H20" s="292">
        <f t="shared" si="0"/>
        <v>1000000</v>
      </c>
      <c r="I20" s="364"/>
    </row>
    <row r="21" spans="1:9" ht="15.9" customHeight="1" x14ac:dyDescent="0.25">
      <c r="A21" s="432"/>
      <c r="B21" s="356"/>
      <c r="C21" s="363" t="s">
        <v>270</v>
      </c>
      <c r="D21" s="363"/>
      <c r="E21" s="365" t="s">
        <v>167</v>
      </c>
      <c r="F21" s="367">
        <v>1</v>
      </c>
      <c r="G21" s="367">
        <v>1000000</v>
      </c>
      <c r="H21" s="292">
        <f t="shared" si="0"/>
        <v>1000000</v>
      </c>
      <c r="I21" s="364"/>
    </row>
    <row r="22" spans="1:9" ht="15.9" customHeight="1" x14ac:dyDescent="0.25">
      <c r="A22" s="432"/>
      <c r="B22" s="356"/>
      <c r="C22" s="363" t="s">
        <v>265</v>
      </c>
      <c r="D22" s="363"/>
      <c r="E22" s="365" t="s">
        <v>167</v>
      </c>
      <c r="F22" s="367">
        <v>1</v>
      </c>
      <c r="G22" s="367">
        <v>500000</v>
      </c>
      <c r="H22" s="292">
        <f t="shared" si="0"/>
        <v>500000</v>
      </c>
      <c r="I22" s="364"/>
    </row>
    <row r="23" spans="1:9" ht="15.9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si="0"/>
        <v>0</v>
      </c>
      <c r="I23" s="364"/>
    </row>
    <row r="24" spans="1:9" ht="15.9" customHeight="1" x14ac:dyDescent="0.25">
      <c r="A24" s="432"/>
      <c r="B24" s="356"/>
      <c r="C24" s="363"/>
      <c r="D24" s="363"/>
      <c r="E24" s="365"/>
      <c r="F24" s="367"/>
      <c r="G24" s="367"/>
      <c r="H24" s="292">
        <f t="shared" si="0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0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0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0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0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0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0"/>
        <v>0</v>
      </c>
      <c r="I30" s="364"/>
    </row>
    <row r="31" spans="1:9" ht="15.9" customHeight="1" x14ac:dyDescent="0.25">
      <c r="A31" s="432"/>
      <c r="B31" s="356"/>
      <c r="C31" s="433" t="s">
        <v>215</v>
      </c>
      <c r="D31" s="433"/>
      <c r="E31" s="434"/>
      <c r="F31" s="435"/>
      <c r="G31" s="435"/>
      <c r="H31" s="292">
        <f t="shared" si="0"/>
        <v>0</v>
      </c>
      <c r="I31" s="364"/>
    </row>
    <row r="32" spans="1:9" ht="15.9" customHeight="1" x14ac:dyDescent="0.25">
      <c r="A32" s="432"/>
      <c r="B32" s="356"/>
      <c r="C32" s="363" t="s">
        <v>216</v>
      </c>
      <c r="D32" s="363" t="s">
        <v>217</v>
      </c>
      <c r="E32" s="365" t="s">
        <v>167</v>
      </c>
      <c r="F32" s="436">
        <v>1</v>
      </c>
      <c r="G32" s="367">
        <v>350000</v>
      </c>
      <c r="H32" s="292">
        <f t="shared" si="0"/>
        <v>350000</v>
      </c>
      <c r="I32" s="364"/>
    </row>
    <row r="33" spans="1:9" ht="15.9" customHeight="1" x14ac:dyDescent="0.25">
      <c r="A33" s="432"/>
      <c r="B33" s="356"/>
      <c r="C33" s="363" t="s">
        <v>218</v>
      </c>
      <c r="D33" s="363" t="s">
        <v>219</v>
      </c>
      <c r="E33" s="365" t="s">
        <v>167</v>
      </c>
      <c r="F33" s="436">
        <v>10</v>
      </c>
      <c r="G33" s="367">
        <v>75000</v>
      </c>
      <c r="H33" s="292">
        <f t="shared" si="0"/>
        <v>750000</v>
      </c>
      <c r="I33" s="364"/>
    </row>
    <row r="34" spans="1:9" ht="15.9" customHeight="1" x14ac:dyDescent="0.25">
      <c r="A34" s="432"/>
      <c r="B34" s="356"/>
      <c r="C34" s="363" t="s">
        <v>220</v>
      </c>
      <c r="D34" s="363" t="s">
        <v>221</v>
      </c>
      <c r="E34" s="365" t="s">
        <v>167</v>
      </c>
      <c r="F34" s="436">
        <v>1</v>
      </c>
      <c r="G34" s="367">
        <v>850000</v>
      </c>
      <c r="H34" s="292">
        <f t="shared" si="0"/>
        <v>850000</v>
      </c>
      <c r="I34" s="364"/>
    </row>
    <row r="35" spans="1:9" ht="15.9" customHeight="1" x14ac:dyDescent="0.25">
      <c r="A35" s="432"/>
      <c r="B35" s="356"/>
      <c r="C35" s="363" t="s">
        <v>222</v>
      </c>
      <c r="D35" s="363"/>
      <c r="E35" s="365" t="s">
        <v>167</v>
      </c>
      <c r="F35" s="436">
        <v>20</v>
      </c>
      <c r="G35" s="367">
        <v>7000</v>
      </c>
      <c r="H35" s="292">
        <f t="shared" si="0"/>
        <v>140000</v>
      </c>
      <c r="I35" s="364"/>
    </row>
    <row r="36" spans="1:9" ht="15.9" customHeight="1" x14ac:dyDescent="0.25">
      <c r="A36" s="432"/>
      <c r="B36" s="356"/>
      <c r="C36" s="363" t="s">
        <v>223</v>
      </c>
      <c r="D36" s="363"/>
      <c r="E36" s="365" t="s">
        <v>167</v>
      </c>
      <c r="F36" s="436">
        <v>1</v>
      </c>
      <c r="G36" s="367">
        <v>100000</v>
      </c>
      <c r="H36" s="292">
        <f t="shared" si="0"/>
        <v>100000</v>
      </c>
      <c r="I36" s="364"/>
    </row>
    <row r="37" spans="1:9" ht="15.9" customHeight="1" x14ac:dyDescent="0.25">
      <c r="A37" s="432"/>
      <c r="B37" s="356"/>
      <c r="C37" s="433" t="s">
        <v>224</v>
      </c>
      <c r="D37" s="433"/>
      <c r="E37" s="434" t="s">
        <v>167</v>
      </c>
      <c r="F37" s="435">
        <v>1</v>
      </c>
      <c r="G37" s="435">
        <v>100000</v>
      </c>
      <c r="H37" s="292">
        <f t="shared" si="0"/>
        <v>100000</v>
      </c>
      <c r="I37" s="364"/>
    </row>
    <row r="38" spans="1:9" ht="15.9" customHeight="1" x14ac:dyDescent="0.25">
      <c r="A38" s="432"/>
      <c r="B38" s="356"/>
      <c r="C38" s="387"/>
      <c r="D38" s="387"/>
      <c r="E38" s="437"/>
      <c r="F38" s="453"/>
      <c r="G38" s="389"/>
      <c r="H38" s="292">
        <f t="shared" si="0"/>
        <v>0</v>
      </c>
      <c r="I38" s="364"/>
    </row>
    <row r="39" spans="1:9" ht="15.9" customHeight="1" x14ac:dyDescent="0.25">
      <c r="A39" s="432"/>
      <c r="B39" s="356"/>
      <c r="C39" s="368" t="s">
        <v>225</v>
      </c>
      <c r="D39" s="368"/>
      <c r="E39" s="369" t="s">
        <v>59</v>
      </c>
      <c r="F39" s="454">
        <v>1</v>
      </c>
      <c r="G39" s="371">
        <v>500000</v>
      </c>
      <c r="H39" s="292"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4790000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0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0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0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0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0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0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0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7290000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>
        <v>20</v>
      </c>
      <c r="G51" s="443">
        <v>300000</v>
      </c>
      <c r="H51" s="384">
        <f t="shared" ref="H51:H57" si="1">F51*G51</f>
        <v>6000000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>
        <v>5</v>
      </c>
      <c r="G52" s="435">
        <v>250000</v>
      </c>
      <c r="H52" s="292">
        <f t="shared" si="1"/>
        <v>1250000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>
        <v>25</v>
      </c>
      <c r="G53" s="435">
        <v>250000</v>
      </c>
      <c r="H53" s="292">
        <f t="shared" si="1"/>
        <v>6250000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>
        <v>2</v>
      </c>
      <c r="G54" s="367">
        <v>300000</v>
      </c>
      <c r="H54" s="292">
        <f t="shared" si="1"/>
        <v>600000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>
        <v>4</v>
      </c>
      <c r="G55" s="367">
        <v>300000</v>
      </c>
      <c r="H55" s="292">
        <f t="shared" si="1"/>
        <v>1200000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>
        <v>1</v>
      </c>
      <c r="G56" s="367">
        <v>300000</v>
      </c>
      <c r="H56" s="292">
        <f t="shared" si="1"/>
        <v>300000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>
        <v>5</v>
      </c>
      <c r="G57" s="455">
        <v>250000</v>
      </c>
      <c r="H57" s="402">
        <f t="shared" si="1"/>
        <v>1250000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16850000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'단위공사별(집계)'!L10+'단위공사별(집계)'!I10</f>
        <v>101251.87291785164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24241251.872917853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2000-E560-41CB-86C3-1A227227639B}">
  <sheetPr>
    <tabColor rgb="FF00B050"/>
    <pageSetUpPr fitToPage="1"/>
  </sheetPr>
  <dimension ref="A1:I58"/>
  <sheetViews>
    <sheetView zoomScaleNormal="100" workbookViewId="0">
      <pane xSplit="2" ySplit="2" topLeftCell="C35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271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272</v>
      </c>
      <c r="D3" s="363"/>
      <c r="E3" s="434" t="s">
        <v>167</v>
      </c>
      <c r="F3" s="436">
        <v>1</v>
      </c>
      <c r="G3" s="435">
        <v>2500000</v>
      </c>
      <c r="H3" s="292">
        <f t="shared" ref="H3:H42" si="0">IF(F3=0,G3,G3*F3)</f>
        <v>2500000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si="0"/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si="0"/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0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0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0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0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0"/>
        <v>0</v>
      </c>
      <c r="I11" s="364"/>
    </row>
    <row r="12" spans="1:9" ht="15.9" customHeight="1" x14ac:dyDescent="0.25">
      <c r="A12" s="432"/>
      <c r="B12" s="356"/>
      <c r="C12" s="363"/>
      <c r="D12" s="363"/>
      <c r="E12" s="365"/>
      <c r="F12" s="367"/>
      <c r="G12" s="367"/>
      <c r="H12" s="292">
        <f t="shared" si="0"/>
        <v>0</v>
      </c>
      <c r="I12" s="364"/>
    </row>
    <row r="13" spans="1:9" ht="15.9" customHeight="1" x14ac:dyDescent="0.25">
      <c r="A13" s="432"/>
      <c r="B13" s="356"/>
      <c r="C13" s="368" t="s">
        <v>249</v>
      </c>
      <c r="D13" s="387"/>
      <c r="E13" s="437" t="s">
        <v>167</v>
      </c>
      <c r="F13" s="389">
        <v>1</v>
      </c>
      <c r="G13" s="389">
        <v>500000</v>
      </c>
      <c r="H13" s="302">
        <v>0</v>
      </c>
      <c r="I13" s="390"/>
    </row>
    <row r="14" spans="1:9" ht="15.9" customHeight="1" x14ac:dyDescent="0.25">
      <c r="A14" s="432"/>
      <c r="B14" s="373"/>
      <c r="C14" s="397"/>
      <c r="D14" s="397"/>
      <c r="E14" s="397"/>
      <c r="F14" s="395"/>
      <c r="G14" s="395"/>
      <c r="H14" s="396">
        <f>SUM(H3:H13)</f>
        <v>2500000</v>
      </c>
      <c r="I14" s="397"/>
    </row>
    <row r="15" spans="1:9" ht="15.9" customHeight="1" x14ac:dyDescent="0.25">
      <c r="A15" s="432"/>
      <c r="B15" s="356" t="s">
        <v>178</v>
      </c>
      <c r="C15" s="357"/>
      <c r="D15" s="357"/>
      <c r="E15" s="357"/>
      <c r="F15" s="360"/>
      <c r="G15" s="360"/>
      <c r="H15" s="311">
        <f t="shared" si="0"/>
        <v>0</v>
      </c>
      <c r="I15" s="361"/>
    </row>
    <row r="16" spans="1:9" ht="15.9" customHeight="1" x14ac:dyDescent="0.25">
      <c r="A16" s="432"/>
      <c r="B16" s="356" t="s">
        <v>179</v>
      </c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87"/>
      <c r="D17" s="387"/>
      <c r="E17" s="387"/>
      <c r="F17" s="389"/>
      <c r="G17" s="389"/>
      <c r="H17" s="302">
        <f t="shared" si="0"/>
        <v>0</v>
      </c>
      <c r="I17" s="390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>
        <f t="shared" si="0"/>
        <v>0</v>
      </c>
      <c r="I18" s="364"/>
    </row>
    <row r="19" spans="1:9" ht="15.9" customHeight="1" x14ac:dyDescent="0.25">
      <c r="A19" s="432"/>
      <c r="B19" s="356"/>
      <c r="C19" s="368" t="s">
        <v>225</v>
      </c>
      <c r="D19" s="368"/>
      <c r="E19" s="368"/>
      <c r="F19" s="371"/>
      <c r="G19" s="371"/>
      <c r="H19" s="292">
        <f t="shared" si="0"/>
        <v>0</v>
      </c>
      <c r="I19" s="372"/>
    </row>
    <row r="20" spans="1:9" ht="15.9" customHeight="1" x14ac:dyDescent="0.25">
      <c r="A20" s="432"/>
      <c r="B20" s="373"/>
      <c r="C20" s="374"/>
      <c r="D20" s="375"/>
      <c r="E20" s="375"/>
      <c r="F20" s="438"/>
      <c r="G20" s="377"/>
      <c r="H20" s="378">
        <f>SUM(H15:H19)</f>
        <v>0</v>
      </c>
      <c r="I20" s="68"/>
    </row>
    <row r="21" spans="1:9" ht="15.9" customHeight="1" x14ac:dyDescent="0.25">
      <c r="A21" s="432"/>
      <c r="B21" s="398" t="s">
        <v>180</v>
      </c>
      <c r="C21" s="363" t="s">
        <v>273</v>
      </c>
      <c r="D21" s="363"/>
      <c r="E21" s="365"/>
      <c r="F21" s="367"/>
      <c r="G21" s="367"/>
      <c r="H21" s="384">
        <f t="shared" si="0"/>
        <v>0</v>
      </c>
      <c r="I21" s="385"/>
    </row>
    <row r="22" spans="1:9" ht="15.9" customHeight="1" x14ac:dyDescent="0.25">
      <c r="A22" s="432"/>
      <c r="B22" s="356" t="s">
        <v>182</v>
      </c>
      <c r="C22" s="363" t="s">
        <v>183</v>
      </c>
      <c r="D22" s="363"/>
      <c r="E22" s="365" t="s">
        <v>184</v>
      </c>
      <c r="F22" s="367">
        <v>6</v>
      </c>
      <c r="G22" s="367">
        <v>1800000</v>
      </c>
      <c r="H22" s="292">
        <f t="shared" si="0"/>
        <v>10800000</v>
      </c>
      <c r="I22" s="364"/>
    </row>
    <row r="23" spans="1:9" ht="15.9" customHeight="1" x14ac:dyDescent="0.25">
      <c r="A23" s="432"/>
      <c r="B23" s="356"/>
      <c r="C23" s="363" t="s">
        <v>185</v>
      </c>
      <c r="D23" s="363" t="s">
        <v>186</v>
      </c>
      <c r="E23" s="365" t="s">
        <v>184</v>
      </c>
      <c r="F23" s="367">
        <v>6</v>
      </c>
      <c r="G23" s="367">
        <v>60000</v>
      </c>
      <c r="H23" s="292">
        <f t="shared" si="0"/>
        <v>360000</v>
      </c>
      <c r="I23" s="364"/>
    </row>
    <row r="24" spans="1:9" ht="15.9" customHeight="1" x14ac:dyDescent="0.25">
      <c r="A24" s="432"/>
      <c r="B24" s="356"/>
      <c r="C24" s="363" t="s">
        <v>187</v>
      </c>
      <c r="D24" s="363" t="s">
        <v>188</v>
      </c>
      <c r="E24" s="365" t="s">
        <v>184</v>
      </c>
      <c r="F24" s="367">
        <v>12</v>
      </c>
      <c r="G24" s="367">
        <v>60000</v>
      </c>
      <c r="H24" s="292">
        <f t="shared" si="0"/>
        <v>720000</v>
      </c>
      <c r="I24" s="364"/>
    </row>
    <row r="25" spans="1:9" ht="15.9" customHeight="1" x14ac:dyDescent="0.25">
      <c r="A25" s="432"/>
      <c r="B25" s="356"/>
      <c r="C25" s="363" t="s">
        <v>189</v>
      </c>
      <c r="D25" s="363" t="s">
        <v>190</v>
      </c>
      <c r="E25" s="365" t="s">
        <v>167</v>
      </c>
      <c r="F25" s="367">
        <v>1</v>
      </c>
      <c r="G25" s="367">
        <v>1000000</v>
      </c>
      <c r="H25" s="292">
        <f t="shared" si="0"/>
        <v>1000000</v>
      </c>
      <c r="I25" s="364"/>
    </row>
    <row r="26" spans="1:9" ht="15.9" customHeight="1" x14ac:dyDescent="0.25">
      <c r="A26" s="432"/>
      <c r="B26" s="356"/>
      <c r="C26" s="363" t="s">
        <v>191</v>
      </c>
      <c r="D26" s="363" t="s">
        <v>192</v>
      </c>
      <c r="E26" s="365" t="s">
        <v>167</v>
      </c>
      <c r="F26" s="367">
        <v>1</v>
      </c>
      <c r="G26" s="367">
        <v>1000000</v>
      </c>
      <c r="H26" s="292">
        <f t="shared" si="0"/>
        <v>1000000</v>
      </c>
      <c r="I26" s="364"/>
    </row>
    <row r="27" spans="1:9" ht="15.9" customHeight="1" x14ac:dyDescent="0.25">
      <c r="A27" s="432"/>
      <c r="B27" s="356"/>
      <c r="C27" s="363" t="s">
        <v>195</v>
      </c>
      <c r="D27" s="363"/>
      <c r="E27" s="365" t="s">
        <v>184</v>
      </c>
      <c r="F27" s="367">
        <v>16</v>
      </c>
      <c r="G27" s="367">
        <v>40000</v>
      </c>
      <c r="H27" s="292">
        <f t="shared" si="0"/>
        <v>640000</v>
      </c>
      <c r="I27" s="364"/>
    </row>
    <row r="28" spans="1:9" ht="15.9" customHeight="1" x14ac:dyDescent="0.25">
      <c r="A28" s="432"/>
      <c r="B28" s="356"/>
      <c r="C28" s="363" t="s">
        <v>196</v>
      </c>
      <c r="D28" s="363"/>
      <c r="E28" s="365" t="s">
        <v>184</v>
      </c>
      <c r="F28" s="367">
        <v>1</v>
      </c>
      <c r="G28" s="367">
        <v>100000</v>
      </c>
      <c r="H28" s="292">
        <f t="shared" si="0"/>
        <v>100000</v>
      </c>
      <c r="I28" s="364"/>
    </row>
    <row r="29" spans="1:9" ht="15.9" customHeight="1" x14ac:dyDescent="0.25">
      <c r="A29" s="432"/>
      <c r="B29" s="356"/>
      <c r="C29" s="363" t="s">
        <v>197</v>
      </c>
      <c r="D29" s="363"/>
      <c r="E29" s="365" t="s">
        <v>167</v>
      </c>
      <c r="F29" s="367">
        <v>1</v>
      </c>
      <c r="G29" s="367">
        <v>300000</v>
      </c>
      <c r="H29" s="292">
        <f t="shared" si="0"/>
        <v>300000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0"/>
        <v>0</v>
      </c>
      <c r="I30" s="364"/>
    </row>
    <row r="31" spans="1:9" ht="15.9" customHeight="1" x14ac:dyDescent="0.25">
      <c r="A31" s="432"/>
      <c r="B31" s="356"/>
      <c r="C31" s="433" t="s">
        <v>215</v>
      </c>
      <c r="D31" s="433"/>
      <c r="E31" s="434"/>
      <c r="F31" s="435"/>
      <c r="G31" s="435"/>
      <c r="H31" s="292">
        <f t="shared" si="0"/>
        <v>0</v>
      </c>
      <c r="I31" s="364"/>
    </row>
    <row r="32" spans="1:9" ht="15.9" customHeight="1" x14ac:dyDescent="0.25">
      <c r="A32" s="432"/>
      <c r="B32" s="356"/>
      <c r="C32" s="363" t="s">
        <v>216</v>
      </c>
      <c r="D32" s="363" t="s">
        <v>217</v>
      </c>
      <c r="E32" s="365" t="s">
        <v>167</v>
      </c>
      <c r="F32" s="436">
        <v>1</v>
      </c>
      <c r="G32" s="367">
        <v>350000</v>
      </c>
      <c r="H32" s="292">
        <f t="shared" si="0"/>
        <v>350000</v>
      </c>
      <c r="I32" s="364"/>
    </row>
    <row r="33" spans="1:9" ht="15.9" customHeight="1" x14ac:dyDescent="0.25">
      <c r="A33" s="432"/>
      <c r="B33" s="356"/>
      <c r="C33" s="363" t="s">
        <v>218</v>
      </c>
      <c r="D33" s="363" t="s">
        <v>219</v>
      </c>
      <c r="E33" s="365" t="s">
        <v>167</v>
      </c>
      <c r="F33" s="436">
        <v>10</v>
      </c>
      <c r="G33" s="367">
        <v>75000</v>
      </c>
      <c r="H33" s="292">
        <f t="shared" si="0"/>
        <v>750000</v>
      </c>
      <c r="I33" s="364"/>
    </row>
    <row r="34" spans="1:9" ht="15.9" customHeight="1" x14ac:dyDescent="0.25">
      <c r="A34" s="432"/>
      <c r="B34" s="356"/>
      <c r="C34" s="363" t="s">
        <v>220</v>
      </c>
      <c r="D34" s="363" t="s">
        <v>221</v>
      </c>
      <c r="E34" s="365" t="s">
        <v>167</v>
      </c>
      <c r="F34" s="436">
        <v>1</v>
      </c>
      <c r="G34" s="367">
        <v>850000</v>
      </c>
      <c r="H34" s="292">
        <f t="shared" si="0"/>
        <v>850000</v>
      </c>
      <c r="I34" s="364"/>
    </row>
    <row r="35" spans="1:9" ht="15.9" customHeight="1" x14ac:dyDescent="0.25">
      <c r="A35" s="432"/>
      <c r="B35" s="356"/>
      <c r="C35" s="363" t="s">
        <v>222</v>
      </c>
      <c r="D35" s="363"/>
      <c r="E35" s="365" t="s">
        <v>167</v>
      </c>
      <c r="F35" s="436">
        <v>20</v>
      </c>
      <c r="G35" s="367">
        <v>7000</v>
      </c>
      <c r="H35" s="292">
        <f t="shared" si="0"/>
        <v>140000</v>
      </c>
      <c r="I35" s="364"/>
    </row>
    <row r="36" spans="1:9" ht="15.9" customHeight="1" x14ac:dyDescent="0.25">
      <c r="A36" s="432"/>
      <c r="B36" s="356"/>
      <c r="C36" s="363" t="s">
        <v>223</v>
      </c>
      <c r="D36" s="363"/>
      <c r="E36" s="365" t="s">
        <v>167</v>
      </c>
      <c r="F36" s="436">
        <v>1</v>
      </c>
      <c r="G36" s="367">
        <v>100000</v>
      </c>
      <c r="H36" s="292">
        <f t="shared" si="0"/>
        <v>100000</v>
      </c>
      <c r="I36" s="364"/>
    </row>
    <row r="37" spans="1:9" ht="15.9" customHeight="1" x14ac:dyDescent="0.25">
      <c r="A37" s="432"/>
      <c r="B37" s="356"/>
      <c r="C37" s="433" t="s">
        <v>224</v>
      </c>
      <c r="D37" s="433"/>
      <c r="E37" s="434" t="s">
        <v>167</v>
      </c>
      <c r="F37" s="435">
        <v>1</v>
      </c>
      <c r="G37" s="435">
        <v>100000</v>
      </c>
      <c r="H37" s="292">
        <f t="shared" si="0"/>
        <v>100000</v>
      </c>
      <c r="I37" s="364"/>
    </row>
    <row r="38" spans="1:9" ht="15.9" customHeight="1" x14ac:dyDescent="0.25">
      <c r="A38" s="432"/>
      <c r="B38" s="356"/>
      <c r="C38" s="363"/>
      <c r="D38" s="363"/>
      <c r="E38" s="365"/>
      <c r="F38" s="367"/>
      <c r="G38" s="367"/>
      <c r="H38" s="292">
        <f t="shared" si="0"/>
        <v>0</v>
      </c>
      <c r="I38" s="364"/>
    </row>
    <row r="39" spans="1:9" ht="15.9" customHeight="1" x14ac:dyDescent="0.25">
      <c r="A39" s="432"/>
      <c r="B39" s="356"/>
      <c r="C39" s="368" t="s">
        <v>249</v>
      </c>
      <c r="D39" s="368"/>
      <c r="E39" s="369" t="s">
        <v>167</v>
      </c>
      <c r="F39" s="371">
        <v>1</v>
      </c>
      <c r="G39" s="371">
        <v>500000</v>
      </c>
      <c r="H39" s="292"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SUM(H21:H39)</f>
        <v>17210000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0"/>
        <v>0</v>
      </c>
      <c r="I41" s="385"/>
    </row>
    <row r="42" spans="1:9" ht="15.9" customHeight="1" x14ac:dyDescent="0.25">
      <c r="A42" s="432"/>
      <c r="B42" s="356"/>
      <c r="C42" s="368"/>
      <c r="D42" s="368"/>
      <c r="E42" s="368"/>
      <c r="F42" s="371"/>
      <c r="G42" s="371"/>
      <c r="H42" s="402">
        <f t="shared" si="0"/>
        <v>0</v>
      </c>
      <c r="I42" s="372"/>
    </row>
    <row r="43" spans="1:9" ht="15.9" customHeight="1" x14ac:dyDescent="0.25">
      <c r="A43" s="432"/>
      <c r="B43" s="373"/>
      <c r="C43" s="374"/>
      <c r="D43" s="375"/>
      <c r="E43" s="375"/>
      <c r="F43" s="377"/>
      <c r="G43" s="377"/>
      <c r="H43" s="378">
        <f>SUM(H41:H42)</f>
        <v>0</v>
      </c>
      <c r="I43" s="68"/>
    </row>
    <row r="44" spans="1:9" ht="15.9" customHeight="1" x14ac:dyDescent="0.25">
      <c r="A44" s="403"/>
      <c r="B44" s="404" t="s">
        <v>149</v>
      </c>
      <c r="C44" s="405"/>
      <c r="D44" s="68"/>
      <c r="E44" s="68"/>
      <c r="F44" s="407"/>
      <c r="G44" s="407"/>
      <c r="H44" s="378">
        <f>SUM(H43,H40,H20,H14)</f>
        <v>19710000</v>
      </c>
      <c r="I44" s="68"/>
    </row>
    <row r="45" spans="1:9" ht="15.9" customHeight="1" x14ac:dyDescent="0.25">
      <c r="A45" s="446" t="s">
        <v>150</v>
      </c>
      <c r="B45" s="409" t="s">
        <v>67</v>
      </c>
      <c r="C45" s="405"/>
      <c r="D45" s="68"/>
      <c r="E45" s="409" t="s">
        <v>68</v>
      </c>
      <c r="F45" s="448">
        <v>0</v>
      </c>
      <c r="G45" s="427">
        <v>250000</v>
      </c>
      <c r="H45" s="413">
        <f>F45*G45</f>
        <v>0</v>
      </c>
      <c r="I45" s="68"/>
    </row>
    <row r="46" spans="1:9" ht="15.9" customHeight="1" x14ac:dyDescent="0.25">
      <c r="A46" s="432"/>
      <c r="B46" s="415" t="s">
        <v>228</v>
      </c>
      <c r="C46" s="416"/>
      <c r="D46" s="385"/>
      <c r="E46" s="415" t="s">
        <v>152</v>
      </c>
      <c r="F46" s="449">
        <v>30</v>
      </c>
      <c r="G46" s="443">
        <v>300000</v>
      </c>
      <c r="H46" s="384">
        <f t="shared" ref="H46:H52" si="1">F46*G46</f>
        <v>9000000</v>
      </c>
      <c r="I46" s="385"/>
    </row>
    <row r="47" spans="1:9" ht="15.9" customHeight="1" x14ac:dyDescent="0.25">
      <c r="A47" s="432"/>
      <c r="B47" s="447" t="s">
        <v>229</v>
      </c>
      <c r="C47" s="419"/>
      <c r="D47" s="364"/>
      <c r="E47" s="418" t="s">
        <v>152</v>
      </c>
      <c r="F47" s="450">
        <v>10</v>
      </c>
      <c r="G47" s="435">
        <v>250000</v>
      </c>
      <c r="H47" s="292">
        <f t="shared" si="1"/>
        <v>2500000</v>
      </c>
      <c r="I47" s="364"/>
    </row>
    <row r="48" spans="1:9" ht="15.9" customHeight="1" x14ac:dyDescent="0.25">
      <c r="A48" s="432"/>
      <c r="B48" s="418" t="s">
        <v>230</v>
      </c>
      <c r="C48" s="419"/>
      <c r="D48" s="364"/>
      <c r="E48" s="418" t="s">
        <v>152</v>
      </c>
      <c r="F48" s="450">
        <v>30</v>
      </c>
      <c r="G48" s="435">
        <v>250000</v>
      </c>
      <c r="H48" s="292">
        <f t="shared" si="1"/>
        <v>7500000</v>
      </c>
      <c r="I48" s="364"/>
    </row>
    <row r="49" spans="1:9" ht="15.9" customHeight="1" x14ac:dyDescent="0.25">
      <c r="A49" s="432"/>
      <c r="B49" s="418" t="s">
        <v>231</v>
      </c>
      <c r="C49" s="419"/>
      <c r="D49" s="364"/>
      <c r="E49" s="418" t="s">
        <v>152</v>
      </c>
      <c r="F49" s="450">
        <v>5</v>
      </c>
      <c r="G49" s="367">
        <v>300000</v>
      </c>
      <c r="H49" s="292">
        <f t="shared" si="1"/>
        <v>1500000</v>
      </c>
      <c r="I49" s="364"/>
    </row>
    <row r="50" spans="1:9" ht="15.9" customHeight="1" x14ac:dyDescent="0.25">
      <c r="A50" s="432"/>
      <c r="B50" s="418" t="s">
        <v>232</v>
      </c>
      <c r="C50" s="419"/>
      <c r="D50" s="364"/>
      <c r="E50" s="418" t="s">
        <v>152</v>
      </c>
      <c r="F50" s="450">
        <v>4</v>
      </c>
      <c r="G50" s="367">
        <v>300000</v>
      </c>
      <c r="H50" s="292">
        <f t="shared" si="1"/>
        <v>1200000</v>
      </c>
      <c r="I50" s="364"/>
    </row>
    <row r="51" spans="1:9" ht="15.9" customHeight="1" x14ac:dyDescent="0.25">
      <c r="A51" s="432"/>
      <c r="B51" s="418" t="s">
        <v>233</v>
      </c>
      <c r="C51" s="419"/>
      <c r="D51" s="364"/>
      <c r="E51" s="418" t="s">
        <v>152</v>
      </c>
      <c r="F51" s="450">
        <v>1</v>
      </c>
      <c r="G51" s="367">
        <v>300000</v>
      </c>
      <c r="H51" s="292">
        <f t="shared" si="1"/>
        <v>300000</v>
      </c>
      <c r="I51" s="364"/>
    </row>
    <row r="52" spans="1:9" ht="15.9" customHeight="1" x14ac:dyDescent="0.25">
      <c r="A52" s="432"/>
      <c r="B52" s="421" t="s">
        <v>234</v>
      </c>
      <c r="C52" s="422"/>
      <c r="D52" s="372"/>
      <c r="E52" s="421" t="s">
        <v>152</v>
      </c>
      <c r="F52" s="451">
        <v>10</v>
      </c>
      <c r="G52" s="455">
        <v>250000</v>
      </c>
      <c r="H52" s="402">
        <f t="shared" si="1"/>
        <v>2500000</v>
      </c>
      <c r="I52" s="372"/>
    </row>
    <row r="53" spans="1:9" ht="15.9" customHeight="1" x14ac:dyDescent="0.25">
      <c r="A53" s="403"/>
      <c r="B53" s="424" t="s">
        <v>158</v>
      </c>
      <c r="C53" s="405"/>
      <c r="D53" s="68"/>
      <c r="E53" s="68"/>
      <c r="F53" s="377"/>
      <c r="G53" s="377"/>
      <c r="H53" s="377">
        <f>SUM(H45:H52)</f>
        <v>24500000</v>
      </c>
      <c r="I53" s="375"/>
    </row>
    <row r="54" spans="1:9" ht="15.9" customHeight="1" x14ac:dyDescent="0.25">
      <c r="A54" s="410"/>
      <c r="B54" s="424" t="s">
        <v>235</v>
      </c>
      <c r="C54" s="405"/>
      <c r="D54" s="68"/>
      <c r="E54" s="68"/>
      <c r="F54" s="378"/>
      <c r="G54" s="378"/>
      <c r="H54" s="407">
        <f>'단위공사별(집계)'!I11+'단위공사별(집계)'!L11</f>
        <v>185432.69683919719</v>
      </c>
      <c r="I54" s="68"/>
    </row>
    <row r="55" spans="1:9" ht="15.9" customHeight="1" x14ac:dyDescent="0.25">
      <c r="A55" s="410"/>
      <c r="B55" s="424" t="s">
        <v>93</v>
      </c>
      <c r="C55" s="405"/>
      <c r="D55" s="68"/>
      <c r="E55" s="68"/>
      <c r="F55" s="378"/>
      <c r="G55" s="426"/>
      <c r="H55" s="427">
        <v>0</v>
      </c>
      <c r="I55" s="405"/>
    </row>
    <row r="56" spans="1:9" ht="15.9" customHeight="1" x14ac:dyDescent="0.25">
      <c r="A56" s="410"/>
      <c r="B56" s="424" t="s">
        <v>161</v>
      </c>
      <c r="C56" s="405"/>
      <c r="D56" s="68"/>
      <c r="E56" s="68"/>
      <c r="F56" s="378"/>
      <c r="G56" s="426"/>
      <c r="H56" s="427">
        <v>0</v>
      </c>
      <c r="I56" s="405"/>
    </row>
    <row r="57" spans="1:9" ht="15.9" customHeight="1" x14ac:dyDescent="0.25">
      <c r="A57" s="410"/>
      <c r="B57" s="424" t="s">
        <v>162</v>
      </c>
      <c r="C57" s="405"/>
      <c r="D57" s="68"/>
      <c r="E57" s="68"/>
      <c r="F57" s="378"/>
      <c r="G57" s="378"/>
      <c r="H57" s="377">
        <f>H44+H53+H54+H55+H56</f>
        <v>44395432.696839198</v>
      </c>
      <c r="I57" s="68"/>
    </row>
    <row r="58" spans="1:9" x14ac:dyDescent="0.25">
      <c r="A58" s="254"/>
    </row>
  </sheetData>
  <mergeCells count="3">
    <mergeCell ref="A2:B2"/>
    <mergeCell ref="A3:A43"/>
    <mergeCell ref="A45:A5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C49F-7C3C-4133-94B3-4C045D8EE5C2}">
  <sheetPr>
    <tabColor rgb="FF00B050"/>
    <pageSetUpPr fitToPage="1"/>
  </sheetPr>
  <dimension ref="A1:I61"/>
  <sheetViews>
    <sheetView zoomScaleNormal="100" workbookViewId="0">
      <pane xSplit="2" ySplit="2" topLeftCell="C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274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433" t="s">
        <v>169</v>
      </c>
      <c r="D3" s="433" t="s">
        <v>166</v>
      </c>
      <c r="E3" s="434" t="s">
        <v>167</v>
      </c>
      <c r="F3" s="435">
        <v>1</v>
      </c>
      <c r="G3" s="435">
        <v>1500000</v>
      </c>
      <c r="H3" s="292">
        <f t="shared" ref="H3:H45" si="0">IF(F3=0,G3,G3*F3)</f>
        <v>1500000</v>
      </c>
      <c r="I3" s="385"/>
    </row>
    <row r="4" spans="1:9" ht="15.9" customHeight="1" x14ac:dyDescent="0.25">
      <c r="A4" s="432"/>
      <c r="B4" s="356"/>
      <c r="C4" s="363" t="s">
        <v>275</v>
      </c>
      <c r="D4" s="363"/>
      <c r="E4" s="365" t="s">
        <v>167</v>
      </c>
      <c r="F4" s="367">
        <v>1</v>
      </c>
      <c r="G4" s="367">
        <v>2500000</v>
      </c>
      <c r="H4" s="292">
        <f t="shared" si="0"/>
        <v>2500000</v>
      </c>
      <c r="I4" s="364"/>
    </row>
    <row r="5" spans="1:9" ht="15.9" customHeight="1" x14ac:dyDescent="0.25">
      <c r="A5" s="432"/>
      <c r="B5" s="356"/>
      <c r="C5" s="363" t="s">
        <v>276</v>
      </c>
      <c r="D5" s="433"/>
      <c r="E5" s="434" t="s">
        <v>59</v>
      </c>
      <c r="F5" s="435">
        <v>1</v>
      </c>
      <c r="G5" s="435">
        <v>2000000</v>
      </c>
      <c r="H5" s="292">
        <f t="shared" si="0"/>
        <v>2000000</v>
      </c>
      <c r="I5" s="364"/>
    </row>
    <row r="6" spans="1:9" ht="15.9" customHeight="1" x14ac:dyDescent="0.25">
      <c r="A6" s="432"/>
      <c r="B6" s="356"/>
      <c r="C6" s="363" t="s">
        <v>277</v>
      </c>
      <c r="D6" s="433"/>
      <c r="E6" s="434" t="s">
        <v>59</v>
      </c>
      <c r="F6" s="435">
        <v>1</v>
      </c>
      <c r="G6" s="435">
        <v>1000000</v>
      </c>
      <c r="H6" s="292">
        <f t="shared" si="0"/>
        <v>1000000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0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0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0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0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0"/>
        <v>0</v>
      </c>
      <c r="I11" s="364"/>
    </row>
    <row r="12" spans="1:9" ht="15.9" customHeight="1" x14ac:dyDescent="0.25">
      <c r="A12" s="432"/>
      <c r="B12" s="356"/>
      <c r="C12" s="368" t="s">
        <v>249</v>
      </c>
      <c r="D12" s="387"/>
      <c r="E12" s="437" t="s">
        <v>167</v>
      </c>
      <c r="F12" s="389">
        <v>1</v>
      </c>
      <c r="G12" s="389">
        <v>500000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7000000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si="0"/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0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0"/>
        <v>0</v>
      </c>
      <c r="I17" s="364"/>
    </row>
    <row r="18" spans="1:9" ht="15.9" customHeight="1" x14ac:dyDescent="0.25">
      <c r="A18" s="432"/>
      <c r="B18" s="356"/>
      <c r="C18" s="368" t="s">
        <v>225</v>
      </c>
      <c r="D18" s="368"/>
      <c r="E18" s="368"/>
      <c r="F18" s="371"/>
      <c r="G18" s="371"/>
      <c r="H18" s="292">
        <f t="shared" si="0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80" t="s">
        <v>278</v>
      </c>
      <c r="D20" s="380" t="s">
        <v>279</v>
      </c>
      <c r="E20" s="381" t="s">
        <v>167</v>
      </c>
      <c r="F20" s="383">
        <v>1</v>
      </c>
      <c r="G20" s="383">
        <v>35500000</v>
      </c>
      <c r="H20" s="292">
        <f t="shared" si="0"/>
        <v>35500000</v>
      </c>
      <c r="I20" s="385" t="s">
        <v>280</v>
      </c>
    </row>
    <row r="21" spans="1:9" ht="15.9" customHeight="1" x14ac:dyDescent="0.25">
      <c r="A21" s="432"/>
      <c r="B21" s="356" t="s">
        <v>182</v>
      </c>
      <c r="C21" s="363" t="s">
        <v>275</v>
      </c>
      <c r="D21" s="363" t="s">
        <v>281</v>
      </c>
      <c r="E21" s="365" t="s">
        <v>167</v>
      </c>
      <c r="F21" s="367">
        <v>1</v>
      </c>
      <c r="G21" s="367">
        <v>3600000</v>
      </c>
      <c r="H21" s="292">
        <f t="shared" si="0"/>
        <v>3600000</v>
      </c>
      <c r="I21" s="364"/>
    </row>
    <row r="22" spans="1:9" ht="15.9" customHeight="1" x14ac:dyDescent="0.25">
      <c r="A22" s="432"/>
      <c r="B22" s="356"/>
      <c r="C22" s="363" t="s">
        <v>282</v>
      </c>
      <c r="D22" s="363"/>
      <c r="E22" s="365" t="s">
        <v>184</v>
      </c>
      <c r="F22" s="367">
        <v>3</v>
      </c>
      <c r="G22" s="367">
        <v>40000</v>
      </c>
      <c r="H22" s="292">
        <f t="shared" si="0"/>
        <v>120000</v>
      </c>
      <c r="I22" s="364"/>
    </row>
    <row r="23" spans="1:9" ht="15.9" customHeight="1" x14ac:dyDescent="0.25">
      <c r="A23" s="432"/>
      <c r="B23" s="356"/>
      <c r="C23" s="363" t="s">
        <v>276</v>
      </c>
      <c r="D23" s="363" t="s">
        <v>213</v>
      </c>
      <c r="E23" s="365" t="s">
        <v>59</v>
      </c>
      <c r="F23" s="367">
        <v>1</v>
      </c>
      <c r="G23" s="367">
        <v>12000000</v>
      </c>
      <c r="H23" s="292">
        <f t="shared" si="0"/>
        <v>12000000</v>
      </c>
      <c r="I23" s="364"/>
    </row>
    <row r="24" spans="1:9" ht="15.9" customHeight="1" x14ac:dyDescent="0.25">
      <c r="A24" s="432"/>
      <c r="B24" s="356"/>
      <c r="C24" s="363" t="s">
        <v>277</v>
      </c>
      <c r="D24" s="363"/>
      <c r="E24" s="365" t="s">
        <v>167</v>
      </c>
      <c r="F24" s="367">
        <v>1</v>
      </c>
      <c r="G24" s="367">
        <v>1500000</v>
      </c>
      <c r="H24" s="292">
        <f t="shared" si="0"/>
        <v>1500000</v>
      </c>
      <c r="I24" s="364"/>
    </row>
    <row r="25" spans="1:9" ht="15.9" customHeight="1" x14ac:dyDescent="0.25">
      <c r="A25" s="432"/>
      <c r="B25" s="356"/>
      <c r="C25" s="363" t="s">
        <v>282</v>
      </c>
      <c r="D25" s="363"/>
      <c r="E25" s="365" t="s">
        <v>167</v>
      </c>
      <c r="F25" s="367">
        <v>2</v>
      </c>
      <c r="G25" s="367">
        <v>40000</v>
      </c>
      <c r="H25" s="292">
        <f t="shared" si="0"/>
        <v>80000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0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0"/>
        <v>0</v>
      </c>
      <c r="I27" s="364"/>
    </row>
    <row r="28" spans="1:9" ht="15.9" customHeight="1" x14ac:dyDescent="0.25">
      <c r="A28" s="432"/>
      <c r="B28" s="356"/>
      <c r="C28" s="363"/>
      <c r="D28" s="363"/>
      <c r="E28" s="363"/>
      <c r="F28" s="367"/>
      <c r="G28" s="367"/>
      <c r="H28" s="292">
        <f t="shared" si="0"/>
        <v>0</v>
      </c>
      <c r="I28" s="364"/>
    </row>
    <row r="29" spans="1:9" ht="15.9" customHeight="1" x14ac:dyDescent="0.25">
      <c r="A29" s="432"/>
      <c r="B29" s="356"/>
      <c r="C29" s="433" t="s">
        <v>215</v>
      </c>
      <c r="D29" s="433"/>
      <c r="E29" s="434"/>
      <c r="F29" s="435"/>
      <c r="G29" s="435"/>
      <c r="H29" s="292">
        <f t="shared" si="0"/>
        <v>0</v>
      </c>
      <c r="I29" s="364"/>
    </row>
    <row r="30" spans="1:9" ht="15.9" customHeight="1" x14ac:dyDescent="0.25">
      <c r="A30" s="432"/>
      <c r="B30" s="356"/>
      <c r="C30" s="363" t="s">
        <v>216</v>
      </c>
      <c r="D30" s="363" t="s">
        <v>217</v>
      </c>
      <c r="E30" s="365" t="s">
        <v>167</v>
      </c>
      <c r="F30" s="436">
        <v>1</v>
      </c>
      <c r="G30" s="367">
        <v>350000</v>
      </c>
      <c r="H30" s="292">
        <f t="shared" si="0"/>
        <v>350000</v>
      </c>
      <c r="I30" s="364"/>
    </row>
    <row r="31" spans="1:9" ht="15.9" customHeight="1" x14ac:dyDescent="0.25">
      <c r="A31" s="432"/>
      <c r="B31" s="356"/>
      <c r="C31" s="363" t="s">
        <v>218</v>
      </c>
      <c r="D31" s="363" t="s">
        <v>219</v>
      </c>
      <c r="E31" s="365" t="s">
        <v>167</v>
      </c>
      <c r="F31" s="436">
        <v>10</v>
      </c>
      <c r="G31" s="367">
        <v>75000</v>
      </c>
      <c r="H31" s="292">
        <f t="shared" si="0"/>
        <v>750000</v>
      </c>
      <c r="I31" s="364"/>
    </row>
    <row r="32" spans="1:9" ht="15.9" customHeight="1" x14ac:dyDescent="0.25">
      <c r="A32" s="432"/>
      <c r="B32" s="356"/>
      <c r="C32" s="363" t="s">
        <v>220</v>
      </c>
      <c r="D32" s="363" t="s">
        <v>221</v>
      </c>
      <c r="E32" s="365" t="s">
        <v>167</v>
      </c>
      <c r="F32" s="436">
        <v>1</v>
      </c>
      <c r="G32" s="367">
        <v>850000</v>
      </c>
      <c r="H32" s="292">
        <f t="shared" si="0"/>
        <v>850000</v>
      </c>
      <c r="I32" s="364"/>
    </row>
    <row r="33" spans="1:9" ht="15.9" customHeight="1" x14ac:dyDescent="0.25">
      <c r="A33" s="432"/>
      <c r="B33" s="356"/>
      <c r="C33" s="363" t="s">
        <v>222</v>
      </c>
      <c r="D33" s="363"/>
      <c r="E33" s="365" t="s">
        <v>167</v>
      </c>
      <c r="F33" s="436">
        <v>20</v>
      </c>
      <c r="G33" s="367">
        <v>7000</v>
      </c>
      <c r="H33" s="292">
        <f t="shared" si="0"/>
        <v>140000</v>
      </c>
      <c r="I33" s="364"/>
    </row>
    <row r="34" spans="1:9" ht="15.9" customHeight="1" x14ac:dyDescent="0.25">
      <c r="A34" s="432"/>
      <c r="B34" s="356"/>
      <c r="C34" s="363" t="s">
        <v>223</v>
      </c>
      <c r="D34" s="363"/>
      <c r="E34" s="365" t="s">
        <v>167</v>
      </c>
      <c r="F34" s="436">
        <v>1</v>
      </c>
      <c r="G34" s="367">
        <v>100000</v>
      </c>
      <c r="H34" s="292">
        <f t="shared" si="0"/>
        <v>100000</v>
      </c>
      <c r="I34" s="364"/>
    </row>
    <row r="35" spans="1:9" ht="15.9" customHeight="1" x14ac:dyDescent="0.25">
      <c r="A35" s="432"/>
      <c r="B35" s="356"/>
      <c r="C35" s="433" t="s">
        <v>224</v>
      </c>
      <c r="D35" s="433"/>
      <c r="E35" s="434" t="s">
        <v>167</v>
      </c>
      <c r="F35" s="435">
        <v>1</v>
      </c>
      <c r="G35" s="435">
        <v>100000</v>
      </c>
      <c r="H35" s="292">
        <f t="shared" si="0"/>
        <v>100000</v>
      </c>
      <c r="I35" s="390"/>
    </row>
    <row r="36" spans="1:9" ht="15.9" customHeight="1" x14ac:dyDescent="0.25">
      <c r="A36" s="432"/>
      <c r="B36" s="356"/>
      <c r="C36" s="363"/>
      <c r="D36" s="363"/>
      <c r="E36" s="363"/>
      <c r="F36" s="367"/>
      <c r="G36" s="367"/>
      <c r="H36" s="292">
        <f t="shared" si="0"/>
        <v>0</v>
      </c>
      <c r="I36" s="364"/>
    </row>
    <row r="37" spans="1:9" ht="15.9" customHeight="1" x14ac:dyDescent="0.25">
      <c r="A37" s="432"/>
      <c r="B37" s="356"/>
      <c r="C37" s="368" t="s">
        <v>249</v>
      </c>
      <c r="D37" s="368"/>
      <c r="E37" s="369" t="s">
        <v>167</v>
      </c>
      <c r="F37" s="371">
        <v>1</v>
      </c>
      <c r="G37" s="371">
        <v>500000</v>
      </c>
      <c r="H37" s="292">
        <v>0</v>
      </c>
      <c r="I37" s="372"/>
    </row>
    <row r="38" spans="1:9" ht="15.9" customHeight="1" x14ac:dyDescent="0.25">
      <c r="A38" s="432"/>
      <c r="B38" s="373"/>
      <c r="C38" s="374"/>
      <c r="D38" s="375"/>
      <c r="E38" s="375"/>
      <c r="F38" s="377"/>
      <c r="G38" s="377"/>
      <c r="H38" s="378">
        <f>SUM(H20:H37)</f>
        <v>55090000</v>
      </c>
      <c r="I38" s="68"/>
    </row>
    <row r="39" spans="1:9" ht="15.9" customHeight="1" x14ac:dyDescent="0.25">
      <c r="A39" s="432"/>
      <c r="B39" s="398" t="s">
        <v>61</v>
      </c>
      <c r="C39" s="380" t="s">
        <v>283</v>
      </c>
      <c r="D39" s="380"/>
      <c r="E39" s="380" t="s">
        <v>167</v>
      </c>
      <c r="F39" s="383">
        <v>1</v>
      </c>
      <c r="G39" s="383">
        <v>5000000</v>
      </c>
      <c r="H39" s="384">
        <f t="shared" si="0"/>
        <v>5000000</v>
      </c>
      <c r="I39" s="385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si="0"/>
        <v>0</v>
      </c>
      <c r="I40" s="364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0"/>
        <v>0</v>
      </c>
      <c r="I41" s="364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0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0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0"/>
        <v>0</v>
      </c>
      <c r="I44" s="364"/>
    </row>
    <row r="45" spans="1:9" ht="15.9" customHeight="1" x14ac:dyDescent="0.25">
      <c r="A45" s="432"/>
      <c r="B45" s="356"/>
      <c r="C45" s="368" t="s">
        <v>225</v>
      </c>
      <c r="D45" s="368"/>
      <c r="E45" s="368"/>
      <c r="F45" s="371"/>
      <c r="G45" s="371"/>
      <c r="H45" s="402">
        <f t="shared" si="0"/>
        <v>0</v>
      </c>
      <c r="I45" s="372"/>
    </row>
    <row r="46" spans="1:9" ht="15.9" customHeight="1" x14ac:dyDescent="0.25">
      <c r="A46" s="432"/>
      <c r="B46" s="373"/>
      <c r="C46" s="374"/>
      <c r="D46" s="375"/>
      <c r="E46" s="375"/>
      <c r="F46" s="377"/>
      <c r="G46" s="377"/>
      <c r="H46" s="378">
        <f>SUM(H39:H45)</f>
        <v>5000000</v>
      </c>
      <c r="I46" s="68"/>
    </row>
    <row r="47" spans="1:9" ht="15.9" customHeight="1" x14ac:dyDescent="0.25">
      <c r="A47" s="403"/>
      <c r="B47" s="404" t="s">
        <v>149</v>
      </c>
      <c r="C47" s="405"/>
      <c r="D47" s="68"/>
      <c r="E47" s="68"/>
      <c r="F47" s="407"/>
      <c r="G47" s="407"/>
      <c r="H47" s="378">
        <f>SUM(H46,H38,H19,H13)</f>
        <v>67090000</v>
      </c>
      <c r="I47" s="68"/>
    </row>
    <row r="48" spans="1:9" ht="15.9" customHeight="1" x14ac:dyDescent="0.25">
      <c r="A48" s="446" t="s">
        <v>150</v>
      </c>
      <c r="B48" s="409" t="s">
        <v>67</v>
      </c>
      <c r="C48" s="405"/>
      <c r="D48" s="68"/>
      <c r="E48" s="409" t="s">
        <v>68</v>
      </c>
      <c r="F48" s="448">
        <v>0</v>
      </c>
      <c r="G48" s="427">
        <v>250000</v>
      </c>
      <c r="H48" s="413">
        <f>F48*G48</f>
        <v>0</v>
      </c>
      <c r="I48" s="68"/>
    </row>
    <row r="49" spans="1:9" ht="15.9" customHeight="1" x14ac:dyDescent="0.25">
      <c r="A49" s="432"/>
      <c r="B49" s="415" t="s">
        <v>228</v>
      </c>
      <c r="C49" s="416"/>
      <c r="D49" s="385"/>
      <c r="E49" s="415" t="s">
        <v>152</v>
      </c>
      <c r="F49" s="449">
        <v>20</v>
      </c>
      <c r="G49" s="443">
        <v>300000</v>
      </c>
      <c r="H49" s="384">
        <f t="shared" ref="H49:H55" si="1">F49*G49</f>
        <v>6000000</v>
      </c>
      <c r="I49" s="385"/>
    </row>
    <row r="50" spans="1:9" ht="15.9" customHeight="1" x14ac:dyDescent="0.25">
      <c r="A50" s="432"/>
      <c r="B50" s="447" t="s">
        <v>229</v>
      </c>
      <c r="C50" s="419"/>
      <c r="D50" s="364"/>
      <c r="E50" s="418" t="s">
        <v>152</v>
      </c>
      <c r="F50" s="450">
        <v>5</v>
      </c>
      <c r="G50" s="435">
        <v>250000</v>
      </c>
      <c r="H50" s="292">
        <f t="shared" si="1"/>
        <v>1250000</v>
      </c>
      <c r="I50" s="364"/>
    </row>
    <row r="51" spans="1:9" ht="15.9" customHeight="1" x14ac:dyDescent="0.25">
      <c r="A51" s="432"/>
      <c r="B51" s="418" t="s">
        <v>230</v>
      </c>
      <c r="C51" s="419"/>
      <c r="D51" s="364"/>
      <c r="E51" s="418" t="s">
        <v>152</v>
      </c>
      <c r="F51" s="450">
        <v>25</v>
      </c>
      <c r="G51" s="435">
        <v>250000</v>
      </c>
      <c r="H51" s="292">
        <f t="shared" si="1"/>
        <v>6250000</v>
      </c>
      <c r="I51" s="364"/>
    </row>
    <row r="52" spans="1:9" ht="15.9" customHeight="1" x14ac:dyDescent="0.25">
      <c r="A52" s="432"/>
      <c r="B52" s="418" t="s">
        <v>231</v>
      </c>
      <c r="C52" s="419"/>
      <c r="D52" s="364"/>
      <c r="E52" s="418" t="s">
        <v>152</v>
      </c>
      <c r="F52" s="450">
        <v>2</v>
      </c>
      <c r="G52" s="367">
        <v>300000</v>
      </c>
      <c r="H52" s="292">
        <f t="shared" si="1"/>
        <v>600000</v>
      </c>
      <c r="I52" s="364"/>
    </row>
    <row r="53" spans="1:9" ht="15.9" customHeight="1" x14ac:dyDescent="0.25">
      <c r="A53" s="432"/>
      <c r="B53" s="418" t="s">
        <v>232</v>
      </c>
      <c r="C53" s="419"/>
      <c r="D53" s="364"/>
      <c r="E53" s="418" t="s">
        <v>152</v>
      </c>
      <c r="F53" s="450">
        <v>4</v>
      </c>
      <c r="G53" s="367">
        <v>300000</v>
      </c>
      <c r="H53" s="292">
        <f t="shared" si="1"/>
        <v>1200000</v>
      </c>
      <c r="I53" s="364"/>
    </row>
    <row r="54" spans="1:9" ht="15.9" customHeight="1" x14ac:dyDescent="0.25">
      <c r="A54" s="432"/>
      <c r="B54" s="418" t="s">
        <v>233</v>
      </c>
      <c r="C54" s="419"/>
      <c r="D54" s="364"/>
      <c r="E54" s="418" t="s">
        <v>152</v>
      </c>
      <c r="F54" s="450">
        <v>2</v>
      </c>
      <c r="G54" s="367">
        <v>300000</v>
      </c>
      <c r="H54" s="292">
        <f t="shared" si="1"/>
        <v>600000</v>
      </c>
      <c r="I54" s="364"/>
    </row>
    <row r="55" spans="1:9" ht="15.9" customHeight="1" x14ac:dyDescent="0.25">
      <c r="A55" s="432"/>
      <c r="B55" s="421" t="s">
        <v>234</v>
      </c>
      <c r="C55" s="422"/>
      <c r="D55" s="372"/>
      <c r="E55" s="421" t="s">
        <v>152</v>
      </c>
      <c r="F55" s="451">
        <v>5</v>
      </c>
      <c r="G55" s="455">
        <v>250000</v>
      </c>
      <c r="H55" s="402">
        <f t="shared" si="1"/>
        <v>1250000</v>
      </c>
      <c r="I55" s="372"/>
    </row>
    <row r="56" spans="1:9" ht="15.9" customHeight="1" x14ac:dyDescent="0.25">
      <c r="A56" s="403"/>
      <c r="B56" s="424" t="s">
        <v>158</v>
      </c>
      <c r="C56" s="405"/>
      <c r="D56" s="68"/>
      <c r="E56" s="68"/>
      <c r="F56" s="377"/>
      <c r="G56" s="377"/>
      <c r="H56" s="377">
        <f>SUM(H48:H55)</f>
        <v>17150000</v>
      </c>
      <c r="I56" s="375"/>
    </row>
    <row r="57" spans="1:9" ht="15.9" customHeight="1" x14ac:dyDescent="0.25">
      <c r="A57" s="410"/>
      <c r="B57" s="424" t="s">
        <v>235</v>
      </c>
      <c r="C57" s="405"/>
      <c r="D57" s="68"/>
      <c r="E57" s="68"/>
      <c r="F57" s="378"/>
      <c r="G57" s="378"/>
      <c r="H57" s="407">
        <f>'단위공사별(집계)'!L12+'단위공사별(집계)'!I12</f>
        <v>353332.96497928008</v>
      </c>
      <c r="I57" s="68"/>
    </row>
    <row r="58" spans="1:9" ht="15.9" customHeight="1" x14ac:dyDescent="0.25">
      <c r="A58" s="410"/>
      <c r="B58" s="424" t="s">
        <v>93</v>
      </c>
      <c r="C58" s="405"/>
      <c r="D58" s="68"/>
      <c r="E58" s="68"/>
      <c r="F58" s="378"/>
      <c r="G58" s="426"/>
      <c r="H58" s="427">
        <v>0</v>
      </c>
      <c r="I58" s="405"/>
    </row>
    <row r="59" spans="1:9" ht="15.9" customHeight="1" x14ac:dyDescent="0.25">
      <c r="A59" s="410"/>
      <c r="B59" s="424" t="s">
        <v>161</v>
      </c>
      <c r="C59" s="405"/>
      <c r="D59" s="68"/>
      <c r="E59" s="68"/>
      <c r="F59" s="378"/>
      <c r="G59" s="426"/>
      <c r="H59" s="427">
        <v>0</v>
      </c>
      <c r="I59" s="405"/>
    </row>
    <row r="60" spans="1:9" ht="15.9" customHeight="1" x14ac:dyDescent="0.25">
      <c r="A60" s="410"/>
      <c r="B60" s="424" t="s">
        <v>162</v>
      </c>
      <c r="C60" s="405"/>
      <c r="D60" s="68"/>
      <c r="E60" s="68"/>
      <c r="F60" s="378"/>
      <c r="G60" s="378"/>
      <c r="H60" s="377">
        <f>H47+H56+H57+H58+H59</f>
        <v>84593332.964979276</v>
      </c>
      <c r="I60" s="68"/>
    </row>
    <row r="61" spans="1:9" x14ac:dyDescent="0.25">
      <c r="A61" s="254"/>
    </row>
  </sheetData>
  <mergeCells count="3">
    <mergeCell ref="A2:B2"/>
    <mergeCell ref="A3:A46"/>
    <mergeCell ref="A48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CF21-2302-4F7C-93CC-CE24D3F38839}">
  <sheetPr>
    <tabColor rgb="FF00B050"/>
    <pageSetUpPr fitToPage="1"/>
  </sheetPr>
  <dimension ref="A1:I71"/>
  <sheetViews>
    <sheetView zoomScaleNormal="100" workbookViewId="0">
      <pane xSplit="2" ySplit="2" topLeftCell="C35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284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285</v>
      </c>
      <c r="D3" s="363" t="s">
        <v>286</v>
      </c>
      <c r="E3" s="365" t="s">
        <v>59</v>
      </c>
      <c r="F3" s="367">
        <v>1</v>
      </c>
      <c r="G3" s="367">
        <v>2000000</v>
      </c>
      <c r="H3" s="292">
        <f t="shared" ref="H3:H12" si="0">IF(F3=0,G3,G3*F3)</f>
        <v>2000000</v>
      </c>
      <c r="I3" s="385"/>
    </row>
    <row r="4" spans="1:9" ht="15.9" customHeight="1" x14ac:dyDescent="0.25">
      <c r="A4" s="432"/>
      <c r="B4" s="356"/>
      <c r="C4" s="433" t="s">
        <v>287</v>
      </c>
      <c r="D4" s="363" t="s">
        <v>286</v>
      </c>
      <c r="E4" s="434" t="s">
        <v>59</v>
      </c>
      <c r="F4" s="367">
        <v>1</v>
      </c>
      <c r="G4" s="435">
        <v>1500000</v>
      </c>
      <c r="H4" s="292">
        <f t="shared" si="0"/>
        <v>1500000</v>
      </c>
      <c r="I4" s="364"/>
    </row>
    <row r="5" spans="1:9" ht="15.9" customHeight="1" x14ac:dyDescent="0.25">
      <c r="A5" s="432"/>
      <c r="B5" s="356"/>
      <c r="C5" s="433" t="s">
        <v>288</v>
      </c>
      <c r="D5" s="433" t="s">
        <v>286</v>
      </c>
      <c r="E5" s="434" t="s">
        <v>59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289</v>
      </c>
      <c r="D6" s="433"/>
      <c r="E6" s="434" t="s">
        <v>59</v>
      </c>
      <c r="F6" s="435">
        <v>1</v>
      </c>
      <c r="G6" s="435">
        <v>600000</v>
      </c>
      <c r="H6" s="292">
        <f t="shared" si="0"/>
        <v>600000</v>
      </c>
      <c r="I6" s="364"/>
    </row>
    <row r="7" spans="1:9" ht="15.9" customHeight="1" x14ac:dyDescent="0.25">
      <c r="A7" s="432"/>
      <c r="B7" s="356"/>
      <c r="C7" s="363" t="s">
        <v>290</v>
      </c>
      <c r="D7" s="363"/>
      <c r="E7" s="365" t="s">
        <v>59</v>
      </c>
      <c r="F7" s="367">
        <v>1</v>
      </c>
      <c r="G7" s="367">
        <v>5000000</v>
      </c>
      <c r="H7" s="292">
        <f t="shared" si="0"/>
        <v>5000000</v>
      </c>
      <c r="I7" s="364"/>
    </row>
    <row r="8" spans="1:9" ht="15.9" customHeight="1" x14ac:dyDescent="0.25">
      <c r="A8" s="432"/>
      <c r="B8" s="356"/>
      <c r="C8" s="363" t="s">
        <v>251</v>
      </c>
      <c r="D8" s="363" t="s">
        <v>213</v>
      </c>
      <c r="E8" s="365" t="s">
        <v>59</v>
      </c>
      <c r="F8" s="367">
        <v>1</v>
      </c>
      <c r="G8" s="367">
        <v>3500000</v>
      </c>
      <c r="H8" s="292">
        <f t="shared" si="0"/>
        <v>3500000</v>
      </c>
      <c r="I8" s="364"/>
    </row>
    <row r="9" spans="1:9" ht="15.9" customHeight="1" x14ac:dyDescent="0.25">
      <c r="A9" s="432"/>
      <c r="B9" s="356"/>
      <c r="C9" s="363"/>
      <c r="D9" s="363" t="s">
        <v>291</v>
      </c>
      <c r="E9" s="365" t="s">
        <v>59</v>
      </c>
      <c r="F9" s="367">
        <v>1</v>
      </c>
      <c r="G9" s="367">
        <v>1500000</v>
      </c>
      <c r="H9" s="292">
        <f t="shared" si="0"/>
        <v>1500000</v>
      </c>
      <c r="I9" s="364"/>
    </row>
    <row r="10" spans="1:9" ht="15.9" customHeight="1" x14ac:dyDescent="0.25">
      <c r="A10" s="432"/>
      <c r="B10" s="356"/>
      <c r="C10" s="363" t="s">
        <v>292</v>
      </c>
      <c r="D10" s="363"/>
      <c r="E10" s="365" t="s">
        <v>59</v>
      </c>
      <c r="F10" s="367">
        <v>1</v>
      </c>
      <c r="G10" s="367">
        <v>2000000</v>
      </c>
      <c r="H10" s="292">
        <f t="shared" si="0"/>
        <v>2000000</v>
      </c>
      <c r="I10" s="364"/>
    </row>
    <row r="11" spans="1:9" ht="15.9" customHeight="1" x14ac:dyDescent="0.25">
      <c r="A11" s="432"/>
      <c r="B11" s="356"/>
      <c r="C11" s="363" t="s">
        <v>243</v>
      </c>
      <c r="D11" s="363"/>
      <c r="E11" s="365" t="s">
        <v>59</v>
      </c>
      <c r="F11" s="367">
        <v>1</v>
      </c>
      <c r="G11" s="367">
        <v>1300000</v>
      </c>
      <c r="H11" s="292">
        <f t="shared" si="0"/>
        <v>1300000</v>
      </c>
      <c r="I11" s="364"/>
    </row>
    <row r="12" spans="1:9" ht="15.9" customHeight="1" x14ac:dyDescent="0.25">
      <c r="A12" s="432"/>
      <c r="B12" s="356"/>
      <c r="C12" s="363"/>
      <c r="D12" s="433"/>
      <c r="E12" s="434"/>
      <c r="F12" s="367"/>
      <c r="G12" s="367"/>
      <c r="H12" s="292">
        <f t="shared" si="0"/>
        <v>0</v>
      </c>
      <c r="I12" s="364"/>
    </row>
    <row r="13" spans="1:9" ht="15.9" customHeight="1" x14ac:dyDescent="0.25">
      <c r="A13" s="432"/>
      <c r="B13" s="356"/>
      <c r="C13" s="368" t="s">
        <v>254</v>
      </c>
      <c r="D13" s="387"/>
      <c r="E13" s="437" t="s">
        <v>167</v>
      </c>
      <c r="F13" s="389">
        <v>1</v>
      </c>
      <c r="G13" s="389">
        <v>200000</v>
      </c>
      <c r="H13" s="302">
        <v>0</v>
      </c>
      <c r="I13" s="390"/>
    </row>
    <row r="14" spans="1:9" ht="15.9" customHeight="1" x14ac:dyDescent="0.25">
      <c r="A14" s="432"/>
      <c r="B14" s="373"/>
      <c r="C14" s="397"/>
      <c r="D14" s="397"/>
      <c r="E14" s="397"/>
      <c r="F14" s="395"/>
      <c r="G14" s="395"/>
      <c r="H14" s="396">
        <f>SUM(H3:H13)</f>
        <v>18900000</v>
      </c>
      <c r="I14" s="397"/>
    </row>
    <row r="15" spans="1:9" ht="15.9" customHeight="1" x14ac:dyDescent="0.25">
      <c r="A15" s="432"/>
      <c r="B15" s="356" t="s">
        <v>178</v>
      </c>
      <c r="C15" s="357"/>
      <c r="D15" s="357"/>
      <c r="E15" s="357"/>
      <c r="F15" s="360"/>
      <c r="G15" s="360"/>
      <c r="H15" s="311">
        <f t="shared" ref="H15:H55" si="1">IF(F15=0,G15,G15*F15)</f>
        <v>0</v>
      </c>
      <c r="I15" s="361"/>
    </row>
    <row r="16" spans="1:9" ht="15.9" customHeight="1" x14ac:dyDescent="0.25">
      <c r="A16" s="432"/>
      <c r="B16" s="356" t="s">
        <v>179</v>
      </c>
      <c r="C16" s="363"/>
      <c r="D16" s="363"/>
      <c r="E16" s="363"/>
      <c r="F16" s="367"/>
      <c r="G16" s="367"/>
      <c r="H16" s="292">
        <f t="shared" si="1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1"/>
        <v>0</v>
      </c>
      <c r="I17" s="364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>
        <f t="shared" si="1"/>
        <v>0</v>
      </c>
      <c r="I18" s="364"/>
    </row>
    <row r="19" spans="1:9" ht="15.9" customHeight="1" x14ac:dyDescent="0.25">
      <c r="A19" s="432"/>
      <c r="B19" s="356"/>
      <c r="C19" s="368" t="s">
        <v>225</v>
      </c>
      <c r="D19" s="368"/>
      <c r="E19" s="368"/>
      <c r="F19" s="371"/>
      <c r="G19" s="371"/>
      <c r="H19" s="292">
        <f t="shared" si="1"/>
        <v>0</v>
      </c>
      <c r="I19" s="372"/>
    </row>
    <row r="20" spans="1:9" ht="15.9" customHeight="1" x14ac:dyDescent="0.25">
      <c r="A20" s="432"/>
      <c r="B20" s="373"/>
      <c r="C20" s="374"/>
      <c r="D20" s="375"/>
      <c r="E20" s="375"/>
      <c r="F20" s="438"/>
      <c r="G20" s="377"/>
      <c r="H20" s="378">
        <f>SUM(H15:H19)</f>
        <v>0</v>
      </c>
      <c r="I20" s="68"/>
    </row>
    <row r="21" spans="1:9" ht="15.9" customHeight="1" x14ac:dyDescent="0.25">
      <c r="A21" s="432"/>
      <c r="B21" s="398" t="s">
        <v>180</v>
      </c>
      <c r="C21" s="445" t="s">
        <v>290</v>
      </c>
      <c r="D21" s="444"/>
      <c r="E21" s="400"/>
      <c r="F21" s="452"/>
      <c r="G21" s="401"/>
      <c r="H21" s="384">
        <f t="shared" ref="H21:H46" si="2">IF(F21=0,G21,G21*F21)</f>
        <v>0</v>
      </c>
      <c r="I21" s="385"/>
    </row>
    <row r="22" spans="1:9" ht="15.9" customHeight="1" x14ac:dyDescent="0.25">
      <c r="A22" s="432"/>
      <c r="B22" s="356" t="s">
        <v>182</v>
      </c>
      <c r="C22" s="445" t="s">
        <v>293</v>
      </c>
      <c r="D22" s="363" t="s">
        <v>294</v>
      </c>
      <c r="E22" s="365" t="s">
        <v>261</v>
      </c>
      <c r="F22" s="367">
        <v>1</v>
      </c>
      <c r="G22" s="367">
        <v>3200000</v>
      </c>
      <c r="H22" s="292">
        <f t="shared" si="2"/>
        <v>3200000</v>
      </c>
      <c r="I22" s="364"/>
    </row>
    <row r="23" spans="1:9" ht="15.9" customHeight="1" x14ac:dyDescent="0.25">
      <c r="A23" s="432"/>
      <c r="B23" s="356"/>
      <c r="C23" s="363" t="s">
        <v>295</v>
      </c>
      <c r="D23" s="363" t="s">
        <v>296</v>
      </c>
      <c r="E23" s="365" t="s">
        <v>59</v>
      </c>
      <c r="F23" s="367">
        <v>1</v>
      </c>
      <c r="G23" s="367">
        <v>1000000</v>
      </c>
      <c r="H23" s="292">
        <f t="shared" si="2"/>
        <v>1000000</v>
      </c>
      <c r="I23" s="364"/>
    </row>
    <row r="24" spans="1:9" ht="15.9" customHeight="1" x14ac:dyDescent="0.25">
      <c r="A24" s="432"/>
      <c r="B24" s="356"/>
      <c r="C24" s="363" t="s">
        <v>297</v>
      </c>
      <c r="D24" s="363"/>
      <c r="E24" s="365" t="s">
        <v>261</v>
      </c>
      <c r="F24" s="367">
        <v>1</v>
      </c>
      <c r="G24" s="367">
        <v>100000</v>
      </c>
      <c r="H24" s="292">
        <f t="shared" si="2"/>
        <v>100000</v>
      </c>
      <c r="I24" s="364"/>
    </row>
    <row r="25" spans="1:9" ht="15.9" customHeight="1" x14ac:dyDescent="0.25">
      <c r="A25" s="432"/>
      <c r="B25" s="356"/>
      <c r="C25" s="363" t="s">
        <v>257</v>
      </c>
      <c r="D25" s="363"/>
      <c r="E25" s="365" t="s">
        <v>261</v>
      </c>
      <c r="F25" s="367">
        <v>5</v>
      </c>
      <c r="G25" s="367">
        <v>40000</v>
      </c>
      <c r="H25" s="292">
        <f t="shared" si="2"/>
        <v>200000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2"/>
        <v>0</v>
      </c>
      <c r="I26" s="364"/>
    </row>
    <row r="27" spans="1:9" ht="15.9" customHeight="1" x14ac:dyDescent="0.25">
      <c r="A27" s="432"/>
      <c r="B27" s="356"/>
      <c r="C27" s="363" t="s">
        <v>251</v>
      </c>
      <c r="D27" s="363"/>
      <c r="E27" s="365"/>
      <c r="F27" s="367"/>
      <c r="G27" s="367"/>
      <c r="H27" s="292">
        <f t="shared" si="2"/>
        <v>0</v>
      </c>
      <c r="I27" s="364"/>
    </row>
    <row r="28" spans="1:9" ht="15.9" customHeight="1" x14ac:dyDescent="0.25">
      <c r="A28" s="432"/>
      <c r="B28" s="356"/>
      <c r="C28" s="363" t="s">
        <v>255</v>
      </c>
      <c r="D28" s="363" t="s">
        <v>298</v>
      </c>
      <c r="E28" s="365" t="s">
        <v>59</v>
      </c>
      <c r="F28" s="367">
        <v>1</v>
      </c>
      <c r="G28" s="367">
        <v>2500000</v>
      </c>
      <c r="H28" s="292">
        <f t="shared" si="2"/>
        <v>2500000</v>
      </c>
      <c r="I28" s="364"/>
    </row>
    <row r="29" spans="1:9" ht="15.9" customHeight="1" x14ac:dyDescent="0.25">
      <c r="A29" s="432"/>
      <c r="B29" s="356"/>
      <c r="C29" s="363" t="s">
        <v>258</v>
      </c>
      <c r="D29" s="363" t="s">
        <v>298</v>
      </c>
      <c r="E29" s="365" t="s">
        <v>59</v>
      </c>
      <c r="F29" s="367">
        <v>1</v>
      </c>
      <c r="G29" s="367">
        <v>1000000</v>
      </c>
      <c r="H29" s="292">
        <f t="shared" si="2"/>
        <v>1000000</v>
      </c>
      <c r="I29" s="364"/>
    </row>
    <row r="30" spans="1:9" ht="15.9" customHeight="1" x14ac:dyDescent="0.25">
      <c r="A30" s="432"/>
      <c r="B30" s="356"/>
      <c r="C30" s="363" t="s">
        <v>299</v>
      </c>
      <c r="D30" s="363"/>
      <c r="E30" s="365" t="s">
        <v>261</v>
      </c>
      <c r="F30" s="367">
        <v>1</v>
      </c>
      <c r="G30" s="367">
        <v>800000</v>
      </c>
      <c r="H30" s="292">
        <f t="shared" si="2"/>
        <v>800000</v>
      </c>
      <c r="I30" s="364"/>
    </row>
    <row r="31" spans="1:9" ht="15.9" customHeight="1" x14ac:dyDescent="0.25">
      <c r="A31" s="432"/>
      <c r="B31" s="356"/>
      <c r="C31" s="363" t="s">
        <v>257</v>
      </c>
      <c r="D31" s="363"/>
      <c r="E31" s="365" t="s">
        <v>261</v>
      </c>
      <c r="F31" s="367">
        <v>6</v>
      </c>
      <c r="G31" s="367">
        <v>40000</v>
      </c>
      <c r="H31" s="292">
        <f t="shared" si="2"/>
        <v>240000</v>
      </c>
      <c r="I31" s="364"/>
    </row>
    <row r="32" spans="1:9" ht="15.9" customHeight="1" x14ac:dyDescent="0.25">
      <c r="A32" s="432"/>
      <c r="B32" s="356"/>
      <c r="C32" s="363" t="s">
        <v>265</v>
      </c>
      <c r="D32" s="363"/>
      <c r="E32" s="365" t="s">
        <v>59</v>
      </c>
      <c r="F32" s="367">
        <v>1</v>
      </c>
      <c r="G32" s="367">
        <v>500000</v>
      </c>
      <c r="H32" s="292">
        <f t="shared" si="2"/>
        <v>500000</v>
      </c>
      <c r="I32" s="364"/>
    </row>
    <row r="33" spans="1:9" ht="15.9" customHeight="1" x14ac:dyDescent="0.25">
      <c r="A33" s="432"/>
      <c r="B33" s="356"/>
      <c r="C33" s="363" t="s">
        <v>292</v>
      </c>
      <c r="D33" s="363"/>
      <c r="E33" s="365"/>
      <c r="F33" s="367"/>
      <c r="G33" s="367"/>
      <c r="H33" s="292">
        <f t="shared" si="2"/>
        <v>0</v>
      </c>
      <c r="I33" s="364"/>
    </row>
    <row r="34" spans="1:9" ht="15.9" customHeight="1" x14ac:dyDescent="0.25">
      <c r="A34" s="432"/>
      <c r="B34" s="356"/>
      <c r="C34" s="363" t="s">
        <v>300</v>
      </c>
      <c r="D34" s="363" t="s">
        <v>301</v>
      </c>
      <c r="E34" s="365" t="s">
        <v>261</v>
      </c>
      <c r="F34" s="367">
        <v>1</v>
      </c>
      <c r="G34" s="367">
        <v>18000000</v>
      </c>
      <c r="H34" s="292">
        <f t="shared" si="2"/>
        <v>18000000</v>
      </c>
      <c r="I34" s="364"/>
    </row>
    <row r="35" spans="1:9" ht="15.9" customHeight="1" x14ac:dyDescent="0.25">
      <c r="A35" s="432"/>
      <c r="B35" s="356"/>
      <c r="C35" s="363" t="s">
        <v>302</v>
      </c>
      <c r="D35" s="363"/>
      <c r="E35" s="365" t="s">
        <v>261</v>
      </c>
      <c r="F35" s="367">
        <v>3</v>
      </c>
      <c r="G35" s="367">
        <v>600000</v>
      </c>
      <c r="H35" s="292">
        <f t="shared" si="2"/>
        <v>1800000</v>
      </c>
      <c r="I35" s="364"/>
    </row>
    <row r="36" spans="1:9" ht="15.9" customHeight="1" x14ac:dyDescent="0.25">
      <c r="A36" s="432"/>
      <c r="B36" s="356"/>
      <c r="C36" s="363" t="s">
        <v>265</v>
      </c>
      <c r="D36" s="363"/>
      <c r="E36" s="365" t="s">
        <v>59</v>
      </c>
      <c r="F36" s="367">
        <v>1</v>
      </c>
      <c r="G36" s="367">
        <v>500000</v>
      </c>
      <c r="H36" s="292">
        <f t="shared" si="2"/>
        <v>500000</v>
      </c>
      <c r="I36" s="364"/>
    </row>
    <row r="37" spans="1:9" ht="15.9" customHeight="1" x14ac:dyDescent="0.25">
      <c r="A37" s="432"/>
      <c r="B37" s="356"/>
      <c r="C37" s="363" t="s">
        <v>243</v>
      </c>
      <c r="D37" s="363"/>
      <c r="E37" s="365" t="s">
        <v>59</v>
      </c>
      <c r="F37" s="367">
        <v>1</v>
      </c>
      <c r="G37" s="367">
        <v>600000</v>
      </c>
      <c r="H37" s="292">
        <f t="shared" si="2"/>
        <v>600000</v>
      </c>
      <c r="I37" s="364"/>
    </row>
    <row r="38" spans="1:9" ht="15.9" customHeight="1" x14ac:dyDescent="0.25">
      <c r="A38" s="432"/>
      <c r="B38" s="356"/>
      <c r="C38" s="363"/>
      <c r="D38" s="363"/>
      <c r="E38" s="365"/>
      <c r="F38" s="436"/>
      <c r="G38" s="367"/>
      <c r="H38" s="292">
        <f t="shared" si="2"/>
        <v>0</v>
      </c>
      <c r="I38" s="364"/>
    </row>
    <row r="39" spans="1:9" ht="15.9" customHeight="1" x14ac:dyDescent="0.25">
      <c r="A39" s="432"/>
      <c r="B39" s="356"/>
      <c r="C39" s="433" t="s">
        <v>303</v>
      </c>
      <c r="D39" s="433"/>
      <c r="E39" s="434"/>
      <c r="F39" s="435"/>
      <c r="G39" s="435"/>
      <c r="H39" s="292">
        <f t="shared" si="2"/>
        <v>0</v>
      </c>
      <c r="I39" s="364"/>
    </row>
    <row r="40" spans="1:9" ht="15.9" customHeight="1" x14ac:dyDescent="0.25">
      <c r="A40" s="432"/>
      <c r="B40" s="356"/>
      <c r="C40" s="363" t="s">
        <v>304</v>
      </c>
      <c r="D40" s="363" t="s">
        <v>305</v>
      </c>
      <c r="E40" s="365" t="s">
        <v>167</v>
      </c>
      <c r="F40" s="436">
        <v>1</v>
      </c>
      <c r="G40" s="367">
        <v>350000</v>
      </c>
      <c r="H40" s="292">
        <f t="shared" si="2"/>
        <v>350000</v>
      </c>
      <c r="I40" s="364"/>
    </row>
    <row r="41" spans="1:9" ht="15.9" customHeight="1" x14ac:dyDescent="0.25">
      <c r="A41" s="432"/>
      <c r="B41" s="356"/>
      <c r="C41" s="363" t="s">
        <v>306</v>
      </c>
      <c r="D41" s="363" t="s">
        <v>307</v>
      </c>
      <c r="E41" s="365" t="s">
        <v>167</v>
      </c>
      <c r="F41" s="436">
        <v>10</v>
      </c>
      <c r="G41" s="367">
        <v>75000</v>
      </c>
      <c r="H41" s="292">
        <f t="shared" si="2"/>
        <v>750000</v>
      </c>
      <c r="I41" s="364"/>
    </row>
    <row r="42" spans="1:9" ht="15.9" customHeight="1" x14ac:dyDescent="0.25">
      <c r="A42" s="432"/>
      <c r="B42" s="356"/>
      <c r="C42" s="363" t="s">
        <v>308</v>
      </c>
      <c r="D42" s="363" t="s">
        <v>309</v>
      </c>
      <c r="E42" s="365" t="s">
        <v>167</v>
      </c>
      <c r="F42" s="436">
        <v>1</v>
      </c>
      <c r="G42" s="367">
        <v>850000</v>
      </c>
      <c r="H42" s="292">
        <f t="shared" si="2"/>
        <v>850000</v>
      </c>
      <c r="I42" s="364"/>
    </row>
    <row r="43" spans="1:9" ht="15.9" customHeight="1" x14ac:dyDescent="0.25">
      <c r="A43" s="432"/>
      <c r="B43" s="356"/>
      <c r="C43" s="363" t="s">
        <v>310</v>
      </c>
      <c r="D43" s="363"/>
      <c r="E43" s="365" t="s">
        <v>167</v>
      </c>
      <c r="F43" s="436">
        <v>10</v>
      </c>
      <c r="G43" s="367">
        <v>7000</v>
      </c>
      <c r="H43" s="292">
        <f t="shared" si="2"/>
        <v>70000</v>
      </c>
      <c r="I43" s="364"/>
    </row>
    <row r="44" spans="1:9" ht="15.9" customHeight="1" x14ac:dyDescent="0.25">
      <c r="A44" s="432"/>
      <c r="B44" s="356"/>
      <c r="C44" s="363" t="s">
        <v>311</v>
      </c>
      <c r="D44" s="363"/>
      <c r="E44" s="365" t="s">
        <v>167</v>
      </c>
      <c r="F44" s="436">
        <v>1</v>
      </c>
      <c r="G44" s="367">
        <v>100000</v>
      </c>
      <c r="H44" s="292">
        <f t="shared" si="2"/>
        <v>100000</v>
      </c>
      <c r="I44" s="364"/>
    </row>
    <row r="45" spans="1:9" ht="15.9" customHeight="1" x14ac:dyDescent="0.25">
      <c r="A45" s="432"/>
      <c r="B45" s="356"/>
      <c r="C45" s="433" t="s">
        <v>312</v>
      </c>
      <c r="D45" s="433"/>
      <c r="E45" s="434" t="s">
        <v>59</v>
      </c>
      <c r="F45" s="435">
        <v>1</v>
      </c>
      <c r="G45" s="435">
        <v>100000</v>
      </c>
      <c r="H45" s="292">
        <f t="shared" si="2"/>
        <v>100000</v>
      </c>
      <c r="I45" s="364"/>
    </row>
    <row r="46" spans="1:9" ht="15.9" customHeight="1" x14ac:dyDescent="0.25">
      <c r="A46" s="432"/>
      <c r="B46" s="356"/>
      <c r="C46" s="363"/>
      <c r="D46" s="363"/>
      <c r="E46" s="365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313</v>
      </c>
      <c r="D47" s="368"/>
      <c r="E47" s="369" t="s">
        <v>167</v>
      </c>
      <c r="F47" s="371">
        <v>1</v>
      </c>
      <c r="G47" s="371">
        <v>200000</v>
      </c>
      <c r="H47" s="292"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SUM(H21:H47)</f>
        <v>32660000</v>
      </c>
      <c r="I48" s="68"/>
    </row>
    <row r="49" spans="1:9" ht="15.9" customHeight="1" x14ac:dyDescent="0.25">
      <c r="A49" s="432"/>
      <c r="B49" s="398" t="s">
        <v>61</v>
      </c>
      <c r="C49" s="380"/>
      <c r="D49" s="380"/>
      <c r="E49" s="380"/>
      <c r="F49" s="383"/>
      <c r="G49" s="383"/>
      <c r="H49" s="384">
        <f t="shared" si="1"/>
        <v>0</v>
      </c>
      <c r="I49" s="385"/>
    </row>
    <row r="50" spans="1:9" ht="15.9" customHeight="1" x14ac:dyDescent="0.25">
      <c r="A50" s="432"/>
      <c r="B50" s="356"/>
      <c r="C50" s="363"/>
      <c r="D50" s="363"/>
      <c r="E50" s="363"/>
      <c r="F50" s="367"/>
      <c r="G50" s="367"/>
      <c r="H50" s="292">
        <f t="shared" si="1"/>
        <v>0</v>
      </c>
      <c r="I50" s="364"/>
    </row>
    <row r="51" spans="1:9" ht="15.9" customHeight="1" x14ac:dyDescent="0.25">
      <c r="A51" s="432"/>
      <c r="B51" s="356"/>
      <c r="C51" s="363"/>
      <c r="D51" s="363"/>
      <c r="E51" s="363"/>
      <c r="F51" s="367"/>
      <c r="G51" s="367"/>
      <c r="H51" s="292">
        <f t="shared" si="1"/>
        <v>0</v>
      </c>
      <c r="I51" s="364"/>
    </row>
    <row r="52" spans="1:9" ht="15.9" customHeight="1" x14ac:dyDescent="0.25">
      <c r="A52" s="432"/>
      <c r="B52" s="356"/>
      <c r="C52" s="363"/>
      <c r="D52" s="363"/>
      <c r="E52" s="363"/>
      <c r="F52" s="367"/>
      <c r="G52" s="367"/>
      <c r="H52" s="292">
        <f t="shared" si="1"/>
        <v>0</v>
      </c>
      <c r="I52" s="364"/>
    </row>
    <row r="53" spans="1:9" ht="15.9" customHeight="1" x14ac:dyDescent="0.25">
      <c r="A53" s="432"/>
      <c r="B53" s="356"/>
      <c r="C53" s="363"/>
      <c r="D53" s="363"/>
      <c r="E53" s="363"/>
      <c r="F53" s="367"/>
      <c r="G53" s="367"/>
      <c r="H53" s="292">
        <f t="shared" si="1"/>
        <v>0</v>
      </c>
      <c r="I53" s="364"/>
    </row>
    <row r="54" spans="1:9" ht="15.9" customHeight="1" x14ac:dyDescent="0.25">
      <c r="A54" s="432"/>
      <c r="B54" s="356"/>
      <c r="C54" s="363"/>
      <c r="D54" s="363"/>
      <c r="E54" s="363"/>
      <c r="F54" s="367"/>
      <c r="G54" s="367"/>
      <c r="H54" s="292">
        <f t="shared" si="1"/>
        <v>0</v>
      </c>
      <c r="I54" s="364"/>
    </row>
    <row r="55" spans="1:9" ht="15.9" customHeight="1" x14ac:dyDescent="0.25">
      <c r="A55" s="432"/>
      <c r="B55" s="356"/>
      <c r="C55" s="368" t="s">
        <v>225</v>
      </c>
      <c r="D55" s="368"/>
      <c r="E55" s="368"/>
      <c r="F55" s="371"/>
      <c r="G55" s="371"/>
      <c r="H55" s="402">
        <f t="shared" si="1"/>
        <v>0</v>
      </c>
      <c r="I55" s="372"/>
    </row>
    <row r="56" spans="1:9" ht="15.9" customHeight="1" x14ac:dyDescent="0.25">
      <c r="A56" s="432"/>
      <c r="B56" s="373"/>
      <c r="C56" s="374"/>
      <c r="D56" s="375"/>
      <c r="E56" s="375"/>
      <c r="F56" s="377"/>
      <c r="G56" s="377"/>
      <c r="H56" s="378">
        <f>SUM(H49:H55)</f>
        <v>0</v>
      </c>
      <c r="I56" s="68"/>
    </row>
    <row r="57" spans="1:9" ht="15.9" customHeight="1" x14ac:dyDescent="0.25">
      <c r="A57" s="403"/>
      <c r="B57" s="404" t="s">
        <v>149</v>
      </c>
      <c r="C57" s="405"/>
      <c r="D57" s="68"/>
      <c r="E57" s="68"/>
      <c r="F57" s="407"/>
      <c r="G57" s="407"/>
      <c r="H57" s="378">
        <f>SUM(H56,H48,H20,H14)</f>
        <v>51560000</v>
      </c>
      <c r="I57" s="68"/>
    </row>
    <row r="58" spans="1:9" ht="15.9" customHeight="1" x14ac:dyDescent="0.25">
      <c r="A58" s="446" t="s">
        <v>150</v>
      </c>
      <c r="B58" s="409" t="s">
        <v>67</v>
      </c>
      <c r="C58" s="405"/>
      <c r="D58" s="68"/>
      <c r="E58" s="409" t="s">
        <v>68</v>
      </c>
      <c r="F58" s="448">
        <v>0</v>
      </c>
      <c r="G58" s="427">
        <v>250000</v>
      </c>
      <c r="H58" s="413">
        <f>F58*G58</f>
        <v>0</v>
      </c>
      <c r="I58" s="68"/>
    </row>
    <row r="59" spans="1:9" ht="15.9" customHeight="1" x14ac:dyDescent="0.25">
      <c r="A59" s="432"/>
      <c r="B59" s="415" t="s">
        <v>228</v>
      </c>
      <c r="C59" s="416"/>
      <c r="D59" s="385"/>
      <c r="E59" s="415" t="s">
        <v>152</v>
      </c>
      <c r="F59" s="449">
        <v>25</v>
      </c>
      <c r="G59" s="443">
        <v>300000</v>
      </c>
      <c r="H59" s="384">
        <f t="shared" ref="H59:H65" si="3">F59*G59</f>
        <v>7500000</v>
      </c>
      <c r="I59" s="385"/>
    </row>
    <row r="60" spans="1:9" ht="15.9" customHeight="1" x14ac:dyDescent="0.25">
      <c r="A60" s="432"/>
      <c r="B60" s="447" t="s">
        <v>229</v>
      </c>
      <c r="C60" s="419"/>
      <c r="D60" s="364"/>
      <c r="E60" s="418" t="s">
        <v>152</v>
      </c>
      <c r="F60" s="450">
        <v>5</v>
      </c>
      <c r="G60" s="435">
        <v>250000</v>
      </c>
      <c r="H60" s="292">
        <f t="shared" si="3"/>
        <v>1250000</v>
      </c>
      <c r="I60" s="364"/>
    </row>
    <row r="61" spans="1:9" ht="15.9" customHeight="1" x14ac:dyDescent="0.25">
      <c r="A61" s="432"/>
      <c r="B61" s="418" t="s">
        <v>230</v>
      </c>
      <c r="C61" s="419"/>
      <c r="D61" s="364"/>
      <c r="E61" s="418" t="s">
        <v>152</v>
      </c>
      <c r="F61" s="450">
        <v>30</v>
      </c>
      <c r="G61" s="435">
        <v>250000</v>
      </c>
      <c r="H61" s="292">
        <f t="shared" si="3"/>
        <v>7500000</v>
      </c>
      <c r="I61" s="364"/>
    </row>
    <row r="62" spans="1:9" ht="15.9" customHeight="1" x14ac:dyDescent="0.25">
      <c r="A62" s="432"/>
      <c r="B62" s="418" t="s">
        <v>231</v>
      </c>
      <c r="C62" s="419"/>
      <c r="D62" s="364"/>
      <c r="E62" s="418" t="s">
        <v>152</v>
      </c>
      <c r="F62" s="450">
        <v>2</v>
      </c>
      <c r="G62" s="367">
        <v>300000</v>
      </c>
      <c r="H62" s="292">
        <f t="shared" si="3"/>
        <v>600000</v>
      </c>
      <c r="I62" s="364"/>
    </row>
    <row r="63" spans="1:9" ht="15.9" customHeight="1" x14ac:dyDescent="0.25">
      <c r="A63" s="432"/>
      <c r="B63" s="418" t="s">
        <v>232</v>
      </c>
      <c r="C63" s="419"/>
      <c r="D63" s="364"/>
      <c r="E63" s="418" t="s">
        <v>152</v>
      </c>
      <c r="F63" s="450">
        <v>4</v>
      </c>
      <c r="G63" s="367">
        <v>300000</v>
      </c>
      <c r="H63" s="292">
        <f t="shared" si="3"/>
        <v>1200000</v>
      </c>
      <c r="I63" s="364"/>
    </row>
    <row r="64" spans="1:9" ht="15.9" customHeight="1" x14ac:dyDescent="0.25">
      <c r="A64" s="432"/>
      <c r="B64" s="418" t="s">
        <v>233</v>
      </c>
      <c r="C64" s="419"/>
      <c r="D64" s="364"/>
      <c r="E64" s="418" t="s">
        <v>152</v>
      </c>
      <c r="F64" s="450">
        <v>1</v>
      </c>
      <c r="G64" s="367">
        <v>300000</v>
      </c>
      <c r="H64" s="292">
        <f t="shared" si="3"/>
        <v>300000</v>
      </c>
      <c r="I64" s="364"/>
    </row>
    <row r="65" spans="1:9" ht="15.9" customHeight="1" x14ac:dyDescent="0.25">
      <c r="A65" s="432"/>
      <c r="B65" s="421" t="s">
        <v>234</v>
      </c>
      <c r="C65" s="422"/>
      <c r="D65" s="372"/>
      <c r="E65" s="421" t="s">
        <v>152</v>
      </c>
      <c r="F65" s="451">
        <v>5</v>
      </c>
      <c r="G65" s="455">
        <v>250000</v>
      </c>
      <c r="H65" s="402">
        <f t="shared" si="3"/>
        <v>1250000</v>
      </c>
      <c r="I65" s="372"/>
    </row>
    <row r="66" spans="1:9" ht="15.9" customHeight="1" x14ac:dyDescent="0.25">
      <c r="A66" s="403"/>
      <c r="B66" s="424" t="s">
        <v>158</v>
      </c>
      <c r="C66" s="405"/>
      <c r="D66" s="68"/>
      <c r="E66" s="68"/>
      <c r="F66" s="377"/>
      <c r="G66" s="377"/>
      <c r="H66" s="377">
        <f>SUM(H58:H65)</f>
        <v>19600000</v>
      </c>
      <c r="I66" s="375"/>
    </row>
    <row r="67" spans="1:9" ht="15.9" customHeight="1" x14ac:dyDescent="0.25">
      <c r="A67" s="410"/>
      <c r="B67" s="424" t="s">
        <v>235</v>
      </c>
      <c r="C67" s="405"/>
      <c r="D67" s="68"/>
      <c r="E67" s="68"/>
      <c r="F67" s="378"/>
      <c r="G67" s="378"/>
      <c r="H67" s="407">
        <f>'단위공사별(집계)'!L13+'단위공사별(집계)'!I13</f>
        <v>298470.72397822374</v>
      </c>
      <c r="I67" s="68"/>
    </row>
    <row r="68" spans="1:9" ht="15.9" customHeight="1" x14ac:dyDescent="0.25">
      <c r="A68" s="410"/>
      <c r="B68" s="424" t="s">
        <v>93</v>
      </c>
      <c r="C68" s="405"/>
      <c r="D68" s="68"/>
      <c r="E68" s="68"/>
      <c r="F68" s="378"/>
      <c r="G68" s="426"/>
      <c r="H68" s="427">
        <v>0</v>
      </c>
      <c r="I68" s="405"/>
    </row>
    <row r="69" spans="1:9" ht="15.9" customHeight="1" x14ac:dyDescent="0.25">
      <c r="A69" s="410"/>
      <c r="B69" s="424" t="s">
        <v>161</v>
      </c>
      <c r="C69" s="405"/>
      <c r="D69" s="68"/>
      <c r="E69" s="68"/>
      <c r="F69" s="378"/>
      <c r="G69" s="426"/>
      <c r="H69" s="427">
        <v>0</v>
      </c>
      <c r="I69" s="405"/>
    </row>
    <row r="70" spans="1:9" ht="15.9" customHeight="1" x14ac:dyDescent="0.25">
      <c r="A70" s="410"/>
      <c r="B70" s="424" t="s">
        <v>162</v>
      </c>
      <c r="C70" s="405"/>
      <c r="D70" s="68"/>
      <c r="E70" s="68"/>
      <c r="F70" s="378"/>
      <c r="G70" s="378"/>
      <c r="H70" s="377">
        <f>H57+H66+H67+H68+H69</f>
        <v>71458470.723978221</v>
      </c>
      <c r="I70" s="68"/>
    </row>
    <row r="71" spans="1:9" x14ac:dyDescent="0.25">
      <c r="A71" s="254"/>
    </row>
  </sheetData>
  <mergeCells count="3">
    <mergeCell ref="A2:B2"/>
    <mergeCell ref="A3:A56"/>
    <mergeCell ref="A58:A6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F0AC-E76C-47B6-AEAE-3FAE91CF30DA}">
  <sheetPr>
    <tabColor rgb="FF00B050"/>
    <pageSetUpPr fitToPage="1"/>
  </sheetPr>
  <dimension ref="A1:I80"/>
  <sheetViews>
    <sheetView zoomScaleNormal="100" workbookViewId="0">
      <pane xSplit="2" ySplit="2" topLeftCell="C59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314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285</v>
      </c>
      <c r="D3" s="363" t="s">
        <v>286</v>
      </c>
      <c r="E3" s="365" t="s">
        <v>59</v>
      </c>
      <c r="F3" s="367">
        <v>1</v>
      </c>
      <c r="G3" s="367">
        <v>2000000</v>
      </c>
      <c r="H3" s="292">
        <f>IF(F3=0,G3,G3*F3)</f>
        <v>2000000</v>
      </c>
      <c r="I3" s="385"/>
    </row>
    <row r="4" spans="1:9" ht="15.9" customHeight="1" x14ac:dyDescent="0.25">
      <c r="A4" s="432"/>
      <c r="B4" s="356"/>
      <c r="C4" s="433" t="s">
        <v>287</v>
      </c>
      <c r="D4" s="363" t="s">
        <v>286</v>
      </c>
      <c r="E4" s="434" t="s">
        <v>59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288</v>
      </c>
      <c r="D5" s="433" t="s">
        <v>286</v>
      </c>
      <c r="E5" s="434" t="s">
        <v>59</v>
      </c>
      <c r="F5" s="435">
        <v>1</v>
      </c>
      <c r="G5" s="435">
        <v>1500000</v>
      </c>
      <c r="H5" s="292">
        <f>IF(F5=0,G5,G5*F5)</f>
        <v>1500000</v>
      </c>
      <c r="I5" s="364"/>
    </row>
    <row r="6" spans="1:9" ht="15.9" customHeight="1" x14ac:dyDescent="0.25">
      <c r="A6" s="432"/>
      <c r="B6" s="356"/>
      <c r="C6" s="433" t="s">
        <v>289</v>
      </c>
      <c r="D6" s="433"/>
      <c r="E6" s="434" t="s">
        <v>59</v>
      </c>
      <c r="F6" s="435">
        <v>1</v>
      </c>
      <c r="G6" s="435">
        <v>600000</v>
      </c>
      <c r="H6" s="292">
        <f t="shared" ref="H6:H64" si="0">IF(F6=0,G6,G6*F6)</f>
        <v>600000</v>
      </c>
      <c r="I6" s="364"/>
    </row>
    <row r="7" spans="1:9" ht="15.9" customHeight="1" x14ac:dyDescent="0.25">
      <c r="A7" s="432"/>
      <c r="B7" s="356"/>
      <c r="C7" s="363" t="s">
        <v>290</v>
      </c>
      <c r="D7" s="363"/>
      <c r="E7" s="365" t="s">
        <v>59</v>
      </c>
      <c r="F7" s="367">
        <v>1</v>
      </c>
      <c r="G7" s="367">
        <v>5000000</v>
      </c>
      <c r="H7" s="292">
        <f t="shared" si="0"/>
        <v>5000000</v>
      </c>
      <c r="I7" s="364"/>
    </row>
    <row r="8" spans="1:9" ht="15.9" customHeight="1" x14ac:dyDescent="0.25">
      <c r="A8" s="432"/>
      <c r="B8" s="356"/>
      <c r="C8" s="363" t="s">
        <v>251</v>
      </c>
      <c r="D8" s="363" t="s">
        <v>213</v>
      </c>
      <c r="E8" s="365" t="s">
        <v>59</v>
      </c>
      <c r="F8" s="367">
        <v>1</v>
      </c>
      <c r="G8" s="367">
        <v>3500000</v>
      </c>
      <c r="H8" s="292">
        <f t="shared" si="0"/>
        <v>3500000</v>
      </c>
      <c r="I8" s="364"/>
    </row>
    <row r="9" spans="1:9" ht="15.9" customHeight="1" x14ac:dyDescent="0.25">
      <c r="A9" s="432"/>
      <c r="B9" s="356"/>
      <c r="C9" s="363"/>
      <c r="D9" s="363" t="s">
        <v>291</v>
      </c>
      <c r="E9" s="365" t="s">
        <v>59</v>
      </c>
      <c r="F9" s="367">
        <v>1</v>
      </c>
      <c r="G9" s="367">
        <v>1500000</v>
      </c>
      <c r="H9" s="292">
        <f t="shared" si="0"/>
        <v>1500000</v>
      </c>
      <c r="I9" s="364"/>
    </row>
    <row r="10" spans="1:9" ht="15.9" customHeight="1" x14ac:dyDescent="0.25">
      <c r="A10" s="432"/>
      <c r="B10" s="356"/>
      <c r="C10" s="363" t="s">
        <v>292</v>
      </c>
      <c r="D10" s="363"/>
      <c r="E10" s="365" t="s">
        <v>59</v>
      </c>
      <c r="F10" s="367">
        <v>1</v>
      </c>
      <c r="G10" s="367">
        <v>2000000</v>
      </c>
      <c r="H10" s="292">
        <f t="shared" si="0"/>
        <v>2000000</v>
      </c>
      <c r="I10" s="364"/>
    </row>
    <row r="11" spans="1:9" ht="15.9" customHeight="1" x14ac:dyDescent="0.25">
      <c r="A11" s="432"/>
      <c r="B11" s="356"/>
      <c r="C11" s="363" t="s">
        <v>243</v>
      </c>
      <c r="D11" s="363"/>
      <c r="E11" s="365" t="s">
        <v>59</v>
      </c>
      <c r="F11" s="367">
        <v>1</v>
      </c>
      <c r="G11" s="367">
        <v>1300000</v>
      </c>
      <c r="H11" s="292">
        <f t="shared" si="0"/>
        <v>1300000</v>
      </c>
      <c r="I11" s="364"/>
    </row>
    <row r="12" spans="1:9" ht="15.9" customHeight="1" x14ac:dyDescent="0.25">
      <c r="A12" s="432"/>
      <c r="B12" s="356"/>
      <c r="C12" s="363" t="s">
        <v>315</v>
      </c>
      <c r="D12" s="363"/>
      <c r="E12" s="365" t="s">
        <v>167</v>
      </c>
      <c r="F12" s="367">
        <v>1</v>
      </c>
      <c r="G12" s="367">
        <v>2500000</v>
      </c>
      <c r="H12" s="292">
        <f t="shared" si="0"/>
        <v>2500000</v>
      </c>
      <c r="I12" s="364"/>
    </row>
    <row r="13" spans="1:9" ht="15.9" customHeight="1" x14ac:dyDescent="0.25">
      <c r="A13" s="432"/>
      <c r="B13" s="356"/>
      <c r="C13" s="363"/>
      <c r="D13" s="363"/>
      <c r="E13" s="365"/>
      <c r="F13" s="367"/>
      <c r="G13" s="367"/>
      <c r="H13" s="292">
        <f t="shared" si="0"/>
        <v>0</v>
      </c>
      <c r="I13" s="364"/>
    </row>
    <row r="14" spans="1:9" ht="15.9" customHeight="1" x14ac:dyDescent="0.25">
      <c r="A14" s="432"/>
      <c r="B14" s="356"/>
      <c r="C14" s="363"/>
      <c r="D14" s="363"/>
      <c r="E14" s="363"/>
      <c r="F14" s="367"/>
      <c r="G14" s="367"/>
      <c r="H14" s="292">
        <f t="shared" si="0"/>
        <v>0</v>
      </c>
      <c r="I14" s="364"/>
    </row>
    <row r="15" spans="1:9" ht="15.9" customHeight="1" x14ac:dyDescent="0.25">
      <c r="A15" s="432"/>
      <c r="B15" s="356"/>
      <c r="C15" s="368" t="s">
        <v>254</v>
      </c>
      <c r="D15" s="387"/>
      <c r="E15" s="437" t="s">
        <v>167</v>
      </c>
      <c r="F15" s="389">
        <v>1</v>
      </c>
      <c r="G15" s="389">
        <v>500000</v>
      </c>
      <c r="H15" s="302">
        <v>0</v>
      </c>
      <c r="I15" s="390"/>
    </row>
    <row r="16" spans="1:9" ht="15.9" customHeight="1" x14ac:dyDescent="0.25">
      <c r="A16" s="432"/>
      <c r="B16" s="373"/>
      <c r="C16" s="397"/>
      <c r="D16" s="397"/>
      <c r="E16" s="397"/>
      <c r="F16" s="395"/>
      <c r="G16" s="395"/>
      <c r="H16" s="396">
        <f>SUM(H3:H15)</f>
        <v>21400000</v>
      </c>
      <c r="I16" s="397"/>
    </row>
    <row r="17" spans="1:9" ht="15.9" customHeight="1" x14ac:dyDescent="0.25">
      <c r="A17" s="432"/>
      <c r="B17" s="356" t="s">
        <v>178</v>
      </c>
      <c r="C17" s="357"/>
      <c r="D17" s="357"/>
      <c r="E17" s="357"/>
      <c r="F17" s="360"/>
      <c r="G17" s="360"/>
      <c r="H17" s="311">
        <f t="shared" si="0"/>
        <v>0</v>
      </c>
      <c r="I17" s="361"/>
    </row>
    <row r="18" spans="1:9" ht="15.9" customHeight="1" x14ac:dyDescent="0.25">
      <c r="A18" s="432"/>
      <c r="B18" s="356" t="s">
        <v>179</v>
      </c>
      <c r="C18" s="363"/>
      <c r="D18" s="363"/>
      <c r="E18" s="363"/>
      <c r="F18" s="367"/>
      <c r="G18" s="367"/>
      <c r="H18" s="292">
        <f t="shared" si="0"/>
        <v>0</v>
      </c>
      <c r="I18" s="364"/>
    </row>
    <row r="19" spans="1:9" ht="15.9" customHeight="1" x14ac:dyDescent="0.25">
      <c r="A19" s="432"/>
      <c r="B19" s="356"/>
      <c r="C19" s="363"/>
      <c r="D19" s="363"/>
      <c r="E19" s="363"/>
      <c r="F19" s="367"/>
      <c r="G19" s="367"/>
      <c r="H19" s="292">
        <f t="shared" si="0"/>
        <v>0</v>
      </c>
      <c r="I19" s="364"/>
    </row>
    <row r="20" spans="1:9" ht="15.9" customHeight="1" x14ac:dyDescent="0.25">
      <c r="A20" s="432"/>
      <c r="B20" s="356"/>
      <c r="C20" s="363"/>
      <c r="D20" s="363"/>
      <c r="E20" s="363"/>
      <c r="F20" s="367"/>
      <c r="G20" s="367"/>
      <c r="H20" s="292">
        <f t="shared" si="0"/>
        <v>0</v>
      </c>
      <c r="I20" s="364"/>
    </row>
    <row r="21" spans="1:9" ht="15.9" customHeight="1" x14ac:dyDescent="0.25">
      <c r="A21" s="432"/>
      <c r="B21" s="356"/>
      <c r="C21" s="368" t="s">
        <v>225</v>
      </c>
      <c r="D21" s="368"/>
      <c r="E21" s="368"/>
      <c r="F21" s="371"/>
      <c r="G21" s="371"/>
      <c r="H21" s="292">
        <f t="shared" si="0"/>
        <v>0</v>
      </c>
      <c r="I21" s="372"/>
    </row>
    <row r="22" spans="1:9" ht="15.9" customHeight="1" x14ac:dyDescent="0.25">
      <c r="A22" s="432"/>
      <c r="B22" s="373"/>
      <c r="C22" s="374"/>
      <c r="D22" s="375"/>
      <c r="E22" s="375"/>
      <c r="F22" s="438"/>
      <c r="G22" s="377"/>
      <c r="H22" s="378">
        <f>SUM(H17:H21)</f>
        <v>0</v>
      </c>
      <c r="I22" s="68"/>
    </row>
    <row r="23" spans="1:9" ht="15.9" customHeight="1" x14ac:dyDescent="0.25">
      <c r="A23" s="432"/>
      <c r="B23" s="398" t="s">
        <v>180</v>
      </c>
      <c r="C23" s="445" t="s">
        <v>290</v>
      </c>
      <c r="D23" s="444"/>
      <c r="E23" s="400"/>
      <c r="F23" s="452"/>
      <c r="G23" s="401"/>
      <c r="H23" s="384">
        <f t="shared" si="0"/>
        <v>0</v>
      </c>
      <c r="I23" s="385"/>
    </row>
    <row r="24" spans="1:9" ht="15.9" customHeight="1" x14ac:dyDescent="0.25">
      <c r="A24" s="432"/>
      <c r="B24" s="356" t="s">
        <v>182</v>
      </c>
      <c r="C24" s="445" t="s">
        <v>293</v>
      </c>
      <c r="D24" s="363" t="s">
        <v>294</v>
      </c>
      <c r="E24" s="365" t="s">
        <v>261</v>
      </c>
      <c r="F24" s="367">
        <v>1</v>
      </c>
      <c r="G24" s="367">
        <v>3200000</v>
      </c>
      <c r="H24" s="292">
        <f t="shared" si="0"/>
        <v>3200000</v>
      </c>
      <c r="I24" s="364"/>
    </row>
    <row r="25" spans="1:9" ht="15.9" customHeight="1" x14ac:dyDescent="0.25">
      <c r="A25" s="432"/>
      <c r="B25" s="356"/>
      <c r="C25" s="363" t="s">
        <v>295</v>
      </c>
      <c r="D25" s="363" t="s">
        <v>296</v>
      </c>
      <c r="E25" s="365" t="s">
        <v>59</v>
      </c>
      <c r="F25" s="367">
        <v>1</v>
      </c>
      <c r="G25" s="367">
        <v>1000000</v>
      </c>
      <c r="H25" s="292">
        <f t="shared" si="0"/>
        <v>1000000</v>
      </c>
      <c r="I25" s="364"/>
    </row>
    <row r="26" spans="1:9" ht="15.9" customHeight="1" x14ac:dyDescent="0.25">
      <c r="A26" s="432"/>
      <c r="B26" s="356"/>
      <c r="C26" s="363" t="s">
        <v>297</v>
      </c>
      <c r="D26" s="363"/>
      <c r="E26" s="365" t="s">
        <v>261</v>
      </c>
      <c r="F26" s="367">
        <v>1</v>
      </c>
      <c r="G26" s="367">
        <v>100000</v>
      </c>
      <c r="H26" s="292">
        <f t="shared" si="0"/>
        <v>100000</v>
      </c>
      <c r="I26" s="364"/>
    </row>
    <row r="27" spans="1:9" ht="15.9" customHeight="1" x14ac:dyDescent="0.25">
      <c r="A27" s="432"/>
      <c r="B27" s="356"/>
      <c r="C27" s="363" t="s">
        <v>257</v>
      </c>
      <c r="D27" s="363"/>
      <c r="E27" s="365" t="s">
        <v>261</v>
      </c>
      <c r="F27" s="367">
        <v>5</v>
      </c>
      <c r="G27" s="367">
        <v>40000</v>
      </c>
      <c r="H27" s="292">
        <f t="shared" si="0"/>
        <v>200000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0"/>
        <v>0</v>
      </c>
      <c r="I28" s="364"/>
    </row>
    <row r="29" spans="1:9" ht="15.9" customHeight="1" x14ac:dyDescent="0.25">
      <c r="A29" s="432"/>
      <c r="B29" s="356"/>
      <c r="C29" s="363" t="s">
        <v>251</v>
      </c>
      <c r="D29" s="363"/>
      <c r="E29" s="365"/>
      <c r="F29" s="367"/>
      <c r="G29" s="367"/>
      <c r="H29" s="292">
        <f t="shared" si="0"/>
        <v>0</v>
      </c>
      <c r="I29" s="364"/>
    </row>
    <row r="30" spans="1:9" ht="15.9" customHeight="1" x14ac:dyDescent="0.25">
      <c r="A30" s="432"/>
      <c r="B30" s="356"/>
      <c r="C30" s="363" t="s">
        <v>255</v>
      </c>
      <c r="D30" s="363" t="s">
        <v>298</v>
      </c>
      <c r="E30" s="365" t="s">
        <v>59</v>
      </c>
      <c r="F30" s="367">
        <v>1</v>
      </c>
      <c r="G30" s="367">
        <v>2500000</v>
      </c>
      <c r="H30" s="292">
        <f t="shared" si="0"/>
        <v>2500000</v>
      </c>
      <c r="I30" s="364"/>
    </row>
    <row r="31" spans="1:9" ht="15.9" customHeight="1" x14ac:dyDescent="0.25">
      <c r="A31" s="432"/>
      <c r="B31" s="356"/>
      <c r="C31" s="363" t="s">
        <v>258</v>
      </c>
      <c r="D31" s="363" t="s">
        <v>298</v>
      </c>
      <c r="E31" s="365" t="s">
        <v>59</v>
      </c>
      <c r="F31" s="367">
        <v>1</v>
      </c>
      <c r="G31" s="367">
        <v>1000000</v>
      </c>
      <c r="H31" s="292">
        <f t="shared" si="0"/>
        <v>1000000</v>
      </c>
      <c r="I31" s="364"/>
    </row>
    <row r="32" spans="1:9" ht="15.9" customHeight="1" x14ac:dyDescent="0.25">
      <c r="A32" s="432"/>
      <c r="B32" s="356"/>
      <c r="C32" s="363" t="s">
        <v>299</v>
      </c>
      <c r="D32" s="363"/>
      <c r="E32" s="365" t="s">
        <v>261</v>
      </c>
      <c r="F32" s="367">
        <v>1</v>
      </c>
      <c r="G32" s="367">
        <v>800000</v>
      </c>
      <c r="H32" s="292">
        <f t="shared" si="0"/>
        <v>800000</v>
      </c>
      <c r="I32" s="364"/>
    </row>
    <row r="33" spans="1:9" ht="15.9" customHeight="1" x14ac:dyDescent="0.25">
      <c r="A33" s="432"/>
      <c r="B33" s="356"/>
      <c r="C33" s="363" t="s">
        <v>257</v>
      </c>
      <c r="D33" s="363"/>
      <c r="E33" s="365" t="s">
        <v>261</v>
      </c>
      <c r="F33" s="367">
        <v>6</v>
      </c>
      <c r="G33" s="367">
        <v>40000</v>
      </c>
      <c r="H33" s="292">
        <f t="shared" si="0"/>
        <v>240000</v>
      </c>
      <c r="I33" s="364"/>
    </row>
    <row r="34" spans="1:9" ht="15.9" customHeight="1" x14ac:dyDescent="0.25">
      <c r="A34" s="432"/>
      <c r="B34" s="356"/>
      <c r="C34" s="363" t="s">
        <v>265</v>
      </c>
      <c r="D34" s="363"/>
      <c r="E34" s="365" t="s">
        <v>59</v>
      </c>
      <c r="F34" s="367">
        <v>1</v>
      </c>
      <c r="G34" s="367">
        <v>500000</v>
      </c>
      <c r="H34" s="292">
        <f t="shared" si="0"/>
        <v>500000</v>
      </c>
      <c r="I34" s="364"/>
    </row>
    <row r="35" spans="1:9" ht="15.9" customHeight="1" x14ac:dyDescent="0.25">
      <c r="A35" s="432"/>
      <c r="B35" s="356"/>
      <c r="C35" s="363" t="s">
        <v>292</v>
      </c>
      <c r="D35" s="363"/>
      <c r="E35" s="365"/>
      <c r="F35" s="367"/>
      <c r="G35" s="367"/>
      <c r="H35" s="292">
        <f t="shared" si="0"/>
        <v>0</v>
      </c>
      <c r="I35" s="364"/>
    </row>
    <row r="36" spans="1:9" ht="15.9" customHeight="1" x14ac:dyDescent="0.25">
      <c r="A36" s="432"/>
      <c r="B36" s="356"/>
      <c r="C36" s="363" t="s">
        <v>300</v>
      </c>
      <c r="D36" s="363" t="s">
        <v>301</v>
      </c>
      <c r="E36" s="365" t="s">
        <v>261</v>
      </c>
      <c r="F36" s="367">
        <v>1</v>
      </c>
      <c r="G36" s="367">
        <v>18000000</v>
      </c>
      <c r="H36" s="292">
        <f t="shared" si="0"/>
        <v>18000000</v>
      </c>
      <c r="I36" s="364"/>
    </row>
    <row r="37" spans="1:9" ht="15.9" customHeight="1" x14ac:dyDescent="0.25">
      <c r="A37" s="432"/>
      <c r="B37" s="356"/>
      <c r="C37" s="363" t="s">
        <v>302</v>
      </c>
      <c r="D37" s="363"/>
      <c r="E37" s="365" t="s">
        <v>261</v>
      </c>
      <c r="F37" s="367">
        <v>3</v>
      </c>
      <c r="G37" s="367">
        <v>600000</v>
      </c>
      <c r="H37" s="292">
        <f t="shared" si="0"/>
        <v>1800000</v>
      </c>
      <c r="I37" s="364"/>
    </row>
    <row r="38" spans="1:9" ht="15.9" customHeight="1" x14ac:dyDescent="0.25">
      <c r="A38" s="432"/>
      <c r="B38" s="356"/>
      <c r="C38" s="363" t="s">
        <v>265</v>
      </c>
      <c r="D38" s="363"/>
      <c r="E38" s="365" t="s">
        <v>59</v>
      </c>
      <c r="F38" s="367">
        <v>1</v>
      </c>
      <c r="G38" s="367">
        <v>500000</v>
      </c>
      <c r="H38" s="292">
        <f>IF(F38=0,G38,G38*F38)</f>
        <v>500000</v>
      </c>
      <c r="I38" s="364"/>
    </row>
    <row r="39" spans="1:9" ht="15.9" customHeight="1" x14ac:dyDescent="0.25">
      <c r="A39" s="432"/>
      <c r="B39" s="356"/>
      <c r="C39" s="363" t="s">
        <v>243</v>
      </c>
      <c r="D39" s="363"/>
      <c r="E39" s="365" t="s">
        <v>59</v>
      </c>
      <c r="F39" s="367">
        <v>1</v>
      </c>
      <c r="G39" s="367">
        <v>600000</v>
      </c>
      <c r="H39" s="292">
        <f t="shared" si="0"/>
        <v>600000</v>
      </c>
      <c r="I39" s="364"/>
    </row>
    <row r="40" spans="1:9" ht="15.9" customHeight="1" x14ac:dyDescent="0.25">
      <c r="A40" s="432"/>
      <c r="B40" s="356"/>
      <c r="C40" s="363" t="s">
        <v>315</v>
      </c>
      <c r="D40" s="363"/>
      <c r="E40" s="365"/>
      <c r="F40" s="367"/>
      <c r="G40" s="367"/>
      <c r="H40" s="292">
        <f t="shared" si="0"/>
        <v>0</v>
      </c>
      <c r="I40" s="364"/>
    </row>
    <row r="41" spans="1:9" ht="15.9" customHeight="1" x14ac:dyDescent="0.25">
      <c r="A41" s="432"/>
      <c r="B41" s="356"/>
      <c r="C41" s="363" t="s">
        <v>316</v>
      </c>
      <c r="D41" s="363"/>
      <c r="E41" s="365" t="s">
        <v>167</v>
      </c>
      <c r="F41" s="367">
        <v>2</v>
      </c>
      <c r="G41" s="367">
        <v>3600000</v>
      </c>
      <c r="H41" s="292">
        <f t="shared" si="0"/>
        <v>7200000</v>
      </c>
      <c r="I41" s="364"/>
    </row>
    <row r="42" spans="1:9" ht="15.9" customHeight="1" x14ac:dyDescent="0.25">
      <c r="A42" s="432"/>
      <c r="B42" s="356"/>
      <c r="C42" s="363" t="s">
        <v>214</v>
      </c>
      <c r="D42" s="363"/>
      <c r="E42" s="365" t="s">
        <v>167</v>
      </c>
      <c r="F42" s="367">
        <v>1</v>
      </c>
      <c r="G42" s="367">
        <v>1400000</v>
      </c>
      <c r="H42" s="292">
        <f t="shared" si="0"/>
        <v>1400000</v>
      </c>
      <c r="I42" s="364"/>
    </row>
    <row r="43" spans="1:9" ht="15.9" customHeight="1" x14ac:dyDescent="0.25">
      <c r="A43" s="432"/>
      <c r="B43" s="356"/>
      <c r="C43" s="363" t="s">
        <v>317</v>
      </c>
      <c r="D43" s="363"/>
      <c r="E43" s="365" t="s">
        <v>167</v>
      </c>
      <c r="F43" s="367">
        <v>1</v>
      </c>
      <c r="G43" s="367">
        <v>1100000</v>
      </c>
      <c r="H43" s="292">
        <f t="shared" si="0"/>
        <v>1100000</v>
      </c>
      <c r="I43" s="364"/>
    </row>
    <row r="44" spans="1:9" ht="15.9" customHeight="1" x14ac:dyDescent="0.25">
      <c r="A44" s="432"/>
      <c r="B44" s="356"/>
      <c r="C44" s="363" t="s">
        <v>195</v>
      </c>
      <c r="D44" s="363"/>
      <c r="E44" s="365" t="s">
        <v>184</v>
      </c>
      <c r="F44" s="367">
        <v>10</v>
      </c>
      <c r="G44" s="367">
        <v>40000</v>
      </c>
      <c r="H44" s="292">
        <f t="shared" si="0"/>
        <v>400000</v>
      </c>
      <c r="I44" s="364"/>
    </row>
    <row r="45" spans="1:9" ht="15.9" customHeight="1" x14ac:dyDescent="0.25">
      <c r="A45" s="432"/>
      <c r="B45" s="356"/>
      <c r="C45" s="363" t="s">
        <v>196</v>
      </c>
      <c r="D45" s="363"/>
      <c r="E45" s="365" t="s">
        <v>184</v>
      </c>
      <c r="F45" s="367">
        <v>2</v>
      </c>
      <c r="G45" s="367">
        <v>100000</v>
      </c>
      <c r="H45" s="292">
        <f t="shared" si="0"/>
        <v>200000</v>
      </c>
      <c r="I45" s="364"/>
    </row>
    <row r="46" spans="1:9" ht="15.9" customHeight="1" x14ac:dyDescent="0.25">
      <c r="A46" s="432"/>
      <c r="B46" s="356"/>
      <c r="C46" s="363" t="s">
        <v>318</v>
      </c>
      <c r="D46" s="363"/>
      <c r="E46" s="365" t="s">
        <v>167</v>
      </c>
      <c r="F46" s="367">
        <v>1</v>
      </c>
      <c r="G46" s="367">
        <v>500000</v>
      </c>
      <c r="H46" s="292">
        <f t="shared" si="0"/>
        <v>500000</v>
      </c>
      <c r="I46" s="364"/>
    </row>
    <row r="47" spans="1:9" ht="15.9" customHeight="1" x14ac:dyDescent="0.25">
      <c r="A47" s="432"/>
      <c r="B47" s="356"/>
      <c r="C47" s="363"/>
      <c r="D47" s="363"/>
      <c r="E47" s="365"/>
      <c r="F47" s="367"/>
      <c r="G47" s="367"/>
      <c r="H47" s="292">
        <f t="shared" si="0"/>
        <v>0</v>
      </c>
      <c r="I47" s="364"/>
    </row>
    <row r="48" spans="1:9" ht="15.9" customHeight="1" x14ac:dyDescent="0.25">
      <c r="A48" s="432"/>
      <c r="B48" s="356"/>
      <c r="C48" s="433" t="s">
        <v>303</v>
      </c>
      <c r="D48" s="433"/>
      <c r="E48" s="434"/>
      <c r="F48" s="435"/>
      <c r="G48" s="435"/>
      <c r="H48" s="292">
        <f t="shared" si="0"/>
        <v>0</v>
      </c>
      <c r="I48" s="364"/>
    </row>
    <row r="49" spans="1:9" ht="15.9" customHeight="1" x14ac:dyDescent="0.25">
      <c r="A49" s="432"/>
      <c r="B49" s="356"/>
      <c r="C49" s="363" t="s">
        <v>304</v>
      </c>
      <c r="D49" s="363" t="s">
        <v>305</v>
      </c>
      <c r="E49" s="365" t="s">
        <v>167</v>
      </c>
      <c r="F49" s="436">
        <v>1</v>
      </c>
      <c r="G49" s="367">
        <v>350000</v>
      </c>
      <c r="H49" s="292">
        <f t="shared" si="0"/>
        <v>350000</v>
      </c>
      <c r="I49" s="364"/>
    </row>
    <row r="50" spans="1:9" ht="15.9" customHeight="1" x14ac:dyDescent="0.25">
      <c r="A50" s="432"/>
      <c r="B50" s="356"/>
      <c r="C50" s="363" t="s">
        <v>306</v>
      </c>
      <c r="D50" s="363" t="s">
        <v>307</v>
      </c>
      <c r="E50" s="365" t="s">
        <v>167</v>
      </c>
      <c r="F50" s="436">
        <v>10</v>
      </c>
      <c r="G50" s="367">
        <v>75000</v>
      </c>
      <c r="H50" s="292">
        <f t="shared" si="0"/>
        <v>750000</v>
      </c>
      <c r="I50" s="364"/>
    </row>
    <row r="51" spans="1:9" ht="15.9" customHeight="1" x14ac:dyDescent="0.25">
      <c r="A51" s="432"/>
      <c r="B51" s="356"/>
      <c r="C51" s="363" t="s">
        <v>308</v>
      </c>
      <c r="D51" s="363" t="s">
        <v>309</v>
      </c>
      <c r="E51" s="365" t="s">
        <v>167</v>
      </c>
      <c r="F51" s="436">
        <v>1</v>
      </c>
      <c r="G51" s="367">
        <v>850000</v>
      </c>
      <c r="H51" s="292">
        <f t="shared" si="0"/>
        <v>850000</v>
      </c>
      <c r="I51" s="364"/>
    </row>
    <row r="52" spans="1:9" ht="15.9" customHeight="1" x14ac:dyDescent="0.25">
      <c r="A52" s="432"/>
      <c r="B52" s="356"/>
      <c r="C52" s="363" t="s">
        <v>310</v>
      </c>
      <c r="D52" s="363"/>
      <c r="E52" s="365" t="s">
        <v>167</v>
      </c>
      <c r="F52" s="436">
        <v>10</v>
      </c>
      <c r="G52" s="367">
        <v>7000</v>
      </c>
      <c r="H52" s="292">
        <f t="shared" si="0"/>
        <v>70000</v>
      </c>
      <c r="I52" s="364"/>
    </row>
    <row r="53" spans="1:9" ht="15.9" customHeight="1" x14ac:dyDescent="0.25">
      <c r="A53" s="432"/>
      <c r="B53" s="356"/>
      <c r="C53" s="363" t="s">
        <v>311</v>
      </c>
      <c r="D53" s="363"/>
      <c r="E53" s="365" t="s">
        <v>167</v>
      </c>
      <c r="F53" s="436">
        <v>1</v>
      </c>
      <c r="G53" s="367">
        <v>100000</v>
      </c>
      <c r="H53" s="292">
        <f t="shared" si="0"/>
        <v>100000</v>
      </c>
      <c r="I53" s="364"/>
    </row>
    <row r="54" spans="1:9" ht="15.9" customHeight="1" x14ac:dyDescent="0.25">
      <c r="A54" s="432"/>
      <c r="B54" s="356"/>
      <c r="C54" s="433" t="s">
        <v>312</v>
      </c>
      <c r="D54" s="433"/>
      <c r="E54" s="434" t="s">
        <v>59</v>
      </c>
      <c r="F54" s="435">
        <v>1</v>
      </c>
      <c r="G54" s="435">
        <v>100000</v>
      </c>
      <c r="H54" s="292">
        <f>IF(F54=0,G54,G54*F54)</f>
        <v>100000</v>
      </c>
      <c r="I54" s="364"/>
    </row>
    <row r="55" spans="1:9" ht="15.9" customHeight="1" x14ac:dyDescent="0.25">
      <c r="A55" s="432"/>
      <c r="B55" s="356"/>
      <c r="C55" s="363"/>
      <c r="D55" s="363"/>
      <c r="E55" s="363"/>
      <c r="F55" s="367"/>
      <c r="G55" s="367"/>
      <c r="H55" s="292">
        <f t="shared" ref="H55" si="1">IF(F55=0,G55,G55*F55)</f>
        <v>0</v>
      </c>
      <c r="I55" s="364"/>
    </row>
    <row r="56" spans="1:9" ht="15.9" customHeight="1" x14ac:dyDescent="0.25">
      <c r="A56" s="432"/>
      <c r="B56" s="356"/>
      <c r="C56" s="368" t="s">
        <v>313</v>
      </c>
      <c r="D56" s="368"/>
      <c r="E56" s="369" t="s">
        <v>167</v>
      </c>
      <c r="F56" s="371">
        <v>1</v>
      </c>
      <c r="G56" s="371">
        <v>200000</v>
      </c>
      <c r="H56" s="292">
        <v>0</v>
      </c>
      <c r="I56" s="372"/>
    </row>
    <row r="57" spans="1:9" ht="15.9" customHeight="1" x14ac:dyDescent="0.25">
      <c r="A57" s="432"/>
      <c r="B57" s="373"/>
      <c r="C57" s="374"/>
      <c r="D57" s="375"/>
      <c r="E57" s="375"/>
      <c r="F57" s="377"/>
      <c r="G57" s="377"/>
      <c r="H57" s="378">
        <f>SUM(H23:H56)</f>
        <v>43460000</v>
      </c>
      <c r="I57" s="68"/>
    </row>
    <row r="58" spans="1:9" ht="15.9" customHeight="1" x14ac:dyDescent="0.25">
      <c r="A58" s="432"/>
      <c r="B58" s="398" t="s">
        <v>61</v>
      </c>
      <c r="C58" s="363"/>
      <c r="D58" s="363"/>
      <c r="E58" s="365"/>
      <c r="F58" s="367"/>
      <c r="G58" s="367"/>
      <c r="H58" s="384">
        <f t="shared" si="0"/>
        <v>0</v>
      </c>
      <c r="I58" s="385"/>
    </row>
    <row r="59" spans="1:9" ht="15.9" customHeight="1" x14ac:dyDescent="0.25">
      <c r="A59" s="432"/>
      <c r="B59" s="356"/>
      <c r="C59" s="363"/>
      <c r="D59" s="363"/>
      <c r="E59" s="365"/>
      <c r="F59" s="367"/>
      <c r="G59" s="367"/>
      <c r="H59" s="292">
        <f t="shared" si="0"/>
        <v>0</v>
      </c>
      <c r="I59" s="364"/>
    </row>
    <row r="60" spans="1:9" ht="15.9" customHeight="1" x14ac:dyDescent="0.25">
      <c r="A60" s="432"/>
      <c r="B60" s="356"/>
      <c r="C60" s="363"/>
      <c r="D60" s="363"/>
      <c r="E60" s="363"/>
      <c r="F60" s="367"/>
      <c r="G60" s="367"/>
      <c r="H60" s="292">
        <f t="shared" si="0"/>
        <v>0</v>
      </c>
      <c r="I60" s="364"/>
    </row>
    <row r="61" spans="1:9" ht="15.9" customHeight="1" x14ac:dyDescent="0.25">
      <c r="A61" s="432"/>
      <c r="B61" s="356"/>
      <c r="C61" s="363"/>
      <c r="D61" s="363"/>
      <c r="E61" s="363"/>
      <c r="F61" s="367"/>
      <c r="G61" s="367"/>
      <c r="H61" s="292">
        <f t="shared" si="0"/>
        <v>0</v>
      </c>
      <c r="I61" s="364"/>
    </row>
    <row r="62" spans="1:9" ht="15.9" customHeight="1" x14ac:dyDescent="0.25">
      <c r="A62" s="432"/>
      <c r="B62" s="356"/>
      <c r="C62" s="363"/>
      <c r="D62" s="363"/>
      <c r="E62" s="363"/>
      <c r="F62" s="367"/>
      <c r="G62" s="367"/>
      <c r="H62" s="292">
        <f t="shared" si="0"/>
        <v>0</v>
      </c>
      <c r="I62" s="364"/>
    </row>
    <row r="63" spans="1:9" ht="15.9" customHeight="1" x14ac:dyDescent="0.25">
      <c r="A63" s="432"/>
      <c r="B63" s="356"/>
      <c r="C63" s="363"/>
      <c r="D63" s="363"/>
      <c r="E63" s="363"/>
      <c r="F63" s="367"/>
      <c r="G63" s="367"/>
      <c r="H63" s="292">
        <f t="shared" si="0"/>
        <v>0</v>
      </c>
      <c r="I63" s="364"/>
    </row>
    <row r="64" spans="1:9" ht="15.9" customHeight="1" x14ac:dyDescent="0.25">
      <c r="A64" s="432"/>
      <c r="B64" s="356"/>
      <c r="C64" s="368" t="s">
        <v>225</v>
      </c>
      <c r="D64" s="368"/>
      <c r="E64" s="368"/>
      <c r="F64" s="371"/>
      <c r="G64" s="371"/>
      <c r="H64" s="402">
        <f t="shared" si="0"/>
        <v>0</v>
      </c>
      <c r="I64" s="372"/>
    </row>
    <row r="65" spans="1:9" ht="15.9" customHeight="1" x14ac:dyDescent="0.25">
      <c r="A65" s="432"/>
      <c r="B65" s="373"/>
      <c r="C65" s="374"/>
      <c r="D65" s="375"/>
      <c r="E65" s="375"/>
      <c r="F65" s="377"/>
      <c r="G65" s="377"/>
      <c r="H65" s="378">
        <f>SUM(H58:H64)</f>
        <v>0</v>
      </c>
      <c r="I65" s="68"/>
    </row>
    <row r="66" spans="1:9" ht="15.9" customHeight="1" x14ac:dyDescent="0.25">
      <c r="A66" s="403"/>
      <c r="B66" s="404" t="s">
        <v>149</v>
      </c>
      <c r="C66" s="405"/>
      <c r="D66" s="68"/>
      <c r="E66" s="68"/>
      <c r="F66" s="407"/>
      <c r="G66" s="407"/>
      <c r="H66" s="378">
        <f>SUM(H65,H57,H22,H16)</f>
        <v>64860000</v>
      </c>
      <c r="I66" s="68"/>
    </row>
    <row r="67" spans="1:9" ht="15.9" customHeight="1" x14ac:dyDescent="0.25">
      <c r="A67" s="446" t="s">
        <v>150</v>
      </c>
      <c r="B67" s="409" t="s">
        <v>67</v>
      </c>
      <c r="C67" s="405"/>
      <c r="D67" s="68"/>
      <c r="E67" s="409" t="s">
        <v>68</v>
      </c>
      <c r="F67" s="448">
        <v>0</v>
      </c>
      <c r="G67" s="427">
        <v>250000</v>
      </c>
      <c r="H67" s="413">
        <f>F67*G67</f>
        <v>0</v>
      </c>
      <c r="I67" s="68"/>
    </row>
    <row r="68" spans="1:9" ht="15.9" customHeight="1" x14ac:dyDescent="0.25">
      <c r="A68" s="432"/>
      <c r="B68" s="415" t="s">
        <v>228</v>
      </c>
      <c r="C68" s="416"/>
      <c r="D68" s="385"/>
      <c r="E68" s="415" t="s">
        <v>152</v>
      </c>
      <c r="F68" s="449">
        <v>25</v>
      </c>
      <c r="G68" s="443">
        <v>300000</v>
      </c>
      <c r="H68" s="384">
        <f t="shared" ref="H68:H74" si="2">F68*G68</f>
        <v>7500000</v>
      </c>
      <c r="I68" s="385"/>
    </row>
    <row r="69" spans="1:9" ht="15.9" customHeight="1" x14ac:dyDescent="0.25">
      <c r="A69" s="432"/>
      <c r="B69" s="447" t="s">
        <v>229</v>
      </c>
      <c r="C69" s="419"/>
      <c r="D69" s="364"/>
      <c r="E69" s="418" t="s">
        <v>152</v>
      </c>
      <c r="F69" s="450">
        <v>5</v>
      </c>
      <c r="G69" s="435">
        <v>250000</v>
      </c>
      <c r="H69" s="292">
        <f t="shared" si="2"/>
        <v>1250000</v>
      </c>
      <c r="I69" s="364"/>
    </row>
    <row r="70" spans="1:9" ht="15.9" customHeight="1" x14ac:dyDescent="0.25">
      <c r="A70" s="432"/>
      <c r="B70" s="418" t="s">
        <v>230</v>
      </c>
      <c r="C70" s="419"/>
      <c r="D70" s="364"/>
      <c r="E70" s="418" t="s">
        <v>152</v>
      </c>
      <c r="F70" s="450">
        <v>30</v>
      </c>
      <c r="G70" s="435">
        <v>250000</v>
      </c>
      <c r="H70" s="292">
        <f t="shared" si="2"/>
        <v>7500000</v>
      </c>
      <c r="I70" s="364"/>
    </row>
    <row r="71" spans="1:9" ht="15.9" customHeight="1" x14ac:dyDescent="0.25">
      <c r="A71" s="432"/>
      <c r="B71" s="418" t="s">
        <v>231</v>
      </c>
      <c r="C71" s="419"/>
      <c r="D71" s="364"/>
      <c r="E71" s="418" t="s">
        <v>152</v>
      </c>
      <c r="F71" s="450">
        <v>2</v>
      </c>
      <c r="G71" s="367">
        <v>300000</v>
      </c>
      <c r="H71" s="292">
        <f t="shared" si="2"/>
        <v>600000</v>
      </c>
      <c r="I71" s="364"/>
    </row>
    <row r="72" spans="1:9" ht="15.9" customHeight="1" x14ac:dyDescent="0.25">
      <c r="A72" s="432"/>
      <c r="B72" s="418" t="s">
        <v>232</v>
      </c>
      <c r="C72" s="419"/>
      <c r="D72" s="364"/>
      <c r="E72" s="418" t="s">
        <v>152</v>
      </c>
      <c r="F72" s="450">
        <v>4</v>
      </c>
      <c r="G72" s="367">
        <v>300000</v>
      </c>
      <c r="H72" s="292">
        <f t="shared" si="2"/>
        <v>1200000</v>
      </c>
      <c r="I72" s="364"/>
    </row>
    <row r="73" spans="1:9" ht="15.9" customHeight="1" x14ac:dyDescent="0.25">
      <c r="A73" s="432"/>
      <c r="B73" s="418" t="s">
        <v>233</v>
      </c>
      <c r="C73" s="419"/>
      <c r="D73" s="364"/>
      <c r="E73" s="418" t="s">
        <v>152</v>
      </c>
      <c r="F73" s="450">
        <v>1</v>
      </c>
      <c r="G73" s="367">
        <v>300000</v>
      </c>
      <c r="H73" s="292">
        <f t="shared" si="2"/>
        <v>300000</v>
      </c>
      <c r="I73" s="364"/>
    </row>
    <row r="74" spans="1:9" ht="15.9" customHeight="1" x14ac:dyDescent="0.25">
      <c r="A74" s="432"/>
      <c r="B74" s="421" t="s">
        <v>234</v>
      </c>
      <c r="C74" s="422"/>
      <c r="D74" s="372"/>
      <c r="E74" s="421" t="s">
        <v>152</v>
      </c>
      <c r="F74" s="451">
        <v>5</v>
      </c>
      <c r="G74" s="455">
        <v>250000</v>
      </c>
      <c r="H74" s="402">
        <f t="shared" si="2"/>
        <v>1250000</v>
      </c>
      <c r="I74" s="372"/>
    </row>
    <row r="75" spans="1:9" ht="15.9" customHeight="1" x14ac:dyDescent="0.25">
      <c r="A75" s="403"/>
      <c r="B75" s="424" t="s">
        <v>158</v>
      </c>
      <c r="C75" s="405"/>
      <c r="D75" s="68"/>
      <c r="E75" s="68"/>
      <c r="F75" s="377"/>
      <c r="G75" s="377"/>
      <c r="H75" s="377">
        <f>SUM(H67:H74)</f>
        <v>19600000</v>
      </c>
      <c r="I75" s="375"/>
    </row>
    <row r="76" spans="1:9" ht="15.9" customHeight="1" x14ac:dyDescent="0.25">
      <c r="A76" s="410"/>
      <c r="B76" s="424" t="s">
        <v>235</v>
      </c>
      <c r="C76" s="405"/>
      <c r="D76" s="68"/>
      <c r="E76" s="68"/>
      <c r="F76" s="378"/>
      <c r="G76" s="378"/>
      <c r="H76" s="407">
        <f>'단위공사별(집계)'!L14+'단위공사별(집계)'!I14</f>
        <v>354255.72438449663</v>
      </c>
      <c r="I76" s="68"/>
    </row>
    <row r="77" spans="1:9" ht="15.9" customHeight="1" x14ac:dyDescent="0.25">
      <c r="A77" s="410"/>
      <c r="B77" s="424" t="s">
        <v>93</v>
      </c>
      <c r="C77" s="405"/>
      <c r="D77" s="68"/>
      <c r="E77" s="68"/>
      <c r="F77" s="378"/>
      <c r="G77" s="426"/>
      <c r="H77" s="427">
        <v>0</v>
      </c>
      <c r="I77" s="405"/>
    </row>
    <row r="78" spans="1:9" ht="15.9" customHeight="1" x14ac:dyDescent="0.25">
      <c r="A78" s="410"/>
      <c r="B78" s="424" t="s">
        <v>161</v>
      </c>
      <c r="C78" s="405"/>
      <c r="D78" s="68"/>
      <c r="E78" s="68"/>
      <c r="F78" s="378"/>
      <c r="G78" s="426"/>
      <c r="H78" s="427">
        <v>0</v>
      </c>
      <c r="I78" s="405"/>
    </row>
    <row r="79" spans="1:9" ht="15.9" customHeight="1" x14ac:dyDescent="0.25">
      <c r="A79" s="410"/>
      <c r="B79" s="424" t="s">
        <v>162</v>
      </c>
      <c r="C79" s="405"/>
      <c r="D79" s="68"/>
      <c r="E79" s="68"/>
      <c r="F79" s="378"/>
      <c r="G79" s="378"/>
      <c r="H79" s="377">
        <f>H66+H75+H76+H77+H78</f>
        <v>84814255.724384502</v>
      </c>
      <c r="I79" s="68"/>
    </row>
    <row r="80" spans="1:9" x14ac:dyDescent="0.25">
      <c r="A80" s="254"/>
    </row>
  </sheetData>
  <mergeCells count="3">
    <mergeCell ref="A2:B2"/>
    <mergeCell ref="A3:A65"/>
    <mergeCell ref="A67:A7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5A76-8ECE-401C-AFED-7AD986048596}">
  <sheetPr>
    <tabColor rgb="FF00B050"/>
    <pageSetUpPr fitToPage="1"/>
  </sheetPr>
  <dimension ref="A1:I66"/>
  <sheetViews>
    <sheetView zoomScaleNormal="100" workbookViewId="0">
      <pane xSplit="2" ySplit="2" topLeftCell="C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319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IF(F3=0,G3,G3*F3)</f>
        <v>2000000</v>
      </c>
      <c r="I3" s="456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1000000</v>
      </c>
      <c r="H4" s="292">
        <f>IF(F4=0,G4,G4*F4)</f>
        <v>1000000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1000000</v>
      </c>
      <c r="H5" s="292">
        <f>IF(F5=0,G5,G5*F5)</f>
        <v>1000000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50" si="0">IF(F6=0,G6,G6*F6)</f>
        <v>600000</v>
      </c>
      <c r="I6" s="364"/>
    </row>
    <row r="7" spans="1:9" ht="15.9" customHeight="1" x14ac:dyDescent="0.25">
      <c r="A7" s="432"/>
      <c r="B7" s="356"/>
      <c r="C7" s="363" t="s">
        <v>320</v>
      </c>
      <c r="D7" s="363"/>
      <c r="E7" s="434" t="s">
        <v>167</v>
      </c>
      <c r="F7" s="367">
        <v>1</v>
      </c>
      <c r="G7" s="367">
        <v>2500000</v>
      </c>
      <c r="H7" s="292">
        <f t="shared" si="0"/>
        <v>2500000</v>
      </c>
      <c r="I7" s="364"/>
    </row>
    <row r="8" spans="1:9" ht="15.9" customHeight="1" x14ac:dyDescent="0.25">
      <c r="A8" s="432"/>
      <c r="B8" s="356"/>
      <c r="C8" s="363" t="s">
        <v>321</v>
      </c>
      <c r="D8" s="363"/>
      <c r="E8" s="365" t="s">
        <v>167</v>
      </c>
      <c r="F8" s="367">
        <v>1</v>
      </c>
      <c r="G8" s="367">
        <v>1300000</v>
      </c>
      <c r="H8" s="292">
        <f t="shared" si="0"/>
        <v>1300000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0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/>
      <c r="I10" s="364"/>
    </row>
    <row r="11" spans="1:9" ht="15.9" customHeight="1" x14ac:dyDescent="0.25">
      <c r="A11" s="432"/>
      <c r="B11" s="356"/>
      <c r="C11" s="363"/>
      <c r="D11" s="363"/>
      <c r="E11" s="363"/>
      <c r="F11" s="367"/>
      <c r="G11" s="367"/>
      <c r="H11" s="292">
        <f t="shared" ref="H11" si="1">IF(F11=0,G11,G11*F11)</f>
        <v>0</v>
      </c>
      <c r="I11" s="364"/>
    </row>
    <row r="12" spans="1:9" ht="15.9" customHeight="1" x14ac:dyDescent="0.25">
      <c r="A12" s="432"/>
      <c r="B12" s="356"/>
      <c r="C12" s="368" t="s">
        <v>254</v>
      </c>
      <c r="D12" s="387"/>
      <c r="E12" s="437" t="s">
        <v>167</v>
      </c>
      <c r="F12" s="389">
        <v>1</v>
      </c>
      <c r="G12" s="389">
        <v>500000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8400000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si="0"/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0"/>
        <v>0</v>
      </c>
      <c r="I15" s="364"/>
    </row>
    <row r="16" spans="1:9" ht="15.9" customHeight="1" x14ac:dyDescent="0.25">
      <c r="A16" s="432"/>
      <c r="B16" s="356"/>
      <c r="C16" s="387"/>
      <c r="D16" s="387"/>
      <c r="E16" s="387"/>
      <c r="F16" s="389"/>
      <c r="G16" s="389"/>
      <c r="H16" s="302">
        <f t="shared" si="0"/>
        <v>0</v>
      </c>
      <c r="I16" s="390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0"/>
        <v>0</v>
      </c>
      <c r="I17" s="364"/>
    </row>
    <row r="18" spans="1:9" ht="15.9" customHeight="1" x14ac:dyDescent="0.25">
      <c r="A18" s="432"/>
      <c r="B18" s="356"/>
      <c r="C18" s="457" t="s">
        <v>225</v>
      </c>
      <c r="D18" s="457"/>
      <c r="E18" s="457"/>
      <c r="F18" s="458"/>
      <c r="G18" s="458"/>
      <c r="H18" s="311">
        <f t="shared" si="0"/>
        <v>0</v>
      </c>
      <c r="I18" s="375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322</v>
      </c>
      <c r="D20" s="363"/>
      <c r="E20" s="365"/>
      <c r="F20" s="367"/>
      <c r="G20" s="367"/>
      <c r="H20" s="384">
        <f t="shared" ref="H20:H41" si="2">IF(F20=0,G20,G20*F20)</f>
        <v>0</v>
      </c>
      <c r="I20" s="385"/>
    </row>
    <row r="21" spans="1:9" ht="15.9" customHeight="1" x14ac:dyDescent="0.25">
      <c r="A21" s="432"/>
      <c r="B21" s="356" t="s">
        <v>182</v>
      </c>
      <c r="C21" s="363" t="s">
        <v>189</v>
      </c>
      <c r="D21" s="363" t="s">
        <v>190</v>
      </c>
      <c r="E21" s="365" t="s">
        <v>167</v>
      </c>
      <c r="F21" s="367">
        <v>1</v>
      </c>
      <c r="G21" s="367">
        <v>1000000</v>
      </c>
      <c r="H21" s="292">
        <f t="shared" si="2"/>
        <v>1000000</v>
      </c>
      <c r="I21" s="364"/>
    </row>
    <row r="22" spans="1:9" ht="15.9" customHeight="1" x14ac:dyDescent="0.25">
      <c r="A22" s="432"/>
      <c r="B22" s="356"/>
      <c r="C22" s="363" t="s">
        <v>191</v>
      </c>
      <c r="D22" s="363" t="s">
        <v>323</v>
      </c>
      <c r="E22" s="365" t="s">
        <v>167</v>
      </c>
      <c r="F22" s="367">
        <v>1</v>
      </c>
      <c r="G22" s="367">
        <v>1000000</v>
      </c>
      <c r="H22" s="292">
        <f t="shared" si="2"/>
        <v>1000000</v>
      </c>
      <c r="I22" s="364"/>
    </row>
    <row r="23" spans="1:9" ht="15.9" customHeight="1" x14ac:dyDescent="0.25">
      <c r="A23" s="432"/>
      <c r="B23" s="356"/>
      <c r="C23" s="363" t="s">
        <v>324</v>
      </c>
      <c r="D23" s="363" t="s">
        <v>323</v>
      </c>
      <c r="E23" s="365" t="s">
        <v>167</v>
      </c>
      <c r="F23" s="367">
        <v>1</v>
      </c>
      <c r="G23" s="367">
        <v>3500000</v>
      </c>
      <c r="H23" s="292">
        <f t="shared" si="2"/>
        <v>3500000</v>
      </c>
      <c r="I23" s="364"/>
    </row>
    <row r="24" spans="1:9" ht="15.9" customHeight="1" x14ac:dyDescent="0.25">
      <c r="A24" s="432"/>
      <c r="B24" s="356"/>
      <c r="C24" s="363" t="s">
        <v>199</v>
      </c>
      <c r="D24" s="363"/>
      <c r="E24" s="365" t="s">
        <v>167</v>
      </c>
      <c r="F24" s="367">
        <v>1</v>
      </c>
      <c r="G24" s="367">
        <v>500000</v>
      </c>
      <c r="H24" s="292">
        <f t="shared" si="2"/>
        <v>500000</v>
      </c>
      <c r="I24" s="364"/>
    </row>
    <row r="25" spans="1:9" ht="15.9" customHeight="1" x14ac:dyDescent="0.25">
      <c r="A25" s="432"/>
      <c r="B25" s="356"/>
      <c r="C25" s="363" t="s">
        <v>325</v>
      </c>
      <c r="D25" s="363"/>
      <c r="E25" s="365"/>
      <c r="F25" s="367"/>
      <c r="G25" s="367"/>
      <c r="H25" s="292">
        <f t="shared" si="2"/>
        <v>0</v>
      </c>
      <c r="I25" s="364"/>
    </row>
    <row r="26" spans="1:9" ht="15.75" customHeight="1" x14ac:dyDescent="0.25">
      <c r="A26" s="432"/>
      <c r="B26" s="356"/>
      <c r="C26" s="363" t="s">
        <v>326</v>
      </c>
      <c r="D26" s="363" t="s">
        <v>327</v>
      </c>
      <c r="E26" s="365" t="s">
        <v>167</v>
      </c>
      <c r="F26" s="367">
        <v>1</v>
      </c>
      <c r="G26" s="367">
        <v>20000000</v>
      </c>
      <c r="H26" s="292">
        <f t="shared" si="2"/>
        <v>20000000</v>
      </c>
      <c r="I26" s="364"/>
    </row>
    <row r="27" spans="1:9" ht="15.9" customHeight="1" x14ac:dyDescent="0.25">
      <c r="A27" s="432"/>
      <c r="B27" s="356"/>
      <c r="C27" s="363" t="s">
        <v>328</v>
      </c>
      <c r="D27" s="363"/>
      <c r="E27" s="365" t="s">
        <v>184</v>
      </c>
      <c r="F27" s="367">
        <v>1</v>
      </c>
      <c r="G27" s="367">
        <v>800000</v>
      </c>
      <c r="H27" s="292">
        <f t="shared" si="2"/>
        <v>800000</v>
      </c>
      <c r="I27" s="364"/>
    </row>
    <row r="28" spans="1:9" ht="15.9" customHeight="1" x14ac:dyDescent="0.25">
      <c r="A28" s="432"/>
      <c r="B28" s="356"/>
      <c r="C28" s="363" t="s">
        <v>195</v>
      </c>
      <c r="D28" s="363"/>
      <c r="E28" s="365" t="s">
        <v>184</v>
      </c>
      <c r="F28" s="367">
        <v>2</v>
      </c>
      <c r="G28" s="367">
        <v>40000</v>
      </c>
      <c r="H28" s="292">
        <f t="shared" si="2"/>
        <v>80000</v>
      </c>
      <c r="I28" s="364"/>
    </row>
    <row r="29" spans="1:9" ht="15.9" customHeight="1" x14ac:dyDescent="0.25">
      <c r="A29" s="432"/>
      <c r="B29" s="356"/>
      <c r="C29" s="363" t="s">
        <v>199</v>
      </c>
      <c r="D29" s="363"/>
      <c r="E29" s="365" t="s">
        <v>167</v>
      </c>
      <c r="F29" s="367">
        <v>1</v>
      </c>
      <c r="G29" s="367">
        <v>500000</v>
      </c>
      <c r="H29" s="292">
        <f t="shared" si="2"/>
        <v>500000</v>
      </c>
      <c r="I29" s="364"/>
    </row>
    <row r="30" spans="1:9" ht="15.9" customHeight="1" x14ac:dyDescent="0.25">
      <c r="A30" s="432"/>
      <c r="B30" s="356"/>
      <c r="C30" s="363" t="s">
        <v>321</v>
      </c>
      <c r="D30" s="363"/>
      <c r="E30" s="365" t="s">
        <v>167</v>
      </c>
      <c r="F30" s="367">
        <v>1</v>
      </c>
      <c r="G30" s="367">
        <v>600000</v>
      </c>
      <c r="H30" s="292">
        <f t="shared" si="2"/>
        <v>600000</v>
      </c>
      <c r="I30" s="364"/>
    </row>
    <row r="31" spans="1:9" ht="15.9" customHeight="1" x14ac:dyDescent="0.25">
      <c r="A31" s="432"/>
      <c r="B31" s="356"/>
      <c r="C31" s="363"/>
      <c r="D31" s="363"/>
      <c r="E31" s="365"/>
      <c r="F31" s="367"/>
      <c r="G31" s="367"/>
      <c r="H31" s="292">
        <f t="shared" si="2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367"/>
      <c r="G32" s="367"/>
      <c r="H32" s="292">
        <f t="shared" si="2"/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367"/>
      <c r="G33" s="367"/>
      <c r="H33" s="292">
        <f t="shared" si="2"/>
        <v>0</v>
      </c>
      <c r="I33" s="364"/>
    </row>
    <row r="34" spans="1:9" ht="15.9" customHeight="1" x14ac:dyDescent="0.25">
      <c r="A34" s="432"/>
      <c r="B34" s="356"/>
      <c r="C34" s="433" t="s">
        <v>215</v>
      </c>
      <c r="D34" s="433"/>
      <c r="E34" s="434"/>
      <c r="F34" s="435"/>
      <c r="G34" s="435"/>
      <c r="H34" s="292">
        <f t="shared" si="2"/>
        <v>0</v>
      </c>
      <c r="I34" s="364"/>
    </row>
    <row r="35" spans="1:9" ht="15.9" customHeight="1" x14ac:dyDescent="0.25">
      <c r="A35" s="432"/>
      <c r="B35" s="356"/>
      <c r="C35" s="363" t="s">
        <v>216</v>
      </c>
      <c r="D35" s="363" t="s">
        <v>217</v>
      </c>
      <c r="E35" s="365" t="s">
        <v>167</v>
      </c>
      <c r="F35" s="436">
        <v>1</v>
      </c>
      <c r="G35" s="367">
        <v>350000</v>
      </c>
      <c r="H35" s="292">
        <f t="shared" si="2"/>
        <v>350000</v>
      </c>
      <c r="I35" s="364"/>
    </row>
    <row r="36" spans="1:9" ht="15.9" customHeight="1" x14ac:dyDescent="0.25">
      <c r="A36" s="432"/>
      <c r="B36" s="356"/>
      <c r="C36" s="363" t="s">
        <v>218</v>
      </c>
      <c r="D36" s="363" t="s">
        <v>219</v>
      </c>
      <c r="E36" s="365" t="s">
        <v>167</v>
      </c>
      <c r="F36" s="436">
        <v>10</v>
      </c>
      <c r="G36" s="367">
        <v>75000</v>
      </c>
      <c r="H36" s="292">
        <f t="shared" si="2"/>
        <v>750000</v>
      </c>
      <c r="I36" s="364"/>
    </row>
    <row r="37" spans="1:9" ht="15.9" customHeight="1" x14ac:dyDescent="0.25">
      <c r="A37" s="432"/>
      <c r="B37" s="356"/>
      <c r="C37" s="363" t="s">
        <v>220</v>
      </c>
      <c r="D37" s="363" t="s">
        <v>221</v>
      </c>
      <c r="E37" s="365" t="s">
        <v>167</v>
      </c>
      <c r="F37" s="436">
        <v>1</v>
      </c>
      <c r="G37" s="367">
        <v>850000</v>
      </c>
      <c r="H37" s="292">
        <f t="shared" si="2"/>
        <v>850000</v>
      </c>
      <c r="I37" s="364"/>
    </row>
    <row r="38" spans="1:9" ht="15.9" customHeight="1" x14ac:dyDescent="0.25">
      <c r="A38" s="432"/>
      <c r="B38" s="356"/>
      <c r="C38" s="363" t="s">
        <v>222</v>
      </c>
      <c r="D38" s="363"/>
      <c r="E38" s="365" t="s">
        <v>167</v>
      </c>
      <c r="F38" s="436">
        <v>20</v>
      </c>
      <c r="G38" s="367">
        <v>7000</v>
      </c>
      <c r="H38" s="292">
        <f t="shared" si="2"/>
        <v>140000</v>
      </c>
      <c r="I38" s="364"/>
    </row>
    <row r="39" spans="1:9" ht="15.9" customHeight="1" x14ac:dyDescent="0.25">
      <c r="A39" s="432"/>
      <c r="B39" s="356"/>
      <c r="C39" s="363" t="s">
        <v>223</v>
      </c>
      <c r="D39" s="363"/>
      <c r="E39" s="365" t="s">
        <v>167</v>
      </c>
      <c r="F39" s="436">
        <v>1</v>
      </c>
      <c r="G39" s="367">
        <v>100000</v>
      </c>
      <c r="H39" s="292">
        <f t="shared" si="2"/>
        <v>100000</v>
      </c>
      <c r="I39" s="364"/>
    </row>
    <row r="40" spans="1:9" ht="15.9" customHeight="1" x14ac:dyDescent="0.25">
      <c r="A40" s="432"/>
      <c r="B40" s="356"/>
      <c r="C40" s="433" t="s">
        <v>224</v>
      </c>
      <c r="D40" s="433"/>
      <c r="E40" s="434" t="s">
        <v>167</v>
      </c>
      <c r="F40" s="435">
        <v>1</v>
      </c>
      <c r="G40" s="435">
        <v>100000</v>
      </c>
      <c r="H40" s="292">
        <f t="shared" si="2"/>
        <v>100000</v>
      </c>
      <c r="I40" s="364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2"/>
        <v>0</v>
      </c>
      <c r="I41" s="364"/>
    </row>
    <row r="42" spans="1:9" ht="15.9" customHeight="1" x14ac:dyDescent="0.25">
      <c r="A42" s="432"/>
      <c r="B42" s="356"/>
      <c r="C42" s="368" t="s">
        <v>313</v>
      </c>
      <c r="D42" s="368"/>
      <c r="E42" s="369" t="s">
        <v>167</v>
      </c>
      <c r="F42" s="371">
        <v>1</v>
      </c>
      <c r="G42" s="371">
        <v>500000</v>
      </c>
      <c r="H42" s="292">
        <v>0</v>
      </c>
      <c r="I42" s="372"/>
    </row>
    <row r="43" spans="1:9" ht="15.9" customHeight="1" x14ac:dyDescent="0.25">
      <c r="A43" s="432"/>
      <c r="B43" s="373"/>
      <c r="C43" s="374"/>
      <c r="D43" s="375"/>
      <c r="E43" s="375"/>
      <c r="F43" s="377"/>
      <c r="G43" s="377"/>
      <c r="H43" s="378">
        <f>SUM(H20:H42)</f>
        <v>30270000</v>
      </c>
      <c r="I43" s="68"/>
    </row>
    <row r="44" spans="1:9" ht="15.9" customHeight="1" x14ac:dyDescent="0.25">
      <c r="A44" s="432"/>
      <c r="B44" s="398" t="s">
        <v>61</v>
      </c>
      <c r="C44" s="380"/>
      <c r="D44" s="380"/>
      <c r="E44" s="381"/>
      <c r="F44" s="383"/>
      <c r="G44" s="383"/>
      <c r="H44" s="384">
        <f t="shared" si="0"/>
        <v>0</v>
      </c>
      <c r="I44" s="385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0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0"/>
        <v>0</v>
      </c>
      <c r="I46" s="364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0"/>
        <v>0</v>
      </c>
      <c r="I47" s="364"/>
    </row>
    <row r="48" spans="1:9" ht="15.9" customHeight="1" x14ac:dyDescent="0.25">
      <c r="A48" s="432"/>
      <c r="B48" s="356"/>
      <c r="C48" s="363"/>
      <c r="D48" s="363"/>
      <c r="E48" s="363"/>
      <c r="F48" s="367"/>
      <c r="G48" s="367"/>
      <c r="H48" s="292">
        <f t="shared" si="0"/>
        <v>0</v>
      </c>
      <c r="I48" s="364"/>
    </row>
    <row r="49" spans="1:9" ht="15.9" customHeight="1" x14ac:dyDescent="0.25">
      <c r="A49" s="432"/>
      <c r="B49" s="356"/>
      <c r="C49" s="363"/>
      <c r="D49" s="363"/>
      <c r="E49" s="363"/>
      <c r="F49" s="367"/>
      <c r="G49" s="367"/>
      <c r="H49" s="292">
        <f t="shared" si="0"/>
        <v>0</v>
      </c>
      <c r="I49" s="364"/>
    </row>
    <row r="50" spans="1:9" ht="15.9" customHeight="1" x14ac:dyDescent="0.25">
      <c r="A50" s="432"/>
      <c r="B50" s="356"/>
      <c r="C50" s="368" t="s">
        <v>225</v>
      </c>
      <c r="D50" s="368"/>
      <c r="E50" s="368"/>
      <c r="F50" s="371"/>
      <c r="G50" s="371"/>
      <c r="H50" s="402">
        <f t="shared" si="0"/>
        <v>0</v>
      </c>
      <c r="I50" s="372"/>
    </row>
    <row r="51" spans="1:9" ht="15.9" customHeight="1" x14ac:dyDescent="0.25">
      <c r="A51" s="432"/>
      <c r="B51" s="373"/>
      <c r="C51" s="374"/>
      <c r="D51" s="375"/>
      <c r="E51" s="375"/>
      <c r="F51" s="377"/>
      <c r="G51" s="377"/>
      <c r="H51" s="378">
        <f>SUM(H44:H50)</f>
        <v>0</v>
      </c>
      <c r="I51" s="68"/>
    </row>
    <row r="52" spans="1:9" ht="15.9" customHeight="1" x14ac:dyDescent="0.25">
      <c r="A52" s="403"/>
      <c r="B52" s="404" t="s">
        <v>149</v>
      </c>
      <c r="C52" s="405"/>
      <c r="D52" s="68"/>
      <c r="E52" s="68"/>
      <c r="F52" s="407"/>
      <c r="G52" s="407"/>
      <c r="H52" s="378">
        <f>SUM(H51,H43,H19,H13)</f>
        <v>38670000</v>
      </c>
      <c r="I52" s="68"/>
    </row>
    <row r="53" spans="1:9" ht="15.9" customHeight="1" x14ac:dyDescent="0.25">
      <c r="A53" s="446" t="s">
        <v>150</v>
      </c>
      <c r="B53" s="409" t="s">
        <v>67</v>
      </c>
      <c r="C53" s="405"/>
      <c r="D53" s="68"/>
      <c r="E53" s="409" t="s">
        <v>68</v>
      </c>
      <c r="F53" s="448">
        <v>0</v>
      </c>
      <c r="G53" s="427">
        <v>250000</v>
      </c>
      <c r="H53" s="413">
        <f>F53*G53</f>
        <v>0</v>
      </c>
      <c r="I53" s="68"/>
    </row>
    <row r="54" spans="1:9" ht="15.9" customHeight="1" x14ac:dyDescent="0.25">
      <c r="A54" s="432"/>
      <c r="B54" s="415" t="s">
        <v>228</v>
      </c>
      <c r="C54" s="416"/>
      <c r="D54" s="385"/>
      <c r="E54" s="415" t="s">
        <v>152</v>
      </c>
      <c r="F54" s="449">
        <v>25</v>
      </c>
      <c r="G54" s="443">
        <v>300000</v>
      </c>
      <c r="H54" s="384">
        <f t="shared" ref="H54:H60" si="3">F54*G54</f>
        <v>7500000</v>
      </c>
      <c r="I54" s="385"/>
    </row>
    <row r="55" spans="1:9" ht="15.9" customHeight="1" x14ac:dyDescent="0.25">
      <c r="A55" s="432"/>
      <c r="B55" s="447" t="s">
        <v>229</v>
      </c>
      <c r="C55" s="419"/>
      <c r="D55" s="364"/>
      <c r="E55" s="418" t="s">
        <v>152</v>
      </c>
      <c r="F55" s="450">
        <v>10</v>
      </c>
      <c r="G55" s="435">
        <v>250000</v>
      </c>
      <c r="H55" s="292">
        <f t="shared" si="3"/>
        <v>2500000</v>
      </c>
      <c r="I55" s="364"/>
    </row>
    <row r="56" spans="1:9" ht="15.9" customHeight="1" x14ac:dyDescent="0.25">
      <c r="A56" s="432"/>
      <c r="B56" s="418" t="s">
        <v>230</v>
      </c>
      <c r="C56" s="419"/>
      <c r="D56" s="364"/>
      <c r="E56" s="418" t="s">
        <v>152</v>
      </c>
      <c r="F56" s="450">
        <v>25</v>
      </c>
      <c r="G56" s="435">
        <v>250000</v>
      </c>
      <c r="H56" s="292">
        <f t="shared" si="3"/>
        <v>6250000</v>
      </c>
      <c r="I56" s="364"/>
    </row>
    <row r="57" spans="1:9" ht="15.9" customHeight="1" x14ac:dyDescent="0.25">
      <c r="A57" s="432"/>
      <c r="B57" s="418" t="s">
        <v>231</v>
      </c>
      <c r="C57" s="419"/>
      <c r="D57" s="364"/>
      <c r="E57" s="418" t="s">
        <v>152</v>
      </c>
      <c r="F57" s="450">
        <v>2</v>
      </c>
      <c r="G57" s="367">
        <v>300000</v>
      </c>
      <c r="H57" s="292">
        <f t="shared" si="3"/>
        <v>600000</v>
      </c>
      <c r="I57" s="364"/>
    </row>
    <row r="58" spans="1:9" ht="15.9" customHeight="1" x14ac:dyDescent="0.25">
      <c r="A58" s="432"/>
      <c r="B58" s="418" t="s">
        <v>232</v>
      </c>
      <c r="C58" s="419"/>
      <c r="D58" s="364"/>
      <c r="E58" s="418" t="s">
        <v>152</v>
      </c>
      <c r="F58" s="450">
        <v>4</v>
      </c>
      <c r="G58" s="367">
        <v>300000</v>
      </c>
      <c r="H58" s="292">
        <f t="shared" si="3"/>
        <v>1200000</v>
      </c>
      <c r="I58" s="364"/>
    </row>
    <row r="59" spans="1:9" ht="15.9" customHeight="1" x14ac:dyDescent="0.25">
      <c r="A59" s="432"/>
      <c r="B59" s="418" t="s">
        <v>233</v>
      </c>
      <c r="C59" s="419"/>
      <c r="D59" s="364"/>
      <c r="E59" s="418" t="s">
        <v>152</v>
      </c>
      <c r="F59" s="450">
        <v>1</v>
      </c>
      <c r="G59" s="367">
        <v>300000</v>
      </c>
      <c r="H59" s="292">
        <f t="shared" si="3"/>
        <v>300000</v>
      </c>
      <c r="I59" s="364"/>
    </row>
    <row r="60" spans="1:9" ht="15.9" customHeight="1" x14ac:dyDescent="0.25">
      <c r="A60" s="432"/>
      <c r="B60" s="421" t="s">
        <v>234</v>
      </c>
      <c r="C60" s="422"/>
      <c r="D60" s="372"/>
      <c r="E60" s="421" t="s">
        <v>152</v>
      </c>
      <c r="F60" s="451">
        <v>5</v>
      </c>
      <c r="G60" s="455">
        <v>250000</v>
      </c>
      <c r="H60" s="402">
        <f t="shared" si="3"/>
        <v>1250000</v>
      </c>
      <c r="I60" s="372"/>
    </row>
    <row r="61" spans="1:9" ht="15.9" customHeight="1" x14ac:dyDescent="0.25">
      <c r="A61" s="403"/>
      <c r="B61" s="424" t="s">
        <v>158</v>
      </c>
      <c r="C61" s="405"/>
      <c r="D61" s="68"/>
      <c r="E61" s="68"/>
      <c r="F61" s="377"/>
      <c r="G61" s="377"/>
      <c r="H61" s="377">
        <f>SUM(H53:H60)</f>
        <v>19600000</v>
      </c>
      <c r="I61" s="375"/>
    </row>
    <row r="62" spans="1:9" ht="15.9" customHeight="1" x14ac:dyDescent="0.25">
      <c r="A62" s="410"/>
      <c r="B62" s="424" t="s">
        <v>235</v>
      </c>
      <c r="C62" s="405"/>
      <c r="D62" s="68"/>
      <c r="E62" s="68"/>
      <c r="F62" s="378"/>
      <c r="G62" s="378"/>
      <c r="H62" s="407">
        <f>'단위공사별(집계)'!L15+'단위공사별(집계)'!I15</f>
        <v>244405.41155439994</v>
      </c>
      <c r="I62" s="68"/>
    </row>
    <row r="63" spans="1:9" ht="15.9" customHeight="1" x14ac:dyDescent="0.25">
      <c r="A63" s="410"/>
      <c r="B63" s="424" t="s">
        <v>93</v>
      </c>
      <c r="C63" s="405"/>
      <c r="D63" s="68"/>
      <c r="E63" s="68"/>
      <c r="F63" s="378"/>
      <c r="G63" s="426"/>
      <c r="H63" s="427">
        <v>0</v>
      </c>
      <c r="I63" s="405"/>
    </row>
    <row r="64" spans="1:9" ht="15.9" customHeight="1" x14ac:dyDescent="0.25">
      <c r="A64" s="410"/>
      <c r="B64" s="424" t="s">
        <v>161</v>
      </c>
      <c r="C64" s="405"/>
      <c r="D64" s="68"/>
      <c r="E64" s="68"/>
      <c r="F64" s="378"/>
      <c r="G64" s="426"/>
      <c r="H64" s="427">
        <v>0</v>
      </c>
      <c r="I64" s="405"/>
    </row>
    <row r="65" spans="1:9" ht="15.9" customHeight="1" x14ac:dyDescent="0.25">
      <c r="A65" s="410"/>
      <c r="B65" s="424" t="s">
        <v>162</v>
      </c>
      <c r="C65" s="405"/>
      <c r="D65" s="68"/>
      <c r="E65" s="68"/>
      <c r="F65" s="378"/>
      <c r="G65" s="378"/>
      <c r="H65" s="377">
        <f>H52+H61+H62+H63+H64</f>
        <v>58514405.411554404</v>
      </c>
      <c r="I65" s="68"/>
    </row>
    <row r="66" spans="1:9" x14ac:dyDescent="0.25">
      <c r="A66" s="254"/>
    </row>
  </sheetData>
  <mergeCells count="3">
    <mergeCell ref="A2:B2"/>
    <mergeCell ref="A3:A51"/>
    <mergeCell ref="A53:A60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7137-7CED-431A-8931-56F15F0B46D6}">
  <sheetPr>
    <tabColor rgb="FF00B050"/>
    <pageSetUpPr fitToPage="1"/>
  </sheetPr>
  <dimension ref="A1:I63"/>
  <sheetViews>
    <sheetView zoomScaleNormal="100" workbookViewId="0">
      <pane xSplit="2" ySplit="2" topLeftCell="C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329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384">
        <f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ref="H5:H47" si="0">IF(F5=0,G5,G5*F5)</f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si="0"/>
        <v>600000</v>
      </c>
      <c r="I6" s="364"/>
    </row>
    <row r="7" spans="1:9" ht="15.9" customHeight="1" x14ac:dyDescent="0.25">
      <c r="A7" s="432"/>
      <c r="B7" s="356"/>
      <c r="C7" s="363" t="s">
        <v>330</v>
      </c>
      <c r="D7" s="363"/>
      <c r="E7" s="365" t="s">
        <v>167</v>
      </c>
      <c r="F7" s="367">
        <v>1</v>
      </c>
      <c r="G7" s="367">
        <v>1800000</v>
      </c>
      <c r="H7" s="292">
        <f t="shared" si="0"/>
        <v>1800000</v>
      </c>
      <c r="I7" s="364"/>
    </row>
    <row r="8" spans="1:9" ht="15.9" customHeight="1" x14ac:dyDescent="0.25">
      <c r="A8" s="432"/>
      <c r="B8" s="356"/>
      <c r="C8" s="363" t="s">
        <v>331</v>
      </c>
      <c r="D8" s="363"/>
      <c r="E8" s="365" t="s">
        <v>167</v>
      </c>
      <c r="F8" s="367">
        <v>1</v>
      </c>
      <c r="G8" s="367">
        <v>6000000</v>
      </c>
      <c r="H8" s="292">
        <f t="shared" si="0"/>
        <v>6000000</v>
      </c>
      <c r="I8" s="364"/>
    </row>
    <row r="9" spans="1:9" ht="15.9" customHeight="1" x14ac:dyDescent="0.25">
      <c r="A9" s="432"/>
      <c r="B9" s="356"/>
      <c r="C9" s="363" t="s">
        <v>321</v>
      </c>
      <c r="D9" s="363"/>
      <c r="E9" s="365" t="s">
        <v>167</v>
      </c>
      <c r="F9" s="367">
        <v>1</v>
      </c>
      <c r="G9" s="367">
        <v>1300000</v>
      </c>
      <c r="H9" s="292">
        <f t="shared" si="0"/>
        <v>1300000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0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453">
        <v>1</v>
      </c>
      <c r="G11" s="389">
        <v>2000000</v>
      </c>
      <c r="H11" s="302"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14700000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si="0"/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0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0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0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363" t="s">
        <v>330</v>
      </c>
      <c r="D19" s="363"/>
      <c r="E19" s="365"/>
      <c r="F19" s="367"/>
      <c r="G19" s="367"/>
      <c r="H19" s="384">
        <f t="shared" si="0"/>
        <v>0</v>
      </c>
      <c r="I19" s="385"/>
    </row>
    <row r="20" spans="1:9" ht="15.9" customHeight="1" x14ac:dyDescent="0.25">
      <c r="A20" s="432"/>
      <c r="B20" s="356" t="s">
        <v>182</v>
      </c>
      <c r="C20" s="363" t="s">
        <v>332</v>
      </c>
      <c r="D20" s="363"/>
      <c r="E20" s="365" t="s">
        <v>167</v>
      </c>
      <c r="F20" s="367">
        <v>1</v>
      </c>
      <c r="G20" s="367">
        <v>6000000</v>
      </c>
      <c r="H20" s="292">
        <f t="shared" si="0"/>
        <v>6000000</v>
      </c>
      <c r="I20" s="364"/>
    </row>
    <row r="21" spans="1:9" ht="15.9" customHeight="1" x14ac:dyDescent="0.25">
      <c r="A21" s="432"/>
      <c r="B21" s="356"/>
      <c r="C21" s="363" t="s">
        <v>333</v>
      </c>
      <c r="D21" s="363" t="s">
        <v>334</v>
      </c>
      <c r="E21" s="365" t="s">
        <v>167</v>
      </c>
      <c r="F21" s="367">
        <v>1</v>
      </c>
      <c r="G21" s="367">
        <v>600000</v>
      </c>
      <c r="H21" s="292">
        <f t="shared" si="0"/>
        <v>600000</v>
      </c>
      <c r="I21" s="364"/>
    </row>
    <row r="22" spans="1:9" ht="15.9" customHeight="1" x14ac:dyDescent="0.25">
      <c r="A22" s="432"/>
      <c r="B22" s="356"/>
      <c r="C22" s="363" t="s">
        <v>335</v>
      </c>
      <c r="D22" s="363" t="s">
        <v>336</v>
      </c>
      <c r="E22" s="365" t="s">
        <v>167</v>
      </c>
      <c r="F22" s="367">
        <v>1</v>
      </c>
      <c r="G22" s="367">
        <v>800000</v>
      </c>
      <c r="H22" s="292">
        <f t="shared" si="0"/>
        <v>800000</v>
      </c>
      <c r="I22" s="364"/>
    </row>
    <row r="23" spans="1:9" ht="15.9" customHeight="1" x14ac:dyDescent="0.25">
      <c r="A23" s="432"/>
      <c r="B23" s="356"/>
      <c r="C23" s="363" t="s">
        <v>331</v>
      </c>
      <c r="D23" s="363"/>
      <c r="E23" s="365"/>
      <c r="F23" s="367"/>
      <c r="G23" s="367"/>
      <c r="H23" s="292">
        <f t="shared" si="0"/>
        <v>0</v>
      </c>
      <c r="I23" s="364"/>
    </row>
    <row r="24" spans="1:9" ht="15.9" customHeight="1" x14ac:dyDescent="0.25">
      <c r="A24" s="432"/>
      <c r="B24" s="356"/>
      <c r="C24" s="363" t="s">
        <v>337</v>
      </c>
      <c r="D24" s="363" t="s">
        <v>338</v>
      </c>
      <c r="E24" s="365" t="s">
        <v>167</v>
      </c>
      <c r="F24" s="367">
        <v>1</v>
      </c>
      <c r="G24" s="367">
        <v>800000</v>
      </c>
      <c r="H24" s="292">
        <f t="shared" si="0"/>
        <v>800000</v>
      </c>
      <c r="I24" s="364"/>
    </row>
    <row r="25" spans="1:9" ht="15.9" customHeight="1" x14ac:dyDescent="0.25">
      <c r="A25" s="432"/>
      <c r="B25" s="356"/>
      <c r="C25" s="363" t="s">
        <v>339</v>
      </c>
      <c r="D25" s="363" t="s">
        <v>340</v>
      </c>
      <c r="E25" s="365" t="s">
        <v>167</v>
      </c>
      <c r="F25" s="367">
        <v>1</v>
      </c>
      <c r="G25" s="367">
        <v>1200000</v>
      </c>
      <c r="H25" s="292">
        <f t="shared" si="0"/>
        <v>1200000</v>
      </c>
      <c r="I25" s="364"/>
    </row>
    <row r="26" spans="1:9" ht="15.9" customHeight="1" x14ac:dyDescent="0.25">
      <c r="A26" s="432"/>
      <c r="B26" s="356"/>
      <c r="C26" s="363" t="s">
        <v>341</v>
      </c>
      <c r="D26" s="363" t="s">
        <v>342</v>
      </c>
      <c r="E26" s="365" t="s">
        <v>167</v>
      </c>
      <c r="F26" s="367">
        <v>1</v>
      </c>
      <c r="G26" s="367">
        <v>300000</v>
      </c>
      <c r="H26" s="292">
        <f t="shared" si="0"/>
        <v>300000</v>
      </c>
      <c r="I26" s="364"/>
    </row>
    <row r="27" spans="1:9" ht="15.9" customHeight="1" x14ac:dyDescent="0.25">
      <c r="A27" s="432"/>
      <c r="B27" s="356"/>
      <c r="C27" s="363" t="s">
        <v>195</v>
      </c>
      <c r="D27" s="363"/>
      <c r="E27" s="365" t="s">
        <v>184</v>
      </c>
      <c r="F27" s="367">
        <v>6</v>
      </c>
      <c r="G27" s="367">
        <v>40000</v>
      </c>
      <c r="H27" s="292">
        <f t="shared" si="0"/>
        <v>240000</v>
      </c>
      <c r="I27" s="364"/>
    </row>
    <row r="28" spans="1:9" ht="15.9" customHeight="1" x14ac:dyDescent="0.25">
      <c r="A28" s="432"/>
      <c r="B28" s="356"/>
      <c r="C28" s="363" t="s">
        <v>196</v>
      </c>
      <c r="D28" s="363"/>
      <c r="E28" s="365" t="s">
        <v>184</v>
      </c>
      <c r="F28" s="367">
        <v>6</v>
      </c>
      <c r="G28" s="367">
        <v>100000</v>
      </c>
      <c r="H28" s="292">
        <f t="shared" si="0"/>
        <v>600000</v>
      </c>
      <c r="I28" s="364"/>
    </row>
    <row r="29" spans="1:9" ht="15.9" customHeight="1" x14ac:dyDescent="0.25">
      <c r="A29" s="432"/>
      <c r="B29" s="356"/>
      <c r="C29" s="363" t="s">
        <v>321</v>
      </c>
      <c r="D29" s="363"/>
      <c r="E29" s="365" t="s">
        <v>167</v>
      </c>
      <c r="F29" s="367">
        <v>1</v>
      </c>
      <c r="G29" s="367">
        <v>600000</v>
      </c>
      <c r="H29" s="292">
        <f t="shared" si="0"/>
        <v>600000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0"/>
        <v>0</v>
      </c>
      <c r="I30" s="364"/>
    </row>
    <row r="31" spans="1:9" ht="15.9" customHeight="1" x14ac:dyDescent="0.25">
      <c r="A31" s="432"/>
      <c r="B31" s="356"/>
      <c r="C31" s="433" t="s">
        <v>215</v>
      </c>
      <c r="D31" s="433"/>
      <c r="E31" s="434"/>
      <c r="F31" s="435"/>
      <c r="G31" s="435"/>
      <c r="H31" s="292">
        <f t="shared" si="0"/>
        <v>0</v>
      </c>
      <c r="I31" s="364"/>
    </row>
    <row r="32" spans="1:9" ht="15.9" customHeight="1" x14ac:dyDescent="0.25">
      <c r="A32" s="432"/>
      <c r="B32" s="356"/>
      <c r="C32" s="363" t="s">
        <v>216</v>
      </c>
      <c r="D32" s="363" t="s">
        <v>217</v>
      </c>
      <c r="E32" s="365" t="s">
        <v>167</v>
      </c>
      <c r="F32" s="436">
        <v>1</v>
      </c>
      <c r="G32" s="367">
        <v>350000</v>
      </c>
      <c r="H32" s="292">
        <f t="shared" si="0"/>
        <v>350000</v>
      </c>
      <c r="I32" s="364"/>
    </row>
    <row r="33" spans="1:9" ht="15.9" customHeight="1" x14ac:dyDescent="0.25">
      <c r="A33" s="432"/>
      <c r="B33" s="356"/>
      <c r="C33" s="363" t="s">
        <v>218</v>
      </c>
      <c r="D33" s="363" t="s">
        <v>219</v>
      </c>
      <c r="E33" s="365" t="s">
        <v>167</v>
      </c>
      <c r="F33" s="436">
        <v>20</v>
      </c>
      <c r="G33" s="367">
        <v>75000</v>
      </c>
      <c r="H33" s="292">
        <f t="shared" si="0"/>
        <v>1500000</v>
      </c>
      <c r="I33" s="364"/>
    </row>
    <row r="34" spans="1:9" ht="15.9" customHeight="1" x14ac:dyDescent="0.25">
      <c r="A34" s="432"/>
      <c r="B34" s="356"/>
      <c r="C34" s="363" t="s">
        <v>220</v>
      </c>
      <c r="D34" s="363" t="s">
        <v>221</v>
      </c>
      <c r="E34" s="365" t="s">
        <v>167</v>
      </c>
      <c r="F34" s="436">
        <v>2</v>
      </c>
      <c r="G34" s="367">
        <v>850000</v>
      </c>
      <c r="H34" s="292">
        <f t="shared" si="0"/>
        <v>1700000</v>
      </c>
      <c r="I34" s="364"/>
    </row>
    <row r="35" spans="1:9" ht="15.9" customHeight="1" x14ac:dyDescent="0.25">
      <c r="A35" s="432"/>
      <c r="B35" s="356"/>
      <c r="C35" s="363" t="s">
        <v>222</v>
      </c>
      <c r="D35" s="363"/>
      <c r="E35" s="365" t="s">
        <v>167</v>
      </c>
      <c r="F35" s="436">
        <v>40</v>
      </c>
      <c r="G35" s="367">
        <v>7000</v>
      </c>
      <c r="H35" s="292">
        <f t="shared" si="0"/>
        <v>280000</v>
      </c>
      <c r="I35" s="364"/>
    </row>
    <row r="36" spans="1:9" ht="15.9" customHeight="1" x14ac:dyDescent="0.25">
      <c r="A36" s="432"/>
      <c r="B36" s="356"/>
      <c r="C36" s="363" t="s">
        <v>223</v>
      </c>
      <c r="D36" s="363"/>
      <c r="E36" s="365" t="s">
        <v>167</v>
      </c>
      <c r="F36" s="436">
        <v>1</v>
      </c>
      <c r="G36" s="367">
        <v>100000</v>
      </c>
      <c r="H36" s="292">
        <f t="shared" si="0"/>
        <v>100000</v>
      </c>
      <c r="I36" s="364"/>
    </row>
    <row r="37" spans="1:9" ht="15.9" customHeight="1" x14ac:dyDescent="0.25">
      <c r="A37" s="432"/>
      <c r="B37" s="356"/>
      <c r="C37" s="433" t="s">
        <v>224</v>
      </c>
      <c r="D37" s="433"/>
      <c r="E37" s="434" t="s">
        <v>167</v>
      </c>
      <c r="F37" s="435">
        <v>1</v>
      </c>
      <c r="G37" s="435">
        <v>100000</v>
      </c>
      <c r="H37" s="292">
        <f t="shared" si="0"/>
        <v>100000</v>
      </c>
      <c r="I37" s="364"/>
    </row>
    <row r="38" spans="1:9" ht="15.9" customHeight="1" x14ac:dyDescent="0.25">
      <c r="A38" s="432"/>
      <c r="B38" s="356"/>
      <c r="C38" s="363"/>
      <c r="D38" s="363"/>
      <c r="E38" s="363"/>
      <c r="F38" s="367"/>
      <c r="G38" s="367"/>
      <c r="H38" s="292">
        <f t="shared" si="0"/>
        <v>0</v>
      </c>
      <c r="I38" s="364"/>
    </row>
    <row r="39" spans="1:9" ht="15.9" customHeight="1" x14ac:dyDescent="0.25">
      <c r="A39" s="432"/>
      <c r="B39" s="356"/>
      <c r="C39" s="368" t="s">
        <v>313</v>
      </c>
      <c r="D39" s="368"/>
      <c r="E39" s="369" t="s">
        <v>167</v>
      </c>
      <c r="F39" s="371">
        <v>1</v>
      </c>
      <c r="G39" s="371">
        <v>500000</v>
      </c>
      <c r="H39" s="402"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15170000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0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0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0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0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0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0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0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29870000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>
        <v>25</v>
      </c>
      <c r="G51" s="443">
        <v>300000</v>
      </c>
      <c r="H51" s="384">
        <f t="shared" ref="H51:H57" si="1">F51*G51</f>
        <v>7500000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>
        <v>5</v>
      </c>
      <c r="G52" s="435">
        <v>250000</v>
      </c>
      <c r="H52" s="292">
        <f t="shared" si="1"/>
        <v>1250000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>
        <v>25</v>
      </c>
      <c r="G53" s="435">
        <v>250000</v>
      </c>
      <c r="H53" s="292">
        <f t="shared" si="1"/>
        <v>6250000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>
        <v>2</v>
      </c>
      <c r="G54" s="367">
        <v>300000</v>
      </c>
      <c r="H54" s="292">
        <f t="shared" si="1"/>
        <v>600000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>
        <v>4</v>
      </c>
      <c r="G55" s="367">
        <v>300000</v>
      </c>
      <c r="H55" s="292">
        <f t="shared" si="1"/>
        <v>1200000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>
        <v>2</v>
      </c>
      <c r="G56" s="367">
        <v>300000</v>
      </c>
      <c r="H56" s="292">
        <f t="shared" si="1"/>
        <v>600000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>
        <v>5</v>
      </c>
      <c r="G57" s="455">
        <v>250000</v>
      </c>
      <c r="H57" s="402">
        <f t="shared" si="1"/>
        <v>1250000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18650000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'단위공사별(집계)'!L16+'단위공사별(집계)'!I16</f>
        <v>203510.39245957584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48723510.392459579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CA99-1685-4665-9ED2-E991A3E9105B}">
  <sheetPr>
    <tabColor rgb="FF00B050"/>
    <pageSetUpPr fitToPage="1"/>
  </sheetPr>
  <dimension ref="A1:I71"/>
  <sheetViews>
    <sheetView zoomScaleNormal="100" workbookViewId="0">
      <pane xSplit="2" ySplit="2" topLeftCell="C4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8.19921875" style="282" customWidth="1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343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344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>IF(F5=0,G5,G5*F5)</f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55" si="0">IF(F6=0,G6,G6*F6)</f>
        <v>600000</v>
      </c>
      <c r="I6" s="364"/>
    </row>
    <row r="7" spans="1:9" ht="15.9" customHeight="1" x14ac:dyDescent="0.25">
      <c r="A7" s="432"/>
      <c r="B7" s="356"/>
      <c r="C7" s="363" t="s">
        <v>345</v>
      </c>
      <c r="D7" s="363"/>
      <c r="E7" s="434" t="s">
        <v>167</v>
      </c>
      <c r="F7" s="435">
        <v>1</v>
      </c>
      <c r="G7" s="367">
        <v>8000000</v>
      </c>
      <c r="H7" s="292">
        <f t="shared" si="0"/>
        <v>8000000</v>
      </c>
      <c r="I7" s="364"/>
    </row>
    <row r="8" spans="1:9" ht="15.9" customHeight="1" x14ac:dyDescent="0.25">
      <c r="A8" s="432"/>
      <c r="B8" s="356"/>
      <c r="C8" s="363" t="s">
        <v>321</v>
      </c>
      <c r="D8" s="363"/>
      <c r="E8" s="365" t="s">
        <v>167</v>
      </c>
      <c r="F8" s="367">
        <v>1</v>
      </c>
      <c r="G8" s="367">
        <v>1300000</v>
      </c>
      <c r="H8" s="292">
        <f t="shared" si="0"/>
        <v>1300000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0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/>
      <c r="I10" s="364"/>
    </row>
    <row r="11" spans="1:9" ht="15.9" customHeight="1" x14ac:dyDescent="0.25">
      <c r="A11" s="432"/>
      <c r="B11" s="356"/>
      <c r="C11" s="363"/>
      <c r="D11" s="363"/>
      <c r="E11" s="363"/>
      <c r="F11" s="367"/>
      <c r="G11" s="367"/>
      <c r="H11" s="292">
        <f>IF(F11=0,G11,G11*F11)</f>
        <v>0</v>
      </c>
      <c r="I11" s="364"/>
    </row>
    <row r="12" spans="1:9" ht="15.9" customHeight="1" x14ac:dyDescent="0.25">
      <c r="A12" s="432"/>
      <c r="B12" s="356"/>
      <c r="C12" s="363"/>
      <c r="D12" s="363"/>
      <c r="E12" s="363"/>
      <c r="F12" s="367"/>
      <c r="G12" s="367"/>
      <c r="H12" s="292">
        <f t="shared" ref="H12" si="1">IF(F12=0,G12,G12*F12)</f>
        <v>0</v>
      </c>
      <c r="I12" s="364"/>
    </row>
    <row r="13" spans="1:9" ht="15.9" customHeight="1" x14ac:dyDescent="0.25">
      <c r="A13" s="432"/>
      <c r="B13" s="356"/>
      <c r="C13" s="363"/>
      <c r="D13" s="363"/>
      <c r="E13" s="363"/>
      <c r="F13" s="367"/>
      <c r="G13" s="367"/>
      <c r="H13" s="292"/>
      <c r="I13" s="364"/>
    </row>
    <row r="14" spans="1:9" ht="15.9" customHeight="1" x14ac:dyDescent="0.25">
      <c r="A14" s="432"/>
      <c r="B14" s="356"/>
      <c r="C14" s="363"/>
      <c r="D14" s="363"/>
      <c r="E14" s="363"/>
      <c r="F14" s="367"/>
      <c r="G14" s="367"/>
      <c r="H14" s="292">
        <f t="shared" ref="H14:H17" si="2">IF(F14=0,G14,G14*F14)</f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/>
      <c r="I18" s="364"/>
    </row>
    <row r="19" spans="1:9" ht="15.9" customHeight="1" x14ac:dyDescent="0.25">
      <c r="A19" s="432"/>
      <c r="B19" s="356"/>
      <c r="C19" s="368" t="s">
        <v>254</v>
      </c>
      <c r="D19" s="387"/>
      <c r="E19" s="437" t="s">
        <v>167</v>
      </c>
      <c r="F19" s="389">
        <v>1</v>
      </c>
      <c r="G19" s="389">
        <v>500000</v>
      </c>
      <c r="H19" s="302">
        <v>0</v>
      </c>
      <c r="I19" s="390"/>
    </row>
    <row r="20" spans="1:9" ht="15.9" customHeight="1" x14ac:dyDescent="0.25">
      <c r="A20" s="432"/>
      <c r="B20" s="373"/>
      <c r="C20" s="459"/>
      <c r="D20" s="459"/>
      <c r="E20" s="459"/>
      <c r="F20" s="460"/>
      <c r="G20" s="460"/>
      <c r="H20" s="461">
        <f>SUM(H3:H19)</f>
        <v>14900000</v>
      </c>
      <c r="I20" s="459"/>
    </row>
    <row r="21" spans="1:9" ht="15.9" customHeight="1" x14ac:dyDescent="0.25">
      <c r="A21" s="432"/>
      <c r="B21" s="356" t="s">
        <v>178</v>
      </c>
      <c r="C21" s="357"/>
      <c r="D21" s="357"/>
      <c r="E21" s="357"/>
      <c r="F21" s="360"/>
      <c r="G21" s="360"/>
      <c r="H21" s="311">
        <f t="shared" si="0"/>
        <v>0</v>
      </c>
      <c r="I21" s="361"/>
    </row>
    <row r="22" spans="1:9" ht="15.9" customHeight="1" x14ac:dyDescent="0.25">
      <c r="A22" s="432"/>
      <c r="B22" s="356" t="s">
        <v>179</v>
      </c>
      <c r="C22" s="363"/>
      <c r="D22" s="363"/>
      <c r="E22" s="363"/>
      <c r="F22" s="367"/>
      <c r="G22" s="367"/>
      <c r="H22" s="292">
        <f t="shared" si="0"/>
        <v>0</v>
      </c>
      <c r="I22" s="364"/>
    </row>
    <row r="23" spans="1:9" ht="15.9" customHeight="1" x14ac:dyDescent="0.25">
      <c r="A23" s="432"/>
      <c r="B23" s="356"/>
      <c r="C23" s="363"/>
      <c r="D23" s="363"/>
      <c r="E23" s="363"/>
      <c r="F23" s="367"/>
      <c r="G23" s="367"/>
      <c r="H23" s="292">
        <f t="shared" si="0"/>
        <v>0</v>
      </c>
      <c r="I23" s="364"/>
    </row>
    <row r="24" spans="1:9" ht="15.9" customHeight="1" x14ac:dyDescent="0.25">
      <c r="A24" s="432"/>
      <c r="B24" s="356"/>
      <c r="C24" s="363"/>
      <c r="D24" s="363"/>
      <c r="E24" s="363"/>
      <c r="F24" s="367"/>
      <c r="G24" s="367"/>
      <c r="H24" s="292">
        <f t="shared" si="0"/>
        <v>0</v>
      </c>
      <c r="I24" s="364"/>
    </row>
    <row r="25" spans="1:9" ht="15.9" customHeight="1" x14ac:dyDescent="0.25">
      <c r="A25" s="432"/>
      <c r="B25" s="356"/>
      <c r="C25" s="368" t="s">
        <v>225</v>
      </c>
      <c r="D25" s="368"/>
      <c r="E25" s="368"/>
      <c r="F25" s="371"/>
      <c r="G25" s="371"/>
      <c r="H25" s="292">
        <f t="shared" si="0"/>
        <v>0</v>
      </c>
      <c r="I25" s="372"/>
    </row>
    <row r="26" spans="1:9" ht="15.9" customHeight="1" x14ac:dyDescent="0.25">
      <c r="A26" s="432"/>
      <c r="B26" s="373"/>
      <c r="C26" s="374"/>
      <c r="D26" s="375"/>
      <c r="E26" s="375"/>
      <c r="F26" s="438"/>
      <c r="G26" s="377"/>
      <c r="H26" s="378">
        <f>SUM(H21:H25)</f>
        <v>0</v>
      </c>
      <c r="I26" s="68"/>
    </row>
    <row r="27" spans="1:9" ht="15.9" customHeight="1" x14ac:dyDescent="0.25">
      <c r="A27" s="432"/>
      <c r="B27" s="398" t="s">
        <v>180</v>
      </c>
      <c r="C27" s="363" t="s">
        <v>345</v>
      </c>
      <c r="D27" s="363"/>
      <c r="E27" s="365"/>
      <c r="F27" s="367"/>
      <c r="G27" s="367"/>
      <c r="H27" s="292">
        <f t="shared" si="0"/>
        <v>0</v>
      </c>
      <c r="I27" s="385"/>
    </row>
    <row r="28" spans="1:9" ht="15.9" customHeight="1" x14ac:dyDescent="0.25">
      <c r="A28" s="432"/>
      <c r="B28" s="356" t="s">
        <v>182</v>
      </c>
      <c r="C28" s="363" t="s">
        <v>339</v>
      </c>
      <c r="D28" s="363" t="s">
        <v>346</v>
      </c>
      <c r="E28" s="365" t="s">
        <v>167</v>
      </c>
      <c r="F28" s="367">
        <v>1</v>
      </c>
      <c r="G28" s="367">
        <v>1000000</v>
      </c>
      <c r="H28" s="292">
        <f t="shared" si="0"/>
        <v>1000000</v>
      </c>
      <c r="I28" s="364"/>
    </row>
    <row r="29" spans="1:9" ht="15.9" customHeight="1" x14ac:dyDescent="0.25">
      <c r="A29" s="432"/>
      <c r="B29" s="356"/>
      <c r="C29" s="363" t="s">
        <v>347</v>
      </c>
      <c r="D29" s="363" t="s">
        <v>346</v>
      </c>
      <c r="E29" s="365" t="s">
        <v>167</v>
      </c>
      <c r="F29" s="367">
        <v>1</v>
      </c>
      <c r="G29" s="367">
        <v>1000000</v>
      </c>
      <c r="H29" s="292">
        <f t="shared" si="0"/>
        <v>1000000</v>
      </c>
      <c r="I29" s="364"/>
    </row>
    <row r="30" spans="1:9" ht="15.9" customHeight="1" x14ac:dyDescent="0.25">
      <c r="A30" s="432"/>
      <c r="B30" s="356"/>
      <c r="C30" s="363" t="s">
        <v>337</v>
      </c>
      <c r="D30" s="363" t="s">
        <v>348</v>
      </c>
      <c r="E30" s="365" t="s">
        <v>167</v>
      </c>
      <c r="F30" s="367">
        <v>1</v>
      </c>
      <c r="G30" s="367">
        <v>1000000</v>
      </c>
      <c r="H30" s="292">
        <f t="shared" si="0"/>
        <v>1000000</v>
      </c>
      <c r="I30" s="364"/>
    </row>
    <row r="31" spans="1:9" ht="15.9" customHeight="1" x14ac:dyDescent="0.25">
      <c r="A31" s="432"/>
      <c r="B31" s="356"/>
      <c r="C31" s="363" t="s">
        <v>349</v>
      </c>
      <c r="D31" s="363" t="s">
        <v>350</v>
      </c>
      <c r="E31" s="365" t="s">
        <v>167</v>
      </c>
      <c r="F31" s="367">
        <v>1</v>
      </c>
      <c r="G31" s="367">
        <v>1000000</v>
      </c>
      <c r="H31" s="292">
        <f t="shared" si="0"/>
        <v>1000000</v>
      </c>
      <c r="I31" s="364"/>
    </row>
    <row r="32" spans="1:9" ht="15.9" customHeight="1" x14ac:dyDescent="0.25">
      <c r="A32" s="432"/>
      <c r="B32" s="356"/>
      <c r="C32" s="363" t="s">
        <v>351</v>
      </c>
      <c r="D32" s="363" t="s">
        <v>350</v>
      </c>
      <c r="E32" s="365" t="s">
        <v>167</v>
      </c>
      <c r="F32" s="367">
        <v>1</v>
      </c>
      <c r="G32" s="367">
        <v>700000</v>
      </c>
      <c r="H32" s="292">
        <f t="shared" si="0"/>
        <v>700000</v>
      </c>
      <c r="I32" s="364"/>
    </row>
    <row r="33" spans="1:9" ht="15.9" customHeight="1" x14ac:dyDescent="0.25">
      <c r="A33" s="432"/>
      <c r="B33" s="356"/>
      <c r="C33" s="363" t="s">
        <v>195</v>
      </c>
      <c r="D33" s="363"/>
      <c r="E33" s="365" t="s">
        <v>184</v>
      </c>
      <c r="F33" s="367">
        <v>8</v>
      </c>
      <c r="G33" s="367">
        <v>40000</v>
      </c>
      <c r="H33" s="292">
        <f t="shared" si="0"/>
        <v>320000</v>
      </c>
      <c r="I33" s="364"/>
    </row>
    <row r="34" spans="1:9" ht="15.9" customHeight="1" x14ac:dyDescent="0.25">
      <c r="A34" s="432"/>
      <c r="B34" s="356"/>
      <c r="C34" s="363" t="s">
        <v>196</v>
      </c>
      <c r="D34" s="363"/>
      <c r="E34" s="365" t="s">
        <v>184</v>
      </c>
      <c r="F34" s="367">
        <v>6</v>
      </c>
      <c r="G34" s="367">
        <v>100000</v>
      </c>
      <c r="H34" s="292">
        <f t="shared" si="0"/>
        <v>600000</v>
      </c>
      <c r="I34" s="364"/>
    </row>
    <row r="35" spans="1:9" ht="15.9" customHeight="1" x14ac:dyDescent="0.25">
      <c r="A35" s="432"/>
      <c r="B35" s="356"/>
      <c r="C35" s="363" t="s">
        <v>321</v>
      </c>
      <c r="D35" s="363"/>
      <c r="E35" s="365" t="s">
        <v>167</v>
      </c>
      <c r="F35" s="367">
        <v>1</v>
      </c>
      <c r="G35" s="367">
        <v>600000</v>
      </c>
      <c r="H35" s="292">
        <f t="shared" si="0"/>
        <v>600000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367"/>
      <c r="G36" s="367"/>
      <c r="H36" s="292">
        <f t="shared" si="0"/>
        <v>0</v>
      </c>
      <c r="I36" s="364"/>
    </row>
    <row r="37" spans="1:9" ht="15.9" customHeight="1" x14ac:dyDescent="0.25">
      <c r="A37" s="432"/>
      <c r="B37" s="356"/>
      <c r="C37" s="363"/>
      <c r="D37" s="363"/>
      <c r="E37" s="365"/>
      <c r="F37" s="436"/>
      <c r="G37" s="367"/>
      <c r="H37" s="292">
        <f t="shared" si="0"/>
        <v>0</v>
      </c>
      <c r="I37" s="364"/>
    </row>
    <row r="38" spans="1:9" ht="15.9" customHeight="1" x14ac:dyDescent="0.25">
      <c r="A38" s="432"/>
      <c r="B38" s="356"/>
      <c r="C38" s="363"/>
      <c r="D38" s="363"/>
      <c r="E38" s="365"/>
      <c r="F38" s="367"/>
      <c r="G38" s="367"/>
      <c r="H38" s="292">
        <f t="shared" si="0"/>
        <v>0</v>
      </c>
      <c r="I38" s="364"/>
    </row>
    <row r="39" spans="1:9" ht="15.9" customHeight="1" x14ac:dyDescent="0.25">
      <c r="A39" s="432"/>
      <c r="B39" s="356"/>
      <c r="C39" s="433" t="s">
        <v>215</v>
      </c>
      <c r="D39" s="433"/>
      <c r="E39" s="434"/>
      <c r="F39" s="435"/>
      <c r="G39" s="435"/>
      <c r="H39" s="292">
        <f t="shared" si="0"/>
        <v>0</v>
      </c>
      <c r="I39" s="364"/>
    </row>
    <row r="40" spans="1:9" ht="15.9" customHeight="1" x14ac:dyDescent="0.25">
      <c r="A40" s="432"/>
      <c r="B40" s="356"/>
      <c r="C40" s="363" t="s">
        <v>216</v>
      </c>
      <c r="D40" s="363" t="s">
        <v>217</v>
      </c>
      <c r="E40" s="365" t="s">
        <v>167</v>
      </c>
      <c r="F40" s="436">
        <v>1</v>
      </c>
      <c r="G40" s="367">
        <v>350000</v>
      </c>
      <c r="H40" s="292">
        <f t="shared" si="0"/>
        <v>350000</v>
      </c>
      <c r="I40" s="364"/>
    </row>
    <row r="41" spans="1:9" ht="15.9" customHeight="1" x14ac:dyDescent="0.25">
      <c r="A41" s="432"/>
      <c r="B41" s="356"/>
      <c r="C41" s="363" t="s">
        <v>218</v>
      </c>
      <c r="D41" s="363" t="s">
        <v>219</v>
      </c>
      <c r="E41" s="365" t="s">
        <v>167</v>
      </c>
      <c r="F41" s="436">
        <v>20</v>
      </c>
      <c r="G41" s="367">
        <v>75000</v>
      </c>
      <c r="H41" s="292">
        <f t="shared" si="0"/>
        <v>1500000</v>
      </c>
      <c r="I41" s="364"/>
    </row>
    <row r="42" spans="1:9" ht="15.9" customHeight="1" x14ac:dyDescent="0.25">
      <c r="A42" s="432"/>
      <c r="B42" s="356"/>
      <c r="C42" s="363" t="s">
        <v>220</v>
      </c>
      <c r="D42" s="363" t="s">
        <v>221</v>
      </c>
      <c r="E42" s="365" t="s">
        <v>167</v>
      </c>
      <c r="F42" s="436">
        <v>2</v>
      </c>
      <c r="G42" s="367">
        <v>850000</v>
      </c>
      <c r="H42" s="292">
        <f t="shared" si="0"/>
        <v>1700000</v>
      </c>
      <c r="I42" s="364"/>
    </row>
    <row r="43" spans="1:9" ht="15.9" customHeight="1" x14ac:dyDescent="0.25">
      <c r="A43" s="432"/>
      <c r="B43" s="356"/>
      <c r="C43" s="363" t="s">
        <v>222</v>
      </c>
      <c r="D43" s="363"/>
      <c r="E43" s="365" t="s">
        <v>167</v>
      </c>
      <c r="F43" s="436">
        <v>20</v>
      </c>
      <c r="G43" s="367">
        <v>7000</v>
      </c>
      <c r="H43" s="292">
        <f t="shared" si="0"/>
        <v>140000</v>
      </c>
      <c r="I43" s="364"/>
    </row>
    <row r="44" spans="1:9" ht="15.9" customHeight="1" x14ac:dyDescent="0.25">
      <c r="A44" s="432"/>
      <c r="B44" s="356"/>
      <c r="C44" s="363" t="s">
        <v>223</v>
      </c>
      <c r="D44" s="363"/>
      <c r="E44" s="365" t="s">
        <v>167</v>
      </c>
      <c r="F44" s="436">
        <v>1</v>
      </c>
      <c r="G44" s="367">
        <v>100000</v>
      </c>
      <c r="H44" s="292">
        <f t="shared" si="0"/>
        <v>100000</v>
      </c>
      <c r="I44" s="364"/>
    </row>
    <row r="45" spans="1:9" ht="15.9" customHeight="1" x14ac:dyDescent="0.25">
      <c r="A45" s="432"/>
      <c r="B45" s="356"/>
      <c r="C45" s="433" t="s">
        <v>224</v>
      </c>
      <c r="D45" s="433"/>
      <c r="E45" s="434" t="s">
        <v>167</v>
      </c>
      <c r="F45" s="435">
        <v>1</v>
      </c>
      <c r="G45" s="435">
        <v>100000</v>
      </c>
      <c r="H45" s="292">
        <f t="shared" si="0"/>
        <v>100000</v>
      </c>
      <c r="I45" s="364"/>
    </row>
    <row r="46" spans="1:9" ht="15.9" customHeight="1" x14ac:dyDescent="0.25">
      <c r="A46" s="432"/>
      <c r="B46" s="356"/>
      <c r="C46" s="363"/>
      <c r="D46" s="363"/>
      <c r="E46" s="365"/>
      <c r="F46" s="436"/>
      <c r="G46" s="367"/>
      <c r="H46" s="292">
        <f t="shared" si="0"/>
        <v>0</v>
      </c>
      <c r="I46" s="390"/>
    </row>
    <row r="47" spans="1:9" ht="15.9" customHeight="1" x14ac:dyDescent="0.25">
      <c r="A47" s="432"/>
      <c r="B47" s="356"/>
      <c r="C47" s="368" t="s">
        <v>313</v>
      </c>
      <c r="D47" s="368"/>
      <c r="E47" s="369" t="s">
        <v>167</v>
      </c>
      <c r="F47" s="371">
        <v>1</v>
      </c>
      <c r="G47" s="371">
        <v>500000</v>
      </c>
      <c r="H47" s="402"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SUM(H27:H47)</f>
        <v>10110000</v>
      </c>
      <c r="I48" s="68"/>
    </row>
    <row r="49" spans="1:9" ht="15.9" customHeight="1" x14ac:dyDescent="0.25">
      <c r="A49" s="432"/>
      <c r="B49" s="398" t="s">
        <v>61</v>
      </c>
      <c r="C49" s="380"/>
      <c r="D49" s="380"/>
      <c r="E49" s="381"/>
      <c r="F49" s="382"/>
      <c r="G49" s="383"/>
      <c r="H49" s="384">
        <f t="shared" si="0"/>
        <v>0</v>
      </c>
      <c r="I49" s="385"/>
    </row>
    <row r="50" spans="1:9" ht="15.9" customHeight="1" x14ac:dyDescent="0.25">
      <c r="A50" s="432"/>
      <c r="B50" s="356"/>
      <c r="C50" s="363"/>
      <c r="D50" s="363"/>
      <c r="E50" s="365"/>
      <c r="F50" s="366"/>
      <c r="G50" s="367"/>
      <c r="H50" s="292">
        <f t="shared" si="0"/>
        <v>0</v>
      </c>
      <c r="I50" s="364"/>
    </row>
    <row r="51" spans="1:9" ht="15.9" customHeight="1" x14ac:dyDescent="0.25">
      <c r="A51" s="432"/>
      <c r="B51" s="356"/>
      <c r="C51" s="363"/>
      <c r="D51" s="363"/>
      <c r="E51" s="363"/>
      <c r="F51" s="367"/>
      <c r="G51" s="367"/>
      <c r="H51" s="292">
        <f t="shared" si="0"/>
        <v>0</v>
      </c>
      <c r="I51" s="364"/>
    </row>
    <row r="52" spans="1:9" ht="15.9" customHeight="1" x14ac:dyDescent="0.25">
      <c r="A52" s="432"/>
      <c r="B52" s="356"/>
      <c r="C52" s="363"/>
      <c r="D52" s="363"/>
      <c r="E52" s="363"/>
      <c r="F52" s="367"/>
      <c r="G52" s="367"/>
      <c r="H52" s="292">
        <f t="shared" si="0"/>
        <v>0</v>
      </c>
      <c r="I52" s="364"/>
    </row>
    <row r="53" spans="1:9" ht="15.9" customHeight="1" x14ac:dyDescent="0.25">
      <c r="A53" s="432"/>
      <c r="B53" s="356"/>
      <c r="C53" s="363"/>
      <c r="D53" s="363"/>
      <c r="E53" s="363"/>
      <c r="F53" s="367"/>
      <c r="G53" s="367"/>
      <c r="H53" s="292">
        <f t="shared" si="0"/>
        <v>0</v>
      </c>
      <c r="I53" s="364"/>
    </row>
    <row r="54" spans="1:9" ht="15.9" customHeight="1" x14ac:dyDescent="0.25">
      <c r="A54" s="432"/>
      <c r="B54" s="356"/>
      <c r="C54" s="363"/>
      <c r="D54" s="363"/>
      <c r="E54" s="363"/>
      <c r="F54" s="367"/>
      <c r="G54" s="367"/>
      <c r="H54" s="292">
        <f t="shared" si="0"/>
        <v>0</v>
      </c>
      <c r="I54" s="364"/>
    </row>
    <row r="55" spans="1:9" ht="15.9" customHeight="1" x14ac:dyDescent="0.25">
      <c r="A55" s="432"/>
      <c r="B55" s="356"/>
      <c r="C55" s="368" t="s">
        <v>225</v>
      </c>
      <c r="D55" s="368"/>
      <c r="E55" s="368"/>
      <c r="F55" s="371"/>
      <c r="G55" s="371"/>
      <c r="H55" s="402">
        <f t="shared" si="0"/>
        <v>0</v>
      </c>
      <c r="I55" s="372"/>
    </row>
    <row r="56" spans="1:9" ht="15.9" customHeight="1" x14ac:dyDescent="0.25">
      <c r="A56" s="432"/>
      <c r="B56" s="373"/>
      <c r="C56" s="374"/>
      <c r="D56" s="375"/>
      <c r="E56" s="375"/>
      <c r="F56" s="377"/>
      <c r="G56" s="377"/>
      <c r="H56" s="378">
        <f>SUM(H49:H55)</f>
        <v>0</v>
      </c>
      <c r="I56" s="68"/>
    </row>
    <row r="57" spans="1:9" ht="15.9" customHeight="1" x14ac:dyDescent="0.25">
      <c r="A57" s="403"/>
      <c r="B57" s="404" t="s">
        <v>149</v>
      </c>
      <c r="C57" s="405"/>
      <c r="D57" s="68"/>
      <c r="E57" s="68"/>
      <c r="F57" s="407"/>
      <c r="G57" s="407"/>
      <c r="H57" s="378">
        <f>SUM(H56,H48,H26,H20)</f>
        <v>25010000</v>
      </c>
      <c r="I57" s="68"/>
    </row>
    <row r="58" spans="1:9" ht="15.9" customHeight="1" x14ac:dyDescent="0.25">
      <c r="A58" s="446" t="s">
        <v>150</v>
      </c>
      <c r="B58" s="409" t="s">
        <v>67</v>
      </c>
      <c r="C58" s="405"/>
      <c r="D58" s="68"/>
      <c r="E58" s="410" t="s">
        <v>68</v>
      </c>
      <c r="F58" s="427">
        <v>0</v>
      </c>
      <c r="G58" s="427">
        <v>250000</v>
      </c>
      <c r="H58" s="413">
        <f>F58*G58</f>
        <v>0</v>
      </c>
      <c r="I58" s="68"/>
    </row>
    <row r="59" spans="1:9" ht="15.9" customHeight="1" x14ac:dyDescent="0.25">
      <c r="A59" s="432"/>
      <c r="B59" s="415" t="s">
        <v>228</v>
      </c>
      <c r="C59" s="416"/>
      <c r="D59" s="385"/>
      <c r="E59" s="417" t="s">
        <v>152</v>
      </c>
      <c r="F59" s="383">
        <v>35</v>
      </c>
      <c r="G59" s="443">
        <v>300000</v>
      </c>
      <c r="H59" s="384">
        <f t="shared" ref="H59:H65" si="3">F59*G59</f>
        <v>10500000</v>
      </c>
      <c r="I59" s="385"/>
    </row>
    <row r="60" spans="1:9" ht="15.9" customHeight="1" x14ac:dyDescent="0.25">
      <c r="A60" s="432"/>
      <c r="B60" s="447" t="s">
        <v>229</v>
      </c>
      <c r="C60" s="419"/>
      <c r="D60" s="364"/>
      <c r="E60" s="420" t="s">
        <v>152</v>
      </c>
      <c r="F60" s="367">
        <v>15</v>
      </c>
      <c r="G60" s="435">
        <v>250000</v>
      </c>
      <c r="H60" s="292">
        <f t="shared" si="3"/>
        <v>3750000</v>
      </c>
      <c r="I60" s="364"/>
    </row>
    <row r="61" spans="1:9" ht="15.9" customHeight="1" x14ac:dyDescent="0.25">
      <c r="A61" s="432"/>
      <c r="B61" s="418" t="s">
        <v>230</v>
      </c>
      <c r="C61" s="419"/>
      <c r="D61" s="364"/>
      <c r="E61" s="420" t="s">
        <v>152</v>
      </c>
      <c r="F61" s="367">
        <v>30</v>
      </c>
      <c r="G61" s="435">
        <v>250000</v>
      </c>
      <c r="H61" s="292">
        <f t="shared" si="3"/>
        <v>7500000</v>
      </c>
      <c r="I61" s="364"/>
    </row>
    <row r="62" spans="1:9" ht="15.9" customHeight="1" x14ac:dyDescent="0.25">
      <c r="A62" s="432"/>
      <c r="B62" s="418" t="s">
        <v>231</v>
      </c>
      <c r="C62" s="419"/>
      <c r="D62" s="364"/>
      <c r="E62" s="420" t="s">
        <v>152</v>
      </c>
      <c r="F62" s="367">
        <v>6</v>
      </c>
      <c r="G62" s="367">
        <v>300000</v>
      </c>
      <c r="H62" s="292">
        <f t="shared" si="3"/>
        <v>1800000</v>
      </c>
      <c r="I62" s="364"/>
    </row>
    <row r="63" spans="1:9" ht="15.9" customHeight="1" x14ac:dyDescent="0.25">
      <c r="A63" s="432"/>
      <c r="B63" s="418" t="s">
        <v>232</v>
      </c>
      <c r="C63" s="419"/>
      <c r="D63" s="364"/>
      <c r="E63" s="420" t="s">
        <v>152</v>
      </c>
      <c r="F63" s="367">
        <v>4</v>
      </c>
      <c r="G63" s="367">
        <v>300000</v>
      </c>
      <c r="H63" s="292">
        <f t="shared" si="3"/>
        <v>1200000</v>
      </c>
      <c r="I63" s="364"/>
    </row>
    <row r="64" spans="1:9" ht="15.9" customHeight="1" x14ac:dyDescent="0.25">
      <c r="A64" s="432"/>
      <c r="B64" s="418" t="s">
        <v>233</v>
      </c>
      <c r="C64" s="419"/>
      <c r="D64" s="364"/>
      <c r="E64" s="420" t="s">
        <v>152</v>
      </c>
      <c r="F64" s="367">
        <v>4</v>
      </c>
      <c r="G64" s="367">
        <v>300000</v>
      </c>
      <c r="H64" s="292">
        <f t="shared" si="3"/>
        <v>1200000</v>
      </c>
      <c r="I64" s="364"/>
    </row>
    <row r="65" spans="1:9" ht="15.9" customHeight="1" x14ac:dyDescent="0.25">
      <c r="A65" s="432"/>
      <c r="B65" s="421" t="s">
        <v>234</v>
      </c>
      <c r="C65" s="422"/>
      <c r="D65" s="372"/>
      <c r="E65" s="420" t="s">
        <v>152</v>
      </c>
      <c r="F65" s="371">
        <v>3</v>
      </c>
      <c r="G65" s="455">
        <v>250000</v>
      </c>
      <c r="H65" s="402">
        <f t="shared" si="3"/>
        <v>750000</v>
      </c>
      <c r="I65" s="372"/>
    </row>
    <row r="66" spans="1:9" ht="15.9" customHeight="1" x14ac:dyDescent="0.25">
      <c r="A66" s="403"/>
      <c r="B66" s="424" t="s">
        <v>158</v>
      </c>
      <c r="C66" s="405"/>
      <c r="D66" s="68"/>
      <c r="E66" s="68"/>
      <c r="F66" s="377"/>
      <c r="G66" s="377"/>
      <c r="H66" s="377">
        <f>SUM(H58:H65)</f>
        <v>26700000</v>
      </c>
      <c r="I66" s="375"/>
    </row>
    <row r="67" spans="1:9" ht="15.9" customHeight="1" x14ac:dyDescent="0.25">
      <c r="A67" s="410"/>
      <c r="B67" s="424" t="s">
        <v>235</v>
      </c>
      <c r="C67" s="405"/>
      <c r="D67" s="68"/>
      <c r="E67" s="68"/>
      <c r="F67" s="378"/>
      <c r="G67" s="378"/>
      <c r="H67" s="407">
        <f>'단위공사별(집계)'!L17+'단위공사별(집계)'!I17</f>
        <v>216890.40383521572</v>
      </c>
      <c r="I67" s="68"/>
    </row>
    <row r="68" spans="1:9" ht="15.9" customHeight="1" x14ac:dyDescent="0.25">
      <c r="A68" s="410"/>
      <c r="B68" s="424" t="s">
        <v>93</v>
      </c>
      <c r="C68" s="405"/>
      <c r="D68" s="68"/>
      <c r="E68" s="68"/>
      <c r="F68" s="378"/>
      <c r="G68" s="426"/>
      <c r="H68" s="427">
        <v>0</v>
      </c>
      <c r="I68" s="405"/>
    </row>
    <row r="69" spans="1:9" ht="15.9" customHeight="1" x14ac:dyDescent="0.25">
      <c r="A69" s="410"/>
      <c r="B69" s="424" t="s">
        <v>161</v>
      </c>
      <c r="C69" s="405"/>
      <c r="D69" s="68"/>
      <c r="E69" s="68"/>
      <c r="F69" s="378"/>
      <c r="G69" s="426"/>
      <c r="H69" s="427">
        <v>0</v>
      </c>
      <c r="I69" s="405"/>
    </row>
    <row r="70" spans="1:9" ht="15.9" customHeight="1" x14ac:dyDescent="0.25">
      <c r="A70" s="410"/>
      <c r="B70" s="424" t="s">
        <v>162</v>
      </c>
      <c r="C70" s="405"/>
      <c r="D70" s="68"/>
      <c r="E70" s="68"/>
      <c r="F70" s="378"/>
      <c r="G70" s="378"/>
      <c r="H70" s="377">
        <f>H57+H66+H67+H68+H69</f>
        <v>51926890.403835215</v>
      </c>
      <c r="I70" s="68"/>
    </row>
    <row r="71" spans="1:9" x14ac:dyDescent="0.25">
      <c r="A71" s="254"/>
    </row>
  </sheetData>
  <mergeCells count="3">
    <mergeCell ref="A2:B2"/>
    <mergeCell ref="A3:A56"/>
    <mergeCell ref="A58:A6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BBDC-E4BA-4DF6-83AB-BD267E5982DE}">
  <sheetPr>
    <tabColor rgb="FF00B050"/>
    <pageSetUpPr fitToPage="1"/>
  </sheetPr>
  <dimension ref="A1:I65"/>
  <sheetViews>
    <sheetView zoomScaleNormal="100" workbookViewId="0">
      <pane xSplit="2" ySplit="2" topLeftCell="C35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352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>IF(F5=0,G5,G5*F5)</f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1" si="0">IF(F6=0,G6,G6*F6)</f>
        <v>600000</v>
      </c>
      <c r="I6" s="364"/>
    </row>
    <row r="7" spans="1:9" ht="15.9" customHeight="1" x14ac:dyDescent="0.25">
      <c r="A7" s="432"/>
      <c r="B7" s="356"/>
      <c r="C7" s="363" t="s">
        <v>353</v>
      </c>
      <c r="D7" s="363"/>
      <c r="E7" s="365" t="s">
        <v>167</v>
      </c>
      <c r="F7" s="367">
        <v>1</v>
      </c>
      <c r="G7" s="367">
        <v>5000000</v>
      </c>
      <c r="H7" s="292">
        <f t="shared" si="0"/>
        <v>5000000</v>
      </c>
      <c r="I7" s="364"/>
    </row>
    <row r="8" spans="1:9" ht="15.9" customHeight="1" x14ac:dyDescent="0.25">
      <c r="A8" s="432"/>
      <c r="B8" s="356"/>
      <c r="C8" s="363" t="s">
        <v>325</v>
      </c>
      <c r="D8" s="363" t="s">
        <v>354</v>
      </c>
      <c r="E8" s="365" t="s">
        <v>167</v>
      </c>
      <c r="F8" s="367">
        <v>1</v>
      </c>
      <c r="G8" s="367">
        <v>650000</v>
      </c>
      <c r="H8" s="292">
        <f t="shared" si="0"/>
        <v>650000</v>
      </c>
      <c r="I8" s="364"/>
    </row>
    <row r="9" spans="1:9" ht="15.9" customHeight="1" x14ac:dyDescent="0.25">
      <c r="A9" s="432"/>
      <c r="B9" s="356"/>
      <c r="C9" s="363"/>
      <c r="D9" s="363" t="s">
        <v>355</v>
      </c>
      <c r="E9" s="365" t="s">
        <v>167</v>
      </c>
      <c r="F9" s="367">
        <v>1</v>
      </c>
      <c r="G9" s="367">
        <v>1500000</v>
      </c>
      <c r="H9" s="292">
        <f t="shared" si="0"/>
        <v>1500000</v>
      </c>
      <c r="I9" s="364"/>
    </row>
    <row r="10" spans="1:9" ht="15.9" customHeight="1" x14ac:dyDescent="0.25">
      <c r="A10" s="432"/>
      <c r="B10" s="356"/>
      <c r="C10" s="363" t="s">
        <v>321</v>
      </c>
      <c r="D10" s="363"/>
      <c r="E10" s="365" t="s">
        <v>167</v>
      </c>
      <c r="F10" s="367">
        <v>1</v>
      </c>
      <c r="G10" s="367">
        <v>1300000</v>
      </c>
      <c r="H10" s="292">
        <f t="shared" si="0"/>
        <v>1300000</v>
      </c>
      <c r="I10" s="364"/>
    </row>
    <row r="11" spans="1:9" ht="15.9" customHeight="1" x14ac:dyDescent="0.25">
      <c r="A11" s="432"/>
      <c r="B11" s="356"/>
      <c r="C11" s="387"/>
      <c r="D11" s="387"/>
      <c r="E11" s="437"/>
      <c r="F11" s="389"/>
      <c r="G11" s="389"/>
      <c r="H11" s="292">
        <f t="shared" si="0"/>
        <v>0</v>
      </c>
      <c r="I11" s="364"/>
    </row>
    <row r="12" spans="1:9" ht="15.9" customHeight="1" x14ac:dyDescent="0.25">
      <c r="A12" s="432"/>
      <c r="B12" s="356"/>
      <c r="C12" s="368" t="s">
        <v>254</v>
      </c>
      <c r="D12" s="387"/>
      <c r="E12" s="437" t="s">
        <v>167</v>
      </c>
      <c r="F12" s="389">
        <v>1</v>
      </c>
      <c r="G12" s="389">
        <v>200000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14050000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49" si="1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1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1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1"/>
        <v>0</v>
      </c>
      <c r="I17" s="364"/>
    </row>
    <row r="18" spans="1:9" ht="15.9" customHeight="1" x14ac:dyDescent="0.25">
      <c r="A18" s="432"/>
      <c r="B18" s="356"/>
      <c r="C18" s="368" t="s">
        <v>225</v>
      </c>
      <c r="D18" s="368"/>
      <c r="E18" s="368"/>
      <c r="F18" s="371"/>
      <c r="G18" s="371"/>
      <c r="H18" s="292">
        <f t="shared" si="1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445" t="s">
        <v>356</v>
      </c>
      <c r="D20" s="444"/>
      <c r="E20" s="400"/>
      <c r="F20" s="452"/>
      <c r="G20" s="401"/>
      <c r="H20" s="292">
        <f t="shared" ref="H20:H40" si="2">IF(F20=0,G20,G20*F20)</f>
        <v>0</v>
      </c>
      <c r="I20" s="385"/>
    </row>
    <row r="21" spans="1:9" ht="15.9" customHeight="1" x14ac:dyDescent="0.25">
      <c r="A21" s="432"/>
      <c r="B21" s="356" t="s">
        <v>182</v>
      </c>
      <c r="C21" s="445" t="s">
        <v>357</v>
      </c>
      <c r="D21" s="363" t="s">
        <v>358</v>
      </c>
      <c r="E21" s="365" t="s">
        <v>184</v>
      </c>
      <c r="F21" s="367">
        <v>1</v>
      </c>
      <c r="G21" s="367">
        <v>2500000</v>
      </c>
      <c r="H21" s="292">
        <f t="shared" si="2"/>
        <v>2500000</v>
      </c>
      <c r="I21" s="364"/>
    </row>
    <row r="22" spans="1:9" ht="15.9" customHeight="1" x14ac:dyDescent="0.25">
      <c r="A22" s="432"/>
      <c r="B22" s="356"/>
      <c r="C22" s="363" t="s">
        <v>359</v>
      </c>
      <c r="D22" s="363" t="s">
        <v>360</v>
      </c>
      <c r="E22" s="365" t="s">
        <v>167</v>
      </c>
      <c r="F22" s="367">
        <v>1</v>
      </c>
      <c r="G22" s="367">
        <v>1000000</v>
      </c>
      <c r="H22" s="292">
        <f t="shared" si="2"/>
        <v>1000000</v>
      </c>
      <c r="I22" s="364"/>
    </row>
    <row r="23" spans="1:9" ht="15.9" customHeight="1" x14ac:dyDescent="0.25">
      <c r="A23" s="432"/>
      <c r="B23" s="356"/>
      <c r="C23" s="363" t="s">
        <v>196</v>
      </c>
      <c r="D23" s="363"/>
      <c r="E23" s="365" t="s">
        <v>184</v>
      </c>
      <c r="F23" s="367">
        <v>1</v>
      </c>
      <c r="G23" s="367">
        <v>100000</v>
      </c>
      <c r="H23" s="292">
        <f t="shared" si="2"/>
        <v>100000</v>
      </c>
      <c r="I23" s="364"/>
    </row>
    <row r="24" spans="1:9" ht="15.9" customHeight="1" x14ac:dyDescent="0.25">
      <c r="A24" s="432"/>
      <c r="B24" s="356"/>
      <c r="C24" s="363" t="s">
        <v>195</v>
      </c>
      <c r="D24" s="363"/>
      <c r="E24" s="365" t="s">
        <v>184</v>
      </c>
      <c r="F24" s="367">
        <v>5</v>
      </c>
      <c r="G24" s="367">
        <v>40000</v>
      </c>
      <c r="H24" s="292">
        <f t="shared" si="2"/>
        <v>200000</v>
      </c>
      <c r="I24" s="364"/>
    </row>
    <row r="25" spans="1:9" ht="15.75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2"/>
        <v>0</v>
      </c>
      <c r="I25" s="364"/>
    </row>
    <row r="26" spans="1:9" ht="15.9" customHeight="1" x14ac:dyDescent="0.25">
      <c r="A26" s="432"/>
      <c r="B26" s="356"/>
      <c r="C26" s="363" t="s">
        <v>325</v>
      </c>
      <c r="D26" s="363"/>
      <c r="E26" s="365"/>
      <c r="F26" s="367"/>
      <c r="G26" s="367"/>
      <c r="H26" s="292">
        <f t="shared" si="2"/>
        <v>0</v>
      </c>
      <c r="I26" s="364"/>
    </row>
    <row r="27" spans="1:9" ht="15.9" customHeight="1" x14ac:dyDescent="0.25">
      <c r="A27" s="432"/>
      <c r="B27" s="356"/>
      <c r="C27" s="363" t="s">
        <v>326</v>
      </c>
      <c r="D27" s="363" t="s">
        <v>327</v>
      </c>
      <c r="E27" s="365" t="s">
        <v>167</v>
      </c>
      <c r="F27" s="367">
        <v>1</v>
      </c>
      <c r="G27" s="367">
        <v>20000000</v>
      </c>
      <c r="H27" s="292">
        <f t="shared" si="2"/>
        <v>20000000</v>
      </c>
      <c r="I27" s="364"/>
    </row>
    <row r="28" spans="1:9" ht="15.9" customHeight="1" x14ac:dyDescent="0.25">
      <c r="A28" s="432"/>
      <c r="B28" s="356"/>
      <c r="C28" s="363" t="s">
        <v>328</v>
      </c>
      <c r="D28" s="363"/>
      <c r="E28" s="365" t="s">
        <v>184</v>
      </c>
      <c r="F28" s="367">
        <v>1</v>
      </c>
      <c r="G28" s="367">
        <v>800000</v>
      </c>
      <c r="H28" s="292">
        <f t="shared" si="2"/>
        <v>800000</v>
      </c>
      <c r="I28" s="364"/>
    </row>
    <row r="29" spans="1:9" ht="15.9" customHeight="1" x14ac:dyDescent="0.25">
      <c r="A29" s="432"/>
      <c r="B29" s="356"/>
      <c r="C29" s="363" t="s">
        <v>195</v>
      </c>
      <c r="D29" s="363"/>
      <c r="E29" s="365" t="s">
        <v>184</v>
      </c>
      <c r="F29" s="367">
        <v>2</v>
      </c>
      <c r="G29" s="367">
        <v>40000</v>
      </c>
      <c r="H29" s="292">
        <f t="shared" si="2"/>
        <v>80000</v>
      </c>
      <c r="I29" s="364"/>
    </row>
    <row r="30" spans="1:9" ht="15.9" customHeight="1" x14ac:dyDescent="0.25">
      <c r="A30" s="432"/>
      <c r="B30" s="356"/>
      <c r="C30" s="363" t="s">
        <v>199</v>
      </c>
      <c r="D30" s="363"/>
      <c r="E30" s="365" t="s">
        <v>167</v>
      </c>
      <c r="F30" s="367">
        <v>1</v>
      </c>
      <c r="G30" s="367">
        <v>500000</v>
      </c>
      <c r="H30" s="292">
        <f t="shared" si="2"/>
        <v>500000</v>
      </c>
      <c r="I30" s="364"/>
    </row>
    <row r="31" spans="1:9" ht="15.9" customHeight="1" x14ac:dyDescent="0.25">
      <c r="A31" s="432"/>
      <c r="B31" s="356"/>
      <c r="C31" s="363" t="s">
        <v>321</v>
      </c>
      <c r="D31" s="363"/>
      <c r="E31" s="365" t="s">
        <v>167</v>
      </c>
      <c r="F31" s="367">
        <v>2</v>
      </c>
      <c r="G31" s="367">
        <v>600000</v>
      </c>
      <c r="H31" s="292">
        <f t="shared" si="2"/>
        <v>1200000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 t="shared" si="2"/>
        <v>0</v>
      </c>
      <c r="I32" s="364"/>
    </row>
    <row r="33" spans="1:9" ht="15.9" customHeight="1" x14ac:dyDescent="0.25">
      <c r="A33" s="432"/>
      <c r="B33" s="356"/>
      <c r="C33" s="433" t="s">
        <v>215</v>
      </c>
      <c r="D33" s="433"/>
      <c r="E33" s="434"/>
      <c r="F33" s="435"/>
      <c r="G33" s="435"/>
      <c r="H33" s="292">
        <f t="shared" si="2"/>
        <v>0</v>
      </c>
      <c r="I33" s="364"/>
    </row>
    <row r="34" spans="1:9" ht="15.9" customHeight="1" x14ac:dyDescent="0.25">
      <c r="A34" s="432"/>
      <c r="B34" s="356"/>
      <c r="C34" s="363" t="s">
        <v>216</v>
      </c>
      <c r="D34" s="363" t="s">
        <v>217</v>
      </c>
      <c r="E34" s="365" t="s">
        <v>167</v>
      </c>
      <c r="F34" s="436">
        <v>1</v>
      </c>
      <c r="G34" s="367">
        <v>350000</v>
      </c>
      <c r="H34" s="292">
        <f t="shared" si="2"/>
        <v>350000</v>
      </c>
      <c r="I34" s="364"/>
    </row>
    <row r="35" spans="1:9" ht="15.9" customHeight="1" x14ac:dyDescent="0.25">
      <c r="A35" s="432"/>
      <c r="B35" s="356"/>
      <c r="C35" s="363" t="s">
        <v>218</v>
      </c>
      <c r="D35" s="363" t="s">
        <v>219</v>
      </c>
      <c r="E35" s="365" t="s">
        <v>167</v>
      </c>
      <c r="F35" s="436">
        <v>10</v>
      </c>
      <c r="G35" s="367">
        <v>75000</v>
      </c>
      <c r="H35" s="292">
        <f t="shared" si="2"/>
        <v>750000</v>
      </c>
      <c r="I35" s="364"/>
    </row>
    <row r="36" spans="1:9" ht="15.9" customHeight="1" x14ac:dyDescent="0.25">
      <c r="A36" s="432"/>
      <c r="B36" s="356"/>
      <c r="C36" s="363" t="s">
        <v>220</v>
      </c>
      <c r="D36" s="363" t="s">
        <v>221</v>
      </c>
      <c r="E36" s="365" t="s">
        <v>167</v>
      </c>
      <c r="F36" s="436">
        <v>1</v>
      </c>
      <c r="G36" s="367">
        <v>850000</v>
      </c>
      <c r="H36" s="292">
        <f t="shared" si="2"/>
        <v>850000</v>
      </c>
      <c r="I36" s="364"/>
    </row>
    <row r="37" spans="1:9" ht="15.9" customHeight="1" x14ac:dyDescent="0.25">
      <c r="A37" s="432"/>
      <c r="B37" s="356"/>
      <c r="C37" s="363" t="s">
        <v>222</v>
      </c>
      <c r="D37" s="363"/>
      <c r="E37" s="365" t="s">
        <v>167</v>
      </c>
      <c r="F37" s="436">
        <v>20</v>
      </c>
      <c r="G37" s="367">
        <v>7000</v>
      </c>
      <c r="H37" s="292">
        <f t="shared" si="2"/>
        <v>140000</v>
      </c>
      <c r="I37" s="364"/>
    </row>
    <row r="38" spans="1:9" ht="15.9" customHeight="1" x14ac:dyDescent="0.25">
      <c r="A38" s="432"/>
      <c r="B38" s="356"/>
      <c r="C38" s="363" t="s">
        <v>223</v>
      </c>
      <c r="D38" s="363"/>
      <c r="E38" s="365" t="s">
        <v>167</v>
      </c>
      <c r="F38" s="436">
        <v>1</v>
      </c>
      <c r="G38" s="367">
        <v>100000</v>
      </c>
      <c r="H38" s="292">
        <f t="shared" si="2"/>
        <v>100000</v>
      </c>
      <c r="I38" s="364"/>
    </row>
    <row r="39" spans="1:9" ht="15.9" customHeight="1" x14ac:dyDescent="0.25">
      <c r="A39" s="432"/>
      <c r="B39" s="356"/>
      <c r="C39" s="433" t="s">
        <v>224</v>
      </c>
      <c r="D39" s="433"/>
      <c r="E39" s="434" t="s">
        <v>167</v>
      </c>
      <c r="F39" s="435">
        <v>1</v>
      </c>
      <c r="G39" s="435">
        <v>100000</v>
      </c>
      <c r="H39" s="292">
        <f t="shared" si="2"/>
        <v>100000</v>
      </c>
      <c r="I39" s="364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si="2"/>
        <v>0</v>
      </c>
      <c r="I40" s="364"/>
    </row>
    <row r="41" spans="1:9" ht="15.9" customHeight="1" x14ac:dyDescent="0.25">
      <c r="A41" s="432"/>
      <c r="B41" s="356"/>
      <c r="C41" s="368" t="s">
        <v>313</v>
      </c>
      <c r="D41" s="368"/>
      <c r="E41" s="369" t="s">
        <v>167</v>
      </c>
      <c r="F41" s="371">
        <v>1</v>
      </c>
      <c r="G41" s="371">
        <v>200000</v>
      </c>
      <c r="H41" s="292">
        <v>0</v>
      </c>
      <c r="I41" s="372"/>
    </row>
    <row r="42" spans="1:9" ht="15.9" customHeight="1" x14ac:dyDescent="0.25">
      <c r="A42" s="432"/>
      <c r="B42" s="373"/>
      <c r="C42" s="374"/>
      <c r="D42" s="375"/>
      <c r="E42" s="375"/>
      <c r="F42" s="377"/>
      <c r="G42" s="377"/>
      <c r="H42" s="378">
        <f>SUM(H20:H41)</f>
        <v>28670000</v>
      </c>
      <c r="I42" s="68"/>
    </row>
    <row r="43" spans="1:9" ht="15.9" customHeight="1" x14ac:dyDescent="0.25">
      <c r="A43" s="432"/>
      <c r="B43" s="398" t="s">
        <v>61</v>
      </c>
      <c r="C43" s="380"/>
      <c r="D43" s="380"/>
      <c r="E43" s="380"/>
      <c r="F43" s="383"/>
      <c r="G43" s="383"/>
      <c r="H43" s="384">
        <f t="shared" si="1"/>
        <v>0</v>
      </c>
      <c r="I43" s="385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1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1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1"/>
        <v>0</v>
      </c>
      <c r="I46" s="364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1"/>
        <v>0</v>
      </c>
      <c r="I47" s="364"/>
    </row>
    <row r="48" spans="1:9" ht="15.9" customHeight="1" x14ac:dyDescent="0.25">
      <c r="A48" s="432"/>
      <c r="B48" s="356"/>
      <c r="C48" s="363"/>
      <c r="D48" s="363"/>
      <c r="E48" s="363"/>
      <c r="F48" s="367"/>
      <c r="G48" s="367"/>
      <c r="H48" s="292">
        <f t="shared" si="1"/>
        <v>0</v>
      </c>
      <c r="I48" s="364"/>
    </row>
    <row r="49" spans="1:9" ht="15.9" customHeight="1" x14ac:dyDescent="0.25">
      <c r="A49" s="432"/>
      <c r="B49" s="356"/>
      <c r="C49" s="368" t="s">
        <v>225</v>
      </c>
      <c r="D49" s="368"/>
      <c r="E49" s="368"/>
      <c r="F49" s="371"/>
      <c r="G49" s="371"/>
      <c r="H49" s="402">
        <f t="shared" si="1"/>
        <v>0</v>
      </c>
      <c r="I49" s="372"/>
    </row>
    <row r="50" spans="1:9" ht="15.9" customHeight="1" x14ac:dyDescent="0.25">
      <c r="A50" s="432"/>
      <c r="B50" s="373"/>
      <c r="C50" s="374"/>
      <c r="D50" s="375"/>
      <c r="E50" s="375"/>
      <c r="F50" s="377"/>
      <c r="G50" s="377"/>
      <c r="H50" s="378">
        <f>SUM(H43:H49)</f>
        <v>0</v>
      </c>
      <c r="I50" s="68"/>
    </row>
    <row r="51" spans="1:9" ht="15.9" customHeight="1" x14ac:dyDescent="0.25">
      <c r="A51" s="403"/>
      <c r="B51" s="404" t="s">
        <v>149</v>
      </c>
      <c r="C51" s="405"/>
      <c r="D51" s="68"/>
      <c r="E51" s="68"/>
      <c r="F51" s="407"/>
      <c r="G51" s="407"/>
      <c r="H51" s="378">
        <f>SUM(H50,H42,H19,H13)</f>
        <v>42720000</v>
      </c>
      <c r="I51" s="68"/>
    </row>
    <row r="52" spans="1:9" ht="15.9" customHeight="1" x14ac:dyDescent="0.25">
      <c r="A52" s="446" t="s">
        <v>150</v>
      </c>
      <c r="B52" s="409" t="s">
        <v>67</v>
      </c>
      <c r="C52" s="405"/>
      <c r="D52" s="68"/>
      <c r="E52" s="409" t="s">
        <v>68</v>
      </c>
      <c r="F52" s="448">
        <v>0</v>
      </c>
      <c r="G52" s="427">
        <v>250000</v>
      </c>
      <c r="H52" s="413">
        <f>F52*G52</f>
        <v>0</v>
      </c>
      <c r="I52" s="68"/>
    </row>
    <row r="53" spans="1:9" ht="15.9" customHeight="1" x14ac:dyDescent="0.25">
      <c r="A53" s="432"/>
      <c r="B53" s="415" t="s">
        <v>228</v>
      </c>
      <c r="C53" s="416"/>
      <c r="D53" s="385"/>
      <c r="E53" s="415" t="s">
        <v>152</v>
      </c>
      <c r="F53" s="449">
        <v>20</v>
      </c>
      <c r="G53" s="443">
        <v>300000</v>
      </c>
      <c r="H53" s="384">
        <f t="shared" ref="H53:H59" si="3">F53*G53</f>
        <v>6000000</v>
      </c>
      <c r="I53" s="385"/>
    </row>
    <row r="54" spans="1:9" ht="15.9" customHeight="1" x14ac:dyDescent="0.25">
      <c r="A54" s="432"/>
      <c r="B54" s="447" t="s">
        <v>229</v>
      </c>
      <c r="C54" s="419"/>
      <c r="D54" s="364"/>
      <c r="E54" s="418" t="s">
        <v>152</v>
      </c>
      <c r="F54" s="450">
        <v>5</v>
      </c>
      <c r="G54" s="435">
        <v>250000</v>
      </c>
      <c r="H54" s="292">
        <f t="shared" si="3"/>
        <v>1250000</v>
      </c>
      <c r="I54" s="364"/>
    </row>
    <row r="55" spans="1:9" ht="15.9" customHeight="1" x14ac:dyDescent="0.25">
      <c r="A55" s="432"/>
      <c r="B55" s="418" t="s">
        <v>230</v>
      </c>
      <c r="C55" s="419"/>
      <c r="D55" s="364"/>
      <c r="E55" s="418" t="s">
        <v>152</v>
      </c>
      <c r="F55" s="450">
        <v>25</v>
      </c>
      <c r="G55" s="435">
        <v>250000</v>
      </c>
      <c r="H55" s="292">
        <f t="shared" si="3"/>
        <v>6250000</v>
      </c>
      <c r="I55" s="364"/>
    </row>
    <row r="56" spans="1:9" ht="15.9" customHeight="1" x14ac:dyDescent="0.25">
      <c r="A56" s="432"/>
      <c r="B56" s="418" t="s">
        <v>231</v>
      </c>
      <c r="C56" s="419"/>
      <c r="D56" s="364"/>
      <c r="E56" s="418" t="s">
        <v>152</v>
      </c>
      <c r="F56" s="450">
        <v>2</v>
      </c>
      <c r="G56" s="367">
        <v>300000</v>
      </c>
      <c r="H56" s="292">
        <f t="shared" si="3"/>
        <v>600000</v>
      </c>
      <c r="I56" s="364"/>
    </row>
    <row r="57" spans="1:9" ht="15.9" customHeight="1" x14ac:dyDescent="0.25">
      <c r="A57" s="432"/>
      <c r="B57" s="418" t="s">
        <v>232</v>
      </c>
      <c r="C57" s="419"/>
      <c r="D57" s="364"/>
      <c r="E57" s="418" t="s">
        <v>152</v>
      </c>
      <c r="F57" s="450">
        <v>4</v>
      </c>
      <c r="G57" s="367">
        <v>300000</v>
      </c>
      <c r="H57" s="292">
        <f t="shared" si="3"/>
        <v>1200000</v>
      </c>
      <c r="I57" s="364"/>
    </row>
    <row r="58" spans="1:9" ht="15.9" customHeight="1" x14ac:dyDescent="0.25">
      <c r="A58" s="432"/>
      <c r="B58" s="418" t="s">
        <v>233</v>
      </c>
      <c r="C58" s="419"/>
      <c r="D58" s="364"/>
      <c r="E58" s="418" t="s">
        <v>152</v>
      </c>
      <c r="F58" s="450">
        <v>3</v>
      </c>
      <c r="G58" s="367">
        <v>300000</v>
      </c>
      <c r="H58" s="292">
        <f t="shared" si="3"/>
        <v>900000</v>
      </c>
      <c r="I58" s="364"/>
    </row>
    <row r="59" spans="1:9" ht="15.9" customHeight="1" x14ac:dyDescent="0.25">
      <c r="A59" s="432"/>
      <c r="B59" s="421" t="s">
        <v>234</v>
      </c>
      <c r="C59" s="422"/>
      <c r="D59" s="372"/>
      <c r="E59" s="421" t="s">
        <v>152</v>
      </c>
      <c r="F59" s="451">
        <v>5</v>
      </c>
      <c r="G59" s="455">
        <v>250000</v>
      </c>
      <c r="H59" s="402">
        <f t="shared" si="3"/>
        <v>1250000</v>
      </c>
      <c r="I59" s="372"/>
    </row>
    <row r="60" spans="1:9" ht="15.9" customHeight="1" x14ac:dyDescent="0.25">
      <c r="A60" s="403"/>
      <c r="B60" s="424" t="s">
        <v>158</v>
      </c>
      <c r="C60" s="405"/>
      <c r="D60" s="68"/>
      <c r="E60" s="68"/>
      <c r="F60" s="377"/>
      <c r="G60" s="377"/>
      <c r="H60" s="377">
        <f>SUM(H52:H59)</f>
        <v>17450000</v>
      </c>
      <c r="I60" s="375"/>
    </row>
    <row r="61" spans="1:9" ht="15.9" customHeight="1" x14ac:dyDescent="0.25">
      <c r="A61" s="410"/>
      <c r="B61" s="424" t="s">
        <v>235</v>
      </c>
      <c r="C61" s="405"/>
      <c r="D61" s="68"/>
      <c r="E61" s="68"/>
      <c r="F61" s="378"/>
      <c r="G61" s="378"/>
      <c r="H61" s="407">
        <f>'단위공사별(집계)'!L18+'단위공사별(집계)'!I18</f>
        <v>252374.69732672465</v>
      </c>
      <c r="I61" s="68"/>
    </row>
    <row r="62" spans="1:9" ht="15.9" customHeight="1" x14ac:dyDescent="0.25">
      <c r="A62" s="410"/>
      <c r="B62" s="424" t="s">
        <v>93</v>
      </c>
      <c r="C62" s="405"/>
      <c r="D62" s="68"/>
      <c r="E62" s="68"/>
      <c r="F62" s="378"/>
      <c r="G62" s="426"/>
      <c r="H62" s="427">
        <v>0</v>
      </c>
      <c r="I62" s="405"/>
    </row>
    <row r="63" spans="1:9" ht="15.9" customHeight="1" x14ac:dyDescent="0.25">
      <c r="A63" s="410"/>
      <c r="B63" s="424" t="s">
        <v>161</v>
      </c>
      <c r="C63" s="405"/>
      <c r="D63" s="68"/>
      <c r="E63" s="68"/>
      <c r="F63" s="378"/>
      <c r="G63" s="426"/>
      <c r="H63" s="427">
        <v>0</v>
      </c>
      <c r="I63" s="405"/>
    </row>
    <row r="64" spans="1:9" ht="15.9" customHeight="1" x14ac:dyDescent="0.25">
      <c r="A64" s="410"/>
      <c r="B64" s="424" t="s">
        <v>162</v>
      </c>
      <c r="C64" s="405"/>
      <c r="D64" s="68"/>
      <c r="E64" s="68"/>
      <c r="F64" s="378"/>
      <c r="G64" s="378"/>
      <c r="H64" s="377">
        <f>H51+H60+H61+H62+H63</f>
        <v>60422374.697326727</v>
      </c>
      <c r="I64" s="68"/>
    </row>
    <row r="65" spans="1:1" x14ac:dyDescent="0.25">
      <c r="A65" s="254"/>
    </row>
  </sheetData>
  <mergeCells count="3">
    <mergeCell ref="A2:B2"/>
    <mergeCell ref="A3:A50"/>
    <mergeCell ref="A52:A5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D014-CBAA-43FB-807E-594FABD08856}">
  <sheetPr>
    <tabColor rgb="FF00B050"/>
    <pageSetUpPr fitToPage="1"/>
  </sheetPr>
  <dimension ref="A1:I63"/>
  <sheetViews>
    <sheetView zoomScaleNormal="100" workbookViewId="0">
      <pane xSplit="2" ySplit="2" topLeftCell="C4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361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0" si="1">IF(F6=0,G6,G6*F6)</f>
        <v>600000</v>
      </c>
      <c r="I6" s="364"/>
    </row>
    <row r="7" spans="1:9" ht="15.9" customHeight="1" x14ac:dyDescent="0.25">
      <c r="A7" s="432"/>
      <c r="B7" s="356"/>
      <c r="C7" s="363" t="s">
        <v>362</v>
      </c>
      <c r="D7" s="363"/>
      <c r="E7" s="365" t="s">
        <v>167</v>
      </c>
      <c r="F7" s="367">
        <v>1</v>
      </c>
      <c r="G7" s="367">
        <v>3000000</v>
      </c>
      <c r="H7" s="292">
        <f t="shared" si="1"/>
        <v>3000000</v>
      </c>
      <c r="I7" s="364"/>
    </row>
    <row r="8" spans="1:9" ht="15.9" customHeight="1" x14ac:dyDescent="0.25">
      <c r="A8" s="432"/>
      <c r="B8" s="356"/>
      <c r="C8" s="363" t="s">
        <v>321</v>
      </c>
      <c r="D8" s="363"/>
      <c r="E8" s="365" t="s">
        <v>167</v>
      </c>
      <c r="F8" s="367">
        <v>1</v>
      </c>
      <c r="G8" s="367">
        <v>1300000</v>
      </c>
      <c r="H8" s="292">
        <f t="shared" si="1"/>
        <v>1300000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>
        <v>1</v>
      </c>
      <c r="G11" s="389">
        <v>200000</v>
      </c>
      <c r="H11" s="302"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9900000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7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445" t="s">
        <v>362</v>
      </c>
      <c r="D19" s="444"/>
      <c r="E19" s="400"/>
      <c r="F19" s="452"/>
      <c r="G19" s="401"/>
      <c r="H19" s="384">
        <f t="shared" ref="H19:H38" si="3">IF(F19=0,G19,G19*F19)</f>
        <v>0</v>
      </c>
      <c r="I19" s="385"/>
    </row>
    <row r="20" spans="1:9" ht="15.9" customHeight="1" x14ac:dyDescent="0.25">
      <c r="A20" s="432"/>
      <c r="B20" s="356" t="s">
        <v>182</v>
      </c>
      <c r="C20" s="445" t="s">
        <v>363</v>
      </c>
      <c r="D20" s="363" t="s">
        <v>364</v>
      </c>
      <c r="E20" s="365" t="s">
        <v>167</v>
      </c>
      <c r="F20" s="367">
        <v>1</v>
      </c>
      <c r="G20" s="367">
        <v>1000000</v>
      </c>
      <c r="H20" s="292">
        <f t="shared" si="3"/>
        <v>1000000</v>
      </c>
      <c r="I20" s="364"/>
    </row>
    <row r="21" spans="1:9" ht="15.9" customHeight="1" x14ac:dyDescent="0.25">
      <c r="A21" s="432"/>
      <c r="B21" s="356"/>
      <c r="C21" s="363" t="s">
        <v>365</v>
      </c>
      <c r="D21" s="363" t="s">
        <v>366</v>
      </c>
      <c r="E21" s="365" t="s">
        <v>167</v>
      </c>
      <c r="F21" s="367">
        <v>1</v>
      </c>
      <c r="G21" s="367">
        <v>800000</v>
      </c>
      <c r="H21" s="292">
        <f t="shared" si="3"/>
        <v>800000</v>
      </c>
      <c r="I21" s="364"/>
    </row>
    <row r="22" spans="1:9" ht="15.9" customHeight="1" x14ac:dyDescent="0.25">
      <c r="A22" s="432"/>
      <c r="B22" s="356"/>
      <c r="C22" s="363" t="s">
        <v>367</v>
      </c>
      <c r="D22" s="363"/>
      <c r="E22" s="365" t="s">
        <v>167</v>
      </c>
      <c r="F22" s="367">
        <v>1</v>
      </c>
      <c r="G22" s="367">
        <v>5000000</v>
      </c>
      <c r="H22" s="292">
        <f t="shared" si="3"/>
        <v>5000000</v>
      </c>
      <c r="I22" s="364"/>
    </row>
    <row r="23" spans="1:9" ht="15.9" customHeight="1" x14ac:dyDescent="0.25">
      <c r="A23" s="432"/>
      <c r="B23" s="356"/>
      <c r="C23" s="363" t="s">
        <v>368</v>
      </c>
      <c r="D23" s="363"/>
      <c r="E23" s="365" t="s">
        <v>167</v>
      </c>
      <c r="F23" s="367">
        <v>1</v>
      </c>
      <c r="G23" s="367">
        <v>300000</v>
      </c>
      <c r="H23" s="292">
        <f t="shared" si="3"/>
        <v>300000</v>
      </c>
      <c r="I23" s="364"/>
    </row>
    <row r="24" spans="1:9" ht="15.75" customHeight="1" x14ac:dyDescent="0.25">
      <c r="A24" s="432"/>
      <c r="B24" s="356"/>
      <c r="C24" s="445" t="s">
        <v>214</v>
      </c>
      <c r="D24" s="363"/>
      <c r="E24" s="365" t="s">
        <v>167</v>
      </c>
      <c r="F24" s="367">
        <v>1</v>
      </c>
      <c r="G24" s="367">
        <v>1400000</v>
      </c>
      <c r="H24" s="292">
        <f t="shared" si="3"/>
        <v>1400000</v>
      </c>
      <c r="I24" s="364"/>
    </row>
    <row r="25" spans="1:9" ht="15.9" customHeight="1" x14ac:dyDescent="0.25">
      <c r="A25" s="432"/>
      <c r="B25" s="356"/>
      <c r="C25" s="363" t="s">
        <v>369</v>
      </c>
      <c r="D25" s="363"/>
      <c r="E25" s="365" t="s">
        <v>167</v>
      </c>
      <c r="F25" s="367">
        <v>1</v>
      </c>
      <c r="G25" s="367">
        <v>200000</v>
      </c>
      <c r="H25" s="292">
        <f t="shared" si="3"/>
        <v>200000</v>
      </c>
      <c r="I25" s="364"/>
    </row>
    <row r="26" spans="1:9" ht="15.9" customHeight="1" x14ac:dyDescent="0.25">
      <c r="A26" s="432"/>
      <c r="B26" s="356"/>
      <c r="C26" s="363" t="s">
        <v>195</v>
      </c>
      <c r="D26" s="363"/>
      <c r="E26" s="365" t="s">
        <v>167</v>
      </c>
      <c r="F26" s="367">
        <v>1</v>
      </c>
      <c r="G26" s="367">
        <v>400000</v>
      </c>
      <c r="H26" s="292">
        <f t="shared" si="3"/>
        <v>400000</v>
      </c>
      <c r="I26" s="364"/>
    </row>
    <row r="27" spans="1:9" ht="15.9" customHeight="1" x14ac:dyDescent="0.25">
      <c r="A27" s="432"/>
      <c r="B27" s="356"/>
      <c r="C27" s="363" t="s">
        <v>370</v>
      </c>
      <c r="D27" s="363"/>
      <c r="E27" s="365" t="s">
        <v>167</v>
      </c>
      <c r="F27" s="367">
        <v>1</v>
      </c>
      <c r="G27" s="367">
        <v>1000000</v>
      </c>
      <c r="H27" s="292">
        <f t="shared" si="3"/>
        <v>1000000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3"/>
        <v>0</v>
      </c>
      <c r="I28" s="364"/>
    </row>
    <row r="29" spans="1:9" ht="15.9" customHeight="1" x14ac:dyDescent="0.25">
      <c r="A29" s="432"/>
      <c r="B29" s="356"/>
      <c r="C29" s="363" t="s">
        <v>321</v>
      </c>
      <c r="D29" s="363"/>
      <c r="E29" s="365" t="s">
        <v>167</v>
      </c>
      <c r="F29" s="367">
        <v>1</v>
      </c>
      <c r="G29" s="367">
        <v>600000</v>
      </c>
      <c r="H29" s="292">
        <f t="shared" si="3"/>
        <v>600000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3"/>
        <v>0</v>
      </c>
      <c r="I30" s="364"/>
    </row>
    <row r="31" spans="1:9" ht="15.9" customHeight="1" x14ac:dyDescent="0.25">
      <c r="A31" s="432"/>
      <c r="B31" s="356"/>
      <c r="C31" s="433" t="s">
        <v>215</v>
      </c>
      <c r="D31" s="433"/>
      <c r="E31" s="434"/>
      <c r="F31" s="435"/>
      <c r="G31" s="435"/>
      <c r="H31" s="292">
        <f t="shared" si="3"/>
        <v>0</v>
      </c>
      <c r="I31" s="364"/>
    </row>
    <row r="32" spans="1:9" ht="15.9" customHeight="1" x14ac:dyDescent="0.25">
      <c r="A32" s="432"/>
      <c r="B32" s="356"/>
      <c r="C32" s="363" t="s">
        <v>216</v>
      </c>
      <c r="D32" s="363" t="s">
        <v>217</v>
      </c>
      <c r="E32" s="365" t="s">
        <v>167</v>
      </c>
      <c r="F32" s="436">
        <v>1</v>
      </c>
      <c r="G32" s="367">
        <v>350000</v>
      </c>
      <c r="H32" s="292">
        <f t="shared" si="3"/>
        <v>350000</v>
      </c>
      <c r="I32" s="364"/>
    </row>
    <row r="33" spans="1:9" ht="15.9" customHeight="1" x14ac:dyDescent="0.25">
      <c r="A33" s="432"/>
      <c r="B33" s="356"/>
      <c r="C33" s="363" t="s">
        <v>218</v>
      </c>
      <c r="D33" s="363" t="s">
        <v>219</v>
      </c>
      <c r="E33" s="365" t="s">
        <v>167</v>
      </c>
      <c r="F33" s="436">
        <v>10</v>
      </c>
      <c r="G33" s="367">
        <v>75000</v>
      </c>
      <c r="H33" s="292">
        <f t="shared" si="3"/>
        <v>750000</v>
      </c>
      <c r="I33" s="364"/>
    </row>
    <row r="34" spans="1:9" ht="15.9" customHeight="1" x14ac:dyDescent="0.25">
      <c r="A34" s="432"/>
      <c r="B34" s="356"/>
      <c r="C34" s="363" t="s">
        <v>220</v>
      </c>
      <c r="D34" s="363" t="s">
        <v>221</v>
      </c>
      <c r="E34" s="365" t="s">
        <v>167</v>
      </c>
      <c r="F34" s="436">
        <v>1</v>
      </c>
      <c r="G34" s="367">
        <v>850000</v>
      </c>
      <c r="H34" s="292">
        <f t="shared" si="3"/>
        <v>850000</v>
      </c>
      <c r="I34" s="364"/>
    </row>
    <row r="35" spans="1:9" ht="15.9" customHeight="1" x14ac:dyDescent="0.25">
      <c r="A35" s="432"/>
      <c r="B35" s="356"/>
      <c r="C35" s="363" t="s">
        <v>222</v>
      </c>
      <c r="D35" s="363"/>
      <c r="E35" s="365" t="s">
        <v>167</v>
      </c>
      <c r="F35" s="436">
        <v>20</v>
      </c>
      <c r="G35" s="367">
        <v>7000</v>
      </c>
      <c r="H35" s="292">
        <f t="shared" si="3"/>
        <v>140000</v>
      </c>
      <c r="I35" s="364"/>
    </row>
    <row r="36" spans="1:9" ht="15.9" customHeight="1" x14ac:dyDescent="0.25">
      <c r="A36" s="432"/>
      <c r="B36" s="356"/>
      <c r="C36" s="363" t="s">
        <v>223</v>
      </c>
      <c r="D36" s="363"/>
      <c r="E36" s="365" t="s">
        <v>167</v>
      </c>
      <c r="F36" s="436">
        <v>1</v>
      </c>
      <c r="G36" s="367">
        <v>100000</v>
      </c>
      <c r="H36" s="292">
        <f t="shared" si="3"/>
        <v>100000</v>
      </c>
      <c r="I36" s="364"/>
    </row>
    <row r="37" spans="1:9" ht="15.9" customHeight="1" x14ac:dyDescent="0.25">
      <c r="A37" s="432"/>
      <c r="B37" s="356"/>
      <c r="C37" s="433" t="s">
        <v>224</v>
      </c>
      <c r="D37" s="433"/>
      <c r="E37" s="434" t="s">
        <v>167</v>
      </c>
      <c r="F37" s="435">
        <v>1</v>
      </c>
      <c r="G37" s="435">
        <v>100000</v>
      </c>
      <c r="H37" s="292">
        <f>IF(F37=0,G37,G37*F37)</f>
        <v>100000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3"/>
        <v>0</v>
      </c>
      <c r="I38" s="364"/>
    </row>
    <row r="39" spans="1:9" ht="15.9" customHeight="1" x14ac:dyDescent="0.25">
      <c r="A39" s="432"/>
      <c r="B39" s="356"/>
      <c r="C39" s="368" t="s">
        <v>313</v>
      </c>
      <c r="D39" s="368"/>
      <c r="E39" s="369" t="s">
        <v>167</v>
      </c>
      <c r="F39" s="371">
        <v>1</v>
      </c>
      <c r="G39" s="371">
        <v>500000</v>
      </c>
      <c r="H39" s="292"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12990000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22890000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>
        <v>30</v>
      </c>
      <c r="G51" s="443">
        <v>300000</v>
      </c>
      <c r="H51" s="384">
        <f t="shared" ref="H51:H57" si="4">F51*G51</f>
        <v>9000000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>
        <v>10</v>
      </c>
      <c r="G52" s="435">
        <v>250000</v>
      </c>
      <c r="H52" s="292">
        <f t="shared" si="4"/>
        <v>2500000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>
        <v>40</v>
      </c>
      <c r="G53" s="435">
        <v>250000</v>
      </c>
      <c r="H53" s="292">
        <f t="shared" si="4"/>
        <v>10000000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>
        <v>2</v>
      </c>
      <c r="G54" s="367">
        <v>300000</v>
      </c>
      <c r="H54" s="292">
        <f t="shared" si="4"/>
        <v>600000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>
        <v>4</v>
      </c>
      <c r="G55" s="367">
        <v>300000</v>
      </c>
      <c r="H55" s="292">
        <f t="shared" si="4"/>
        <v>1200000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>
        <v>1</v>
      </c>
      <c r="G56" s="367">
        <v>300000</v>
      </c>
      <c r="H56" s="292">
        <f t="shared" si="4"/>
        <v>300000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>
        <v>5</v>
      </c>
      <c r="G57" s="455">
        <v>250000</v>
      </c>
      <c r="H57" s="402">
        <f t="shared" si="4"/>
        <v>1250000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24850000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'단위공사별(집계)'!L19+'단위공사별(집계)'!I19</f>
        <v>200238.79093198993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47940238.790931992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4AB6-22A7-4DBC-813E-B525AE49D651}">
  <sheetPr>
    <tabColor rgb="FF00B050"/>
    <pageSetUpPr fitToPage="1"/>
  </sheetPr>
  <dimension ref="A1:I54"/>
  <sheetViews>
    <sheetView zoomScaleNormal="100" workbookViewId="0">
      <pane xSplit="2" ySplit="2" topLeftCell="C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371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285</v>
      </c>
      <c r="D3" s="363" t="s">
        <v>286</v>
      </c>
      <c r="E3" s="365" t="s">
        <v>59</v>
      </c>
      <c r="F3" s="367">
        <v>2</v>
      </c>
      <c r="G3" s="367">
        <v>2000000</v>
      </c>
      <c r="H3" s="292">
        <f>F3*G3</f>
        <v>4000000</v>
      </c>
      <c r="I3" s="385"/>
    </row>
    <row r="4" spans="1:9" ht="15.9" customHeight="1" x14ac:dyDescent="0.25">
      <c r="A4" s="432"/>
      <c r="B4" s="356"/>
      <c r="C4" s="433" t="s">
        <v>287</v>
      </c>
      <c r="D4" s="363" t="s">
        <v>286</v>
      </c>
      <c r="E4" s="434" t="s">
        <v>59</v>
      </c>
      <c r="F4" s="367">
        <v>2</v>
      </c>
      <c r="G4" s="435">
        <v>1500000</v>
      </c>
      <c r="H4" s="292">
        <f t="shared" ref="H4:H5" si="0">F4*G4</f>
        <v>3000000</v>
      </c>
      <c r="I4" s="364"/>
    </row>
    <row r="5" spans="1:9" ht="15.9" customHeight="1" x14ac:dyDescent="0.25">
      <c r="A5" s="432"/>
      <c r="B5" s="356"/>
      <c r="C5" s="433" t="s">
        <v>288</v>
      </c>
      <c r="D5" s="433" t="s">
        <v>286</v>
      </c>
      <c r="E5" s="434" t="s">
        <v>59</v>
      </c>
      <c r="F5" s="435">
        <v>2</v>
      </c>
      <c r="G5" s="435">
        <v>1500000</v>
      </c>
      <c r="H5" s="292">
        <f t="shared" si="0"/>
        <v>3000000</v>
      </c>
      <c r="I5" s="364"/>
    </row>
    <row r="6" spans="1:9" ht="15.9" customHeight="1" x14ac:dyDescent="0.25">
      <c r="A6" s="432"/>
      <c r="B6" s="356"/>
      <c r="C6" s="433" t="s">
        <v>289</v>
      </c>
      <c r="D6" s="433"/>
      <c r="E6" s="434" t="s">
        <v>59</v>
      </c>
      <c r="F6" s="435">
        <v>2</v>
      </c>
      <c r="G6" s="435">
        <v>600000</v>
      </c>
      <c r="H6" s="292">
        <f t="shared" ref="H6:H10" si="1">IF(F6=0,G6,G6*F6)</f>
        <v>1200000</v>
      </c>
      <c r="I6" s="364"/>
    </row>
    <row r="7" spans="1:9" ht="15.9" customHeight="1" x14ac:dyDescent="0.25">
      <c r="A7" s="432"/>
      <c r="B7" s="356"/>
      <c r="C7" s="363" t="s">
        <v>372</v>
      </c>
      <c r="D7" s="363"/>
      <c r="E7" s="365" t="s">
        <v>59</v>
      </c>
      <c r="F7" s="367">
        <v>2</v>
      </c>
      <c r="G7" s="367">
        <v>2000000</v>
      </c>
      <c r="H7" s="292">
        <f t="shared" si="1"/>
        <v>4000000</v>
      </c>
      <c r="I7" s="364"/>
    </row>
    <row r="8" spans="1:9" ht="15.9" customHeight="1" x14ac:dyDescent="0.25">
      <c r="A8" s="432"/>
      <c r="B8" s="356"/>
      <c r="C8" s="363" t="s">
        <v>243</v>
      </c>
      <c r="D8" s="363"/>
      <c r="E8" s="365" t="s">
        <v>59</v>
      </c>
      <c r="F8" s="367">
        <v>2</v>
      </c>
      <c r="G8" s="367">
        <v>1300000</v>
      </c>
      <c r="H8" s="292">
        <f t="shared" si="1"/>
        <v>2600000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>
        <v>1</v>
      </c>
      <c r="G11" s="389">
        <v>200000</v>
      </c>
      <c r="H11" s="302"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17800000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38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363" t="s">
        <v>372</v>
      </c>
      <c r="D19" s="380" t="s">
        <v>262</v>
      </c>
      <c r="E19" s="381" t="s">
        <v>59</v>
      </c>
      <c r="F19" s="383">
        <v>2</v>
      </c>
      <c r="G19" s="383">
        <v>2800000</v>
      </c>
      <c r="H19" s="384">
        <f t="shared" ref="H19:H32" si="3">IF(F19=0,G19,G19*F19)</f>
        <v>5600000</v>
      </c>
      <c r="I19" s="385"/>
    </row>
    <row r="20" spans="1:9" ht="15.9" customHeight="1" x14ac:dyDescent="0.25">
      <c r="A20" s="432"/>
      <c r="B20" s="356" t="s">
        <v>182</v>
      </c>
      <c r="C20" s="363" t="s">
        <v>373</v>
      </c>
      <c r="D20" s="363" t="s">
        <v>374</v>
      </c>
      <c r="E20" s="365" t="s">
        <v>59</v>
      </c>
      <c r="F20" s="367">
        <v>2</v>
      </c>
      <c r="G20" s="367">
        <v>7000000</v>
      </c>
      <c r="H20" s="292">
        <f t="shared" si="3"/>
        <v>14000000</v>
      </c>
      <c r="I20" s="364"/>
    </row>
    <row r="21" spans="1:9" ht="15.9" customHeight="1" x14ac:dyDescent="0.25">
      <c r="A21" s="432"/>
      <c r="B21" s="356"/>
      <c r="C21" s="363" t="s">
        <v>375</v>
      </c>
      <c r="D21" s="363"/>
      <c r="E21" s="365" t="s">
        <v>59</v>
      </c>
      <c r="F21" s="367">
        <v>2</v>
      </c>
      <c r="G21" s="367">
        <v>500000</v>
      </c>
      <c r="H21" s="292">
        <f t="shared" si="3"/>
        <v>1000000</v>
      </c>
      <c r="I21" s="364"/>
    </row>
    <row r="22" spans="1:9" ht="15.9" customHeight="1" x14ac:dyDescent="0.25">
      <c r="A22" s="432"/>
      <c r="B22" s="356"/>
      <c r="C22" s="363" t="s">
        <v>243</v>
      </c>
      <c r="D22" s="363"/>
      <c r="E22" s="365" t="s">
        <v>59</v>
      </c>
      <c r="F22" s="367">
        <v>2</v>
      </c>
      <c r="G22" s="367">
        <v>600000</v>
      </c>
      <c r="H22" s="292">
        <f t="shared" si="3"/>
        <v>1200000</v>
      </c>
      <c r="I22" s="364"/>
    </row>
    <row r="23" spans="1:9" ht="15.9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si="3"/>
        <v>0</v>
      </c>
      <c r="I23" s="364"/>
    </row>
    <row r="24" spans="1:9" ht="15.75" customHeight="1" x14ac:dyDescent="0.25">
      <c r="A24" s="432"/>
      <c r="B24" s="356"/>
      <c r="C24" s="363"/>
      <c r="D24" s="363"/>
      <c r="E24" s="365"/>
      <c r="F24" s="367"/>
      <c r="G24" s="367"/>
      <c r="H24" s="292">
        <f t="shared" si="3"/>
        <v>0</v>
      </c>
      <c r="I24" s="364"/>
    </row>
    <row r="25" spans="1:9" ht="15.9" customHeight="1" x14ac:dyDescent="0.25">
      <c r="A25" s="432"/>
      <c r="B25" s="356"/>
      <c r="C25" s="433" t="s">
        <v>303</v>
      </c>
      <c r="D25" s="433"/>
      <c r="E25" s="434"/>
      <c r="F25" s="435"/>
      <c r="G25" s="435"/>
      <c r="H25" s="292">
        <f t="shared" si="3"/>
        <v>0</v>
      </c>
      <c r="I25" s="364"/>
    </row>
    <row r="26" spans="1:9" ht="15.9" customHeight="1" x14ac:dyDescent="0.25">
      <c r="A26" s="432"/>
      <c r="B26" s="356"/>
      <c r="C26" s="363" t="s">
        <v>304</v>
      </c>
      <c r="D26" s="363" t="s">
        <v>305</v>
      </c>
      <c r="E26" s="365" t="s">
        <v>167</v>
      </c>
      <c r="F26" s="436">
        <v>2</v>
      </c>
      <c r="G26" s="367">
        <v>350000</v>
      </c>
      <c r="H26" s="292">
        <f t="shared" si="3"/>
        <v>700000</v>
      </c>
      <c r="I26" s="364"/>
    </row>
    <row r="27" spans="1:9" ht="15.9" customHeight="1" x14ac:dyDescent="0.25">
      <c r="A27" s="432"/>
      <c r="B27" s="356"/>
      <c r="C27" s="363" t="s">
        <v>306</v>
      </c>
      <c r="D27" s="363" t="s">
        <v>307</v>
      </c>
      <c r="E27" s="365" t="s">
        <v>167</v>
      </c>
      <c r="F27" s="436">
        <v>20</v>
      </c>
      <c r="G27" s="367">
        <v>75000</v>
      </c>
      <c r="H27" s="292">
        <f t="shared" si="3"/>
        <v>1500000</v>
      </c>
      <c r="I27" s="364"/>
    </row>
    <row r="28" spans="1:9" ht="15.9" customHeight="1" x14ac:dyDescent="0.25">
      <c r="A28" s="432"/>
      <c r="B28" s="356"/>
      <c r="C28" s="363" t="s">
        <v>308</v>
      </c>
      <c r="D28" s="363" t="s">
        <v>309</v>
      </c>
      <c r="E28" s="365" t="s">
        <v>167</v>
      </c>
      <c r="F28" s="436">
        <v>2</v>
      </c>
      <c r="G28" s="367">
        <v>850000</v>
      </c>
      <c r="H28" s="292">
        <f t="shared" si="3"/>
        <v>1700000</v>
      </c>
      <c r="I28" s="364"/>
    </row>
    <row r="29" spans="1:9" ht="15.9" customHeight="1" x14ac:dyDescent="0.25">
      <c r="A29" s="432"/>
      <c r="B29" s="356"/>
      <c r="C29" s="363" t="s">
        <v>310</v>
      </c>
      <c r="D29" s="363"/>
      <c r="E29" s="365" t="s">
        <v>167</v>
      </c>
      <c r="F29" s="436">
        <v>20</v>
      </c>
      <c r="G29" s="367">
        <v>7000</v>
      </c>
      <c r="H29" s="292">
        <f t="shared" si="3"/>
        <v>140000</v>
      </c>
      <c r="I29" s="364"/>
    </row>
    <row r="30" spans="1:9" ht="15.9" customHeight="1" x14ac:dyDescent="0.25">
      <c r="A30" s="432"/>
      <c r="B30" s="356"/>
      <c r="C30" s="363" t="s">
        <v>311</v>
      </c>
      <c r="D30" s="363"/>
      <c r="E30" s="365" t="s">
        <v>167</v>
      </c>
      <c r="F30" s="436">
        <v>2</v>
      </c>
      <c r="G30" s="367">
        <v>100000</v>
      </c>
      <c r="H30" s="292">
        <f t="shared" si="3"/>
        <v>200000</v>
      </c>
      <c r="I30" s="364"/>
    </row>
    <row r="31" spans="1:9" ht="15.9" customHeight="1" x14ac:dyDescent="0.25">
      <c r="A31" s="432"/>
      <c r="B31" s="356"/>
      <c r="C31" s="433" t="s">
        <v>312</v>
      </c>
      <c r="D31" s="433"/>
      <c r="E31" s="434" t="s">
        <v>59</v>
      </c>
      <c r="F31" s="435">
        <v>2</v>
      </c>
      <c r="G31" s="435">
        <v>100000</v>
      </c>
      <c r="H31" s="292">
        <f t="shared" si="3"/>
        <v>200000</v>
      </c>
      <c r="I31" s="364"/>
    </row>
    <row r="32" spans="1:9" ht="15.75" customHeight="1" x14ac:dyDescent="0.25">
      <c r="A32" s="432"/>
      <c r="B32" s="356"/>
      <c r="C32" s="357"/>
      <c r="D32" s="357"/>
      <c r="E32" s="357"/>
      <c r="F32" s="360"/>
      <c r="G32" s="360"/>
      <c r="H32" s="292">
        <f t="shared" si="3"/>
        <v>0</v>
      </c>
      <c r="I32" s="364"/>
    </row>
    <row r="33" spans="1:9" ht="15.9" customHeight="1" x14ac:dyDescent="0.25">
      <c r="A33" s="432"/>
      <c r="B33" s="356"/>
      <c r="C33" s="368" t="s">
        <v>313</v>
      </c>
      <c r="D33" s="368"/>
      <c r="E33" s="369" t="s">
        <v>167</v>
      </c>
      <c r="F33" s="371">
        <v>2</v>
      </c>
      <c r="G33" s="371">
        <v>500000</v>
      </c>
      <c r="H33" s="292">
        <v>0</v>
      </c>
      <c r="I33" s="372"/>
    </row>
    <row r="34" spans="1:9" ht="15.9" customHeight="1" x14ac:dyDescent="0.25">
      <c r="A34" s="432"/>
      <c r="B34" s="373"/>
      <c r="C34" s="374"/>
      <c r="D34" s="375"/>
      <c r="E34" s="375"/>
      <c r="F34" s="377"/>
      <c r="G34" s="377"/>
      <c r="H34" s="378">
        <f>SUM(H19:H33)</f>
        <v>26240000</v>
      </c>
      <c r="I34" s="68"/>
    </row>
    <row r="35" spans="1:9" ht="15.9" customHeight="1" x14ac:dyDescent="0.25">
      <c r="A35" s="432"/>
      <c r="B35" s="398" t="s">
        <v>61</v>
      </c>
      <c r="C35" s="363"/>
      <c r="D35" s="363"/>
      <c r="E35" s="365"/>
      <c r="F35" s="367"/>
      <c r="G35" s="367"/>
      <c r="H35" s="384">
        <f t="shared" si="2"/>
        <v>0</v>
      </c>
      <c r="I35" s="385"/>
    </row>
    <row r="36" spans="1:9" ht="15.9" customHeight="1" x14ac:dyDescent="0.25">
      <c r="A36" s="432"/>
      <c r="B36" s="356"/>
      <c r="C36" s="363"/>
      <c r="D36" s="363"/>
      <c r="E36" s="363"/>
      <c r="F36" s="367"/>
      <c r="G36" s="367"/>
      <c r="H36" s="292">
        <f t="shared" si="2"/>
        <v>0</v>
      </c>
      <c r="I36" s="364"/>
    </row>
    <row r="37" spans="1:9" ht="15.9" customHeight="1" x14ac:dyDescent="0.25">
      <c r="A37" s="432"/>
      <c r="B37" s="356"/>
      <c r="C37" s="363"/>
      <c r="D37" s="363"/>
      <c r="E37" s="363"/>
      <c r="F37" s="367"/>
      <c r="G37" s="367"/>
      <c r="H37" s="292">
        <f t="shared" si="2"/>
        <v>0</v>
      </c>
      <c r="I37" s="364"/>
    </row>
    <row r="38" spans="1:9" ht="15.9" customHeight="1" x14ac:dyDescent="0.25">
      <c r="A38" s="432"/>
      <c r="B38" s="356"/>
      <c r="C38" s="368" t="s">
        <v>225</v>
      </c>
      <c r="D38" s="368"/>
      <c r="E38" s="368"/>
      <c r="F38" s="371"/>
      <c r="G38" s="371"/>
      <c r="H38" s="402">
        <f t="shared" si="2"/>
        <v>0</v>
      </c>
      <c r="I38" s="372"/>
    </row>
    <row r="39" spans="1:9" ht="15.9" customHeight="1" x14ac:dyDescent="0.25">
      <c r="A39" s="432"/>
      <c r="B39" s="373"/>
      <c r="C39" s="374"/>
      <c r="D39" s="375"/>
      <c r="E39" s="375"/>
      <c r="F39" s="377"/>
      <c r="G39" s="377"/>
      <c r="H39" s="378">
        <f>SUM(H35:H38)</f>
        <v>0</v>
      </c>
      <c r="I39" s="68"/>
    </row>
    <row r="40" spans="1:9" ht="15.9" customHeight="1" x14ac:dyDescent="0.25">
      <c r="A40" s="403"/>
      <c r="B40" s="404" t="s">
        <v>149</v>
      </c>
      <c r="C40" s="405"/>
      <c r="D40" s="68"/>
      <c r="E40" s="68"/>
      <c r="F40" s="407"/>
      <c r="G40" s="407"/>
      <c r="H40" s="378">
        <f>SUM(H39,H34,H18,H12)</f>
        <v>44040000</v>
      </c>
      <c r="I40" s="68"/>
    </row>
    <row r="41" spans="1:9" ht="15.9" customHeight="1" x14ac:dyDescent="0.25">
      <c r="A41" s="446" t="s">
        <v>150</v>
      </c>
      <c r="B41" s="409" t="s">
        <v>67</v>
      </c>
      <c r="C41" s="405"/>
      <c r="D41" s="68"/>
      <c r="E41" s="409" t="s">
        <v>68</v>
      </c>
      <c r="F41" s="448">
        <v>0</v>
      </c>
      <c r="G41" s="427">
        <v>250000</v>
      </c>
      <c r="H41" s="413">
        <f>F41*G41</f>
        <v>0</v>
      </c>
      <c r="I41" s="68"/>
    </row>
    <row r="42" spans="1:9" ht="15.9" customHeight="1" x14ac:dyDescent="0.25">
      <c r="A42" s="432"/>
      <c r="B42" s="415" t="s">
        <v>228</v>
      </c>
      <c r="C42" s="416"/>
      <c r="D42" s="385"/>
      <c r="E42" s="415" t="s">
        <v>152</v>
      </c>
      <c r="F42" s="449">
        <v>25</v>
      </c>
      <c r="G42" s="443">
        <v>300000</v>
      </c>
      <c r="H42" s="384">
        <f t="shared" ref="H42:H48" si="4">F42*G42</f>
        <v>7500000</v>
      </c>
      <c r="I42" s="385"/>
    </row>
    <row r="43" spans="1:9" ht="15.9" customHeight="1" x14ac:dyDescent="0.25">
      <c r="A43" s="432"/>
      <c r="B43" s="447" t="s">
        <v>229</v>
      </c>
      <c r="C43" s="419"/>
      <c r="D43" s="364"/>
      <c r="E43" s="418" t="s">
        <v>152</v>
      </c>
      <c r="F43" s="450">
        <v>5</v>
      </c>
      <c r="G43" s="435">
        <v>250000</v>
      </c>
      <c r="H43" s="292">
        <f t="shared" si="4"/>
        <v>1250000</v>
      </c>
      <c r="I43" s="364"/>
    </row>
    <row r="44" spans="1:9" ht="15.9" customHeight="1" x14ac:dyDescent="0.25">
      <c r="A44" s="432"/>
      <c r="B44" s="418" t="s">
        <v>230</v>
      </c>
      <c r="C44" s="419"/>
      <c r="D44" s="364"/>
      <c r="E44" s="418" t="s">
        <v>152</v>
      </c>
      <c r="F44" s="450">
        <v>30</v>
      </c>
      <c r="G44" s="435">
        <v>250000</v>
      </c>
      <c r="H44" s="292">
        <f t="shared" si="4"/>
        <v>7500000</v>
      </c>
      <c r="I44" s="364"/>
    </row>
    <row r="45" spans="1:9" ht="15.9" customHeight="1" x14ac:dyDescent="0.25">
      <c r="A45" s="432"/>
      <c r="B45" s="418" t="s">
        <v>231</v>
      </c>
      <c r="C45" s="419"/>
      <c r="D45" s="364"/>
      <c r="E45" s="418" t="s">
        <v>152</v>
      </c>
      <c r="F45" s="450">
        <v>2</v>
      </c>
      <c r="G45" s="367">
        <v>300000</v>
      </c>
      <c r="H45" s="292">
        <f t="shared" si="4"/>
        <v>600000</v>
      </c>
      <c r="I45" s="364"/>
    </row>
    <row r="46" spans="1:9" ht="15.9" customHeight="1" x14ac:dyDescent="0.25">
      <c r="A46" s="432"/>
      <c r="B46" s="418" t="s">
        <v>232</v>
      </c>
      <c r="C46" s="419"/>
      <c r="D46" s="364"/>
      <c r="E46" s="418" t="s">
        <v>152</v>
      </c>
      <c r="F46" s="450">
        <v>4</v>
      </c>
      <c r="G46" s="367">
        <v>300000</v>
      </c>
      <c r="H46" s="292">
        <f t="shared" si="4"/>
        <v>1200000</v>
      </c>
      <c r="I46" s="364"/>
    </row>
    <row r="47" spans="1:9" ht="15.9" customHeight="1" x14ac:dyDescent="0.25">
      <c r="A47" s="432"/>
      <c r="B47" s="418" t="s">
        <v>233</v>
      </c>
      <c r="C47" s="419"/>
      <c r="D47" s="364"/>
      <c r="E47" s="418" t="s">
        <v>152</v>
      </c>
      <c r="F47" s="450">
        <v>1</v>
      </c>
      <c r="G47" s="367">
        <v>300000</v>
      </c>
      <c r="H47" s="292">
        <f t="shared" si="4"/>
        <v>300000</v>
      </c>
      <c r="I47" s="364"/>
    </row>
    <row r="48" spans="1:9" ht="15.9" customHeight="1" x14ac:dyDescent="0.25">
      <c r="A48" s="432"/>
      <c r="B48" s="421" t="s">
        <v>234</v>
      </c>
      <c r="C48" s="422"/>
      <c r="D48" s="372"/>
      <c r="E48" s="421" t="s">
        <v>152</v>
      </c>
      <c r="F48" s="451">
        <v>5</v>
      </c>
      <c r="G48" s="455">
        <v>250000</v>
      </c>
      <c r="H48" s="402">
        <f t="shared" si="4"/>
        <v>1250000</v>
      </c>
      <c r="I48" s="372"/>
    </row>
    <row r="49" spans="1:9" ht="15.9" customHeight="1" x14ac:dyDescent="0.25">
      <c r="A49" s="403"/>
      <c r="B49" s="424" t="s">
        <v>158</v>
      </c>
      <c r="C49" s="405"/>
      <c r="D49" s="68"/>
      <c r="E49" s="68"/>
      <c r="F49" s="377"/>
      <c r="G49" s="377"/>
      <c r="H49" s="377">
        <f>SUM(H41:H48)</f>
        <v>19600000</v>
      </c>
      <c r="I49" s="375"/>
    </row>
    <row r="50" spans="1:9" ht="15.9" customHeight="1" x14ac:dyDescent="0.25">
      <c r="A50" s="410"/>
      <c r="B50" s="424" t="s">
        <v>235</v>
      </c>
      <c r="C50" s="405"/>
      <c r="D50" s="68"/>
      <c r="E50" s="68"/>
      <c r="F50" s="378"/>
      <c r="G50" s="378"/>
      <c r="H50" s="407">
        <f>'단위공사별(집계)'!L20+'단위공사별(집계)'!I20</f>
        <v>266929.12976354919</v>
      </c>
      <c r="I50" s="68"/>
    </row>
    <row r="51" spans="1:9" ht="15.9" customHeight="1" x14ac:dyDescent="0.25">
      <c r="A51" s="410"/>
      <c r="B51" s="424" t="s">
        <v>93</v>
      </c>
      <c r="C51" s="405"/>
      <c r="D51" s="68"/>
      <c r="E51" s="68"/>
      <c r="F51" s="378"/>
      <c r="G51" s="426"/>
      <c r="H51" s="427">
        <v>0</v>
      </c>
      <c r="I51" s="405"/>
    </row>
    <row r="52" spans="1:9" ht="15.9" customHeight="1" x14ac:dyDescent="0.25">
      <c r="A52" s="410"/>
      <c r="B52" s="424" t="s">
        <v>161</v>
      </c>
      <c r="C52" s="405"/>
      <c r="D52" s="68"/>
      <c r="E52" s="68"/>
      <c r="F52" s="378"/>
      <c r="G52" s="426"/>
      <c r="H52" s="427">
        <v>0</v>
      </c>
      <c r="I52" s="405"/>
    </row>
    <row r="53" spans="1:9" ht="15.9" customHeight="1" x14ac:dyDescent="0.25">
      <c r="A53" s="410"/>
      <c r="B53" s="424" t="s">
        <v>162</v>
      </c>
      <c r="C53" s="405"/>
      <c r="D53" s="68"/>
      <c r="E53" s="68"/>
      <c r="F53" s="378"/>
      <c r="G53" s="378"/>
      <c r="H53" s="377">
        <f>H40+H49+H50+H51+H52</f>
        <v>63906929.129763551</v>
      </c>
      <c r="I53" s="68"/>
    </row>
    <row r="54" spans="1:9" x14ac:dyDescent="0.25">
      <c r="A54" s="254"/>
    </row>
  </sheetData>
  <mergeCells count="3">
    <mergeCell ref="A2:B2"/>
    <mergeCell ref="A3:A39"/>
    <mergeCell ref="A41:A4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1F7A-348F-41D1-A809-2B873F066884}">
  <sheetPr>
    <tabColor rgb="FF00B050"/>
    <pageSetUpPr fitToPage="1"/>
  </sheetPr>
  <dimension ref="A1:I57"/>
  <sheetViews>
    <sheetView zoomScaleNormal="100" workbookViewId="0">
      <pane xSplit="2" ySplit="2" topLeftCell="C27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376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285</v>
      </c>
      <c r="D3" s="363" t="s">
        <v>286</v>
      </c>
      <c r="E3" s="365" t="s">
        <v>59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287</v>
      </c>
      <c r="D4" s="363" t="s">
        <v>286</v>
      </c>
      <c r="E4" s="434" t="s">
        <v>59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288</v>
      </c>
      <c r="D5" s="433" t="s">
        <v>286</v>
      </c>
      <c r="E5" s="434" t="s">
        <v>59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289</v>
      </c>
      <c r="D6" s="433"/>
      <c r="E6" s="434" t="s">
        <v>59</v>
      </c>
      <c r="F6" s="435">
        <v>1</v>
      </c>
      <c r="G6" s="435">
        <v>600000</v>
      </c>
      <c r="H6" s="292">
        <f t="shared" ref="H6:H9" si="1">IF(F6=0,G6,G6*F6)</f>
        <v>600000</v>
      </c>
      <c r="I6" s="364"/>
    </row>
    <row r="7" spans="1:9" ht="15.9" customHeight="1" x14ac:dyDescent="0.25">
      <c r="A7" s="432"/>
      <c r="B7" s="356"/>
      <c r="C7" s="363" t="s">
        <v>372</v>
      </c>
      <c r="D7" s="363"/>
      <c r="E7" s="365" t="s">
        <v>59</v>
      </c>
      <c r="F7" s="367">
        <v>1</v>
      </c>
      <c r="G7" s="367">
        <v>2000000</v>
      </c>
      <c r="H7" s="292">
        <f t="shared" si="1"/>
        <v>2000000</v>
      </c>
      <c r="I7" s="364"/>
    </row>
    <row r="8" spans="1:9" ht="15.9" customHeight="1" x14ac:dyDescent="0.25">
      <c r="A8" s="432"/>
      <c r="B8" s="356"/>
      <c r="C8" s="363" t="s">
        <v>243</v>
      </c>
      <c r="D8" s="363"/>
      <c r="E8" s="365" t="s">
        <v>59</v>
      </c>
      <c r="F8" s="367">
        <v>1</v>
      </c>
      <c r="G8" s="367">
        <v>1300000</v>
      </c>
      <c r="H8" s="292">
        <f t="shared" si="1"/>
        <v>1300000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8" t="s">
        <v>254</v>
      </c>
      <c r="D10" s="387"/>
      <c r="E10" s="437" t="s">
        <v>167</v>
      </c>
      <c r="F10" s="389">
        <v>1</v>
      </c>
      <c r="G10" s="389">
        <v>500000</v>
      </c>
      <c r="H10" s="302">
        <v>0</v>
      </c>
      <c r="I10" s="390"/>
    </row>
    <row r="11" spans="1:9" ht="15.9" customHeight="1" x14ac:dyDescent="0.25">
      <c r="A11" s="432"/>
      <c r="B11" s="373"/>
      <c r="C11" s="397"/>
      <c r="D11" s="397"/>
      <c r="E11" s="397"/>
      <c r="F11" s="395"/>
      <c r="G11" s="395"/>
      <c r="H11" s="396">
        <f>SUM(H3:H10)</f>
        <v>8900000</v>
      </c>
      <c r="I11" s="397"/>
    </row>
    <row r="12" spans="1:9" ht="15.9" customHeight="1" x14ac:dyDescent="0.25">
      <c r="A12" s="432"/>
      <c r="B12" s="356" t="s">
        <v>178</v>
      </c>
      <c r="C12" s="357"/>
      <c r="D12" s="357"/>
      <c r="E12" s="357"/>
      <c r="F12" s="360"/>
      <c r="G12" s="360"/>
      <c r="H12" s="311">
        <f t="shared" ref="H12:H41" si="2">IF(F12=0,G12,G12*F12)</f>
        <v>0</v>
      </c>
      <c r="I12" s="361"/>
    </row>
    <row r="13" spans="1:9" ht="15.9" customHeight="1" x14ac:dyDescent="0.25">
      <c r="A13" s="432"/>
      <c r="B13" s="356" t="s">
        <v>179</v>
      </c>
      <c r="C13" s="363"/>
      <c r="D13" s="363"/>
      <c r="E13" s="363"/>
      <c r="F13" s="367"/>
      <c r="G13" s="367"/>
      <c r="H13" s="292">
        <f t="shared" si="2"/>
        <v>0</v>
      </c>
      <c r="I13" s="364"/>
    </row>
    <row r="14" spans="1:9" ht="15.9" customHeight="1" x14ac:dyDescent="0.25">
      <c r="A14" s="432"/>
      <c r="B14" s="356"/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8" t="s">
        <v>225</v>
      </c>
      <c r="D16" s="368"/>
      <c r="E16" s="369" t="s">
        <v>59</v>
      </c>
      <c r="F16" s="371"/>
      <c r="G16" s="371"/>
      <c r="H16" s="292">
        <f t="shared" si="2"/>
        <v>0</v>
      </c>
      <c r="I16" s="372"/>
    </row>
    <row r="17" spans="1:9" ht="15.9" customHeight="1" x14ac:dyDescent="0.25">
      <c r="A17" s="432"/>
      <c r="B17" s="373"/>
      <c r="C17" s="374"/>
      <c r="D17" s="375"/>
      <c r="E17" s="375"/>
      <c r="F17" s="438"/>
      <c r="G17" s="377"/>
      <c r="H17" s="378">
        <f>SUM(H12:H16)</f>
        <v>0</v>
      </c>
      <c r="I17" s="68"/>
    </row>
    <row r="18" spans="1:9" ht="15.9" customHeight="1" x14ac:dyDescent="0.25">
      <c r="A18" s="432"/>
      <c r="B18" s="398" t="s">
        <v>180</v>
      </c>
      <c r="C18" s="363" t="s">
        <v>372</v>
      </c>
      <c r="D18" s="380" t="s">
        <v>262</v>
      </c>
      <c r="E18" s="381" t="s">
        <v>59</v>
      </c>
      <c r="F18" s="383">
        <v>1</v>
      </c>
      <c r="G18" s="383">
        <v>2800000</v>
      </c>
      <c r="H18" s="292">
        <f t="shared" ref="H18:H21" si="3">IF(F18=0,0,G18*F18)</f>
        <v>2800000</v>
      </c>
      <c r="I18" s="361"/>
    </row>
    <row r="19" spans="1:9" ht="15.9" customHeight="1" x14ac:dyDescent="0.25">
      <c r="A19" s="432"/>
      <c r="B19" s="356" t="s">
        <v>182</v>
      </c>
      <c r="C19" s="363" t="s">
        <v>373</v>
      </c>
      <c r="D19" s="363" t="s">
        <v>377</v>
      </c>
      <c r="E19" s="365" t="s">
        <v>59</v>
      </c>
      <c r="F19" s="367">
        <v>1</v>
      </c>
      <c r="G19" s="367">
        <v>1500000</v>
      </c>
      <c r="H19" s="292">
        <f t="shared" si="3"/>
        <v>1500000</v>
      </c>
      <c r="I19" s="364"/>
    </row>
    <row r="20" spans="1:9" ht="15.9" customHeight="1" x14ac:dyDescent="0.25">
      <c r="A20" s="432"/>
      <c r="B20" s="356"/>
      <c r="C20" s="363" t="s">
        <v>378</v>
      </c>
      <c r="D20" s="363" t="s">
        <v>377</v>
      </c>
      <c r="E20" s="365" t="s">
        <v>59</v>
      </c>
      <c r="F20" s="367">
        <v>1</v>
      </c>
      <c r="G20" s="367">
        <v>2000000</v>
      </c>
      <c r="H20" s="292">
        <f t="shared" si="3"/>
        <v>2000000</v>
      </c>
      <c r="I20" s="462"/>
    </row>
    <row r="21" spans="1:9" ht="15.9" customHeight="1" x14ac:dyDescent="0.25">
      <c r="A21" s="432"/>
      <c r="B21" s="356"/>
      <c r="C21" s="363" t="s">
        <v>379</v>
      </c>
      <c r="D21" s="363"/>
      <c r="E21" s="365" t="s">
        <v>59</v>
      </c>
      <c r="F21" s="367">
        <v>1</v>
      </c>
      <c r="G21" s="367">
        <v>600000</v>
      </c>
      <c r="H21" s="292">
        <f t="shared" si="3"/>
        <v>600000</v>
      </c>
      <c r="I21" s="364"/>
    </row>
    <row r="22" spans="1:9" ht="15.9" customHeight="1" x14ac:dyDescent="0.25">
      <c r="A22" s="432"/>
      <c r="B22" s="356"/>
      <c r="C22" s="363" t="s">
        <v>375</v>
      </c>
      <c r="D22" s="363"/>
      <c r="E22" s="365" t="s">
        <v>59</v>
      </c>
      <c r="F22" s="367">
        <v>1</v>
      </c>
      <c r="G22" s="367">
        <v>500000</v>
      </c>
      <c r="H22" s="292">
        <f t="shared" ref="H22:H26" si="4">IF(F22=0,G22,G22*F22)</f>
        <v>500000</v>
      </c>
      <c r="I22" s="364"/>
    </row>
    <row r="23" spans="1:9" ht="15.75" customHeight="1" x14ac:dyDescent="0.25">
      <c r="A23" s="432"/>
      <c r="B23" s="356"/>
      <c r="C23" s="363" t="s">
        <v>243</v>
      </c>
      <c r="D23" s="363"/>
      <c r="E23" s="365" t="s">
        <v>59</v>
      </c>
      <c r="F23" s="367">
        <v>1</v>
      </c>
      <c r="G23" s="367">
        <v>600000</v>
      </c>
      <c r="H23" s="292">
        <f t="shared" si="4"/>
        <v>600000</v>
      </c>
      <c r="I23" s="364"/>
    </row>
    <row r="24" spans="1:9" ht="15.9" customHeight="1" x14ac:dyDescent="0.25">
      <c r="A24" s="432"/>
      <c r="B24" s="356"/>
      <c r="C24" s="445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433" t="s">
        <v>303</v>
      </c>
      <c r="D25" s="433"/>
      <c r="E25" s="434"/>
      <c r="F25" s="435"/>
      <c r="G25" s="435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 t="s">
        <v>304</v>
      </c>
      <c r="D26" s="363" t="s">
        <v>305</v>
      </c>
      <c r="E26" s="365" t="s">
        <v>167</v>
      </c>
      <c r="F26" s="436">
        <v>1</v>
      </c>
      <c r="G26" s="367">
        <v>350000</v>
      </c>
      <c r="H26" s="292">
        <f t="shared" si="4"/>
        <v>350000</v>
      </c>
      <c r="I26" s="364"/>
    </row>
    <row r="27" spans="1:9" ht="15.9" customHeight="1" x14ac:dyDescent="0.25">
      <c r="A27" s="432"/>
      <c r="B27" s="356"/>
      <c r="C27" s="363" t="s">
        <v>306</v>
      </c>
      <c r="D27" s="363" t="s">
        <v>307</v>
      </c>
      <c r="E27" s="365" t="s">
        <v>167</v>
      </c>
      <c r="F27" s="436">
        <v>10</v>
      </c>
      <c r="G27" s="367">
        <v>75000</v>
      </c>
      <c r="H27" s="292">
        <f>G27*F27</f>
        <v>750000</v>
      </c>
      <c r="I27" s="364"/>
    </row>
    <row r="28" spans="1:9" ht="15.9" customHeight="1" x14ac:dyDescent="0.25">
      <c r="A28" s="432"/>
      <c r="B28" s="356"/>
      <c r="C28" s="363" t="s">
        <v>308</v>
      </c>
      <c r="D28" s="363" t="s">
        <v>309</v>
      </c>
      <c r="E28" s="365" t="s">
        <v>167</v>
      </c>
      <c r="F28" s="436">
        <v>1</v>
      </c>
      <c r="G28" s="367">
        <v>850000</v>
      </c>
      <c r="H28" s="292">
        <f t="shared" ref="H28:H32" si="5">G28*F28</f>
        <v>850000</v>
      </c>
      <c r="I28" s="364"/>
    </row>
    <row r="29" spans="1:9" ht="15.9" customHeight="1" x14ac:dyDescent="0.25">
      <c r="A29" s="432"/>
      <c r="B29" s="356"/>
      <c r="C29" s="363" t="s">
        <v>310</v>
      </c>
      <c r="D29" s="363"/>
      <c r="E29" s="365" t="s">
        <v>167</v>
      </c>
      <c r="F29" s="436">
        <v>10</v>
      </c>
      <c r="G29" s="367">
        <v>7000</v>
      </c>
      <c r="H29" s="292">
        <f t="shared" si="5"/>
        <v>70000</v>
      </c>
      <c r="I29" s="364"/>
    </row>
    <row r="30" spans="1:9" ht="15.9" customHeight="1" x14ac:dyDescent="0.25">
      <c r="A30" s="432"/>
      <c r="B30" s="356"/>
      <c r="C30" s="363" t="s">
        <v>311</v>
      </c>
      <c r="D30" s="363"/>
      <c r="E30" s="365" t="s">
        <v>167</v>
      </c>
      <c r="F30" s="436">
        <v>1</v>
      </c>
      <c r="G30" s="367">
        <v>100000</v>
      </c>
      <c r="H30" s="292">
        <f t="shared" si="5"/>
        <v>100000</v>
      </c>
      <c r="I30" s="364"/>
    </row>
    <row r="31" spans="1:9" ht="15.9" customHeight="1" x14ac:dyDescent="0.25">
      <c r="A31" s="432"/>
      <c r="B31" s="356"/>
      <c r="C31" s="433" t="s">
        <v>312</v>
      </c>
      <c r="D31" s="433"/>
      <c r="E31" s="434" t="s">
        <v>59</v>
      </c>
      <c r="F31" s="435">
        <v>1</v>
      </c>
      <c r="G31" s="435">
        <v>100000</v>
      </c>
      <c r="H31" s="292">
        <f t="shared" si="5"/>
        <v>100000</v>
      </c>
      <c r="I31" s="364"/>
    </row>
    <row r="32" spans="1:9" ht="15.9" customHeight="1" x14ac:dyDescent="0.25">
      <c r="A32" s="432"/>
      <c r="B32" s="356"/>
      <c r="C32" s="357"/>
      <c r="D32" s="357"/>
      <c r="E32" s="357"/>
      <c r="F32" s="360"/>
      <c r="G32" s="360"/>
      <c r="H32" s="292">
        <f t="shared" si="5"/>
        <v>0</v>
      </c>
      <c r="I32" s="364"/>
    </row>
    <row r="33" spans="1:9" ht="15.9" customHeight="1" x14ac:dyDescent="0.25">
      <c r="A33" s="432"/>
      <c r="B33" s="356"/>
      <c r="C33" s="368" t="s">
        <v>313</v>
      </c>
      <c r="D33" s="368"/>
      <c r="E33" s="369" t="s">
        <v>167</v>
      </c>
      <c r="F33" s="371">
        <v>1</v>
      </c>
      <c r="G33" s="371">
        <v>500000</v>
      </c>
      <c r="H33" s="292">
        <v>0</v>
      </c>
      <c r="I33" s="372"/>
    </row>
    <row r="34" spans="1:9" ht="15.9" customHeight="1" x14ac:dyDescent="0.25">
      <c r="A34" s="432"/>
      <c r="B34" s="373"/>
      <c r="C34" s="374"/>
      <c r="D34" s="375"/>
      <c r="E34" s="375"/>
      <c r="F34" s="377"/>
      <c r="G34" s="377"/>
      <c r="H34" s="378">
        <f>SUM(H18:H33)</f>
        <v>10220000</v>
      </c>
      <c r="I34" s="68"/>
    </row>
    <row r="35" spans="1:9" ht="15.9" customHeight="1" x14ac:dyDescent="0.25">
      <c r="A35" s="432"/>
      <c r="B35" s="398" t="s">
        <v>61</v>
      </c>
      <c r="C35" s="363"/>
      <c r="D35" s="363"/>
      <c r="E35" s="365"/>
      <c r="F35" s="367"/>
      <c r="G35" s="367"/>
      <c r="H35" s="384">
        <f t="shared" si="2"/>
        <v>0</v>
      </c>
      <c r="I35" s="385"/>
    </row>
    <row r="36" spans="1:9" ht="15.9" customHeight="1" x14ac:dyDescent="0.25">
      <c r="A36" s="432"/>
      <c r="B36" s="356"/>
      <c r="C36" s="363"/>
      <c r="D36" s="363"/>
      <c r="E36" s="363"/>
      <c r="F36" s="367"/>
      <c r="G36" s="367"/>
      <c r="H36" s="292">
        <f t="shared" si="2"/>
        <v>0</v>
      </c>
      <c r="I36" s="364"/>
    </row>
    <row r="37" spans="1:9" ht="15.9" customHeight="1" x14ac:dyDescent="0.25">
      <c r="A37" s="432"/>
      <c r="B37" s="356"/>
      <c r="C37" s="363"/>
      <c r="D37" s="363"/>
      <c r="E37" s="363"/>
      <c r="F37" s="367"/>
      <c r="G37" s="367"/>
      <c r="H37" s="292">
        <f t="shared" si="2"/>
        <v>0</v>
      </c>
      <c r="I37" s="364"/>
    </row>
    <row r="38" spans="1:9" ht="15.9" customHeight="1" x14ac:dyDescent="0.25">
      <c r="A38" s="432"/>
      <c r="B38" s="356"/>
      <c r="C38" s="363"/>
      <c r="D38" s="363"/>
      <c r="E38" s="363"/>
      <c r="F38" s="367"/>
      <c r="G38" s="367"/>
      <c r="H38" s="292">
        <f t="shared" si="2"/>
        <v>0</v>
      </c>
      <c r="I38" s="364"/>
    </row>
    <row r="39" spans="1:9" ht="15.9" customHeight="1" x14ac:dyDescent="0.25">
      <c r="A39" s="432"/>
      <c r="B39" s="356"/>
      <c r="C39" s="363"/>
      <c r="D39" s="363"/>
      <c r="E39" s="363"/>
      <c r="F39" s="367"/>
      <c r="G39" s="367"/>
      <c r="H39" s="292">
        <f t="shared" si="2"/>
        <v>0</v>
      </c>
      <c r="I39" s="364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si="2"/>
        <v>0</v>
      </c>
      <c r="I40" s="364"/>
    </row>
    <row r="41" spans="1:9" ht="15.9" customHeight="1" x14ac:dyDescent="0.25">
      <c r="A41" s="432"/>
      <c r="B41" s="356"/>
      <c r="C41" s="368" t="s">
        <v>225</v>
      </c>
      <c r="D41" s="368"/>
      <c r="E41" s="368"/>
      <c r="F41" s="371"/>
      <c r="G41" s="371"/>
      <c r="H41" s="402">
        <f t="shared" si="2"/>
        <v>0</v>
      </c>
      <c r="I41" s="372"/>
    </row>
    <row r="42" spans="1:9" ht="15.9" customHeight="1" x14ac:dyDescent="0.25">
      <c r="A42" s="432"/>
      <c r="B42" s="373"/>
      <c r="C42" s="374"/>
      <c r="D42" s="375"/>
      <c r="E42" s="375"/>
      <c r="F42" s="377"/>
      <c r="G42" s="377"/>
      <c r="H42" s="378">
        <f>SUM(H35:H41)</f>
        <v>0</v>
      </c>
      <c r="I42" s="68"/>
    </row>
    <row r="43" spans="1:9" ht="15.9" customHeight="1" x14ac:dyDescent="0.25">
      <c r="A43" s="403"/>
      <c r="B43" s="404" t="s">
        <v>149</v>
      </c>
      <c r="C43" s="405"/>
      <c r="D43" s="68"/>
      <c r="E43" s="68"/>
      <c r="F43" s="407"/>
      <c r="G43" s="407"/>
      <c r="H43" s="378">
        <f>SUM(H42,H34,H17,H11)</f>
        <v>19120000</v>
      </c>
      <c r="I43" s="68"/>
    </row>
    <row r="44" spans="1:9" ht="15.9" customHeight="1" x14ac:dyDescent="0.25">
      <c r="A44" s="446" t="s">
        <v>150</v>
      </c>
      <c r="B44" s="409" t="s">
        <v>67</v>
      </c>
      <c r="C44" s="405"/>
      <c r="D44" s="68"/>
      <c r="E44" s="409" t="s">
        <v>68</v>
      </c>
      <c r="F44" s="448">
        <v>0</v>
      </c>
      <c r="G44" s="427">
        <v>250000</v>
      </c>
      <c r="H44" s="413">
        <f>F44*G44</f>
        <v>0</v>
      </c>
      <c r="I44" s="68"/>
    </row>
    <row r="45" spans="1:9" ht="15.9" customHeight="1" x14ac:dyDescent="0.25">
      <c r="A45" s="432"/>
      <c r="B45" s="415" t="s">
        <v>228</v>
      </c>
      <c r="C45" s="416"/>
      <c r="D45" s="385"/>
      <c r="E45" s="415" t="s">
        <v>152</v>
      </c>
      <c r="F45" s="449">
        <v>25</v>
      </c>
      <c r="G45" s="443">
        <v>300000</v>
      </c>
      <c r="H45" s="384">
        <f t="shared" ref="H45:H51" si="6">F45*G45</f>
        <v>7500000</v>
      </c>
      <c r="I45" s="385"/>
    </row>
    <row r="46" spans="1:9" ht="15.9" customHeight="1" x14ac:dyDescent="0.25">
      <c r="A46" s="432"/>
      <c r="B46" s="447" t="s">
        <v>229</v>
      </c>
      <c r="C46" s="419"/>
      <c r="D46" s="364"/>
      <c r="E46" s="418" t="s">
        <v>152</v>
      </c>
      <c r="F46" s="450">
        <v>5</v>
      </c>
      <c r="G46" s="435">
        <v>250000</v>
      </c>
      <c r="H46" s="292">
        <f t="shared" si="6"/>
        <v>1250000</v>
      </c>
      <c r="I46" s="364"/>
    </row>
    <row r="47" spans="1:9" ht="15.9" customHeight="1" x14ac:dyDescent="0.25">
      <c r="A47" s="432"/>
      <c r="B47" s="418" t="s">
        <v>230</v>
      </c>
      <c r="C47" s="419"/>
      <c r="D47" s="364"/>
      <c r="E47" s="418" t="s">
        <v>152</v>
      </c>
      <c r="F47" s="450">
        <v>30</v>
      </c>
      <c r="G47" s="435">
        <v>250000</v>
      </c>
      <c r="H47" s="292">
        <f t="shared" si="6"/>
        <v>7500000</v>
      </c>
      <c r="I47" s="364"/>
    </row>
    <row r="48" spans="1:9" ht="15.9" customHeight="1" x14ac:dyDescent="0.25">
      <c r="A48" s="432"/>
      <c r="B48" s="418" t="s">
        <v>231</v>
      </c>
      <c r="C48" s="419"/>
      <c r="D48" s="364"/>
      <c r="E48" s="418" t="s">
        <v>152</v>
      </c>
      <c r="F48" s="450">
        <v>2</v>
      </c>
      <c r="G48" s="367">
        <v>300000</v>
      </c>
      <c r="H48" s="292">
        <f t="shared" si="6"/>
        <v>600000</v>
      </c>
      <c r="I48" s="364"/>
    </row>
    <row r="49" spans="1:9" ht="15.9" customHeight="1" x14ac:dyDescent="0.25">
      <c r="A49" s="432"/>
      <c r="B49" s="418" t="s">
        <v>232</v>
      </c>
      <c r="C49" s="419"/>
      <c r="D49" s="364"/>
      <c r="E49" s="418" t="s">
        <v>152</v>
      </c>
      <c r="F49" s="450">
        <v>4</v>
      </c>
      <c r="G49" s="367">
        <v>300000</v>
      </c>
      <c r="H49" s="292">
        <f t="shared" si="6"/>
        <v>1200000</v>
      </c>
      <c r="I49" s="364"/>
    </row>
    <row r="50" spans="1:9" ht="15.9" customHeight="1" x14ac:dyDescent="0.25">
      <c r="A50" s="432"/>
      <c r="B50" s="418" t="s">
        <v>233</v>
      </c>
      <c r="C50" s="419"/>
      <c r="D50" s="364"/>
      <c r="E50" s="418" t="s">
        <v>152</v>
      </c>
      <c r="F50" s="450">
        <v>1</v>
      </c>
      <c r="G50" s="367">
        <v>300000</v>
      </c>
      <c r="H50" s="292">
        <f t="shared" si="6"/>
        <v>300000</v>
      </c>
      <c r="I50" s="364"/>
    </row>
    <row r="51" spans="1:9" ht="15.9" customHeight="1" x14ac:dyDescent="0.25">
      <c r="A51" s="432"/>
      <c r="B51" s="421" t="s">
        <v>234</v>
      </c>
      <c r="C51" s="422"/>
      <c r="D51" s="372"/>
      <c r="E51" s="421" t="s">
        <v>152</v>
      </c>
      <c r="F51" s="451">
        <v>5</v>
      </c>
      <c r="G51" s="455">
        <v>250000</v>
      </c>
      <c r="H51" s="402">
        <f t="shared" si="6"/>
        <v>1250000</v>
      </c>
      <c r="I51" s="372"/>
    </row>
    <row r="52" spans="1:9" ht="15.9" customHeight="1" x14ac:dyDescent="0.25">
      <c r="A52" s="403"/>
      <c r="B52" s="424" t="s">
        <v>158</v>
      </c>
      <c r="C52" s="405"/>
      <c r="D52" s="68"/>
      <c r="E52" s="68"/>
      <c r="F52" s="377"/>
      <c r="G52" s="377"/>
      <c r="H52" s="377">
        <f>SUM(H44:H51)</f>
        <v>19600000</v>
      </c>
      <c r="I52" s="375"/>
    </row>
    <row r="53" spans="1:9" ht="15.9" customHeight="1" x14ac:dyDescent="0.25">
      <c r="A53" s="410"/>
      <c r="B53" s="424" t="s">
        <v>235</v>
      </c>
      <c r="C53" s="405"/>
      <c r="D53" s="68"/>
      <c r="E53" s="68"/>
      <c r="F53" s="378"/>
      <c r="G53" s="378"/>
      <c r="H53" s="407">
        <f>'단위공사별(집계)'!L21+'단위공사별(집계)'!I21</f>
        <v>162405.65531811165</v>
      </c>
      <c r="I53" s="68"/>
    </row>
    <row r="54" spans="1:9" ht="15.9" customHeight="1" x14ac:dyDescent="0.25">
      <c r="A54" s="410"/>
      <c r="B54" s="424" t="s">
        <v>93</v>
      </c>
      <c r="C54" s="405"/>
      <c r="D54" s="68"/>
      <c r="E54" s="68"/>
      <c r="F54" s="378"/>
      <c r="G54" s="426"/>
      <c r="H54" s="427">
        <v>0</v>
      </c>
      <c r="I54" s="405"/>
    </row>
    <row r="55" spans="1:9" ht="15.9" customHeight="1" x14ac:dyDescent="0.25">
      <c r="A55" s="410"/>
      <c r="B55" s="424" t="s">
        <v>161</v>
      </c>
      <c r="C55" s="405"/>
      <c r="D55" s="68"/>
      <c r="E55" s="68"/>
      <c r="F55" s="378"/>
      <c r="G55" s="426"/>
      <c r="H55" s="427">
        <v>0</v>
      </c>
      <c r="I55" s="405"/>
    </row>
    <row r="56" spans="1:9" ht="15.9" customHeight="1" x14ac:dyDescent="0.25">
      <c r="A56" s="410"/>
      <c r="B56" s="424" t="s">
        <v>162</v>
      </c>
      <c r="C56" s="405"/>
      <c r="D56" s="68"/>
      <c r="E56" s="68"/>
      <c r="F56" s="378"/>
      <c r="G56" s="378"/>
      <c r="H56" s="377">
        <f>H43+H52+H53+H54+H55</f>
        <v>38882405.655318111</v>
      </c>
      <c r="I56" s="68"/>
    </row>
    <row r="57" spans="1:9" x14ac:dyDescent="0.25">
      <c r="A57" s="254"/>
    </row>
  </sheetData>
  <mergeCells count="3">
    <mergeCell ref="A2:B2"/>
    <mergeCell ref="A3:A42"/>
    <mergeCell ref="A44:A5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2794-03F0-4E10-95FD-783A2100E320}">
  <sheetPr>
    <tabColor rgb="FF00B050"/>
    <pageSetUpPr fitToPage="1"/>
  </sheetPr>
  <dimension ref="A1:I63"/>
  <sheetViews>
    <sheetView zoomScaleNormal="100" workbookViewId="0">
      <pane xSplit="2" ySplit="2" topLeftCell="C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380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285</v>
      </c>
      <c r="D3" s="363" t="s">
        <v>286</v>
      </c>
      <c r="E3" s="365" t="s">
        <v>59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287</v>
      </c>
      <c r="D4" s="363" t="s">
        <v>286</v>
      </c>
      <c r="E4" s="434" t="s">
        <v>59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288</v>
      </c>
      <c r="D5" s="433" t="s">
        <v>286</v>
      </c>
      <c r="E5" s="434" t="s">
        <v>59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289</v>
      </c>
      <c r="D6" s="433"/>
      <c r="E6" s="434" t="s">
        <v>59</v>
      </c>
      <c r="F6" s="435">
        <v>1</v>
      </c>
      <c r="G6" s="435">
        <v>600000</v>
      </c>
      <c r="H6" s="292">
        <f t="shared" ref="H6:H14" si="1">IF(F6=0,G6,G6*F6)</f>
        <v>600000</v>
      </c>
      <c r="I6" s="364"/>
    </row>
    <row r="7" spans="1:9" ht="15.9" customHeight="1" x14ac:dyDescent="0.25">
      <c r="A7" s="432"/>
      <c r="B7" s="356"/>
      <c r="C7" s="363" t="s">
        <v>381</v>
      </c>
      <c r="D7" s="363"/>
      <c r="E7" s="365" t="s">
        <v>59</v>
      </c>
      <c r="F7" s="367">
        <v>1</v>
      </c>
      <c r="G7" s="367">
        <v>1000000</v>
      </c>
      <c r="H7" s="292">
        <f t="shared" si="1"/>
        <v>1000000</v>
      </c>
      <c r="I7" s="364"/>
    </row>
    <row r="8" spans="1:9" ht="15.9" customHeight="1" x14ac:dyDescent="0.25">
      <c r="A8" s="432"/>
      <c r="B8" s="356"/>
      <c r="C8" s="363" t="s">
        <v>372</v>
      </c>
      <c r="D8" s="363"/>
      <c r="E8" s="365" t="s">
        <v>59</v>
      </c>
      <c r="F8" s="367">
        <v>1</v>
      </c>
      <c r="G8" s="367">
        <v>2000000</v>
      </c>
      <c r="H8" s="292">
        <f t="shared" si="1"/>
        <v>2000000</v>
      </c>
      <c r="I8" s="364"/>
    </row>
    <row r="9" spans="1:9" ht="15.9" customHeight="1" x14ac:dyDescent="0.25">
      <c r="A9" s="432"/>
      <c r="B9" s="356"/>
      <c r="C9" s="363" t="s">
        <v>382</v>
      </c>
      <c r="D9" s="363"/>
      <c r="E9" s="365" t="s">
        <v>59</v>
      </c>
      <c r="F9" s="367">
        <v>1</v>
      </c>
      <c r="G9" s="367">
        <v>700000</v>
      </c>
      <c r="H9" s="292">
        <f t="shared" si="1"/>
        <v>700000</v>
      </c>
      <c r="I9" s="364"/>
    </row>
    <row r="10" spans="1:9" ht="15.9" customHeight="1" x14ac:dyDescent="0.25">
      <c r="A10" s="432"/>
      <c r="B10" s="356"/>
      <c r="C10" s="363" t="s">
        <v>383</v>
      </c>
      <c r="D10" s="363"/>
      <c r="E10" s="365" t="s">
        <v>59</v>
      </c>
      <c r="F10" s="367">
        <v>1</v>
      </c>
      <c r="G10" s="367">
        <v>700000</v>
      </c>
      <c r="H10" s="292">
        <f t="shared" si="1"/>
        <v>700000</v>
      </c>
      <c r="I10" s="364"/>
    </row>
    <row r="11" spans="1:9" ht="15.9" customHeight="1" x14ac:dyDescent="0.25">
      <c r="A11" s="432"/>
      <c r="B11" s="356"/>
      <c r="C11" s="363" t="s">
        <v>384</v>
      </c>
      <c r="D11" s="363"/>
      <c r="E11" s="365" t="s">
        <v>59</v>
      </c>
      <c r="F11" s="367">
        <v>1</v>
      </c>
      <c r="G11" s="367">
        <v>1000000</v>
      </c>
      <c r="H11" s="292">
        <f t="shared" si="1"/>
        <v>1000000</v>
      </c>
      <c r="I11" s="364"/>
    </row>
    <row r="12" spans="1:9" ht="15.9" customHeight="1" x14ac:dyDescent="0.25">
      <c r="A12" s="432"/>
      <c r="B12" s="356"/>
      <c r="C12" s="363" t="s">
        <v>243</v>
      </c>
      <c r="D12" s="363"/>
      <c r="E12" s="365" t="s">
        <v>59</v>
      </c>
      <c r="F12" s="367">
        <v>1</v>
      </c>
      <c r="G12" s="367">
        <v>1300000</v>
      </c>
      <c r="H12" s="292">
        <f t="shared" si="1"/>
        <v>1300000</v>
      </c>
      <c r="I12" s="364"/>
    </row>
    <row r="13" spans="1:9" ht="15.9" customHeight="1" x14ac:dyDescent="0.25">
      <c r="A13" s="432"/>
      <c r="B13" s="356"/>
      <c r="C13" s="363"/>
      <c r="D13" s="363"/>
      <c r="E13" s="363"/>
      <c r="F13" s="367"/>
      <c r="G13" s="367"/>
      <c r="H13" s="292">
        <f t="shared" si="1"/>
        <v>0</v>
      </c>
      <c r="I13" s="364"/>
    </row>
    <row r="14" spans="1:9" ht="15.9" customHeight="1" x14ac:dyDescent="0.25">
      <c r="A14" s="432"/>
      <c r="B14" s="356"/>
      <c r="C14" s="363"/>
      <c r="D14" s="363"/>
      <c r="E14" s="363"/>
      <c r="F14" s="367"/>
      <c r="G14" s="367"/>
      <c r="H14" s="292">
        <f t="shared" si="1"/>
        <v>0</v>
      </c>
      <c r="I14" s="364"/>
    </row>
    <row r="15" spans="1:9" ht="15.9" customHeight="1" x14ac:dyDescent="0.25">
      <c r="A15" s="432"/>
      <c r="B15" s="356"/>
      <c r="C15" s="368" t="s">
        <v>254</v>
      </c>
      <c r="D15" s="387"/>
      <c r="E15" s="437" t="s">
        <v>167</v>
      </c>
      <c r="F15" s="389">
        <v>1</v>
      </c>
      <c r="G15" s="389">
        <v>300000</v>
      </c>
      <c r="H15" s="302">
        <v>0</v>
      </c>
      <c r="I15" s="390"/>
    </row>
    <row r="16" spans="1:9" ht="15.9" customHeight="1" x14ac:dyDescent="0.25">
      <c r="A16" s="432"/>
      <c r="B16" s="373"/>
      <c r="C16" s="397"/>
      <c r="D16" s="397"/>
      <c r="E16" s="397"/>
      <c r="F16" s="395"/>
      <c r="G16" s="395"/>
      <c r="H16" s="396">
        <f>SUM(H3:H15)</f>
        <v>12300000</v>
      </c>
      <c r="I16" s="397"/>
    </row>
    <row r="17" spans="1:9" ht="15.9" customHeight="1" x14ac:dyDescent="0.25">
      <c r="A17" s="432"/>
      <c r="B17" s="356" t="s">
        <v>178</v>
      </c>
      <c r="C17" s="357"/>
      <c r="D17" s="357"/>
      <c r="E17" s="357"/>
      <c r="F17" s="360"/>
      <c r="G17" s="360"/>
      <c r="H17" s="311">
        <f t="shared" ref="H17:H47" si="2">IF(F17=0,G17,G17*F17)</f>
        <v>0</v>
      </c>
      <c r="I17" s="361"/>
    </row>
    <row r="18" spans="1:9" ht="15.9" customHeight="1" x14ac:dyDescent="0.25">
      <c r="A18" s="432"/>
      <c r="B18" s="356" t="s">
        <v>179</v>
      </c>
      <c r="C18" s="363"/>
      <c r="D18" s="363"/>
      <c r="E18" s="363"/>
      <c r="F18" s="367"/>
      <c r="G18" s="367"/>
      <c r="H18" s="292">
        <f t="shared" si="2"/>
        <v>0</v>
      </c>
      <c r="I18" s="364"/>
    </row>
    <row r="19" spans="1:9" ht="15.9" customHeight="1" x14ac:dyDescent="0.25">
      <c r="A19" s="432"/>
      <c r="B19" s="356"/>
      <c r="C19" s="363"/>
      <c r="D19" s="363"/>
      <c r="E19" s="363"/>
      <c r="F19" s="367"/>
      <c r="G19" s="367"/>
      <c r="H19" s="292">
        <f t="shared" si="2"/>
        <v>0</v>
      </c>
      <c r="I19" s="364"/>
    </row>
    <row r="20" spans="1:9" ht="15.9" customHeight="1" x14ac:dyDescent="0.25">
      <c r="A20" s="432"/>
      <c r="B20" s="356"/>
      <c r="C20" s="363"/>
      <c r="D20" s="363"/>
      <c r="E20" s="363"/>
      <c r="F20" s="367"/>
      <c r="G20" s="367"/>
      <c r="H20" s="292">
        <f t="shared" si="2"/>
        <v>0</v>
      </c>
      <c r="I20" s="364"/>
    </row>
    <row r="21" spans="1:9" ht="15.9" customHeight="1" x14ac:dyDescent="0.25">
      <c r="A21" s="432"/>
      <c r="B21" s="356"/>
      <c r="C21" s="368" t="s">
        <v>225</v>
      </c>
      <c r="D21" s="368"/>
      <c r="E21" s="368"/>
      <c r="F21" s="371"/>
      <c r="G21" s="371"/>
      <c r="H21" s="292">
        <f t="shared" si="2"/>
        <v>0</v>
      </c>
      <c r="I21" s="372"/>
    </row>
    <row r="22" spans="1:9" ht="15.9" customHeight="1" x14ac:dyDescent="0.25">
      <c r="A22" s="432"/>
      <c r="B22" s="373"/>
      <c r="C22" s="374"/>
      <c r="D22" s="375"/>
      <c r="E22" s="375"/>
      <c r="F22" s="438"/>
      <c r="G22" s="377"/>
      <c r="H22" s="378">
        <f>SUM(H17:H21)</f>
        <v>0</v>
      </c>
      <c r="I22" s="68"/>
    </row>
    <row r="23" spans="1:9" ht="15.9" customHeight="1" x14ac:dyDescent="0.25">
      <c r="A23" s="432"/>
      <c r="B23" s="398" t="s">
        <v>180</v>
      </c>
      <c r="C23" s="380" t="s">
        <v>381</v>
      </c>
      <c r="D23" s="380" t="s">
        <v>385</v>
      </c>
      <c r="E23" s="381" t="s">
        <v>59</v>
      </c>
      <c r="F23" s="383">
        <v>1</v>
      </c>
      <c r="G23" s="383">
        <v>20000000</v>
      </c>
      <c r="H23" s="292">
        <f t="shared" ref="H23:H26" si="3">IF(F23=0,0,G23*F23)</f>
        <v>20000000</v>
      </c>
      <c r="I23" s="361"/>
    </row>
    <row r="24" spans="1:9" ht="15.9" customHeight="1" x14ac:dyDescent="0.25">
      <c r="A24" s="432"/>
      <c r="B24" s="356" t="s">
        <v>182</v>
      </c>
      <c r="C24" s="363" t="s">
        <v>372</v>
      </c>
      <c r="D24" s="363" t="s">
        <v>386</v>
      </c>
      <c r="E24" s="365" t="s">
        <v>59</v>
      </c>
      <c r="F24" s="367">
        <v>1</v>
      </c>
      <c r="G24" s="367">
        <v>3600000</v>
      </c>
      <c r="H24" s="292">
        <f t="shared" si="3"/>
        <v>3600000</v>
      </c>
      <c r="I24" s="364"/>
    </row>
    <row r="25" spans="1:9" ht="15.9" customHeight="1" x14ac:dyDescent="0.25">
      <c r="A25" s="432"/>
      <c r="B25" s="356"/>
      <c r="C25" s="363" t="s">
        <v>382</v>
      </c>
      <c r="D25" s="363" t="s">
        <v>387</v>
      </c>
      <c r="E25" s="365" t="s">
        <v>59</v>
      </c>
      <c r="F25" s="367">
        <v>1</v>
      </c>
      <c r="G25" s="367">
        <v>1200000</v>
      </c>
      <c r="H25" s="292">
        <f t="shared" si="3"/>
        <v>1200000</v>
      </c>
      <c r="I25" s="462"/>
    </row>
    <row r="26" spans="1:9" ht="15.9" customHeight="1" x14ac:dyDescent="0.25">
      <c r="A26" s="432"/>
      <c r="B26" s="356"/>
      <c r="C26" s="363" t="s">
        <v>383</v>
      </c>
      <c r="D26" s="363" t="s">
        <v>388</v>
      </c>
      <c r="E26" s="365" t="s">
        <v>59</v>
      </c>
      <c r="F26" s="367">
        <v>1</v>
      </c>
      <c r="G26" s="367">
        <v>600000</v>
      </c>
      <c r="H26" s="292">
        <f t="shared" si="3"/>
        <v>600000</v>
      </c>
      <c r="I26" s="364"/>
    </row>
    <row r="27" spans="1:9" ht="15.75" customHeight="1" x14ac:dyDescent="0.25">
      <c r="A27" s="432"/>
      <c r="B27" s="356"/>
      <c r="C27" s="363" t="s">
        <v>282</v>
      </c>
      <c r="D27" s="363"/>
      <c r="E27" s="365" t="s">
        <v>261</v>
      </c>
      <c r="F27" s="367">
        <v>1</v>
      </c>
      <c r="G27" s="367">
        <v>40000</v>
      </c>
      <c r="H27" s="292">
        <f t="shared" ref="H27:H38" si="4">IF(F27=0,G27,G27*F27)</f>
        <v>40000</v>
      </c>
      <c r="I27" s="364"/>
    </row>
    <row r="28" spans="1:9" ht="15.9" customHeight="1" x14ac:dyDescent="0.25">
      <c r="A28" s="432"/>
      <c r="B28" s="356"/>
      <c r="C28" s="363" t="s">
        <v>389</v>
      </c>
      <c r="D28" s="363"/>
      <c r="E28" s="365" t="s">
        <v>261</v>
      </c>
      <c r="F28" s="367">
        <v>1</v>
      </c>
      <c r="G28" s="367">
        <v>100000</v>
      </c>
      <c r="H28" s="292">
        <f t="shared" si="4"/>
        <v>100000</v>
      </c>
      <c r="I28" s="364"/>
    </row>
    <row r="29" spans="1:9" ht="15.9" customHeight="1" x14ac:dyDescent="0.25">
      <c r="A29" s="432"/>
      <c r="B29" s="356"/>
      <c r="C29" s="363" t="s">
        <v>243</v>
      </c>
      <c r="D29" s="363"/>
      <c r="E29" s="365" t="s">
        <v>59</v>
      </c>
      <c r="F29" s="367">
        <v>1</v>
      </c>
      <c r="G29" s="367">
        <v>600000</v>
      </c>
      <c r="H29" s="292">
        <f t="shared" si="4"/>
        <v>600000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 t="s">
        <v>303</v>
      </c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 t="s">
        <v>304</v>
      </c>
      <c r="D32" s="363" t="s">
        <v>305</v>
      </c>
      <c r="E32" s="365" t="s">
        <v>167</v>
      </c>
      <c r="F32" s="436">
        <v>1</v>
      </c>
      <c r="G32" s="367">
        <v>350000</v>
      </c>
      <c r="H32" s="292">
        <f t="shared" si="4"/>
        <v>350000</v>
      </c>
      <c r="I32" s="364"/>
    </row>
    <row r="33" spans="1:9" ht="15.9" customHeight="1" x14ac:dyDescent="0.25">
      <c r="A33" s="432"/>
      <c r="B33" s="356"/>
      <c r="C33" s="363" t="s">
        <v>306</v>
      </c>
      <c r="D33" s="363" t="s">
        <v>307</v>
      </c>
      <c r="E33" s="365" t="s">
        <v>167</v>
      </c>
      <c r="F33" s="436">
        <v>10</v>
      </c>
      <c r="G33" s="367">
        <v>75000</v>
      </c>
      <c r="H33" s="292">
        <f t="shared" si="4"/>
        <v>750000</v>
      </c>
      <c r="I33" s="364"/>
    </row>
    <row r="34" spans="1:9" ht="15.9" customHeight="1" x14ac:dyDescent="0.25">
      <c r="A34" s="432"/>
      <c r="B34" s="356"/>
      <c r="C34" s="363" t="s">
        <v>308</v>
      </c>
      <c r="D34" s="363" t="s">
        <v>309</v>
      </c>
      <c r="E34" s="365" t="s">
        <v>167</v>
      </c>
      <c r="F34" s="436">
        <v>1</v>
      </c>
      <c r="G34" s="367">
        <v>850000</v>
      </c>
      <c r="H34" s="292">
        <f t="shared" si="4"/>
        <v>850000</v>
      </c>
      <c r="I34" s="364"/>
    </row>
    <row r="35" spans="1:9" ht="15.9" customHeight="1" x14ac:dyDescent="0.25">
      <c r="A35" s="432"/>
      <c r="B35" s="356"/>
      <c r="C35" s="363" t="s">
        <v>310</v>
      </c>
      <c r="D35" s="363"/>
      <c r="E35" s="365" t="s">
        <v>167</v>
      </c>
      <c r="F35" s="436">
        <v>20</v>
      </c>
      <c r="G35" s="367">
        <v>7000</v>
      </c>
      <c r="H35" s="292">
        <f t="shared" si="4"/>
        <v>140000</v>
      </c>
      <c r="I35" s="364"/>
    </row>
    <row r="36" spans="1:9" ht="15.9" customHeight="1" x14ac:dyDescent="0.25">
      <c r="A36" s="432"/>
      <c r="B36" s="356"/>
      <c r="C36" s="363" t="s">
        <v>311</v>
      </c>
      <c r="D36" s="363"/>
      <c r="E36" s="365" t="s">
        <v>167</v>
      </c>
      <c r="F36" s="436">
        <v>1</v>
      </c>
      <c r="G36" s="367">
        <v>100000</v>
      </c>
      <c r="H36" s="292">
        <f t="shared" si="4"/>
        <v>100000</v>
      </c>
      <c r="I36" s="364"/>
    </row>
    <row r="37" spans="1:9" ht="15.9" customHeight="1" x14ac:dyDescent="0.25">
      <c r="A37" s="432"/>
      <c r="B37" s="356"/>
      <c r="C37" s="433" t="s">
        <v>312</v>
      </c>
      <c r="D37" s="433"/>
      <c r="E37" s="434" t="s">
        <v>59</v>
      </c>
      <c r="F37" s="435">
        <v>1</v>
      </c>
      <c r="G37" s="435">
        <v>100000</v>
      </c>
      <c r="H37" s="292">
        <f t="shared" si="4"/>
        <v>100000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 t="s">
        <v>313</v>
      </c>
      <c r="D39" s="368"/>
      <c r="E39" s="369" t="s">
        <v>167</v>
      </c>
      <c r="F39" s="371">
        <v>1</v>
      </c>
      <c r="G39" s="371">
        <v>500000</v>
      </c>
      <c r="H39" s="292"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SUM(H23:H39)</f>
        <v>28430000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SUM(H48,H40,H22,H16)</f>
        <v>40730000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>
        <v>25</v>
      </c>
      <c r="G51" s="443">
        <v>300000</v>
      </c>
      <c r="H51" s="384">
        <f t="shared" ref="H51:H57" si="5">F51*G51</f>
        <v>7500000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>
        <v>5</v>
      </c>
      <c r="G52" s="435">
        <v>250000</v>
      </c>
      <c r="H52" s="292">
        <f t="shared" si="5"/>
        <v>1250000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>
        <v>25</v>
      </c>
      <c r="G53" s="435">
        <v>250000</v>
      </c>
      <c r="H53" s="292">
        <f t="shared" si="5"/>
        <v>6250000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>
        <v>2</v>
      </c>
      <c r="G54" s="367">
        <v>300000</v>
      </c>
      <c r="H54" s="292">
        <f t="shared" si="5"/>
        <v>600000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>
        <v>4</v>
      </c>
      <c r="G55" s="367">
        <v>300000</v>
      </c>
      <c r="H55" s="292">
        <f t="shared" si="5"/>
        <v>1200000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>
        <v>3</v>
      </c>
      <c r="G56" s="367">
        <v>300000</v>
      </c>
      <c r="H56" s="292">
        <f t="shared" si="5"/>
        <v>900000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>
        <v>5</v>
      </c>
      <c r="G57" s="455">
        <v>250000</v>
      </c>
      <c r="H57" s="402">
        <f t="shared" si="5"/>
        <v>1250000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18950000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'단위공사별(집계)'!L22+'단위공사별(집계)'!I22</f>
        <v>250319.46046965144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59930319.460469648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A4D0-AE64-4DEC-BBA3-3F5F5A7BD98E}">
  <sheetPr>
    <tabColor rgb="FF00B050"/>
    <pageSetUpPr fitToPage="1"/>
  </sheetPr>
  <dimension ref="A1:I68"/>
  <sheetViews>
    <sheetView zoomScaleNormal="100" workbookViewId="0">
      <pane xSplit="2" ySplit="2" topLeftCell="C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390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1" si="1">IF(F6=0,G6,G6*F6)</f>
        <v>600000</v>
      </c>
      <c r="I6" s="364"/>
    </row>
    <row r="7" spans="1:9" ht="15.9" customHeight="1" x14ac:dyDescent="0.25">
      <c r="A7" s="432"/>
      <c r="B7" s="356"/>
      <c r="C7" s="363" t="s">
        <v>391</v>
      </c>
      <c r="D7" s="363"/>
      <c r="E7" s="434" t="s">
        <v>167</v>
      </c>
      <c r="F7" s="367">
        <v>1</v>
      </c>
      <c r="G7" s="367">
        <v>10000000</v>
      </c>
      <c r="H7" s="292">
        <f t="shared" si="1"/>
        <v>10000000</v>
      </c>
      <c r="I7" s="364"/>
    </row>
    <row r="8" spans="1:9" ht="15.9" customHeight="1" x14ac:dyDescent="0.25">
      <c r="A8" s="432"/>
      <c r="B8" s="356"/>
      <c r="C8" s="363" t="s">
        <v>392</v>
      </c>
      <c r="D8" s="363"/>
      <c r="E8" s="365" t="s">
        <v>167</v>
      </c>
      <c r="F8" s="367">
        <v>1</v>
      </c>
      <c r="G8" s="367">
        <v>2500000</v>
      </c>
      <c r="H8" s="292">
        <f t="shared" si="1"/>
        <v>2500000</v>
      </c>
      <c r="I8" s="364"/>
    </row>
    <row r="9" spans="1:9" ht="15.9" customHeight="1" x14ac:dyDescent="0.25">
      <c r="A9" s="432"/>
      <c r="B9" s="356"/>
      <c r="C9" s="363" t="s">
        <v>315</v>
      </c>
      <c r="D9" s="363"/>
      <c r="E9" s="365" t="s">
        <v>167</v>
      </c>
      <c r="F9" s="367">
        <v>1</v>
      </c>
      <c r="G9" s="367">
        <v>2500000</v>
      </c>
      <c r="H9" s="292">
        <f t="shared" si="1"/>
        <v>2500000</v>
      </c>
      <c r="I9" s="364"/>
    </row>
    <row r="10" spans="1:9" ht="15.9" customHeight="1" x14ac:dyDescent="0.25">
      <c r="A10" s="432"/>
      <c r="B10" s="356"/>
      <c r="C10" s="363" t="s">
        <v>321</v>
      </c>
      <c r="D10" s="363"/>
      <c r="E10" s="365" t="s">
        <v>167</v>
      </c>
      <c r="F10" s="367">
        <v>1</v>
      </c>
      <c r="G10" s="367">
        <v>1300000</v>
      </c>
      <c r="H10" s="292">
        <f t="shared" si="1"/>
        <v>1300000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8" t="s">
        <v>254</v>
      </c>
      <c r="D12" s="387"/>
      <c r="E12" s="437" t="s">
        <v>167</v>
      </c>
      <c r="F12" s="389">
        <v>1</v>
      </c>
      <c r="G12" s="389">
        <v>200000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21900000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52" si="2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8" t="s">
        <v>225</v>
      </c>
      <c r="D18" s="368"/>
      <c r="E18" s="368"/>
      <c r="F18" s="371"/>
      <c r="G18" s="371"/>
      <c r="H18" s="292">
        <f t="shared" si="2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393</v>
      </c>
      <c r="D20" s="363" t="s">
        <v>244</v>
      </c>
      <c r="E20" s="365" t="s">
        <v>167</v>
      </c>
      <c r="F20" s="367">
        <v>1</v>
      </c>
      <c r="G20" s="367">
        <v>12000000</v>
      </c>
      <c r="H20" s="292">
        <f t="shared" ref="H20:H23" si="3">IF(F20=0,0,G20*F20)</f>
        <v>12000000</v>
      </c>
      <c r="I20" s="361"/>
    </row>
    <row r="21" spans="1:9" ht="15.9" customHeight="1" x14ac:dyDescent="0.25">
      <c r="A21" s="432"/>
      <c r="B21" s="356" t="s">
        <v>182</v>
      </c>
      <c r="C21" s="363" t="s">
        <v>392</v>
      </c>
      <c r="D21" s="363"/>
      <c r="E21" s="365"/>
      <c r="F21" s="367"/>
      <c r="G21" s="367"/>
      <c r="H21" s="292">
        <f t="shared" si="3"/>
        <v>0</v>
      </c>
      <c r="I21" s="364"/>
    </row>
    <row r="22" spans="1:9" ht="15.9" customHeight="1" x14ac:dyDescent="0.25">
      <c r="A22" s="432"/>
      <c r="B22" s="356"/>
      <c r="C22" s="363" t="s">
        <v>326</v>
      </c>
      <c r="D22" s="363" t="s">
        <v>213</v>
      </c>
      <c r="E22" s="365" t="s">
        <v>167</v>
      </c>
      <c r="F22" s="367">
        <v>1</v>
      </c>
      <c r="G22" s="367">
        <v>12000000</v>
      </c>
      <c r="H22" s="292">
        <f t="shared" si="3"/>
        <v>12000000</v>
      </c>
      <c r="I22" s="462"/>
    </row>
    <row r="23" spans="1:9" ht="15.9" customHeight="1" x14ac:dyDescent="0.25">
      <c r="A23" s="432"/>
      <c r="B23" s="356"/>
      <c r="C23" s="363" t="s">
        <v>328</v>
      </c>
      <c r="D23" s="363"/>
      <c r="E23" s="365" t="s">
        <v>184</v>
      </c>
      <c r="F23" s="367">
        <v>1</v>
      </c>
      <c r="G23" s="367">
        <v>800000</v>
      </c>
      <c r="H23" s="292">
        <f t="shared" si="3"/>
        <v>800000</v>
      </c>
      <c r="I23" s="364"/>
    </row>
    <row r="24" spans="1:9" ht="15.75" customHeight="1" x14ac:dyDescent="0.25">
      <c r="A24" s="432"/>
      <c r="B24" s="356"/>
      <c r="C24" s="363" t="s">
        <v>195</v>
      </c>
      <c r="D24" s="363"/>
      <c r="E24" s="365" t="s">
        <v>184</v>
      </c>
      <c r="F24" s="367">
        <v>2</v>
      </c>
      <c r="G24" s="367">
        <v>40000</v>
      </c>
      <c r="H24" s="292">
        <f t="shared" ref="H24:H43" si="4">IF(F24=0,G24,G24*F24)</f>
        <v>80000</v>
      </c>
      <c r="I24" s="364"/>
    </row>
    <row r="25" spans="1:9" ht="15.9" customHeight="1" x14ac:dyDescent="0.25">
      <c r="A25" s="432"/>
      <c r="B25" s="356"/>
      <c r="C25" s="363" t="s">
        <v>199</v>
      </c>
      <c r="D25" s="363"/>
      <c r="E25" s="365" t="s">
        <v>167</v>
      </c>
      <c r="F25" s="367">
        <v>1</v>
      </c>
      <c r="G25" s="367">
        <v>500000</v>
      </c>
      <c r="H25" s="292">
        <f t="shared" si="4"/>
        <v>500000</v>
      </c>
      <c r="I25" s="364"/>
    </row>
    <row r="26" spans="1:9" ht="15.9" customHeight="1" x14ac:dyDescent="0.25">
      <c r="A26" s="432"/>
      <c r="B26" s="356"/>
      <c r="C26" s="363" t="s">
        <v>315</v>
      </c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 t="s">
        <v>316</v>
      </c>
      <c r="D27" s="363"/>
      <c r="E27" s="365" t="s">
        <v>167</v>
      </c>
      <c r="F27" s="367">
        <v>2</v>
      </c>
      <c r="G27" s="367">
        <v>3600000</v>
      </c>
      <c r="H27" s="292">
        <f t="shared" si="4"/>
        <v>7200000</v>
      </c>
      <c r="I27" s="364"/>
    </row>
    <row r="28" spans="1:9" ht="15.9" customHeight="1" x14ac:dyDescent="0.25">
      <c r="A28" s="432"/>
      <c r="B28" s="356"/>
      <c r="C28" s="363" t="s">
        <v>214</v>
      </c>
      <c r="D28" s="363"/>
      <c r="E28" s="365" t="s">
        <v>167</v>
      </c>
      <c r="F28" s="367">
        <v>1</v>
      </c>
      <c r="G28" s="367">
        <v>1400000</v>
      </c>
      <c r="H28" s="292">
        <f t="shared" si="4"/>
        <v>1400000</v>
      </c>
      <c r="I28" s="364"/>
    </row>
    <row r="29" spans="1:9" ht="15.9" customHeight="1" x14ac:dyDescent="0.25">
      <c r="A29" s="432"/>
      <c r="B29" s="356"/>
      <c r="C29" s="363" t="s">
        <v>317</v>
      </c>
      <c r="D29" s="363"/>
      <c r="E29" s="365" t="s">
        <v>167</v>
      </c>
      <c r="F29" s="367">
        <v>1</v>
      </c>
      <c r="G29" s="367">
        <v>1100000</v>
      </c>
      <c r="H29" s="292">
        <f t="shared" si="4"/>
        <v>1100000</v>
      </c>
      <c r="I29" s="364"/>
    </row>
    <row r="30" spans="1:9" ht="15.9" customHeight="1" x14ac:dyDescent="0.25">
      <c r="A30" s="432"/>
      <c r="B30" s="356"/>
      <c r="C30" s="363" t="s">
        <v>195</v>
      </c>
      <c r="D30" s="363"/>
      <c r="E30" s="365" t="s">
        <v>184</v>
      </c>
      <c r="F30" s="367">
        <v>10</v>
      </c>
      <c r="G30" s="367">
        <v>40000</v>
      </c>
      <c r="H30" s="292">
        <f t="shared" si="4"/>
        <v>400000</v>
      </c>
      <c r="I30" s="364"/>
    </row>
    <row r="31" spans="1:9" ht="15.9" customHeight="1" x14ac:dyDescent="0.25">
      <c r="A31" s="432"/>
      <c r="B31" s="356"/>
      <c r="C31" s="363" t="s">
        <v>196</v>
      </c>
      <c r="D31" s="363"/>
      <c r="E31" s="365" t="s">
        <v>184</v>
      </c>
      <c r="F31" s="367">
        <v>2</v>
      </c>
      <c r="G31" s="367">
        <v>100000</v>
      </c>
      <c r="H31" s="292">
        <f t="shared" si="4"/>
        <v>200000</v>
      </c>
      <c r="I31" s="364"/>
    </row>
    <row r="32" spans="1:9" ht="15.9" customHeight="1" x14ac:dyDescent="0.25">
      <c r="A32" s="432"/>
      <c r="B32" s="356"/>
      <c r="C32" s="363" t="s">
        <v>318</v>
      </c>
      <c r="D32" s="363"/>
      <c r="E32" s="365" t="s">
        <v>167</v>
      </c>
      <c r="F32" s="367">
        <v>1</v>
      </c>
      <c r="G32" s="367">
        <v>500000</v>
      </c>
      <c r="H32" s="292">
        <f t="shared" si="4"/>
        <v>500000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367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 t="s">
        <v>321</v>
      </c>
      <c r="D34" s="363"/>
      <c r="E34" s="365" t="s">
        <v>167</v>
      </c>
      <c r="F34" s="367">
        <v>1</v>
      </c>
      <c r="G34" s="367">
        <v>600000</v>
      </c>
      <c r="H34" s="292">
        <f t="shared" si="4"/>
        <v>600000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367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433" t="s">
        <v>215</v>
      </c>
      <c r="D36" s="433"/>
      <c r="E36" s="434"/>
      <c r="F36" s="435"/>
      <c r="G36" s="435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363" t="s">
        <v>216</v>
      </c>
      <c r="D37" s="363" t="s">
        <v>217</v>
      </c>
      <c r="E37" s="365" t="s">
        <v>167</v>
      </c>
      <c r="F37" s="436">
        <v>1</v>
      </c>
      <c r="G37" s="367">
        <v>350000</v>
      </c>
      <c r="H37" s="292">
        <f t="shared" si="4"/>
        <v>350000</v>
      </c>
      <c r="I37" s="364"/>
    </row>
    <row r="38" spans="1:9" ht="15.9" customHeight="1" x14ac:dyDescent="0.25">
      <c r="A38" s="432"/>
      <c r="B38" s="356"/>
      <c r="C38" s="363" t="s">
        <v>218</v>
      </c>
      <c r="D38" s="363" t="s">
        <v>219</v>
      </c>
      <c r="E38" s="365" t="s">
        <v>167</v>
      </c>
      <c r="F38" s="436">
        <v>10</v>
      </c>
      <c r="G38" s="367">
        <v>75000</v>
      </c>
      <c r="H38" s="292">
        <f t="shared" si="4"/>
        <v>750000</v>
      </c>
      <c r="I38" s="364"/>
    </row>
    <row r="39" spans="1:9" ht="15.9" customHeight="1" x14ac:dyDescent="0.25">
      <c r="A39" s="432"/>
      <c r="B39" s="356"/>
      <c r="C39" s="363" t="s">
        <v>220</v>
      </c>
      <c r="D39" s="363" t="s">
        <v>221</v>
      </c>
      <c r="E39" s="365" t="s">
        <v>167</v>
      </c>
      <c r="F39" s="436">
        <v>1</v>
      </c>
      <c r="G39" s="367">
        <v>850000</v>
      </c>
      <c r="H39" s="292">
        <f t="shared" si="4"/>
        <v>850000</v>
      </c>
      <c r="I39" s="364"/>
    </row>
    <row r="40" spans="1:9" ht="15.9" customHeight="1" x14ac:dyDescent="0.25">
      <c r="A40" s="432"/>
      <c r="B40" s="356"/>
      <c r="C40" s="363" t="s">
        <v>222</v>
      </c>
      <c r="D40" s="363"/>
      <c r="E40" s="365" t="s">
        <v>167</v>
      </c>
      <c r="F40" s="436">
        <v>20</v>
      </c>
      <c r="G40" s="367">
        <v>7000</v>
      </c>
      <c r="H40" s="292">
        <f t="shared" si="4"/>
        <v>140000</v>
      </c>
      <c r="I40" s="364"/>
    </row>
    <row r="41" spans="1:9" ht="15.9" customHeight="1" x14ac:dyDescent="0.25">
      <c r="A41" s="432"/>
      <c r="B41" s="356"/>
      <c r="C41" s="363" t="s">
        <v>223</v>
      </c>
      <c r="D41" s="363"/>
      <c r="E41" s="365" t="s">
        <v>167</v>
      </c>
      <c r="F41" s="436">
        <v>1</v>
      </c>
      <c r="G41" s="367">
        <v>100000</v>
      </c>
      <c r="H41" s="292">
        <f t="shared" si="4"/>
        <v>100000</v>
      </c>
      <c r="I41" s="364"/>
    </row>
    <row r="42" spans="1:9" ht="15.9" customHeight="1" x14ac:dyDescent="0.25">
      <c r="A42" s="432"/>
      <c r="B42" s="356"/>
      <c r="C42" s="433" t="s">
        <v>224</v>
      </c>
      <c r="D42" s="433"/>
      <c r="E42" s="434" t="s">
        <v>167</v>
      </c>
      <c r="F42" s="435">
        <v>1</v>
      </c>
      <c r="G42" s="435">
        <v>100000</v>
      </c>
      <c r="H42" s="292">
        <f t="shared" si="4"/>
        <v>100000</v>
      </c>
      <c r="I42" s="364"/>
    </row>
    <row r="43" spans="1:9" ht="15.9" customHeight="1" x14ac:dyDescent="0.25">
      <c r="A43" s="432"/>
      <c r="B43" s="356"/>
      <c r="C43" s="357"/>
      <c r="D43" s="357"/>
      <c r="E43" s="357"/>
      <c r="F43" s="360"/>
      <c r="G43" s="360"/>
      <c r="H43" s="292">
        <f t="shared" si="4"/>
        <v>0</v>
      </c>
      <c r="I43" s="364"/>
    </row>
    <row r="44" spans="1:9" ht="15.9" customHeight="1" x14ac:dyDescent="0.25">
      <c r="A44" s="432"/>
      <c r="B44" s="356"/>
      <c r="C44" s="368" t="s">
        <v>313</v>
      </c>
      <c r="D44" s="368"/>
      <c r="E44" s="369" t="s">
        <v>167</v>
      </c>
      <c r="F44" s="371">
        <v>1</v>
      </c>
      <c r="G44" s="371">
        <v>500000</v>
      </c>
      <c r="H44" s="292">
        <v>0</v>
      </c>
      <c r="I44" s="372"/>
    </row>
    <row r="45" spans="1:9" ht="15.9" customHeight="1" x14ac:dyDescent="0.25">
      <c r="A45" s="432"/>
      <c r="B45" s="373"/>
      <c r="C45" s="374"/>
      <c r="D45" s="375"/>
      <c r="E45" s="375"/>
      <c r="F45" s="377"/>
      <c r="G45" s="377"/>
      <c r="H45" s="378">
        <f>SUM(H20:H44)</f>
        <v>39070000</v>
      </c>
      <c r="I45" s="68"/>
    </row>
    <row r="46" spans="1:9" ht="15.9" customHeight="1" x14ac:dyDescent="0.25">
      <c r="A46" s="432"/>
      <c r="B46" s="398" t="s">
        <v>61</v>
      </c>
      <c r="C46" s="380"/>
      <c r="D46" s="380"/>
      <c r="E46" s="381"/>
      <c r="F46" s="383"/>
      <c r="G46" s="383"/>
      <c r="H46" s="384">
        <f t="shared" si="2"/>
        <v>0</v>
      </c>
      <c r="I46" s="385"/>
    </row>
    <row r="47" spans="1:9" ht="15.9" customHeight="1" x14ac:dyDescent="0.25">
      <c r="A47" s="432"/>
      <c r="B47" s="356"/>
      <c r="C47" s="363"/>
      <c r="D47" s="363"/>
      <c r="E47" s="365"/>
      <c r="F47" s="367"/>
      <c r="G47" s="367"/>
      <c r="H47" s="292">
        <f t="shared" si="2"/>
        <v>0</v>
      </c>
      <c r="I47" s="364"/>
    </row>
    <row r="48" spans="1:9" ht="15.9" customHeight="1" x14ac:dyDescent="0.25">
      <c r="A48" s="432"/>
      <c r="B48" s="356"/>
      <c r="C48" s="363"/>
      <c r="D48" s="363"/>
      <c r="E48" s="365"/>
      <c r="F48" s="367"/>
      <c r="G48" s="367"/>
      <c r="H48" s="292">
        <f t="shared" si="2"/>
        <v>0</v>
      </c>
      <c r="I48" s="364"/>
    </row>
    <row r="49" spans="1:9" ht="15.9" customHeight="1" x14ac:dyDescent="0.25">
      <c r="A49" s="432"/>
      <c r="B49" s="356"/>
      <c r="C49" s="363"/>
      <c r="D49" s="363"/>
      <c r="E49" s="365"/>
      <c r="F49" s="367"/>
      <c r="G49" s="367"/>
      <c r="H49" s="292">
        <f t="shared" si="2"/>
        <v>0</v>
      </c>
      <c r="I49" s="364"/>
    </row>
    <row r="50" spans="1:9" ht="15.9" customHeight="1" x14ac:dyDescent="0.25">
      <c r="A50" s="432"/>
      <c r="B50" s="356"/>
      <c r="C50" s="363"/>
      <c r="D50" s="363"/>
      <c r="E50" s="365"/>
      <c r="F50" s="367"/>
      <c r="G50" s="367"/>
      <c r="H50" s="292">
        <f t="shared" si="2"/>
        <v>0</v>
      </c>
      <c r="I50" s="364"/>
    </row>
    <row r="51" spans="1:9" ht="15.9" customHeight="1" x14ac:dyDescent="0.25">
      <c r="A51" s="432"/>
      <c r="B51" s="356"/>
      <c r="C51" s="363"/>
      <c r="D51" s="363"/>
      <c r="E51" s="365"/>
      <c r="F51" s="367"/>
      <c r="G51" s="367"/>
      <c r="H51" s="292">
        <f t="shared" si="2"/>
        <v>0</v>
      </c>
      <c r="I51" s="364"/>
    </row>
    <row r="52" spans="1:9" ht="15.9" customHeight="1" x14ac:dyDescent="0.25">
      <c r="A52" s="432"/>
      <c r="B52" s="356"/>
      <c r="C52" s="368" t="s">
        <v>225</v>
      </c>
      <c r="D52" s="368"/>
      <c r="E52" s="369"/>
      <c r="F52" s="371"/>
      <c r="G52" s="371"/>
      <c r="H52" s="402">
        <f t="shared" si="2"/>
        <v>0</v>
      </c>
      <c r="I52" s="372"/>
    </row>
    <row r="53" spans="1:9" ht="15.9" customHeight="1" x14ac:dyDescent="0.25">
      <c r="A53" s="432"/>
      <c r="B53" s="373"/>
      <c r="C53" s="374"/>
      <c r="D53" s="375"/>
      <c r="E53" s="375"/>
      <c r="F53" s="377"/>
      <c r="G53" s="377"/>
      <c r="H53" s="378">
        <f>SUM(H46:H52)</f>
        <v>0</v>
      </c>
      <c r="I53" s="68"/>
    </row>
    <row r="54" spans="1:9" ht="15.9" customHeight="1" x14ac:dyDescent="0.25">
      <c r="A54" s="403"/>
      <c r="B54" s="404" t="s">
        <v>149</v>
      </c>
      <c r="C54" s="405"/>
      <c r="D54" s="68"/>
      <c r="E54" s="68"/>
      <c r="F54" s="407"/>
      <c r="G54" s="407"/>
      <c r="H54" s="378">
        <f>SUM(H53,H45,H19,H13)</f>
        <v>60970000</v>
      </c>
      <c r="I54" s="68"/>
    </row>
    <row r="55" spans="1:9" ht="15.9" customHeight="1" x14ac:dyDescent="0.25">
      <c r="A55" s="446" t="s">
        <v>150</v>
      </c>
      <c r="B55" s="409" t="s">
        <v>67</v>
      </c>
      <c r="C55" s="405"/>
      <c r="D55" s="68"/>
      <c r="E55" s="409" t="s">
        <v>68</v>
      </c>
      <c r="F55" s="448">
        <v>0</v>
      </c>
      <c r="G55" s="427">
        <v>250000</v>
      </c>
      <c r="H55" s="413">
        <f>F55*G55</f>
        <v>0</v>
      </c>
      <c r="I55" s="68"/>
    </row>
    <row r="56" spans="1:9" ht="15.9" customHeight="1" x14ac:dyDescent="0.25">
      <c r="A56" s="432"/>
      <c r="B56" s="415" t="s">
        <v>228</v>
      </c>
      <c r="C56" s="416"/>
      <c r="D56" s="385"/>
      <c r="E56" s="415" t="s">
        <v>152</v>
      </c>
      <c r="F56" s="449">
        <v>20</v>
      </c>
      <c r="G56" s="443">
        <v>300000</v>
      </c>
      <c r="H56" s="384">
        <f t="shared" ref="H56:H62" si="5">F56*G56</f>
        <v>6000000</v>
      </c>
      <c r="I56" s="385"/>
    </row>
    <row r="57" spans="1:9" ht="15.9" customHeight="1" x14ac:dyDescent="0.25">
      <c r="A57" s="432"/>
      <c r="B57" s="447" t="s">
        <v>229</v>
      </c>
      <c r="C57" s="419"/>
      <c r="D57" s="364"/>
      <c r="E57" s="418" t="s">
        <v>152</v>
      </c>
      <c r="F57" s="450">
        <v>10</v>
      </c>
      <c r="G57" s="435">
        <v>250000</v>
      </c>
      <c r="H57" s="292">
        <f t="shared" si="5"/>
        <v>2500000</v>
      </c>
      <c r="I57" s="364"/>
    </row>
    <row r="58" spans="1:9" ht="15.9" customHeight="1" x14ac:dyDescent="0.25">
      <c r="A58" s="432"/>
      <c r="B58" s="418" t="s">
        <v>230</v>
      </c>
      <c r="C58" s="419"/>
      <c r="D58" s="364"/>
      <c r="E58" s="418" t="s">
        <v>152</v>
      </c>
      <c r="F58" s="450">
        <v>30</v>
      </c>
      <c r="G58" s="435">
        <v>250000</v>
      </c>
      <c r="H58" s="292">
        <f t="shared" si="5"/>
        <v>7500000</v>
      </c>
      <c r="I58" s="364"/>
    </row>
    <row r="59" spans="1:9" ht="15.9" customHeight="1" x14ac:dyDescent="0.25">
      <c r="A59" s="432"/>
      <c r="B59" s="418" t="s">
        <v>231</v>
      </c>
      <c r="C59" s="419"/>
      <c r="D59" s="364"/>
      <c r="E59" s="418" t="s">
        <v>152</v>
      </c>
      <c r="F59" s="450">
        <v>2</v>
      </c>
      <c r="G59" s="367">
        <v>300000</v>
      </c>
      <c r="H59" s="292">
        <f t="shared" si="5"/>
        <v>600000</v>
      </c>
      <c r="I59" s="364"/>
    </row>
    <row r="60" spans="1:9" ht="15.9" customHeight="1" x14ac:dyDescent="0.25">
      <c r="A60" s="432"/>
      <c r="B60" s="418" t="s">
        <v>232</v>
      </c>
      <c r="C60" s="419"/>
      <c r="D60" s="364"/>
      <c r="E60" s="418" t="s">
        <v>152</v>
      </c>
      <c r="F60" s="450">
        <v>4</v>
      </c>
      <c r="G60" s="367">
        <v>300000</v>
      </c>
      <c r="H60" s="292">
        <f t="shared" si="5"/>
        <v>1200000</v>
      </c>
      <c r="I60" s="364"/>
    </row>
    <row r="61" spans="1:9" ht="15.9" customHeight="1" x14ac:dyDescent="0.25">
      <c r="A61" s="432"/>
      <c r="B61" s="418" t="s">
        <v>233</v>
      </c>
      <c r="C61" s="419"/>
      <c r="D61" s="364"/>
      <c r="E61" s="418" t="s">
        <v>152</v>
      </c>
      <c r="F61" s="450">
        <v>1</v>
      </c>
      <c r="G61" s="367">
        <v>300000</v>
      </c>
      <c r="H61" s="292">
        <f t="shared" si="5"/>
        <v>300000</v>
      </c>
      <c r="I61" s="364"/>
    </row>
    <row r="62" spans="1:9" ht="15.9" customHeight="1" x14ac:dyDescent="0.25">
      <c r="A62" s="432"/>
      <c r="B62" s="421" t="s">
        <v>234</v>
      </c>
      <c r="C62" s="422"/>
      <c r="D62" s="372"/>
      <c r="E62" s="421" t="s">
        <v>152</v>
      </c>
      <c r="F62" s="451">
        <v>5</v>
      </c>
      <c r="G62" s="455">
        <v>250000</v>
      </c>
      <c r="H62" s="402">
        <f t="shared" si="5"/>
        <v>1250000</v>
      </c>
      <c r="I62" s="372"/>
    </row>
    <row r="63" spans="1:9" ht="15.9" customHeight="1" x14ac:dyDescent="0.25">
      <c r="A63" s="403"/>
      <c r="B63" s="424" t="s">
        <v>158</v>
      </c>
      <c r="C63" s="405"/>
      <c r="D63" s="68"/>
      <c r="E63" s="68"/>
      <c r="F63" s="377"/>
      <c r="G63" s="377"/>
      <c r="H63" s="377">
        <f>SUM(H55:H62)</f>
        <v>19350000</v>
      </c>
      <c r="I63" s="375"/>
    </row>
    <row r="64" spans="1:9" ht="15.9" customHeight="1" x14ac:dyDescent="0.25">
      <c r="A64" s="410"/>
      <c r="B64" s="424" t="s">
        <v>235</v>
      </c>
      <c r="C64" s="405"/>
      <c r="D64" s="68"/>
      <c r="E64" s="68"/>
      <c r="F64" s="378"/>
      <c r="G64" s="378"/>
      <c r="H64" s="407">
        <f>'단위공사별(집계)'!L23+'단위공사별(집계)'!I23</f>
        <v>336891.07012269436</v>
      </c>
      <c r="I64" s="68"/>
    </row>
    <row r="65" spans="1:9" ht="15.9" customHeight="1" x14ac:dyDescent="0.25">
      <c r="A65" s="410"/>
      <c r="B65" s="424" t="s">
        <v>93</v>
      </c>
      <c r="C65" s="405"/>
      <c r="D65" s="68"/>
      <c r="E65" s="68"/>
      <c r="F65" s="378"/>
      <c r="G65" s="426"/>
      <c r="H65" s="427">
        <v>0</v>
      </c>
      <c r="I65" s="405"/>
    </row>
    <row r="66" spans="1:9" ht="15.9" customHeight="1" x14ac:dyDescent="0.25">
      <c r="A66" s="410"/>
      <c r="B66" s="424" t="s">
        <v>161</v>
      </c>
      <c r="C66" s="405"/>
      <c r="D66" s="68"/>
      <c r="E66" s="68"/>
      <c r="F66" s="378"/>
      <c r="G66" s="426"/>
      <c r="H66" s="427">
        <v>0</v>
      </c>
      <c r="I66" s="405"/>
    </row>
    <row r="67" spans="1:9" ht="15.9" customHeight="1" x14ac:dyDescent="0.25">
      <c r="A67" s="410"/>
      <c r="B67" s="424" t="s">
        <v>162</v>
      </c>
      <c r="C67" s="405"/>
      <c r="D67" s="68"/>
      <c r="E67" s="68"/>
      <c r="F67" s="378"/>
      <c r="G67" s="378"/>
      <c r="H67" s="377">
        <f>H54+H63+H64+H65+H66</f>
        <v>80656891.070122689</v>
      </c>
      <c r="I67" s="68"/>
    </row>
    <row r="68" spans="1:9" x14ac:dyDescent="0.25">
      <c r="A68" s="254"/>
    </row>
  </sheetData>
  <mergeCells count="3">
    <mergeCell ref="A2:B2"/>
    <mergeCell ref="A3:A53"/>
    <mergeCell ref="A55:A6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D350-6A8B-43C4-BA2B-EEAF13FAC90A}">
  <sheetPr>
    <tabColor rgb="FF00B050"/>
    <pageSetUpPr fitToPage="1"/>
  </sheetPr>
  <dimension ref="A1:I71"/>
  <sheetViews>
    <sheetView zoomScaleNormal="100" workbookViewId="0">
      <pane xSplit="2" ySplit="2" topLeftCell="C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394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363" t="s">
        <v>395</v>
      </c>
      <c r="D4" s="363"/>
      <c r="E4" s="365"/>
      <c r="F4" s="367"/>
      <c r="G4" s="367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363" t="s">
        <v>396</v>
      </c>
      <c r="D5" s="363"/>
      <c r="E5" s="365" t="s">
        <v>397</v>
      </c>
      <c r="F5" s="367">
        <v>12</v>
      </c>
      <c r="G5" s="367">
        <v>150000</v>
      </c>
      <c r="H5" s="292">
        <f t="shared" si="0"/>
        <v>1800000</v>
      </c>
      <c r="I5" s="364"/>
    </row>
    <row r="6" spans="1:9" ht="15.9" customHeight="1" x14ac:dyDescent="0.25">
      <c r="A6" s="432"/>
      <c r="B6" s="356"/>
      <c r="C6" s="363" t="s">
        <v>398</v>
      </c>
      <c r="D6" s="363"/>
      <c r="E6" s="365" t="s">
        <v>167</v>
      </c>
      <c r="F6" s="367">
        <v>1</v>
      </c>
      <c r="G6" s="367">
        <v>1500000</v>
      </c>
      <c r="H6" s="292">
        <f t="shared" ref="H6:H18" si="1">IF(F6=0,G6,G6*F6)</f>
        <v>1500000</v>
      </c>
      <c r="I6" s="364"/>
    </row>
    <row r="7" spans="1:9" ht="15.9" customHeight="1" x14ac:dyDescent="0.25">
      <c r="A7" s="432"/>
      <c r="B7" s="356"/>
      <c r="C7" s="363" t="s">
        <v>399</v>
      </c>
      <c r="D7" s="363"/>
      <c r="E7" s="365" t="s">
        <v>397</v>
      </c>
      <c r="F7" s="367">
        <v>10</v>
      </c>
      <c r="G7" s="367">
        <v>120000</v>
      </c>
      <c r="H7" s="292">
        <f t="shared" si="1"/>
        <v>1200000</v>
      </c>
      <c r="I7" s="364"/>
    </row>
    <row r="8" spans="1:9" ht="15.9" customHeight="1" x14ac:dyDescent="0.25">
      <c r="A8" s="432"/>
      <c r="B8" s="356"/>
      <c r="C8" s="363" t="s">
        <v>400</v>
      </c>
      <c r="D8" s="363"/>
      <c r="E8" s="365" t="s">
        <v>167</v>
      </c>
      <c r="F8" s="367">
        <v>1</v>
      </c>
      <c r="G8" s="367">
        <v>800000</v>
      </c>
      <c r="H8" s="292">
        <f t="shared" si="1"/>
        <v>800000</v>
      </c>
      <c r="I8" s="364"/>
    </row>
    <row r="9" spans="1:9" ht="15.9" customHeight="1" x14ac:dyDescent="0.25">
      <c r="A9" s="432"/>
      <c r="B9" s="356"/>
      <c r="C9" s="363" t="s">
        <v>401</v>
      </c>
      <c r="D9" s="363"/>
      <c r="E9" s="365" t="s">
        <v>167</v>
      </c>
      <c r="F9" s="367">
        <v>1</v>
      </c>
      <c r="G9" s="367">
        <v>400000</v>
      </c>
      <c r="H9" s="292">
        <f t="shared" si="1"/>
        <v>400000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3"/>
      <c r="D11" s="363"/>
      <c r="E11" s="363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3"/>
      <c r="D12" s="363"/>
      <c r="E12" s="363"/>
      <c r="F12" s="367"/>
      <c r="G12" s="367"/>
      <c r="H12" s="292">
        <f t="shared" si="1"/>
        <v>0</v>
      </c>
      <c r="I12" s="364"/>
    </row>
    <row r="13" spans="1:9" ht="15.9" customHeight="1" x14ac:dyDescent="0.25">
      <c r="A13" s="432"/>
      <c r="B13" s="356"/>
      <c r="C13" s="363"/>
      <c r="D13" s="363"/>
      <c r="E13" s="363"/>
      <c r="F13" s="367"/>
      <c r="G13" s="367"/>
      <c r="H13" s="292">
        <f t="shared" si="1"/>
        <v>0</v>
      </c>
      <c r="I13" s="364"/>
    </row>
    <row r="14" spans="1:9" ht="15.9" customHeight="1" x14ac:dyDescent="0.25">
      <c r="A14" s="432"/>
      <c r="B14" s="356"/>
      <c r="C14" s="363"/>
      <c r="D14" s="363"/>
      <c r="E14" s="363"/>
      <c r="F14" s="367"/>
      <c r="G14" s="367"/>
      <c r="H14" s="292">
        <f t="shared" si="1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1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1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1"/>
        <v>0</v>
      </c>
      <c r="I17" s="364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>
        <f t="shared" si="1"/>
        <v>0</v>
      </c>
      <c r="I18" s="364"/>
    </row>
    <row r="19" spans="1:9" ht="15.9" customHeight="1" x14ac:dyDescent="0.25">
      <c r="A19" s="432"/>
      <c r="B19" s="356"/>
      <c r="C19" s="368" t="s">
        <v>254</v>
      </c>
      <c r="D19" s="387"/>
      <c r="E19" s="437" t="s">
        <v>167</v>
      </c>
      <c r="F19" s="389">
        <v>1</v>
      </c>
      <c r="G19" s="389">
        <v>500000</v>
      </c>
      <c r="H19" s="302">
        <v>0</v>
      </c>
      <c r="I19" s="390"/>
    </row>
    <row r="20" spans="1:9" ht="15.9" customHeight="1" x14ac:dyDescent="0.25">
      <c r="A20" s="432"/>
      <c r="B20" s="373"/>
      <c r="C20" s="397"/>
      <c r="D20" s="397"/>
      <c r="E20" s="397"/>
      <c r="F20" s="395"/>
      <c r="G20" s="395"/>
      <c r="H20" s="396">
        <f>SUM(H3:H19)</f>
        <v>5700000</v>
      </c>
      <c r="I20" s="397"/>
    </row>
    <row r="21" spans="1:9" ht="15.9" customHeight="1" x14ac:dyDescent="0.25">
      <c r="A21" s="432"/>
      <c r="B21" s="356" t="s">
        <v>178</v>
      </c>
      <c r="C21" s="357"/>
      <c r="D21" s="357"/>
      <c r="E21" s="357"/>
      <c r="F21" s="360"/>
      <c r="G21" s="360"/>
      <c r="H21" s="311">
        <f t="shared" ref="H21:H55" si="2">IF(F21=0,G21,G21*F21)</f>
        <v>0</v>
      </c>
      <c r="I21" s="361"/>
    </row>
    <row r="22" spans="1:9" ht="15.9" customHeight="1" x14ac:dyDescent="0.25">
      <c r="A22" s="432"/>
      <c r="B22" s="356" t="s">
        <v>179</v>
      </c>
      <c r="C22" s="363"/>
      <c r="D22" s="363"/>
      <c r="E22" s="363"/>
      <c r="F22" s="367"/>
      <c r="G22" s="367"/>
      <c r="H22" s="292">
        <f t="shared" si="2"/>
        <v>0</v>
      </c>
      <c r="I22" s="364"/>
    </row>
    <row r="23" spans="1:9" ht="15.9" customHeight="1" x14ac:dyDescent="0.25">
      <c r="A23" s="432"/>
      <c r="B23" s="356"/>
      <c r="C23" s="363"/>
      <c r="D23" s="363"/>
      <c r="E23" s="363"/>
      <c r="F23" s="367"/>
      <c r="G23" s="367"/>
      <c r="H23" s="292">
        <f t="shared" si="2"/>
        <v>0</v>
      </c>
      <c r="I23" s="364"/>
    </row>
    <row r="24" spans="1:9" ht="15.9" customHeight="1" x14ac:dyDescent="0.25">
      <c r="A24" s="432"/>
      <c r="B24" s="356"/>
      <c r="C24" s="363"/>
      <c r="D24" s="363"/>
      <c r="E24" s="363"/>
      <c r="F24" s="367"/>
      <c r="G24" s="367"/>
      <c r="H24" s="292">
        <f t="shared" si="2"/>
        <v>0</v>
      </c>
      <c r="I24" s="364"/>
    </row>
    <row r="25" spans="1:9" ht="15.9" customHeight="1" x14ac:dyDescent="0.25">
      <c r="A25" s="432"/>
      <c r="B25" s="356"/>
      <c r="C25" s="368" t="s">
        <v>225</v>
      </c>
      <c r="D25" s="368"/>
      <c r="E25" s="368"/>
      <c r="F25" s="371"/>
      <c r="G25" s="371"/>
      <c r="H25" s="292">
        <f t="shared" si="2"/>
        <v>0</v>
      </c>
      <c r="I25" s="372"/>
    </row>
    <row r="26" spans="1:9" ht="15.9" customHeight="1" x14ac:dyDescent="0.25">
      <c r="A26" s="432"/>
      <c r="B26" s="373"/>
      <c r="C26" s="374"/>
      <c r="D26" s="375"/>
      <c r="E26" s="375"/>
      <c r="F26" s="438"/>
      <c r="G26" s="377"/>
      <c r="H26" s="378">
        <f>SUM(H21:H25)</f>
        <v>0</v>
      </c>
      <c r="I26" s="68"/>
    </row>
    <row r="27" spans="1:9" ht="15.9" customHeight="1" x14ac:dyDescent="0.25">
      <c r="A27" s="432"/>
      <c r="B27" s="398" t="s">
        <v>180</v>
      </c>
      <c r="C27" s="363"/>
      <c r="D27" s="363"/>
      <c r="E27" s="365"/>
      <c r="F27" s="367"/>
      <c r="G27" s="367"/>
      <c r="H27" s="292">
        <f t="shared" ref="H27:H30" si="3">IF(F27=0,0,G27*F27)</f>
        <v>0</v>
      </c>
      <c r="I27" s="361"/>
    </row>
    <row r="28" spans="1:9" ht="15.9" customHeight="1" x14ac:dyDescent="0.25">
      <c r="A28" s="432"/>
      <c r="B28" s="356" t="s">
        <v>182</v>
      </c>
      <c r="C28" s="363"/>
      <c r="D28" s="363"/>
      <c r="E28" s="365"/>
      <c r="F28" s="367"/>
      <c r="G28" s="367"/>
      <c r="H28" s="292">
        <f t="shared" si="3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3"/>
        <v>0</v>
      </c>
      <c r="I29" s="462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3"/>
        <v>0</v>
      </c>
      <c r="I30" s="364"/>
    </row>
    <row r="31" spans="1:9" ht="15.75" customHeight="1" x14ac:dyDescent="0.25">
      <c r="A31" s="432"/>
      <c r="B31" s="356"/>
      <c r="C31" s="363"/>
      <c r="D31" s="363"/>
      <c r="E31" s="365"/>
      <c r="F31" s="367"/>
      <c r="G31" s="367"/>
      <c r="H31" s="292">
        <f t="shared" ref="H31:H46" si="4">IF(F31=0,G31,G31*F31)</f>
        <v>0</v>
      </c>
      <c r="I31" s="364"/>
    </row>
    <row r="32" spans="1:9" ht="15.9" customHeight="1" x14ac:dyDescent="0.25">
      <c r="A32" s="432"/>
      <c r="B32" s="356"/>
      <c r="C32" s="433" t="s">
        <v>215</v>
      </c>
      <c r="D32" s="433"/>
      <c r="E32" s="434"/>
      <c r="F32" s="435"/>
      <c r="G32" s="435"/>
      <c r="H32" s="292">
        <f t="shared" si="4"/>
        <v>0</v>
      </c>
      <c r="I32" s="364"/>
    </row>
    <row r="33" spans="1:9" ht="15.9" customHeight="1" x14ac:dyDescent="0.25">
      <c r="A33" s="432"/>
      <c r="B33" s="356"/>
      <c r="C33" s="363" t="s">
        <v>216</v>
      </c>
      <c r="D33" s="363" t="s">
        <v>217</v>
      </c>
      <c r="E33" s="365" t="s">
        <v>167</v>
      </c>
      <c r="F33" s="436">
        <v>1</v>
      </c>
      <c r="G33" s="367">
        <v>350000</v>
      </c>
      <c r="H33" s="292">
        <f t="shared" si="4"/>
        <v>350000</v>
      </c>
      <c r="I33" s="364"/>
    </row>
    <row r="34" spans="1:9" ht="15.9" customHeight="1" x14ac:dyDescent="0.25">
      <c r="A34" s="432"/>
      <c r="B34" s="356"/>
      <c r="C34" s="363" t="s">
        <v>218</v>
      </c>
      <c r="D34" s="363" t="s">
        <v>219</v>
      </c>
      <c r="E34" s="365" t="s">
        <v>167</v>
      </c>
      <c r="F34" s="436">
        <v>20</v>
      </c>
      <c r="G34" s="367">
        <v>75000</v>
      </c>
      <c r="H34" s="292">
        <f t="shared" si="4"/>
        <v>1500000</v>
      </c>
      <c r="I34" s="364"/>
    </row>
    <row r="35" spans="1:9" ht="15.9" customHeight="1" x14ac:dyDescent="0.25">
      <c r="A35" s="432"/>
      <c r="B35" s="356"/>
      <c r="C35" s="363" t="s">
        <v>220</v>
      </c>
      <c r="D35" s="363" t="s">
        <v>221</v>
      </c>
      <c r="E35" s="365" t="s">
        <v>167</v>
      </c>
      <c r="F35" s="436">
        <v>2</v>
      </c>
      <c r="G35" s="367">
        <v>850000</v>
      </c>
      <c r="H35" s="292">
        <f t="shared" si="4"/>
        <v>1700000</v>
      </c>
      <c r="I35" s="364"/>
    </row>
    <row r="36" spans="1:9" ht="15.9" customHeight="1" x14ac:dyDescent="0.25">
      <c r="A36" s="432"/>
      <c r="B36" s="356"/>
      <c r="C36" s="363" t="s">
        <v>222</v>
      </c>
      <c r="D36" s="363"/>
      <c r="E36" s="365" t="s">
        <v>167</v>
      </c>
      <c r="F36" s="436">
        <v>40</v>
      </c>
      <c r="G36" s="367">
        <v>7000</v>
      </c>
      <c r="H36" s="292">
        <f t="shared" si="4"/>
        <v>280000</v>
      </c>
      <c r="I36" s="364"/>
    </row>
    <row r="37" spans="1:9" ht="15.9" customHeight="1" x14ac:dyDescent="0.25">
      <c r="A37" s="432"/>
      <c r="B37" s="356"/>
      <c r="C37" s="363" t="s">
        <v>223</v>
      </c>
      <c r="D37" s="363"/>
      <c r="E37" s="365" t="s">
        <v>167</v>
      </c>
      <c r="F37" s="436">
        <v>1</v>
      </c>
      <c r="G37" s="367">
        <v>2000000</v>
      </c>
      <c r="H37" s="292">
        <f t="shared" si="4"/>
        <v>2000000</v>
      </c>
      <c r="I37" s="364"/>
    </row>
    <row r="38" spans="1:9" ht="15.9" customHeight="1" x14ac:dyDescent="0.25">
      <c r="A38" s="432"/>
      <c r="B38" s="356"/>
      <c r="C38" s="433" t="s">
        <v>224</v>
      </c>
      <c r="D38" s="433"/>
      <c r="E38" s="434" t="s">
        <v>167</v>
      </c>
      <c r="F38" s="435">
        <v>1</v>
      </c>
      <c r="G38" s="435">
        <v>1000000</v>
      </c>
      <c r="H38" s="292">
        <f t="shared" si="4"/>
        <v>1000000</v>
      </c>
      <c r="I38" s="364"/>
    </row>
    <row r="39" spans="1:9" ht="15.9" customHeight="1" x14ac:dyDescent="0.25">
      <c r="A39" s="432"/>
      <c r="B39" s="356"/>
      <c r="C39" s="433"/>
      <c r="D39" s="433"/>
      <c r="E39" s="434"/>
      <c r="F39" s="435"/>
      <c r="G39" s="435"/>
      <c r="H39" s="292">
        <f t="shared" si="4"/>
        <v>0</v>
      </c>
      <c r="I39" s="364"/>
    </row>
    <row r="40" spans="1:9" ht="15.9" customHeight="1" x14ac:dyDescent="0.25">
      <c r="A40" s="432"/>
      <c r="B40" s="356"/>
      <c r="C40" s="363"/>
      <c r="D40" s="363"/>
      <c r="E40" s="365"/>
      <c r="F40" s="436"/>
      <c r="G40" s="367"/>
      <c r="H40" s="292">
        <f t="shared" si="4"/>
        <v>0</v>
      </c>
      <c r="I40" s="364"/>
    </row>
    <row r="41" spans="1:9" ht="15.9" customHeight="1" x14ac:dyDescent="0.25">
      <c r="A41" s="432"/>
      <c r="B41" s="356"/>
      <c r="C41" s="363"/>
      <c r="D41" s="363"/>
      <c r="E41" s="365"/>
      <c r="F41" s="436"/>
      <c r="G41" s="367"/>
      <c r="H41" s="292">
        <f t="shared" si="4"/>
        <v>0</v>
      </c>
      <c r="I41" s="364"/>
    </row>
    <row r="42" spans="1:9" ht="15.9" customHeight="1" x14ac:dyDescent="0.25">
      <c r="A42" s="432"/>
      <c r="B42" s="356"/>
      <c r="C42" s="363"/>
      <c r="D42" s="363"/>
      <c r="E42" s="365"/>
      <c r="F42" s="436"/>
      <c r="G42" s="367"/>
      <c r="H42" s="292">
        <f t="shared" si="4"/>
        <v>0</v>
      </c>
      <c r="I42" s="364"/>
    </row>
    <row r="43" spans="1:9" ht="15.9" customHeight="1" x14ac:dyDescent="0.25">
      <c r="A43" s="432"/>
      <c r="B43" s="356"/>
      <c r="C43" s="363"/>
      <c r="D43" s="363"/>
      <c r="E43" s="365"/>
      <c r="F43" s="436"/>
      <c r="G43" s="367"/>
      <c r="H43" s="292">
        <f t="shared" si="4"/>
        <v>0</v>
      </c>
      <c r="I43" s="364"/>
    </row>
    <row r="44" spans="1:9" ht="15.9" customHeight="1" x14ac:dyDescent="0.25">
      <c r="A44" s="432"/>
      <c r="B44" s="356"/>
      <c r="C44" s="363"/>
      <c r="D44" s="363"/>
      <c r="E44" s="365"/>
      <c r="F44" s="436"/>
      <c r="G44" s="367"/>
      <c r="H44" s="292">
        <f t="shared" si="4"/>
        <v>0</v>
      </c>
      <c r="I44" s="364"/>
    </row>
    <row r="45" spans="1:9" ht="15.9" customHeight="1" x14ac:dyDescent="0.25">
      <c r="A45" s="432"/>
      <c r="B45" s="356"/>
      <c r="C45" s="433"/>
      <c r="D45" s="433"/>
      <c r="E45" s="434"/>
      <c r="F45" s="435"/>
      <c r="G45" s="435"/>
      <c r="H45" s="292">
        <f t="shared" si="4"/>
        <v>0</v>
      </c>
      <c r="I45" s="364"/>
    </row>
    <row r="46" spans="1:9" ht="15.9" customHeight="1" x14ac:dyDescent="0.25">
      <c r="A46" s="432"/>
      <c r="B46" s="356"/>
      <c r="C46" s="363"/>
      <c r="D46" s="363"/>
      <c r="E46" s="365"/>
      <c r="F46" s="436"/>
      <c r="G46" s="367"/>
      <c r="H46" s="292">
        <f t="shared" si="4"/>
        <v>0</v>
      </c>
      <c r="I46" s="364"/>
    </row>
    <row r="47" spans="1:9" ht="15.9" customHeight="1" x14ac:dyDescent="0.25">
      <c r="A47" s="432"/>
      <c r="B47" s="356"/>
      <c r="C47" s="368" t="s">
        <v>313</v>
      </c>
      <c r="D47" s="368"/>
      <c r="E47" s="369" t="s">
        <v>167</v>
      </c>
      <c r="F47" s="371">
        <v>1</v>
      </c>
      <c r="G47" s="371">
        <v>1000000</v>
      </c>
      <c r="H47" s="292"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SUM(H27:H47)</f>
        <v>6830000</v>
      </c>
      <c r="I48" s="68"/>
    </row>
    <row r="49" spans="1:9" ht="15.9" customHeight="1" x14ac:dyDescent="0.25">
      <c r="A49" s="432"/>
      <c r="B49" s="398" t="s">
        <v>61</v>
      </c>
      <c r="C49" s="363" t="s">
        <v>402</v>
      </c>
      <c r="D49" s="363"/>
      <c r="E49" s="365" t="s">
        <v>167</v>
      </c>
      <c r="F49" s="367">
        <v>1</v>
      </c>
      <c r="G49" s="367">
        <v>50000000</v>
      </c>
      <c r="H49" s="384">
        <f t="shared" si="2"/>
        <v>50000000</v>
      </c>
      <c r="I49" s="385"/>
    </row>
    <row r="50" spans="1:9" ht="15.9" customHeight="1" x14ac:dyDescent="0.25">
      <c r="A50" s="432"/>
      <c r="B50" s="356"/>
      <c r="C50" s="363"/>
      <c r="D50" s="363"/>
      <c r="E50" s="363"/>
      <c r="F50" s="367"/>
      <c r="G50" s="367"/>
      <c r="H50" s="292">
        <f t="shared" si="2"/>
        <v>0</v>
      </c>
      <c r="I50" s="364"/>
    </row>
    <row r="51" spans="1:9" ht="15.9" customHeight="1" x14ac:dyDescent="0.25">
      <c r="A51" s="432"/>
      <c r="B51" s="356"/>
      <c r="C51" s="363"/>
      <c r="D51" s="363"/>
      <c r="E51" s="363"/>
      <c r="F51" s="367"/>
      <c r="G51" s="367"/>
      <c r="H51" s="292">
        <f t="shared" si="2"/>
        <v>0</v>
      </c>
      <c r="I51" s="364"/>
    </row>
    <row r="52" spans="1:9" ht="15.9" customHeight="1" x14ac:dyDescent="0.25">
      <c r="A52" s="432"/>
      <c r="B52" s="356"/>
      <c r="C52" s="363"/>
      <c r="D52" s="363"/>
      <c r="E52" s="363"/>
      <c r="F52" s="367"/>
      <c r="G52" s="367"/>
      <c r="H52" s="292">
        <f t="shared" si="2"/>
        <v>0</v>
      </c>
      <c r="I52" s="364"/>
    </row>
    <row r="53" spans="1:9" ht="15.9" customHeight="1" x14ac:dyDescent="0.25">
      <c r="A53" s="432"/>
      <c r="B53" s="356"/>
      <c r="C53" s="363"/>
      <c r="D53" s="363"/>
      <c r="E53" s="363"/>
      <c r="F53" s="367"/>
      <c r="G53" s="367"/>
      <c r="H53" s="292">
        <f t="shared" si="2"/>
        <v>0</v>
      </c>
      <c r="I53" s="364"/>
    </row>
    <row r="54" spans="1:9" ht="15.9" customHeight="1" x14ac:dyDescent="0.25">
      <c r="A54" s="432"/>
      <c r="B54" s="356"/>
      <c r="C54" s="363"/>
      <c r="D54" s="363"/>
      <c r="E54" s="363"/>
      <c r="F54" s="367"/>
      <c r="G54" s="367"/>
      <c r="H54" s="292">
        <f t="shared" si="2"/>
        <v>0</v>
      </c>
      <c r="I54" s="364"/>
    </row>
    <row r="55" spans="1:9" ht="15.9" customHeight="1" x14ac:dyDescent="0.25">
      <c r="A55" s="432"/>
      <c r="B55" s="356"/>
      <c r="C55" s="368" t="s">
        <v>225</v>
      </c>
      <c r="D55" s="368"/>
      <c r="E55" s="368"/>
      <c r="F55" s="371"/>
      <c r="G55" s="371"/>
      <c r="H55" s="402">
        <f t="shared" si="2"/>
        <v>0</v>
      </c>
      <c r="I55" s="372"/>
    </row>
    <row r="56" spans="1:9" ht="15.9" customHeight="1" x14ac:dyDescent="0.25">
      <c r="A56" s="432"/>
      <c r="B56" s="373"/>
      <c r="C56" s="374"/>
      <c r="D56" s="375"/>
      <c r="E56" s="375"/>
      <c r="F56" s="377"/>
      <c r="G56" s="377"/>
      <c r="H56" s="378">
        <f>SUM(H49:H55)</f>
        <v>50000000</v>
      </c>
      <c r="I56" s="68"/>
    </row>
    <row r="57" spans="1:9" ht="15.9" customHeight="1" x14ac:dyDescent="0.25">
      <c r="A57" s="403"/>
      <c r="B57" s="404" t="s">
        <v>149</v>
      </c>
      <c r="C57" s="405"/>
      <c r="D57" s="68"/>
      <c r="E57" s="68"/>
      <c r="F57" s="407"/>
      <c r="G57" s="407"/>
      <c r="H57" s="378">
        <f>SUM(H56,H48,H26,H20)</f>
        <v>62530000</v>
      </c>
      <c r="I57" s="68"/>
    </row>
    <row r="58" spans="1:9" ht="15.9" customHeight="1" x14ac:dyDescent="0.25">
      <c r="A58" s="446" t="s">
        <v>150</v>
      </c>
      <c r="B58" s="409" t="s">
        <v>67</v>
      </c>
      <c r="C58" s="405"/>
      <c r="D58" s="68"/>
      <c r="E58" s="409" t="s">
        <v>68</v>
      </c>
      <c r="F58" s="448">
        <v>0</v>
      </c>
      <c r="G58" s="427">
        <v>250000</v>
      </c>
      <c r="H58" s="413">
        <f>F58*G58</f>
        <v>0</v>
      </c>
      <c r="I58" s="68"/>
    </row>
    <row r="59" spans="1:9" ht="15.9" customHeight="1" x14ac:dyDescent="0.25">
      <c r="A59" s="432"/>
      <c r="B59" s="415" t="s">
        <v>228</v>
      </c>
      <c r="C59" s="416"/>
      <c r="D59" s="385"/>
      <c r="E59" s="415" t="s">
        <v>152</v>
      </c>
      <c r="F59" s="449">
        <v>10</v>
      </c>
      <c r="G59" s="443">
        <v>300000</v>
      </c>
      <c r="H59" s="384">
        <f t="shared" ref="H59:H65" si="5">F59*G59</f>
        <v>3000000</v>
      </c>
      <c r="I59" s="385"/>
    </row>
    <row r="60" spans="1:9" ht="15.9" customHeight="1" x14ac:dyDescent="0.25">
      <c r="A60" s="432"/>
      <c r="B60" s="447" t="s">
        <v>229</v>
      </c>
      <c r="C60" s="419"/>
      <c r="D60" s="364"/>
      <c r="E60" s="418" t="s">
        <v>152</v>
      </c>
      <c r="F60" s="450">
        <v>5</v>
      </c>
      <c r="G60" s="435">
        <v>250000</v>
      </c>
      <c r="H60" s="292">
        <f t="shared" si="5"/>
        <v>1250000</v>
      </c>
      <c r="I60" s="364"/>
    </row>
    <row r="61" spans="1:9" ht="15.9" customHeight="1" x14ac:dyDescent="0.25">
      <c r="A61" s="432"/>
      <c r="B61" s="418" t="s">
        <v>230</v>
      </c>
      <c r="C61" s="419"/>
      <c r="D61" s="364"/>
      <c r="E61" s="418" t="s">
        <v>152</v>
      </c>
      <c r="F61" s="450">
        <v>10</v>
      </c>
      <c r="G61" s="435">
        <v>250000</v>
      </c>
      <c r="H61" s="292">
        <f t="shared" si="5"/>
        <v>2500000</v>
      </c>
      <c r="I61" s="364"/>
    </row>
    <row r="62" spans="1:9" ht="15.9" customHeight="1" x14ac:dyDescent="0.25">
      <c r="A62" s="432"/>
      <c r="B62" s="418" t="s">
        <v>231</v>
      </c>
      <c r="C62" s="419"/>
      <c r="D62" s="364"/>
      <c r="E62" s="418" t="s">
        <v>152</v>
      </c>
      <c r="F62" s="450">
        <v>3</v>
      </c>
      <c r="G62" s="367">
        <v>300000</v>
      </c>
      <c r="H62" s="292">
        <f t="shared" si="5"/>
        <v>900000</v>
      </c>
      <c r="I62" s="364"/>
    </row>
    <row r="63" spans="1:9" ht="15.9" customHeight="1" x14ac:dyDescent="0.25">
      <c r="A63" s="432"/>
      <c r="B63" s="418" t="s">
        <v>232</v>
      </c>
      <c r="C63" s="419"/>
      <c r="D63" s="364"/>
      <c r="E63" s="418" t="s">
        <v>152</v>
      </c>
      <c r="F63" s="450">
        <v>2</v>
      </c>
      <c r="G63" s="367">
        <v>300000</v>
      </c>
      <c r="H63" s="292">
        <f t="shared" si="5"/>
        <v>600000</v>
      </c>
      <c r="I63" s="364"/>
    </row>
    <row r="64" spans="1:9" ht="15.9" customHeight="1" x14ac:dyDescent="0.25">
      <c r="A64" s="432"/>
      <c r="B64" s="418" t="s">
        <v>233</v>
      </c>
      <c r="C64" s="419"/>
      <c r="D64" s="364"/>
      <c r="E64" s="418" t="s">
        <v>152</v>
      </c>
      <c r="F64" s="450">
        <v>0</v>
      </c>
      <c r="G64" s="367">
        <v>300000</v>
      </c>
      <c r="H64" s="292">
        <f t="shared" si="5"/>
        <v>0</v>
      </c>
      <c r="I64" s="364"/>
    </row>
    <row r="65" spans="1:9" ht="15.9" customHeight="1" x14ac:dyDescent="0.25">
      <c r="A65" s="432"/>
      <c r="B65" s="421" t="s">
        <v>234</v>
      </c>
      <c r="C65" s="422"/>
      <c r="D65" s="372"/>
      <c r="E65" s="421" t="s">
        <v>152</v>
      </c>
      <c r="F65" s="451">
        <v>5</v>
      </c>
      <c r="G65" s="455">
        <v>250000</v>
      </c>
      <c r="H65" s="402">
        <f t="shared" si="5"/>
        <v>1250000</v>
      </c>
      <c r="I65" s="372"/>
    </row>
    <row r="66" spans="1:9" ht="15.9" customHeight="1" x14ac:dyDescent="0.25">
      <c r="A66" s="403"/>
      <c r="B66" s="424" t="s">
        <v>158</v>
      </c>
      <c r="C66" s="405"/>
      <c r="D66" s="68"/>
      <c r="E66" s="68"/>
      <c r="F66" s="377"/>
      <c r="G66" s="377"/>
      <c r="H66" s="377">
        <f>SUM(H58:H65)</f>
        <v>9500000</v>
      </c>
      <c r="I66" s="375"/>
    </row>
    <row r="67" spans="1:9" ht="15.9" customHeight="1" x14ac:dyDescent="0.25">
      <c r="A67" s="410"/>
      <c r="B67" s="424" t="s">
        <v>235</v>
      </c>
      <c r="C67" s="405"/>
      <c r="D67" s="68"/>
      <c r="E67" s="68"/>
      <c r="F67" s="378"/>
      <c r="G67" s="378"/>
      <c r="H67" s="407">
        <f>'단위공사별(집계)'!L24+'단위공사별(집계)'!I24</f>
        <v>302119.81798976194</v>
      </c>
      <c r="I67" s="68"/>
    </row>
    <row r="68" spans="1:9" ht="15.9" customHeight="1" x14ac:dyDescent="0.25">
      <c r="A68" s="410"/>
      <c r="B68" s="424" t="s">
        <v>93</v>
      </c>
      <c r="C68" s="405"/>
      <c r="D68" s="68"/>
      <c r="E68" s="68"/>
      <c r="F68" s="378"/>
      <c r="G68" s="426"/>
      <c r="H68" s="427">
        <v>0</v>
      </c>
      <c r="I68" s="405"/>
    </row>
    <row r="69" spans="1:9" ht="15.9" customHeight="1" x14ac:dyDescent="0.25">
      <c r="A69" s="410"/>
      <c r="B69" s="424" t="s">
        <v>161</v>
      </c>
      <c r="C69" s="405"/>
      <c r="D69" s="68"/>
      <c r="E69" s="68"/>
      <c r="F69" s="378"/>
      <c r="G69" s="426"/>
      <c r="H69" s="427">
        <v>0</v>
      </c>
      <c r="I69" s="405"/>
    </row>
    <row r="70" spans="1:9" ht="15.9" customHeight="1" x14ac:dyDescent="0.25">
      <c r="A70" s="410"/>
      <c r="B70" s="424" t="s">
        <v>162</v>
      </c>
      <c r="C70" s="405"/>
      <c r="D70" s="68"/>
      <c r="E70" s="68"/>
      <c r="F70" s="378"/>
      <c r="G70" s="378"/>
      <c r="H70" s="377">
        <f>H57+H66+H67+H68+H69</f>
        <v>72332119.817989767</v>
      </c>
      <c r="I70" s="68"/>
    </row>
    <row r="71" spans="1:9" x14ac:dyDescent="0.25">
      <c r="A71" s="254"/>
    </row>
  </sheetData>
  <mergeCells count="3">
    <mergeCell ref="A2:B2"/>
    <mergeCell ref="A3:A56"/>
    <mergeCell ref="A58:A6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60C5-4EBF-4587-9B5E-52956353BD19}">
  <sheetPr>
    <tabColor rgb="FF00B050"/>
    <pageSetUpPr fitToPage="1"/>
  </sheetPr>
  <dimension ref="A1:I65"/>
  <sheetViews>
    <sheetView zoomScaleNormal="100" workbookViewId="0">
      <pane xSplit="2" ySplit="2" topLeftCell="C35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403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404</v>
      </c>
      <c r="D3" s="363"/>
      <c r="E3" s="365" t="s">
        <v>167</v>
      </c>
      <c r="F3" s="367">
        <v>18</v>
      </c>
      <c r="G3" s="367">
        <v>1600000</v>
      </c>
      <c r="H3" s="292">
        <f>F3*G3</f>
        <v>28800000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87"/>
      <c r="D11" s="387"/>
      <c r="E11" s="437"/>
      <c r="F11" s="389"/>
      <c r="G11" s="389"/>
      <c r="H11" s="302">
        <f t="shared" si="1"/>
        <v>0</v>
      </c>
      <c r="I11" s="390"/>
    </row>
    <row r="12" spans="1:9" ht="15.9" customHeight="1" x14ac:dyDescent="0.25">
      <c r="A12" s="432"/>
      <c r="B12" s="356"/>
      <c r="C12" s="368" t="s">
        <v>254</v>
      </c>
      <c r="D12" s="387"/>
      <c r="E12" s="437" t="s">
        <v>167</v>
      </c>
      <c r="F12" s="389">
        <v>1</v>
      </c>
      <c r="G12" s="389">
        <v>500000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28800000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49" si="2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8" t="s">
        <v>225</v>
      </c>
      <c r="D18" s="368"/>
      <c r="E18" s="368"/>
      <c r="F18" s="371"/>
      <c r="G18" s="371"/>
      <c r="H18" s="292">
        <f t="shared" si="2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/>
      <c r="D20" s="363"/>
      <c r="E20" s="365"/>
      <c r="F20" s="367"/>
      <c r="G20" s="367"/>
      <c r="H20" s="292">
        <f t="shared" ref="H20:H23" si="3">IF(F20=0,0,G20*F20)</f>
        <v>0</v>
      </c>
      <c r="I20" s="361"/>
    </row>
    <row r="21" spans="1:9" ht="15.9" customHeight="1" x14ac:dyDescent="0.25">
      <c r="A21" s="432"/>
      <c r="B21" s="356" t="s">
        <v>182</v>
      </c>
      <c r="C21" s="363"/>
      <c r="D21" s="363"/>
      <c r="E21" s="365"/>
      <c r="F21" s="367"/>
      <c r="G21" s="367"/>
      <c r="H21" s="292">
        <f t="shared" si="3"/>
        <v>0</v>
      </c>
      <c r="I21" s="364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462"/>
    </row>
    <row r="23" spans="1:9" ht="15.9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si="3"/>
        <v>0</v>
      </c>
      <c r="I23" s="364"/>
    </row>
    <row r="24" spans="1:9" ht="15.75" customHeight="1" x14ac:dyDescent="0.25">
      <c r="A24" s="432"/>
      <c r="B24" s="356"/>
      <c r="C24" s="363"/>
      <c r="D24" s="363"/>
      <c r="E24" s="365"/>
      <c r="F24" s="367"/>
      <c r="G24" s="367"/>
      <c r="H24" s="292">
        <f t="shared" ref="H24:H35" si="4">IF(F24=0,G24,G24*F24)</f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363"/>
      <c r="D31" s="363"/>
      <c r="E31" s="365"/>
      <c r="F31" s="367"/>
      <c r="G31" s="367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 t="shared" si="4"/>
        <v>0</v>
      </c>
      <c r="I32" s="364"/>
    </row>
    <row r="33" spans="1:9" ht="15.9" customHeight="1" x14ac:dyDescent="0.25">
      <c r="A33" s="432"/>
      <c r="B33" s="356"/>
      <c r="C33" s="433"/>
      <c r="D33" s="433"/>
      <c r="E33" s="434"/>
      <c r="F33" s="435"/>
      <c r="G33" s="435"/>
      <c r="H33" s="292">
        <f>IF(F33=0,G33,G33*F33)</f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436"/>
      <c r="G36" s="367"/>
      <c r="H36" s="292">
        <f>IF(F36=0,G36,G36*F36)</f>
        <v>0</v>
      </c>
      <c r="I36" s="364"/>
    </row>
    <row r="37" spans="1:9" ht="15.9" customHeight="1" x14ac:dyDescent="0.25">
      <c r="A37" s="432"/>
      <c r="B37" s="356"/>
      <c r="C37" s="363"/>
      <c r="D37" s="363"/>
      <c r="E37" s="365"/>
      <c r="F37" s="436"/>
      <c r="G37" s="367"/>
      <c r="H37" s="292">
        <f t="shared" ref="H37:H38" si="5">IF(F37=0,G37,G37*F37)</f>
        <v>0</v>
      </c>
      <c r="I37" s="364"/>
    </row>
    <row r="38" spans="1:9" ht="15.9" customHeight="1" x14ac:dyDescent="0.25">
      <c r="A38" s="432"/>
      <c r="B38" s="356"/>
      <c r="C38" s="363"/>
      <c r="D38" s="363"/>
      <c r="E38" s="365"/>
      <c r="F38" s="436"/>
      <c r="G38" s="367"/>
      <c r="H38" s="292">
        <f t="shared" si="5"/>
        <v>0</v>
      </c>
      <c r="I38" s="364"/>
    </row>
    <row r="39" spans="1:9" ht="15.9" customHeight="1" x14ac:dyDescent="0.25">
      <c r="A39" s="432"/>
      <c r="B39" s="356"/>
      <c r="C39" s="433"/>
      <c r="D39" s="433"/>
      <c r="E39" s="434"/>
      <c r="F39" s="435"/>
      <c r="G39" s="435"/>
      <c r="H39" s="292">
        <f>IF(F39=0,G39,G39*F39)</f>
        <v>0</v>
      </c>
      <c r="I39" s="364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ref="H40" si="6">IF(F40=0,G40,G40*F40)</f>
        <v>0</v>
      </c>
      <c r="I40" s="364"/>
    </row>
    <row r="41" spans="1:9" ht="15.9" customHeight="1" x14ac:dyDescent="0.25">
      <c r="A41" s="432"/>
      <c r="B41" s="356"/>
      <c r="C41" s="368" t="s">
        <v>313</v>
      </c>
      <c r="D41" s="368"/>
      <c r="E41" s="369" t="s">
        <v>167</v>
      </c>
      <c r="F41" s="371">
        <v>1</v>
      </c>
      <c r="G41" s="371">
        <v>500000</v>
      </c>
      <c r="H41" s="292">
        <v>0</v>
      </c>
      <c r="I41" s="372"/>
    </row>
    <row r="42" spans="1:9" ht="15.9" customHeight="1" x14ac:dyDescent="0.25">
      <c r="A42" s="432"/>
      <c r="B42" s="373"/>
      <c r="C42" s="374"/>
      <c r="D42" s="375"/>
      <c r="E42" s="375"/>
      <c r="F42" s="377"/>
      <c r="G42" s="377"/>
      <c r="H42" s="378">
        <f>SUM(H20:H41)</f>
        <v>0</v>
      </c>
      <c r="I42" s="68"/>
    </row>
    <row r="43" spans="1:9" ht="15.9" customHeight="1" x14ac:dyDescent="0.25">
      <c r="A43" s="432"/>
      <c r="B43" s="398" t="s">
        <v>61</v>
      </c>
      <c r="C43" s="380"/>
      <c r="D43" s="380"/>
      <c r="E43" s="381"/>
      <c r="F43" s="383"/>
      <c r="G43" s="383"/>
      <c r="H43" s="384">
        <f t="shared" si="2"/>
        <v>0</v>
      </c>
      <c r="I43" s="385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2"/>
        <v>0</v>
      </c>
      <c r="I47" s="364"/>
    </row>
    <row r="48" spans="1:9" ht="15.9" customHeight="1" x14ac:dyDescent="0.25">
      <c r="A48" s="432"/>
      <c r="B48" s="356"/>
      <c r="C48" s="363"/>
      <c r="D48" s="363"/>
      <c r="E48" s="363"/>
      <c r="F48" s="367"/>
      <c r="G48" s="367"/>
      <c r="H48" s="292">
        <f t="shared" si="2"/>
        <v>0</v>
      </c>
      <c r="I48" s="364"/>
    </row>
    <row r="49" spans="1:9" ht="15.9" customHeight="1" x14ac:dyDescent="0.25">
      <c r="A49" s="432"/>
      <c r="B49" s="356"/>
      <c r="C49" s="368" t="s">
        <v>225</v>
      </c>
      <c r="D49" s="368"/>
      <c r="E49" s="368"/>
      <c r="F49" s="371"/>
      <c r="G49" s="371"/>
      <c r="H49" s="402">
        <f t="shared" si="2"/>
        <v>0</v>
      </c>
      <c r="I49" s="372"/>
    </row>
    <row r="50" spans="1:9" ht="15.9" customHeight="1" x14ac:dyDescent="0.25">
      <c r="A50" s="432"/>
      <c r="B50" s="373"/>
      <c r="C50" s="374"/>
      <c r="D50" s="375"/>
      <c r="E50" s="375"/>
      <c r="F50" s="377"/>
      <c r="G50" s="377"/>
      <c r="H50" s="378">
        <f>SUM(H43:H49)</f>
        <v>0</v>
      </c>
      <c r="I50" s="68"/>
    </row>
    <row r="51" spans="1:9" ht="15.9" customHeight="1" x14ac:dyDescent="0.25">
      <c r="A51" s="403"/>
      <c r="B51" s="404" t="s">
        <v>149</v>
      </c>
      <c r="C51" s="405"/>
      <c r="D51" s="68"/>
      <c r="E51" s="68"/>
      <c r="F51" s="407"/>
      <c r="G51" s="407"/>
      <c r="H51" s="378">
        <f>SUM(H50,H42,H19,H13)</f>
        <v>28800000</v>
      </c>
      <c r="I51" s="68"/>
    </row>
    <row r="52" spans="1:9" ht="15.9" customHeight="1" x14ac:dyDescent="0.25">
      <c r="A52" s="446" t="s">
        <v>150</v>
      </c>
      <c r="B52" s="409" t="s">
        <v>67</v>
      </c>
      <c r="C52" s="405"/>
      <c r="D52" s="68"/>
      <c r="E52" s="409" t="s">
        <v>68</v>
      </c>
      <c r="F52" s="448">
        <v>0</v>
      </c>
      <c r="G52" s="427">
        <v>250000</v>
      </c>
      <c r="H52" s="413">
        <f>F52*G52</f>
        <v>0</v>
      </c>
      <c r="I52" s="68"/>
    </row>
    <row r="53" spans="1:9" ht="15.9" customHeight="1" x14ac:dyDescent="0.25">
      <c r="A53" s="432"/>
      <c r="B53" s="415" t="s">
        <v>228</v>
      </c>
      <c r="C53" s="416"/>
      <c r="D53" s="385"/>
      <c r="E53" s="415" t="s">
        <v>152</v>
      </c>
      <c r="F53" s="449">
        <v>5</v>
      </c>
      <c r="G53" s="443">
        <v>300000</v>
      </c>
      <c r="H53" s="384">
        <f t="shared" ref="H53:H59" si="7">F53*G53</f>
        <v>1500000</v>
      </c>
      <c r="I53" s="385"/>
    </row>
    <row r="54" spans="1:9" ht="15.9" customHeight="1" x14ac:dyDescent="0.25">
      <c r="A54" s="432"/>
      <c r="B54" s="447" t="s">
        <v>229</v>
      </c>
      <c r="C54" s="419"/>
      <c r="D54" s="364"/>
      <c r="E54" s="418" t="s">
        <v>152</v>
      </c>
      <c r="F54" s="450">
        <v>5</v>
      </c>
      <c r="G54" s="435">
        <v>250000</v>
      </c>
      <c r="H54" s="292">
        <f t="shared" si="7"/>
        <v>1250000</v>
      </c>
      <c r="I54" s="364"/>
    </row>
    <row r="55" spans="1:9" ht="15.9" customHeight="1" x14ac:dyDescent="0.25">
      <c r="A55" s="432"/>
      <c r="B55" s="418" t="s">
        <v>230</v>
      </c>
      <c r="C55" s="419"/>
      <c r="D55" s="364"/>
      <c r="E55" s="418" t="s">
        <v>152</v>
      </c>
      <c r="F55" s="450">
        <v>5</v>
      </c>
      <c r="G55" s="435">
        <v>250000</v>
      </c>
      <c r="H55" s="292">
        <f t="shared" si="7"/>
        <v>1250000</v>
      </c>
      <c r="I55" s="364"/>
    </row>
    <row r="56" spans="1:9" ht="15.9" customHeight="1" x14ac:dyDescent="0.25">
      <c r="A56" s="432"/>
      <c r="B56" s="418" t="s">
        <v>231</v>
      </c>
      <c r="C56" s="419"/>
      <c r="D56" s="364"/>
      <c r="E56" s="418" t="s">
        <v>152</v>
      </c>
      <c r="F56" s="450">
        <v>2</v>
      </c>
      <c r="G56" s="367">
        <v>300000</v>
      </c>
      <c r="H56" s="292">
        <f t="shared" si="7"/>
        <v>600000</v>
      </c>
      <c r="I56" s="364"/>
    </row>
    <row r="57" spans="1:9" ht="15.9" customHeight="1" x14ac:dyDescent="0.25">
      <c r="A57" s="432"/>
      <c r="B57" s="418" t="s">
        <v>232</v>
      </c>
      <c r="C57" s="419"/>
      <c r="D57" s="364"/>
      <c r="E57" s="418" t="s">
        <v>152</v>
      </c>
      <c r="F57" s="450">
        <v>1</v>
      </c>
      <c r="G57" s="367">
        <v>300000</v>
      </c>
      <c r="H57" s="292">
        <f t="shared" si="7"/>
        <v>300000</v>
      </c>
      <c r="I57" s="364"/>
    </row>
    <row r="58" spans="1:9" ht="15.9" customHeight="1" x14ac:dyDescent="0.25">
      <c r="A58" s="432"/>
      <c r="B58" s="418" t="s">
        <v>233</v>
      </c>
      <c r="C58" s="419"/>
      <c r="D58" s="364"/>
      <c r="E58" s="418" t="s">
        <v>152</v>
      </c>
      <c r="F58" s="450">
        <v>0</v>
      </c>
      <c r="G58" s="367">
        <v>300000</v>
      </c>
      <c r="H58" s="292">
        <f t="shared" si="7"/>
        <v>0</v>
      </c>
      <c r="I58" s="364"/>
    </row>
    <row r="59" spans="1:9" ht="15.9" customHeight="1" x14ac:dyDescent="0.25">
      <c r="A59" s="432"/>
      <c r="B59" s="421" t="s">
        <v>234</v>
      </c>
      <c r="C59" s="422"/>
      <c r="D59" s="372"/>
      <c r="E59" s="421" t="s">
        <v>152</v>
      </c>
      <c r="F59" s="451">
        <v>5</v>
      </c>
      <c r="G59" s="455">
        <v>250000</v>
      </c>
      <c r="H59" s="402">
        <f t="shared" si="7"/>
        <v>1250000</v>
      </c>
      <c r="I59" s="372"/>
    </row>
    <row r="60" spans="1:9" ht="15.9" customHeight="1" x14ac:dyDescent="0.25">
      <c r="A60" s="403"/>
      <c r="B60" s="424" t="s">
        <v>158</v>
      </c>
      <c r="C60" s="405"/>
      <c r="D60" s="68"/>
      <c r="E60" s="68"/>
      <c r="F60" s="377"/>
      <c r="G60" s="377"/>
      <c r="H60" s="377">
        <f>SUM(H52:H59)</f>
        <v>6150000</v>
      </c>
      <c r="I60" s="375"/>
    </row>
    <row r="61" spans="1:9" ht="15.9" customHeight="1" x14ac:dyDescent="0.25">
      <c r="A61" s="410"/>
      <c r="B61" s="424" t="s">
        <v>235</v>
      </c>
      <c r="C61" s="405"/>
      <c r="D61" s="68"/>
      <c r="E61" s="68"/>
      <c r="F61" s="378"/>
      <c r="G61" s="378"/>
      <c r="H61" s="407">
        <f>'단위공사별(집계)'!L25+'단위공사별(집계)'!I25</f>
        <v>146592.91460144633</v>
      </c>
      <c r="I61" s="68"/>
    </row>
    <row r="62" spans="1:9" ht="15.9" customHeight="1" x14ac:dyDescent="0.25">
      <c r="A62" s="410"/>
      <c r="B62" s="424" t="s">
        <v>93</v>
      </c>
      <c r="C62" s="405"/>
      <c r="D62" s="68"/>
      <c r="E62" s="68"/>
      <c r="F62" s="378"/>
      <c r="G62" s="426"/>
      <c r="H62" s="427">
        <v>0</v>
      </c>
      <c r="I62" s="405"/>
    </row>
    <row r="63" spans="1:9" ht="15.9" customHeight="1" x14ac:dyDescent="0.25">
      <c r="A63" s="410"/>
      <c r="B63" s="424" t="s">
        <v>161</v>
      </c>
      <c r="C63" s="405"/>
      <c r="D63" s="68"/>
      <c r="E63" s="68"/>
      <c r="F63" s="378"/>
      <c r="G63" s="426"/>
      <c r="H63" s="427">
        <v>0</v>
      </c>
      <c r="I63" s="405"/>
    </row>
    <row r="64" spans="1:9" ht="15.9" customHeight="1" x14ac:dyDescent="0.25">
      <c r="A64" s="410"/>
      <c r="B64" s="424" t="s">
        <v>162</v>
      </c>
      <c r="C64" s="405"/>
      <c r="D64" s="68"/>
      <c r="E64" s="68"/>
      <c r="F64" s="378"/>
      <c r="G64" s="378"/>
      <c r="H64" s="377">
        <f>H51+H60+H61+H62+H63</f>
        <v>35096592.914601445</v>
      </c>
      <c r="I64" s="68"/>
    </row>
    <row r="65" spans="1:1" x14ac:dyDescent="0.25">
      <c r="A65" s="254"/>
    </row>
  </sheetData>
  <mergeCells count="3">
    <mergeCell ref="A2:B2"/>
    <mergeCell ref="A3:A50"/>
    <mergeCell ref="A52:A5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D770-9B57-4290-B0A1-C2DB95BDE721}">
  <sheetPr>
    <tabColor rgb="FF00B050"/>
    <pageSetUpPr fitToPage="1"/>
  </sheetPr>
  <dimension ref="A1:I63"/>
  <sheetViews>
    <sheetView zoomScaleNormal="100" workbookViewId="0">
      <pane xSplit="2" ySplit="2" topLeftCell="C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405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/>
      <c r="G11" s="389"/>
      <c r="H11" s="302">
        <f t="shared" si="1"/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7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445"/>
      <c r="D19" s="444"/>
      <c r="E19" s="400"/>
      <c r="F19" s="452"/>
      <c r="G19" s="401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182</v>
      </c>
      <c r="C20" s="445" t="s">
        <v>405</v>
      </c>
      <c r="D20" s="363"/>
      <c r="E20" s="365" t="s">
        <v>59</v>
      </c>
      <c r="F20" s="367">
        <v>1</v>
      </c>
      <c r="G20" s="367">
        <v>30000000</v>
      </c>
      <c r="H20" s="292">
        <f t="shared" si="3"/>
        <v>30000000</v>
      </c>
      <c r="I20" s="364"/>
    </row>
    <row r="21" spans="1:9" ht="15.9" customHeight="1" x14ac:dyDescent="0.25">
      <c r="A21" s="432"/>
      <c r="B21" s="356"/>
      <c r="C21" s="363"/>
      <c r="D21" s="363"/>
      <c r="E21" s="365"/>
      <c r="F21" s="367"/>
      <c r="G21" s="367"/>
      <c r="H21" s="292">
        <f t="shared" si="3"/>
        <v>0</v>
      </c>
      <c r="I21" s="462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ref="H23:H39" si="4">IF(F23=0,G23,G23*F23)</f>
        <v>0</v>
      </c>
      <c r="I23" s="364"/>
    </row>
    <row r="24" spans="1:9" ht="15.9" customHeight="1" x14ac:dyDescent="0.25">
      <c r="A24" s="432"/>
      <c r="B24" s="356"/>
      <c r="C24" s="445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>IF(F32=0,G32,G32*F32)</f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436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436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433"/>
      <c r="D37" s="433"/>
      <c r="E37" s="434"/>
      <c r="F37" s="435"/>
      <c r="G37" s="435"/>
      <c r="H37" s="292">
        <f t="shared" si="4"/>
        <v>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 t="s">
        <v>313</v>
      </c>
      <c r="D39" s="368"/>
      <c r="E39" s="369" t="s">
        <v>167</v>
      </c>
      <c r="F39" s="371"/>
      <c r="G39" s="371"/>
      <c r="H39" s="292">
        <f t="shared" si="4"/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30000000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30000000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/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/>
      <c r="G51" s="443">
        <v>300000</v>
      </c>
      <c r="H51" s="384">
        <f t="shared" ref="H51:H57" si="5">F51*G51</f>
        <v>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/>
      <c r="G52" s="435">
        <v>250000</v>
      </c>
      <c r="H52" s="292">
        <f t="shared" si="5"/>
        <v>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/>
      <c r="G53" s="435">
        <v>250000</v>
      </c>
      <c r="H53" s="292">
        <f t="shared" si="5"/>
        <v>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/>
      <c r="G54" s="367">
        <v>300000</v>
      </c>
      <c r="H54" s="292">
        <f t="shared" si="5"/>
        <v>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/>
      <c r="G55" s="367">
        <v>300000</v>
      </c>
      <c r="H55" s="292">
        <f t="shared" si="5"/>
        <v>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/>
      <c r="G56" s="367">
        <v>300000</v>
      </c>
      <c r="H56" s="292">
        <f t="shared" si="5"/>
        <v>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/>
      <c r="G57" s="455">
        <v>250000</v>
      </c>
      <c r="H57" s="402">
        <f t="shared" si="5"/>
        <v>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'단위공사별(집계)'!L26+'단위공사별(집계)'!I26</f>
        <v>125830.8279840741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30125830.827984072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BA4F-F031-457C-824C-686E431738C6}">
  <sheetPr>
    <tabColor rgb="FF00B050"/>
    <pageSetUpPr fitToPage="1"/>
  </sheetPr>
  <dimension ref="A1:I57"/>
  <sheetViews>
    <sheetView zoomScaleNormal="100" workbookViewId="0">
      <pane xSplit="2" ySplit="2" topLeftCell="C27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406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/>
      <c r="G11" s="389"/>
      <c r="H11" s="302">
        <f t="shared" si="1"/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1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363"/>
      <c r="D19" s="380"/>
      <c r="E19" s="381"/>
      <c r="F19" s="383"/>
      <c r="G19" s="383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182</v>
      </c>
      <c r="C20" s="363" t="s">
        <v>406</v>
      </c>
      <c r="D20" s="363"/>
      <c r="E20" s="365" t="s">
        <v>59</v>
      </c>
      <c r="F20" s="367">
        <v>1</v>
      </c>
      <c r="G20" s="367">
        <v>12000000</v>
      </c>
      <c r="H20" s="292">
        <f t="shared" si="3"/>
        <v>12000000</v>
      </c>
      <c r="I20" s="364"/>
    </row>
    <row r="21" spans="1:9" ht="15.9" customHeight="1" x14ac:dyDescent="0.25">
      <c r="A21" s="432"/>
      <c r="B21" s="356"/>
      <c r="C21" s="363"/>
      <c r="D21" s="363"/>
      <c r="E21" s="365"/>
      <c r="F21" s="367"/>
      <c r="G21" s="367"/>
      <c r="H21" s="292">
        <f t="shared" si="3"/>
        <v>0</v>
      </c>
      <c r="I21" s="462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ref="H23:H33" si="4">IF(F23=0,G23,G23*F23)</f>
        <v>0</v>
      </c>
      <c r="I23" s="364"/>
    </row>
    <row r="24" spans="1:9" ht="15.9" customHeight="1" x14ac:dyDescent="0.25">
      <c r="A24" s="432"/>
      <c r="B24" s="356"/>
      <c r="C24" s="363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433"/>
      <c r="D25" s="433"/>
      <c r="E25" s="434"/>
      <c r="F25" s="435"/>
      <c r="G25" s="435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436"/>
      <c r="G26" s="367"/>
      <c r="H26" s="292">
        <f>IF(F26=0,G26,G26*F26)</f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436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436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436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436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57"/>
      <c r="D32" s="357"/>
      <c r="E32" s="357"/>
      <c r="F32" s="360"/>
      <c r="G32" s="360"/>
      <c r="H32" s="292">
        <f t="shared" si="4"/>
        <v>0</v>
      </c>
      <c r="I32" s="364"/>
    </row>
    <row r="33" spans="1:9" ht="15.9" customHeight="1" x14ac:dyDescent="0.25">
      <c r="A33" s="432"/>
      <c r="B33" s="356"/>
      <c r="C33" s="368" t="s">
        <v>313</v>
      </c>
      <c r="D33" s="368"/>
      <c r="E33" s="369" t="s">
        <v>167</v>
      </c>
      <c r="F33" s="371"/>
      <c r="G33" s="371"/>
      <c r="H33" s="292">
        <f t="shared" si="4"/>
        <v>0</v>
      </c>
      <c r="I33" s="372"/>
    </row>
    <row r="34" spans="1:9" ht="15.9" customHeight="1" x14ac:dyDescent="0.25">
      <c r="A34" s="432"/>
      <c r="B34" s="373"/>
      <c r="C34" s="374"/>
      <c r="D34" s="375"/>
      <c r="E34" s="375"/>
      <c r="F34" s="377"/>
      <c r="G34" s="377"/>
      <c r="H34" s="378">
        <f>SUM(H19:H33)</f>
        <v>12000000</v>
      </c>
      <c r="I34" s="68"/>
    </row>
    <row r="35" spans="1:9" ht="15.9" customHeight="1" x14ac:dyDescent="0.25">
      <c r="A35" s="432"/>
      <c r="B35" s="398" t="s">
        <v>61</v>
      </c>
      <c r="C35" s="380"/>
      <c r="D35" s="380"/>
      <c r="E35" s="380"/>
      <c r="F35" s="383"/>
      <c r="G35" s="383"/>
      <c r="H35" s="384">
        <f t="shared" si="2"/>
        <v>0</v>
      </c>
      <c r="I35" s="385"/>
    </row>
    <row r="36" spans="1:9" ht="15.9" customHeight="1" x14ac:dyDescent="0.25">
      <c r="A36" s="432"/>
      <c r="B36" s="356"/>
      <c r="C36" s="363"/>
      <c r="D36" s="363"/>
      <c r="E36" s="363"/>
      <c r="F36" s="367"/>
      <c r="G36" s="367"/>
      <c r="H36" s="292">
        <f t="shared" si="2"/>
        <v>0</v>
      </c>
      <c r="I36" s="364"/>
    </row>
    <row r="37" spans="1:9" ht="15.9" customHeight="1" x14ac:dyDescent="0.25">
      <c r="A37" s="432"/>
      <c r="B37" s="356"/>
      <c r="C37" s="363"/>
      <c r="D37" s="363"/>
      <c r="E37" s="363"/>
      <c r="F37" s="367"/>
      <c r="G37" s="367"/>
      <c r="H37" s="292">
        <f t="shared" si="2"/>
        <v>0</v>
      </c>
      <c r="I37" s="364"/>
    </row>
    <row r="38" spans="1:9" ht="15.9" customHeight="1" x14ac:dyDescent="0.25">
      <c r="A38" s="432"/>
      <c r="B38" s="356"/>
      <c r="C38" s="363"/>
      <c r="D38" s="363"/>
      <c r="E38" s="363"/>
      <c r="F38" s="367"/>
      <c r="G38" s="367"/>
      <c r="H38" s="292">
        <f t="shared" si="2"/>
        <v>0</v>
      </c>
      <c r="I38" s="364"/>
    </row>
    <row r="39" spans="1:9" ht="15.9" customHeight="1" x14ac:dyDescent="0.25">
      <c r="A39" s="432"/>
      <c r="B39" s="356"/>
      <c r="C39" s="363"/>
      <c r="D39" s="363"/>
      <c r="E39" s="363"/>
      <c r="F39" s="367"/>
      <c r="G39" s="367"/>
      <c r="H39" s="292">
        <f t="shared" si="2"/>
        <v>0</v>
      </c>
      <c r="I39" s="364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si="2"/>
        <v>0</v>
      </c>
      <c r="I40" s="364"/>
    </row>
    <row r="41" spans="1:9" ht="15.9" customHeight="1" x14ac:dyDescent="0.25">
      <c r="A41" s="432"/>
      <c r="B41" s="356"/>
      <c r="C41" s="368" t="s">
        <v>225</v>
      </c>
      <c r="D41" s="368"/>
      <c r="E41" s="368"/>
      <c r="F41" s="371"/>
      <c r="G41" s="371"/>
      <c r="H41" s="402">
        <f t="shared" si="2"/>
        <v>0</v>
      </c>
      <c r="I41" s="372"/>
    </row>
    <row r="42" spans="1:9" ht="15.9" customHeight="1" x14ac:dyDescent="0.25">
      <c r="A42" s="432"/>
      <c r="B42" s="373"/>
      <c r="C42" s="374"/>
      <c r="D42" s="375"/>
      <c r="E42" s="375"/>
      <c r="F42" s="377"/>
      <c r="G42" s="377"/>
      <c r="H42" s="378">
        <f>SUM(H35:H41)</f>
        <v>0</v>
      </c>
      <c r="I42" s="68"/>
    </row>
    <row r="43" spans="1:9" ht="15.9" customHeight="1" x14ac:dyDescent="0.25">
      <c r="A43" s="403"/>
      <c r="B43" s="404" t="s">
        <v>149</v>
      </c>
      <c r="C43" s="405"/>
      <c r="D43" s="68"/>
      <c r="E43" s="68"/>
      <c r="F43" s="407"/>
      <c r="G43" s="407"/>
      <c r="H43" s="378">
        <f>SUM(H42,H34,H18,H12)</f>
        <v>12000000</v>
      </c>
      <c r="I43" s="68"/>
    </row>
    <row r="44" spans="1:9" ht="15.9" customHeight="1" x14ac:dyDescent="0.25">
      <c r="A44" s="446" t="s">
        <v>150</v>
      </c>
      <c r="B44" s="409" t="s">
        <v>67</v>
      </c>
      <c r="C44" s="405"/>
      <c r="D44" s="68"/>
      <c r="E44" s="409" t="s">
        <v>68</v>
      </c>
      <c r="F44" s="448"/>
      <c r="G44" s="427">
        <v>250000</v>
      </c>
      <c r="H44" s="413">
        <f>F44*G44</f>
        <v>0</v>
      </c>
      <c r="I44" s="68"/>
    </row>
    <row r="45" spans="1:9" ht="15.9" customHeight="1" x14ac:dyDescent="0.25">
      <c r="A45" s="432"/>
      <c r="B45" s="415" t="s">
        <v>228</v>
      </c>
      <c r="C45" s="416"/>
      <c r="D45" s="385"/>
      <c r="E45" s="415" t="s">
        <v>152</v>
      </c>
      <c r="F45" s="449"/>
      <c r="G45" s="443">
        <v>300000</v>
      </c>
      <c r="H45" s="384">
        <f t="shared" ref="H45:H51" si="5">F45*G45</f>
        <v>0</v>
      </c>
      <c r="I45" s="385"/>
    </row>
    <row r="46" spans="1:9" ht="15.9" customHeight="1" x14ac:dyDescent="0.25">
      <c r="A46" s="432"/>
      <c r="B46" s="447" t="s">
        <v>229</v>
      </c>
      <c r="C46" s="419"/>
      <c r="D46" s="364"/>
      <c r="E46" s="418" t="s">
        <v>152</v>
      </c>
      <c r="F46" s="450"/>
      <c r="G46" s="435">
        <v>250000</v>
      </c>
      <c r="H46" s="292">
        <f t="shared" si="5"/>
        <v>0</v>
      </c>
      <c r="I46" s="364"/>
    </row>
    <row r="47" spans="1:9" ht="15.9" customHeight="1" x14ac:dyDescent="0.25">
      <c r="A47" s="432"/>
      <c r="B47" s="418" t="s">
        <v>230</v>
      </c>
      <c r="C47" s="419"/>
      <c r="D47" s="364"/>
      <c r="E47" s="418" t="s">
        <v>152</v>
      </c>
      <c r="F47" s="450"/>
      <c r="G47" s="435">
        <v>250000</v>
      </c>
      <c r="H47" s="292">
        <f t="shared" si="5"/>
        <v>0</v>
      </c>
      <c r="I47" s="364"/>
    </row>
    <row r="48" spans="1:9" ht="15.9" customHeight="1" x14ac:dyDescent="0.25">
      <c r="A48" s="432"/>
      <c r="B48" s="418" t="s">
        <v>231</v>
      </c>
      <c r="C48" s="419"/>
      <c r="D48" s="364"/>
      <c r="E48" s="418" t="s">
        <v>152</v>
      </c>
      <c r="F48" s="450"/>
      <c r="G48" s="367">
        <v>300000</v>
      </c>
      <c r="H48" s="292">
        <f t="shared" si="5"/>
        <v>0</v>
      </c>
      <c r="I48" s="364"/>
    </row>
    <row r="49" spans="1:9" ht="15.9" customHeight="1" x14ac:dyDescent="0.25">
      <c r="A49" s="432"/>
      <c r="B49" s="418" t="s">
        <v>232</v>
      </c>
      <c r="C49" s="419"/>
      <c r="D49" s="364"/>
      <c r="E49" s="418" t="s">
        <v>152</v>
      </c>
      <c r="F49" s="450"/>
      <c r="G49" s="367">
        <v>300000</v>
      </c>
      <c r="H49" s="292">
        <f t="shared" si="5"/>
        <v>0</v>
      </c>
      <c r="I49" s="364"/>
    </row>
    <row r="50" spans="1:9" ht="15.9" customHeight="1" x14ac:dyDescent="0.25">
      <c r="A50" s="432"/>
      <c r="B50" s="418" t="s">
        <v>233</v>
      </c>
      <c r="C50" s="419"/>
      <c r="D50" s="364"/>
      <c r="E50" s="418" t="s">
        <v>152</v>
      </c>
      <c r="F50" s="450"/>
      <c r="G50" s="367">
        <v>300000</v>
      </c>
      <c r="H50" s="292">
        <f t="shared" si="5"/>
        <v>0</v>
      </c>
      <c r="I50" s="364"/>
    </row>
    <row r="51" spans="1:9" ht="15.9" customHeight="1" x14ac:dyDescent="0.25">
      <c r="A51" s="432"/>
      <c r="B51" s="421" t="s">
        <v>234</v>
      </c>
      <c r="C51" s="422"/>
      <c r="D51" s="372"/>
      <c r="E51" s="421" t="s">
        <v>152</v>
      </c>
      <c r="F51" s="451"/>
      <c r="G51" s="455">
        <v>250000</v>
      </c>
      <c r="H51" s="402">
        <f t="shared" si="5"/>
        <v>0</v>
      </c>
      <c r="I51" s="372"/>
    </row>
    <row r="52" spans="1:9" ht="15.9" customHeight="1" x14ac:dyDescent="0.25">
      <c r="A52" s="403"/>
      <c r="B52" s="424" t="s">
        <v>158</v>
      </c>
      <c r="C52" s="405"/>
      <c r="D52" s="68"/>
      <c r="E52" s="68"/>
      <c r="F52" s="377"/>
      <c r="G52" s="377"/>
      <c r="H52" s="377">
        <f>SUM(H44:H51)</f>
        <v>0</v>
      </c>
      <c r="I52" s="375"/>
    </row>
    <row r="53" spans="1:9" ht="15.9" customHeight="1" x14ac:dyDescent="0.25">
      <c r="A53" s="410"/>
      <c r="B53" s="424" t="s">
        <v>235</v>
      </c>
      <c r="C53" s="405"/>
      <c r="D53" s="68"/>
      <c r="E53" s="68"/>
      <c r="F53" s="378"/>
      <c r="G53" s="378"/>
      <c r="H53" s="407">
        <f>'단위공사별(집계)'!L27+'단위공사별(집계)'!I27</f>
        <v>50332.331193629638</v>
      </c>
      <c r="I53" s="68"/>
    </row>
    <row r="54" spans="1:9" ht="15.9" customHeight="1" x14ac:dyDescent="0.25">
      <c r="A54" s="410"/>
      <c r="B54" s="424" t="s">
        <v>93</v>
      </c>
      <c r="C54" s="405"/>
      <c r="D54" s="68"/>
      <c r="E54" s="68"/>
      <c r="F54" s="378"/>
      <c r="G54" s="426"/>
      <c r="H54" s="427">
        <v>0</v>
      </c>
      <c r="I54" s="405"/>
    </row>
    <row r="55" spans="1:9" ht="15.9" customHeight="1" x14ac:dyDescent="0.25">
      <c r="A55" s="410"/>
      <c r="B55" s="424" t="s">
        <v>161</v>
      </c>
      <c r="C55" s="405"/>
      <c r="D55" s="68"/>
      <c r="E55" s="68"/>
      <c r="F55" s="378"/>
      <c r="G55" s="426"/>
      <c r="H55" s="427">
        <v>0</v>
      </c>
      <c r="I55" s="405"/>
    </row>
    <row r="56" spans="1:9" ht="15.9" customHeight="1" x14ac:dyDescent="0.25">
      <c r="A56" s="410"/>
      <c r="B56" s="424" t="s">
        <v>162</v>
      </c>
      <c r="C56" s="405"/>
      <c r="D56" s="68"/>
      <c r="E56" s="68"/>
      <c r="F56" s="378"/>
      <c r="G56" s="378"/>
      <c r="H56" s="377">
        <f>H43+H52+H53+H54+H55</f>
        <v>12050332.33119363</v>
      </c>
      <c r="I56" s="68"/>
    </row>
    <row r="57" spans="1:9" x14ac:dyDescent="0.25">
      <c r="A57" s="254"/>
    </row>
  </sheetData>
  <mergeCells count="3">
    <mergeCell ref="A2:B2"/>
    <mergeCell ref="A3:A42"/>
    <mergeCell ref="A44:A5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933E-7EE6-428F-8297-BD867F5B7B1F}">
  <sheetPr>
    <tabColor theme="0" tint="-0.499984740745262"/>
    <pageSetUpPr fitToPage="1"/>
  </sheetPr>
  <dimension ref="A1:I57"/>
  <sheetViews>
    <sheetView zoomScaleNormal="100" workbookViewId="0">
      <pane xSplit="2" ySplit="2" topLeftCell="C18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/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0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8" t="s">
        <v>254</v>
      </c>
      <c r="D10" s="387"/>
      <c r="E10" s="437" t="s">
        <v>167</v>
      </c>
      <c r="F10" s="389"/>
      <c r="G10" s="389"/>
      <c r="H10" s="302">
        <f t="shared" si="1"/>
        <v>0</v>
      </c>
      <c r="I10" s="390"/>
    </row>
    <row r="11" spans="1:9" ht="15.9" customHeight="1" x14ac:dyDescent="0.25">
      <c r="A11" s="432"/>
      <c r="B11" s="373"/>
      <c r="C11" s="397"/>
      <c r="D11" s="397"/>
      <c r="E11" s="397"/>
      <c r="F11" s="395"/>
      <c r="G11" s="395"/>
      <c r="H11" s="396">
        <f>SUM(H3:H10)</f>
        <v>0</v>
      </c>
      <c r="I11" s="397"/>
    </row>
    <row r="12" spans="1:9" ht="15.9" customHeight="1" x14ac:dyDescent="0.25">
      <c r="A12" s="432"/>
      <c r="B12" s="356" t="s">
        <v>178</v>
      </c>
      <c r="C12" s="357"/>
      <c r="D12" s="357"/>
      <c r="E12" s="357"/>
      <c r="F12" s="360"/>
      <c r="G12" s="360"/>
      <c r="H12" s="311">
        <f t="shared" ref="H12:H41" si="2">IF(F12=0,G12,G12*F12)</f>
        <v>0</v>
      </c>
      <c r="I12" s="361"/>
    </row>
    <row r="13" spans="1:9" ht="15.9" customHeight="1" x14ac:dyDescent="0.25">
      <c r="A13" s="432"/>
      <c r="B13" s="356" t="s">
        <v>179</v>
      </c>
      <c r="C13" s="363"/>
      <c r="D13" s="363"/>
      <c r="E13" s="363"/>
      <c r="F13" s="367"/>
      <c r="G13" s="367"/>
      <c r="H13" s="292">
        <f t="shared" si="2"/>
        <v>0</v>
      </c>
      <c r="I13" s="364"/>
    </row>
    <row r="14" spans="1:9" ht="15.9" customHeight="1" x14ac:dyDescent="0.25">
      <c r="A14" s="432"/>
      <c r="B14" s="356"/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8" t="s">
        <v>225</v>
      </c>
      <c r="D16" s="368"/>
      <c r="E16" s="368"/>
      <c r="F16" s="371"/>
      <c r="G16" s="371"/>
      <c r="H16" s="292">
        <f t="shared" si="2"/>
        <v>0</v>
      </c>
      <c r="I16" s="372"/>
    </row>
    <row r="17" spans="1:9" ht="15.9" customHeight="1" x14ac:dyDescent="0.25">
      <c r="A17" s="432"/>
      <c r="B17" s="373"/>
      <c r="C17" s="374"/>
      <c r="D17" s="375"/>
      <c r="E17" s="375"/>
      <c r="F17" s="438"/>
      <c r="G17" s="377"/>
      <c r="H17" s="378">
        <f>SUM(H12:H16)</f>
        <v>0</v>
      </c>
      <c r="I17" s="68"/>
    </row>
    <row r="18" spans="1:9" ht="15.9" customHeight="1" x14ac:dyDescent="0.25">
      <c r="A18" s="432"/>
      <c r="B18" s="398" t="s">
        <v>180</v>
      </c>
      <c r="C18" s="363"/>
      <c r="D18" s="380"/>
      <c r="E18" s="381"/>
      <c r="F18" s="383"/>
      <c r="G18" s="383"/>
      <c r="H18" s="292">
        <f t="shared" ref="H18:H22" si="3">IF(F18=0,0,G18*F18)</f>
        <v>0</v>
      </c>
      <c r="I18" s="361"/>
    </row>
    <row r="19" spans="1:9" ht="15.9" customHeight="1" x14ac:dyDescent="0.25">
      <c r="A19" s="432"/>
      <c r="B19" s="356" t="s">
        <v>182</v>
      </c>
      <c r="C19" s="363"/>
      <c r="D19" s="363"/>
      <c r="E19" s="365"/>
      <c r="F19" s="367"/>
      <c r="G19" s="367"/>
      <c r="H19" s="292">
        <f t="shared" si="3"/>
        <v>0</v>
      </c>
      <c r="I19" s="364"/>
    </row>
    <row r="20" spans="1:9" ht="15.9" customHeight="1" x14ac:dyDescent="0.25">
      <c r="A20" s="432"/>
      <c r="B20" s="356"/>
      <c r="C20" s="363"/>
      <c r="D20" s="363"/>
      <c r="E20" s="365"/>
      <c r="F20" s="367"/>
      <c r="G20" s="367"/>
      <c r="H20" s="292">
        <f t="shared" si="3"/>
        <v>0</v>
      </c>
      <c r="I20" s="462"/>
    </row>
    <row r="21" spans="1:9" ht="15.9" customHeight="1" x14ac:dyDescent="0.25">
      <c r="A21" s="432"/>
      <c r="B21" s="356"/>
      <c r="C21" s="363"/>
      <c r="D21" s="363"/>
      <c r="E21" s="365"/>
      <c r="F21" s="367"/>
      <c r="G21" s="367"/>
      <c r="H21" s="292">
        <f t="shared" si="3"/>
        <v>0</v>
      </c>
      <c r="I21" s="364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ref="H23:H33" si="4">IF(F23=0,G23,G23*F23)</f>
        <v>0</v>
      </c>
      <c r="I23" s="364"/>
    </row>
    <row r="24" spans="1:9" ht="15.9" customHeight="1" x14ac:dyDescent="0.25">
      <c r="A24" s="432"/>
      <c r="B24" s="356"/>
      <c r="C24" s="445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433"/>
      <c r="D25" s="433"/>
      <c r="E25" s="434"/>
      <c r="F25" s="435"/>
      <c r="G25" s="435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436"/>
      <c r="G26" s="367"/>
      <c r="H26" s="292">
        <f>IF(F26=0,G26,G26*F26)</f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436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436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436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436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57"/>
      <c r="D32" s="357"/>
      <c r="E32" s="357"/>
      <c r="F32" s="360"/>
      <c r="G32" s="360"/>
      <c r="H32" s="292">
        <f t="shared" si="4"/>
        <v>0</v>
      </c>
      <c r="I32" s="364"/>
    </row>
    <row r="33" spans="1:9" ht="15.9" customHeight="1" x14ac:dyDescent="0.25">
      <c r="A33" s="432"/>
      <c r="B33" s="356"/>
      <c r="C33" s="368" t="s">
        <v>313</v>
      </c>
      <c r="D33" s="368"/>
      <c r="E33" s="369" t="s">
        <v>167</v>
      </c>
      <c r="F33" s="371"/>
      <c r="G33" s="371"/>
      <c r="H33" s="292">
        <f t="shared" si="4"/>
        <v>0</v>
      </c>
      <c r="I33" s="372"/>
    </row>
    <row r="34" spans="1:9" ht="15.9" customHeight="1" x14ac:dyDescent="0.25">
      <c r="A34" s="432"/>
      <c r="B34" s="373"/>
      <c r="C34" s="374"/>
      <c r="D34" s="375"/>
      <c r="E34" s="375"/>
      <c r="F34" s="377"/>
      <c r="G34" s="377"/>
      <c r="H34" s="378">
        <f>SUM(H18:H33)</f>
        <v>0</v>
      </c>
      <c r="I34" s="68"/>
    </row>
    <row r="35" spans="1:9" ht="15.9" customHeight="1" x14ac:dyDescent="0.25">
      <c r="A35" s="432"/>
      <c r="B35" s="398" t="s">
        <v>61</v>
      </c>
      <c r="C35" s="380"/>
      <c r="D35" s="380"/>
      <c r="E35" s="380"/>
      <c r="F35" s="383"/>
      <c r="G35" s="383"/>
      <c r="H35" s="384">
        <f t="shared" si="2"/>
        <v>0</v>
      </c>
      <c r="I35" s="385"/>
    </row>
    <row r="36" spans="1:9" ht="15.9" customHeight="1" x14ac:dyDescent="0.25">
      <c r="A36" s="432"/>
      <c r="B36" s="356"/>
      <c r="C36" s="363"/>
      <c r="D36" s="363"/>
      <c r="E36" s="363"/>
      <c r="F36" s="367"/>
      <c r="G36" s="367"/>
      <c r="H36" s="292">
        <f t="shared" si="2"/>
        <v>0</v>
      </c>
      <c r="I36" s="364"/>
    </row>
    <row r="37" spans="1:9" ht="15.9" customHeight="1" x14ac:dyDescent="0.25">
      <c r="A37" s="432"/>
      <c r="B37" s="356"/>
      <c r="C37" s="363"/>
      <c r="D37" s="363"/>
      <c r="E37" s="363"/>
      <c r="F37" s="367"/>
      <c r="G37" s="367"/>
      <c r="H37" s="292">
        <f t="shared" si="2"/>
        <v>0</v>
      </c>
      <c r="I37" s="364"/>
    </row>
    <row r="38" spans="1:9" ht="15.9" customHeight="1" x14ac:dyDescent="0.25">
      <c r="A38" s="432"/>
      <c r="B38" s="356"/>
      <c r="C38" s="363"/>
      <c r="D38" s="363"/>
      <c r="E38" s="363"/>
      <c r="F38" s="367"/>
      <c r="G38" s="367"/>
      <c r="H38" s="292">
        <f t="shared" si="2"/>
        <v>0</v>
      </c>
      <c r="I38" s="364"/>
    </row>
    <row r="39" spans="1:9" ht="15.9" customHeight="1" x14ac:dyDescent="0.25">
      <c r="A39" s="432"/>
      <c r="B39" s="356"/>
      <c r="C39" s="363"/>
      <c r="D39" s="363"/>
      <c r="E39" s="363"/>
      <c r="F39" s="367"/>
      <c r="G39" s="367"/>
      <c r="H39" s="292">
        <f t="shared" si="2"/>
        <v>0</v>
      </c>
      <c r="I39" s="364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si="2"/>
        <v>0</v>
      </c>
      <c r="I40" s="364"/>
    </row>
    <row r="41" spans="1:9" ht="15.9" customHeight="1" x14ac:dyDescent="0.25">
      <c r="A41" s="432"/>
      <c r="B41" s="356"/>
      <c r="C41" s="368" t="s">
        <v>225</v>
      </c>
      <c r="D41" s="368"/>
      <c r="E41" s="368"/>
      <c r="F41" s="371"/>
      <c r="G41" s="371"/>
      <c r="H41" s="402">
        <f t="shared" si="2"/>
        <v>0</v>
      </c>
      <c r="I41" s="372"/>
    </row>
    <row r="42" spans="1:9" ht="15.9" customHeight="1" x14ac:dyDescent="0.25">
      <c r="A42" s="432"/>
      <c r="B42" s="373"/>
      <c r="C42" s="374"/>
      <c r="D42" s="375"/>
      <c r="E42" s="375"/>
      <c r="F42" s="377"/>
      <c r="G42" s="377"/>
      <c r="H42" s="378">
        <f>SUM(H35:H41)</f>
        <v>0</v>
      </c>
      <c r="I42" s="68"/>
    </row>
    <row r="43" spans="1:9" ht="15.9" customHeight="1" x14ac:dyDescent="0.25">
      <c r="A43" s="403"/>
      <c r="B43" s="404" t="s">
        <v>149</v>
      </c>
      <c r="C43" s="405"/>
      <c r="D43" s="68"/>
      <c r="E43" s="68"/>
      <c r="F43" s="407"/>
      <c r="G43" s="407"/>
      <c r="H43" s="378">
        <f>SUM(H42,H34,H17,H11)</f>
        <v>0</v>
      </c>
      <c r="I43" s="68"/>
    </row>
    <row r="44" spans="1:9" ht="15.9" customHeight="1" x14ac:dyDescent="0.25">
      <c r="A44" s="446" t="s">
        <v>150</v>
      </c>
      <c r="B44" s="409" t="s">
        <v>67</v>
      </c>
      <c r="C44" s="405"/>
      <c r="D44" s="68"/>
      <c r="E44" s="409" t="s">
        <v>68</v>
      </c>
      <c r="F44" s="448"/>
      <c r="G44" s="427">
        <v>250000</v>
      </c>
      <c r="H44" s="413">
        <f>F44*G44</f>
        <v>0</v>
      </c>
      <c r="I44" s="68"/>
    </row>
    <row r="45" spans="1:9" ht="15.9" customHeight="1" x14ac:dyDescent="0.25">
      <c r="A45" s="432"/>
      <c r="B45" s="415" t="s">
        <v>228</v>
      </c>
      <c r="C45" s="416"/>
      <c r="D45" s="385"/>
      <c r="E45" s="415" t="s">
        <v>152</v>
      </c>
      <c r="F45" s="449"/>
      <c r="G45" s="443">
        <v>300000</v>
      </c>
      <c r="H45" s="384">
        <f t="shared" ref="H45:H51" si="5">F45*G45</f>
        <v>0</v>
      </c>
      <c r="I45" s="385"/>
    </row>
    <row r="46" spans="1:9" ht="15.9" customHeight="1" x14ac:dyDescent="0.25">
      <c r="A46" s="432"/>
      <c r="B46" s="447" t="s">
        <v>229</v>
      </c>
      <c r="C46" s="419"/>
      <c r="D46" s="364"/>
      <c r="E46" s="418" t="s">
        <v>152</v>
      </c>
      <c r="F46" s="450"/>
      <c r="G46" s="435">
        <v>250000</v>
      </c>
      <c r="H46" s="292">
        <f t="shared" si="5"/>
        <v>0</v>
      </c>
      <c r="I46" s="364"/>
    </row>
    <row r="47" spans="1:9" ht="15.9" customHeight="1" x14ac:dyDescent="0.25">
      <c r="A47" s="432"/>
      <c r="B47" s="418" t="s">
        <v>230</v>
      </c>
      <c r="C47" s="419"/>
      <c r="D47" s="364"/>
      <c r="E47" s="418" t="s">
        <v>152</v>
      </c>
      <c r="F47" s="450"/>
      <c r="G47" s="435">
        <v>250000</v>
      </c>
      <c r="H47" s="292">
        <f t="shared" si="5"/>
        <v>0</v>
      </c>
      <c r="I47" s="364"/>
    </row>
    <row r="48" spans="1:9" ht="15.9" customHeight="1" x14ac:dyDescent="0.25">
      <c r="A48" s="432"/>
      <c r="B48" s="418" t="s">
        <v>231</v>
      </c>
      <c r="C48" s="419"/>
      <c r="D48" s="364"/>
      <c r="E48" s="418" t="s">
        <v>152</v>
      </c>
      <c r="F48" s="450"/>
      <c r="G48" s="367">
        <v>300000</v>
      </c>
      <c r="H48" s="292">
        <f t="shared" si="5"/>
        <v>0</v>
      </c>
      <c r="I48" s="364"/>
    </row>
    <row r="49" spans="1:9" ht="15.9" customHeight="1" x14ac:dyDescent="0.25">
      <c r="A49" s="432"/>
      <c r="B49" s="418" t="s">
        <v>232</v>
      </c>
      <c r="C49" s="419"/>
      <c r="D49" s="364"/>
      <c r="E49" s="418" t="s">
        <v>152</v>
      </c>
      <c r="F49" s="450"/>
      <c r="G49" s="367">
        <v>300000</v>
      </c>
      <c r="H49" s="292">
        <f t="shared" si="5"/>
        <v>0</v>
      </c>
      <c r="I49" s="364"/>
    </row>
    <row r="50" spans="1:9" ht="15.9" customHeight="1" x14ac:dyDescent="0.25">
      <c r="A50" s="432"/>
      <c r="B50" s="418" t="s">
        <v>233</v>
      </c>
      <c r="C50" s="419"/>
      <c r="D50" s="364"/>
      <c r="E50" s="418" t="s">
        <v>152</v>
      </c>
      <c r="F50" s="450"/>
      <c r="G50" s="367">
        <v>300000</v>
      </c>
      <c r="H50" s="292">
        <f t="shared" si="5"/>
        <v>0</v>
      </c>
      <c r="I50" s="364"/>
    </row>
    <row r="51" spans="1:9" ht="15.9" customHeight="1" x14ac:dyDescent="0.25">
      <c r="A51" s="432"/>
      <c r="B51" s="421" t="s">
        <v>234</v>
      </c>
      <c r="C51" s="422"/>
      <c r="D51" s="372"/>
      <c r="E51" s="421" t="s">
        <v>152</v>
      </c>
      <c r="F51" s="451"/>
      <c r="G51" s="455">
        <v>250000</v>
      </c>
      <c r="H51" s="402">
        <f t="shared" si="5"/>
        <v>0</v>
      </c>
      <c r="I51" s="372"/>
    </row>
    <row r="52" spans="1:9" ht="15.9" customHeight="1" x14ac:dyDescent="0.25">
      <c r="A52" s="403"/>
      <c r="B52" s="424" t="s">
        <v>158</v>
      </c>
      <c r="C52" s="405"/>
      <c r="D52" s="68"/>
      <c r="E52" s="68"/>
      <c r="F52" s="377"/>
      <c r="G52" s="377"/>
      <c r="H52" s="377">
        <f>SUM(H44:H51)</f>
        <v>0</v>
      </c>
      <c r="I52" s="375"/>
    </row>
    <row r="53" spans="1:9" ht="15.9" customHeight="1" x14ac:dyDescent="0.25">
      <c r="A53" s="410"/>
      <c r="B53" s="424" t="s">
        <v>235</v>
      </c>
      <c r="C53" s="405"/>
      <c r="D53" s="68"/>
      <c r="E53" s="68"/>
      <c r="F53" s="378"/>
      <c r="G53" s="378"/>
      <c r="H53" s="407">
        <f>'단위공사별(집계)'!L28+'단위공사별(집계)'!I28</f>
        <v>0</v>
      </c>
      <c r="I53" s="68"/>
    </row>
    <row r="54" spans="1:9" ht="15.9" customHeight="1" x14ac:dyDescent="0.25">
      <c r="A54" s="410"/>
      <c r="B54" s="424" t="s">
        <v>93</v>
      </c>
      <c r="C54" s="405"/>
      <c r="D54" s="68"/>
      <c r="E54" s="68"/>
      <c r="F54" s="378"/>
      <c r="G54" s="426"/>
      <c r="H54" s="427">
        <f>(H52+H43)*0.05</f>
        <v>0</v>
      </c>
      <c r="I54" s="405"/>
    </row>
    <row r="55" spans="1:9" ht="15.9" customHeight="1" x14ac:dyDescent="0.25">
      <c r="A55" s="410"/>
      <c r="B55" s="424" t="s">
        <v>161</v>
      </c>
      <c r="C55" s="405"/>
      <c r="D55" s="68"/>
      <c r="E55" s="68"/>
      <c r="F55" s="378"/>
      <c r="G55" s="426"/>
      <c r="H55" s="427">
        <f>(H52+H43)*0.1</f>
        <v>0</v>
      </c>
      <c r="I55" s="405"/>
    </row>
    <row r="56" spans="1:9" ht="15.9" customHeight="1" x14ac:dyDescent="0.25">
      <c r="A56" s="410"/>
      <c r="B56" s="424" t="s">
        <v>162</v>
      </c>
      <c r="C56" s="405"/>
      <c r="D56" s="68"/>
      <c r="E56" s="68"/>
      <c r="F56" s="378"/>
      <c r="G56" s="378"/>
      <c r="H56" s="377">
        <f>H43+H52+H53+H54+H55</f>
        <v>0</v>
      </c>
      <c r="I56" s="68"/>
    </row>
    <row r="57" spans="1:9" x14ac:dyDescent="0.25">
      <c r="A57" s="254"/>
    </row>
  </sheetData>
  <mergeCells count="3">
    <mergeCell ref="A2:B2"/>
    <mergeCell ref="A3:A42"/>
    <mergeCell ref="A44:A5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AE48-8EF4-4C2C-8CDC-78301D321DF6}">
  <sheetPr>
    <tabColor theme="0" tint="-0.499984740745262"/>
    <pageSetUpPr fitToPage="1"/>
  </sheetPr>
  <dimension ref="A1:I63"/>
  <sheetViews>
    <sheetView zoomScaleNormal="100" workbookViewId="0">
      <pane xSplit="2" ySplit="2" topLeftCell="C2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/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5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3"/>
      <c r="D12" s="363"/>
      <c r="E12" s="365"/>
      <c r="F12" s="367"/>
      <c r="G12" s="367"/>
      <c r="H12" s="292">
        <f t="shared" si="1"/>
        <v>0</v>
      </c>
      <c r="I12" s="364"/>
    </row>
    <row r="13" spans="1:9" ht="15.9" customHeight="1" x14ac:dyDescent="0.25">
      <c r="A13" s="432"/>
      <c r="B13" s="356"/>
      <c r="C13" s="363"/>
      <c r="D13" s="363"/>
      <c r="E13" s="363"/>
      <c r="F13" s="367"/>
      <c r="G13" s="367"/>
      <c r="H13" s="292">
        <f t="shared" si="1"/>
        <v>0</v>
      </c>
      <c r="I13" s="364"/>
    </row>
    <row r="14" spans="1:9" ht="15.9" customHeight="1" x14ac:dyDescent="0.25">
      <c r="A14" s="432"/>
      <c r="B14" s="356"/>
      <c r="C14" s="363"/>
      <c r="D14" s="363"/>
      <c r="E14" s="363"/>
      <c r="F14" s="367"/>
      <c r="G14" s="367"/>
      <c r="H14" s="292">
        <f t="shared" si="1"/>
        <v>0</v>
      </c>
      <c r="I14" s="364"/>
    </row>
    <row r="15" spans="1:9" ht="15.9" customHeight="1" x14ac:dyDescent="0.25">
      <c r="A15" s="432"/>
      <c r="B15" s="356"/>
      <c r="C15" s="368" t="s">
        <v>254</v>
      </c>
      <c r="D15" s="387"/>
      <c r="E15" s="437" t="s">
        <v>167</v>
      </c>
      <c r="F15" s="389"/>
      <c r="G15" s="389"/>
      <c r="H15" s="302">
        <f t="shared" si="1"/>
        <v>0</v>
      </c>
      <c r="I15" s="390"/>
    </row>
    <row r="16" spans="1:9" ht="15.9" customHeight="1" x14ac:dyDescent="0.25">
      <c r="A16" s="432"/>
      <c r="B16" s="373"/>
      <c r="C16" s="397"/>
      <c r="D16" s="397"/>
      <c r="E16" s="397"/>
      <c r="F16" s="395"/>
      <c r="G16" s="395"/>
      <c r="H16" s="396">
        <f>SUM(H3:H15)</f>
        <v>0</v>
      </c>
      <c r="I16" s="397"/>
    </row>
    <row r="17" spans="1:9" ht="15.9" customHeight="1" x14ac:dyDescent="0.25">
      <c r="A17" s="432"/>
      <c r="B17" s="356" t="s">
        <v>178</v>
      </c>
      <c r="C17" s="357"/>
      <c r="D17" s="357"/>
      <c r="E17" s="357"/>
      <c r="F17" s="360"/>
      <c r="G17" s="360"/>
      <c r="H17" s="311">
        <f t="shared" ref="H17:H47" si="2">IF(F17=0,G17,G17*F17)</f>
        <v>0</v>
      </c>
      <c r="I17" s="361"/>
    </row>
    <row r="18" spans="1:9" ht="15.9" customHeight="1" x14ac:dyDescent="0.25">
      <c r="A18" s="432"/>
      <c r="B18" s="356" t="s">
        <v>179</v>
      </c>
      <c r="C18" s="363"/>
      <c r="D18" s="363"/>
      <c r="E18" s="363"/>
      <c r="F18" s="367"/>
      <c r="G18" s="367"/>
      <c r="H18" s="292">
        <f t="shared" si="2"/>
        <v>0</v>
      </c>
      <c r="I18" s="364"/>
    </row>
    <row r="19" spans="1:9" ht="15.9" customHeight="1" x14ac:dyDescent="0.25">
      <c r="A19" s="432"/>
      <c r="B19" s="356"/>
      <c r="C19" s="363"/>
      <c r="D19" s="363"/>
      <c r="E19" s="363"/>
      <c r="F19" s="367"/>
      <c r="G19" s="367"/>
      <c r="H19" s="292">
        <f t="shared" si="2"/>
        <v>0</v>
      </c>
      <c r="I19" s="364"/>
    </row>
    <row r="20" spans="1:9" ht="15.9" customHeight="1" x14ac:dyDescent="0.25">
      <c r="A20" s="432"/>
      <c r="B20" s="356"/>
      <c r="C20" s="363"/>
      <c r="D20" s="363"/>
      <c r="E20" s="363"/>
      <c r="F20" s="367"/>
      <c r="G20" s="367"/>
      <c r="H20" s="292">
        <f t="shared" si="2"/>
        <v>0</v>
      </c>
      <c r="I20" s="364"/>
    </row>
    <row r="21" spans="1:9" ht="15.9" customHeight="1" x14ac:dyDescent="0.25">
      <c r="A21" s="432"/>
      <c r="B21" s="356"/>
      <c r="C21" s="368" t="s">
        <v>225</v>
      </c>
      <c r="D21" s="368"/>
      <c r="E21" s="368"/>
      <c r="F21" s="371"/>
      <c r="G21" s="371"/>
      <c r="H21" s="292">
        <f t="shared" si="2"/>
        <v>0</v>
      </c>
      <c r="I21" s="372"/>
    </row>
    <row r="22" spans="1:9" ht="15.9" customHeight="1" x14ac:dyDescent="0.25">
      <c r="A22" s="432"/>
      <c r="B22" s="373"/>
      <c r="C22" s="374"/>
      <c r="D22" s="375"/>
      <c r="E22" s="375"/>
      <c r="F22" s="438"/>
      <c r="G22" s="377"/>
      <c r="H22" s="378">
        <f>SUM(H17:H21)</f>
        <v>0</v>
      </c>
      <c r="I22" s="68"/>
    </row>
    <row r="23" spans="1:9" ht="15.9" customHeight="1" x14ac:dyDescent="0.25">
      <c r="A23" s="432"/>
      <c r="B23" s="398" t="s">
        <v>180</v>
      </c>
      <c r="C23" s="380"/>
      <c r="D23" s="380"/>
      <c r="E23" s="381"/>
      <c r="F23" s="383"/>
      <c r="G23" s="383"/>
      <c r="H23" s="292">
        <f t="shared" ref="H23:H26" si="3">IF(F23=0,0,G23*F23)</f>
        <v>0</v>
      </c>
      <c r="I23" s="361"/>
    </row>
    <row r="24" spans="1:9" ht="15.9" customHeight="1" x14ac:dyDescent="0.25">
      <c r="A24" s="432"/>
      <c r="B24" s="356" t="s">
        <v>182</v>
      </c>
      <c r="C24" s="363"/>
      <c r="D24" s="363"/>
      <c r="E24" s="365"/>
      <c r="F24" s="367"/>
      <c r="G24" s="367"/>
      <c r="H24" s="292">
        <f t="shared" si="3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3"/>
        <v>0</v>
      </c>
      <c r="I25" s="462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3"/>
        <v>0</v>
      </c>
      <c r="I26" s="364"/>
    </row>
    <row r="27" spans="1:9" ht="15.75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ref="H27:H39" si="4">IF(F27=0,G27,G27*F27)</f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>IF(F32=0,G32,G32*F32)</f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436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436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433"/>
      <c r="D37" s="433"/>
      <c r="E37" s="434"/>
      <c r="F37" s="435"/>
      <c r="G37" s="435"/>
      <c r="H37" s="292">
        <f t="shared" si="4"/>
        <v>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 t="s">
        <v>313</v>
      </c>
      <c r="D39" s="368"/>
      <c r="E39" s="369" t="s">
        <v>167</v>
      </c>
      <c r="F39" s="371"/>
      <c r="G39" s="371"/>
      <c r="H39" s="292">
        <f t="shared" si="4"/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SUM(H23:H39)</f>
        <v>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SUM(H48,H40,H22,H16)</f>
        <v>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/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/>
      <c r="G51" s="443">
        <v>300000</v>
      </c>
      <c r="H51" s="384">
        <f t="shared" ref="H51:H57" si="5">F51*G51</f>
        <v>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/>
      <c r="G52" s="435">
        <v>250000</v>
      </c>
      <c r="H52" s="292">
        <f t="shared" si="5"/>
        <v>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/>
      <c r="G53" s="435">
        <v>250000</v>
      </c>
      <c r="H53" s="292">
        <f t="shared" si="5"/>
        <v>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/>
      <c r="G54" s="367">
        <v>300000</v>
      </c>
      <c r="H54" s="292">
        <f t="shared" si="5"/>
        <v>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/>
      <c r="G55" s="367">
        <v>300000</v>
      </c>
      <c r="H55" s="292">
        <f t="shared" si="5"/>
        <v>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/>
      <c r="G56" s="367">
        <v>300000</v>
      </c>
      <c r="H56" s="292">
        <f t="shared" si="5"/>
        <v>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/>
      <c r="G57" s="455">
        <v>250000</v>
      </c>
      <c r="H57" s="402">
        <f t="shared" si="5"/>
        <v>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'단위공사별(집계)'!L29+'단위공사별(집계)'!I29</f>
        <v>0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f>(H58+H49)*0.05</f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f>(H58+H49)*0.1</f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0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6A2F-8F73-4373-951D-F915F09BC964}">
  <sheetPr>
    <tabColor theme="0" tint="-0.499984740745262"/>
    <pageSetUpPr fitToPage="1"/>
  </sheetPr>
  <dimension ref="A1:I68"/>
  <sheetViews>
    <sheetView zoomScaleNormal="100" workbookViewId="0">
      <pane xSplit="2" ySplit="2" topLeftCell="C50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/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2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434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8" t="s">
        <v>254</v>
      </c>
      <c r="D12" s="387"/>
      <c r="E12" s="437" t="s">
        <v>167</v>
      </c>
      <c r="F12" s="389"/>
      <c r="G12" s="389"/>
      <c r="H12" s="302">
        <f t="shared" si="1"/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52" si="2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8" t="s">
        <v>225</v>
      </c>
      <c r="D18" s="368"/>
      <c r="E18" s="368"/>
      <c r="F18" s="371"/>
      <c r="G18" s="371"/>
      <c r="H18" s="292">
        <f t="shared" si="2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/>
      <c r="D20" s="363"/>
      <c r="E20" s="365"/>
      <c r="F20" s="367"/>
      <c r="G20" s="367"/>
      <c r="H20" s="292">
        <f t="shared" ref="H20:H23" si="3">IF(F20=0,0,G20*F20)</f>
        <v>0</v>
      </c>
      <c r="I20" s="361"/>
    </row>
    <row r="21" spans="1:9" ht="15.9" customHeight="1" x14ac:dyDescent="0.25">
      <c r="A21" s="432"/>
      <c r="B21" s="356" t="s">
        <v>182</v>
      </c>
      <c r="C21" s="363"/>
      <c r="D21" s="363"/>
      <c r="E21" s="365"/>
      <c r="F21" s="367"/>
      <c r="G21" s="367"/>
      <c r="H21" s="292">
        <f t="shared" si="3"/>
        <v>0</v>
      </c>
      <c r="I21" s="364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462"/>
    </row>
    <row r="23" spans="1:9" ht="15.9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si="3"/>
        <v>0</v>
      </c>
      <c r="I23" s="364"/>
    </row>
    <row r="24" spans="1:9" ht="15.75" customHeight="1" x14ac:dyDescent="0.25">
      <c r="A24" s="432"/>
      <c r="B24" s="356"/>
      <c r="C24" s="363"/>
      <c r="D24" s="363"/>
      <c r="E24" s="365"/>
      <c r="F24" s="367"/>
      <c r="G24" s="367"/>
      <c r="H24" s="292">
        <f t="shared" ref="H24:H44" si="4">IF(F24=0,G24,G24*F24)</f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363"/>
      <c r="D31" s="363"/>
      <c r="E31" s="365"/>
      <c r="F31" s="367"/>
      <c r="G31" s="367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367"/>
      <c r="G32" s="367"/>
      <c r="H32" s="292">
        <f t="shared" si="4"/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367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367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367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433"/>
      <c r="D36" s="433"/>
      <c r="E36" s="434"/>
      <c r="F36" s="435"/>
      <c r="G36" s="435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363"/>
      <c r="D37" s="363"/>
      <c r="E37" s="365"/>
      <c r="F37" s="436"/>
      <c r="G37" s="367"/>
      <c r="H37" s="292">
        <f>IF(F37=0,G37,G37*F37)</f>
        <v>0</v>
      </c>
      <c r="I37" s="364"/>
    </row>
    <row r="38" spans="1:9" ht="15.9" customHeight="1" x14ac:dyDescent="0.25">
      <c r="A38" s="432"/>
      <c r="B38" s="356"/>
      <c r="C38" s="363"/>
      <c r="D38" s="363"/>
      <c r="E38" s="365"/>
      <c r="F38" s="436"/>
      <c r="G38" s="367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3"/>
      <c r="D39" s="363"/>
      <c r="E39" s="365"/>
      <c r="F39" s="436"/>
      <c r="G39" s="367"/>
      <c r="H39" s="292">
        <f t="shared" si="4"/>
        <v>0</v>
      </c>
      <c r="I39" s="364"/>
    </row>
    <row r="40" spans="1:9" ht="15.9" customHeight="1" x14ac:dyDescent="0.25">
      <c r="A40" s="432"/>
      <c r="B40" s="356"/>
      <c r="C40" s="363"/>
      <c r="D40" s="363"/>
      <c r="E40" s="365"/>
      <c r="F40" s="436"/>
      <c r="G40" s="367"/>
      <c r="H40" s="292">
        <f t="shared" si="4"/>
        <v>0</v>
      </c>
      <c r="I40" s="364"/>
    </row>
    <row r="41" spans="1:9" ht="15.9" customHeight="1" x14ac:dyDescent="0.25">
      <c r="A41" s="432"/>
      <c r="B41" s="356"/>
      <c r="C41" s="363"/>
      <c r="D41" s="363"/>
      <c r="E41" s="365"/>
      <c r="F41" s="436"/>
      <c r="G41" s="367"/>
      <c r="H41" s="292">
        <f t="shared" si="4"/>
        <v>0</v>
      </c>
      <c r="I41" s="364"/>
    </row>
    <row r="42" spans="1:9" ht="15.9" customHeight="1" x14ac:dyDescent="0.25">
      <c r="A42" s="432"/>
      <c r="B42" s="356"/>
      <c r="C42" s="433"/>
      <c r="D42" s="433"/>
      <c r="E42" s="434"/>
      <c r="F42" s="435"/>
      <c r="G42" s="435"/>
      <c r="H42" s="292">
        <f t="shared" si="4"/>
        <v>0</v>
      </c>
      <c r="I42" s="364"/>
    </row>
    <row r="43" spans="1:9" ht="15.9" customHeight="1" x14ac:dyDescent="0.25">
      <c r="A43" s="432"/>
      <c r="B43" s="356"/>
      <c r="C43" s="357"/>
      <c r="D43" s="357"/>
      <c r="E43" s="357"/>
      <c r="F43" s="360"/>
      <c r="G43" s="360"/>
      <c r="H43" s="292">
        <f t="shared" si="4"/>
        <v>0</v>
      </c>
      <c r="I43" s="364"/>
    </row>
    <row r="44" spans="1:9" ht="15.9" customHeight="1" x14ac:dyDescent="0.25">
      <c r="A44" s="432"/>
      <c r="B44" s="356"/>
      <c r="C44" s="368" t="s">
        <v>313</v>
      </c>
      <c r="D44" s="368"/>
      <c r="E44" s="369" t="s">
        <v>167</v>
      </c>
      <c r="F44" s="371"/>
      <c r="G44" s="371"/>
      <c r="H44" s="292">
        <f t="shared" si="4"/>
        <v>0</v>
      </c>
      <c r="I44" s="372"/>
    </row>
    <row r="45" spans="1:9" ht="15.9" customHeight="1" x14ac:dyDescent="0.25">
      <c r="A45" s="432"/>
      <c r="B45" s="373"/>
      <c r="C45" s="374"/>
      <c r="D45" s="375"/>
      <c r="E45" s="375"/>
      <c r="F45" s="377"/>
      <c r="G45" s="377"/>
      <c r="H45" s="378">
        <f>SUM(H20:H44)</f>
        <v>0</v>
      </c>
      <c r="I45" s="68"/>
    </row>
    <row r="46" spans="1:9" ht="15.9" customHeight="1" x14ac:dyDescent="0.25">
      <c r="A46" s="432"/>
      <c r="B46" s="398" t="s">
        <v>61</v>
      </c>
      <c r="C46" s="380"/>
      <c r="D46" s="380"/>
      <c r="E46" s="380"/>
      <c r="F46" s="383"/>
      <c r="G46" s="383"/>
      <c r="H46" s="384">
        <f t="shared" si="2"/>
        <v>0</v>
      </c>
      <c r="I46" s="385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2"/>
        <v>0</v>
      </c>
      <c r="I47" s="364"/>
    </row>
    <row r="48" spans="1:9" ht="15.9" customHeight="1" x14ac:dyDescent="0.25">
      <c r="A48" s="432"/>
      <c r="B48" s="356"/>
      <c r="C48" s="363"/>
      <c r="D48" s="363"/>
      <c r="E48" s="363"/>
      <c r="F48" s="367"/>
      <c r="G48" s="367"/>
      <c r="H48" s="292">
        <f t="shared" si="2"/>
        <v>0</v>
      </c>
      <c r="I48" s="364"/>
    </row>
    <row r="49" spans="1:9" ht="15.9" customHeight="1" x14ac:dyDescent="0.25">
      <c r="A49" s="432"/>
      <c r="B49" s="356"/>
      <c r="C49" s="363"/>
      <c r="D49" s="363"/>
      <c r="E49" s="363"/>
      <c r="F49" s="367"/>
      <c r="G49" s="367"/>
      <c r="H49" s="292">
        <f t="shared" si="2"/>
        <v>0</v>
      </c>
      <c r="I49" s="364"/>
    </row>
    <row r="50" spans="1:9" ht="15.9" customHeight="1" x14ac:dyDescent="0.25">
      <c r="A50" s="432"/>
      <c r="B50" s="356"/>
      <c r="C50" s="363"/>
      <c r="D50" s="363"/>
      <c r="E50" s="363"/>
      <c r="F50" s="367"/>
      <c r="G50" s="367"/>
      <c r="H50" s="292">
        <f t="shared" si="2"/>
        <v>0</v>
      </c>
      <c r="I50" s="364"/>
    </row>
    <row r="51" spans="1:9" ht="15.9" customHeight="1" x14ac:dyDescent="0.25">
      <c r="A51" s="432"/>
      <c r="B51" s="356"/>
      <c r="C51" s="363"/>
      <c r="D51" s="363"/>
      <c r="E51" s="363"/>
      <c r="F51" s="367"/>
      <c r="G51" s="367"/>
      <c r="H51" s="292">
        <f t="shared" si="2"/>
        <v>0</v>
      </c>
      <c r="I51" s="364"/>
    </row>
    <row r="52" spans="1:9" ht="15.9" customHeight="1" x14ac:dyDescent="0.25">
      <c r="A52" s="432"/>
      <c r="B52" s="356"/>
      <c r="C52" s="368" t="s">
        <v>225</v>
      </c>
      <c r="D52" s="368"/>
      <c r="E52" s="368"/>
      <c r="F52" s="371"/>
      <c r="G52" s="371"/>
      <c r="H52" s="402">
        <f t="shared" si="2"/>
        <v>0</v>
      </c>
      <c r="I52" s="372"/>
    </row>
    <row r="53" spans="1:9" ht="15.9" customHeight="1" x14ac:dyDescent="0.25">
      <c r="A53" s="432"/>
      <c r="B53" s="373"/>
      <c r="C53" s="374"/>
      <c r="D53" s="375"/>
      <c r="E53" s="375"/>
      <c r="F53" s="377"/>
      <c r="G53" s="377"/>
      <c r="H53" s="378">
        <f>SUM(H46:H52)</f>
        <v>0</v>
      </c>
      <c r="I53" s="68"/>
    </row>
    <row r="54" spans="1:9" ht="15.9" customHeight="1" x14ac:dyDescent="0.25">
      <c r="A54" s="403"/>
      <c r="B54" s="404" t="s">
        <v>149</v>
      </c>
      <c r="C54" s="405"/>
      <c r="D54" s="68"/>
      <c r="E54" s="68"/>
      <c r="F54" s="407"/>
      <c r="G54" s="407"/>
      <c r="H54" s="378">
        <f>SUM(H53,H45,H19,H13)</f>
        <v>0</v>
      </c>
      <c r="I54" s="68"/>
    </row>
    <row r="55" spans="1:9" ht="15.9" customHeight="1" x14ac:dyDescent="0.25">
      <c r="A55" s="446" t="s">
        <v>150</v>
      </c>
      <c r="B55" s="409" t="s">
        <v>67</v>
      </c>
      <c r="C55" s="405"/>
      <c r="D55" s="68"/>
      <c r="E55" s="409" t="s">
        <v>68</v>
      </c>
      <c r="F55" s="448"/>
      <c r="G55" s="427">
        <v>250000</v>
      </c>
      <c r="H55" s="413">
        <f>F55*G55</f>
        <v>0</v>
      </c>
      <c r="I55" s="68"/>
    </row>
    <row r="56" spans="1:9" ht="15.9" customHeight="1" x14ac:dyDescent="0.25">
      <c r="A56" s="432"/>
      <c r="B56" s="415" t="s">
        <v>228</v>
      </c>
      <c r="C56" s="416"/>
      <c r="D56" s="385"/>
      <c r="E56" s="415" t="s">
        <v>152</v>
      </c>
      <c r="F56" s="449"/>
      <c r="G56" s="443">
        <v>300000</v>
      </c>
      <c r="H56" s="384">
        <f t="shared" ref="H56:H62" si="5">F56*G56</f>
        <v>0</v>
      </c>
      <c r="I56" s="385"/>
    </row>
    <row r="57" spans="1:9" ht="15.9" customHeight="1" x14ac:dyDescent="0.25">
      <c r="A57" s="432"/>
      <c r="B57" s="447" t="s">
        <v>229</v>
      </c>
      <c r="C57" s="419"/>
      <c r="D57" s="364"/>
      <c r="E57" s="418" t="s">
        <v>152</v>
      </c>
      <c r="F57" s="450"/>
      <c r="G57" s="435">
        <v>250000</v>
      </c>
      <c r="H57" s="292">
        <f t="shared" si="5"/>
        <v>0</v>
      </c>
      <c r="I57" s="364"/>
    </row>
    <row r="58" spans="1:9" ht="15.9" customHeight="1" x14ac:dyDescent="0.25">
      <c r="A58" s="432"/>
      <c r="B58" s="418" t="s">
        <v>230</v>
      </c>
      <c r="C58" s="419"/>
      <c r="D58" s="364"/>
      <c r="E58" s="418" t="s">
        <v>152</v>
      </c>
      <c r="F58" s="450"/>
      <c r="G58" s="435">
        <v>250000</v>
      </c>
      <c r="H58" s="292">
        <f t="shared" si="5"/>
        <v>0</v>
      </c>
      <c r="I58" s="364"/>
    </row>
    <row r="59" spans="1:9" ht="15.9" customHeight="1" x14ac:dyDescent="0.25">
      <c r="A59" s="432"/>
      <c r="B59" s="418" t="s">
        <v>231</v>
      </c>
      <c r="C59" s="419"/>
      <c r="D59" s="364"/>
      <c r="E59" s="418" t="s">
        <v>152</v>
      </c>
      <c r="F59" s="450"/>
      <c r="G59" s="367">
        <v>300000</v>
      </c>
      <c r="H59" s="292">
        <f t="shared" si="5"/>
        <v>0</v>
      </c>
      <c r="I59" s="364"/>
    </row>
    <row r="60" spans="1:9" ht="15.9" customHeight="1" x14ac:dyDescent="0.25">
      <c r="A60" s="432"/>
      <c r="B60" s="418" t="s">
        <v>232</v>
      </c>
      <c r="C60" s="419"/>
      <c r="D60" s="364"/>
      <c r="E60" s="418" t="s">
        <v>152</v>
      </c>
      <c r="F60" s="450"/>
      <c r="G60" s="367">
        <v>300000</v>
      </c>
      <c r="H60" s="292">
        <f t="shared" si="5"/>
        <v>0</v>
      </c>
      <c r="I60" s="364"/>
    </row>
    <row r="61" spans="1:9" ht="15.9" customHeight="1" x14ac:dyDescent="0.25">
      <c r="A61" s="432"/>
      <c r="B61" s="418" t="s">
        <v>233</v>
      </c>
      <c r="C61" s="419"/>
      <c r="D61" s="364"/>
      <c r="E61" s="418" t="s">
        <v>152</v>
      </c>
      <c r="F61" s="450"/>
      <c r="G61" s="367">
        <v>300000</v>
      </c>
      <c r="H61" s="292">
        <f t="shared" si="5"/>
        <v>0</v>
      </c>
      <c r="I61" s="364"/>
    </row>
    <row r="62" spans="1:9" ht="15.9" customHeight="1" x14ac:dyDescent="0.25">
      <c r="A62" s="432"/>
      <c r="B62" s="421" t="s">
        <v>234</v>
      </c>
      <c r="C62" s="422"/>
      <c r="D62" s="372"/>
      <c r="E62" s="421" t="s">
        <v>152</v>
      </c>
      <c r="F62" s="451"/>
      <c r="G62" s="455">
        <v>250000</v>
      </c>
      <c r="H62" s="402">
        <f t="shared" si="5"/>
        <v>0</v>
      </c>
      <c r="I62" s="372"/>
    </row>
    <row r="63" spans="1:9" ht="15.9" customHeight="1" x14ac:dyDescent="0.25">
      <c r="A63" s="403"/>
      <c r="B63" s="424" t="s">
        <v>158</v>
      </c>
      <c r="C63" s="405"/>
      <c r="D63" s="68"/>
      <c r="E63" s="68"/>
      <c r="F63" s="377"/>
      <c r="G63" s="377"/>
      <c r="H63" s="377">
        <f>SUM(H55:H62)</f>
        <v>0</v>
      </c>
      <c r="I63" s="375"/>
    </row>
    <row r="64" spans="1:9" ht="15.9" customHeight="1" x14ac:dyDescent="0.25">
      <c r="A64" s="410"/>
      <c r="B64" s="424" t="s">
        <v>235</v>
      </c>
      <c r="C64" s="405"/>
      <c r="D64" s="68"/>
      <c r="E64" s="68"/>
      <c r="F64" s="378"/>
      <c r="G64" s="378"/>
      <c r="H64" s="407">
        <f>'단위공사별(집계)'!L30+'단위공사별(집계)'!I30</f>
        <v>0</v>
      </c>
      <c r="I64" s="68"/>
    </row>
    <row r="65" spans="1:9" ht="15.9" customHeight="1" x14ac:dyDescent="0.25">
      <c r="A65" s="410"/>
      <c r="B65" s="424" t="s">
        <v>93</v>
      </c>
      <c r="C65" s="405"/>
      <c r="D65" s="68"/>
      <c r="E65" s="68"/>
      <c r="F65" s="378"/>
      <c r="G65" s="426"/>
      <c r="H65" s="427">
        <f>(H63+H54)*0.05</f>
        <v>0</v>
      </c>
      <c r="I65" s="405"/>
    </row>
    <row r="66" spans="1:9" ht="15.9" customHeight="1" x14ac:dyDescent="0.25">
      <c r="A66" s="410"/>
      <c r="B66" s="424" t="s">
        <v>161</v>
      </c>
      <c r="C66" s="405"/>
      <c r="D66" s="68"/>
      <c r="E66" s="68"/>
      <c r="F66" s="378"/>
      <c r="G66" s="426"/>
      <c r="H66" s="427">
        <f>(H63+H54)*0.1</f>
        <v>0</v>
      </c>
      <c r="I66" s="405"/>
    </row>
    <row r="67" spans="1:9" ht="15.9" customHeight="1" x14ac:dyDescent="0.25">
      <c r="A67" s="410"/>
      <c r="B67" s="424" t="s">
        <v>162</v>
      </c>
      <c r="C67" s="405"/>
      <c r="D67" s="68"/>
      <c r="E67" s="68"/>
      <c r="F67" s="378"/>
      <c r="G67" s="378"/>
      <c r="H67" s="377">
        <f>H54+H63+H64+H65+H66</f>
        <v>0</v>
      </c>
      <c r="I67" s="68"/>
    </row>
    <row r="68" spans="1:9" x14ac:dyDescent="0.25">
      <c r="A68" s="254"/>
    </row>
  </sheetData>
  <mergeCells count="3">
    <mergeCell ref="A2:B2"/>
    <mergeCell ref="A3:A53"/>
    <mergeCell ref="A55:A6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4F30-C741-4869-8F36-0731C0A41213}">
  <sheetPr>
    <tabColor theme="0" tint="-0.499984740745262"/>
    <pageSetUpPr fitToPage="1"/>
  </sheetPr>
  <dimension ref="A1:I55"/>
  <sheetViews>
    <sheetView zoomScaleNormal="100" workbookViewId="0">
      <pane xSplit="2" ySplit="2" topLeftCell="C35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/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363"/>
      <c r="D4" s="363"/>
      <c r="E4" s="365"/>
      <c r="F4" s="367"/>
      <c r="G4" s="367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363"/>
      <c r="D5" s="363"/>
      <c r="E5" s="365"/>
      <c r="F5" s="367"/>
      <c r="G5" s="367"/>
      <c r="H5" s="292">
        <f t="shared" si="0"/>
        <v>0</v>
      </c>
      <c r="I5" s="364"/>
    </row>
    <row r="6" spans="1:9" ht="15.9" customHeight="1" x14ac:dyDescent="0.25">
      <c r="A6" s="432"/>
      <c r="B6" s="356"/>
      <c r="C6" s="363"/>
      <c r="D6" s="363"/>
      <c r="E6" s="365"/>
      <c r="F6" s="367"/>
      <c r="G6" s="367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/>
      <c r="G11" s="389"/>
      <c r="H11" s="302">
        <f t="shared" si="1"/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39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363"/>
      <c r="D19" s="363"/>
      <c r="E19" s="365"/>
      <c r="F19" s="367"/>
      <c r="G19" s="367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182</v>
      </c>
      <c r="C20" s="363"/>
      <c r="D20" s="363"/>
      <c r="E20" s="365"/>
      <c r="F20" s="367"/>
      <c r="G20" s="367"/>
      <c r="H20" s="292">
        <f t="shared" si="3"/>
        <v>0</v>
      </c>
      <c r="I20" s="364"/>
    </row>
    <row r="21" spans="1:9" ht="15.9" customHeight="1" x14ac:dyDescent="0.25">
      <c r="A21" s="432"/>
      <c r="B21" s="356"/>
      <c r="C21" s="363"/>
      <c r="D21" s="363"/>
      <c r="E21" s="365"/>
      <c r="F21" s="367"/>
      <c r="G21" s="367"/>
      <c r="H21" s="292">
        <f t="shared" si="3"/>
        <v>0</v>
      </c>
      <c r="I21" s="462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433"/>
      <c r="D23" s="433"/>
      <c r="E23" s="434"/>
      <c r="F23" s="435"/>
      <c r="G23" s="435"/>
      <c r="H23" s="292">
        <f t="shared" ref="H23:H31" si="4">IF(F23=0,G23,G23*F23)</f>
        <v>0</v>
      </c>
      <c r="I23" s="364"/>
    </row>
    <row r="24" spans="1:9" ht="15.9" customHeight="1" x14ac:dyDescent="0.25">
      <c r="A24" s="432"/>
      <c r="B24" s="356"/>
      <c r="C24" s="363"/>
      <c r="D24" s="363"/>
      <c r="E24" s="365"/>
      <c r="F24" s="436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436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436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436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436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433"/>
      <c r="D29" s="433"/>
      <c r="E29" s="434"/>
      <c r="F29" s="435"/>
      <c r="G29" s="435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57"/>
      <c r="D30" s="357"/>
      <c r="E30" s="357"/>
      <c r="F30" s="360"/>
      <c r="G30" s="360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368" t="s">
        <v>313</v>
      </c>
      <c r="D31" s="368"/>
      <c r="E31" s="369" t="s">
        <v>167</v>
      </c>
      <c r="F31" s="371"/>
      <c r="G31" s="371"/>
      <c r="H31" s="292">
        <f t="shared" si="4"/>
        <v>0</v>
      </c>
      <c r="I31" s="372"/>
    </row>
    <row r="32" spans="1:9" ht="15.9" customHeight="1" x14ac:dyDescent="0.25">
      <c r="A32" s="432"/>
      <c r="B32" s="373"/>
      <c r="C32" s="374"/>
      <c r="D32" s="375"/>
      <c r="E32" s="375"/>
      <c r="F32" s="377"/>
      <c r="G32" s="377"/>
      <c r="H32" s="378">
        <f>SUM(H19:H31)</f>
        <v>0</v>
      </c>
      <c r="I32" s="68"/>
    </row>
    <row r="33" spans="1:9" ht="15.9" customHeight="1" x14ac:dyDescent="0.25">
      <c r="A33" s="432"/>
      <c r="B33" s="398" t="s">
        <v>61</v>
      </c>
      <c r="C33" s="363"/>
      <c r="D33" s="363"/>
      <c r="E33" s="365"/>
      <c r="F33" s="367"/>
      <c r="G33" s="367"/>
      <c r="H33" s="384">
        <f t="shared" si="2"/>
        <v>0</v>
      </c>
      <c r="I33" s="385"/>
    </row>
    <row r="34" spans="1:9" ht="15.9" customHeight="1" x14ac:dyDescent="0.25">
      <c r="A34" s="432"/>
      <c r="B34" s="356"/>
      <c r="C34" s="363"/>
      <c r="D34" s="363"/>
      <c r="E34" s="363"/>
      <c r="F34" s="367"/>
      <c r="G34" s="367"/>
      <c r="H34" s="292">
        <f t="shared" si="2"/>
        <v>0</v>
      </c>
      <c r="I34" s="364"/>
    </row>
    <row r="35" spans="1:9" ht="15.9" customHeight="1" x14ac:dyDescent="0.25">
      <c r="A35" s="432"/>
      <c r="B35" s="356"/>
      <c r="C35" s="363"/>
      <c r="D35" s="363"/>
      <c r="E35" s="363"/>
      <c r="F35" s="367"/>
      <c r="G35" s="367"/>
      <c r="H35" s="292">
        <f t="shared" si="2"/>
        <v>0</v>
      </c>
      <c r="I35" s="364"/>
    </row>
    <row r="36" spans="1:9" ht="15.9" customHeight="1" x14ac:dyDescent="0.25">
      <c r="A36" s="432"/>
      <c r="B36" s="356"/>
      <c r="C36" s="363"/>
      <c r="D36" s="363"/>
      <c r="E36" s="363"/>
      <c r="F36" s="367"/>
      <c r="G36" s="367"/>
      <c r="H36" s="292">
        <f t="shared" si="2"/>
        <v>0</v>
      </c>
      <c r="I36" s="364"/>
    </row>
    <row r="37" spans="1:9" ht="15.9" customHeight="1" x14ac:dyDescent="0.25">
      <c r="A37" s="432"/>
      <c r="B37" s="356"/>
      <c r="C37" s="363"/>
      <c r="D37" s="363"/>
      <c r="E37" s="363"/>
      <c r="F37" s="367"/>
      <c r="G37" s="367"/>
      <c r="H37" s="292">
        <f t="shared" si="2"/>
        <v>0</v>
      </c>
      <c r="I37" s="364"/>
    </row>
    <row r="38" spans="1:9" ht="15.9" customHeight="1" x14ac:dyDescent="0.25">
      <c r="A38" s="432"/>
      <c r="B38" s="356"/>
      <c r="C38" s="363"/>
      <c r="D38" s="363"/>
      <c r="E38" s="363"/>
      <c r="F38" s="367"/>
      <c r="G38" s="367"/>
      <c r="H38" s="292">
        <f t="shared" si="2"/>
        <v>0</v>
      </c>
      <c r="I38" s="364"/>
    </row>
    <row r="39" spans="1:9" ht="15.9" customHeight="1" x14ac:dyDescent="0.25">
      <c r="A39" s="432"/>
      <c r="B39" s="356"/>
      <c r="C39" s="368" t="s">
        <v>225</v>
      </c>
      <c r="D39" s="368"/>
      <c r="E39" s="368"/>
      <c r="F39" s="371"/>
      <c r="G39" s="371"/>
      <c r="H39" s="402">
        <f t="shared" si="2"/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SUM(H33:H39)</f>
        <v>0</v>
      </c>
      <c r="I40" s="68"/>
    </row>
    <row r="41" spans="1:9" ht="15.9" customHeight="1" x14ac:dyDescent="0.25">
      <c r="A41" s="403"/>
      <c r="B41" s="404" t="s">
        <v>149</v>
      </c>
      <c r="C41" s="405"/>
      <c r="D41" s="68"/>
      <c r="E41" s="68"/>
      <c r="F41" s="407"/>
      <c r="G41" s="407"/>
      <c r="H41" s="378">
        <f>SUM(H40,H32,H18,H12)</f>
        <v>0</v>
      </c>
      <c r="I41" s="68"/>
    </row>
    <row r="42" spans="1:9" ht="15.9" customHeight="1" x14ac:dyDescent="0.25">
      <c r="A42" s="446" t="s">
        <v>150</v>
      </c>
      <c r="B42" s="409" t="s">
        <v>67</v>
      </c>
      <c r="C42" s="405"/>
      <c r="D42" s="68"/>
      <c r="E42" s="409" t="s">
        <v>68</v>
      </c>
      <c r="F42" s="448"/>
      <c r="G42" s="427">
        <v>250000</v>
      </c>
      <c r="H42" s="413">
        <f>F42*G42</f>
        <v>0</v>
      </c>
      <c r="I42" s="68"/>
    </row>
    <row r="43" spans="1:9" ht="15.9" customHeight="1" x14ac:dyDescent="0.25">
      <c r="A43" s="432"/>
      <c r="B43" s="415" t="s">
        <v>228</v>
      </c>
      <c r="C43" s="416"/>
      <c r="D43" s="385"/>
      <c r="E43" s="415" t="s">
        <v>152</v>
      </c>
      <c r="F43" s="449"/>
      <c r="G43" s="443">
        <v>300000</v>
      </c>
      <c r="H43" s="384">
        <f t="shared" ref="H43:H49" si="5">F43*G43</f>
        <v>0</v>
      </c>
      <c r="I43" s="385"/>
    </row>
    <row r="44" spans="1:9" ht="15.9" customHeight="1" x14ac:dyDescent="0.25">
      <c r="A44" s="432"/>
      <c r="B44" s="447" t="s">
        <v>229</v>
      </c>
      <c r="C44" s="419"/>
      <c r="D44" s="364"/>
      <c r="E44" s="418" t="s">
        <v>152</v>
      </c>
      <c r="F44" s="450"/>
      <c r="G44" s="435">
        <v>250000</v>
      </c>
      <c r="H44" s="292">
        <f t="shared" si="5"/>
        <v>0</v>
      </c>
      <c r="I44" s="364"/>
    </row>
    <row r="45" spans="1:9" ht="15.9" customHeight="1" x14ac:dyDescent="0.25">
      <c r="A45" s="432"/>
      <c r="B45" s="418" t="s">
        <v>230</v>
      </c>
      <c r="C45" s="419"/>
      <c r="D45" s="364"/>
      <c r="E45" s="418" t="s">
        <v>152</v>
      </c>
      <c r="F45" s="450"/>
      <c r="G45" s="435">
        <v>250000</v>
      </c>
      <c r="H45" s="292">
        <f t="shared" si="5"/>
        <v>0</v>
      </c>
      <c r="I45" s="364"/>
    </row>
    <row r="46" spans="1:9" ht="15.9" customHeight="1" x14ac:dyDescent="0.25">
      <c r="A46" s="432"/>
      <c r="B46" s="418" t="s">
        <v>231</v>
      </c>
      <c r="C46" s="419"/>
      <c r="D46" s="364"/>
      <c r="E46" s="418" t="s">
        <v>152</v>
      </c>
      <c r="F46" s="450"/>
      <c r="G46" s="367">
        <v>300000</v>
      </c>
      <c r="H46" s="292">
        <f t="shared" si="5"/>
        <v>0</v>
      </c>
      <c r="I46" s="364"/>
    </row>
    <row r="47" spans="1:9" ht="15.9" customHeight="1" x14ac:dyDescent="0.25">
      <c r="A47" s="432"/>
      <c r="B47" s="418" t="s">
        <v>232</v>
      </c>
      <c r="C47" s="419"/>
      <c r="D47" s="364"/>
      <c r="E47" s="418" t="s">
        <v>152</v>
      </c>
      <c r="F47" s="450"/>
      <c r="G47" s="367">
        <v>300000</v>
      </c>
      <c r="H47" s="292">
        <f t="shared" si="5"/>
        <v>0</v>
      </c>
      <c r="I47" s="364"/>
    </row>
    <row r="48" spans="1:9" ht="15.9" customHeight="1" x14ac:dyDescent="0.25">
      <c r="A48" s="432"/>
      <c r="B48" s="418" t="s">
        <v>233</v>
      </c>
      <c r="C48" s="419"/>
      <c r="D48" s="364"/>
      <c r="E48" s="418" t="s">
        <v>152</v>
      </c>
      <c r="F48" s="450"/>
      <c r="G48" s="367">
        <v>300000</v>
      </c>
      <c r="H48" s="292">
        <f t="shared" si="5"/>
        <v>0</v>
      </c>
      <c r="I48" s="364"/>
    </row>
    <row r="49" spans="1:9" ht="15.9" customHeight="1" x14ac:dyDescent="0.25">
      <c r="A49" s="432"/>
      <c r="B49" s="421" t="s">
        <v>234</v>
      </c>
      <c r="C49" s="422"/>
      <c r="D49" s="372"/>
      <c r="E49" s="421" t="s">
        <v>152</v>
      </c>
      <c r="F49" s="451"/>
      <c r="G49" s="455">
        <v>250000</v>
      </c>
      <c r="H49" s="402">
        <f t="shared" si="5"/>
        <v>0</v>
      </c>
      <c r="I49" s="372"/>
    </row>
    <row r="50" spans="1:9" ht="15.9" customHeight="1" x14ac:dyDescent="0.25">
      <c r="A50" s="403"/>
      <c r="B50" s="424" t="s">
        <v>158</v>
      </c>
      <c r="C50" s="405"/>
      <c r="D50" s="68"/>
      <c r="E50" s="68"/>
      <c r="F50" s="377"/>
      <c r="G50" s="377"/>
      <c r="H50" s="377">
        <f>SUM(H42:H49)</f>
        <v>0</v>
      </c>
      <c r="I50" s="375"/>
    </row>
    <row r="51" spans="1:9" ht="15.9" customHeight="1" x14ac:dyDescent="0.25">
      <c r="A51" s="410"/>
      <c r="B51" s="424" t="s">
        <v>235</v>
      </c>
      <c r="C51" s="405"/>
      <c r="D51" s="68"/>
      <c r="E51" s="68"/>
      <c r="F51" s="378"/>
      <c r="G51" s="378"/>
      <c r="H51" s="407">
        <f>'단위공사별(집계)'!L31+'단위공사별(집계)'!I31</f>
        <v>0</v>
      </c>
      <c r="I51" s="68"/>
    </row>
    <row r="52" spans="1:9" ht="15.9" customHeight="1" x14ac:dyDescent="0.25">
      <c r="A52" s="410"/>
      <c r="B52" s="424" t="s">
        <v>93</v>
      </c>
      <c r="C52" s="405"/>
      <c r="D52" s="68"/>
      <c r="E52" s="68"/>
      <c r="F52" s="378"/>
      <c r="G52" s="426"/>
      <c r="H52" s="427">
        <f>(H50+H41)*0.05</f>
        <v>0</v>
      </c>
      <c r="I52" s="405"/>
    </row>
    <row r="53" spans="1:9" ht="15.9" customHeight="1" x14ac:dyDescent="0.25">
      <c r="A53" s="410"/>
      <c r="B53" s="424" t="s">
        <v>161</v>
      </c>
      <c r="C53" s="405"/>
      <c r="D53" s="68"/>
      <c r="E53" s="68"/>
      <c r="F53" s="378"/>
      <c r="G53" s="426"/>
      <c r="H53" s="427">
        <f>(H50+H41)*0.1</f>
        <v>0</v>
      </c>
      <c r="I53" s="405"/>
    </row>
    <row r="54" spans="1:9" ht="15.9" customHeight="1" x14ac:dyDescent="0.25">
      <c r="A54" s="410"/>
      <c r="B54" s="424" t="s">
        <v>162</v>
      </c>
      <c r="C54" s="405"/>
      <c r="D54" s="68"/>
      <c r="E54" s="68"/>
      <c r="F54" s="378"/>
      <c r="G54" s="378"/>
      <c r="H54" s="377">
        <f>H41+H50+H51+H52+H53</f>
        <v>0</v>
      </c>
      <c r="I54" s="68"/>
    </row>
    <row r="55" spans="1:9" x14ac:dyDescent="0.25">
      <c r="A55" s="254"/>
    </row>
  </sheetData>
  <mergeCells count="3">
    <mergeCell ref="A2:B2"/>
    <mergeCell ref="A3:A40"/>
    <mergeCell ref="A42:A4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386F-B41E-43E2-A2E8-9812D5F3D7B1}">
  <sheetPr>
    <tabColor theme="0" tint="-0.499984740745262"/>
    <pageSetUpPr fitToPage="1"/>
  </sheetPr>
  <dimension ref="A1:I63"/>
  <sheetViews>
    <sheetView zoomScaleNormal="100" workbookViewId="0">
      <pane xSplit="2" ySplit="2" topLeftCell="C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/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/>
      <c r="G11" s="389"/>
      <c r="H11" s="302">
        <f t="shared" si="1"/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7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445"/>
      <c r="D19" s="444"/>
      <c r="E19" s="400"/>
      <c r="F19" s="452"/>
      <c r="G19" s="401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182</v>
      </c>
      <c r="C20" s="445"/>
      <c r="D20" s="363"/>
      <c r="E20" s="365"/>
      <c r="F20" s="367"/>
      <c r="G20" s="367"/>
      <c r="H20" s="292">
        <f t="shared" si="3"/>
        <v>0</v>
      </c>
      <c r="I20" s="364"/>
    </row>
    <row r="21" spans="1:9" ht="15.9" customHeight="1" x14ac:dyDescent="0.25">
      <c r="A21" s="432"/>
      <c r="B21" s="356"/>
      <c r="C21" s="363"/>
      <c r="D21" s="363"/>
      <c r="E21" s="365"/>
      <c r="F21" s="367"/>
      <c r="G21" s="367"/>
      <c r="H21" s="292">
        <f t="shared" si="3"/>
        <v>0</v>
      </c>
      <c r="I21" s="462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ref="H23:H39" si="4">IF(F23=0,G23,G23*F23)</f>
        <v>0</v>
      </c>
      <c r="I23" s="364"/>
    </row>
    <row r="24" spans="1:9" ht="15.9" customHeight="1" x14ac:dyDescent="0.25">
      <c r="A24" s="432"/>
      <c r="B24" s="356"/>
      <c r="C24" s="445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>IF(F32=0,G32,G32*F32)</f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436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436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433"/>
      <c r="D37" s="433"/>
      <c r="E37" s="434"/>
      <c r="F37" s="435"/>
      <c r="G37" s="435"/>
      <c r="H37" s="292">
        <f t="shared" si="4"/>
        <v>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/>
      <c r="D39" s="368"/>
      <c r="E39" s="369"/>
      <c r="F39" s="371"/>
      <c r="G39" s="371"/>
      <c r="H39" s="292">
        <f t="shared" si="4"/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/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/>
      <c r="G51" s="443">
        <v>300000</v>
      </c>
      <c r="H51" s="384">
        <f t="shared" ref="H51:H57" si="5">F51*G51</f>
        <v>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/>
      <c r="G52" s="435">
        <v>250000</v>
      </c>
      <c r="H52" s="292">
        <f t="shared" si="5"/>
        <v>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/>
      <c r="G53" s="435">
        <v>250000</v>
      </c>
      <c r="H53" s="292">
        <f t="shared" si="5"/>
        <v>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/>
      <c r="G54" s="367">
        <v>300000</v>
      </c>
      <c r="H54" s="292">
        <f t="shared" si="5"/>
        <v>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/>
      <c r="G55" s="367">
        <v>300000</v>
      </c>
      <c r="H55" s="292">
        <f t="shared" si="5"/>
        <v>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/>
      <c r="G56" s="367">
        <v>300000</v>
      </c>
      <c r="H56" s="292">
        <f t="shared" si="5"/>
        <v>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/>
      <c r="G57" s="455">
        <v>250000</v>
      </c>
      <c r="H57" s="402">
        <f t="shared" si="5"/>
        <v>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'단위공사별(집계)'!L32+'단위공사별(집계)'!I32</f>
        <v>0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f>(H58+H49)*0.05</f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f>(H58+H49)*0.1</f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0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79A0-59DB-419E-93CB-416CC155973F}">
  <sheetPr>
    <tabColor theme="0" tint="-0.499984740745262"/>
    <pageSetUpPr fitToPage="1"/>
  </sheetPr>
  <dimension ref="A1:I63"/>
  <sheetViews>
    <sheetView zoomScaleNormal="100" workbookViewId="0">
      <pane xSplit="2" ySplit="2" topLeftCell="C44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/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/>
      <c r="G11" s="389"/>
      <c r="H11" s="302">
        <f t="shared" si="1"/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7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445"/>
      <c r="D19" s="444"/>
      <c r="E19" s="400"/>
      <c r="F19" s="452"/>
      <c r="G19" s="401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182</v>
      </c>
      <c r="C20" s="445"/>
      <c r="D20" s="363"/>
      <c r="E20" s="365"/>
      <c r="F20" s="367"/>
      <c r="G20" s="367"/>
      <c r="H20" s="292">
        <f t="shared" si="3"/>
        <v>0</v>
      </c>
      <c r="I20" s="364"/>
    </row>
    <row r="21" spans="1:9" ht="15.9" customHeight="1" x14ac:dyDescent="0.25">
      <c r="A21" s="432"/>
      <c r="B21" s="356"/>
      <c r="C21" s="363"/>
      <c r="D21" s="363"/>
      <c r="E21" s="365"/>
      <c r="F21" s="367"/>
      <c r="G21" s="367"/>
      <c r="H21" s="292">
        <f t="shared" si="3"/>
        <v>0</v>
      </c>
      <c r="I21" s="462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ref="H23:H39" si="4">IF(F23=0,G23,G23*F23)</f>
        <v>0</v>
      </c>
      <c r="I23" s="364"/>
    </row>
    <row r="24" spans="1:9" ht="15.9" customHeight="1" x14ac:dyDescent="0.25">
      <c r="A24" s="432"/>
      <c r="B24" s="356"/>
      <c r="C24" s="445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>IF(F32=0,G32,G32*F32)</f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436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436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433"/>
      <c r="D37" s="433"/>
      <c r="E37" s="434"/>
      <c r="F37" s="435"/>
      <c r="G37" s="435"/>
      <c r="H37" s="292">
        <f t="shared" si="4"/>
        <v>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 t="s">
        <v>313</v>
      </c>
      <c r="D39" s="368"/>
      <c r="E39" s="369" t="s">
        <v>167</v>
      </c>
      <c r="F39" s="371"/>
      <c r="G39" s="371"/>
      <c r="H39" s="292">
        <f t="shared" si="4"/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/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/>
      <c r="G51" s="443">
        <v>300000</v>
      </c>
      <c r="H51" s="384">
        <f t="shared" ref="H51:H57" si="5">F51*G51</f>
        <v>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/>
      <c r="G52" s="435">
        <v>250000</v>
      </c>
      <c r="H52" s="292">
        <f t="shared" si="5"/>
        <v>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/>
      <c r="G53" s="435">
        <v>250000</v>
      </c>
      <c r="H53" s="292">
        <f t="shared" si="5"/>
        <v>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/>
      <c r="G54" s="367">
        <v>300000</v>
      </c>
      <c r="H54" s="292">
        <f t="shared" si="5"/>
        <v>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/>
      <c r="G55" s="367">
        <v>300000</v>
      </c>
      <c r="H55" s="292">
        <f t="shared" si="5"/>
        <v>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/>
      <c r="G56" s="367">
        <v>300000</v>
      </c>
      <c r="H56" s="292">
        <f t="shared" si="5"/>
        <v>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/>
      <c r="G57" s="455">
        <v>250000</v>
      </c>
      <c r="H57" s="402">
        <f t="shared" si="5"/>
        <v>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'단위공사별(집계)'!L33+'단위공사별(집계)'!I33</f>
        <v>0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f>(H58+H49)*0.05</f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f>(H58+H49)*0.1</f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0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CC64-B419-414B-A8A0-EDA7B9A90FE8}">
  <sheetPr>
    <tabColor theme="0" tint="-0.499984740745262"/>
    <pageSetUpPr fitToPage="1"/>
  </sheetPr>
  <dimension ref="A1:I63"/>
  <sheetViews>
    <sheetView zoomScaleNormal="100" workbookViewId="0">
      <pane xSplit="2" ySplit="2" topLeftCell="C5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/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/>
      <c r="G11" s="389"/>
      <c r="H11" s="302">
        <f t="shared" si="1"/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7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445"/>
      <c r="D19" s="444"/>
      <c r="E19" s="400"/>
      <c r="F19" s="452"/>
      <c r="G19" s="401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182</v>
      </c>
      <c r="C20" s="445"/>
      <c r="D20" s="363"/>
      <c r="E20" s="365"/>
      <c r="F20" s="367"/>
      <c r="G20" s="367"/>
      <c r="H20" s="292">
        <f t="shared" si="3"/>
        <v>0</v>
      </c>
      <c r="I20" s="364"/>
    </row>
    <row r="21" spans="1:9" ht="15.9" customHeight="1" x14ac:dyDescent="0.25">
      <c r="A21" s="432"/>
      <c r="B21" s="356"/>
      <c r="C21" s="363"/>
      <c r="D21" s="363"/>
      <c r="E21" s="365"/>
      <c r="F21" s="367"/>
      <c r="G21" s="367"/>
      <c r="H21" s="292">
        <f t="shared" si="3"/>
        <v>0</v>
      </c>
      <c r="I21" s="462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ref="H23:H39" si="4">IF(F23=0,G23,G23*F23)</f>
        <v>0</v>
      </c>
      <c r="I23" s="364"/>
    </row>
    <row r="24" spans="1:9" ht="15.9" customHeight="1" x14ac:dyDescent="0.25">
      <c r="A24" s="432"/>
      <c r="B24" s="356"/>
      <c r="C24" s="445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>IF(F32=0,G32,G32*F32)</f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436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436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433"/>
      <c r="D37" s="433"/>
      <c r="E37" s="434"/>
      <c r="F37" s="435"/>
      <c r="G37" s="435"/>
      <c r="H37" s="292">
        <f t="shared" si="4"/>
        <v>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 t="s">
        <v>313</v>
      </c>
      <c r="D39" s="368"/>
      <c r="E39" s="369" t="s">
        <v>167</v>
      </c>
      <c r="F39" s="371"/>
      <c r="G39" s="371"/>
      <c r="H39" s="292">
        <f t="shared" si="4"/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/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/>
      <c r="G51" s="443">
        <v>300000</v>
      </c>
      <c r="H51" s="384">
        <f t="shared" ref="H51:H57" si="5">F51*G51</f>
        <v>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/>
      <c r="G52" s="435">
        <v>250000</v>
      </c>
      <c r="H52" s="292">
        <f t="shared" si="5"/>
        <v>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/>
      <c r="G53" s="435">
        <v>250000</v>
      </c>
      <c r="H53" s="292">
        <f t="shared" si="5"/>
        <v>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/>
      <c r="G54" s="367">
        <v>300000</v>
      </c>
      <c r="H54" s="292">
        <f t="shared" si="5"/>
        <v>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/>
      <c r="G55" s="367">
        <v>300000</v>
      </c>
      <c r="H55" s="292">
        <f t="shared" si="5"/>
        <v>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/>
      <c r="G56" s="367">
        <v>300000</v>
      </c>
      <c r="H56" s="292">
        <f t="shared" si="5"/>
        <v>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/>
      <c r="G57" s="455">
        <v>250000</v>
      </c>
      <c r="H57" s="402">
        <f t="shared" si="5"/>
        <v>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'단위공사별(집계)'!L34+'단위공사별(집계)'!I34</f>
        <v>0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f>(H58+H49)*0.05</f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f>(H58+H49)*0.1</f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0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3F1A-1584-46F5-9911-3415E0B76FA1}">
  <sheetPr>
    <tabColor theme="0" tint="-0.499984740745262"/>
    <pageSetUpPr fitToPage="1"/>
  </sheetPr>
  <dimension ref="A1:I63"/>
  <sheetViews>
    <sheetView zoomScaleNormal="100" workbookViewId="0">
      <pane xSplit="2" ySplit="2" topLeftCell="C45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/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/>
      <c r="G11" s="389"/>
      <c r="H11" s="302">
        <f t="shared" si="1"/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7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445"/>
      <c r="D19" s="444"/>
      <c r="E19" s="400"/>
      <c r="F19" s="452"/>
      <c r="G19" s="401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182</v>
      </c>
      <c r="C20" s="445"/>
      <c r="D20" s="363"/>
      <c r="E20" s="365"/>
      <c r="F20" s="367"/>
      <c r="G20" s="367"/>
      <c r="H20" s="292">
        <f t="shared" si="3"/>
        <v>0</v>
      </c>
      <c r="I20" s="364"/>
    </row>
    <row r="21" spans="1:9" ht="15.9" customHeight="1" x14ac:dyDescent="0.25">
      <c r="A21" s="432"/>
      <c r="B21" s="356"/>
      <c r="C21" s="363"/>
      <c r="D21" s="363"/>
      <c r="E21" s="365"/>
      <c r="F21" s="367"/>
      <c r="G21" s="367"/>
      <c r="H21" s="292">
        <f t="shared" si="3"/>
        <v>0</v>
      </c>
      <c r="I21" s="462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ref="H23:H39" si="4">IF(F23=0,G23,G23*F23)</f>
        <v>0</v>
      </c>
      <c r="I23" s="364"/>
    </row>
    <row r="24" spans="1:9" ht="15.9" customHeight="1" x14ac:dyDescent="0.25">
      <c r="A24" s="432"/>
      <c r="B24" s="356"/>
      <c r="C24" s="445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>IF(F32=0,G32,G32*F32)</f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436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436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433"/>
      <c r="D37" s="433"/>
      <c r="E37" s="434"/>
      <c r="F37" s="435"/>
      <c r="G37" s="435"/>
      <c r="H37" s="292">
        <f t="shared" si="4"/>
        <v>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 t="s">
        <v>313</v>
      </c>
      <c r="D39" s="368"/>
      <c r="E39" s="369" t="s">
        <v>167</v>
      </c>
      <c r="F39" s="371"/>
      <c r="G39" s="371"/>
      <c r="H39" s="292">
        <f t="shared" si="4"/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/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/>
      <c r="G51" s="443">
        <v>300000</v>
      </c>
      <c r="H51" s="384">
        <f t="shared" ref="H51:H57" si="5">F51*G51</f>
        <v>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/>
      <c r="G52" s="435">
        <v>250000</v>
      </c>
      <c r="H52" s="292">
        <f t="shared" si="5"/>
        <v>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/>
      <c r="G53" s="435">
        <v>250000</v>
      </c>
      <c r="H53" s="292">
        <f t="shared" si="5"/>
        <v>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/>
      <c r="G54" s="367">
        <v>300000</v>
      </c>
      <c r="H54" s="292">
        <f t="shared" si="5"/>
        <v>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/>
      <c r="G55" s="367">
        <v>300000</v>
      </c>
      <c r="H55" s="292">
        <f t="shared" si="5"/>
        <v>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/>
      <c r="G56" s="367">
        <v>300000</v>
      </c>
      <c r="H56" s="292">
        <f t="shared" si="5"/>
        <v>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/>
      <c r="G57" s="455">
        <v>250000</v>
      </c>
      <c r="H57" s="402">
        <f t="shared" si="5"/>
        <v>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'단위공사별(집계)'!L35+'단위공사별(집계)'!I35</f>
        <v>0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f>(H58+H49)*0.05</f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f>(H58+H49)*0.1</f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0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D327-BEFC-4CDA-A17A-4A1BFDDA7CCC}">
  <sheetPr>
    <tabColor theme="0" tint="-0.499984740745262"/>
    <pageSetUpPr fitToPage="1"/>
  </sheetPr>
  <dimension ref="A1:I63"/>
  <sheetViews>
    <sheetView zoomScaleNormal="100" workbookViewId="0">
      <pane xSplit="2" ySplit="2" topLeftCell="C3" activePane="bottomRight" state="frozen"/>
      <selection activeCell="M25" sqref="M25"/>
      <selection pane="topRight" activeCell="M25" sqref="M25"/>
      <selection pane="bottomLeft" activeCell="M25" sqref="M25"/>
      <selection pane="bottomRight" activeCell="M25" sqref="M2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/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254</v>
      </c>
      <c r="D11" s="387"/>
      <c r="E11" s="437" t="s">
        <v>167</v>
      </c>
      <c r="F11" s="389"/>
      <c r="G11" s="389"/>
      <c r="H11" s="302">
        <f t="shared" si="1"/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7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225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445"/>
      <c r="D19" s="444"/>
      <c r="E19" s="400"/>
      <c r="F19" s="452"/>
      <c r="G19" s="401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182</v>
      </c>
      <c r="C20" s="445"/>
      <c r="D20" s="363"/>
      <c r="E20" s="365"/>
      <c r="F20" s="367"/>
      <c r="G20" s="367"/>
      <c r="H20" s="292">
        <f t="shared" si="3"/>
        <v>0</v>
      </c>
      <c r="I20" s="364"/>
    </row>
    <row r="21" spans="1:9" ht="15.9" customHeight="1" x14ac:dyDescent="0.25">
      <c r="A21" s="432"/>
      <c r="B21" s="356"/>
      <c r="C21" s="363"/>
      <c r="D21" s="363"/>
      <c r="E21" s="365"/>
      <c r="F21" s="367"/>
      <c r="G21" s="367"/>
      <c r="H21" s="292">
        <f t="shared" si="3"/>
        <v>0</v>
      </c>
      <c r="I21" s="462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ref="H23:H39" si="4">IF(F23=0,G23,G23*F23)</f>
        <v>0</v>
      </c>
      <c r="I23" s="364"/>
    </row>
    <row r="24" spans="1:9" ht="15.9" customHeight="1" x14ac:dyDescent="0.25">
      <c r="A24" s="432"/>
      <c r="B24" s="356"/>
      <c r="C24" s="445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>IF(F32=0,G32,G32*F32)</f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436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436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433"/>
      <c r="D37" s="433"/>
      <c r="E37" s="434"/>
      <c r="F37" s="435"/>
      <c r="G37" s="435"/>
      <c r="H37" s="292">
        <f t="shared" si="4"/>
        <v>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 t="s">
        <v>313</v>
      </c>
      <c r="D39" s="368"/>
      <c r="E39" s="369" t="s">
        <v>167</v>
      </c>
      <c r="F39" s="371"/>
      <c r="G39" s="371"/>
      <c r="H39" s="292">
        <f t="shared" si="4"/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225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0</v>
      </c>
      <c r="I49" s="68"/>
    </row>
    <row r="50" spans="1:9" ht="15.9" customHeight="1" x14ac:dyDescent="0.25">
      <c r="A50" s="446" t="s">
        <v>150</v>
      </c>
      <c r="B50" s="409" t="s">
        <v>67</v>
      </c>
      <c r="C50" s="405"/>
      <c r="D50" s="68"/>
      <c r="E50" s="409" t="s">
        <v>68</v>
      </c>
      <c r="F50" s="448"/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228</v>
      </c>
      <c r="C51" s="416"/>
      <c r="D51" s="385"/>
      <c r="E51" s="415" t="s">
        <v>152</v>
      </c>
      <c r="F51" s="449"/>
      <c r="G51" s="443">
        <v>300000</v>
      </c>
      <c r="H51" s="384">
        <f t="shared" ref="H51:H57" si="5">F51*G51</f>
        <v>0</v>
      </c>
      <c r="I51" s="385"/>
    </row>
    <row r="52" spans="1:9" ht="15.9" customHeight="1" x14ac:dyDescent="0.25">
      <c r="A52" s="432"/>
      <c r="B52" s="447" t="s">
        <v>229</v>
      </c>
      <c r="C52" s="419"/>
      <c r="D52" s="364"/>
      <c r="E52" s="418" t="s">
        <v>152</v>
      </c>
      <c r="F52" s="450"/>
      <c r="G52" s="435">
        <v>250000</v>
      </c>
      <c r="H52" s="292">
        <f t="shared" si="5"/>
        <v>0</v>
      </c>
      <c r="I52" s="364"/>
    </row>
    <row r="53" spans="1:9" ht="15.9" customHeight="1" x14ac:dyDescent="0.25">
      <c r="A53" s="432"/>
      <c r="B53" s="418" t="s">
        <v>230</v>
      </c>
      <c r="C53" s="419"/>
      <c r="D53" s="364"/>
      <c r="E53" s="418" t="s">
        <v>152</v>
      </c>
      <c r="F53" s="450"/>
      <c r="G53" s="435">
        <v>250000</v>
      </c>
      <c r="H53" s="292">
        <f t="shared" si="5"/>
        <v>0</v>
      </c>
      <c r="I53" s="364"/>
    </row>
    <row r="54" spans="1:9" ht="15.9" customHeight="1" x14ac:dyDescent="0.25">
      <c r="A54" s="432"/>
      <c r="B54" s="418" t="s">
        <v>231</v>
      </c>
      <c r="C54" s="419"/>
      <c r="D54" s="364"/>
      <c r="E54" s="418" t="s">
        <v>152</v>
      </c>
      <c r="F54" s="450"/>
      <c r="G54" s="367">
        <v>300000</v>
      </c>
      <c r="H54" s="292">
        <f t="shared" si="5"/>
        <v>0</v>
      </c>
      <c r="I54" s="364"/>
    </row>
    <row r="55" spans="1:9" ht="15.9" customHeight="1" x14ac:dyDescent="0.25">
      <c r="A55" s="432"/>
      <c r="B55" s="418" t="s">
        <v>232</v>
      </c>
      <c r="C55" s="419"/>
      <c r="D55" s="364"/>
      <c r="E55" s="418" t="s">
        <v>152</v>
      </c>
      <c r="F55" s="450"/>
      <c r="G55" s="367">
        <v>300000</v>
      </c>
      <c r="H55" s="292">
        <f t="shared" si="5"/>
        <v>0</v>
      </c>
      <c r="I55" s="364"/>
    </row>
    <row r="56" spans="1:9" ht="15.9" customHeight="1" x14ac:dyDescent="0.25">
      <c r="A56" s="432"/>
      <c r="B56" s="418" t="s">
        <v>233</v>
      </c>
      <c r="C56" s="419"/>
      <c r="D56" s="364"/>
      <c r="E56" s="418" t="s">
        <v>152</v>
      </c>
      <c r="F56" s="450"/>
      <c r="G56" s="367">
        <v>300000</v>
      </c>
      <c r="H56" s="292">
        <f t="shared" si="5"/>
        <v>0</v>
      </c>
      <c r="I56" s="364"/>
    </row>
    <row r="57" spans="1:9" ht="15.9" customHeight="1" x14ac:dyDescent="0.25">
      <c r="A57" s="432"/>
      <c r="B57" s="421" t="s">
        <v>234</v>
      </c>
      <c r="C57" s="422"/>
      <c r="D57" s="372"/>
      <c r="E57" s="421" t="s">
        <v>152</v>
      </c>
      <c r="F57" s="451"/>
      <c r="G57" s="455">
        <v>250000</v>
      </c>
      <c r="H57" s="402">
        <f t="shared" si="5"/>
        <v>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0</v>
      </c>
      <c r="I58" s="375"/>
    </row>
    <row r="59" spans="1:9" ht="15.9" customHeight="1" x14ac:dyDescent="0.25">
      <c r="A59" s="410"/>
      <c r="B59" s="424" t="s">
        <v>235</v>
      </c>
      <c r="C59" s="405"/>
      <c r="D59" s="68"/>
      <c r="E59" s="68"/>
      <c r="F59" s="378"/>
      <c r="G59" s="378"/>
      <c r="H59" s="407">
        <f>'단위공사별(집계)'!L36+'단위공사별(집계)'!I36</f>
        <v>0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f>(H58+H49)*0.05</f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f>(H58+H49)*0.1</f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0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B8FD-3B82-46E8-B0D4-2D59A0945423}">
  <sheetPr>
    <pageSetUpPr fitToPage="1"/>
  </sheetPr>
  <dimension ref="A1:D36"/>
  <sheetViews>
    <sheetView zoomScale="85" workbookViewId="0">
      <selection activeCell="M25" sqref="M25"/>
    </sheetView>
  </sheetViews>
  <sheetFormatPr defaultColWidth="9" defaultRowHeight="17.25" customHeight="1" x14ac:dyDescent="0.25"/>
  <cols>
    <col min="1" max="1" width="16.5" style="245" customWidth="1"/>
    <col min="2" max="3" width="27.59765625" style="245" customWidth="1"/>
    <col min="4" max="4" width="11.5" style="245" customWidth="1"/>
    <col min="5" max="16384" width="9" style="245"/>
  </cols>
  <sheetData>
    <row r="1" spans="1:4" ht="17.25" customHeight="1" x14ac:dyDescent="0.25">
      <c r="A1" s="245" t="s">
        <v>407</v>
      </c>
    </row>
    <row r="2" spans="1:4" ht="17.25" customHeight="1" x14ac:dyDescent="0.25">
      <c r="D2" s="254" t="s">
        <v>128</v>
      </c>
    </row>
    <row r="3" spans="1:4" ht="24.75" customHeight="1" x14ac:dyDescent="0.25">
      <c r="A3" s="463" t="s">
        <v>408</v>
      </c>
    </row>
    <row r="4" spans="1:4" ht="11.25" customHeight="1" x14ac:dyDescent="0.25"/>
    <row r="5" spans="1:4" s="465" customFormat="1" ht="21" customHeight="1" thickBot="1" x14ac:dyDescent="0.3">
      <c r="A5" s="464" t="s">
        <v>409</v>
      </c>
      <c r="B5" s="464" t="s">
        <v>410</v>
      </c>
      <c r="C5" s="464" t="s">
        <v>411</v>
      </c>
      <c r="D5" s="464" t="s">
        <v>29</v>
      </c>
    </row>
    <row r="6" spans="1:4" ht="17.25" customHeight="1" thickTop="1" x14ac:dyDescent="0.25">
      <c r="A6" s="466"/>
      <c r="B6" s="466"/>
      <c r="C6" s="466"/>
      <c r="D6" s="466"/>
    </row>
    <row r="7" spans="1:4" ht="17.25" customHeight="1" x14ac:dyDescent="0.25">
      <c r="A7" s="466"/>
      <c r="B7" s="466"/>
      <c r="C7" s="466"/>
      <c r="D7" s="466"/>
    </row>
    <row r="8" spans="1:4" ht="17.25" customHeight="1" x14ac:dyDescent="0.25">
      <c r="A8" s="466"/>
      <c r="B8" s="466"/>
      <c r="C8" s="466"/>
      <c r="D8" s="466"/>
    </row>
    <row r="9" spans="1:4" ht="17.25" customHeight="1" x14ac:dyDescent="0.25">
      <c r="A9" s="466"/>
      <c r="B9" s="466"/>
      <c r="C9" s="466"/>
      <c r="D9" s="466"/>
    </row>
    <row r="10" spans="1:4" ht="17.25" customHeight="1" x14ac:dyDescent="0.25">
      <c r="A10" s="466"/>
      <c r="B10" s="466"/>
      <c r="C10" s="466"/>
      <c r="D10" s="466"/>
    </row>
    <row r="11" spans="1:4" ht="17.25" customHeight="1" x14ac:dyDescent="0.25">
      <c r="A11" s="466"/>
      <c r="B11" s="466"/>
      <c r="C11" s="466"/>
      <c r="D11" s="466"/>
    </row>
    <row r="12" spans="1:4" ht="17.25" customHeight="1" x14ac:dyDescent="0.25">
      <c r="A12" s="466"/>
      <c r="B12" s="466"/>
      <c r="C12" s="466"/>
      <c r="D12" s="466"/>
    </row>
    <row r="13" spans="1:4" ht="17.25" customHeight="1" x14ac:dyDescent="0.25">
      <c r="A13" s="466"/>
      <c r="B13" s="466"/>
      <c r="C13" s="466"/>
      <c r="D13" s="466"/>
    </row>
    <row r="14" spans="1:4" ht="17.25" customHeight="1" x14ac:dyDescent="0.25">
      <c r="A14" s="466"/>
      <c r="B14" s="466"/>
      <c r="C14" s="466"/>
      <c r="D14" s="466"/>
    </row>
    <row r="15" spans="1:4" ht="17.25" customHeight="1" x14ac:dyDescent="0.25">
      <c r="A15" s="466"/>
      <c r="B15" s="466"/>
      <c r="C15" s="466"/>
      <c r="D15" s="466"/>
    </row>
    <row r="16" spans="1:4" ht="17.25" customHeight="1" x14ac:dyDescent="0.25">
      <c r="A16" s="466"/>
      <c r="B16" s="466"/>
      <c r="C16" s="466"/>
      <c r="D16" s="466"/>
    </row>
    <row r="17" spans="1:4" ht="17.25" customHeight="1" x14ac:dyDescent="0.25">
      <c r="A17" s="466"/>
      <c r="B17" s="466"/>
      <c r="C17" s="466"/>
      <c r="D17" s="466"/>
    </row>
    <row r="18" spans="1:4" ht="17.25" customHeight="1" x14ac:dyDescent="0.25">
      <c r="A18" s="466"/>
      <c r="B18" s="466"/>
      <c r="C18" s="466"/>
      <c r="D18" s="466"/>
    </row>
    <row r="19" spans="1:4" ht="17.25" customHeight="1" x14ac:dyDescent="0.25">
      <c r="A19" s="466"/>
      <c r="B19" s="466"/>
      <c r="C19" s="466"/>
      <c r="D19" s="466"/>
    </row>
    <row r="20" spans="1:4" ht="17.25" customHeight="1" x14ac:dyDescent="0.25">
      <c r="A20" s="466"/>
      <c r="B20" s="466"/>
      <c r="C20" s="466"/>
      <c r="D20" s="466"/>
    </row>
    <row r="21" spans="1:4" ht="17.25" customHeight="1" x14ac:dyDescent="0.25">
      <c r="A21" s="466"/>
      <c r="B21" s="466"/>
      <c r="C21" s="466"/>
      <c r="D21" s="466"/>
    </row>
    <row r="22" spans="1:4" ht="17.25" customHeight="1" x14ac:dyDescent="0.25">
      <c r="A22" s="466"/>
      <c r="B22" s="466"/>
      <c r="C22" s="466"/>
      <c r="D22" s="466"/>
    </row>
    <row r="23" spans="1:4" ht="17.25" customHeight="1" x14ac:dyDescent="0.25">
      <c r="A23" s="466"/>
      <c r="B23" s="466"/>
      <c r="C23" s="466"/>
      <c r="D23" s="466"/>
    </row>
    <row r="24" spans="1:4" ht="17.25" customHeight="1" x14ac:dyDescent="0.25">
      <c r="A24" s="466"/>
      <c r="B24" s="466"/>
      <c r="C24" s="466"/>
      <c r="D24" s="466"/>
    </row>
    <row r="25" spans="1:4" ht="17.25" customHeight="1" x14ac:dyDescent="0.25">
      <c r="A25" s="466"/>
      <c r="B25" s="466"/>
      <c r="C25" s="466"/>
      <c r="D25" s="466"/>
    </row>
    <row r="26" spans="1:4" ht="17.25" customHeight="1" x14ac:dyDescent="0.25">
      <c r="A26" s="466"/>
      <c r="B26" s="466"/>
      <c r="C26" s="466"/>
      <c r="D26" s="466"/>
    </row>
    <row r="27" spans="1:4" ht="17.25" customHeight="1" x14ac:dyDescent="0.25">
      <c r="A27" s="466"/>
      <c r="B27" s="466"/>
      <c r="C27" s="466"/>
      <c r="D27" s="466"/>
    </row>
    <row r="28" spans="1:4" ht="17.25" customHeight="1" x14ac:dyDescent="0.25">
      <c r="A28" s="466"/>
      <c r="B28" s="466"/>
      <c r="C28" s="466"/>
      <c r="D28" s="466"/>
    </row>
    <row r="29" spans="1:4" ht="17.25" customHeight="1" x14ac:dyDescent="0.25">
      <c r="A29" s="466"/>
      <c r="B29" s="466"/>
      <c r="C29" s="466"/>
      <c r="D29" s="466"/>
    </row>
    <row r="30" spans="1:4" ht="17.25" customHeight="1" x14ac:dyDescent="0.25">
      <c r="A30" s="466"/>
      <c r="B30" s="466"/>
      <c r="C30" s="466"/>
      <c r="D30" s="466"/>
    </row>
    <row r="31" spans="1:4" ht="17.25" customHeight="1" x14ac:dyDescent="0.25">
      <c r="A31" s="466"/>
      <c r="B31" s="466"/>
      <c r="C31" s="466"/>
      <c r="D31" s="466"/>
    </row>
    <row r="32" spans="1:4" ht="17.25" customHeight="1" x14ac:dyDescent="0.25">
      <c r="A32" s="466"/>
      <c r="B32" s="466"/>
      <c r="C32" s="466"/>
      <c r="D32" s="466"/>
    </row>
    <row r="33" spans="1:4" ht="17.25" customHeight="1" x14ac:dyDescent="0.25">
      <c r="A33" s="466"/>
      <c r="B33" s="466"/>
      <c r="C33" s="466"/>
      <c r="D33" s="466"/>
    </row>
    <row r="34" spans="1:4" ht="17.25" customHeight="1" x14ac:dyDescent="0.25">
      <c r="A34" s="466"/>
      <c r="B34" s="466"/>
      <c r="C34" s="466"/>
      <c r="D34" s="466"/>
    </row>
    <row r="35" spans="1:4" ht="17.25" customHeight="1" x14ac:dyDescent="0.25">
      <c r="A35" s="466"/>
      <c r="B35" s="466"/>
      <c r="C35" s="466"/>
      <c r="D35" s="466"/>
    </row>
    <row r="36" spans="1:4" ht="17.25" customHeight="1" x14ac:dyDescent="0.25">
      <c r="A36" s="375"/>
      <c r="B36" s="375"/>
      <c r="C36" s="375"/>
      <c r="D36" s="375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2026-07-20T10:35:02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35</vt:i4>
      </vt:variant>
      <vt:variant>
        <vt:lpstr>이름 지정된 범위</vt:lpstr>
      </vt:variant>
      <vt:variant>
        <vt:i4>6</vt:i4>
      </vt:variant>
    </vt:vector>
  </HeadingPairs>
  <TitlesOfParts>
    <vt:vector size="41" baseType="lpstr">
      <vt:lpstr>갑지</vt:lpstr>
      <vt:lpstr>원가항목별(집계)</vt:lpstr>
      <vt:lpstr>단위공사별(집계)</vt:lpstr>
      <vt:lpstr>전기</vt:lpstr>
      <vt:lpstr>#10</vt:lpstr>
      <vt:lpstr>#20</vt:lpstr>
      <vt:lpstr>#30</vt:lpstr>
      <vt:lpstr>#40</vt:lpstr>
      <vt:lpstr>#50</vt:lpstr>
      <vt:lpstr>#60</vt:lpstr>
      <vt:lpstr>#70</vt:lpstr>
      <vt:lpstr>#80</vt:lpstr>
      <vt:lpstr>#90</vt:lpstr>
      <vt:lpstr>#100</vt:lpstr>
      <vt:lpstr>#110</vt:lpstr>
      <vt:lpstr>#120</vt:lpstr>
      <vt:lpstr>#130</vt:lpstr>
      <vt:lpstr>#140</vt:lpstr>
      <vt:lpstr>#150</vt:lpstr>
      <vt:lpstr>#160</vt:lpstr>
      <vt:lpstr>#170</vt:lpstr>
      <vt:lpstr>#180</vt:lpstr>
      <vt:lpstr>#190</vt:lpstr>
      <vt:lpstr>#200</vt:lpstr>
      <vt:lpstr>#210</vt:lpstr>
      <vt:lpstr>#220</vt:lpstr>
      <vt:lpstr>#230</vt:lpstr>
      <vt:lpstr>#240</vt:lpstr>
      <vt:lpstr>#250</vt:lpstr>
      <vt:lpstr>#260</vt:lpstr>
      <vt:lpstr>#270</vt:lpstr>
      <vt:lpstr>#280</vt:lpstr>
      <vt:lpstr>#290</vt:lpstr>
      <vt:lpstr>#300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천세희 매니저 글로벌구매팀</dc:creator>
  <cp:lastModifiedBy>천세희 매니저 글로벌구매팀</cp:lastModifiedBy>
  <dcterms:created xsi:type="dcterms:W3CDTF">2026-07-20T01:34:19Z</dcterms:created>
  <dcterms:modified xsi:type="dcterms:W3CDTF">2026-07-20T01:35:12Z</dcterms:modified>
</cp:coreProperties>
</file>